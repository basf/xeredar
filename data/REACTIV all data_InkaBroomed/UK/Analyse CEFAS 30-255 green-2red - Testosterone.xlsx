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xl/tables/table4.xml" ContentType="application/vnd.openxmlformats-officedocument.spreadsheetml.table+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filterPrivacy="1" hidePivotFieldList="1" defaultThemeVersion="124226"/>
  <xr:revisionPtr revIDLastSave="0" documentId="13_ncr:1_{DA6ECCD6-2666-4E33-8B0C-337539B92541}" xr6:coauthVersionLast="47" xr6:coauthVersionMax="47" xr10:uidLastSave="{00000000-0000-0000-0000-000000000000}"/>
  <bookViews>
    <workbookView xWindow="-110" yWindow="-110" windowWidth="19420" windowHeight="10420" firstSheet="5" activeTab="11"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 r:id="rId20"/>
  </externalReferences>
  <definedNames>
    <definedName name="_xlnm.Print_Area" localSheetId="0">'Page de garde'!$A$1:$I$52</definedName>
  </definedNames>
  <calcPr calcId="181029"/>
  <pivotCaches>
    <pivotCache cacheId="0" r:id="rId21"/>
    <pivotCache cacheId="1" r:id="rId22"/>
    <pivotCache cacheId="2" r:id="rId23"/>
    <pivotCache cacheId="3" r:id="rId24"/>
  </pivotCache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N94" i="4" l="1"/>
  <c r="O94" i="4"/>
  <c r="P94" i="4"/>
  <c r="Q94" i="4"/>
  <c r="R94" i="4"/>
  <c r="S94" i="4"/>
  <c r="T94" i="4"/>
  <c r="U94" i="4"/>
  <c r="V94" i="4"/>
  <c r="W94" i="4"/>
  <c r="X94" i="4"/>
  <c r="Y94" i="4"/>
  <c r="Z94" i="4"/>
  <c r="AA94" i="4"/>
  <c r="AB94" i="4"/>
  <c r="AC94" i="4"/>
  <c r="AD94" i="4"/>
  <c r="A1011" i="37"/>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U56" i="33"/>
  <c r="R56" i="33"/>
  <c r="B56" i="33"/>
  <c r="S56" i="33"/>
  <c r="W56" i="33"/>
  <c r="C56" i="33"/>
  <c r="I56" i="33"/>
  <c r="Y56" i="33"/>
  <c r="L56" i="33"/>
  <c r="Q56" i="33"/>
  <c r="F56" i="33"/>
  <c r="Z56" i="33"/>
  <c r="AB56" i="33"/>
  <c r="J56" i="33"/>
  <c r="O56" i="33"/>
  <c r="V56" i="33"/>
  <c r="H56" i="33"/>
  <c r="AA56" i="33"/>
  <c r="X56" i="33"/>
  <c r="D56" i="33"/>
  <c r="T56" i="33"/>
  <c r="P56" i="33"/>
  <c r="N56" i="33"/>
  <c r="K56" i="33"/>
  <c r="AC56" i="33"/>
  <c r="G56" i="33"/>
  <c r="E56" i="33"/>
  <c r="M56" i="33"/>
  <c r="N78" i="4"/>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7" i="22"/>
  <c r="A8" i="22"/>
  <c r="A9" i="22"/>
  <c r="A10" i="22"/>
  <c r="A11" i="22"/>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BA43" i="33"/>
  <c r="AK53" i="4" s="1"/>
  <c r="AZ43" i="33"/>
  <c r="AJ53" i="4" s="1"/>
  <c r="AY43" i="33"/>
  <c r="AI53" i="4" s="1"/>
  <c r="AX43" i="33"/>
  <c r="AH53" i="4" s="1"/>
  <c r="AW43" i="33"/>
  <c r="AG53" i="4" s="1"/>
  <c r="AV43" i="33"/>
  <c r="AF53" i="4" s="1"/>
  <c r="AU43" i="33"/>
  <c r="AE53" i="4" s="1"/>
  <c r="AT43" i="33"/>
  <c r="AD53" i="4" s="1"/>
  <c r="AS43" i="33"/>
  <c r="AC53" i="4" s="1"/>
  <c r="AR43" i="33"/>
  <c r="AB53" i="4" s="1"/>
  <c r="AQ43" i="33"/>
  <c r="AA53" i="4" s="1"/>
  <c r="AP43" i="33"/>
  <c r="Z53" i="4" s="1"/>
  <c r="AO43" i="33"/>
  <c r="Y53" i="4" s="1"/>
  <c r="AN43" i="33"/>
  <c r="X53" i="4" s="1"/>
  <c r="AM43" i="33"/>
  <c r="W53" i="4" s="1"/>
  <c r="AL43" i="33"/>
  <c r="V53" i="4" s="1"/>
  <c r="AK43" i="33"/>
  <c r="U53" i="4" s="1"/>
  <c r="AJ43" i="33"/>
  <c r="T53" i="4" s="1"/>
  <c r="AI43" i="33"/>
  <c r="S53" i="4" s="1"/>
  <c r="AH43" i="33"/>
  <c r="R53" i="4" s="1"/>
  <c r="AG43" i="33"/>
  <c r="Q53" i="4" s="1"/>
  <c r="AF43" i="33"/>
  <c r="P53" i="4" s="1"/>
  <c r="AC43" i="33"/>
  <c r="AB43" i="33"/>
  <c r="AA43" i="33"/>
  <c r="Z43" i="33"/>
  <c r="Y43" i="33"/>
  <c r="X43" i="33"/>
  <c r="W43" i="33"/>
  <c r="V43" i="33"/>
  <c r="U43" i="33"/>
  <c r="T43" i="33"/>
  <c r="S43" i="33"/>
  <c r="R43" i="33"/>
  <c r="Q43" i="33"/>
  <c r="P43" i="33"/>
  <c r="O43" i="33"/>
  <c r="N43" i="33"/>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BA42" i="33"/>
  <c r="AK52" i="4" s="1"/>
  <c r="AZ42" i="33"/>
  <c r="AJ52" i="4" s="1"/>
  <c r="AY42" i="33"/>
  <c r="AI52" i="4" s="1"/>
  <c r="AX42" i="33"/>
  <c r="AH52" i="4" s="1"/>
  <c r="AW42" i="33"/>
  <c r="AG52" i="4" s="1"/>
  <c r="AV42" i="33"/>
  <c r="AF52" i="4" s="1"/>
  <c r="AU42" i="33"/>
  <c r="AE52" i="4" s="1"/>
  <c r="AT42" i="33"/>
  <c r="AD52" i="4" s="1"/>
  <c r="AS42" i="33"/>
  <c r="AC52" i="4" s="1"/>
  <c r="AR42" i="33"/>
  <c r="AB52" i="4" s="1"/>
  <c r="AQ42" i="33"/>
  <c r="AA52" i="4" s="1"/>
  <c r="AP42" i="33"/>
  <c r="Z52" i="4" s="1"/>
  <c r="AO42" i="33"/>
  <c r="Y52" i="4" s="1"/>
  <c r="AN42" i="33"/>
  <c r="X52" i="4" s="1"/>
  <c r="AM42" i="33"/>
  <c r="W52" i="4" s="1"/>
  <c r="AL42" i="33"/>
  <c r="V52" i="4" s="1"/>
  <c r="AK42" i="33"/>
  <c r="U52" i="4" s="1"/>
  <c r="AJ42" i="33"/>
  <c r="T52" i="4" s="1"/>
  <c r="AI42" i="33"/>
  <c r="S52" i="4" s="1"/>
  <c r="AH42" i="33"/>
  <c r="R52" i="4" s="1"/>
  <c r="AG42" i="33"/>
  <c r="Q52" i="4" s="1"/>
  <c r="AF42" i="33"/>
  <c r="P52" i="4" s="1"/>
  <c r="AC42" i="33"/>
  <c r="AB42" i="33"/>
  <c r="AA42" i="33"/>
  <c r="Z42" i="33"/>
  <c r="Y42" i="33"/>
  <c r="X42" i="33"/>
  <c r="W42" i="33"/>
  <c r="V42" i="33"/>
  <c r="U42" i="33"/>
  <c r="T42" i="33"/>
  <c r="S42" i="33"/>
  <c r="R42" i="33"/>
  <c r="Q42" i="33"/>
  <c r="P42" i="33"/>
  <c r="O42" i="33"/>
  <c r="N42" i="33"/>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BA41" i="33"/>
  <c r="AK51" i="4" s="1"/>
  <c r="AZ41" i="33"/>
  <c r="AJ51" i="4" s="1"/>
  <c r="AY41" i="33"/>
  <c r="AI51" i="4" s="1"/>
  <c r="AX41" i="33"/>
  <c r="AH51" i="4" s="1"/>
  <c r="AW41" i="33"/>
  <c r="AG51" i="4" s="1"/>
  <c r="AV41" i="33"/>
  <c r="AF51" i="4" s="1"/>
  <c r="AU41" i="33"/>
  <c r="AE51" i="4" s="1"/>
  <c r="AT41" i="33"/>
  <c r="AD51" i="4" s="1"/>
  <c r="AS41" i="33"/>
  <c r="AC51" i="4" s="1"/>
  <c r="AR41" i="33"/>
  <c r="AB51" i="4" s="1"/>
  <c r="AQ41" i="33"/>
  <c r="AA51" i="4" s="1"/>
  <c r="AP41" i="33"/>
  <c r="Z51" i="4" s="1"/>
  <c r="AO41" i="33"/>
  <c r="Y51" i="4" s="1"/>
  <c r="AN41" i="33"/>
  <c r="X51" i="4" s="1"/>
  <c r="AM41" i="33"/>
  <c r="W51" i="4" s="1"/>
  <c r="AL41" i="33"/>
  <c r="V51" i="4" s="1"/>
  <c r="AK41" i="33"/>
  <c r="U51" i="4" s="1"/>
  <c r="AJ41" i="33"/>
  <c r="T51" i="4" s="1"/>
  <c r="AI41" i="33"/>
  <c r="S51" i="4" s="1"/>
  <c r="AH41" i="33"/>
  <c r="R51" i="4" s="1"/>
  <c r="AG41" i="33"/>
  <c r="Q51" i="4" s="1"/>
  <c r="AF41" i="33"/>
  <c r="P51" i="4" s="1"/>
  <c r="AC41" i="33"/>
  <c r="AB41" i="33"/>
  <c r="AA41" i="33"/>
  <c r="Z41" i="33"/>
  <c r="Y41" i="33"/>
  <c r="X41" i="33"/>
  <c r="W41" i="33"/>
  <c r="V41" i="33"/>
  <c r="U41" i="33"/>
  <c r="T41" i="33"/>
  <c r="S41" i="33"/>
  <c r="R41" i="33"/>
  <c r="Q41" i="33"/>
  <c r="P41" i="33"/>
  <c r="O41" i="33"/>
  <c r="N41" i="33"/>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BA40" i="33"/>
  <c r="AK50" i="4" s="1"/>
  <c r="AZ40" i="33"/>
  <c r="AJ50" i="4" s="1"/>
  <c r="AY40" i="33"/>
  <c r="AI50" i="4" s="1"/>
  <c r="AX40" i="33"/>
  <c r="AH50" i="4" s="1"/>
  <c r="AW40" i="33"/>
  <c r="AG50" i="4" s="1"/>
  <c r="AV40" i="33"/>
  <c r="AF50" i="4" s="1"/>
  <c r="AU40" i="33"/>
  <c r="AE50" i="4" s="1"/>
  <c r="AT40" i="33"/>
  <c r="AD50" i="4" s="1"/>
  <c r="AS40" i="33"/>
  <c r="AC50" i="4" s="1"/>
  <c r="AR40" i="33"/>
  <c r="AB50" i="4" s="1"/>
  <c r="AQ40" i="33"/>
  <c r="AA50" i="4" s="1"/>
  <c r="AP40" i="33"/>
  <c r="Z50" i="4" s="1"/>
  <c r="AO40" i="33"/>
  <c r="Y50" i="4" s="1"/>
  <c r="AN40" i="33"/>
  <c r="X50" i="4" s="1"/>
  <c r="AM40" i="33"/>
  <c r="W50" i="4" s="1"/>
  <c r="AL40" i="33"/>
  <c r="V50" i="4" s="1"/>
  <c r="AK40" i="33"/>
  <c r="U50" i="4" s="1"/>
  <c r="AJ40" i="33"/>
  <c r="T50" i="4" s="1"/>
  <c r="AI40" i="33"/>
  <c r="S50" i="4" s="1"/>
  <c r="AH40" i="33"/>
  <c r="R50" i="4" s="1"/>
  <c r="AG40" i="33"/>
  <c r="Q50" i="4" s="1"/>
  <c r="AF40" i="33"/>
  <c r="P50" i="4" s="1"/>
  <c r="AC40" i="33"/>
  <c r="AB40" i="33"/>
  <c r="AA40" i="33"/>
  <c r="Z40" i="33"/>
  <c r="Y40" i="33"/>
  <c r="X40" i="33"/>
  <c r="W40" i="33"/>
  <c r="V40" i="33"/>
  <c r="U40" i="33"/>
  <c r="T40" i="33"/>
  <c r="S40" i="33"/>
  <c r="R40" i="33"/>
  <c r="Q40" i="33"/>
  <c r="P40" i="33"/>
  <c r="O40" i="33"/>
  <c r="N40" i="33"/>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BA39" i="33"/>
  <c r="AK49" i="4" s="1"/>
  <c r="AZ39" i="33"/>
  <c r="AJ49" i="4" s="1"/>
  <c r="AY39" i="33"/>
  <c r="AI49" i="4" s="1"/>
  <c r="AX39" i="33"/>
  <c r="AH49" i="4" s="1"/>
  <c r="AW39" i="33"/>
  <c r="AG49" i="4" s="1"/>
  <c r="AV39" i="33"/>
  <c r="AF49" i="4" s="1"/>
  <c r="AU39" i="33"/>
  <c r="AE49" i="4" s="1"/>
  <c r="AT39" i="33"/>
  <c r="AD49" i="4" s="1"/>
  <c r="AS39" i="33"/>
  <c r="AC49" i="4" s="1"/>
  <c r="AR39" i="33"/>
  <c r="AB49" i="4" s="1"/>
  <c r="AQ39" i="33"/>
  <c r="AA49" i="4" s="1"/>
  <c r="AP39" i="33"/>
  <c r="Z49" i="4" s="1"/>
  <c r="AO39" i="33"/>
  <c r="Y49" i="4" s="1"/>
  <c r="AN39" i="33"/>
  <c r="X49" i="4" s="1"/>
  <c r="AM39" i="33"/>
  <c r="W49" i="4" s="1"/>
  <c r="AL39" i="33"/>
  <c r="V49" i="4" s="1"/>
  <c r="AK39" i="33"/>
  <c r="U49" i="4" s="1"/>
  <c r="AJ39" i="33"/>
  <c r="T49" i="4" s="1"/>
  <c r="AI39" i="33"/>
  <c r="S49" i="4" s="1"/>
  <c r="AH39" i="33"/>
  <c r="R49" i="4" s="1"/>
  <c r="AG39" i="33"/>
  <c r="Q49" i="4" s="1"/>
  <c r="AF39" i="33"/>
  <c r="P49" i="4" s="1"/>
  <c r="AC39" i="33"/>
  <c r="AB39" i="33"/>
  <c r="AA39" i="33"/>
  <c r="Z39" i="33"/>
  <c r="Y39" i="33"/>
  <c r="X39" i="33"/>
  <c r="W39" i="33"/>
  <c r="V39" i="33"/>
  <c r="U39" i="33"/>
  <c r="T39" i="33"/>
  <c r="S39" i="33"/>
  <c r="R39" i="33"/>
  <c r="Q39" i="33"/>
  <c r="P39" i="33"/>
  <c r="O39" i="33"/>
  <c r="N39" i="33"/>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BA38" i="33"/>
  <c r="AK48" i="4" s="1"/>
  <c r="AZ38" i="33"/>
  <c r="AJ48" i="4" s="1"/>
  <c r="AY38" i="33"/>
  <c r="AI48" i="4" s="1"/>
  <c r="AX38" i="33"/>
  <c r="AH48" i="4" s="1"/>
  <c r="AW38" i="33"/>
  <c r="AG48" i="4" s="1"/>
  <c r="AV38" i="33"/>
  <c r="AF48" i="4" s="1"/>
  <c r="AU38" i="33"/>
  <c r="AE48" i="4" s="1"/>
  <c r="AT38" i="33"/>
  <c r="AD48" i="4" s="1"/>
  <c r="AS38" i="33"/>
  <c r="AC48" i="4" s="1"/>
  <c r="AR38" i="33"/>
  <c r="AB48" i="4" s="1"/>
  <c r="AQ38" i="33"/>
  <c r="AA48" i="4" s="1"/>
  <c r="AP38" i="33"/>
  <c r="Z48" i="4" s="1"/>
  <c r="AO38" i="33"/>
  <c r="Y48" i="4" s="1"/>
  <c r="AN38" i="33"/>
  <c r="X48" i="4" s="1"/>
  <c r="AM38" i="33"/>
  <c r="W48" i="4" s="1"/>
  <c r="AL38" i="33"/>
  <c r="V48" i="4" s="1"/>
  <c r="AK38" i="33"/>
  <c r="U48" i="4" s="1"/>
  <c r="AJ38" i="33"/>
  <c r="T48" i="4" s="1"/>
  <c r="AI38" i="33"/>
  <c r="S48" i="4" s="1"/>
  <c r="AH38" i="33"/>
  <c r="R48" i="4" s="1"/>
  <c r="AG38" i="33"/>
  <c r="Q48" i="4" s="1"/>
  <c r="AF38" i="33"/>
  <c r="P48" i="4" s="1"/>
  <c r="AC38" i="33"/>
  <c r="AB38" i="33"/>
  <c r="AA38" i="33"/>
  <c r="Z38" i="33"/>
  <c r="Y38" i="33"/>
  <c r="X38" i="33"/>
  <c r="W38" i="33"/>
  <c r="V38" i="33"/>
  <c r="U38" i="33"/>
  <c r="T38" i="33"/>
  <c r="S38" i="33"/>
  <c r="R38" i="33"/>
  <c r="Q38" i="33"/>
  <c r="P38" i="33"/>
  <c r="O38" i="33"/>
  <c r="N38" i="33"/>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BA37" i="33"/>
  <c r="AK47" i="4" s="1"/>
  <c r="AZ37" i="33"/>
  <c r="AJ47" i="4" s="1"/>
  <c r="AY37" i="33"/>
  <c r="AI47" i="4" s="1"/>
  <c r="AX37" i="33"/>
  <c r="AH47" i="4" s="1"/>
  <c r="AW37" i="33"/>
  <c r="AG47" i="4" s="1"/>
  <c r="AV37" i="33"/>
  <c r="AF47" i="4" s="1"/>
  <c r="AU37" i="33"/>
  <c r="AE47" i="4" s="1"/>
  <c r="AT37" i="33"/>
  <c r="AD47" i="4" s="1"/>
  <c r="AS37" i="33"/>
  <c r="AC47" i="4" s="1"/>
  <c r="AR37" i="33"/>
  <c r="AB47" i="4" s="1"/>
  <c r="AQ37" i="33"/>
  <c r="AA47" i="4" s="1"/>
  <c r="AP37" i="33"/>
  <c r="Z47" i="4" s="1"/>
  <c r="AO37" i="33"/>
  <c r="Y47" i="4" s="1"/>
  <c r="AN37" i="33"/>
  <c r="X47" i="4" s="1"/>
  <c r="AM37" i="33"/>
  <c r="W47" i="4" s="1"/>
  <c r="AL37" i="33"/>
  <c r="V47" i="4" s="1"/>
  <c r="AK37" i="33"/>
  <c r="U47" i="4" s="1"/>
  <c r="AJ37" i="33"/>
  <c r="T47" i="4" s="1"/>
  <c r="AI37" i="33"/>
  <c r="S47" i="4" s="1"/>
  <c r="AH37" i="33"/>
  <c r="R47" i="4" s="1"/>
  <c r="AG37" i="33"/>
  <c r="Q47" i="4" s="1"/>
  <c r="AF37" i="33"/>
  <c r="P47" i="4" s="1"/>
  <c r="AC37" i="33"/>
  <c r="AB37" i="33"/>
  <c r="AA37" i="33"/>
  <c r="Z37" i="33"/>
  <c r="Y37" i="33"/>
  <c r="X37" i="33"/>
  <c r="W37" i="33"/>
  <c r="V37" i="33"/>
  <c r="U37" i="33"/>
  <c r="T37" i="33"/>
  <c r="S37" i="33"/>
  <c r="R37" i="33"/>
  <c r="Q37" i="33"/>
  <c r="P37" i="33"/>
  <c r="O37" i="33"/>
  <c r="N37" i="33"/>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BA36" i="33"/>
  <c r="AK46" i="4" s="1"/>
  <c r="AZ36" i="33"/>
  <c r="AJ46" i="4" s="1"/>
  <c r="AY36" i="33"/>
  <c r="AI46" i="4" s="1"/>
  <c r="AX36" i="33"/>
  <c r="AH46" i="4" s="1"/>
  <c r="AW36" i="33"/>
  <c r="AG46" i="4" s="1"/>
  <c r="AV36" i="33"/>
  <c r="AF46" i="4" s="1"/>
  <c r="AU36" i="33"/>
  <c r="AE46" i="4" s="1"/>
  <c r="AT36" i="33"/>
  <c r="AD46" i="4" s="1"/>
  <c r="AS36" i="33"/>
  <c r="AC46" i="4" s="1"/>
  <c r="AR36" i="33"/>
  <c r="AB46" i="4" s="1"/>
  <c r="AQ36" i="33"/>
  <c r="AA46" i="4" s="1"/>
  <c r="AP36" i="33"/>
  <c r="Z46" i="4" s="1"/>
  <c r="AO36" i="33"/>
  <c r="Y46" i="4" s="1"/>
  <c r="AN36" i="33"/>
  <c r="X46" i="4" s="1"/>
  <c r="AM36" i="33"/>
  <c r="W46" i="4" s="1"/>
  <c r="AL36" i="33"/>
  <c r="V46" i="4" s="1"/>
  <c r="AK36" i="33"/>
  <c r="U46" i="4" s="1"/>
  <c r="AJ36" i="33"/>
  <c r="T46" i="4" s="1"/>
  <c r="AI36" i="33"/>
  <c r="S46" i="4" s="1"/>
  <c r="AH36" i="33"/>
  <c r="R46" i="4" s="1"/>
  <c r="AG36" i="33"/>
  <c r="Q46" i="4" s="1"/>
  <c r="AF36" i="33"/>
  <c r="P46" i="4" s="1"/>
  <c r="AC36" i="33"/>
  <c r="AB36" i="33"/>
  <c r="AA36" i="33"/>
  <c r="Z36" i="33"/>
  <c r="Y36" i="33"/>
  <c r="X36" i="33"/>
  <c r="W36" i="33"/>
  <c r="V36" i="33"/>
  <c r="U36" i="33"/>
  <c r="T36" i="33"/>
  <c r="S36" i="33"/>
  <c r="R36" i="33"/>
  <c r="Q36" i="33"/>
  <c r="P36" i="33"/>
  <c r="O36" i="33"/>
  <c r="N36" i="33"/>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BA35" i="33"/>
  <c r="AK45" i="4" s="1"/>
  <c r="AZ35" i="33"/>
  <c r="AJ45" i="4" s="1"/>
  <c r="AY35" i="33"/>
  <c r="AI45" i="4" s="1"/>
  <c r="AX35" i="33"/>
  <c r="AH45" i="4" s="1"/>
  <c r="AW35" i="33"/>
  <c r="AG45" i="4" s="1"/>
  <c r="AV35" i="33"/>
  <c r="AF45" i="4" s="1"/>
  <c r="AU35" i="33"/>
  <c r="AE45" i="4" s="1"/>
  <c r="AT35" i="33"/>
  <c r="AD45" i="4" s="1"/>
  <c r="AS35" i="33"/>
  <c r="AC45" i="4" s="1"/>
  <c r="AR35" i="33"/>
  <c r="AB45" i="4" s="1"/>
  <c r="AQ35" i="33"/>
  <c r="AA45" i="4" s="1"/>
  <c r="AP35" i="33"/>
  <c r="Z45" i="4" s="1"/>
  <c r="AO35" i="33"/>
  <c r="Y45" i="4" s="1"/>
  <c r="AN35" i="33"/>
  <c r="X45" i="4" s="1"/>
  <c r="AM35" i="33"/>
  <c r="W45" i="4" s="1"/>
  <c r="AL35" i="33"/>
  <c r="V45" i="4" s="1"/>
  <c r="AK35" i="33"/>
  <c r="U45" i="4" s="1"/>
  <c r="AJ35" i="33"/>
  <c r="T45" i="4" s="1"/>
  <c r="AI35" i="33"/>
  <c r="S45" i="4" s="1"/>
  <c r="AH35" i="33"/>
  <c r="R45" i="4" s="1"/>
  <c r="AG35" i="33"/>
  <c r="Q45" i="4" s="1"/>
  <c r="AF35" i="33"/>
  <c r="P45" i="4" s="1"/>
  <c r="AC35" i="33"/>
  <c r="AB35" i="33"/>
  <c r="AA35" i="33"/>
  <c r="Z35" i="33"/>
  <c r="Y35" i="33"/>
  <c r="X35" i="33"/>
  <c r="W35" i="33"/>
  <c r="V35" i="33"/>
  <c r="U35" i="33"/>
  <c r="T35" i="33"/>
  <c r="S35" i="33"/>
  <c r="R35" i="33"/>
  <c r="Q35" i="33"/>
  <c r="P35" i="33"/>
  <c r="O35" i="33"/>
  <c r="N35" i="33"/>
  <c r="BA34" i="33"/>
  <c r="AK44" i="4" s="1"/>
  <c r="AZ34" i="33"/>
  <c r="AJ44" i="4" s="1"/>
  <c r="AY34" i="33"/>
  <c r="AI44" i="4" s="1"/>
  <c r="AX34" i="33"/>
  <c r="AH44" i="4" s="1"/>
  <c r="AW34" i="33"/>
  <c r="AG44" i="4" s="1"/>
  <c r="AV34" i="33"/>
  <c r="AF44" i="4" s="1"/>
  <c r="AU34" i="33"/>
  <c r="AE44" i="4" s="1"/>
  <c r="AT34" i="33"/>
  <c r="AD44" i="4" s="1"/>
  <c r="AS34" i="33"/>
  <c r="AC44" i="4" s="1"/>
  <c r="AR34" i="33"/>
  <c r="AB44" i="4" s="1"/>
  <c r="AQ34" i="33"/>
  <c r="AA44" i="4" s="1"/>
  <c r="AP34" i="33"/>
  <c r="Z44" i="4" s="1"/>
  <c r="AO34" i="33"/>
  <c r="Y44" i="4" s="1"/>
  <c r="AN34" i="33"/>
  <c r="X44" i="4" s="1"/>
  <c r="AM34" i="33"/>
  <c r="W44" i="4" s="1"/>
  <c r="AL34" i="33"/>
  <c r="V44" i="4" s="1"/>
  <c r="AK34" i="33"/>
  <c r="U44" i="4" s="1"/>
  <c r="AJ34" i="33"/>
  <c r="T44" i="4" s="1"/>
  <c r="AI34" i="33"/>
  <c r="S44" i="4" s="1"/>
  <c r="AH34" i="33"/>
  <c r="R44" i="4" s="1"/>
  <c r="AG34" i="33"/>
  <c r="Q44" i="4" s="1"/>
  <c r="AF34" i="33"/>
  <c r="P44" i="4" s="1"/>
  <c r="AC34" i="33"/>
  <c r="AB34" i="33"/>
  <c r="AA34" i="33"/>
  <c r="Z34" i="33"/>
  <c r="Y34" i="33"/>
  <c r="X34" i="33"/>
  <c r="W34" i="33"/>
  <c r="V34" i="33"/>
  <c r="U34" i="33"/>
  <c r="T34" i="33"/>
  <c r="S34" i="33"/>
  <c r="R34" i="33"/>
  <c r="Q34" i="33"/>
  <c r="P34" i="33"/>
  <c r="O34" i="33"/>
  <c r="N34" i="33"/>
  <c r="BA33" i="33"/>
  <c r="AK43" i="4" s="1"/>
  <c r="AZ33" i="33"/>
  <c r="AJ43" i="4" s="1"/>
  <c r="AY33" i="33"/>
  <c r="AI43" i="4" s="1"/>
  <c r="AX33" i="33"/>
  <c r="AH43" i="4" s="1"/>
  <c r="AW33" i="33"/>
  <c r="AG43" i="4" s="1"/>
  <c r="AV33" i="33"/>
  <c r="AF43" i="4" s="1"/>
  <c r="AU33" i="33"/>
  <c r="AE43" i="4" s="1"/>
  <c r="AT33" i="33"/>
  <c r="AD43" i="4" s="1"/>
  <c r="AS33" i="33"/>
  <c r="AC43" i="4" s="1"/>
  <c r="AR33" i="33"/>
  <c r="AB43" i="4" s="1"/>
  <c r="AQ33" i="33"/>
  <c r="AA43" i="4" s="1"/>
  <c r="AP33" i="33"/>
  <c r="Z43" i="4" s="1"/>
  <c r="AO33" i="33"/>
  <c r="Y43" i="4" s="1"/>
  <c r="AN33" i="33"/>
  <c r="X43" i="4" s="1"/>
  <c r="AM33" i="33"/>
  <c r="W43" i="4" s="1"/>
  <c r="AL33" i="33"/>
  <c r="V43" i="4" s="1"/>
  <c r="AK33" i="33"/>
  <c r="U43" i="4" s="1"/>
  <c r="AJ33" i="33"/>
  <c r="T43" i="4" s="1"/>
  <c r="AI33" i="33"/>
  <c r="S43" i="4" s="1"/>
  <c r="AH33" i="33"/>
  <c r="R43" i="4" s="1"/>
  <c r="AG33" i="33"/>
  <c r="Q43" i="4" s="1"/>
  <c r="AF33" i="33"/>
  <c r="P43" i="4" s="1"/>
  <c r="AC33" i="33"/>
  <c r="AB33" i="33"/>
  <c r="AA33" i="33"/>
  <c r="Z33" i="33"/>
  <c r="Y33" i="33"/>
  <c r="X33" i="33"/>
  <c r="W33" i="33"/>
  <c r="V33" i="33"/>
  <c r="U33" i="33"/>
  <c r="T33" i="33"/>
  <c r="S33" i="33"/>
  <c r="R33" i="33"/>
  <c r="Q33" i="33"/>
  <c r="P33" i="33"/>
  <c r="O33" i="33"/>
  <c r="N33" i="33"/>
  <c r="BA32" i="33"/>
  <c r="AK42" i="4" s="1"/>
  <c r="AZ32" i="33"/>
  <c r="AJ42" i="4" s="1"/>
  <c r="AY32" i="33"/>
  <c r="AI42" i="4" s="1"/>
  <c r="AX32" i="33"/>
  <c r="AH42" i="4" s="1"/>
  <c r="AW32" i="33"/>
  <c r="AG42" i="4" s="1"/>
  <c r="AV32" i="33"/>
  <c r="AF42" i="4" s="1"/>
  <c r="AU32" i="33"/>
  <c r="AE42" i="4" s="1"/>
  <c r="AT32" i="33"/>
  <c r="AD42" i="4" s="1"/>
  <c r="AS32" i="33"/>
  <c r="AC42" i="4" s="1"/>
  <c r="AR32" i="33"/>
  <c r="AB42" i="4" s="1"/>
  <c r="AQ32" i="33"/>
  <c r="AA42" i="4" s="1"/>
  <c r="AP32" i="33"/>
  <c r="Z42" i="4" s="1"/>
  <c r="AO32" i="33"/>
  <c r="Y42" i="4" s="1"/>
  <c r="AN32" i="33"/>
  <c r="X42" i="4" s="1"/>
  <c r="AM32" i="33"/>
  <c r="W42" i="4" s="1"/>
  <c r="AL32" i="33"/>
  <c r="V42" i="4" s="1"/>
  <c r="AK32" i="33"/>
  <c r="U42" i="4" s="1"/>
  <c r="AJ32" i="33"/>
  <c r="T42" i="4" s="1"/>
  <c r="AI32" i="33"/>
  <c r="S42" i="4" s="1"/>
  <c r="AH32" i="33"/>
  <c r="R42" i="4" s="1"/>
  <c r="AG32" i="33"/>
  <c r="Q42" i="4" s="1"/>
  <c r="AF32" i="33"/>
  <c r="P42" i="4" s="1"/>
  <c r="AC32" i="33"/>
  <c r="AB32" i="33"/>
  <c r="AA32" i="33"/>
  <c r="Z32" i="33"/>
  <c r="Y32" i="33"/>
  <c r="X32" i="33"/>
  <c r="W32" i="33"/>
  <c r="V32" i="33"/>
  <c r="U32" i="33"/>
  <c r="T32" i="33"/>
  <c r="S32" i="33"/>
  <c r="R32" i="33"/>
  <c r="Q32" i="33"/>
  <c r="P32" i="33"/>
  <c r="O32" i="33"/>
  <c r="N32" i="33"/>
  <c r="H32" i="33"/>
  <c r="H42" i="4" s="1"/>
  <c r="BA31" i="33"/>
  <c r="AK41" i="4" s="1"/>
  <c r="AZ31" i="33"/>
  <c r="AJ41" i="4" s="1"/>
  <c r="AY31" i="33"/>
  <c r="AI41" i="4" s="1"/>
  <c r="AX31" i="33"/>
  <c r="AH41" i="4" s="1"/>
  <c r="AW31" i="33"/>
  <c r="AG41" i="4" s="1"/>
  <c r="AV31" i="33"/>
  <c r="AF41" i="4" s="1"/>
  <c r="AU31" i="33"/>
  <c r="AE41" i="4" s="1"/>
  <c r="AT31" i="33"/>
  <c r="AD41" i="4" s="1"/>
  <c r="AS31" i="33"/>
  <c r="AC41" i="4" s="1"/>
  <c r="AR31" i="33"/>
  <c r="AB41" i="4" s="1"/>
  <c r="AQ31" i="33"/>
  <c r="AA41" i="4" s="1"/>
  <c r="AP31" i="33"/>
  <c r="Z41" i="4" s="1"/>
  <c r="AO31" i="33"/>
  <c r="Y41" i="4" s="1"/>
  <c r="AN31" i="33"/>
  <c r="X41" i="4" s="1"/>
  <c r="AM31" i="33"/>
  <c r="W41" i="4" s="1"/>
  <c r="AL31" i="33"/>
  <c r="V41" i="4" s="1"/>
  <c r="AK31" i="33"/>
  <c r="U41" i="4" s="1"/>
  <c r="AJ31" i="33"/>
  <c r="T41" i="4" s="1"/>
  <c r="AI31" i="33"/>
  <c r="S41" i="4" s="1"/>
  <c r="AH31" i="33"/>
  <c r="R41" i="4" s="1"/>
  <c r="AG31" i="33"/>
  <c r="Q41" i="4" s="1"/>
  <c r="AF31" i="33"/>
  <c r="P41" i="4" s="1"/>
  <c r="AC31" i="33"/>
  <c r="AB31" i="33"/>
  <c r="AA31" i="33"/>
  <c r="Z31" i="33"/>
  <c r="Y31" i="33"/>
  <c r="X31" i="33"/>
  <c r="W31" i="33"/>
  <c r="V31" i="33"/>
  <c r="U31" i="33"/>
  <c r="T31" i="33"/>
  <c r="S31" i="33"/>
  <c r="R31" i="33"/>
  <c r="Q31" i="33"/>
  <c r="P31" i="33"/>
  <c r="O31" i="33"/>
  <c r="N31" i="33"/>
  <c r="G31" i="33"/>
  <c r="G41" i="4" s="1"/>
  <c r="B31" i="33"/>
  <c r="B41" i="4" s="1"/>
  <c r="BA30" i="33"/>
  <c r="AK40" i="4" s="1"/>
  <c r="AZ30" i="33"/>
  <c r="AJ40" i="4" s="1"/>
  <c r="AY30" i="33"/>
  <c r="AI40" i="4" s="1"/>
  <c r="AX30" i="33"/>
  <c r="AH40" i="4" s="1"/>
  <c r="AW30" i="33"/>
  <c r="AG40" i="4" s="1"/>
  <c r="AV30" i="33"/>
  <c r="AF40" i="4" s="1"/>
  <c r="AU30" i="33"/>
  <c r="AE40" i="4" s="1"/>
  <c r="AT30" i="33"/>
  <c r="AD40" i="4" s="1"/>
  <c r="AS30" i="33"/>
  <c r="AC40" i="4" s="1"/>
  <c r="AR30" i="33"/>
  <c r="AB40" i="4" s="1"/>
  <c r="AQ30" i="33"/>
  <c r="AA40" i="4" s="1"/>
  <c r="AP30" i="33"/>
  <c r="Z40" i="4" s="1"/>
  <c r="AO30" i="33"/>
  <c r="Y40" i="4" s="1"/>
  <c r="AN30" i="33"/>
  <c r="X40" i="4" s="1"/>
  <c r="AM30" i="33"/>
  <c r="W40" i="4" s="1"/>
  <c r="AL30" i="33"/>
  <c r="V40" i="4" s="1"/>
  <c r="AK30" i="33"/>
  <c r="U40" i="4" s="1"/>
  <c r="AJ30" i="33"/>
  <c r="T40" i="4" s="1"/>
  <c r="AI30" i="33"/>
  <c r="S40" i="4" s="1"/>
  <c r="AH30" i="33"/>
  <c r="R40" i="4" s="1"/>
  <c r="AG30" i="33"/>
  <c r="Q40" i="4" s="1"/>
  <c r="AF30" i="33"/>
  <c r="P40" i="4" s="1"/>
  <c r="AC30" i="33"/>
  <c r="AB30" i="33"/>
  <c r="AA30" i="33"/>
  <c r="Z30" i="33"/>
  <c r="Y30" i="33"/>
  <c r="X30" i="33"/>
  <c r="W30" i="33"/>
  <c r="V30" i="33"/>
  <c r="U30" i="33"/>
  <c r="T30" i="33"/>
  <c r="S30" i="33"/>
  <c r="R30" i="33"/>
  <c r="Q30" i="33"/>
  <c r="P30" i="33"/>
  <c r="O30" i="33"/>
  <c r="N30" i="33"/>
  <c r="C30" i="33"/>
  <c r="C40" i="4" s="1"/>
  <c r="BA29" i="33"/>
  <c r="AK39" i="4" s="1"/>
  <c r="AZ29" i="33"/>
  <c r="AJ39" i="4" s="1"/>
  <c r="AY29" i="33"/>
  <c r="AI39" i="4" s="1"/>
  <c r="AX29" i="33"/>
  <c r="AH39" i="4" s="1"/>
  <c r="AW29" i="33"/>
  <c r="AG39" i="4" s="1"/>
  <c r="AV29" i="33"/>
  <c r="AF39" i="4" s="1"/>
  <c r="AU29" i="33"/>
  <c r="AE39" i="4" s="1"/>
  <c r="AT29" i="33"/>
  <c r="AD39" i="4" s="1"/>
  <c r="AS29" i="33"/>
  <c r="AC39" i="4" s="1"/>
  <c r="AR29" i="33"/>
  <c r="AB39" i="4" s="1"/>
  <c r="AQ29" i="33"/>
  <c r="AA39" i="4" s="1"/>
  <c r="AP29" i="33"/>
  <c r="Z39" i="4" s="1"/>
  <c r="AO29" i="33"/>
  <c r="Y39" i="4" s="1"/>
  <c r="AN29" i="33"/>
  <c r="X39" i="4" s="1"/>
  <c r="AM29" i="33"/>
  <c r="W39" i="4" s="1"/>
  <c r="AL29" i="33"/>
  <c r="V39" i="4" s="1"/>
  <c r="AK29" i="33"/>
  <c r="U39" i="4" s="1"/>
  <c r="AJ29" i="33"/>
  <c r="T39" i="4" s="1"/>
  <c r="AI29" i="33"/>
  <c r="S39" i="4" s="1"/>
  <c r="AH29" i="33"/>
  <c r="R39" i="4" s="1"/>
  <c r="AG29" i="33"/>
  <c r="Q39" i="4" s="1"/>
  <c r="AF29" i="33"/>
  <c r="P39" i="4" s="1"/>
  <c r="AE29" i="33"/>
  <c r="O39" i="4" s="1"/>
  <c r="AC29" i="33"/>
  <c r="AB29" i="33"/>
  <c r="AA29" i="33"/>
  <c r="Z29" i="33"/>
  <c r="Y29" i="33"/>
  <c r="X29" i="33"/>
  <c r="W29" i="33"/>
  <c r="V29" i="33"/>
  <c r="U29" i="33"/>
  <c r="T29" i="33"/>
  <c r="S29" i="33"/>
  <c r="R29" i="33"/>
  <c r="Q29" i="33"/>
  <c r="P29" i="33"/>
  <c r="O29" i="33"/>
  <c r="N29" i="33"/>
  <c r="J29" i="33"/>
  <c r="J39" i="4" s="1"/>
  <c r="BA28" i="33"/>
  <c r="AZ28" i="33"/>
  <c r="AY28" i="33"/>
  <c r="AX28" i="33"/>
  <c r="AW28" i="33"/>
  <c r="AV28" i="33"/>
  <c r="AU28" i="33"/>
  <c r="AT28" i="33"/>
  <c r="AS28" i="33"/>
  <c r="AR28" i="33"/>
  <c r="AQ28" i="33"/>
  <c r="AP28" i="33"/>
  <c r="AO28" i="33"/>
  <c r="AN28" i="33"/>
  <c r="AM28" i="33"/>
  <c r="AL28" i="33"/>
  <c r="AK28" i="33"/>
  <c r="AJ28" i="33"/>
  <c r="AI28" i="33"/>
  <c r="AH28" i="33"/>
  <c r="AG28" i="33"/>
  <c r="AF28" i="33"/>
  <c r="AC28" i="33"/>
  <c r="AB28" i="33"/>
  <c r="AA28" i="33"/>
  <c r="Z28" i="33"/>
  <c r="Y28" i="33"/>
  <c r="X28" i="33"/>
  <c r="W28" i="33"/>
  <c r="V28" i="33"/>
  <c r="U28" i="33"/>
  <c r="T28" i="33"/>
  <c r="S28" i="33"/>
  <c r="R28" i="33"/>
  <c r="Q28" i="33"/>
  <c r="P28" i="33"/>
  <c r="O28" i="33"/>
  <c r="N28" i="33"/>
  <c r="M28" i="33"/>
  <c r="M38" i="4" s="1"/>
  <c r="E28" i="33"/>
  <c r="E38" i="4" s="1"/>
  <c r="BA24" i="33"/>
  <c r="AZ24" i="33"/>
  <c r="AY24" i="33"/>
  <c r="AX24" i="33"/>
  <c r="AW24" i="33"/>
  <c r="AV24" i="33"/>
  <c r="AU24" i="33"/>
  <c r="AT24" i="33"/>
  <c r="AS24" i="33"/>
  <c r="AR24" i="33"/>
  <c r="AQ24" i="33"/>
  <c r="AP24" i="33"/>
  <c r="AO24" i="33"/>
  <c r="AN24" i="33"/>
  <c r="AM24" i="33"/>
  <c r="AL24" i="33"/>
  <c r="AK24" i="33"/>
  <c r="AJ24" i="33"/>
  <c r="AI24" i="33"/>
  <c r="AH24" i="33"/>
  <c r="AG24" i="33"/>
  <c r="AF24" i="33"/>
  <c r="AE24" i="33"/>
  <c r="AC24" i="33"/>
  <c r="AB24" i="33"/>
  <c r="AA24" i="33"/>
  <c r="Z24" i="33"/>
  <c r="Y24" i="33"/>
  <c r="X24" i="33"/>
  <c r="W24" i="33"/>
  <c r="V24" i="33"/>
  <c r="U24" i="33"/>
  <c r="T24" i="33"/>
  <c r="S24" i="33"/>
  <c r="R24" i="33"/>
  <c r="Q24" i="33"/>
  <c r="P24" i="33"/>
  <c r="N24" i="33"/>
  <c r="L24" i="33"/>
  <c r="J24" i="33"/>
  <c r="I24" i="33"/>
  <c r="H24" i="33"/>
  <c r="G24" i="33"/>
  <c r="F24" i="33"/>
  <c r="E24" i="33"/>
  <c r="D24" i="33"/>
  <c r="C24" i="33"/>
  <c r="B24" i="33"/>
  <c r="BA23" i="33"/>
  <c r="AZ23" i="33"/>
  <c r="AY23" i="33"/>
  <c r="AX23" i="33"/>
  <c r="AW23" i="33"/>
  <c r="AV23" i="33"/>
  <c r="AU23" i="33"/>
  <c r="AT23" i="33"/>
  <c r="AS23" i="33"/>
  <c r="AR23" i="33"/>
  <c r="AQ23" i="33"/>
  <c r="AP23" i="33"/>
  <c r="AO23" i="33"/>
  <c r="AN23" i="33"/>
  <c r="AM23" i="33"/>
  <c r="AL23" i="33"/>
  <c r="AK23" i="33"/>
  <c r="AJ23" i="33"/>
  <c r="AI23" i="33"/>
  <c r="AH23" i="33"/>
  <c r="AG23" i="33"/>
  <c r="AF23" i="33"/>
  <c r="AE23" i="33"/>
  <c r="B28" i="33" s="1"/>
  <c r="B38" i="4" s="1"/>
  <c r="AC23" i="33"/>
  <c r="AB23" i="33"/>
  <c r="AA23" i="33"/>
  <c r="Z23" i="33"/>
  <c r="Y23" i="33"/>
  <c r="X23" i="33"/>
  <c r="W23" i="33"/>
  <c r="V23" i="33"/>
  <c r="U23" i="33"/>
  <c r="T23" i="33"/>
  <c r="S23" i="33"/>
  <c r="R23" i="33"/>
  <c r="Q23" i="33"/>
  <c r="P23" i="33"/>
  <c r="N23" i="33"/>
  <c r="L23" i="33"/>
  <c r="J23" i="33"/>
  <c r="I23" i="33"/>
  <c r="H23" i="33"/>
  <c r="G23" i="33"/>
  <c r="F23" i="33"/>
  <c r="E23" i="33"/>
  <c r="D23" i="33"/>
  <c r="C23" i="33"/>
  <c r="B23" i="33"/>
  <c r="A22" i="33"/>
  <c r="H22" i="33"/>
  <c r="G45" i="33"/>
  <c r="F27" i="33"/>
  <c r="F52" i="33" s="1"/>
  <c r="E45" i="33"/>
  <c r="D22" i="33"/>
  <c r="C45" i="33"/>
  <c r="B45" i="33"/>
  <c r="AN56" i="33"/>
  <c r="AG56" i="33"/>
  <c r="AL56" i="33"/>
  <c r="AU56" i="33"/>
  <c r="BA56" i="33"/>
  <c r="AR56" i="33"/>
  <c r="AM56" i="33"/>
  <c r="AK56" i="33"/>
  <c r="AY56" i="33"/>
  <c r="AP56" i="33"/>
  <c r="AJ56" i="33"/>
  <c r="AT56" i="33"/>
  <c r="AI56" i="33"/>
  <c r="AW56" i="33"/>
  <c r="AS56" i="33"/>
  <c r="AE56" i="33"/>
  <c r="AX56" i="33"/>
  <c r="AO56" i="33"/>
  <c r="AF56" i="33"/>
  <c r="AH56" i="33"/>
  <c r="AV56" i="33"/>
  <c r="AZ56" i="33"/>
  <c r="AQ56" i="33"/>
  <c r="F29" i="33" l="1"/>
  <c r="F39" i="4" s="1"/>
  <c r="K30" i="33"/>
  <c r="K40" i="4" s="1"/>
  <c r="J34" i="33"/>
  <c r="J44" i="4" s="1"/>
  <c r="C31" i="33"/>
  <c r="C41" i="4" s="1"/>
  <c r="L32" i="33"/>
  <c r="L42" i="4" s="1"/>
  <c r="E33" i="33"/>
  <c r="E43" i="4" s="1"/>
  <c r="AE34" i="33"/>
  <c r="O44" i="4" s="1"/>
  <c r="C35" i="33"/>
  <c r="C45" i="4" s="1"/>
  <c r="I33" i="33"/>
  <c r="I43" i="4" s="1"/>
  <c r="G35" i="33"/>
  <c r="G45" i="4" s="1"/>
  <c r="I28" i="33"/>
  <c r="I38" i="4" s="1"/>
  <c r="G30" i="33"/>
  <c r="G40" i="4" s="1"/>
  <c r="K31" i="33"/>
  <c r="K41" i="4" s="1"/>
  <c r="D32" i="33"/>
  <c r="D42" i="4" s="1"/>
  <c r="M33" i="33"/>
  <c r="M43" i="4" s="1"/>
  <c r="F34" i="33"/>
  <c r="F44" i="4" s="1"/>
  <c r="K35" i="33"/>
  <c r="K45" i="4" s="1"/>
  <c r="AE36" i="33"/>
  <c r="O46" i="4" s="1"/>
  <c r="AE37" i="33"/>
  <c r="O47" i="4" s="1"/>
  <c r="AE38" i="33"/>
  <c r="O48" i="4" s="1"/>
  <c r="AE39" i="33"/>
  <c r="O49" i="4" s="1"/>
  <c r="AE40" i="33"/>
  <c r="O50" i="4" s="1"/>
  <c r="AE41" i="33"/>
  <c r="O51" i="4" s="1"/>
  <c r="AE42" i="33"/>
  <c r="O52" i="4" s="1"/>
  <c r="AE43" i="33"/>
  <c r="O53" i="4" s="1"/>
  <c r="F28" i="33"/>
  <c r="J28" i="33"/>
  <c r="J38" i="4" s="1"/>
  <c r="N46" i="33"/>
  <c r="N53" i="33" s="1"/>
  <c r="AE28" i="33"/>
  <c r="C29" i="33"/>
  <c r="C39" i="4" s="1"/>
  <c r="G29" i="33"/>
  <c r="G39" i="4" s="1"/>
  <c r="K29" i="33"/>
  <c r="K39" i="4" s="1"/>
  <c r="D30" i="33"/>
  <c r="D40" i="4" s="1"/>
  <c r="H30" i="33"/>
  <c r="H40" i="4" s="1"/>
  <c r="L30" i="33"/>
  <c r="L40" i="4" s="1"/>
  <c r="D31" i="33"/>
  <c r="D41" i="4" s="1"/>
  <c r="H31" i="33"/>
  <c r="H41" i="4" s="1"/>
  <c r="L31" i="33"/>
  <c r="L41" i="4" s="1"/>
  <c r="E32" i="33"/>
  <c r="E42" i="4" s="1"/>
  <c r="I32" i="33"/>
  <c r="I42" i="4" s="1"/>
  <c r="M32" i="33"/>
  <c r="M42" i="4" s="1"/>
  <c r="F33" i="33"/>
  <c r="F43" i="4" s="1"/>
  <c r="J33" i="33"/>
  <c r="J43" i="4" s="1"/>
  <c r="AE33" i="33"/>
  <c r="O43" i="4" s="1"/>
  <c r="C34" i="33"/>
  <c r="C44" i="4" s="1"/>
  <c r="G34" i="33"/>
  <c r="G44" i="4" s="1"/>
  <c r="K34" i="33"/>
  <c r="K44" i="4" s="1"/>
  <c r="D35" i="33"/>
  <c r="D45" i="4" s="1"/>
  <c r="H35" i="33"/>
  <c r="H45" i="4" s="1"/>
  <c r="L35" i="33"/>
  <c r="L45" i="4" s="1"/>
  <c r="C28" i="33"/>
  <c r="G28" i="33"/>
  <c r="K28" i="33"/>
  <c r="K38" i="4" s="1"/>
  <c r="D29" i="33"/>
  <c r="D39" i="4" s="1"/>
  <c r="H29" i="33"/>
  <c r="H39" i="4" s="1"/>
  <c r="L29" i="33"/>
  <c r="L39" i="4" s="1"/>
  <c r="E30" i="33"/>
  <c r="E40" i="4" s="1"/>
  <c r="I30" i="33"/>
  <c r="I40" i="4" s="1"/>
  <c r="M30" i="33"/>
  <c r="M40" i="4" s="1"/>
  <c r="E31" i="33"/>
  <c r="E41" i="4" s="1"/>
  <c r="I31" i="33"/>
  <c r="I41" i="4" s="1"/>
  <c r="M31" i="33"/>
  <c r="M41" i="4" s="1"/>
  <c r="F32" i="33"/>
  <c r="F42" i="4" s="1"/>
  <c r="J32" i="33"/>
  <c r="J42" i="4" s="1"/>
  <c r="AE32" i="33"/>
  <c r="O42" i="4" s="1"/>
  <c r="C33" i="33"/>
  <c r="C43" i="4" s="1"/>
  <c r="G33" i="33"/>
  <c r="G43" i="4" s="1"/>
  <c r="K33" i="33"/>
  <c r="K43" i="4" s="1"/>
  <c r="D34" i="33"/>
  <c r="D44" i="4" s="1"/>
  <c r="H34" i="33"/>
  <c r="H44" i="4" s="1"/>
  <c r="L34" i="33"/>
  <c r="L44" i="4" s="1"/>
  <c r="E35" i="33"/>
  <c r="E45" i="4" s="1"/>
  <c r="I35" i="33"/>
  <c r="I45" i="4" s="1"/>
  <c r="M35" i="33"/>
  <c r="M45" i="4" s="1"/>
  <c r="D28" i="33"/>
  <c r="D38" i="4" s="1"/>
  <c r="H28" i="33"/>
  <c r="H38" i="4" s="1"/>
  <c r="L28" i="33"/>
  <c r="E29" i="33"/>
  <c r="E39" i="4" s="1"/>
  <c r="I29" i="33"/>
  <c r="I39" i="4" s="1"/>
  <c r="M29" i="33"/>
  <c r="M39" i="4" s="1"/>
  <c r="F30" i="33"/>
  <c r="F40" i="4" s="1"/>
  <c r="J30" i="33"/>
  <c r="J40" i="4" s="1"/>
  <c r="AE30" i="33"/>
  <c r="O40" i="4" s="1"/>
  <c r="F31" i="33"/>
  <c r="F41" i="4" s="1"/>
  <c r="J31" i="33"/>
  <c r="J41" i="4" s="1"/>
  <c r="AE31" i="33"/>
  <c r="O41" i="4" s="1"/>
  <c r="C32" i="33"/>
  <c r="C42" i="4" s="1"/>
  <c r="G32" i="33"/>
  <c r="G42" i="4" s="1"/>
  <c r="K32" i="33"/>
  <c r="K42" i="4" s="1"/>
  <c r="D33" i="33"/>
  <c r="D43" i="4" s="1"/>
  <c r="H33" i="33"/>
  <c r="H43" i="4" s="1"/>
  <c r="L33" i="33"/>
  <c r="L43" i="4" s="1"/>
  <c r="E34" i="33"/>
  <c r="E44" i="4" s="1"/>
  <c r="I34" i="33"/>
  <c r="I44" i="4" s="1"/>
  <c r="M34" i="33"/>
  <c r="M44" i="4" s="1"/>
  <c r="F35" i="33"/>
  <c r="F45" i="4" s="1"/>
  <c r="J35" i="33"/>
  <c r="J45" i="4" s="1"/>
  <c r="AE35" i="33"/>
  <c r="O45" i="4" s="1"/>
  <c r="B29" i="33"/>
  <c r="B39" i="4" s="1"/>
  <c r="B30" i="33"/>
  <c r="B40" i="4" s="1"/>
  <c r="B32" i="33"/>
  <c r="B42" i="4" s="1"/>
  <c r="B33" i="33"/>
  <c r="B43" i="4" s="1"/>
  <c r="B34" i="33"/>
  <c r="B44" i="4" s="1"/>
  <c r="B35" i="33"/>
  <c r="B45" i="4" s="1"/>
  <c r="U38" i="4"/>
  <c r="Y38" i="4"/>
  <c r="AK38" i="4"/>
  <c r="R38" i="4"/>
  <c r="V38" i="4"/>
  <c r="Z38" i="4"/>
  <c r="AD38" i="4"/>
  <c r="AH38" i="4"/>
  <c r="B22" i="33"/>
  <c r="E22" i="33"/>
  <c r="I45" i="33"/>
  <c r="I52" i="33"/>
  <c r="I27" i="33"/>
  <c r="C38" i="4"/>
  <c r="G38" i="4"/>
  <c r="G47" i="33"/>
  <c r="G48" i="33" s="1"/>
  <c r="G54" i="33" s="1"/>
  <c r="K47" i="33"/>
  <c r="K48" i="33" s="1"/>
  <c r="K54" i="33" s="1"/>
  <c r="K46" i="33"/>
  <c r="K53" i="33" s="1"/>
  <c r="O46" i="33"/>
  <c r="O53" i="33" s="1"/>
  <c r="O47" i="33"/>
  <c r="O48" i="33" s="1"/>
  <c r="O54" i="33" s="1"/>
  <c r="S46" i="33"/>
  <c r="S53" i="33" s="1"/>
  <c r="S47" i="33"/>
  <c r="S48" i="33" s="1"/>
  <c r="S54" i="33" s="1"/>
  <c r="W46" i="33"/>
  <c r="W53" i="33" s="1"/>
  <c r="W47" i="33"/>
  <c r="W48" i="33" s="1"/>
  <c r="W54" i="33" s="1"/>
  <c r="AA47" i="33"/>
  <c r="AA48" i="33" s="1"/>
  <c r="AA54" i="33" s="1"/>
  <c r="AA46" i="33"/>
  <c r="AA53" i="33" s="1"/>
  <c r="AF46" i="33"/>
  <c r="AF53" i="33" s="1"/>
  <c r="P38" i="4"/>
  <c r="AF47" i="33"/>
  <c r="AF48" i="33" s="1"/>
  <c r="AF54" i="33" s="1"/>
  <c r="T38" i="4"/>
  <c r="AJ46" i="33"/>
  <c r="AJ53" i="33" s="1"/>
  <c r="AJ47" i="33"/>
  <c r="AJ48" i="33" s="1"/>
  <c r="AJ54" i="33" s="1"/>
  <c r="X38" i="4"/>
  <c r="AN47" i="33"/>
  <c r="AN48" i="33" s="1"/>
  <c r="AN54" i="33" s="1"/>
  <c r="AN46" i="33"/>
  <c r="AN53" i="33" s="1"/>
  <c r="AR47" i="33"/>
  <c r="AR48" i="33" s="1"/>
  <c r="AR54" i="33" s="1"/>
  <c r="AB38" i="4"/>
  <c r="AR46" i="33"/>
  <c r="AR53" i="33" s="1"/>
  <c r="AV46" i="33"/>
  <c r="AV53" i="33" s="1"/>
  <c r="AF38" i="4"/>
  <c r="AV47" i="33"/>
  <c r="AV48" i="33" s="1"/>
  <c r="AV54" i="33" s="1"/>
  <c r="AJ38" i="4"/>
  <c r="AZ46" i="33"/>
  <c r="AZ53" i="33" s="1"/>
  <c r="AZ47" i="33"/>
  <c r="AZ48" i="33" s="1"/>
  <c r="AZ54" i="33" s="1"/>
  <c r="B27" i="33"/>
  <c r="B52" i="33" s="1"/>
  <c r="L38" i="4"/>
  <c r="P47" i="33"/>
  <c r="P48" i="33" s="1"/>
  <c r="P54" i="33" s="1"/>
  <c r="AB46" i="33"/>
  <c r="AB53" i="33" s="1"/>
  <c r="AG47" i="33"/>
  <c r="AG48" i="33" s="1"/>
  <c r="AG54" i="33" s="1"/>
  <c r="Q38" i="4"/>
  <c r="AS46" i="33"/>
  <c r="AS53" i="33" s="1"/>
  <c r="AC38" i="4"/>
  <c r="AW47" i="33"/>
  <c r="AW48" i="33" s="1"/>
  <c r="AW54" i="33" s="1"/>
  <c r="AG38" i="4"/>
  <c r="D27" i="33"/>
  <c r="D52" i="33" s="1"/>
  <c r="I22" i="33"/>
  <c r="E27" i="33"/>
  <c r="E52" i="33" s="1"/>
  <c r="F38" i="4"/>
  <c r="F47" i="33"/>
  <c r="F48" i="33" s="1"/>
  <c r="F54" i="33" s="1"/>
  <c r="J47" i="33"/>
  <c r="J48" i="33" s="1"/>
  <c r="J54" i="33" s="1"/>
  <c r="N47" i="33"/>
  <c r="N48" i="33" s="1"/>
  <c r="N54" i="33" s="1"/>
  <c r="R46" i="33"/>
  <c r="R53" i="33" s="1"/>
  <c r="R47" i="33"/>
  <c r="R48" i="33" s="1"/>
  <c r="R54" i="33" s="1"/>
  <c r="V47" i="33"/>
  <c r="V48" i="33" s="1"/>
  <c r="V54" i="33" s="1"/>
  <c r="V46" i="33"/>
  <c r="V53" i="33" s="1"/>
  <c r="Z46" i="33"/>
  <c r="Z53" i="33" s="1"/>
  <c r="Z47" i="33"/>
  <c r="Z48" i="33" s="1"/>
  <c r="Z54" i="33" s="1"/>
  <c r="O38" i="4"/>
  <c r="S38" i="4"/>
  <c r="AI46" i="33"/>
  <c r="AI53" i="33" s="1"/>
  <c r="AI47" i="33"/>
  <c r="AI48" i="33" s="1"/>
  <c r="AI54" i="33" s="1"/>
  <c r="W38" i="4"/>
  <c r="AM46" i="33"/>
  <c r="AM53" i="33" s="1"/>
  <c r="AM47" i="33"/>
  <c r="AM48" i="33" s="1"/>
  <c r="AM54" i="33" s="1"/>
  <c r="AA38" i="4"/>
  <c r="AQ46" i="33"/>
  <c r="AQ53" i="33" s="1"/>
  <c r="AQ47" i="33"/>
  <c r="AQ48" i="33" s="1"/>
  <c r="AQ54" i="33" s="1"/>
  <c r="AE38" i="4"/>
  <c r="AU46" i="33"/>
  <c r="AU53" i="33" s="1"/>
  <c r="AU47" i="33"/>
  <c r="AU48" i="33" s="1"/>
  <c r="AU54" i="33" s="1"/>
  <c r="AI38" i="4"/>
  <c r="AY47" i="33"/>
  <c r="AY48" i="33" s="1"/>
  <c r="AY54" i="33" s="1"/>
  <c r="AY46" i="33"/>
  <c r="AY53" i="33" s="1"/>
  <c r="D45" i="33"/>
  <c r="G57" i="33"/>
  <c r="N57" i="33"/>
  <c r="T57" i="33"/>
  <c r="AB57" i="33"/>
  <c r="AJ57" i="33"/>
  <c r="AQ57" i="33"/>
  <c r="AY57" i="33"/>
  <c r="H57" i="33"/>
  <c r="O57" i="33"/>
  <c r="W57" i="33"/>
  <c r="AE57" i="33"/>
  <c r="AK57" i="33"/>
  <c r="AS57" i="33"/>
  <c r="AZ57" i="33"/>
  <c r="C57" i="33"/>
  <c r="J57" i="33"/>
  <c r="R57" i="33"/>
  <c r="X57" i="33"/>
  <c r="AF57" i="33"/>
  <c r="AN57" i="33"/>
  <c r="AU57" i="33"/>
  <c r="BA57" i="33"/>
  <c r="D57" i="33"/>
  <c r="L57" i="33"/>
  <c r="S57" i="33"/>
  <c r="Z57" i="33"/>
  <c r="AI57" i="33"/>
  <c r="AO57" i="33"/>
  <c r="AV57" i="33"/>
  <c r="F57" i="33"/>
  <c r="K57" i="33"/>
  <c r="P57" i="33"/>
  <c r="V57" i="33"/>
  <c r="AA57" i="33"/>
  <c r="AG57" i="33"/>
  <c r="AM57" i="33"/>
  <c r="AR57" i="33"/>
  <c r="AW57" i="33"/>
  <c r="B57" i="33"/>
  <c r="E57" i="33"/>
  <c r="I57" i="33"/>
  <c r="M57" i="33"/>
  <c r="Q57" i="33"/>
  <c r="U57" i="33"/>
  <c r="Y57" i="33"/>
  <c r="AC57" i="33"/>
  <c r="AH57" i="33"/>
  <c r="AL57" i="33"/>
  <c r="AP57" i="33"/>
  <c r="AT57" i="33"/>
  <c r="AX57" i="33"/>
  <c r="D47" i="33"/>
  <c r="D48" i="33" s="1"/>
  <c r="D54" i="33" s="1"/>
  <c r="H46" i="33"/>
  <c r="H53" i="33" s="1"/>
  <c r="H47" i="33"/>
  <c r="H48" i="33" s="1"/>
  <c r="H54" i="33" s="1"/>
  <c r="T46" i="33"/>
  <c r="T53" i="33" s="1"/>
  <c r="T47" i="33"/>
  <c r="T48" i="33" s="1"/>
  <c r="T54" i="33" s="1"/>
  <c r="X46" i="33"/>
  <c r="X53" i="33" s="1"/>
  <c r="X47" i="33"/>
  <c r="X48" i="33" s="1"/>
  <c r="X54" i="33" s="1"/>
  <c r="AK46" i="33"/>
  <c r="AK53" i="33" s="1"/>
  <c r="AK47" i="33"/>
  <c r="AK48" i="33" s="1"/>
  <c r="AK54" i="33" s="1"/>
  <c r="AO46" i="33"/>
  <c r="AO53" i="33" s="1"/>
  <c r="AO47" i="33"/>
  <c r="AO48" i="33" s="1"/>
  <c r="AO54" i="33" s="1"/>
  <c r="BA46" i="33"/>
  <c r="BA53" i="33" s="1"/>
  <c r="BA47" i="33"/>
  <c r="BA48" i="33" s="1"/>
  <c r="BA54" i="33" s="1"/>
  <c r="P46" i="33"/>
  <c r="P53" i="33" s="1"/>
  <c r="AG46" i="33"/>
  <c r="AG53" i="33" s="1"/>
  <c r="AW46" i="33"/>
  <c r="AW53" i="33" s="1"/>
  <c r="L47" i="33"/>
  <c r="L48" i="33" s="1"/>
  <c r="L54" i="33" s="1"/>
  <c r="AB47" i="33"/>
  <c r="AB48" i="33" s="1"/>
  <c r="AB54" i="33" s="1"/>
  <c r="AS47" i="33"/>
  <c r="AS48" i="33" s="1"/>
  <c r="AS54" i="33" s="1"/>
  <c r="F22" i="33"/>
  <c r="B47" i="33"/>
  <c r="B46" i="33"/>
  <c r="E47" i="33"/>
  <c r="E48" i="33" s="1"/>
  <c r="E54" i="33" s="1"/>
  <c r="I47" i="33"/>
  <c r="I48" i="33" s="1"/>
  <c r="I54" i="33" s="1"/>
  <c r="I46" i="33"/>
  <c r="I53" i="33" s="1"/>
  <c r="M47" i="33"/>
  <c r="M48" i="33" s="1"/>
  <c r="M54" i="33" s="1"/>
  <c r="Q47" i="33"/>
  <c r="Q48" i="33" s="1"/>
  <c r="Q54" i="33" s="1"/>
  <c r="Q46" i="33"/>
  <c r="Q53" i="33" s="1"/>
  <c r="U47" i="33"/>
  <c r="U48" i="33" s="1"/>
  <c r="U54" i="33" s="1"/>
  <c r="U46" i="33"/>
  <c r="U53" i="33" s="1"/>
  <c r="Y47" i="33"/>
  <c r="Y48" i="33" s="1"/>
  <c r="Y54" i="33" s="1"/>
  <c r="Y46" i="33"/>
  <c r="Y53" i="33" s="1"/>
  <c r="AC47" i="33"/>
  <c r="AC48" i="33" s="1"/>
  <c r="AC54" i="33" s="1"/>
  <c r="AC46" i="33"/>
  <c r="AC53" i="33" s="1"/>
  <c r="AH47" i="33"/>
  <c r="AH48" i="33" s="1"/>
  <c r="AH54" i="33" s="1"/>
  <c r="AH46" i="33"/>
  <c r="AH53" i="33" s="1"/>
  <c r="AL47" i="33"/>
  <c r="AL48" i="33" s="1"/>
  <c r="AL54" i="33" s="1"/>
  <c r="AL46" i="33"/>
  <c r="AL53" i="33" s="1"/>
  <c r="AP47" i="33"/>
  <c r="AP48" i="33" s="1"/>
  <c r="AP54" i="33" s="1"/>
  <c r="AP46" i="33"/>
  <c r="AP53" i="33" s="1"/>
  <c r="AT47" i="33"/>
  <c r="AT48" i="33" s="1"/>
  <c r="AT54" i="33" s="1"/>
  <c r="AT46" i="33"/>
  <c r="AT53" i="33" s="1"/>
  <c r="AX47" i="33"/>
  <c r="AX48" i="33" s="1"/>
  <c r="AX54" i="33" s="1"/>
  <c r="AX46" i="33"/>
  <c r="AX53" i="33" s="1"/>
  <c r="F45" i="33"/>
  <c r="G22" i="33"/>
  <c r="G27" i="33"/>
  <c r="G52" i="33" s="1"/>
  <c r="C22" i="33"/>
  <c r="C27" i="33"/>
  <c r="C52" i="33" s="1"/>
  <c r="H27" i="33"/>
  <c r="H52" i="33" s="1"/>
  <c r="H45" i="33"/>
  <c r="C46" i="33" l="1"/>
  <c r="C53" i="33" s="1"/>
  <c r="AE46" i="33"/>
  <c r="AE53" i="33" s="1"/>
  <c r="AE55" i="33" s="1"/>
  <c r="J46" i="33"/>
  <c r="J53" i="33" s="1"/>
  <c r="G46" i="33"/>
  <c r="G53" i="33" s="1"/>
  <c r="L46" i="33"/>
  <c r="L53" i="33" s="1"/>
  <c r="M46" i="33"/>
  <c r="M53" i="33" s="1"/>
  <c r="E46" i="33"/>
  <c r="E53" i="33" s="1"/>
  <c r="D46" i="33"/>
  <c r="D53" i="33" s="1"/>
  <c r="AQ55" i="33"/>
  <c r="AG55" i="33"/>
  <c r="AE47" i="33"/>
  <c r="AE48" i="33" s="1"/>
  <c r="AE54" i="33" s="1"/>
  <c r="C47" i="33"/>
  <c r="C48" i="33" s="1"/>
  <c r="C54" i="33" s="1"/>
  <c r="AI55" i="33"/>
  <c r="F46" i="33"/>
  <c r="F53" i="33" s="1"/>
  <c r="B48" i="33"/>
  <c r="B54" i="33" s="1"/>
  <c r="AT55" i="33"/>
  <c r="AL55" i="33"/>
  <c r="AW55" i="33"/>
  <c r="BA55" i="33"/>
  <c r="AK55" i="33"/>
  <c r="AM55" i="33"/>
  <c r="AZ55" i="33"/>
  <c r="AV55" i="33"/>
  <c r="AN55" i="33"/>
  <c r="AJ55" i="33"/>
  <c r="AF55" i="33"/>
  <c r="AX55" i="33"/>
  <c r="AP55" i="33"/>
  <c r="AH55" i="33"/>
  <c r="AO55" i="33"/>
  <c r="AY55" i="33"/>
  <c r="AU55" i="33"/>
  <c r="AS55" i="33"/>
  <c r="AR55" i="33"/>
  <c r="AE59" i="33"/>
  <c r="Z59" i="33"/>
  <c r="V59" i="33"/>
  <c r="R59" i="33"/>
  <c r="N59" i="33"/>
  <c r="J59" i="33"/>
  <c r="F59" i="33"/>
  <c r="Y59" i="33"/>
  <c r="T59" i="33"/>
  <c r="O59" i="33"/>
  <c r="I59" i="33"/>
  <c r="D59" i="33"/>
  <c r="AC59" i="33"/>
  <c r="W59" i="33"/>
  <c r="P59" i="33"/>
  <c r="H59" i="33"/>
  <c r="AB59" i="33"/>
  <c r="U59" i="33"/>
  <c r="M59" i="33"/>
  <c r="G59" i="33"/>
  <c r="AA59" i="33"/>
  <c r="S59" i="33"/>
  <c r="L59" i="33"/>
  <c r="E59" i="33"/>
  <c r="X59" i="33"/>
  <c r="Q59" i="33"/>
  <c r="K59" i="33"/>
  <c r="C59" i="33"/>
  <c r="AY59" i="33"/>
  <c r="AU59" i="33"/>
  <c r="AQ59" i="33"/>
  <c r="AM59" i="33"/>
  <c r="AI59" i="33"/>
  <c r="BA59" i="33"/>
  <c r="AV59" i="33"/>
  <c r="AP59" i="33"/>
  <c r="AK59" i="33"/>
  <c r="AF59" i="33"/>
  <c r="AZ59" i="33"/>
  <c r="AS59" i="33"/>
  <c r="AL59" i="33"/>
  <c r="AX59" i="33"/>
  <c r="AR59" i="33"/>
  <c r="AJ59" i="33"/>
  <c r="AW59" i="33"/>
  <c r="AO59" i="33"/>
  <c r="AH59" i="33"/>
  <c r="AT59" i="33"/>
  <c r="AN59" i="33"/>
  <c r="AG59" i="33"/>
  <c r="B53" i="33"/>
  <c r="B65" i="33"/>
  <c r="B64" i="33"/>
  <c r="M55" i="33" l="1"/>
  <c r="AL60" i="33"/>
  <c r="AL61" i="33" s="1"/>
  <c r="AY60" i="33"/>
  <c r="AY61" i="33" s="1"/>
  <c r="AW60" i="33"/>
  <c r="AW61" i="33" s="1"/>
  <c r="AI60" i="33"/>
  <c r="AI61" i="33" s="1"/>
  <c r="AT60" i="33"/>
  <c r="AT61" i="33" s="1"/>
  <c r="AN60" i="33"/>
  <c r="AN61" i="33" s="1"/>
  <c r="AK60" i="33"/>
  <c r="AK61" i="33" s="1"/>
  <c r="AJ60" i="33"/>
  <c r="AJ61" i="33" s="1"/>
  <c r="AS60" i="33"/>
  <c r="AS61" i="33" s="1"/>
  <c r="AP60" i="33"/>
  <c r="AP61" i="33" s="1"/>
  <c r="AM60" i="33"/>
  <c r="AM61" i="33" s="1"/>
  <c r="AH60" i="33"/>
  <c r="AH61" i="33" s="1"/>
  <c r="AR60" i="33"/>
  <c r="AR61" i="33" s="1"/>
  <c r="AZ60" i="33"/>
  <c r="AZ61" i="33" s="1"/>
  <c r="AV60" i="33"/>
  <c r="AV61" i="33" s="1"/>
  <c r="AQ60" i="33"/>
  <c r="AQ61" i="33" s="1"/>
  <c r="AG60" i="33"/>
  <c r="AG61" i="33" s="1"/>
  <c r="AO60" i="33"/>
  <c r="AO61" i="33" s="1"/>
  <c r="AX60" i="33"/>
  <c r="AX61" i="33" s="1"/>
  <c r="AF60" i="33"/>
  <c r="AF61" i="33" s="1"/>
  <c r="BA60" i="33"/>
  <c r="BA61" i="33" s="1"/>
  <c r="AU60" i="33"/>
  <c r="AU61" i="33" s="1"/>
  <c r="AA60" i="33"/>
  <c r="AA61" i="33" s="1"/>
  <c r="AB60" i="33"/>
  <c r="AB61" i="33" s="1"/>
  <c r="AC60" i="33"/>
  <c r="AC61" i="33" s="1"/>
  <c r="T60" i="33"/>
  <c r="T61" i="33" s="1"/>
  <c r="J60" i="33"/>
  <c r="J61" i="33" s="1"/>
  <c r="Z60" i="33"/>
  <c r="Z61" i="33" s="1"/>
  <c r="C60" i="33"/>
  <c r="C61" i="33" s="1"/>
  <c r="E60" i="33"/>
  <c r="E61" i="33" s="1"/>
  <c r="G60" i="33"/>
  <c r="G61" i="33" s="1"/>
  <c r="H60" i="33"/>
  <c r="H61" i="33" s="1"/>
  <c r="D60" i="33"/>
  <c r="D61" i="33" s="1"/>
  <c r="Y60" i="33"/>
  <c r="Y61" i="33" s="1"/>
  <c r="N60" i="33"/>
  <c r="N61" i="33" s="1"/>
  <c r="AE60" i="33"/>
  <c r="AE61" i="33" s="1"/>
  <c r="X60" i="33"/>
  <c r="X61" i="33" s="1"/>
  <c r="K60" i="33"/>
  <c r="K61" i="33" s="1"/>
  <c r="L60" i="33"/>
  <c r="L61" i="33" s="1"/>
  <c r="M60" i="33"/>
  <c r="M61" i="33" s="1"/>
  <c r="P60" i="33"/>
  <c r="P61" i="33" s="1"/>
  <c r="I60" i="33"/>
  <c r="I61" i="33" s="1"/>
  <c r="R60" i="33"/>
  <c r="R61" i="33" s="1"/>
  <c r="Q60" i="33"/>
  <c r="Q61" i="33" s="1"/>
  <c r="S60" i="33"/>
  <c r="S61" i="33" s="1"/>
  <c r="U60" i="33"/>
  <c r="U61" i="33" s="1"/>
  <c r="W60" i="33"/>
  <c r="W61" i="33" s="1"/>
  <c r="O60" i="33"/>
  <c r="O61" i="33" s="1"/>
  <c r="F60" i="33"/>
  <c r="F61" i="33" s="1"/>
  <c r="V60" i="33"/>
  <c r="V61" i="33" s="1"/>
  <c r="P55" i="33"/>
  <c r="D55" i="33"/>
  <c r="B55" i="33"/>
  <c r="K55" i="33"/>
  <c r="L55" i="33"/>
  <c r="Z55" i="33"/>
  <c r="R55" i="33"/>
  <c r="AA55" i="33"/>
  <c r="N55" i="33"/>
  <c r="AB55" i="33"/>
  <c r="G55" i="33"/>
  <c r="F55" i="33"/>
  <c r="C55" i="33"/>
  <c r="O55" i="33"/>
  <c r="V55" i="33"/>
  <c r="W55" i="33"/>
  <c r="S55" i="33"/>
  <c r="J55" i="33"/>
  <c r="U55" i="33"/>
  <c r="AC55" i="33"/>
  <c r="H55" i="33"/>
  <c r="Q55" i="33"/>
  <c r="X55" i="33"/>
  <c r="T55" i="33"/>
  <c r="I55" i="33"/>
  <c r="E55" i="33"/>
  <c r="Y55" i="33"/>
  <c r="M4" i="33" l="1"/>
  <c r="N4" i="33"/>
  <c r="O4" i="33"/>
  <c r="P4" i="33"/>
  <c r="Q4" i="33"/>
  <c r="R4" i="33"/>
  <c r="S4" i="33"/>
  <c r="T4" i="33"/>
  <c r="U4" i="33"/>
  <c r="V4" i="33"/>
  <c r="W4" i="33"/>
  <c r="X4" i="33"/>
  <c r="Y4" i="33"/>
  <c r="Z4" i="33"/>
  <c r="AA4" i="33"/>
  <c r="AB4" i="33"/>
  <c r="AC4" i="33"/>
  <c r="L4" i="33" l="1"/>
  <c r="L22" i="33" s="1"/>
  <c r="K4" i="33"/>
  <c r="K22" i="33" s="1"/>
  <c r="J4" i="33"/>
  <c r="J52" i="33" s="1"/>
  <c r="AB27" i="33"/>
  <c r="AB45" i="33"/>
  <c r="AB52" i="33"/>
  <c r="AB22" i="33"/>
  <c r="AC45" i="33"/>
  <c r="AC52" i="33"/>
  <c r="AC22" i="33"/>
  <c r="AC27" i="33"/>
  <c r="Y45" i="33"/>
  <c r="Y52" i="33"/>
  <c r="Y22" i="33"/>
  <c r="Y27" i="33"/>
  <c r="U45" i="33"/>
  <c r="U52" i="33"/>
  <c r="U22" i="33"/>
  <c r="U27" i="33"/>
  <c r="Q45" i="33"/>
  <c r="Q52" i="33"/>
  <c r="Q27" i="33"/>
  <c r="Q22" i="33"/>
  <c r="M45" i="33"/>
  <c r="M52" i="33"/>
  <c r="M27" i="33"/>
  <c r="M22" i="33"/>
  <c r="X22" i="33"/>
  <c r="X27" i="33"/>
  <c r="X52" i="33"/>
  <c r="X45" i="33"/>
  <c r="T27" i="33"/>
  <c r="T45" i="33"/>
  <c r="T52" i="33"/>
  <c r="T22" i="33"/>
  <c r="P27" i="33"/>
  <c r="P45" i="33"/>
  <c r="P22" i="33"/>
  <c r="P52" i="33"/>
  <c r="AA52" i="33"/>
  <c r="AA45" i="33"/>
  <c r="AA27" i="33"/>
  <c r="AA22" i="33"/>
  <c r="W45" i="33"/>
  <c r="W52" i="33"/>
  <c r="W22" i="33"/>
  <c r="W27" i="33"/>
  <c r="S45" i="33"/>
  <c r="S52" i="33"/>
  <c r="S27" i="33"/>
  <c r="S22" i="33"/>
  <c r="O52" i="33"/>
  <c r="O45" i="33"/>
  <c r="O22" i="33"/>
  <c r="O27" i="33"/>
  <c r="K45" i="33"/>
  <c r="Z27" i="33"/>
  <c r="Z22" i="33"/>
  <c r="Z45" i="33"/>
  <c r="Z52" i="33"/>
  <c r="V27" i="33"/>
  <c r="V22" i="33"/>
  <c r="V45" i="33"/>
  <c r="V52" i="33"/>
  <c r="R27" i="33"/>
  <c r="R52" i="33"/>
  <c r="R45" i="33"/>
  <c r="R22" i="33"/>
  <c r="N27" i="33"/>
  <c r="N52" i="33"/>
  <c r="N22" i="33"/>
  <c r="N45" i="33"/>
  <c r="K52" i="33" l="1"/>
  <c r="K27" i="33"/>
  <c r="AE4" i="33"/>
  <c r="AE4" i="23"/>
  <c r="AE4" i="1"/>
  <c r="AG4" i="1"/>
  <c r="AG4" i="33"/>
  <c r="AG4" i="23"/>
  <c r="AF4" i="33"/>
  <c r="AF4" i="23"/>
  <c r="AF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AG22" i="33" l="1"/>
  <c r="AG45" i="33"/>
  <c r="AG27" i="33"/>
  <c r="AG52" i="33" s="1"/>
  <c r="AE27" i="33"/>
  <c r="AE52" i="33" s="1"/>
  <c r="AE22" i="33"/>
  <c r="AE45" i="33"/>
  <c r="AF22" i="33"/>
  <c r="AF45" i="33"/>
  <c r="AF27" i="33"/>
  <c r="AF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N4" i="1"/>
  <c r="N45" i="1" s="1"/>
  <c r="H14" i="22"/>
  <c r="H24" i="22"/>
  <c r="AB4" i="23"/>
  <c r="AB52" i="23" s="1"/>
  <c r="H26" i="22"/>
  <c r="B3" i="12"/>
  <c r="Q9" i="12" s="1"/>
  <c r="Q10" i="12" s="1"/>
  <c r="AF22" i="1"/>
  <c r="AG45" i="1"/>
  <c r="AF28" i="23"/>
  <c r="AG28" i="23"/>
  <c r="AH28" i="23"/>
  <c r="AI28" i="23"/>
  <c r="S22" i="4" s="1"/>
  <c r="AJ28" i="23"/>
  <c r="AK28" i="23"/>
  <c r="AL28" i="23"/>
  <c r="AM28" i="23"/>
  <c r="W22" i="4" s="1"/>
  <c r="AN28" i="23"/>
  <c r="AO28" i="23"/>
  <c r="AP28" i="23"/>
  <c r="AQ28" i="23"/>
  <c r="AA22" i="4" s="1"/>
  <c r="AR28" i="23"/>
  <c r="AS28" i="23"/>
  <c r="AT28" i="23"/>
  <c r="AU28" i="23"/>
  <c r="AE22" i="4" s="1"/>
  <c r="AV28" i="23"/>
  <c r="AW28" i="23"/>
  <c r="AX28" i="23"/>
  <c r="AY28" i="23"/>
  <c r="AZ28" i="23"/>
  <c r="BA28" i="23"/>
  <c r="AF29" i="23"/>
  <c r="AG29" i="23"/>
  <c r="Q23" i="4" s="1"/>
  <c r="AH29" i="23"/>
  <c r="R23" i="4" s="1"/>
  <c r="AI29" i="23"/>
  <c r="S23" i="4" s="1"/>
  <c r="AJ29" i="23"/>
  <c r="T23" i="4" s="1"/>
  <c r="AK29" i="23"/>
  <c r="U23" i="4" s="1"/>
  <c r="AL29" i="23"/>
  <c r="V23" i="4" s="1"/>
  <c r="AM29" i="23"/>
  <c r="W23" i="4" s="1"/>
  <c r="AN29" i="23"/>
  <c r="X23" i="4" s="1"/>
  <c r="AO29" i="23"/>
  <c r="Y23" i="4" s="1"/>
  <c r="AP29" i="23"/>
  <c r="Z23" i="4" s="1"/>
  <c r="AQ29" i="23"/>
  <c r="AR29" i="23"/>
  <c r="AS29" i="23"/>
  <c r="AC23" i="4" s="1"/>
  <c r="AT29" i="23"/>
  <c r="AD23" i="4" s="1"/>
  <c r="AU29" i="23"/>
  <c r="AE23" i="4" s="1"/>
  <c r="AV29" i="23"/>
  <c r="AF23" i="4" s="1"/>
  <c r="AW29" i="23"/>
  <c r="AG23" i="4" s="1"/>
  <c r="AX29" i="23"/>
  <c r="AH23" i="4" s="1"/>
  <c r="AY29" i="23"/>
  <c r="AI23" i="4" s="1"/>
  <c r="AZ29" i="23"/>
  <c r="AJ23" i="4" s="1"/>
  <c r="BA29" i="23"/>
  <c r="AK23" i="4" s="1"/>
  <c r="AF30" i="23"/>
  <c r="AG30" i="23"/>
  <c r="Q24" i="4" s="1"/>
  <c r="AH30" i="23"/>
  <c r="R24" i="4" s="1"/>
  <c r="AI30" i="23"/>
  <c r="S24" i="4" s="1"/>
  <c r="AJ30" i="23"/>
  <c r="T24" i="4" s="1"/>
  <c r="AK30" i="23"/>
  <c r="U24" i="4" s="1"/>
  <c r="AL30" i="23"/>
  <c r="V24" i="4" s="1"/>
  <c r="AM30" i="23"/>
  <c r="W24" i="4" s="1"/>
  <c r="AN30" i="23"/>
  <c r="AO30" i="23"/>
  <c r="Y24" i="4" s="1"/>
  <c r="AP30" i="23"/>
  <c r="Z24" i="4" s="1"/>
  <c r="AQ30" i="23"/>
  <c r="AA24" i="4" s="1"/>
  <c r="AR30" i="23"/>
  <c r="AS30" i="23"/>
  <c r="AC24" i="4" s="1"/>
  <c r="AT30" i="23"/>
  <c r="AD24" i="4" s="1"/>
  <c r="AU30" i="23"/>
  <c r="AE24" i="4" s="1"/>
  <c r="AV30" i="23"/>
  <c r="AF24" i="4" s="1"/>
  <c r="AW30" i="23"/>
  <c r="AG24" i="4" s="1"/>
  <c r="AX30" i="23"/>
  <c r="AH24" i="4" s="1"/>
  <c r="AY30" i="23"/>
  <c r="AI24" i="4" s="1"/>
  <c r="AZ30" i="23"/>
  <c r="AJ24" i="4" s="1"/>
  <c r="BA30" i="23"/>
  <c r="AK24" i="4" s="1"/>
  <c r="AF31" i="23"/>
  <c r="P25" i="4" s="1"/>
  <c r="AG31" i="23"/>
  <c r="Q25" i="4" s="1"/>
  <c r="AH31" i="23"/>
  <c r="R25" i="4" s="1"/>
  <c r="AI31" i="23"/>
  <c r="S25" i="4" s="1"/>
  <c r="AJ31" i="23"/>
  <c r="T25" i="4" s="1"/>
  <c r="AK31" i="23"/>
  <c r="U25" i="4" s="1"/>
  <c r="AL31" i="23"/>
  <c r="AM31" i="23"/>
  <c r="W25" i="4" s="1"/>
  <c r="AN31" i="23"/>
  <c r="X25" i="4" s="1"/>
  <c r="AO31" i="23"/>
  <c r="Y25" i="4" s="1"/>
  <c r="AP31" i="23"/>
  <c r="AQ31" i="23"/>
  <c r="AA25" i="4" s="1"/>
  <c r="AR31" i="23"/>
  <c r="AB25" i="4" s="1"/>
  <c r="AS31" i="23"/>
  <c r="AC25" i="4" s="1"/>
  <c r="AT31" i="23"/>
  <c r="AD25" i="4" s="1"/>
  <c r="AU31" i="23"/>
  <c r="AE25" i="4" s="1"/>
  <c r="AV31" i="23"/>
  <c r="AF25" i="4" s="1"/>
  <c r="AW31" i="23"/>
  <c r="AG25" i="4" s="1"/>
  <c r="AX31" i="23"/>
  <c r="AH25" i="4" s="1"/>
  <c r="AY31" i="23"/>
  <c r="AI25" i="4" s="1"/>
  <c r="AZ31" i="23"/>
  <c r="AJ25" i="4" s="1"/>
  <c r="BA31" i="23"/>
  <c r="AK25" i="4" s="1"/>
  <c r="AF32" i="23"/>
  <c r="P26" i="4" s="1"/>
  <c r="AG32" i="23"/>
  <c r="Q26" i="4" s="1"/>
  <c r="AH32" i="23"/>
  <c r="R26" i="4" s="1"/>
  <c r="AI32" i="23"/>
  <c r="S26" i="4" s="1"/>
  <c r="AJ32" i="23"/>
  <c r="T26" i="4" s="1"/>
  <c r="AK32" i="23"/>
  <c r="U26" i="4" s="1"/>
  <c r="AL32" i="23"/>
  <c r="V26" i="4" s="1"/>
  <c r="AM32" i="23"/>
  <c r="W26" i="4" s="1"/>
  <c r="AN32" i="23"/>
  <c r="AO32" i="23"/>
  <c r="Y26" i="4" s="1"/>
  <c r="AP32" i="23"/>
  <c r="Z26" i="4" s="1"/>
  <c r="AQ32" i="23"/>
  <c r="AA26" i="4" s="1"/>
  <c r="AR32" i="23"/>
  <c r="AB26" i="4" s="1"/>
  <c r="AS32" i="23"/>
  <c r="AC26" i="4" s="1"/>
  <c r="AT32" i="23"/>
  <c r="AD26" i="4" s="1"/>
  <c r="AU32" i="23"/>
  <c r="AE26" i="4" s="1"/>
  <c r="AV32" i="23"/>
  <c r="AF26" i="4" s="1"/>
  <c r="AW32" i="23"/>
  <c r="AG26" i="4" s="1"/>
  <c r="AX32" i="23"/>
  <c r="AH26" i="4" s="1"/>
  <c r="AY32" i="23"/>
  <c r="AI26" i="4" s="1"/>
  <c r="AZ32" i="23"/>
  <c r="AJ26" i="4" s="1"/>
  <c r="BA32" i="23"/>
  <c r="AK26" i="4" s="1"/>
  <c r="AF33" i="23"/>
  <c r="P27" i="4" s="1"/>
  <c r="AG33" i="23"/>
  <c r="Q27" i="4" s="1"/>
  <c r="AH33" i="23"/>
  <c r="R27" i="4" s="1"/>
  <c r="AI33" i="23"/>
  <c r="S27" i="4" s="1"/>
  <c r="AJ33" i="23"/>
  <c r="AK33" i="23"/>
  <c r="U27" i="4" s="1"/>
  <c r="AL33" i="23"/>
  <c r="AM33" i="23"/>
  <c r="W27" i="4" s="1"/>
  <c r="AN33" i="23"/>
  <c r="AO33" i="23"/>
  <c r="Y27" i="4" s="1"/>
  <c r="AP33" i="23"/>
  <c r="Z27" i="4" s="1"/>
  <c r="AQ33" i="23"/>
  <c r="AA27" i="4" s="1"/>
  <c r="AR33" i="23"/>
  <c r="AS33" i="23"/>
  <c r="AC27" i="4" s="1"/>
  <c r="AT33" i="23"/>
  <c r="AD27" i="4" s="1"/>
  <c r="AU33" i="23"/>
  <c r="AE27" i="4" s="1"/>
  <c r="AV33" i="23"/>
  <c r="AF27" i="4" s="1"/>
  <c r="AW33" i="23"/>
  <c r="AG27" i="4" s="1"/>
  <c r="AX33" i="23"/>
  <c r="AH27" i="4" s="1"/>
  <c r="AY33" i="23"/>
  <c r="AI27" i="4" s="1"/>
  <c r="AZ33" i="23"/>
  <c r="AJ27" i="4" s="1"/>
  <c r="BA33" i="23"/>
  <c r="AK27" i="4" s="1"/>
  <c r="AF34" i="23"/>
  <c r="P28" i="4" s="1"/>
  <c r="AG34" i="23"/>
  <c r="Q28" i="4" s="1"/>
  <c r="AH34" i="23"/>
  <c r="R28" i="4" s="1"/>
  <c r="AI34" i="23"/>
  <c r="S28" i="4" s="1"/>
  <c r="AJ34" i="23"/>
  <c r="T28" i="4" s="1"/>
  <c r="AK34" i="23"/>
  <c r="U28" i="4" s="1"/>
  <c r="AL34" i="23"/>
  <c r="V28" i="4" s="1"/>
  <c r="AM34" i="23"/>
  <c r="W28" i="4" s="1"/>
  <c r="AN34" i="23"/>
  <c r="X28" i="4" s="1"/>
  <c r="AO34" i="23"/>
  <c r="Y28" i="4" s="1"/>
  <c r="AP34" i="23"/>
  <c r="Z28" i="4" s="1"/>
  <c r="AQ34" i="23"/>
  <c r="AA28" i="4" s="1"/>
  <c r="AR34" i="23"/>
  <c r="AB28" i="4" s="1"/>
  <c r="AS34" i="23"/>
  <c r="AC28" i="4" s="1"/>
  <c r="AT34" i="23"/>
  <c r="AD28" i="4" s="1"/>
  <c r="AU34" i="23"/>
  <c r="AE28" i="4" s="1"/>
  <c r="AV34" i="23"/>
  <c r="AF28" i="4" s="1"/>
  <c r="AW34" i="23"/>
  <c r="AG28" i="4" s="1"/>
  <c r="AX34" i="23"/>
  <c r="AH28" i="4" s="1"/>
  <c r="AY34" i="23"/>
  <c r="AI28" i="4" s="1"/>
  <c r="AZ34" i="23"/>
  <c r="AJ28" i="4" s="1"/>
  <c r="BA34" i="23"/>
  <c r="AK28" i="4" s="1"/>
  <c r="AF35" i="23"/>
  <c r="P29" i="4" s="1"/>
  <c r="AG35" i="23"/>
  <c r="Q29" i="4" s="1"/>
  <c r="AH35" i="23"/>
  <c r="R29" i="4" s="1"/>
  <c r="AI35" i="23"/>
  <c r="S29" i="4" s="1"/>
  <c r="AJ35" i="23"/>
  <c r="T29" i="4" s="1"/>
  <c r="AK35" i="23"/>
  <c r="AL35" i="23"/>
  <c r="AM35" i="23"/>
  <c r="W29" i="4" s="1"/>
  <c r="AN35" i="23"/>
  <c r="X29" i="4" s="1"/>
  <c r="AO35" i="23"/>
  <c r="Y29" i="4" s="1"/>
  <c r="AP35" i="23"/>
  <c r="Z29" i="4" s="1"/>
  <c r="AQ35" i="23"/>
  <c r="AA29" i="4" s="1"/>
  <c r="AR35" i="23"/>
  <c r="AB29" i="4" s="1"/>
  <c r="AS35" i="23"/>
  <c r="AC29" i="4" s="1"/>
  <c r="AT35" i="23"/>
  <c r="AD29" i="4" s="1"/>
  <c r="AU35" i="23"/>
  <c r="AE29" i="4" s="1"/>
  <c r="AV35" i="23"/>
  <c r="AF29" i="4" s="1"/>
  <c r="AW35" i="23"/>
  <c r="AG29" i="4" s="1"/>
  <c r="AX35" i="23"/>
  <c r="AH29" i="4" s="1"/>
  <c r="AY35" i="23"/>
  <c r="AI29" i="4" s="1"/>
  <c r="AZ35" i="23"/>
  <c r="AJ29" i="4" s="1"/>
  <c r="BA35" i="23"/>
  <c r="AK29" i="4" s="1"/>
  <c r="AF36" i="23"/>
  <c r="P30" i="4" s="1"/>
  <c r="AG36" i="23"/>
  <c r="Q30" i="4" s="1"/>
  <c r="AH36" i="23"/>
  <c r="R30" i="4" s="1"/>
  <c r="AI36" i="23"/>
  <c r="S30" i="4" s="1"/>
  <c r="AJ36" i="23"/>
  <c r="T30" i="4" s="1"/>
  <c r="AK36" i="23"/>
  <c r="U30" i="4" s="1"/>
  <c r="AL36" i="23"/>
  <c r="V30" i="4" s="1"/>
  <c r="AM36" i="23"/>
  <c r="W30" i="4" s="1"/>
  <c r="AN36" i="23"/>
  <c r="X30" i="4" s="1"/>
  <c r="AO36" i="23"/>
  <c r="Y30" i="4" s="1"/>
  <c r="AP36" i="23"/>
  <c r="Z30" i="4" s="1"/>
  <c r="AQ36" i="23"/>
  <c r="AA30" i="4" s="1"/>
  <c r="AR36" i="23"/>
  <c r="AB30" i="4" s="1"/>
  <c r="AS36" i="23"/>
  <c r="AC30" i="4" s="1"/>
  <c r="AT36" i="23"/>
  <c r="AD30" i="4" s="1"/>
  <c r="AU36" i="23"/>
  <c r="AE30" i="4" s="1"/>
  <c r="AV36" i="23"/>
  <c r="AF30" i="4" s="1"/>
  <c r="AW36" i="23"/>
  <c r="AG30" i="4" s="1"/>
  <c r="AX36" i="23"/>
  <c r="AY36" i="23"/>
  <c r="AI30" i="4" s="1"/>
  <c r="AZ36" i="23"/>
  <c r="AJ30" i="4" s="1"/>
  <c r="BA36" i="23"/>
  <c r="AK30" i="4" s="1"/>
  <c r="AF37" i="23"/>
  <c r="P31" i="4" s="1"/>
  <c r="AG37" i="23"/>
  <c r="Q31" i="4" s="1"/>
  <c r="AH37" i="23"/>
  <c r="R31" i="4" s="1"/>
  <c r="AI37" i="23"/>
  <c r="S31" i="4" s="1"/>
  <c r="AJ37" i="23"/>
  <c r="T31" i="4" s="1"/>
  <c r="AK37" i="23"/>
  <c r="AL37" i="23"/>
  <c r="V31" i="4" s="1"/>
  <c r="AM37" i="23"/>
  <c r="W31" i="4" s="1"/>
  <c r="AN37" i="23"/>
  <c r="X31" i="4" s="1"/>
  <c r="AO37" i="23"/>
  <c r="Y31" i="4" s="1"/>
  <c r="AP37" i="23"/>
  <c r="Z31" i="4" s="1"/>
  <c r="AQ37" i="23"/>
  <c r="AA31" i="4" s="1"/>
  <c r="AR37" i="23"/>
  <c r="AB31" i="4" s="1"/>
  <c r="AS37" i="23"/>
  <c r="AC31" i="4" s="1"/>
  <c r="AT37" i="23"/>
  <c r="AD31" i="4" s="1"/>
  <c r="AU37" i="23"/>
  <c r="AE31" i="4" s="1"/>
  <c r="AV37" i="23"/>
  <c r="AF31" i="4" s="1"/>
  <c r="AW37" i="23"/>
  <c r="AG31" i="4" s="1"/>
  <c r="AX37" i="23"/>
  <c r="AH31" i="4" s="1"/>
  <c r="AY37" i="23"/>
  <c r="AI31" i="4" s="1"/>
  <c r="AZ37" i="23"/>
  <c r="AJ31" i="4" s="1"/>
  <c r="BA37" i="23"/>
  <c r="AK31" i="4" s="1"/>
  <c r="AF38" i="23"/>
  <c r="P32" i="4" s="1"/>
  <c r="AG38" i="23"/>
  <c r="Q32" i="4" s="1"/>
  <c r="AH38" i="23"/>
  <c r="R32" i="4" s="1"/>
  <c r="AI38" i="23"/>
  <c r="S32" i="4" s="1"/>
  <c r="AJ38" i="23"/>
  <c r="T32" i="4" s="1"/>
  <c r="AK38" i="23"/>
  <c r="U32" i="4" s="1"/>
  <c r="AL38" i="23"/>
  <c r="V32" i="4" s="1"/>
  <c r="AM38" i="23"/>
  <c r="W32" i="4" s="1"/>
  <c r="AN38" i="23"/>
  <c r="X32" i="4" s="1"/>
  <c r="AO38" i="23"/>
  <c r="Y32" i="4" s="1"/>
  <c r="AP38" i="23"/>
  <c r="Z32" i="4" s="1"/>
  <c r="AQ38" i="23"/>
  <c r="AR38" i="23"/>
  <c r="AB32" i="4" s="1"/>
  <c r="AS38" i="23"/>
  <c r="AC32" i="4" s="1"/>
  <c r="AT38" i="23"/>
  <c r="AD32" i="4" s="1"/>
  <c r="AU38" i="23"/>
  <c r="AE32" i="4" s="1"/>
  <c r="AV38" i="23"/>
  <c r="AF32" i="4" s="1"/>
  <c r="AW38" i="23"/>
  <c r="AG32" i="4" s="1"/>
  <c r="AX38" i="23"/>
  <c r="AH32" i="4" s="1"/>
  <c r="AY38" i="23"/>
  <c r="AI32" i="4" s="1"/>
  <c r="AZ38" i="23"/>
  <c r="AJ32" i="4" s="1"/>
  <c r="BA38" i="23"/>
  <c r="AK32" i="4" s="1"/>
  <c r="AF39" i="23"/>
  <c r="P33" i="4" s="1"/>
  <c r="AG39" i="23"/>
  <c r="Q33" i="4" s="1"/>
  <c r="AH39" i="23"/>
  <c r="R33" i="4" s="1"/>
  <c r="AI39" i="23"/>
  <c r="S33" i="4" s="1"/>
  <c r="AJ39" i="23"/>
  <c r="T33" i="4" s="1"/>
  <c r="AK39" i="23"/>
  <c r="U33" i="4" s="1"/>
  <c r="AL39" i="23"/>
  <c r="AM39" i="23"/>
  <c r="W33" i="4" s="1"/>
  <c r="AN39" i="23"/>
  <c r="X33" i="4" s="1"/>
  <c r="AO39" i="23"/>
  <c r="Y33" i="4" s="1"/>
  <c r="AP39" i="23"/>
  <c r="Z33" i="4" s="1"/>
  <c r="AQ39" i="23"/>
  <c r="AR39" i="23"/>
  <c r="AB33" i="4" s="1"/>
  <c r="AS39" i="23"/>
  <c r="AC33" i="4" s="1"/>
  <c r="AT39" i="23"/>
  <c r="AD33" i="4" s="1"/>
  <c r="AU39" i="23"/>
  <c r="AE33" i="4" s="1"/>
  <c r="AV39" i="23"/>
  <c r="AF33" i="4" s="1"/>
  <c r="AW39" i="23"/>
  <c r="AG33" i="4" s="1"/>
  <c r="AX39" i="23"/>
  <c r="AH33" i="4" s="1"/>
  <c r="AY39" i="23"/>
  <c r="AI33" i="4" s="1"/>
  <c r="AZ39" i="23"/>
  <c r="AJ33" i="4" s="1"/>
  <c r="BA39" i="23"/>
  <c r="AK33" i="4" s="1"/>
  <c r="AF40" i="23"/>
  <c r="P34" i="4" s="1"/>
  <c r="AG40" i="23"/>
  <c r="Q34" i="4" s="1"/>
  <c r="AH40" i="23"/>
  <c r="R34" i="4" s="1"/>
  <c r="AI40" i="23"/>
  <c r="S34" i="4" s="1"/>
  <c r="AJ40" i="23"/>
  <c r="AK40" i="23"/>
  <c r="U34" i="4" s="1"/>
  <c r="AL40" i="23"/>
  <c r="V34" i="4" s="1"/>
  <c r="AM40" i="23"/>
  <c r="W34" i="4" s="1"/>
  <c r="AN40" i="23"/>
  <c r="X34" i="4" s="1"/>
  <c r="AO40" i="23"/>
  <c r="Y34" i="4" s="1"/>
  <c r="AP40" i="23"/>
  <c r="Z34" i="4" s="1"/>
  <c r="AQ40" i="23"/>
  <c r="AA34" i="4" s="1"/>
  <c r="AR40" i="23"/>
  <c r="AS40" i="23"/>
  <c r="AC34" i="4" s="1"/>
  <c r="AT40" i="23"/>
  <c r="AD34" i="4" s="1"/>
  <c r="AU40" i="23"/>
  <c r="AE34" i="4" s="1"/>
  <c r="AV40" i="23"/>
  <c r="AF34" i="4" s="1"/>
  <c r="AW40" i="23"/>
  <c r="AG34" i="4" s="1"/>
  <c r="AX40" i="23"/>
  <c r="AH34" i="4" s="1"/>
  <c r="AY40" i="23"/>
  <c r="AI34" i="4" s="1"/>
  <c r="AZ40" i="23"/>
  <c r="AJ34" i="4" s="1"/>
  <c r="BA40" i="23"/>
  <c r="AK34" i="4" s="1"/>
  <c r="AF41" i="23"/>
  <c r="P35" i="4" s="1"/>
  <c r="AG41" i="23"/>
  <c r="Q35" i="4" s="1"/>
  <c r="AH41" i="23"/>
  <c r="R35" i="4" s="1"/>
  <c r="AI41" i="23"/>
  <c r="S35" i="4" s="1"/>
  <c r="AJ41" i="23"/>
  <c r="T35" i="4" s="1"/>
  <c r="AK41" i="23"/>
  <c r="U35" i="4" s="1"/>
  <c r="AL41" i="23"/>
  <c r="AM41" i="23"/>
  <c r="W35" i="4" s="1"/>
  <c r="AN41" i="23"/>
  <c r="X35" i="4" s="1"/>
  <c r="AO41" i="23"/>
  <c r="Y35" i="4" s="1"/>
  <c r="AP41" i="23"/>
  <c r="Z35" i="4" s="1"/>
  <c r="AQ41" i="23"/>
  <c r="AA35" i="4" s="1"/>
  <c r="AR41" i="23"/>
  <c r="AB35" i="4" s="1"/>
  <c r="AS41" i="23"/>
  <c r="AC35" i="4" s="1"/>
  <c r="AT41" i="23"/>
  <c r="AU41" i="23"/>
  <c r="AE35" i="4" s="1"/>
  <c r="AV41" i="23"/>
  <c r="AF35" i="4" s="1"/>
  <c r="AW41" i="23"/>
  <c r="AG35" i="4" s="1"/>
  <c r="AX41" i="23"/>
  <c r="AH35" i="4" s="1"/>
  <c r="AY41" i="23"/>
  <c r="AI35" i="4" s="1"/>
  <c r="AZ41" i="23"/>
  <c r="AJ35" i="4" s="1"/>
  <c r="BA41" i="23"/>
  <c r="AK35" i="4" s="1"/>
  <c r="AF42" i="23"/>
  <c r="P36" i="4" s="1"/>
  <c r="AG42" i="23"/>
  <c r="Q36" i="4" s="1"/>
  <c r="AH42" i="23"/>
  <c r="R36" i="4" s="1"/>
  <c r="AI42" i="23"/>
  <c r="S36" i="4" s="1"/>
  <c r="AJ42" i="23"/>
  <c r="T36" i="4" s="1"/>
  <c r="AK42" i="23"/>
  <c r="U36" i="4" s="1"/>
  <c r="AL42" i="23"/>
  <c r="V36" i="4" s="1"/>
  <c r="AM42" i="23"/>
  <c r="W36" i="4" s="1"/>
  <c r="AN42" i="23"/>
  <c r="X36" i="4" s="1"/>
  <c r="AO42" i="23"/>
  <c r="Y36" i="4" s="1"/>
  <c r="AP42" i="23"/>
  <c r="Z36" i="4" s="1"/>
  <c r="AQ42" i="23"/>
  <c r="AA36" i="4" s="1"/>
  <c r="AR42" i="23"/>
  <c r="AB36" i="4" s="1"/>
  <c r="AS42" i="23"/>
  <c r="AC36" i="4" s="1"/>
  <c r="AT42" i="23"/>
  <c r="AD36" i="4" s="1"/>
  <c r="AU42" i="23"/>
  <c r="AE36" i="4" s="1"/>
  <c r="AV42" i="23"/>
  <c r="AF36" i="4" s="1"/>
  <c r="AW42" i="23"/>
  <c r="AG36" i="4" s="1"/>
  <c r="AX42" i="23"/>
  <c r="AH36" i="4" s="1"/>
  <c r="AY42" i="23"/>
  <c r="AI36" i="4" s="1"/>
  <c r="AZ42" i="23"/>
  <c r="AJ36" i="4" s="1"/>
  <c r="BA42" i="23"/>
  <c r="AK36" i="4" s="1"/>
  <c r="AF43" i="23"/>
  <c r="AG43" i="23"/>
  <c r="Q37" i="4" s="1"/>
  <c r="AH43" i="23"/>
  <c r="AI43" i="23"/>
  <c r="AJ43" i="23"/>
  <c r="AK43" i="23"/>
  <c r="U37" i="4" s="1"/>
  <c r="AL43" i="23"/>
  <c r="AM43" i="23"/>
  <c r="AN43" i="23"/>
  <c r="AO43" i="23"/>
  <c r="Y37" i="4" s="1"/>
  <c r="AP43" i="23"/>
  <c r="AQ43" i="23"/>
  <c r="AR43" i="23"/>
  <c r="AS43" i="23"/>
  <c r="AC37" i="4" s="1"/>
  <c r="AT43" i="23"/>
  <c r="AU43" i="23"/>
  <c r="AV43" i="23"/>
  <c r="AW43" i="23"/>
  <c r="AX43" i="23"/>
  <c r="AY43" i="23"/>
  <c r="AZ43" i="23"/>
  <c r="BA43" i="23"/>
  <c r="AE36" i="23"/>
  <c r="O30" i="4" s="1"/>
  <c r="AE41" i="23"/>
  <c r="O35" i="4" s="1"/>
  <c r="N28" i="23"/>
  <c r="O28" i="23"/>
  <c r="P28" i="23"/>
  <c r="Q28" i="23"/>
  <c r="R28" i="23"/>
  <c r="S28" i="23"/>
  <c r="T28" i="23"/>
  <c r="U28" i="23"/>
  <c r="V28" i="23"/>
  <c r="W28" i="23"/>
  <c r="X28" i="23"/>
  <c r="Y28" i="23"/>
  <c r="Z28" i="23"/>
  <c r="AA28" i="23"/>
  <c r="AB28" i="23"/>
  <c r="AC28" i="23"/>
  <c r="N29" i="23"/>
  <c r="O29" i="23"/>
  <c r="P29" i="23"/>
  <c r="Q29" i="23"/>
  <c r="R29" i="23"/>
  <c r="S29" i="23"/>
  <c r="T29" i="23"/>
  <c r="U29" i="23"/>
  <c r="V29" i="23"/>
  <c r="W29" i="23"/>
  <c r="X29" i="23"/>
  <c r="Y29" i="23"/>
  <c r="Z29" i="23"/>
  <c r="AA29" i="23"/>
  <c r="AB29" i="23"/>
  <c r="AC29" i="23"/>
  <c r="K30" i="23"/>
  <c r="K24" i="4" s="1"/>
  <c r="N30" i="23"/>
  <c r="O30" i="23"/>
  <c r="P30" i="23"/>
  <c r="Q30" i="23"/>
  <c r="R30" i="23"/>
  <c r="S30" i="23"/>
  <c r="T30" i="23"/>
  <c r="U30" i="23"/>
  <c r="V30" i="23"/>
  <c r="W30" i="23"/>
  <c r="X30" i="23"/>
  <c r="Y30" i="23"/>
  <c r="Z30" i="23"/>
  <c r="AA30" i="23"/>
  <c r="AB30" i="23"/>
  <c r="AC30" i="23"/>
  <c r="N31" i="23"/>
  <c r="O31" i="23"/>
  <c r="P31" i="23"/>
  <c r="Q31" i="23"/>
  <c r="R31" i="23"/>
  <c r="S31" i="23"/>
  <c r="T31" i="23"/>
  <c r="U31" i="23"/>
  <c r="V31" i="23"/>
  <c r="W31" i="23"/>
  <c r="X31" i="23"/>
  <c r="Y31" i="23"/>
  <c r="Z31" i="23"/>
  <c r="AA31" i="23"/>
  <c r="AB31" i="23"/>
  <c r="AC31" i="23"/>
  <c r="N32" i="23"/>
  <c r="O32" i="23"/>
  <c r="P32" i="23"/>
  <c r="Q32" i="23"/>
  <c r="R32" i="23"/>
  <c r="S32" i="23"/>
  <c r="T32" i="23"/>
  <c r="U32" i="23"/>
  <c r="V32" i="23"/>
  <c r="W32" i="23"/>
  <c r="X32" i="23"/>
  <c r="Y32" i="23"/>
  <c r="Z32" i="23"/>
  <c r="AA32" i="23"/>
  <c r="AB32" i="23"/>
  <c r="AC32" i="23"/>
  <c r="N33" i="23"/>
  <c r="O33" i="23"/>
  <c r="P33" i="23"/>
  <c r="Q33" i="23"/>
  <c r="R33" i="23"/>
  <c r="S33" i="23"/>
  <c r="T33" i="23"/>
  <c r="U33" i="23"/>
  <c r="V33" i="23"/>
  <c r="W33" i="23"/>
  <c r="X33" i="23"/>
  <c r="Y33" i="23"/>
  <c r="Z33" i="23"/>
  <c r="AA33" i="23"/>
  <c r="AB33" i="23"/>
  <c r="AC33" i="23"/>
  <c r="N34" i="23"/>
  <c r="O34" i="23"/>
  <c r="P34" i="23"/>
  <c r="Q34" i="23"/>
  <c r="R34" i="23"/>
  <c r="S34" i="23"/>
  <c r="T34" i="23"/>
  <c r="U34" i="23"/>
  <c r="V34" i="23"/>
  <c r="W34" i="23"/>
  <c r="X34" i="23"/>
  <c r="Y34" i="23"/>
  <c r="Z34" i="23"/>
  <c r="AA34" i="23"/>
  <c r="AB34" i="23"/>
  <c r="AC34" i="23"/>
  <c r="N35" i="23"/>
  <c r="O35" i="23"/>
  <c r="P35" i="23"/>
  <c r="Q35" i="23"/>
  <c r="R35" i="23"/>
  <c r="S35" i="23"/>
  <c r="T35" i="23"/>
  <c r="U35" i="23"/>
  <c r="V35" i="23"/>
  <c r="W35" i="23"/>
  <c r="X35" i="23"/>
  <c r="Y35" i="23"/>
  <c r="Z35" i="23"/>
  <c r="AA35" i="23"/>
  <c r="AB35" i="23"/>
  <c r="AC35" i="23"/>
  <c r="K36" i="23"/>
  <c r="K30" i="4" s="1"/>
  <c r="L36" i="23"/>
  <c r="L30" i="4" s="1"/>
  <c r="M36" i="23"/>
  <c r="M30" i="4" s="1"/>
  <c r="N36" i="23"/>
  <c r="O36" i="23"/>
  <c r="P36" i="23"/>
  <c r="Q36" i="23"/>
  <c r="R36" i="23"/>
  <c r="S36" i="23"/>
  <c r="T36" i="23"/>
  <c r="U36" i="23"/>
  <c r="V36" i="23"/>
  <c r="W36" i="23"/>
  <c r="X36" i="23"/>
  <c r="Y36" i="23"/>
  <c r="Z36" i="23"/>
  <c r="AA36" i="23"/>
  <c r="AB36" i="23"/>
  <c r="AC36" i="23"/>
  <c r="K37" i="23"/>
  <c r="K31" i="4" s="1"/>
  <c r="L37" i="23"/>
  <c r="L31" i="4" s="1"/>
  <c r="M37" i="23"/>
  <c r="M31" i="4" s="1"/>
  <c r="N37" i="23"/>
  <c r="O37" i="23"/>
  <c r="P37" i="23"/>
  <c r="Q37" i="23"/>
  <c r="R37" i="23"/>
  <c r="S37" i="23"/>
  <c r="T37" i="23"/>
  <c r="U37" i="23"/>
  <c r="V37" i="23"/>
  <c r="W37" i="23"/>
  <c r="X37" i="23"/>
  <c r="Y37" i="23"/>
  <c r="Z37" i="23"/>
  <c r="AA37" i="23"/>
  <c r="AB37" i="23"/>
  <c r="AC37" i="23"/>
  <c r="K38" i="23"/>
  <c r="K32" i="4" s="1"/>
  <c r="L38" i="23"/>
  <c r="L32" i="4" s="1"/>
  <c r="M38" i="23"/>
  <c r="M32" i="4" s="1"/>
  <c r="N38" i="23"/>
  <c r="O38" i="23"/>
  <c r="P38" i="23"/>
  <c r="Q38" i="23"/>
  <c r="R38" i="23"/>
  <c r="S38" i="23"/>
  <c r="T38" i="23"/>
  <c r="U38" i="23"/>
  <c r="V38" i="23"/>
  <c r="W38" i="23"/>
  <c r="X38" i="23"/>
  <c r="Y38" i="23"/>
  <c r="Z38" i="23"/>
  <c r="AA38" i="23"/>
  <c r="AB38" i="23"/>
  <c r="AC38" i="23"/>
  <c r="K39" i="23"/>
  <c r="K33" i="4" s="1"/>
  <c r="L39" i="23"/>
  <c r="L33" i="4" s="1"/>
  <c r="M39" i="23"/>
  <c r="M33" i="4" s="1"/>
  <c r="N39" i="23"/>
  <c r="O39" i="23"/>
  <c r="P39" i="23"/>
  <c r="Q39" i="23"/>
  <c r="R39" i="23"/>
  <c r="S39" i="23"/>
  <c r="T39" i="23"/>
  <c r="U39" i="23"/>
  <c r="V39" i="23"/>
  <c r="W39" i="23"/>
  <c r="X39" i="23"/>
  <c r="Y39" i="23"/>
  <c r="Z39" i="23"/>
  <c r="AA39" i="23"/>
  <c r="AB39" i="23"/>
  <c r="AC39" i="23"/>
  <c r="K40" i="23"/>
  <c r="K34" i="4" s="1"/>
  <c r="L40" i="23"/>
  <c r="L34" i="4" s="1"/>
  <c r="M40" i="23"/>
  <c r="M34" i="4" s="1"/>
  <c r="N40" i="23"/>
  <c r="O40" i="23"/>
  <c r="P40" i="23"/>
  <c r="Q40" i="23"/>
  <c r="R40" i="23"/>
  <c r="S40" i="23"/>
  <c r="T40" i="23"/>
  <c r="U40" i="23"/>
  <c r="V40" i="23"/>
  <c r="W40" i="23"/>
  <c r="X40" i="23"/>
  <c r="Y40" i="23"/>
  <c r="Z40" i="23"/>
  <c r="AA40" i="23"/>
  <c r="AB40" i="23"/>
  <c r="AC40" i="23"/>
  <c r="K41" i="23"/>
  <c r="K35" i="4" s="1"/>
  <c r="L41" i="23"/>
  <c r="L35" i="4" s="1"/>
  <c r="M41" i="23"/>
  <c r="M35" i="4" s="1"/>
  <c r="N41" i="23"/>
  <c r="O41" i="23"/>
  <c r="P41" i="23"/>
  <c r="Q41" i="23"/>
  <c r="R41" i="23"/>
  <c r="S41" i="23"/>
  <c r="T41" i="23"/>
  <c r="U41" i="23"/>
  <c r="V41" i="23"/>
  <c r="W41" i="23"/>
  <c r="X41" i="23"/>
  <c r="Y41" i="23"/>
  <c r="Z41" i="23"/>
  <c r="AA41" i="23"/>
  <c r="AB41" i="23"/>
  <c r="AC41" i="23"/>
  <c r="K42" i="23"/>
  <c r="K36" i="4" s="1"/>
  <c r="L42" i="23"/>
  <c r="L36" i="4" s="1"/>
  <c r="M42" i="23"/>
  <c r="M36" i="4" s="1"/>
  <c r="N42" i="23"/>
  <c r="O42" i="23"/>
  <c r="P42" i="23"/>
  <c r="Q42" i="23"/>
  <c r="R42" i="23"/>
  <c r="S42" i="23"/>
  <c r="T42" i="23"/>
  <c r="U42" i="23"/>
  <c r="V42" i="23"/>
  <c r="W42" i="23"/>
  <c r="X42" i="23"/>
  <c r="Y42" i="23"/>
  <c r="Z42" i="23"/>
  <c r="AA42" i="23"/>
  <c r="AB42" i="23"/>
  <c r="AC42" i="23"/>
  <c r="K43" i="23"/>
  <c r="L43" i="23"/>
  <c r="M43" i="23"/>
  <c r="N43" i="23"/>
  <c r="O43" i="23"/>
  <c r="P43" i="23"/>
  <c r="Q43" i="23"/>
  <c r="R43" i="23"/>
  <c r="S43" i="23"/>
  <c r="T43" i="23"/>
  <c r="U43" i="23"/>
  <c r="V43" i="23"/>
  <c r="W43" i="23"/>
  <c r="X43" i="23"/>
  <c r="Y43" i="23"/>
  <c r="Z43" i="23"/>
  <c r="AA43" i="23"/>
  <c r="AB43" i="23"/>
  <c r="AC43" i="23"/>
  <c r="Z4" i="23"/>
  <c r="Z22" i="23" s="1"/>
  <c r="AI28" i="1"/>
  <c r="AJ28" i="1"/>
  <c r="AK28" i="1"/>
  <c r="AL28" i="1"/>
  <c r="AM28" i="1"/>
  <c r="AN28" i="1"/>
  <c r="AO28" i="1"/>
  <c r="AP28" i="1"/>
  <c r="AQ28" i="1"/>
  <c r="AR28" i="1"/>
  <c r="AS28" i="1"/>
  <c r="AT28" i="1"/>
  <c r="AU28" i="1"/>
  <c r="AV28" i="1"/>
  <c r="AW28" i="1"/>
  <c r="AX28" i="1"/>
  <c r="AY28" i="1"/>
  <c r="AZ28" i="1"/>
  <c r="BA28" i="1"/>
  <c r="AI29" i="1"/>
  <c r="S7" i="4" s="1"/>
  <c r="AJ29" i="1"/>
  <c r="T7" i="4" s="1"/>
  <c r="AK29" i="1"/>
  <c r="U7" i="4" s="1"/>
  <c r="AL29" i="1"/>
  <c r="V7" i="4" s="1"/>
  <c r="AM29" i="1"/>
  <c r="W7" i="4" s="1"/>
  <c r="AN29" i="1"/>
  <c r="AO29" i="1"/>
  <c r="Y7" i="4" s="1"/>
  <c r="AP29" i="1"/>
  <c r="Z7" i="4" s="1"/>
  <c r="AQ29" i="1"/>
  <c r="AA7" i="4" s="1"/>
  <c r="AR29" i="1"/>
  <c r="AB7" i="4" s="1"/>
  <c r="AS29" i="1"/>
  <c r="AC7" i="4" s="1"/>
  <c r="AT29" i="1"/>
  <c r="AD7" i="4" s="1"/>
  <c r="AU29" i="1"/>
  <c r="AE7" i="4" s="1"/>
  <c r="AV29" i="1"/>
  <c r="AF7" i="4" s="1"/>
  <c r="AW29" i="1"/>
  <c r="AG7" i="4" s="1"/>
  <c r="AX29" i="1"/>
  <c r="AH7" i="4" s="1"/>
  <c r="AY29" i="1"/>
  <c r="AI7" i="4" s="1"/>
  <c r="AZ29" i="1"/>
  <c r="AJ7" i="4" s="1"/>
  <c r="BA29" i="1"/>
  <c r="AK7" i="4" s="1"/>
  <c r="AI30" i="1"/>
  <c r="S8" i="4" s="1"/>
  <c r="AJ30" i="1"/>
  <c r="T8" i="4" s="1"/>
  <c r="AK30" i="1"/>
  <c r="U8" i="4" s="1"/>
  <c r="AL30" i="1"/>
  <c r="V8" i="4" s="1"/>
  <c r="AM30" i="1"/>
  <c r="W8" i="4" s="1"/>
  <c r="AN30" i="1"/>
  <c r="X8" i="4" s="1"/>
  <c r="AO30" i="1"/>
  <c r="Y8" i="4" s="1"/>
  <c r="AP30" i="1"/>
  <c r="Z8" i="4" s="1"/>
  <c r="AQ30" i="1"/>
  <c r="AA8" i="4" s="1"/>
  <c r="AR30" i="1"/>
  <c r="AB8" i="4" s="1"/>
  <c r="AS30" i="1"/>
  <c r="AC8" i="4" s="1"/>
  <c r="AT30" i="1"/>
  <c r="AD8" i="4" s="1"/>
  <c r="AU30" i="1"/>
  <c r="AE8" i="4" s="1"/>
  <c r="AV30" i="1"/>
  <c r="AF8" i="4" s="1"/>
  <c r="AW30" i="1"/>
  <c r="AG8" i="4" s="1"/>
  <c r="AX30" i="1"/>
  <c r="AH8" i="4" s="1"/>
  <c r="AY30" i="1"/>
  <c r="AI8" i="4" s="1"/>
  <c r="AZ30" i="1"/>
  <c r="AJ8" i="4" s="1"/>
  <c r="BA30" i="1"/>
  <c r="AK8" i="4" s="1"/>
  <c r="AI31" i="1"/>
  <c r="S9" i="4" s="1"/>
  <c r="AJ31" i="1"/>
  <c r="T9" i="4" s="1"/>
  <c r="AK31" i="1"/>
  <c r="U9" i="4" s="1"/>
  <c r="AL31" i="1"/>
  <c r="V9" i="4" s="1"/>
  <c r="AM31" i="1"/>
  <c r="W9" i="4" s="1"/>
  <c r="AN31" i="1"/>
  <c r="X9" i="4" s="1"/>
  <c r="AO31" i="1"/>
  <c r="Y9" i="4" s="1"/>
  <c r="AP31" i="1"/>
  <c r="Z9" i="4" s="1"/>
  <c r="AQ31" i="1"/>
  <c r="AA9" i="4" s="1"/>
  <c r="AR31" i="1"/>
  <c r="AB9" i="4" s="1"/>
  <c r="AS31" i="1"/>
  <c r="AC9" i="4" s="1"/>
  <c r="AT31" i="1"/>
  <c r="AD9" i="4" s="1"/>
  <c r="AU31" i="1"/>
  <c r="AE9" i="4" s="1"/>
  <c r="AV31" i="1"/>
  <c r="AW31" i="1"/>
  <c r="AG9" i="4" s="1"/>
  <c r="AX31" i="1"/>
  <c r="AH9" i="4" s="1"/>
  <c r="AY31" i="1"/>
  <c r="AI9" i="4" s="1"/>
  <c r="AZ31" i="1"/>
  <c r="AJ9" i="4" s="1"/>
  <c r="BA31" i="1"/>
  <c r="AK9" i="4" s="1"/>
  <c r="AI32" i="1"/>
  <c r="S10" i="4" s="1"/>
  <c r="AJ32" i="1"/>
  <c r="T10" i="4" s="1"/>
  <c r="AK32" i="1"/>
  <c r="U10" i="4" s="1"/>
  <c r="AL32" i="1"/>
  <c r="V10" i="4" s="1"/>
  <c r="AM32" i="1"/>
  <c r="W10" i="4" s="1"/>
  <c r="AN32" i="1"/>
  <c r="X10" i="4" s="1"/>
  <c r="AO32" i="1"/>
  <c r="Y10" i="4" s="1"/>
  <c r="AP32" i="1"/>
  <c r="Z10" i="4" s="1"/>
  <c r="AQ32" i="1"/>
  <c r="AA10" i="4" s="1"/>
  <c r="AR32" i="1"/>
  <c r="AB10" i="4" s="1"/>
  <c r="AS32" i="1"/>
  <c r="AC10" i="4" s="1"/>
  <c r="AT32" i="1"/>
  <c r="AD10" i="4" s="1"/>
  <c r="AU32" i="1"/>
  <c r="AE10" i="4" s="1"/>
  <c r="AV32" i="1"/>
  <c r="AF10" i="4" s="1"/>
  <c r="AW32" i="1"/>
  <c r="AG10" i="4" s="1"/>
  <c r="AX32" i="1"/>
  <c r="AH10" i="4" s="1"/>
  <c r="AY32" i="1"/>
  <c r="AI10" i="4" s="1"/>
  <c r="AZ32" i="1"/>
  <c r="AJ10" i="4" s="1"/>
  <c r="BA32" i="1"/>
  <c r="AK10" i="4" s="1"/>
  <c r="AI33" i="1"/>
  <c r="S11" i="4" s="1"/>
  <c r="AJ33" i="1"/>
  <c r="T11" i="4" s="1"/>
  <c r="AK33" i="1"/>
  <c r="U11" i="4" s="1"/>
  <c r="AL33" i="1"/>
  <c r="V11" i="4" s="1"/>
  <c r="AM33" i="1"/>
  <c r="W11" i="4" s="1"/>
  <c r="AN33" i="1"/>
  <c r="AO33" i="1"/>
  <c r="Y11" i="4" s="1"/>
  <c r="AP33" i="1"/>
  <c r="Z11" i="4" s="1"/>
  <c r="AQ33" i="1"/>
  <c r="AA11" i="4" s="1"/>
  <c r="AR33" i="1"/>
  <c r="AB11" i="4" s="1"/>
  <c r="AS33" i="1"/>
  <c r="AC11" i="4" s="1"/>
  <c r="AT33" i="1"/>
  <c r="AD11" i="4" s="1"/>
  <c r="AU33" i="1"/>
  <c r="AE11" i="4" s="1"/>
  <c r="AV33" i="1"/>
  <c r="AF11" i="4" s="1"/>
  <c r="AW33" i="1"/>
  <c r="AX33" i="1"/>
  <c r="AH11" i="4" s="1"/>
  <c r="AY33" i="1"/>
  <c r="AI11" i="4" s="1"/>
  <c r="AZ33" i="1"/>
  <c r="AJ11" i="4" s="1"/>
  <c r="BA33" i="1"/>
  <c r="AK11" i="4" s="1"/>
  <c r="AI34" i="1"/>
  <c r="S12" i="4" s="1"/>
  <c r="AJ34" i="1"/>
  <c r="T12" i="4" s="1"/>
  <c r="AK34" i="1"/>
  <c r="U12" i="4" s="1"/>
  <c r="AL34" i="1"/>
  <c r="V12" i="4" s="1"/>
  <c r="AM34" i="1"/>
  <c r="W12" i="4" s="1"/>
  <c r="AN34" i="1"/>
  <c r="X12" i="4" s="1"/>
  <c r="AO34" i="1"/>
  <c r="AP34" i="1"/>
  <c r="Z12" i="4" s="1"/>
  <c r="AQ34" i="1"/>
  <c r="AA12" i="4" s="1"/>
  <c r="AR34" i="1"/>
  <c r="AB12" i="4" s="1"/>
  <c r="AS34" i="1"/>
  <c r="AC12" i="4" s="1"/>
  <c r="AT34" i="1"/>
  <c r="AD12" i="4" s="1"/>
  <c r="AU34" i="1"/>
  <c r="AE12" i="4" s="1"/>
  <c r="AV34" i="1"/>
  <c r="AF12" i="4" s="1"/>
  <c r="AW34" i="1"/>
  <c r="AG12" i="4" s="1"/>
  <c r="AX34" i="1"/>
  <c r="AH12" i="4" s="1"/>
  <c r="AY34" i="1"/>
  <c r="AI12" i="4" s="1"/>
  <c r="AZ34" i="1"/>
  <c r="AJ12" i="4" s="1"/>
  <c r="BA34" i="1"/>
  <c r="AK12" i="4" s="1"/>
  <c r="AI35" i="1"/>
  <c r="S13" i="4" s="1"/>
  <c r="AJ35" i="1"/>
  <c r="T13" i="4" s="1"/>
  <c r="AK35" i="1"/>
  <c r="U13" i="4" s="1"/>
  <c r="AL35" i="1"/>
  <c r="V13" i="4" s="1"/>
  <c r="AM35" i="1"/>
  <c r="W13" i="4" s="1"/>
  <c r="AN35" i="1"/>
  <c r="X13" i="4" s="1"/>
  <c r="AO35" i="1"/>
  <c r="Y13" i="4" s="1"/>
  <c r="AP35" i="1"/>
  <c r="Z13" i="4" s="1"/>
  <c r="AQ35" i="1"/>
  <c r="AA13" i="4" s="1"/>
  <c r="AR35" i="1"/>
  <c r="AB13" i="4" s="1"/>
  <c r="AS35" i="1"/>
  <c r="AC13" i="4" s="1"/>
  <c r="AT35" i="1"/>
  <c r="AD13" i="4" s="1"/>
  <c r="AU35" i="1"/>
  <c r="AE13" i="4" s="1"/>
  <c r="AV35" i="1"/>
  <c r="AF13" i="4" s="1"/>
  <c r="AW35" i="1"/>
  <c r="AG13" i="4" s="1"/>
  <c r="AX35" i="1"/>
  <c r="AH13" i="4" s="1"/>
  <c r="AY35" i="1"/>
  <c r="AI13" i="4" s="1"/>
  <c r="AZ35" i="1"/>
  <c r="AJ13" i="4" s="1"/>
  <c r="BA35" i="1"/>
  <c r="AK13" i="4" s="1"/>
  <c r="AI36" i="1"/>
  <c r="S14" i="4" s="1"/>
  <c r="AJ36" i="1"/>
  <c r="T14" i="4" s="1"/>
  <c r="AK36" i="1"/>
  <c r="U14" i="4" s="1"/>
  <c r="AL36" i="1"/>
  <c r="V14" i="4" s="1"/>
  <c r="AM36" i="1"/>
  <c r="W14" i="4" s="1"/>
  <c r="AN36" i="1"/>
  <c r="X14" i="4" s="1"/>
  <c r="AO36" i="1"/>
  <c r="Y14" i="4" s="1"/>
  <c r="AP36" i="1"/>
  <c r="Z14" i="4" s="1"/>
  <c r="AQ36" i="1"/>
  <c r="AA14" i="4" s="1"/>
  <c r="AR36" i="1"/>
  <c r="AB14" i="4" s="1"/>
  <c r="AS36" i="1"/>
  <c r="AC14" i="4" s="1"/>
  <c r="AT36" i="1"/>
  <c r="AD14" i="4" s="1"/>
  <c r="AU36" i="1"/>
  <c r="AE14" i="4" s="1"/>
  <c r="AV36" i="1"/>
  <c r="AF14" i="4" s="1"/>
  <c r="AW36" i="1"/>
  <c r="AG14" i="4" s="1"/>
  <c r="AX36" i="1"/>
  <c r="AH14" i="4" s="1"/>
  <c r="AY36" i="1"/>
  <c r="AI14" i="4" s="1"/>
  <c r="AZ36" i="1"/>
  <c r="AJ14" i="4" s="1"/>
  <c r="BA36" i="1"/>
  <c r="AK14" i="4" s="1"/>
  <c r="AI37" i="1"/>
  <c r="S15" i="4" s="1"/>
  <c r="AJ37" i="1"/>
  <c r="T15" i="4" s="1"/>
  <c r="AK37" i="1"/>
  <c r="U15" i="4" s="1"/>
  <c r="AL37" i="1"/>
  <c r="V15" i="4" s="1"/>
  <c r="AM37" i="1"/>
  <c r="W15" i="4" s="1"/>
  <c r="AN37" i="1"/>
  <c r="X15" i="4" s="1"/>
  <c r="AO37" i="1"/>
  <c r="Y15" i="4" s="1"/>
  <c r="AP37" i="1"/>
  <c r="Z15" i="4" s="1"/>
  <c r="AQ37" i="1"/>
  <c r="AA15" i="4" s="1"/>
  <c r="AR37" i="1"/>
  <c r="AB15" i="4" s="1"/>
  <c r="AS37" i="1"/>
  <c r="AC15" i="4" s="1"/>
  <c r="AT37" i="1"/>
  <c r="AD15" i="4" s="1"/>
  <c r="AU37" i="1"/>
  <c r="AE15" i="4" s="1"/>
  <c r="AV37" i="1"/>
  <c r="AF15" i="4" s="1"/>
  <c r="AW37" i="1"/>
  <c r="AG15" i="4" s="1"/>
  <c r="AX37" i="1"/>
  <c r="AH15" i="4" s="1"/>
  <c r="AY37" i="1"/>
  <c r="AI15" i="4" s="1"/>
  <c r="AZ37" i="1"/>
  <c r="AJ15" i="4" s="1"/>
  <c r="BA37" i="1"/>
  <c r="AK15" i="4" s="1"/>
  <c r="AI38" i="1"/>
  <c r="S16" i="4" s="1"/>
  <c r="AJ38" i="1"/>
  <c r="T16" i="4" s="1"/>
  <c r="AK38" i="1"/>
  <c r="U16" i="4" s="1"/>
  <c r="AL38" i="1"/>
  <c r="V16" i="4" s="1"/>
  <c r="AM38" i="1"/>
  <c r="W16" i="4" s="1"/>
  <c r="AN38" i="1"/>
  <c r="X16" i="4" s="1"/>
  <c r="AO38" i="1"/>
  <c r="Y16" i="4" s="1"/>
  <c r="AP38" i="1"/>
  <c r="Z16" i="4" s="1"/>
  <c r="AQ38" i="1"/>
  <c r="AA16" i="4" s="1"/>
  <c r="AR38" i="1"/>
  <c r="AB16" i="4" s="1"/>
  <c r="AS38" i="1"/>
  <c r="AC16" i="4" s="1"/>
  <c r="AT38" i="1"/>
  <c r="AD16" i="4" s="1"/>
  <c r="AU38" i="1"/>
  <c r="AE16" i="4" s="1"/>
  <c r="AV38" i="1"/>
  <c r="AF16" i="4" s="1"/>
  <c r="AW38" i="1"/>
  <c r="AG16" i="4" s="1"/>
  <c r="AX38" i="1"/>
  <c r="AH16" i="4" s="1"/>
  <c r="AY38" i="1"/>
  <c r="AI16" i="4" s="1"/>
  <c r="AZ38" i="1"/>
  <c r="AJ16" i="4" s="1"/>
  <c r="BA38" i="1"/>
  <c r="AK16" i="4" s="1"/>
  <c r="AI39" i="1"/>
  <c r="S17" i="4" s="1"/>
  <c r="AJ39" i="1"/>
  <c r="T17" i="4" s="1"/>
  <c r="AK39" i="1"/>
  <c r="U17" i="4" s="1"/>
  <c r="AL39" i="1"/>
  <c r="V17" i="4" s="1"/>
  <c r="AM39" i="1"/>
  <c r="W17" i="4" s="1"/>
  <c r="AN39" i="1"/>
  <c r="X17" i="4" s="1"/>
  <c r="AO39" i="1"/>
  <c r="Y17" i="4" s="1"/>
  <c r="AP39" i="1"/>
  <c r="Z17" i="4" s="1"/>
  <c r="AQ39" i="1"/>
  <c r="AA17" i="4" s="1"/>
  <c r="AR39" i="1"/>
  <c r="AB17" i="4" s="1"/>
  <c r="AS39" i="1"/>
  <c r="AC17" i="4" s="1"/>
  <c r="AT39" i="1"/>
  <c r="AD17" i="4" s="1"/>
  <c r="AU39" i="1"/>
  <c r="AE17" i="4" s="1"/>
  <c r="AV39" i="1"/>
  <c r="AF17" i="4" s="1"/>
  <c r="AW39" i="1"/>
  <c r="AG17" i="4" s="1"/>
  <c r="AX39" i="1"/>
  <c r="AH17" i="4" s="1"/>
  <c r="AY39" i="1"/>
  <c r="AI17" i="4" s="1"/>
  <c r="AZ39" i="1"/>
  <c r="AJ17" i="4" s="1"/>
  <c r="BA39" i="1"/>
  <c r="AK17" i="4" s="1"/>
  <c r="AI40" i="1"/>
  <c r="S18" i="4" s="1"/>
  <c r="AJ40" i="1"/>
  <c r="T18" i="4" s="1"/>
  <c r="AK40" i="1"/>
  <c r="U18" i="4" s="1"/>
  <c r="AL40" i="1"/>
  <c r="V18" i="4" s="1"/>
  <c r="AM40" i="1"/>
  <c r="W18" i="4" s="1"/>
  <c r="AN40" i="1"/>
  <c r="X18" i="4" s="1"/>
  <c r="AO40" i="1"/>
  <c r="Y18" i="4" s="1"/>
  <c r="AP40" i="1"/>
  <c r="Z18" i="4" s="1"/>
  <c r="AQ40" i="1"/>
  <c r="AA18" i="4" s="1"/>
  <c r="AR40" i="1"/>
  <c r="AB18" i="4" s="1"/>
  <c r="AS40" i="1"/>
  <c r="AC18" i="4" s="1"/>
  <c r="AT40" i="1"/>
  <c r="AD18" i="4" s="1"/>
  <c r="AU40" i="1"/>
  <c r="AE18" i="4" s="1"/>
  <c r="AV40" i="1"/>
  <c r="AF18" i="4" s="1"/>
  <c r="AW40" i="1"/>
  <c r="AG18" i="4" s="1"/>
  <c r="AX40" i="1"/>
  <c r="AH18" i="4" s="1"/>
  <c r="AY40" i="1"/>
  <c r="AI18" i="4" s="1"/>
  <c r="AZ40" i="1"/>
  <c r="AJ18" i="4" s="1"/>
  <c r="BA40" i="1"/>
  <c r="AK18" i="4" s="1"/>
  <c r="AI41" i="1"/>
  <c r="S19" i="4" s="1"/>
  <c r="AJ41" i="1"/>
  <c r="T19" i="4" s="1"/>
  <c r="AK41" i="1"/>
  <c r="U19" i="4" s="1"/>
  <c r="AL41" i="1"/>
  <c r="V19" i="4" s="1"/>
  <c r="AM41" i="1"/>
  <c r="W19" i="4" s="1"/>
  <c r="AN41" i="1"/>
  <c r="X19" i="4" s="1"/>
  <c r="AO41" i="1"/>
  <c r="Y19" i="4" s="1"/>
  <c r="AP41" i="1"/>
  <c r="Z19" i="4" s="1"/>
  <c r="AQ41" i="1"/>
  <c r="AA19" i="4" s="1"/>
  <c r="AR41" i="1"/>
  <c r="AB19" i="4" s="1"/>
  <c r="AS41" i="1"/>
  <c r="AC19" i="4" s="1"/>
  <c r="AT41" i="1"/>
  <c r="AD19" i="4" s="1"/>
  <c r="AU41" i="1"/>
  <c r="AE19" i="4" s="1"/>
  <c r="AV41" i="1"/>
  <c r="AF19" i="4" s="1"/>
  <c r="AW41" i="1"/>
  <c r="AG19" i="4" s="1"/>
  <c r="AX41" i="1"/>
  <c r="AH19" i="4" s="1"/>
  <c r="AY41" i="1"/>
  <c r="AI19" i="4" s="1"/>
  <c r="AZ41" i="1"/>
  <c r="AJ19" i="4" s="1"/>
  <c r="BA41" i="1"/>
  <c r="AK19" i="4" s="1"/>
  <c r="AI42" i="1"/>
  <c r="S20" i="4" s="1"/>
  <c r="AJ42" i="1"/>
  <c r="T20" i="4" s="1"/>
  <c r="AK42" i="1"/>
  <c r="U20" i="4" s="1"/>
  <c r="AL42" i="1"/>
  <c r="V20" i="4" s="1"/>
  <c r="AM42" i="1"/>
  <c r="W20" i="4" s="1"/>
  <c r="AN42" i="1"/>
  <c r="X20" i="4" s="1"/>
  <c r="AO42" i="1"/>
  <c r="Y20" i="4" s="1"/>
  <c r="AP42" i="1"/>
  <c r="Z20" i="4" s="1"/>
  <c r="AQ42" i="1"/>
  <c r="AA20" i="4" s="1"/>
  <c r="AR42" i="1"/>
  <c r="AB20" i="4" s="1"/>
  <c r="AS42" i="1"/>
  <c r="AC20" i="4" s="1"/>
  <c r="AT42" i="1"/>
  <c r="AD20" i="4" s="1"/>
  <c r="AU42" i="1"/>
  <c r="AE20" i="4" s="1"/>
  <c r="AV42" i="1"/>
  <c r="AF20" i="4" s="1"/>
  <c r="AW42" i="1"/>
  <c r="AG20" i="4" s="1"/>
  <c r="AX42" i="1"/>
  <c r="AH20" i="4" s="1"/>
  <c r="AY42" i="1"/>
  <c r="AI20" i="4" s="1"/>
  <c r="AZ42" i="1"/>
  <c r="AJ20" i="4" s="1"/>
  <c r="BA42" i="1"/>
  <c r="AK20" i="4" s="1"/>
  <c r="AI43" i="1"/>
  <c r="S21" i="4" s="1"/>
  <c r="AJ43" i="1"/>
  <c r="AK43" i="1"/>
  <c r="AL43" i="1"/>
  <c r="AM43" i="1"/>
  <c r="W21" i="4" s="1"/>
  <c r="AN43" i="1"/>
  <c r="AO43" i="1"/>
  <c r="AP43" i="1"/>
  <c r="AQ43" i="1"/>
  <c r="AA21" i="4" s="1"/>
  <c r="AR43" i="1"/>
  <c r="AS43" i="1"/>
  <c r="AT43" i="1"/>
  <c r="AU43" i="1"/>
  <c r="AV43" i="1"/>
  <c r="AW43" i="1"/>
  <c r="AX43" i="1"/>
  <c r="AY43" i="1"/>
  <c r="AZ43" i="1"/>
  <c r="BA43" i="1"/>
  <c r="N28" i="1"/>
  <c r="O28" i="1"/>
  <c r="P28" i="1"/>
  <c r="Q28" i="1"/>
  <c r="R28" i="1"/>
  <c r="S28" i="1"/>
  <c r="T28" i="1"/>
  <c r="U28" i="1"/>
  <c r="V28" i="1"/>
  <c r="W28" i="1"/>
  <c r="X28" i="1"/>
  <c r="Y28" i="1"/>
  <c r="Z28" i="1"/>
  <c r="AA28" i="1"/>
  <c r="AB28" i="1"/>
  <c r="AC28" i="1"/>
  <c r="N29" i="1"/>
  <c r="O29" i="1"/>
  <c r="P29" i="1"/>
  <c r="Q29" i="1"/>
  <c r="R29" i="1"/>
  <c r="S29" i="1"/>
  <c r="T29" i="1"/>
  <c r="U29" i="1"/>
  <c r="V29" i="1"/>
  <c r="W29" i="1"/>
  <c r="X29" i="1"/>
  <c r="Y29" i="1"/>
  <c r="Z29" i="1"/>
  <c r="AA29" i="1"/>
  <c r="AB29" i="1"/>
  <c r="AC29" i="1"/>
  <c r="M30" i="1"/>
  <c r="M8" i="4" s="1"/>
  <c r="N30" i="1"/>
  <c r="O30" i="1"/>
  <c r="P30" i="1"/>
  <c r="Q30" i="1"/>
  <c r="R30" i="1"/>
  <c r="S30" i="1"/>
  <c r="T30" i="1"/>
  <c r="U30" i="1"/>
  <c r="V30" i="1"/>
  <c r="W30" i="1"/>
  <c r="X30" i="1"/>
  <c r="Y30" i="1"/>
  <c r="Z30" i="1"/>
  <c r="AA30" i="1"/>
  <c r="AB30" i="1"/>
  <c r="AC30" i="1"/>
  <c r="N31" i="1"/>
  <c r="O31" i="1"/>
  <c r="P31" i="1"/>
  <c r="Q31" i="1"/>
  <c r="R31" i="1"/>
  <c r="S31" i="1"/>
  <c r="T31" i="1"/>
  <c r="U31" i="1"/>
  <c r="V31" i="1"/>
  <c r="W31" i="1"/>
  <c r="X31" i="1"/>
  <c r="Y31" i="1"/>
  <c r="Z31" i="1"/>
  <c r="AA31" i="1"/>
  <c r="AB31" i="1"/>
  <c r="AC31" i="1"/>
  <c r="N32" i="1"/>
  <c r="O32" i="1"/>
  <c r="P32" i="1"/>
  <c r="Q32" i="1"/>
  <c r="R32" i="1"/>
  <c r="S32" i="1"/>
  <c r="T32" i="1"/>
  <c r="U32" i="1"/>
  <c r="V32" i="1"/>
  <c r="W32" i="1"/>
  <c r="X32" i="1"/>
  <c r="Y32" i="1"/>
  <c r="Z32" i="1"/>
  <c r="AA32" i="1"/>
  <c r="AB32" i="1"/>
  <c r="AC32" i="1"/>
  <c r="N33" i="1"/>
  <c r="O33" i="1"/>
  <c r="P33" i="1"/>
  <c r="Q33" i="1"/>
  <c r="R33" i="1"/>
  <c r="S33" i="1"/>
  <c r="T33" i="1"/>
  <c r="U33" i="1"/>
  <c r="V33" i="1"/>
  <c r="W33" i="1"/>
  <c r="X33" i="1"/>
  <c r="Y33" i="1"/>
  <c r="Z33" i="1"/>
  <c r="AA33" i="1"/>
  <c r="AB33" i="1"/>
  <c r="AC33" i="1"/>
  <c r="N34" i="1"/>
  <c r="O34" i="1"/>
  <c r="P34" i="1"/>
  <c r="Q34" i="1"/>
  <c r="R34" i="1"/>
  <c r="S34" i="1"/>
  <c r="T34" i="1"/>
  <c r="U34" i="1"/>
  <c r="V34" i="1"/>
  <c r="W34" i="1"/>
  <c r="X34" i="1"/>
  <c r="Y34" i="1"/>
  <c r="Z34" i="1"/>
  <c r="AA34" i="1"/>
  <c r="AB34" i="1"/>
  <c r="AC34" i="1"/>
  <c r="N35" i="1"/>
  <c r="O35" i="1"/>
  <c r="P35" i="1"/>
  <c r="Q35" i="1"/>
  <c r="R35" i="1"/>
  <c r="S35" i="1"/>
  <c r="T35" i="1"/>
  <c r="U35" i="1"/>
  <c r="V35" i="1"/>
  <c r="W35" i="1"/>
  <c r="X35" i="1"/>
  <c r="Y35" i="1"/>
  <c r="Z35" i="1"/>
  <c r="AA35" i="1"/>
  <c r="AB35" i="1"/>
  <c r="AC35" i="1"/>
  <c r="K36" i="1"/>
  <c r="K14" i="4" s="1"/>
  <c r="L36" i="1"/>
  <c r="L14" i="4" s="1"/>
  <c r="M36" i="1"/>
  <c r="M14" i="4" s="1"/>
  <c r="N36" i="1"/>
  <c r="O36" i="1"/>
  <c r="P36" i="1"/>
  <c r="Q36" i="1"/>
  <c r="R36" i="1"/>
  <c r="S36" i="1"/>
  <c r="T36" i="1"/>
  <c r="U36" i="1"/>
  <c r="V36" i="1"/>
  <c r="W36" i="1"/>
  <c r="X36" i="1"/>
  <c r="Y36" i="1"/>
  <c r="Z36" i="1"/>
  <c r="AA36" i="1"/>
  <c r="AB36" i="1"/>
  <c r="AC36" i="1"/>
  <c r="K37" i="1"/>
  <c r="K15" i="4" s="1"/>
  <c r="L37" i="1"/>
  <c r="L15" i="4" s="1"/>
  <c r="M37" i="1"/>
  <c r="M15" i="4" s="1"/>
  <c r="N37" i="1"/>
  <c r="O37" i="1"/>
  <c r="P37" i="1"/>
  <c r="Q37" i="1"/>
  <c r="R37" i="1"/>
  <c r="S37" i="1"/>
  <c r="T37" i="1"/>
  <c r="U37" i="1"/>
  <c r="V37" i="1"/>
  <c r="W37" i="1"/>
  <c r="X37" i="1"/>
  <c r="Y37" i="1"/>
  <c r="Z37" i="1"/>
  <c r="AA37" i="1"/>
  <c r="AB37" i="1"/>
  <c r="AC37" i="1"/>
  <c r="K38" i="1"/>
  <c r="K16" i="4" s="1"/>
  <c r="L38" i="1"/>
  <c r="L16" i="4" s="1"/>
  <c r="M38" i="1"/>
  <c r="M16" i="4" s="1"/>
  <c r="N38" i="1"/>
  <c r="O38" i="1"/>
  <c r="P38" i="1"/>
  <c r="Q38" i="1"/>
  <c r="R38" i="1"/>
  <c r="S38" i="1"/>
  <c r="T38" i="1"/>
  <c r="U38" i="1"/>
  <c r="V38" i="1"/>
  <c r="W38" i="1"/>
  <c r="X38" i="1"/>
  <c r="Y38" i="1"/>
  <c r="Z38" i="1"/>
  <c r="AA38" i="1"/>
  <c r="AB38" i="1"/>
  <c r="AC38" i="1"/>
  <c r="K39" i="1"/>
  <c r="K17" i="4" s="1"/>
  <c r="L39" i="1"/>
  <c r="L17" i="4" s="1"/>
  <c r="M39" i="1"/>
  <c r="M17" i="4" s="1"/>
  <c r="N39" i="1"/>
  <c r="O39" i="1"/>
  <c r="P39" i="1"/>
  <c r="Q39" i="1"/>
  <c r="R39" i="1"/>
  <c r="S39" i="1"/>
  <c r="T39" i="1"/>
  <c r="U39" i="1"/>
  <c r="V39" i="1"/>
  <c r="W39" i="1"/>
  <c r="X39" i="1"/>
  <c r="Y39" i="1"/>
  <c r="Z39" i="1"/>
  <c r="AA39" i="1"/>
  <c r="AB39" i="1"/>
  <c r="AC39" i="1"/>
  <c r="K40" i="1"/>
  <c r="K18" i="4" s="1"/>
  <c r="L40" i="1"/>
  <c r="L18" i="4" s="1"/>
  <c r="M40" i="1"/>
  <c r="M18" i="4" s="1"/>
  <c r="N40" i="1"/>
  <c r="O40" i="1"/>
  <c r="P40" i="1"/>
  <c r="Q40" i="1"/>
  <c r="R40" i="1"/>
  <c r="S40" i="1"/>
  <c r="T40" i="1"/>
  <c r="U40" i="1"/>
  <c r="V40" i="1"/>
  <c r="W40" i="1"/>
  <c r="X40" i="1"/>
  <c r="Y40" i="1"/>
  <c r="Z40" i="1"/>
  <c r="AA40" i="1"/>
  <c r="AB40" i="1"/>
  <c r="AC40" i="1"/>
  <c r="K41" i="1"/>
  <c r="K19" i="4" s="1"/>
  <c r="L41" i="1"/>
  <c r="L19" i="4" s="1"/>
  <c r="M41" i="1"/>
  <c r="M19" i="4" s="1"/>
  <c r="N41" i="1"/>
  <c r="O41" i="1"/>
  <c r="P41" i="1"/>
  <c r="Q41" i="1"/>
  <c r="R41" i="1"/>
  <c r="S41" i="1"/>
  <c r="T41" i="1"/>
  <c r="U41" i="1"/>
  <c r="V41" i="1"/>
  <c r="W41" i="1"/>
  <c r="X41" i="1"/>
  <c r="Y41" i="1"/>
  <c r="Z41" i="1"/>
  <c r="AA41" i="1"/>
  <c r="AB41" i="1"/>
  <c r="AC41" i="1"/>
  <c r="K42" i="1"/>
  <c r="K20" i="4" s="1"/>
  <c r="L42" i="1"/>
  <c r="L20" i="4" s="1"/>
  <c r="M42" i="1"/>
  <c r="M20" i="4" s="1"/>
  <c r="N42" i="1"/>
  <c r="O42" i="1"/>
  <c r="P42" i="1"/>
  <c r="Q42" i="1"/>
  <c r="R42" i="1"/>
  <c r="S42" i="1"/>
  <c r="T42" i="1"/>
  <c r="U42" i="1"/>
  <c r="V42" i="1"/>
  <c r="W42" i="1"/>
  <c r="X42" i="1"/>
  <c r="Y42" i="1"/>
  <c r="Z42" i="1"/>
  <c r="AA42" i="1"/>
  <c r="AB42" i="1"/>
  <c r="AC42" i="1"/>
  <c r="K43" i="1"/>
  <c r="L43" i="1"/>
  <c r="M43" i="1"/>
  <c r="N43" i="1"/>
  <c r="O43" i="1"/>
  <c r="P43" i="1"/>
  <c r="Q43" i="1"/>
  <c r="R43" i="1"/>
  <c r="S43" i="1"/>
  <c r="T43" i="1"/>
  <c r="U43" i="1"/>
  <c r="V43" i="1"/>
  <c r="W43" i="1"/>
  <c r="X43" i="1"/>
  <c r="Y43" i="1"/>
  <c r="Z43" i="1"/>
  <c r="AA43" i="1"/>
  <c r="AB43" i="1"/>
  <c r="AC43" i="1"/>
  <c r="AU23" i="23"/>
  <c r="AV23" i="23"/>
  <c r="AW23" i="23"/>
  <c r="AX23" i="23"/>
  <c r="AY23" i="23"/>
  <c r="AZ23" i="23"/>
  <c r="BA23" i="23"/>
  <c r="AU24" i="23"/>
  <c r="AV24" i="23"/>
  <c r="AW24" i="23"/>
  <c r="AX24" i="23"/>
  <c r="AY24" i="23"/>
  <c r="AZ24" i="23"/>
  <c r="BA24" i="23"/>
  <c r="AV23" i="1"/>
  <c r="AW23" i="1"/>
  <c r="AX23" i="1"/>
  <c r="AY23" i="1"/>
  <c r="AZ23" i="1"/>
  <c r="BA23" i="1"/>
  <c r="AV24" i="1"/>
  <c r="AW24" i="1"/>
  <c r="AX24" i="1"/>
  <c r="AY24" i="1"/>
  <c r="AZ24" i="1"/>
  <c r="BA24" i="1"/>
  <c r="U23" i="1"/>
  <c r="V23" i="1"/>
  <c r="U24" i="1"/>
  <c r="V24" i="1"/>
  <c r="X23" i="23"/>
  <c r="Y23" i="23"/>
  <c r="Z23" i="23"/>
  <c r="AA23" i="23"/>
  <c r="AB23" i="23"/>
  <c r="AC23" i="23"/>
  <c r="X24" i="23"/>
  <c r="Y24" i="23"/>
  <c r="Z24" i="23"/>
  <c r="AA24" i="23"/>
  <c r="AB24" i="23"/>
  <c r="AC24" i="23"/>
  <c r="Q23" i="23"/>
  <c r="R23" i="23"/>
  <c r="S23" i="23"/>
  <c r="T23" i="23"/>
  <c r="U23" i="23"/>
  <c r="V23" i="23"/>
  <c r="W23" i="23"/>
  <c r="Q24" i="23"/>
  <c r="R24" i="23"/>
  <c r="S24" i="23"/>
  <c r="T24" i="23"/>
  <c r="U24" i="23"/>
  <c r="V24" i="23"/>
  <c r="W24" i="23"/>
  <c r="W23" i="1"/>
  <c r="X23" i="1"/>
  <c r="Y23" i="1"/>
  <c r="Z23" i="1"/>
  <c r="AA23" i="1"/>
  <c r="AB23" i="1"/>
  <c r="AC23" i="1"/>
  <c r="W24" i="1"/>
  <c r="X24" i="1"/>
  <c r="Y24" i="1"/>
  <c r="Z24" i="1"/>
  <c r="AA24" i="1"/>
  <c r="AB24" i="1"/>
  <c r="AC24" i="1"/>
  <c r="AD45"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AD35" i="4"/>
  <c r="V35" i="4"/>
  <c r="I41" i="23"/>
  <c r="I35" i="4" s="1"/>
  <c r="H41" i="23"/>
  <c r="H35" i="4" s="1"/>
  <c r="G41" i="23"/>
  <c r="G35" i="4" s="1"/>
  <c r="F41" i="23"/>
  <c r="F35" i="4" s="1"/>
  <c r="E41" i="23"/>
  <c r="E35" i="4" s="1"/>
  <c r="D41" i="23"/>
  <c r="D35" i="4" s="1"/>
  <c r="C41" i="23"/>
  <c r="C35" i="4" s="1"/>
  <c r="B41" i="23"/>
  <c r="B35" i="4" s="1"/>
  <c r="AB34" i="4"/>
  <c r="T34" i="4"/>
  <c r="I40" i="23"/>
  <c r="I34" i="4" s="1"/>
  <c r="H40" i="23"/>
  <c r="H34" i="4" s="1"/>
  <c r="G40" i="23"/>
  <c r="G34" i="4" s="1"/>
  <c r="F40" i="23"/>
  <c r="F34" i="4" s="1"/>
  <c r="E40" i="23"/>
  <c r="E34" i="4" s="1"/>
  <c r="D40" i="23"/>
  <c r="D34" i="4" s="1"/>
  <c r="C40" i="23"/>
  <c r="C34" i="4" s="1"/>
  <c r="B40" i="23"/>
  <c r="B34" i="4" s="1"/>
  <c r="AA33" i="4"/>
  <c r="V33" i="4"/>
  <c r="I39" i="23"/>
  <c r="I33" i="4" s="1"/>
  <c r="H39" i="23"/>
  <c r="H33" i="4" s="1"/>
  <c r="G39" i="23"/>
  <c r="G33" i="4" s="1"/>
  <c r="F39" i="23"/>
  <c r="F33" i="4" s="1"/>
  <c r="E39" i="23"/>
  <c r="E33" i="4" s="1"/>
  <c r="D39" i="23"/>
  <c r="D33" i="4" s="1"/>
  <c r="C39" i="23"/>
  <c r="C33" i="4" s="1"/>
  <c r="B39" i="23"/>
  <c r="B33" i="4" s="1"/>
  <c r="AA32" i="4"/>
  <c r="I38" i="23"/>
  <c r="I32" i="4" s="1"/>
  <c r="H38" i="23"/>
  <c r="H32" i="4" s="1"/>
  <c r="G38" i="23"/>
  <c r="G32" i="4" s="1"/>
  <c r="F38" i="23"/>
  <c r="F32" i="4" s="1"/>
  <c r="E38" i="23"/>
  <c r="E32" i="4" s="1"/>
  <c r="D38" i="23"/>
  <c r="D32" i="4" s="1"/>
  <c r="C38" i="23"/>
  <c r="C32" i="4" s="1"/>
  <c r="U31" i="4"/>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Z25" i="4"/>
  <c r="AB24" i="4"/>
  <c r="P24" i="4"/>
  <c r="U22" i="4"/>
  <c r="AT24" i="23"/>
  <c r="AS24" i="23"/>
  <c r="AR24" i="23"/>
  <c r="AQ24" i="23"/>
  <c r="AP24" i="23"/>
  <c r="AO24" i="23"/>
  <c r="AN24" i="23"/>
  <c r="AM24" i="23"/>
  <c r="AL24" i="23"/>
  <c r="AK24" i="23"/>
  <c r="AJ24" i="23"/>
  <c r="AI24" i="23"/>
  <c r="AH24" i="23"/>
  <c r="AG24" i="23"/>
  <c r="AF24" i="23"/>
  <c r="AE24" i="23"/>
  <c r="P24" i="23"/>
  <c r="N24" i="23"/>
  <c r="L24" i="23"/>
  <c r="J24" i="23"/>
  <c r="I24" i="23"/>
  <c r="H24" i="23"/>
  <c r="G24" i="23"/>
  <c r="F24" i="23"/>
  <c r="E24" i="23"/>
  <c r="D24" i="23"/>
  <c r="C24" i="23"/>
  <c r="B24" i="23"/>
  <c r="AT23" i="23"/>
  <c r="AS23" i="23"/>
  <c r="AR23" i="23"/>
  <c r="AQ23" i="23"/>
  <c r="AP23" i="23"/>
  <c r="AO23" i="23"/>
  <c r="AN23" i="23"/>
  <c r="AM23" i="23"/>
  <c r="AL23" i="23"/>
  <c r="AK23" i="23"/>
  <c r="AJ23" i="23"/>
  <c r="AI23" i="23"/>
  <c r="AH23" i="23"/>
  <c r="AG23" i="23"/>
  <c r="AF23" i="23"/>
  <c r="AE23" i="23"/>
  <c r="B32" i="23" s="1"/>
  <c r="B26" i="4" s="1"/>
  <c r="P23" i="23"/>
  <c r="N23" i="23"/>
  <c r="L23" i="23"/>
  <c r="J23" i="23"/>
  <c r="I23" i="23"/>
  <c r="H23" i="23"/>
  <c r="G23" i="23"/>
  <c r="F23" i="23"/>
  <c r="E23" i="23"/>
  <c r="D23" i="23"/>
  <c r="C23" i="23"/>
  <c r="B23" i="23"/>
  <c r="AG45" i="23"/>
  <c r="AF45" i="23"/>
  <c r="AE45" i="23"/>
  <c r="I22" i="23"/>
  <c r="H27" i="23"/>
  <c r="H52" i="23" s="1"/>
  <c r="G45" i="23"/>
  <c r="F27" i="23"/>
  <c r="F52" i="23" s="1"/>
  <c r="E45" i="23"/>
  <c r="C45" i="23"/>
  <c r="B45" i="23"/>
  <c r="E30" i="23"/>
  <c r="E24" i="4" s="1"/>
  <c r="C28" i="23"/>
  <c r="J40" i="23"/>
  <c r="J34" i="4" s="1"/>
  <c r="J36" i="23"/>
  <c r="J30" i="4" s="1"/>
  <c r="G35" i="23"/>
  <c r="G29" i="4" s="1"/>
  <c r="H34" i="23"/>
  <c r="H28" i="4" s="1"/>
  <c r="E33" i="23"/>
  <c r="E27" i="4" s="1"/>
  <c r="X26" i="4"/>
  <c r="F32" i="23"/>
  <c r="F26" i="4" s="1"/>
  <c r="G31" i="23"/>
  <c r="G25" i="4" s="1"/>
  <c r="C31" i="23"/>
  <c r="C25" i="4" s="1"/>
  <c r="I29" i="23"/>
  <c r="I23" i="4" s="1"/>
  <c r="J28" i="23"/>
  <c r="F28" i="23"/>
  <c r="J42" i="23"/>
  <c r="J36" i="4" s="1"/>
  <c r="J38" i="23"/>
  <c r="J32" i="4" s="1"/>
  <c r="J34" i="23"/>
  <c r="J28" i="4" s="1"/>
  <c r="F34" i="23"/>
  <c r="F28" i="4" s="1"/>
  <c r="H32" i="23"/>
  <c r="H26" i="4" s="1"/>
  <c r="I31" i="23"/>
  <c r="I25" i="4" s="1"/>
  <c r="E31" i="23"/>
  <c r="E25" i="4" s="1"/>
  <c r="C29" i="23"/>
  <c r="C23" i="4" s="1"/>
  <c r="J41" i="23"/>
  <c r="J35" i="4" s="1"/>
  <c r="J37" i="23"/>
  <c r="J31" i="4" s="1"/>
  <c r="V29" i="4"/>
  <c r="I34" i="23"/>
  <c r="I28" i="4" s="1"/>
  <c r="E34" i="23"/>
  <c r="E28" i="4" s="1"/>
  <c r="J43" i="23"/>
  <c r="J39" i="23"/>
  <c r="J33" i="4" s="1"/>
  <c r="J35" i="23"/>
  <c r="J29" i="4" s="1"/>
  <c r="C34" i="23"/>
  <c r="C28" i="4" s="1"/>
  <c r="V27" i="4"/>
  <c r="D33" i="23"/>
  <c r="D27" i="4" s="1"/>
  <c r="E32" i="23"/>
  <c r="E26" i="4" s="1"/>
  <c r="F31" i="23"/>
  <c r="F25" i="4" s="1"/>
  <c r="G30" i="23"/>
  <c r="G24" i="4" s="1"/>
  <c r="H29" i="23"/>
  <c r="H23" i="4" s="1"/>
  <c r="D29" i="23"/>
  <c r="D23" i="4" s="1"/>
  <c r="I28" i="23"/>
  <c r="E35" i="23"/>
  <c r="E29" i="4" s="1"/>
  <c r="G33" i="23"/>
  <c r="G27" i="4" s="1"/>
  <c r="X24" i="4"/>
  <c r="H28" i="23"/>
  <c r="J33" i="23"/>
  <c r="J27" i="4" s="1"/>
  <c r="F33" i="23"/>
  <c r="F27" i="4" s="1"/>
  <c r="G32" i="23"/>
  <c r="G26" i="4" s="1"/>
  <c r="V25" i="4"/>
  <c r="H31" i="23"/>
  <c r="H25" i="4" s="1"/>
  <c r="G28" i="23"/>
  <c r="I30" i="23"/>
  <c r="I24" i="4" s="1"/>
  <c r="AF22" i="23"/>
  <c r="AI23" i="1"/>
  <c r="AJ23" i="1"/>
  <c r="AK23" i="1"/>
  <c r="AL23" i="1"/>
  <c r="AM23" i="1"/>
  <c r="AN23" i="1"/>
  <c r="AO23" i="1"/>
  <c r="AP23" i="1"/>
  <c r="AQ23" i="1"/>
  <c r="AR23" i="1"/>
  <c r="AS23" i="1"/>
  <c r="AT23" i="1"/>
  <c r="AI24" i="1"/>
  <c r="AJ24" i="1"/>
  <c r="AK24" i="1"/>
  <c r="AL24" i="1"/>
  <c r="AM24" i="1"/>
  <c r="AN24" i="1"/>
  <c r="AO24" i="1"/>
  <c r="AP24" i="1"/>
  <c r="AQ24" i="1"/>
  <c r="AR24" i="1"/>
  <c r="AS24" i="1"/>
  <c r="AT24" i="1"/>
  <c r="L23" i="1"/>
  <c r="M23" i="1"/>
  <c r="N23" i="1"/>
  <c r="O23" i="1"/>
  <c r="P23" i="1"/>
  <c r="Q23" i="1"/>
  <c r="R23" i="1"/>
  <c r="S23" i="1"/>
  <c r="T23" i="1"/>
  <c r="L24" i="1"/>
  <c r="M24" i="1"/>
  <c r="N24" i="1"/>
  <c r="O24" i="1"/>
  <c r="P24" i="1"/>
  <c r="Q24" i="1"/>
  <c r="R24" i="1"/>
  <c r="S24" i="1"/>
  <c r="T24" i="1"/>
  <c r="T22" i="4"/>
  <c r="O9" i="12"/>
  <c r="O10" i="12" s="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AH33" i="1"/>
  <c r="R11" i="4" s="1"/>
  <c r="AG36" i="1"/>
  <c r="Q14" i="4" s="1"/>
  <c r="AH36" i="1"/>
  <c r="R14" i="4" s="1"/>
  <c r="AG37" i="1"/>
  <c r="Q15" i="4" s="1"/>
  <c r="AF38" i="1"/>
  <c r="P16" i="4" s="1"/>
  <c r="AG38" i="1"/>
  <c r="Q16" i="4" s="1"/>
  <c r="AF39" i="1"/>
  <c r="P17" i="4" s="1"/>
  <c r="AG39" i="1"/>
  <c r="Q17" i="4" s="1"/>
  <c r="AH39" i="1"/>
  <c r="R17" i="4" s="1"/>
  <c r="AF40" i="1"/>
  <c r="P18" i="4" s="1"/>
  <c r="AG40" i="1"/>
  <c r="Q18" i="4" s="1"/>
  <c r="AH40" i="1"/>
  <c r="R18" i="4" s="1"/>
  <c r="AF41" i="1"/>
  <c r="P19" i="4" s="1"/>
  <c r="AG41" i="1"/>
  <c r="Q19" i="4" s="1"/>
  <c r="AF42" i="1"/>
  <c r="P20" i="4" s="1"/>
  <c r="AG42" i="1"/>
  <c r="Q20" i="4" s="1"/>
  <c r="AF43" i="1"/>
  <c r="AG43" i="1"/>
  <c r="AH43" i="1"/>
  <c r="B36" i="1"/>
  <c r="B14" i="4" s="1"/>
  <c r="B37" i="1"/>
  <c r="B15" i="4" s="1"/>
  <c r="B38" i="1"/>
  <c r="B16" i="4" s="1"/>
  <c r="B39" i="1"/>
  <c r="B17" i="4" s="1"/>
  <c r="B40" i="1"/>
  <c r="B18" i="4" s="1"/>
  <c r="B41" i="1"/>
  <c r="B19" i="4" s="1"/>
  <c r="B42" i="1"/>
  <c r="B20" i="4" s="1"/>
  <c r="B43" i="1"/>
  <c r="B23" i="1"/>
  <c r="B4" i="4"/>
  <c r="B62" i="4" s="1"/>
  <c r="A52" i="1"/>
  <c r="AE22" i="1"/>
  <c r="AG24" i="1"/>
  <c r="AF24" i="1"/>
  <c r="AE24" i="1"/>
  <c r="AG23" i="1"/>
  <c r="AF23" i="1"/>
  <c r="AE23" i="1"/>
  <c r="C29" i="1" s="1"/>
  <c r="C7" i="4" s="1"/>
  <c r="H27" i="1"/>
  <c r="H52" i="1" s="1"/>
  <c r="G27" i="1"/>
  <c r="G52" i="1" s="1"/>
  <c r="F27" i="1"/>
  <c r="F52" i="1" s="1"/>
  <c r="E4" i="4"/>
  <c r="D22" i="1"/>
  <c r="C45" i="1"/>
  <c r="H30" i="1"/>
  <c r="H8" i="4" s="1"/>
  <c r="E35" i="1"/>
  <c r="E13" i="4" s="1"/>
  <c r="H35" i="1"/>
  <c r="H13" i="4" s="1"/>
  <c r="E29" i="1"/>
  <c r="E33" i="1"/>
  <c r="E11" i="4" s="1"/>
  <c r="G35" i="1"/>
  <c r="G13" i="4" s="1"/>
  <c r="G34" i="1"/>
  <c r="G12" i="4" s="1"/>
  <c r="AE39" i="1"/>
  <c r="O17" i="4" s="1"/>
  <c r="AE43" i="1"/>
  <c r="AG31" i="1"/>
  <c r="Q9" i="4" s="1"/>
  <c r="AG34" i="1"/>
  <c r="Q12" i="4" s="1"/>
  <c r="AE42" i="1"/>
  <c r="O20" i="4" s="1"/>
  <c r="AE40" i="1"/>
  <c r="O18" i="4" s="1"/>
  <c r="AF28" i="1"/>
  <c r="AF30" i="1"/>
  <c r="P8" i="4" s="1"/>
  <c r="AF33" i="1"/>
  <c r="P11" i="4" s="1"/>
  <c r="AF34" i="1"/>
  <c r="P12" i="4" s="1"/>
  <c r="AE41" i="1"/>
  <c r="O19" i="4" s="1"/>
  <c r="AG28" i="1"/>
  <c r="AG33" i="1"/>
  <c r="Q11" i="4" s="1"/>
  <c r="AG35" i="1"/>
  <c r="Q13" i="4" s="1"/>
  <c r="AE38" i="1"/>
  <c r="O16" i="4" s="1"/>
  <c r="AG27" i="1"/>
  <c r="AG52" i="1" s="1"/>
  <c r="K24" i="1"/>
  <c r="J24" i="1"/>
  <c r="H24" i="1"/>
  <c r="G24" i="1"/>
  <c r="F24" i="1"/>
  <c r="E24" i="1"/>
  <c r="D24" i="1"/>
  <c r="C24" i="1"/>
  <c r="B24" i="1"/>
  <c r="K23" i="1"/>
  <c r="J23" i="1"/>
  <c r="H23" i="1"/>
  <c r="G23" i="1"/>
  <c r="F23" i="1"/>
  <c r="E23" i="1"/>
  <c r="D23" i="1"/>
  <c r="C23" i="1"/>
  <c r="AU24" i="1"/>
  <c r="AH24" i="1"/>
  <c r="AU23" i="1"/>
  <c r="AH23" i="1"/>
  <c r="Q4" i="1"/>
  <c r="Q27" i="1" s="1"/>
  <c r="Q52" i="1" s="1"/>
  <c r="W4" i="23"/>
  <c r="W45" i="23" s="1"/>
  <c r="K4" i="4"/>
  <c r="K62" i="4" s="1"/>
  <c r="L4" i="4"/>
  <c r="K4" i="23"/>
  <c r="K52" i="23" s="1"/>
  <c r="L4" i="23"/>
  <c r="L27" i="23" s="1"/>
  <c r="AJ56" i="23"/>
  <c r="AI56" i="23"/>
  <c r="AW56" i="23"/>
  <c r="V56" i="23"/>
  <c r="AT56" i="1"/>
  <c r="AS56" i="1"/>
  <c r="AG56" i="23"/>
  <c r="AB56" i="1"/>
  <c r="O56" i="1"/>
  <c r="BA56" i="1"/>
  <c r="AV56" i="1"/>
  <c r="AK56" i="23"/>
  <c r="V56" i="1"/>
  <c r="AR56" i="1"/>
  <c r="AZ56" i="1"/>
  <c r="J56" i="1"/>
  <c r="Y56" i="1"/>
  <c r="T56" i="1"/>
  <c r="BA56" i="23"/>
  <c r="AF56" i="23"/>
  <c r="N56" i="23"/>
  <c r="AW56" i="1"/>
  <c r="AR56" i="23"/>
  <c r="I56" i="23"/>
  <c r="G56" i="23"/>
  <c r="AA56" i="1"/>
  <c r="E56" i="23"/>
  <c r="AU56" i="1"/>
  <c r="U56" i="23"/>
  <c r="AQ56" i="1"/>
  <c r="AK56" i="1"/>
  <c r="AC56" i="1"/>
  <c r="AM56" i="1"/>
  <c r="L56" i="1"/>
  <c r="R56" i="23"/>
  <c r="M56" i="1"/>
  <c r="AM56" i="23"/>
  <c r="O56" i="23"/>
  <c r="U56" i="1"/>
  <c r="P56" i="1"/>
  <c r="L56" i="23"/>
  <c r="T56" i="23"/>
  <c r="AY56" i="1"/>
  <c r="K56" i="1"/>
  <c r="M56" i="23"/>
  <c r="AZ56" i="23"/>
  <c r="AY56" i="23"/>
  <c r="S56" i="23"/>
  <c r="Q56" i="1"/>
  <c r="AP56" i="23"/>
  <c r="R56" i="1"/>
  <c r="AL56" i="23"/>
  <c r="Z56" i="23"/>
  <c r="Y56" i="23"/>
  <c r="AP56" i="1"/>
  <c r="AO56" i="23"/>
  <c r="P56" i="23"/>
  <c r="AA56" i="23"/>
  <c r="AX56" i="1"/>
  <c r="S56" i="1"/>
  <c r="C56" i="23"/>
  <c r="AN56" i="1"/>
  <c r="F56" i="23"/>
  <c r="W56" i="1"/>
  <c r="AS56" i="23"/>
  <c r="AU56" i="23"/>
  <c r="AI56" i="1"/>
  <c r="X56" i="1"/>
  <c r="AH56" i="23"/>
  <c r="H56" i="23"/>
  <c r="X56" i="23"/>
  <c r="AN56" i="23"/>
  <c r="AJ56" i="1"/>
  <c r="AT56" i="23"/>
  <c r="AL56" i="1"/>
  <c r="Z56" i="1"/>
  <c r="AQ56" i="23"/>
  <c r="AB56" i="23"/>
  <c r="D56" i="23"/>
  <c r="K56" i="23"/>
  <c r="J56" i="23"/>
  <c r="W56" i="23"/>
  <c r="AC56" i="23"/>
  <c r="N56" i="1"/>
  <c r="Q56" i="23"/>
  <c r="AX56" i="23"/>
  <c r="AO56" i="1"/>
  <c r="AV56" i="23"/>
  <c r="I33" i="23" l="1"/>
  <c r="I27" i="4" s="1"/>
  <c r="F29" i="23"/>
  <c r="F23" i="4" s="1"/>
  <c r="AE40" i="23"/>
  <c r="O34" i="4" s="1"/>
  <c r="AE43" i="23"/>
  <c r="AE39" i="23"/>
  <c r="O33" i="4" s="1"/>
  <c r="G29" i="23"/>
  <c r="G23" i="4" s="1"/>
  <c r="I35" i="23"/>
  <c r="I29" i="4" s="1"/>
  <c r="C30" i="23"/>
  <c r="C24" i="4" s="1"/>
  <c r="I32" i="23"/>
  <c r="I26" i="4" s="1"/>
  <c r="G34" i="23"/>
  <c r="G28" i="4" s="1"/>
  <c r="F30" i="23"/>
  <c r="F24" i="4" s="1"/>
  <c r="D30" i="23"/>
  <c r="D24" i="4" s="1"/>
  <c r="C35" i="23"/>
  <c r="C29" i="4" s="1"/>
  <c r="J29" i="23"/>
  <c r="J23" i="4" s="1"/>
  <c r="AE42" i="23"/>
  <c r="O36" i="4" s="1"/>
  <c r="L35" i="23"/>
  <c r="L29" i="4" s="1"/>
  <c r="K34" i="23"/>
  <c r="K28" i="4" s="1"/>
  <c r="M32" i="23"/>
  <c r="M26" i="4" s="1"/>
  <c r="L31" i="23"/>
  <c r="L25" i="4" s="1"/>
  <c r="M28" i="23"/>
  <c r="M22" i="4" s="1"/>
  <c r="D35" i="23"/>
  <c r="D29" i="4" s="1"/>
  <c r="D32" i="23"/>
  <c r="D26" i="4" s="1"/>
  <c r="E28" i="23"/>
  <c r="J31" i="23"/>
  <c r="J25" i="4" s="1"/>
  <c r="H33" i="23"/>
  <c r="H27" i="4" s="1"/>
  <c r="F35" i="23"/>
  <c r="F29" i="4" s="1"/>
  <c r="C32" i="23"/>
  <c r="C26" i="4" s="1"/>
  <c r="H35" i="23"/>
  <c r="H29" i="4" s="1"/>
  <c r="D28" i="23"/>
  <c r="D22" i="4" s="1"/>
  <c r="J30" i="23"/>
  <c r="J24" i="4" s="1"/>
  <c r="C33" i="23"/>
  <c r="C27" i="4" s="1"/>
  <c r="E29" i="23"/>
  <c r="E23" i="4" s="1"/>
  <c r="H30" i="23"/>
  <c r="H24" i="4" s="1"/>
  <c r="J32" i="23"/>
  <c r="J26" i="4" s="1"/>
  <c r="D34" i="23"/>
  <c r="D28" i="4" s="1"/>
  <c r="D31" i="23"/>
  <c r="D25" i="4" s="1"/>
  <c r="K35" i="23"/>
  <c r="K29" i="4" s="1"/>
  <c r="M33" i="23"/>
  <c r="M27" i="4" s="1"/>
  <c r="L32" i="23"/>
  <c r="L26" i="4" s="1"/>
  <c r="K31" i="23"/>
  <c r="K25" i="4" s="1"/>
  <c r="M29" i="23"/>
  <c r="M23" i="4" s="1"/>
  <c r="L28" i="23"/>
  <c r="AE35" i="23"/>
  <c r="O29" i="4" s="1"/>
  <c r="M34" i="23"/>
  <c r="M28" i="4" s="1"/>
  <c r="L33" i="23"/>
  <c r="L27" i="4" s="1"/>
  <c r="K32" i="23"/>
  <c r="K26" i="4" s="1"/>
  <c r="M30" i="23"/>
  <c r="M24" i="4" s="1"/>
  <c r="L29" i="23"/>
  <c r="L23" i="4" s="1"/>
  <c r="K28" i="23"/>
  <c r="K22" i="4" s="1"/>
  <c r="AE33" i="23"/>
  <c r="O27" i="4" s="1"/>
  <c r="M35" i="23"/>
  <c r="M29" i="4" s="1"/>
  <c r="L34" i="23"/>
  <c r="L28" i="4" s="1"/>
  <c r="K33" i="23"/>
  <c r="K27" i="4" s="1"/>
  <c r="M31" i="23"/>
  <c r="M25" i="4" s="1"/>
  <c r="L30" i="23"/>
  <c r="L24" i="4" s="1"/>
  <c r="K29" i="23"/>
  <c r="K23" i="4" s="1"/>
  <c r="AE29" i="23"/>
  <c r="O23" i="4" s="1"/>
  <c r="H33" i="1"/>
  <c r="H11" i="4" s="1"/>
  <c r="J32" i="1"/>
  <c r="K35" i="1"/>
  <c r="K13" i="4" s="1"/>
  <c r="M33" i="1"/>
  <c r="M11" i="4" s="1"/>
  <c r="L32" i="1"/>
  <c r="L10" i="4" s="1"/>
  <c r="K31" i="1"/>
  <c r="M29" i="1"/>
  <c r="M7" i="4" s="1"/>
  <c r="L28" i="1"/>
  <c r="L6" i="4" s="1"/>
  <c r="F33" i="1"/>
  <c r="F11" i="4" s="1"/>
  <c r="C35" i="1"/>
  <c r="C13" i="4" s="1"/>
  <c r="H32" i="1"/>
  <c r="H10" i="4" s="1"/>
  <c r="F35" i="1"/>
  <c r="F13" i="4" s="1"/>
  <c r="D33" i="1"/>
  <c r="D11" i="4" s="1"/>
  <c r="D35" i="1"/>
  <c r="D13" i="4" s="1"/>
  <c r="H34" i="1"/>
  <c r="H12" i="4" s="1"/>
  <c r="G29" i="1"/>
  <c r="G7" i="4" s="1"/>
  <c r="J35" i="1"/>
  <c r="J13" i="4" s="1"/>
  <c r="J31" i="1"/>
  <c r="J9" i="4" s="1"/>
  <c r="J28" i="1"/>
  <c r="J6" i="4" s="1"/>
  <c r="M34" i="1"/>
  <c r="M12" i="4" s="1"/>
  <c r="L33" i="1"/>
  <c r="L11" i="4" s="1"/>
  <c r="K32" i="1"/>
  <c r="K10" i="4" s="1"/>
  <c r="L29" i="1"/>
  <c r="L7" i="4" s="1"/>
  <c r="K28" i="1"/>
  <c r="K47" i="1" s="1"/>
  <c r="K48" i="1" s="1"/>
  <c r="K54" i="1" s="1"/>
  <c r="AE32" i="1"/>
  <c r="O10" i="4" s="1"/>
  <c r="G30" i="1"/>
  <c r="G8" i="4" s="1"/>
  <c r="F34" i="1"/>
  <c r="F12" i="4" s="1"/>
  <c r="F30" i="1"/>
  <c r="F8" i="4" s="1"/>
  <c r="I30" i="1"/>
  <c r="I8" i="4" s="1"/>
  <c r="E32" i="1"/>
  <c r="E10" i="4" s="1"/>
  <c r="C33" i="1"/>
  <c r="C11" i="4" s="1"/>
  <c r="J34" i="1"/>
  <c r="J12" i="4" s="1"/>
  <c r="J30" i="1"/>
  <c r="J8" i="4" s="1"/>
  <c r="M35" i="1"/>
  <c r="M13" i="4" s="1"/>
  <c r="L34" i="1"/>
  <c r="L12" i="4" s="1"/>
  <c r="K33" i="1"/>
  <c r="K11" i="4" s="1"/>
  <c r="M31" i="1"/>
  <c r="M9" i="4" s="1"/>
  <c r="L30" i="1"/>
  <c r="L8" i="4" s="1"/>
  <c r="K29" i="1"/>
  <c r="K7" i="4" s="1"/>
  <c r="B33" i="1"/>
  <c r="B11" i="4" s="1"/>
  <c r="F29" i="1"/>
  <c r="F7" i="4" s="1"/>
  <c r="I33" i="1"/>
  <c r="I11" i="4" s="1"/>
  <c r="I29" i="1"/>
  <c r="I34" i="1"/>
  <c r="I12" i="4" s="1"/>
  <c r="E30" i="1"/>
  <c r="E8" i="4" s="1"/>
  <c r="H31" i="1"/>
  <c r="F32" i="1"/>
  <c r="F10" i="4" s="1"/>
  <c r="J33" i="1"/>
  <c r="J11" i="4" s="1"/>
  <c r="J29" i="1"/>
  <c r="J7" i="4" s="1"/>
  <c r="L35" i="1"/>
  <c r="L13" i="4" s="1"/>
  <c r="K34" i="1"/>
  <c r="K12" i="4" s="1"/>
  <c r="M32" i="1"/>
  <c r="M10" i="4" s="1"/>
  <c r="L31" i="1"/>
  <c r="L9" i="4" s="1"/>
  <c r="K30" i="1"/>
  <c r="K8" i="4" s="1"/>
  <c r="M28" i="1"/>
  <c r="M6" i="4" s="1"/>
  <c r="E22" i="4"/>
  <c r="F22" i="4"/>
  <c r="AJ6" i="4"/>
  <c r="AF6" i="4"/>
  <c r="AB6" i="4"/>
  <c r="X6" i="4"/>
  <c r="T6" i="4"/>
  <c r="P6" i="4"/>
  <c r="Q6" i="4"/>
  <c r="H22" i="4"/>
  <c r="I22" i="4"/>
  <c r="J22" i="4"/>
  <c r="C22" i="4"/>
  <c r="K6" i="4"/>
  <c r="AE6" i="4"/>
  <c r="AA6" i="4"/>
  <c r="S6" i="4"/>
  <c r="L22" i="4"/>
  <c r="AH22" i="4"/>
  <c r="AD22" i="4"/>
  <c r="Z22" i="4"/>
  <c r="AH6" i="4"/>
  <c r="AD6" i="4"/>
  <c r="AK22" i="4"/>
  <c r="AG22" i="4"/>
  <c r="AC22" i="4"/>
  <c r="Y22" i="4"/>
  <c r="Q22" i="4"/>
  <c r="G22" i="4"/>
  <c r="AK6" i="4"/>
  <c r="AG6" i="4"/>
  <c r="AC6" i="4"/>
  <c r="Y6" i="4"/>
  <c r="U6" i="4"/>
  <c r="AJ22" i="4"/>
  <c r="AF22" i="4"/>
  <c r="AB22" i="4"/>
  <c r="X22" i="4"/>
  <c r="P22" i="4"/>
  <c r="AY4" i="33"/>
  <c r="AX4" i="33"/>
  <c r="AX22" i="33" s="1"/>
  <c r="AZ4" i="33"/>
  <c r="AZ22" i="33" s="1"/>
  <c r="AV4" i="33"/>
  <c r="AV27" i="33" s="1"/>
  <c r="AV52" i="33" s="1"/>
  <c r="AR4" i="33"/>
  <c r="AR27" i="33" s="1"/>
  <c r="AR52" i="33" s="1"/>
  <c r="AN4" i="33"/>
  <c r="AN45" i="33" s="1"/>
  <c r="AJ4" i="33"/>
  <c r="AJ22" i="33" s="1"/>
  <c r="AG22" i="1"/>
  <c r="S9" i="12"/>
  <c r="S10" i="12" s="1"/>
  <c r="N9" i="12"/>
  <c r="N10" i="12" s="1"/>
  <c r="M9" i="12"/>
  <c r="M10" i="12" s="1"/>
  <c r="I9" i="12"/>
  <c r="I10" i="12" s="1"/>
  <c r="P9" i="12"/>
  <c r="P10" i="12" s="1"/>
  <c r="AH35" i="1"/>
  <c r="R13" i="4" s="1"/>
  <c r="G32" i="1"/>
  <c r="G10" i="4" s="1"/>
  <c r="H29" i="1"/>
  <c r="E28" i="1"/>
  <c r="D34" i="1"/>
  <c r="D12" i="4" s="1"/>
  <c r="I31" i="1"/>
  <c r="I9" i="4" s="1"/>
  <c r="F28" i="1"/>
  <c r="AH41" i="1"/>
  <c r="R19" i="4" s="1"/>
  <c r="AH37" i="1"/>
  <c r="R15" i="4" s="1"/>
  <c r="AG29" i="1"/>
  <c r="AE37" i="1"/>
  <c r="O15" i="4" s="1"/>
  <c r="AF29" i="1"/>
  <c r="B34" i="1"/>
  <c r="B12" i="4" s="1"/>
  <c r="B35" i="1"/>
  <c r="B13" i="4" s="1"/>
  <c r="C34" i="1"/>
  <c r="C12" i="4" s="1"/>
  <c r="I28" i="1"/>
  <c r="G31" i="1"/>
  <c r="G9" i="4" s="1"/>
  <c r="H28" i="1"/>
  <c r="E34" i="1"/>
  <c r="F31" i="1"/>
  <c r="G28" i="1"/>
  <c r="I32" i="1"/>
  <c r="I10" i="4" s="1"/>
  <c r="I35" i="1"/>
  <c r="G33" i="1"/>
  <c r="E31" i="1"/>
  <c r="E9" i="4" s="1"/>
  <c r="AH42" i="1"/>
  <c r="R20" i="4" s="1"/>
  <c r="AH38" i="1"/>
  <c r="R16" i="4" s="1"/>
  <c r="AH34" i="1"/>
  <c r="R12" i="4" s="1"/>
  <c r="L74" i="4"/>
  <c r="H2" i="12" s="1"/>
  <c r="L62" i="4"/>
  <c r="AR22" i="33"/>
  <c r="AR45" i="33"/>
  <c r="E55" i="4"/>
  <c r="E62" i="4"/>
  <c r="AY27" i="33"/>
  <c r="AY52" i="33" s="1"/>
  <c r="AY45" i="33"/>
  <c r="AY22" i="33"/>
  <c r="K9" i="12"/>
  <c r="K10" i="12" s="1"/>
  <c r="P21" i="4"/>
  <c r="I52" i="23"/>
  <c r="AH4" i="33"/>
  <c r="AT4" i="33"/>
  <c r="AP4" i="33"/>
  <c r="X21" i="4"/>
  <c r="AD37" i="4"/>
  <c r="Z37" i="4"/>
  <c r="V37" i="4"/>
  <c r="R37" i="4"/>
  <c r="K37" i="4"/>
  <c r="I45" i="23"/>
  <c r="BA4" i="33"/>
  <c r="AW4" i="33"/>
  <c r="AS4" i="33"/>
  <c r="AK4" i="33"/>
  <c r="O21" i="4"/>
  <c r="R21" i="4"/>
  <c r="Q21" i="4"/>
  <c r="AU4" i="33"/>
  <c r="AQ4" i="33"/>
  <c r="AI4" i="33"/>
  <c r="C27" i="23"/>
  <c r="C52" i="23" s="1"/>
  <c r="I27" i="23"/>
  <c r="AD21" i="4"/>
  <c r="AB21" i="4"/>
  <c r="Z21" i="4"/>
  <c r="V21" i="4"/>
  <c r="T21" i="4"/>
  <c r="B21" i="4"/>
  <c r="AE37" i="23"/>
  <c r="O31" i="4" s="1"/>
  <c r="AE34" i="23"/>
  <c r="O28" i="4" s="1"/>
  <c r="AE38" i="23"/>
  <c r="AB37" i="4"/>
  <c r="T37" i="4"/>
  <c r="B38" i="23"/>
  <c r="F37" i="4"/>
  <c r="AA37" i="4"/>
  <c r="AB46" i="23"/>
  <c r="AB53" i="23" s="1"/>
  <c r="AH37" i="4"/>
  <c r="L37" i="4"/>
  <c r="X37" i="4"/>
  <c r="P37" i="4"/>
  <c r="S46" i="23"/>
  <c r="S53" i="23" s="1"/>
  <c r="W37" i="4"/>
  <c r="S37" i="4"/>
  <c r="J37" i="4"/>
  <c r="H37" i="4"/>
  <c r="M37" i="4"/>
  <c r="O37" i="4"/>
  <c r="AK37" i="4"/>
  <c r="Q4" i="4"/>
  <c r="Q62" i="4" s="1"/>
  <c r="H7" i="22"/>
  <c r="AP4" i="1"/>
  <c r="Z4" i="4" s="1"/>
  <c r="Z74" i="4" s="1"/>
  <c r="A44" i="22"/>
  <c r="Y4" i="1"/>
  <c r="Y45" i="1" s="1"/>
  <c r="H22" i="22"/>
  <c r="H19" i="22"/>
  <c r="H15" i="22"/>
  <c r="N4" i="23"/>
  <c r="N22" i="23" s="1"/>
  <c r="AB4" i="1"/>
  <c r="H25" i="22"/>
  <c r="X4" i="1"/>
  <c r="H21" i="22"/>
  <c r="U4" i="23"/>
  <c r="U27" i="23" s="1"/>
  <c r="H18" i="22"/>
  <c r="V4" i="1"/>
  <c r="V27" i="1" s="1"/>
  <c r="V52" i="1" s="1"/>
  <c r="AF27" i="23"/>
  <c r="AF52" i="23" s="1"/>
  <c r="Y4" i="23"/>
  <c r="Y45" i="23" s="1"/>
  <c r="W4" i="1"/>
  <c r="W22" i="1" s="1"/>
  <c r="H20" i="22"/>
  <c r="T4" i="1"/>
  <c r="T45" i="1" s="1"/>
  <c r="H17" i="22"/>
  <c r="X4" i="23"/>
  <c r="X45" i="23" s="1"/>
  <c r="R4" i="23"/>
  <c r="Z4" i="1"/>
  <c r="H23" i="22"/>
  <c r="V4" i="23"/>
  <c r="V52" i="23" s="1"/>
  <c r="S4" i="23"/>
  <c r="S45" i="23" s="1"/>
  <c r="H16" i="22"/>
  <c r="A49" i="22"/>
  <c r="J4" i="4"/>
  <c r="J4" i="23"/>
  <c r="J45" i="23" s="1"/>
  <c r="W22" i="23"/>
  <c r="O4" i="1"/>
  <c r="O27" i="1" s="1"/>
  <c r="O52" i="1" s="1"/>
  <c r="S4" i="1"/>
  <c r="S27" i="1" s="1"/>
  <c r="S52" i="1" s="1"/>
  <c r="R4" i="1"/>
  <c r="R45" i="1" s="1"/>
  <c r="U4" i="1"/>
  <c r="U22" i="1" s="1"/>
  <c r="T4" i="23"/>
  <c r="T27" i="23" s="1"/>
  <c r="M4" i="23"/>
  <c r="M27" i="23" s="1"/>
  <c r="H10" i="22"/>
  <c r="M4" i="4"/>
  <c r="P4" i="23"/>
  <c r="P52" i="23" s="1"/>
  <c r="H13" i="22"/>
  <c r="O4" i="23"/>
  <c r="O27" i="23" s="1"/>
  <c r="H12" i="22"/>
  <c r="P4" i="1"/>
  <c r="Q4" i="23"/>
  <c r="H11" i="22"/>
  <c r="L45" i="1"/>
  <c r="L27" i="1"/>
  <c r="L52" i="1" s="1"/>
  <c r="H9" i="22"/>
  <c r="H8" i="22"/>
  <c r="AE32" i="23"/>
  <c r="AE31" i="23"/>
  <c r="O25" i="4" s="1"/>
  <c r="AE30" i="23"/>
  <c r="O24" i="4" s="1"/>
  <c r="B33" i="23"/>
  <c r="B27" i="4" s="1"/>
  <c r="P46" i="23"/>
  <c r="P53" i="23" s="1"/>
  <c r="AH46" i="23"/>
  <c r="AH53" i="23" s="1"/>
  <c r="B28" i="23"/>
  <c r="B30" i="23"/>
  <c r="B24" i="4" s="1"/>
  <c r="B34" i="23"/>
  <c r="B28" i="4" s="1"/>
  <c r="B35" i="23"/>
  <c r="AQ46" i="23"/>
  <c r="AQ53" i="23" s="1"/>
  <c r="AE28" i="23"/>
  <c r="B31" i="23"/>
  <c r="B25" i="4" s="1"/>
  <c r="G47" i="23"/>
  <c r="G48" i="23" s="1"/>
  <c r="G54" i="23" s="1"/>
  <c r="B29" i="23"/>
  <c r="B23" i="4" s="1"/>
  <c r="X47" i="23"/>
  <c r="T47" i="23"/>
  <c r="T48" i="23" s="1"/>
  <c r="T54" i="23" s="1"/>
  <c r="AC46" i="23"/>
  <c r="AC53" i="23" s="1"/>
  <c r="AF46" i="23"/>
  <c r="AF53" i="23" s="1"/>
  <c r="Y47" i="23"/>
  <c r="Y48" i="23" s="1"/>
  <c r="Y54" i="23" s="1"/>
  <c r="Z27" i="23"/>
  <c r="AG32" i="1"/>
  <c r="AF32" i="1"/>
  <c r="P10" i="4" s="1"/>
  <c r="D4" i="4"/>
  <c r="P23" i="4"/>
  <c r="Y46" i="23"/>
  <c r="Y53" i="23" s="1"/>
  <c r="O47" i="23"/>
  <c r="O48" i="23" s="1"/>
  <c r="O54" i="23" s="1"/>
  <c r="AB47" i="23"/>
  <c r="AB48" i="23" s="1"/>
  <c r="AB54" i="23" s="1"/>
  <c r="AE29" i="1"/>
  <c r="O7" i="4" s="1"/>
  <c r="B27" i="23"/>
  <c r="B52" i="23" s="1"/>
  <c r="K45" i="23"/>
  <c r="Q22" i="1"/>
  <c r="Z45" i="23"/>
  <c r="E27" i="23"/>
  <c r="E52" i="23" s="1"/>
  <c r="AG30" i="1"/>
  <c r="Q8" i="4" s="1"/>
  <c r="B29" i="1"/>
  <c r="B7" i="4" s="1"/>
  <c r="AF35" i="1"/>
  <c r="P13" i="4" s="1"/>
  <c r="AF31" i="1"/>
  <c r="P9" i="4" s="1"/>
  <c r="H22" i="23"/>
  <c r="AA23" i="4"/>
  <c r="AR47" i="23"/>
  <c r="AR48" i="23" s="1"/>
  <c r="AR54" i="23" s="1"/>
  <c r="N47" i="23"/>
  <c r="N48" i="23" s="1"/>
  <c r="N54" i="23" s="1"/>
  <c r="AL47" i="23"/>
  <c r="AL48" i="23" s="1"/>
  <c r="AL54" i="23" s="1"/>
  <c r="AP47" i="23"/>
  <c r="AP48" i="23" s="1"/>
  <c r="AP54" i="23" s="1"/>
  <c r="AH47" i="23"/>
  <c r="AH48" i="23" s="1"/>
  <c r="AH54" i="23" s="1"/>
  <c r="P47" i="23"/>
  <c r="P48" i="23" s="1"/>
  <c r="P54" i="23" s="1"/>
  <c r="AC47" i="23"/>
  <c r="AC48" i="23" s="1"/>
  <c r="AC54" i="23" s="1"/>
  <c r="Q46" i="23"/>
  <c r="Q53" i="23" s="1"/>
  <c r="G46" i="23"/>
  <c r="G53" i="23" s="1"/>
  <c r="AF37" i="1"/>
  <c r="F22" i="23"/>
  <c r="AV46" i="23"/>
  <c r="AV53" i="23" s="1"/>
  <c r="U46" i="23"/>
  <c r="U53" i="23" s="1"/>
  <c r="W46" i="23"/>
  <c r="W53" i="23" s="1"/>
  <c r="AT47" i="23"/>
  <c r="AT48" i="23" s="1"/>
  <c r="AT54" i="23" s="1"/>
  <c r="T46" i="23"/>
  <c r="T53" i="23" s="1"/>
  <c r="Q47" i="23"/>
  <c r="Q48" i="23" s="1"/>
  <c r="Q54" i="23" s="1"/>
  <c r="E46" i="23"/>
  <c r="E53" i="23" s="1"/>
  <c r="AE36" i="1"/>
  <c r="AG46" i="23"/>
  <c r="AG53" i="23" s="1"/>
  <c r="H45" i="23"/>
  <c r="BA47" i="23"/>
  <c r="BA48" i="23" s="1"/>
  <c r="BA54" i="23" s="1"/>
  <c r="AQ47" i="23"/>
  <c r="AQ48" i="23" s="1"/>
  <c r="AQ54" i="23" s="1"/>
  <c r="W47" i="23"/>
  <c r="W48" i="23" s="1"/>
  <c r="W54" i="23" s="1"/>
  <c r="AA46" i="23"/>
  <c r="AA53" i="23" s="1"/>
  <c r="X46" i="23"/>
  <c r="X53" i="23" s="1"/>
  <c r="U47" i="23"/>
  <c r="U48" i="23" s="1"/>
  <c r="U54" i="23" s="1"/>
  <c r="S47" i="23"/>
  <c r="S48" i="23" s="1"/>
  <c r="S54" i="23" s="1"/>
  <c r="AG47" i="23"/>
  <c r="AG48" i="23" s="1"/>
  <c r="AG54" i="23" s="1"/>
  <c r="AB23" i="4"/>
  <c r="AK46" i="23"/>
  <c r="AK53" i="23" s="1"/>
  <c r="AR46" i="23"/>
  <c r="AR53" i="23" s="1"/>
  <c r="AN47" i="23"/>
  <c r="AN48" i="23" s="1"/>
  <c r="AN54" i="23" s="1"/>
  <c r="AJ46" i="23"/>
  <c r="AJ53" i="23" s="1"/>
  <c r="X48" i="23"/>
  <c r="X54" i="23" s="1"/>
  <c r="V46" i="23"/>
  <c r="V53" i="23" s="1"/>
  <c r="AH31" i="1"/>
  <c r="R9" i="4" s="1"/>
  <c r="R22" i="4"/>
  <c r="V22" i="4"/>
  <c r="X27" i="4"/>
  <c r="AB27" i="4"/>
  <c r="U29" i="4"/>
  <c r="AZ46" i="23"/>
  <c r="AZ53" i="23" s="1"/>
  <c r="AV47" i="23"/>
  <c r="AV48" i="23" s="1"/>
  <c r="AV54" i="23" s="1"/>
  <c r="AS46" i="23"/>
  <c r="AS53" i="23" s="1"/>
  <c r="R47" i="23"/>
  <c r="R48" i="23" s="1"/>
  <c r="R54" i="23" s="1"/>
  <c r="N46" i="23"/>
  <c r="N53" i="23" s="1"/>
  <c r="AJ47" i="23"/>
  <c r="AJ48" i="23" s="1"/>
  <c r="AJ54" i="23" s="1"/>
  <c r="T27" i="4"/>
  <c r="AN46" i="23"/>
  <c r="AN53" i="23" s="1"/>
  <c r="AO47" i="23"/>
  <c r="AO48" i="23" s="1"/>
  <c r="AO54" i="23" s="1"/>
  <c r="AZ47" i="23"/>
  <c r="AZ48" i="23" s="1"/>
  <c r="AZ54" i="23" s="1"/>
  <c r="AW46" i="23"/>
  <c r="AW53" i="23" s="1"/>
  <c r="Z47" i="23"/>
  <c r="Z48" i="23" s="1"/>
  <c r="Z54" i="23" s="1"/>
  <c r="AW47" i="23"/>
  <c r="AW48" i="23" s="1"/>
  <c r="AW54" i="23" s="1"/>
  <c r="BA46" i="23"/>
  <c r="BA53" i="23" s="1"/>
  <c r="J57" i="1"/>
  <c r="E57" i="23"/>
  <c r="AC57" i="1"/>
  <c r="Y57" i="1"/>
  <c r="U57" i="1"/>
  <c r="Q57" i="1"/>
  <c r="M57" i="1"/>
  <c r="AX57" i="1"/>
  <c r="AT57" i="1"/>
  <c r="AP57" i="1"/>
  <c r="AL57" i="1"/>
  <c r="Z57" i="23"/>
  <c r="V57" i="23"/>
  <c r="R57" i="23"/>
  <c r="N57" i="23"/>
  <c r="AZ57" i="23"/>
  <c r="AW57" i="23"/>
  <c r="AS57" i="23"/>
  <c r="AO57" i="23"/>
  <c r="AK57" i="23"/>
  <c r="AG57" i="23"/>
  <c r="J57" i="23"/>
  <c r="H57" i="23"/>
  <c r="AB57" i="1"/>
  <c r="X57" i="1"/>
  <c r="T57" i="1"/>
  <c r="P57" i="1"/>
  <c r="L57" i="1"/>
  <c r="BA57" i="1"/>
  <c r="AW57" i="1"/>
  <c r="AS57" i="1"/>
  <c r="AO57" i="1"/>
  <c r="AK57" i="1"/>
  <c r="AC57" i="23"/>
  <c r="Y57" i="23"/>
  <c r="U57" i="23"/>
  <c r="Q57" i="23"/>
  <c r="M57" i="23"/>
  <c r="AY57" i="23"/>
  <c r="AV57" i="23"/>
  <c r="AR57" i="23"/>
  <c r="AN57" i="23"/>
  <c r="AJ57" i="23"/>
  <c r="AF57" i="23"/>
  <c r="C57" i="23"/>
  <c r="F57" i="23"/>
  <c r="I57" i="23"/>
  <c r="AA57" i="1"/>
  <c r="W57" i="1"/>
  <c r="S57" i="1"/>
  <c r="O57" i="1"/>
  <c r="K57" i="1"/>
  <c r="AZ57" i="1"/>
  <c r="AV57" i="1"/>
  <c r="AR57" i="1"/>
  <c r="AN57" i="1"/>
  <c r="AJ57" i="1"/>
  <c r="AB57" i="23"/>
  <c r="X57" i="23"/>
  <c r="T57" i="23"/>
  <c r="P57" i="23"/>
  <c r="L57" i="23"/>
  <c r="AU57" i="23"/>
  <c r="AQ57" i="23"/>
  <c r="AM57" i="23"/>
  <c r="AI57" i="23"/>
  <c r="D57" i="23"/>
  <c r="G57" i="23"/>
  <c r="Z57" i="1"/>
  <c r="V57" i="1"/>
  <c r="R57" i="1"/>
  <c r="N57" i="1"/>
  <c r="AY57" i="1"/>
  <c r="AU57" i="1"/>
  <c r="AQ57" i="1"/>
  <c r="AM57" i="1"/>
  <c r="AI57" i="1"/>
  <c r="AA57" i="23"/>
  <c r="W57" i="23"/>
  <c r="S57" i="23"/>
  <c r="O57" i="23"/>
  <c r="K57" i="23"/>
  <c r="BA57" i="23"/>
  <c r="AX57" i="23"/>
  <c r="AT57" i="23"/>
  <c r="AP57" i="23"/>
  <c r="AL57" i="23"/>
  <c r="AH57" i="23"/>
  <c r="J21" i="4"/>
  <c r="E37" i="4"/>
  <c r="M21" i="4"/>
  <c r="AH28" i="1"/>
  <c r="AJ37" i="4"/>
  <c r="AG37" i="4"/>
  <c r="AH30" i="1"/>
  <c r="R8" i="4" s="1"/>
  <c r="L21" i="4"/>
  <c r="AG21" i="4"/>
  <c r="AC21" i="4"/>
  <c r="Y21" i="4"/>
  <c r="U21" i="4"/>
  <c r="AI37" i="4"/>
  <c r="AF37" i="4"/>
  <c r="AH29" i="1"/>
  <c r="R7" i="4" s="1"/>
  <c r="D21" i="4"/>
  <c r="C37" i="4"/>
  <c r="I37" i="4"/>
  <c r="K21" i="4"/>
  <c r="AE37" i="4"/>
  <c r="AF36" i="1"/>
  <c r="P14" i="4" s="1"/>
  <c r="AH32" i="1"/>
  <c r="C21" i="4"/>
  <c r="B37" i="4"/>
  <c r="D37" i="4"/>
  <c r="G37" i="4"/>
  <c r="AE34" i="1"/>
  <c r="O12" i="4" s="1"/>
  <c r="AE35" i="1"/>
  <c r="O13" i="4" s="1"/>
  <c r="AE33" i="1"/>
  <c r="O11" i="4" s="1"/>
  <c r="AE30" i="1"/>
  <c r="O8" i="4" s="1"/>
  <c r="B31" i="1"/>
  <c r="B9" i="4" s="1"/>
  <c r="AE31" i="1"/>
  <c r="O9" i="4" s="1"/>
  <c r="AM47" i="1"/>
  <c r="AM48" i="1" s="1"/>
  <c r="AM54" i="1" s="1"/>
  <c r="O47" i="1"/>
  <c r="O48" i="1" s="1"/>
  <c r="O54" i="1" s="1"/>
  <c r="Z47" i="1"/>
  <c r="Z48" i="1" s="1"/>
  <c r="Z54" i="1" s="1"/>
  <c r="X47" i="1"/>
  <c r="X48" i="1" s="1"/>
  <c r="X54" i="1" s="1"/>
  <c r="AN46" i="1"/>
  <c r="AN53" i="1" s="1"/>
  <c r="R47" i="1"/>
  <c r="R48" i="1" s="1"/>
  <c r="R54" i="1" s="1"/>
  <c r="V47" i="1"/>
  <c r="V48" i="1" s="1"/>
  <c r="V54" i="1" s="1"/>
  <c r="AA47" i="1"/>
  <c r="AA48" i="1" s="1"/>
  <c r="AA54" i="1" s="1"/>
  <c r="X46" i="1"/>
  <c r="X53" i="1" s="1"/>
  <c r="Q46" i="1"/>
  <c r="Q53" i="1" s="1"/>
  <c r="K9" i="4"/>
  <c r="AO46" i="1"/>
  <c r="AO53" i="1" s="1"/>
  <c r="Q47" i="1"/>
  <c r="Q48" i="1" s="1"/>
  <c r="Q54" i="1" s="1"/>
  <c r="B32" i="1"/>
  <c r="D28" i="1"/>
  <c r="C32" i="1"/>
  <c r="X7" i="4"/>
  <c r="AX46" i="1"/>
  <c r="AX53" i="1" s="1"/>
  <c r="S46" i="1"/>
  <c r="S53" i="1" s="1"/>
  <c r="O46" i="1"/>
  <c r="O53" i="1" s="1"/>
  <c r="B28" i="1"/>
  <c r="N47" i="1"/>
  <c r="N48" i="1" s="1"/>
  <c r="N54" i="1" s="1"/>
  <c r="D32" i="1"/>
  <c r="Y47" i="1"/>
  <c r="Y48" i="1" s="1"/>
  <c r="Y54" i="1" s="1"/>
  <c r="AN47" i="1"/>
  <c r="AN48" i="1" s="1"/>
  <c r="AN54" i="1" s="1"/>
  <c r="P47" i="1"/>
  <c r="P48" i="1" s="1"/>
  <c r="P54" i="1" s="1"/>
  <c r="B30" i="1"/>
  <c r="B8" i="4" s="1"/>
  <c r="C28" i="1"/>
  <c r="D31" i="1"/>
  <c r="D9" i="4" s="1"/>
  <c r="AR47" i="1"/>
  <c r="AR48" i="1" s="1"/>
  <c r="AR54" i="1" s="1"/>
  <c r="AI6" i="4"/>
  <c r="AY47" i="1"/>
  <c r="AY48" i="1" s="1"/>
  <c r="AY54" i="1" s="1"/>
  <c r="AY46" i="1"/>
  <c r="AY53" i="1" s="1"/>
  <c r="AQ46" i="1"/>
  <c r="AQ53" i="1" s="1"/>
  <c r="AQ47" i="1"/>
  <c r="AQ48" i="1" s="1"/>
  <c r="AQ54" i="1" s="1"/>
  <c r="AM46" i="1"/>
  <c r="AM53" i="1" s="1"/>
  <c r="AK46" i="1"/>
  <c r="AK53" i="1" s="1"/>
  <c r="V46" i="1"/>
  <c r="V53" i="1" s="1"/>
  <c r="R46" i="1"/>
  <c r="R53" i="1" s="1"/>
  <c r="AC46" i="1"/>
  <c r="AC53" i="1" s="1"/>
  <c r="AC47" i="1"/>
  <c r="AC48" i="1" s="1"/>
  <c r="AC54" i="1" s="1"/>
  <c r="AP46" i="1"/>
  <c r="AP53" i="1" s="1"/>
  <c r="AP47" i="1"/>
  <c r="AP48" i="1" s="1"/>
  <c r="AP54" i="1" s="1"/>
  <c r="Z6" i="4"/>
  <c r="AB47" i="1"/>
  <c r="AB48" i="1" s="1"/>
  <c r="AB54" i="1" s="1"/>
  <c r="Z46" i="1"/>
  <c r="Z53" i="1" s="1"/>
  <c r="N46" i="1"/>
  <c r="N53" i="1" s="1"/>
  <c r="P46" i="1"/>
  <c r="P53" i="1" s="1"/>
  <c r="AE28" i="1"/>
  <c r="C30" i="1"/>
  <c r="C8" i="4" s="1"/>
  <c r="C31" i="1"/>
  <c r="C9" i="4" s="1"/>
  <c r="D29" i="1"/>
  <c r="D7" i="4" s="1"/>
  <c r="D30" i="1"/>
  <c r="AS47" i="1"/>
  <c r="AS48" i="1" s="1"/>
  <c r="AS54" i="1" s="1"/>
  <c r="AI47" i="1"/>
  <c r="AI48" i="1" s="1"/>
  <c r="AI54" i="1" s="1"/>
  <c r="AR46" i="1"/>
  <c r="AR53" i="1" s="1"/>
  <c r="AJ46" i="1"/>
  <c r="AJ53" i="1" s="1"/>
  <c r="Y12" i="4"/>
  <c r="X11" i="4"/>
  <c r="AX47" i="1"/>
  <c r="AX48" i="1" s="1"/>
  <c r="AX54" i="1" s="1"/>
  <c r="S47" i="1"/>
  <c r="S48" i="1" s="1"/>
  <c r="S54" i="1" s="1"/>
  <c r="AF9" i="4"/>
  <c r="AV46" i="1"/>
  <c r="AV53" i="1" s="1"/>
  <c r="AV47" i="1"/>
  <c r="AV48" i="1" s="1"/>
  <c r="AV54" i="1" s="1"/>
  <c r="AJ47" i="1"/>
  <c r="AJ48" i="1" s="1"/>
  <c r="AJ54" i="1" s="1"/>
  <c r="AI46" i="1"/>
  <c r="AI53" i="1" s="1"/>
  <c r="AT46" i="1"/>
  <c r="AT53" i="1" s="1"/>
  <c r="U46" i="1"/>
  <c r="U53" i="1" s="1"/>
  <c r="T46" i="1"/>
  <c r="T53" i="1" s="1"/>
  <c r="AT47" i="1"/>
  <c r="AT48" i="1" s="1"/>
  <c r="AT54" i="1" s="1"/>
  <c r="AL46" i="1"/>
  <c r="AL53" i="1" s="1"/>
  <c r="V6" i="4"/>
  <c r="AL47" i="1"/>
  <c r="AL48" i="1" s="1"/>
  <c r="AL54" i="1" s="1"/>
  <c r="AB46" i="1"/>
  <c r="AB53" i="1" s="1"/>
  <c r="AO47" i="1"/>
  <c r="AO48" i="1" s="1"/>
  <c r="AO54" i="1" s="1"/>
  <c r="U47" i="1"/>
  <c r="U48" i="1" s="1"/>
  <c r="U54" i="1" s="1"/>
  <c r="T47" i="1"/>
  <c r="T48" i="1" s="1"/>
  <c r="T54" i="1" s="1"/>
  <c r="W6" i="4"/>
  <c r="W63" i="4" s="1"/>
  <c r="W64" i="4" s="1"/>
  <c r="AW46" i="1"/>
  <c r="AW53" i="1" s="1"/>
  <c r="AG11" i="4"/>
  <c r="AW47" i="1"/>
  <c r="AW48" i="1" s="1"/>
  <c r="AW54" i="1" s="1"/>
  <c r="AS46" i="1"/>
  <c r="AS53" i="1" s="1"/>
  <c r="AK47" i="1"/>
  <c r="AK48" i="1" s="1"/>
  <c r="AK54" i="1" s="1"/>
  <c r="AH21" i="4"/>
  <c r="AE21" i="4"/>
  <c r="AE63" i="4" s="1"/>
  <c r="AE64" i="4" s="1"/>
  <c r="G21" i="4"/>
  <c r="AK21" i="4"/>
  <c r="I21" i="4"/>
  <c r="F21" i="4"/>
  <c r="AJ21" i="4"/>
  <c r="H21" i="4"/>
  <c r="E21" i="4"/>
  <c r="AI21" i="4"/>
  <c r="AF21" i="4"/>
  <c r="L52" i="23"/>
  <c r="W27" i="23"/>
  <c r="E7" i="4"/>
  <c r="D17" i="4"/>
  <c r="H9" i="4"/>
  <c r="J10" i="4"/>
  <c r="C4" i="4"/>
  <c r="AF47" i="23"/>
  <c r="AF48" i="23" s="1"/>
  <c r="AF54" i="23" s="1"/>
  <c r="I46" i="23"/>
  <c r="I53" i="23" s="1"/>
  <c r="F47" i="23"/>
  <c r="F48" i="23" s="1"/>
  <c r="F54" i="23" s="1"/>
  <c r="AK47" i="23"/>
  <c r="AK48" i="23" s="1"/>
  <c r="AK54" i="23" s="1"/>
  <c r="A47" i="22"/>
  <c r="F46" i="23"/>
  <c r="F53" i="23" s="1"/>
  <c r="I47" i="23"/>
  <c r="I48" i="23" s="1"/>
  <c r="I54" i="23" s="1"/>
  <c r="G27" i="23"/>
  <c r="G52" i="23" s="1"/>
  <c r="AA46" i="1"/>
  <c r="AA53" i="1" s="1"/>
  <c r="AA47" i="23"/>
  <c r="AA48" i="23" s="1"/>
  <c r="AA54" i="23" s="1"/>
  <c r="O46" i="23"/>
  <c r="O53" i="23" s="1"/>
  <c r="A50" i="22"/>
  <c r="H50" i="22" s="1"/>
  <c r="Z46" i="23"/>
  <c r="Z53" i="23" s="1"/>
  <c r="R46" i="23"/>
  <c r="R53" i="23" s="1"/>
  <c r="AS47" i="23"/>
  <c r="AS48" i="23" s="1"/>
  <c r="AS54" i="23" s="1"/>
  <c r="AO46" i="23"/>
  <c r="AO53" i="23" s="1"/>
  <c r="K27" i="23"/>
  <c r="W52" i="23"/>
  <c r="L22" i="1"/>
  <c r="I7" i="4"/>
  <c r="D27" i="1"/>
  <c r="D52" i="1" s="1"/>
  <c r="D45" i="1"/>
  <c r="D22" i="23"/>
  <c r="D45" i="23"/>
  <c r="D27" i="23"/>
  <c r="D52" i="23" s="1"/>
  <c r="Y46" i="1"/>
  <c r="Y53" i="1" s="1"/>
  <c r="AM47" i="23"/>
  <c r="AM48" i="23" s="1"/>
  <c r="AM54" i="23" s="1"/>
  <c r="AI46" i="23"/>
  <c r="AI53" i="23" s="1"/>
  <c r="AI47" i="23"/>
  <c r="AI48" i="23" s="1"/>
  <c r="AI54" i="23" s="1"/>
  <c r="AT46" i="23"/>
  <c r="AT53" i="23" s="1"/>
  <c r="AL46" i="23"/>
  <c r="AL53" i="23" s="1"/>
  <c r="AU47" i="23"/>
  <c r="AU48" i="23" s="1"/>
  <c r="AU54" i="23" s="1"/>
  <c r="AA4" i="1"/>
  <c r="AA4" i="23"/>
  <c r="BA46" i="1"/>
  <c r="BA53" i="1" s="1"/>
  <c r="AU46" i="1"/>
  <c r="AU53" i="1" s="1"/>
  <c r="V47" i="23"/>
  <c r="V48" i="23" s="1"/>
  <c r="V54" i="23" s="1"/>
  <c r="AC4" i="1"/>
  <c r="AC4" i="23"/>
  <c r="AC27" i="23" s="1"/>
  <c r="F45" i="23"/>
  <c r="AU47" i="1"/>
  <c r="AU48" i="1" s="1"/>
  <c r="AU54" i="1" s="1"/>
  <c r="BA47" i="1"/>
  <c r="BA48" i="1" s="1"/>
  <c r="BA54" i="1" s="1"/>
  <c r="AX47" i="23"/>
  <c r="AX48" i="23" s="1"/>
  <c r="AX54" i="23" s="1"/>
  <c r="AM46" i="23"/>
  <c r="AM53" i="23" s="1"/>
  <c r="AY46" i="23"/>
  <c r="AY53" i="23" s="1"/>
  <c r="AI22" i="4"/>
  <c r="AY47" i="23"/>
  <c r="AY48" i="23" s="1"/>
  <c r="AY54" i="23" s="1"/>
  <c r="AP46" i="23"/>
  <c r="AP53" i="23" s="1"/>
  <c r="E22" i="23"/>
  <c r="AZ47" i="1"/>
  <c r="AZ48" i="1" s="1"/>
  <c r="AZ54" i="1" s="1"/>
  <c r="AZ46" i="1"/>
  <c r="AZ53" i="1" s="1"/>
  <c r="W47" i="1"/>
  <c r="W48" i="1" s="1"/>
  <c r="W54" i="1" s="1"/>
  <c r="W46" i="1"/>
  <c r="W53" i="1" s="1"/>
  <c r="AU46" i="23"/>
  <c r="AU53" i="23" s="1"/>
  <c r="AH30" i="4"/>
  <c r="AX46" i="23"/>
  <c r="AX53" i="23" s="1"/>
  <c r="G22" i="23"/>
  <c r="K22" i="23"/>
  <c r="AB27" i="23"/>
  <c r="Z52" i="23"/>
  <c r="L45" i="23"/>
  <c r="AE22" i="23"/>
  <c r="AB45" i="23"/>
  <c r="AG22" i="23"/>
  <c r="AB22" i="23"/>
  <c r="B22" i="23"/>
  <c r="C22" i="23"/>
  <c r="L22" i="23"/>
  <c r="AG27" i="23"/>
  <c r="AG52" i="23" s="1"/>
  <c r="AE27" i="23"/>
  <c r="AE52" i="23" s="1"/>
  <c r="E45" i="1"/>
  <c r="B27" i="1"/>
  <c r="B52" i="1" s="1"/>
  <c r="K27" i="1"/>
  <c r="K52" i="1" s="1"/>
  <c r="F4" i="4"/>
  <c r="G22" i="1"/>
  <c r="N27" i="1"/>
  <c r="N52" i="1" s="1"/>
  <c r="F45" i="1"/>
  <c r="C22" i="1"/>
  <c r="B22" i="1"/>
  <c r="G45" i="1"/>
  <c r="E27" i="1"/>
  <c r="E52" i="1" s="1"/>
  <c r="E22" i="1"/>
  <c r="I22" i="1"/>
  <c r="I27" i="1"/>
  <c r="AF27" i="1"/>
  <c r="AF52" i="1" s="1"/>
  <c r="H4" i="4"/>
  <c r="F22" i="1"/>
  <c r="I4" i="4"/>
  <c r="N22" i="1"/>
  <c r="G4" i="4"/>
  <c r="C27" i="1"/>
  <c r="C52" i="1" s="1"/>
  <c r="B45" i="1"/>
  <c r="K74" i="4"/>
  <c r="G2" i="12" s="1"/>
  <c r="K22" i="1"/>
  <c r="Q45" i="1"/>
  <c r="H22" i="1"/>
  <c r="O4" i="4"/>
  <c r="H45" i="1"/>
  <c r="AE45" i="1"/>
  <c r="P4" i="4"/>
  <c r="K45" i="1"/>
  <c r="AF45" i="1"/>
  <c r="AE27" i="1"/>
  <c r="AE52" i="1" s="1"/>
  <c r="I52" i="1"/>
  <c r="K55" i="4"/>
  <c r="B55" i="4"/>
  <c r="H9" i="12"/>
  <c r="H10" i="12" s="1"/>
  <c r="G9" i="12"/>
  <c r="G10" i="12" s="1"/>
  <c r="E9" i="12"/>
  <c r="E10" i="12" s="1"/>
  <c r="L55" i="4"/>
  <c r="E74" i="4"/>
  <c r="B74" i="4"/>
  <c r="T9" i="12"/>
  <c r="T10" i="12" s="1"/>
  <c r="F9" i="12"/>
  <c r="F10" i="12" s="1"/>
  <c r="L9" i="12"/>
  <c r="L10" i="12" s="1"/>
  <c r="J9" i="12"/>
  <c r="J10" i="12" s="1"/>
  <c r="R9" i="12"/>
  <c r="R10" i="12" s="1"/>
  <c r="H56" i="1"/>
  <c r="B56" i="1"/>
  <c r="G56" i="1"/>
  <c r="B56" i="23"/>
  <c r="I56" i="1"/>
  <c r="AE56" i="1"/>
  <c r="AH56" i="1"/>
  <c r="C56" i="1"/>
  <c r="AK78" i="4"/>
  <c r="D56" i="1"/>
  <c r="E56" i="1"/>
  <c r="AF56" i="1"/>
  <c r="AG56" i="1"/>
  <c r="F56" i="1"/>
  <c r="AE56" i="23"/>
  <c r="W78" i="4"/>
  <c r="AA78" i="4"/>
  <c r="L78" i="4"/>
  <c r="AD78" i="4"/>
  <c r="AG78" i="4"/>
  <c r="AE78" i="4"/>
  <c r="AJ78" i="4"/>
  <c r="AB78" i="4"/>
  <c r="X78" i="4"/>
  <c r="J78" i="4"/>
  <c r="AF78" i="4"/>
  <c r="V78" i="4"/>
  <c r="AC78" i="4"/>
  <c r="U78" i="4"/>
  <c r="AI78" i="4"/>
  <c r="K78" i="4"/>
  <c r="Z78" i="4"/>
  <c r="M78" i="4"/>
  <c r="AH78" i="4"/>
  <c r="Y78" i="4"/>
  <c r="S78" i="4"/>
  <c r="T78" i="4"/>
  <c r="S63" i="4" l="1"/>
  <c r="S64" i="4" s="1"/>
  <c r="AC63" i="4"/>
  <c r="AC64" i="4" s="1"/>
  <c r="J46" i="23"/>
  <c r="J53" i="23" s="1"/>
  <c r="J47" i="23"/>
  <c r="J48" i="23" s="1"/>
  <c r="J54" i="23" s="1"/>
  <c r="D46" i="23"/>
  <c r="D53" i="23" s="1"/>
  <c r="C47" i="23"/>
  <c r="C48" i="23" s="1"/>
  <c r="C54" i="23" s="1"/>
  <c r="H46" i="23"/>
  <c r="H53" i="23" s="1"/>
  <c r="C46" i="23"/>
  <c r="C53" i="23" s="1"/>
  <c r="E47" i="23"/>
  <c r="E48" i="23" s="1"/>
  <c r="E54" i="23" s="1"/>
  <c r="AJ63" i="4"/>
  <c r="AJ64" i="4" s="1"/>
  <c r="AK63" i="4"/>
  <c r="AK64" i="4" s="1"/>
  <c r="K46" i="23"/>
  <c r="K53" i="23" s="1"/>
  <c r="H47" i="23"/>
  <c r="H48" i="23" s="1"/>
  <c r="H54" i="23" s="1"/>
  <c r="D47" i="23"/>
  <c r="D48" i="23" s="1"/>
  <c r="D54" i="23" s="1"/>
  <c r="M47" i="23"/>
  <c r="M48" i="23" s="1"/>
  <c r="M54" i="23" s="1"/>
  <c r="M46" i="23"/>
  <c r="M53" i="23" s="1"/>
  <c r="L47" i="23"/>
  <c r="L48" i="23" s="1"/>
  <c r="L54" i="23" s="1"/>
  <c r="L46" i="23"/>
  <c r="L53" i="23" s="1"/>
  <c r="K47" i="23"/>
  <c r="K48" i="23" s="1"/>
  <c r="K54" i="23" s="1"/>
  <c r="L47" i="1"/>
  <c r="L48" i="1" s="1"/>
  <c r="L54" i="1" s="1"/>
  <c r="J47" i="1"/>
  <c r="J48" i="1" s="1"/>
  <c r="J54" i="1" s="1"/>
  <c r="L46" i="1"/>
  <c r="L53" i="1" s="1"/>
  <c r="J46" i="1"/>
  <c r="J53" i="1" s="1"/>
  <c r="Y57" i="4"/>
  <c r="Y58" i="4" s="1"/>
  <c r="Y76" i="4" s="1"/>
  <c r="F46" i="1"/>
  <c r="F53" i="1" s="1"/>
  <c r="L63" i="4"/>
  <c r="L64" i="4" s="1"/>
  <c r="M47" i="1"/>
  <c r="M48" i="1" s="1"/>
  <c r="M54" i="1" s="1"/>
  <c r="K46" i="1"/>
  <c r="K53" i="1" s="1"/>
  <c r="M46" i="1"/>
  <c r="M53" i="1" s="1"/>
  <c r="M63" i="4"/>
  <c r="M64" i="4" s="1"/>
  <c r="AF47" i="1"/>
  <c r="AF48" i="1" s="1"/>
  <c r="AF54" i="1" s="1"/>
  <c r="AA63" i="4"/>
  <c r="AA64" i="4" s="1"/>
  <c r="AG63" i="4"/>
  <c r="AG64" i="4" s="1"/>
  <c r="AD63" i="4"/>
  <c r="AD64" i="4" s="1"/>
  <c r="D6" i="4"/>
  <c r="R6" i="4"/>
  <c r="C6" i="4"/>
  <c r="B22" i="4"/>
  <c r="I6" i="4"/>
  <c r="P7" i="4"/>
  <c r="E6" i="4"/>
  <c r="H6" i="4"/>
  <c r="F6" i="4"/>
  <c r="O6" i="4"/>
  <c r="B6" i="4"/>
  <c r="G6" i="4"/>
  <c r="Q7" i="4"/>
  <c r="AF63" i="4"/>
  <c r="AF64" i="4" s="1"/>
  <c r="X63" i="4"/>
  <c r="X64" i="4" s="1"/>
  <c r="K63" i="4"/>
  <c r="K64" i="4" s="1"/>
  <c r="U63" i="4"/>
  <c r="U64" i="4" s="1"/>
  <c r="AB63" i="4"/>
  <c r="AB64" i="4" s="1"/>
  <c r="J63" i="4"/>
  <c r="J64" i="4" s="1"/>
  <c r="AH63" i="4"/>
  <c r="AH64" i="4" s="1"/>
  <c r="V63" i="4"/>
  <c r="V64" i="4" s="1"/>
  <c r="T63" i="4"/>
  <c r="T64" i="4" s="1"/>
  <c r="Z63" i="4"/>
  <c r="Z64" i="4" s="1"/>
  <c r="AI63" i="4"/>
  <c r="AI64" i="4" s="1"/>
  <c r="AC56" i="4"/>
  <c r="AC75" i="4" s="1"/>
  <c r="Y63" i="4"/>
  <c r="Y64" i="4" s="1"/>
  <c r="AX27" i="33"/>
  <c r="AX52" i="33" s="1"/>
  <c r="AZ27" i="33"/>
  <c r="AZ52" i="33" s="1"/>
  <c r="H47" i="22"/>
  <c r="H49" i="22"/>
  <c r="H44" i="22"/>
  <c r="AX45" i="33"/>
  <c r="AV45" i="33"/>
  <c r="A46" i="22"/>
  <c r="H46" i="22" s="1"/>
  <c r="AT4" i="1"/>
  <c r="AT22" i="1" s="1"/>
  <c r="AJ27" i="33"/>
  <c r="AJ52" i="33" s="1"/>
  <c r="AV22" i="33"/>
  <c r="AZ45" i="33"/>
  <c r="A34" i="22"/>
  <c r="H34" i="22" s="1"/>
  <c r="A35" i="22"/>
  <c r="H35" i="22" s="1"/>
  <c r="AU4" i="1"/>
  <c r="AU45" i="1" s="1"/>
  <c r="AJ45" i="33"/>
  <c r="A38" i="22"/>
  <c r="H38" i="22" s="1"/>
  <c r="AN27" i="33"/>
  <c r="AN52" i="33" s="1"/>
  <c r="A42" i="22"/>
  <c r="H42" i="22" s="1"/>
  <c r="AN22" i="33"/>
  <c r="AT4" i="23"/>
  <c r="AT22" i="23" s="1"/>
  <c r="A40" i="22"/>
  <c r="H40" i="22" s="1"/>
  <c r="I47" i="1"/>
  <c r="I48" i="1" s="1"/>
  <c r="I54" i="1" s="1"/>
  <c r="F47" i="1"/>
  <c r="F48" i="1" s="1"/>
  <c r="F54" i="1" s="1"/>
  <c r="G47" i="1"/>
  <c r="G48" i="1" s="1"/>
  <c r="G54" i="1" s="1"/>
  <c r="E47" i="1"/>
  <c r="E48" i="1" s="1"/>
  <c r="E54" i="1" s="1"/>
  <c r="AG46" i="1"/>
  <c r="AG53" i="1" s="1"/>
  <c r="E46" i="1"/>
  <c r="E53" i="1" s="1"/>
  <c r="AG47" i="1"/>
  <c r="AG48" i="1" s="1"/>
  <c r="AG54" i="1" s="1"/>
  <c r="I46" i="1"/>
  <c r="I53" i="1" s="1"/>
  <c r="Q74" i="4"/>
  <c r="A51" i="22"/>
  <c r="H51" i="22" s="1"/>
  <c r="AU4" i="23"/>
  <c r="AU27" i="23" s="1"/>
  <c r="AU52" i="23" s="1"/>
  <c r="O45" i="1"/>
  <c r="Y27" i="1"/>
  <c r="Y52" i="1" s="1"/>
  <c r="Y27" i="23"/>
  <c r="Y52" i="23"/>
  <c r="AP4" i="23"/>
  <c r="AP45" i="23" s="1"/>
  <c r="A45" i="22"/>
  <c r="H45" i="22" s="1"/>
  <c r="M57" i="4"/>
  <c r="M58" i="4" s="1"/>
  <c r="M76" i="4" s="1"/>
  <c r="AH56" i="4"/>
  <c r="AH75" i="4" s="1"/>
  <c r="AG56" i="4"/>
  <c r="AG75" i="4" s="1"/>
  <c r="T57" i="4"/>
  <c r="T58" i="4" s="1"/>
  <c r="T76" i="4" s="1"/>
  <c r="H57" i="1"/>
  <c r="G57" i="1"/>
  <c r="F57" i="1"/>
  <c r="I57" i="1"/>
  <c r="E57" i="1"/>
  <c r="H7" i="4"/>
  <c r="G46" i="1"/>
  <c r="G53" i="1" s="1"/>
  <c r="H46" i="1"/>
  <c r="H53" i="1" s="1"/>
  <c r="H47" i="1"/>
  <c r="H48" i="1" s="1"/>
  <c r="H54" i="1" s="1"/>
  <c r="G11" i="4"/>
  <c r="F9" i="4"/>
  <c r="AF57" i="4"/>
  <c r="AF58" i="4" s="1"/>
  <c r="AF76" i="4" s="1"/>
  <c r="X56" i="4"/>
  <c r="X75" i="4" s="1"/>
  <c r="I13" i="4"/>
  <c r="E12" i="4"/>
  <c r="I55" i="4"/>
  <c r="I62" i="4"/>
  <c r="V57" i="4"/>
  <c r="V58" i="4" s="1"/>
  <c r="V76" i="4" s="1"/>
  <c r="V56" i="4"/>
  <c r="V75" i="4" s="1"/>
  <c r="S22" i="23"/>
  <c r="Z55" i="4"/>
  <c r="Z62" i="4"/>
  <c r="AM4" i="1"/>
  <c r="AM45" i="1" s="1"/>
  <c r="AM4" i="33"/>
  <c r="AS22" i="33"/>
  <c r="AS45" i="33"/>
  <c r="AS27" i="33"/>
  <c r="AS52" i="33" s="1"/>
  <c r="AP45" i="33"/>
  <c r="AP27" i="33"/>
  <c r="AP52" i="33" s="1"/>
  <c r="AP22" i="33"/>
  <c r="U57" i="4"/>
  <c r="U58" i="4" s="1"/>
  <c r="U76" i="4" s="1"/>
  <c r="AK57" i="4"/>
  <c r="AK58" i="4" s="1"/>
  <c r="AK76" i="4" s="1"/>
  <c r="X57" i="4"/>
  <c r="X58" i="4" s="1"/>
  <c r="X76" i="4" s="1"/>
  <c r="L56" i="4"/>
  <c r="L75" i="4" s="1"/>
  <c r="AD57" i="4"/>
  <c r="AD58" i="4" s="1"/>
  <c r="AD76" i="4" s="1"/>
  <c r="AB56" i="4"/>
  <c r="AB75" i="4" s="1"/>
  <c r="S56" i="4"/>
  <c r="S75" i="4" s="1"/>
  <c r="K57" i="4"/>
  <c r="K58" i="4" s="1"/>
  <c r="K76" i="4" s="1"/>
  <c r="J56" i="4"/>
  <c r="J75" i="4" s="1"/>
  <c r="O55" i="4"/>
  <c r="O62" i="4"/>
  <c r="F55" i="4"/>
  <c r="F62" i="4"/>
  <c r="W56" i="4"/>
  <c r="W75" i="4" s="1"/>
  <c r="W57" i="4"/>
  <c r="W58" i="4" s="1"/>
  <c r="W76" i="4" s="1"/>
  <c r="M55" i="4"/>
  <c r="M62" i="4"/>
  <c r="J55" i="4"/>
  <c r="J62" i="4"/>
  <c r="AQ27" i="33"/>
  <c r="AQ52" i="33" s="1"/>
  <c r="AQ22" i="33"/>
  <c r="AQ45" i="33"/>
  <c r="AW22" i="33"/>
  <c r="AW27" i="33"/>
  <c r="AW52" i="33" s="1"/>
  <c r="AW45" i="33"/>
  <c r="AT45" i="33"/>
  <c r="AT27" i="33"/>
  <c r="AT52" i="33" s="1"/>
  <c r="AT22" i="33"/>
  <c r="Y56" i="4"/>
  <c r="Y75" i="4" s="1"/>
  <c r="AG57" i="4"/>
  <c r="AG58" i="4" s="1"/>
  <c r="AG76" i="4" s="1"/>
  <c r="L57" i="4"/>
  <c r="L58" i="4" s="1"/>
  <c r="L76" i="4" s="1"/>
  <c r="AB57" i="4"/>
  <c r="AB58" i="4" s="1"/>
  <c r="AB76" i="4" s="1"/>
  <c r="AE57" i="4"/>
  <c r="AE58" i="4" s="1"/>
  <c r="AE76" i="4" s="1"/>
  <c r="K56" i="4"/>
  <c r="K75" i="4" s="1"/>
  <c r="J57" i="4"/>
  <c r="J58" i="4" s="1"/>
  <c r="J76" i="4" s="1"/>
  <c r="AJ56" i="4"/>
  <c r="AJ75" i="4" s="1"/>
  <c r="P55" i="4"/>
  <c r="P62" i="4"/>
  <c r="G55" i="4"/>
  <c r="G62" i="4"/>
  <c r="H74" i="4"/>
  <c r="H62" i="4"/>
  <c r="AU27" i="33"/>
  <c r="AU52" i="33" s="1"/>
  <c r="AU22" i="33"/>
  <c r="AU45" i="33"/>
  <c r="AK22" i="33"/>
  <c r="AK45" i="33"/>
  <c r="AK27" i="33"/>
  <c r="AK52" i="33" s="1"/>
  <c r="BA22" i="33"/>
  <c r="BA45" i="33"/>
  <c r="BA27" i="33"/>
  <c r="BA52" i="33" s="1"/>
  <c r="AH45" i="33"/>
  <c r="AH27" i="33"/>
  <c r="AH52" i="33" s="1"/>
  <c r="AH22" i="33"/>
  <c r="U56" i="4"/>
  <c r="U75" i="4" s="1"/>
  <c r="AC57" i="4"/>
  <c r="AC58" i="4" s="1"/>
  <c r="AC76" i="4" s="1"/>
  <c r="AK56" i="4"/>
  <c r="AK75" i="4" s="1"/>
  <c r="M56" i="4"/>
  <c r="M75" i="4" s="1"/>
  <c r="AH57" i="4"/>
  <c r="AH58" i="4" s="1"/>
  <c r="AH76" i="4" s="1"/>
  <c r="AA57" i="4"/>
  <c r="AA58" i="4" s="1"/>
  <c r="AA76" i="4" s="1"/>
  <c r="AE56" i="4"/>
  <c r="AE75" i="4" s="1"/>
  <c r="AF56" i="4"/>
  <c r="AF75" i="4" s="1"/>
  <c r="AJ57" i="4"/>
  <c r="AJ58" i="4" s="1"/>
  <c r="AJ76" i="4" s="1"/>
  <c r="T56" i="4"/>
  <c r="T75" i="4" s="1"/>
  <c r="C74" i="4"/>
  <c r="C62" i="4"/>
  <c r="Z56" i="4"/>
  <c r="Z75" i="4" s="1"/>
  <c r="Z57" i="4"/>
  <c r="Z58" i="4" s="1"/>
  <c r="Z76" i="4" s="1"/>
  <c r="AI56" i="4"/>
  <c r="AI75" i="4" s="1"/>
  <c r="AI57" i="4"/>
  <c r="AI58" i="4" s="1"/>
  <c r="AI76" i="4" s="1"/>
  <c r="D55" i="4"/>
  <c r="D62" i="4"/>
  <c r="AI27" i="33"/>
  <c r="AI52" i="33" s="1"/>
  <c r="AI22" i="33"/>
  <c r="AI45" i="33"/>
  <c r="AO4" i="23"/>
  <c r="AO45" i="23" s="1"/>
  <c r="AO4" i="33"/>
  <c r="A36" i="22"/>
  <c r="H36" i="22" s="1"/>
  <c r="AL4" i="33"/>
  <c r="AD56" i="4"/>
  <c r="AD75" i="4" s="1"/>
  <c r="S57" i="4"/>
  <c r="S58" i="4" s="1"/>
  <c r="S76" i="4" s="1"/>
  <c r="AA56" i="4"/>
  <c r="AA75" i="4" s="1"/>
  <c r="Q55" i="4"/>
  <c r="AL4" i="1"/>
  <c r="AL45" i="1" s="1"/>
  <c r="O32" i="4"/>
  <c r="Q10" i="4"/>
  <c r="B32" i="4"/>
  <c r="H55" i="4"/>
  <c r="R10" i="4"/>
  <c r="O14" i="4"/>
  <c r="P15" i="4"/>
  <c r="AL4" i="23"/>
  <c r="AL45" i="23" s="1"/>
  <c r="N52" i="23"/>
  <c r="P27" i="1"/>
  <c r="P52" i="1" s="1"/>
  <c r="AP45" i="1"/>
  <c r="V4" i="4"/>
  <c r="V55" i="4" s="1"/>
  <c r="Y22" i="23"/>
  <c r="AP22" i="1"/>
  <c r="AP27" i="1"/>
  <c r="AP52" i="1" s="1"/>
  <c r="Z45" i="1"/>
  <c r="S27" i="23"/>
  <c r="Z27" i="1"/>
  <c r="Z52" i="1" s="1"/>
  <c r="AM4" i="23"/>
  <c r="AM22" i="23" s="1"/>
  <c r="Y79" i="4"/>
  <c r="Z79" i="4"/>
  <c r="AD79" i="4"/>
  <c r="K79" i="4"/>
  <c r="AC79" i="4"/>
  <c r="B10" i="4"/>
  <c r="A32" i="22"/>
  <c r="H32" i="22" s="1"/>
  <c r="D13" i="28"/>
  <c r="D9" i="28"/>
  <c r="D5" i="28"/>
  <c r="D14" i="28"/>
  <c r="D10" i="28"/>
  <c r="D6" i="28"/>
  <c r="D15" i="28"/>
  <c r="D11" i="28"/>
  <c r="D7" i="28"/>
  <c r="D3" i="28"/>
  <c r="D12" i="28"/>
  <c r="D8" i="28"/>
  <c r="D4" i="28"/>
  <c r="W79" i="4"/>
  <c r="L79" i="4"/>
  <c r="AE79" i="4"/>
  <c r="AJ79" i="4"/>
  <c r="V79" i="4"/>
  <c r="M79" i="4"/>
  <c r="J79" i="4"/>
  <c r="AA79" i="4"/>
  <c r="AG79" i="4"/>
  <c r="AF79" i="4"/>
  <c r="U79" i="4"/>
  <c r="T79" i="4"/>
  <c r="AI79" i="4"/>
  <c r="AK79" i="4"/>
  <c r="S79" i="4"/>
  <c r="X79" i="4"/>
  <c r="AH79" i="4"/>
  <c r="AB79" i="4"/>
  <c r="O26" i="4"/>
  <c r="AF46" i="1"/>
  <c r="AF53" i="1" s="1"/>
  <c r="A37" i="22"/>
  <c r="H37" i="22" s="1"/>
  <c r="AV4" i="23"/>
  <c r="AV22" i="23" s="1"/>
  <c r="AY4" i="23"/>
  <c r="AY22" i="23" s="1"/>
  <c r="AK4" i="1"/>
  <c r="AK22" i="1" s="1"/>
  <c r="T27" i="1"/>
  <c r="T52" i="1" s="1"/>
  <c r="S45" i="1"/>
  <c r="T22" i="23"/>
  <c r="AZ4" i="1"/>
  <c r="AJ4" i="4" s="1"/>
  <c r="AJ62" i="4" s="1"/>
  <c r="AY4" i="1"/>
  <c r="AY22" i="1" s="1"/>
  <c r="R22" i="1"/>
  <c r="M74" i="4"/>
  <c r="I2" i="12" s="1"/>
  <c r="Z22" i="1"/>
  <c r="T22" i="1"/>
  <c r="V45" i="1"/>
  <c r="S22" i="1"/>
  <c r="M27" i="1"/>
  <c r="M52" i="1" s="1"/>
  <c r="M22" i="1"/>
  <c r="AC52" i="23"/>
  <c r="V45" i="23"/>
  <c r="V27" i="23"/>
  <c r="J52" i="1"/>
  <c r="J74" i="4"/>
  <c r="F2" i="12" s="1"/>
  <c r="J27" i="1"/>
  <c r="J45" i="1"/>
  <c r="AX4" i="1"/>
  <c r="AX22" i="1" s="1"/>
  <c r="A48" i="22"/>
  <c r="H48" i="22" s="1"/>
  <c r="AI4" i="1"/>
  <c r="A33" i="22"/>
  <c r="H33" i="22" s="1"/>
  <c r="AI4" i="23"/>
  <c r="AB27" i="1"/>
  <c r="AB52" i="1" s="1"/>
  <c r="AB22" i="1"/>
  <c r="AB45" i="1"/>
  <c r="AS4" i="1"/>
  <c r="A43" i="22"/>
  <c r="H43" i="22" s="1"/>
  <c r="U52" i="23"/>
  <c r="AS4" i="23"/>
  <c r="AS27" i="23" s="1"/>
  <c r="AS52" i="23" s="1"/>
  <c r="R27" i="23"/>
  <c r="R52" i="23"/>
  <c r="O22" i="23"/>
  <c r="R22" i="23"/>
  <c r="S52" i="23"/>
  <c r="R45" i="23"/>
  <c r="AV4" i="1"/>
  <c r="AF4" i="4" s="1"/>
  <c r="AF62" i="4" s="1"/>
  <c r="U22" i="23"/>
  <c r="AU27" i="1"/>
  <c r="AU52" i="1" s="1"/>
  <c r="AQ4" i="23"/>
  <c r="A41" i="22"/>
  <c r="H41" i="22" s="1"/>
  <c r="W45" i="1"/>
  <c r="W27" i="1"/>
  <c r="W52" i="1" s="1"/>
  <c r="X22" i="1"/>
  <c r="X27" i="1"/>
  <c r="X52" i="1" s="1"/>
  <c r="X45" i="1"/>
  <c r="AO4" i="1"/>
  <c r="A39" i="22"/>
  <c r="H39" i="22" s="1"/>
  <c r="Y22" i="1"/>
  <c r="C55" i="4"/>
  <c r="V22" i="1"/>
  <c r="O52" i="23"/>
  <c r="V22" i="23"/>
  <c r="U45" i="23"/>
  <c r="AZ4" i="23"/>
  <c r="AZ27" i="23" s="1"/>
  <c r="AZ52" i="23" s="1"/>
  <c r="O45" i="23"/>
  <c r="T52" i="23"/>
  <c r="T45" i="23"/>
  <c r="AK4" i="23"/>
  <c r="AK22" i="23" s="1"/>
  <c r="AQ4" i="1"/>
  <c r="AQ22" i="1" s="1"/>
  <c r="X27" i="23"/>
  <c r="X22" i="23"/>
  <c r="X52" i="23"/>
  <c r="N27" i="23"/>
  <c r="N45" i="23"/>
  <c r="J22" i="23"/>
  <c r="J52" i="23"/>
  <c r="J22" i="1"/>
  <c r="J27" i="23"/>
  <c r="AH4" i="1"/>
  <c r="AH22" i="1" s="1"/>
  <c r="AH4" i="23"/>
  <c r="AH22" i="23" s="1"/>
  <c r="U27" i="1"/>
  <c r="U52" i="1" s="1"/>
  <c r="O22" i="1"/>
  <c r="AX4" i="23"/>
  <c r="AX45" i="23" s="1"/>
  <c r="U45" i="1"/>
  <c r="R27" i="1"/>
  <c r="R52" i="1" s="1"/>
  <c r="Q45" i="23"/>
  <c r="Q27" i="23"/>
  <c r="P22" i="23"/>
  <c r="P27" i="23"/>
  <c r="Q22" i="23"/>
  <c r="P45" i="23"/>
  <c r="M52" i="23"/>
  <c r="M22" i="23"/>
  <c r="M45" i="23"/>
  <c r="L2" i="12"/>
  <c r="M45" i="1"/>
  <c r="P45" i="1"/>
  <c r="Q52" i="23"/>
  <c r="P22" i="1"/>
  <c r="B46" i="23"/>
  <c r="B53" i="23" s="1"/>
  <c r="B55" i="23" s="1"/>
  <c r="AE46" i="23"/>
  <c r="AE53" i="23" s="1"/>
  <c r="AE55" i="23" s="1"/>
  <c r="AE47" i="23"/>
  <c r="AE48" i="23" s="1"/>
  <c r="AE54" i="23" s="1"/>
  <c r="B47" i="23"/>
  <c r="B48" i="23" s="1"/>
  <c r="B54" i="23" s="1"/>
  <c r="B57" i="23"/>
  <c r="R59" i="23" s="1"/>
  <c r="R60" i="23" s="1"/>
  <c r="AE57" i="23"/>
  <c r="AM59" i="23" s="1"/>
  <c r="AM60" i="23" s="1"/>
  <c r="B29" i="4"/>
  <c r="O22" i="4"/>
  <c r="F55" i="23"/>
  <c r="AH47" i="1"/>
  <c r="AH48" i="1" s="1"/>
  <c r="AH54" i="1" s="1"/>
  <c r="AG57" i="1"/>
  <c r="D74" i="4"/>
  <c r="M2" i="12"/>
  <c r="AH46" i="1"/>
  <c r="AH53" i="1" s="1"/>
  <c r="C55" i="23"/>
  <c r="J2" i="12"/>
  <c r="R55" i="23"/>
  <c r="C47" i="1"/>
  <c r="C48" i="1" s="1"/>
  <c r="C54" i="1" s="1"/>
  <c r="G74" i="4"/>
  <c r="D57" i="1"/>
  <c r="AH57" i="1"/>
  <c r="AF57" i="1"/>
  <c r="AE57" i="1"/>
  <c r="C57" i="1"/>
  <c r="D10" i="4"/>
  <c r="N55" i="23"/>
  <c r="AB55" i="23"/>
  <c r="C10" i="4"/>
  <c r="P55" i="23"/>
  <c r="B57" i="1"/>
  <c r="C46" i="1"/>
  <c r="C53" i="1" s="1"/>
  <c r="B46" i="1"/>
  <c r="B53" i="1" s="1"/>
  <c r="G55" i="1" s="1"/>
  <c r="B47" i="1"/>
  <c r="B48" i="1" s="1"/>
  <c r="B54" i="1" s="1"/>
  <c r="D46" i="1"/>
  <c r="D53" i="1" s="1"/>
  <c r="AE47" i="1"/>
  <c r="AE48" i="1" s="1"/>
  <c r="AE54" i="1" s="1"/>
  <c r="AE46" i="1"/>
  <c r="AE53" i="1" s="1"/>
  <c r="AE55" i="1" s="1"/>
  <c r="D47" i="1"/>
  <c r="D48" i="1" s="1"/>
  <c r="D54" i="1" s="1"/>
  <c r="D8" i="4"/>
  <c r="AN4" i="23"/>
  <c r="AN4" i="1"/>
  <c r="AW4" i="1"/>
  <c r="AW4" i="23"/>
  <c r="AR4" i="23"/>
  <c r="AR4" i="1"/>
  <c r="AC27" i="1"/>
  <c r="AC52" i="1" s="1"/>
  <c r="AC45" i="1"/>
  <c r="AC22" i="1"/>
  <c r="AA45" i="23"/>
  <c r="AA52" i="23"/>
  <c r="AA27" i="23"/>
  <c r="AA22" i="23"/>
  <c r="AA45" i="1"/>
  <c r="AA27" i="1"/>
  <c r="AA52" i="1" s="1"/>
  <c r="AA22" i="1"/>
  <c r="AJ4" i="1"/>
  <c r="AJ4" i="23"/>
  <c r="BA4" i="1"/>
  <c r="BA4" i="23"/>
  <c r="AC45" i="23"/>
  <c r="AC22" i="23"/>
  <c r="F74" i="4"/>
  <c r="I74" i="4"/>
  <c r="O74" i="4"/>
  <c r="P74" i="4"/>
  <c r="AD2" i="12"/>
  <c r="R78" i="4"/>
  <c r="D78" i="4"/>
  <c r="P78" i="4"/>
  <c r="E78" i="4"/>
  <c r="B78" i="4"/>
  <c r="H78" i="4"/>
  <c r="O78" i="4"/>
  <c r="F78" i="4"/>
  <c r="I78" i="4"/>
  <c r="G78" i="4"/>
  <c r="C78" i="4"/>
  <c r="Q78" i="4"/>
  <c r="C63" i="4" l="1"/>
  <c r="C64" i="4" s="1"/>
  <c r="W55" i="23"/>
  <c r="F63" i="4"/>
  <c r="F64" i="4" s="1"/>
  <c r="H56" i="4"/>
  <c r="H75" i="4" s="1"/>
  <c r="I57" i="4"/>
  <c r="I58" i="4" s="1"/>
  <c r="I76" i="4" s="1"/>
  <c r="J4" i="12" s="1"/>
  <c r="R63" i="4"/>
  <c r="R64" i="4" s="1"/>
  <c r="I63" i="4"/>
  <c r="I64" i="4" s="1"/>
  <c r="AF55" i="23"/>
  <c r="AL55" i="23"/>
  <c r="AU55" i="1"/>
  <c r="AG55" i="23"/>
  <c r="BA55" i="23"/>
  <c r="AT55" i="1"/>
  <c r="AZ55" i="1"/>
  <c r="AK55" i="23"/>
  <c r="AJ55" i="1"/>
  <c r="AR55" i="23"/>
  <c r="AQ55" i="1"/>
  <c r="BA55" i="1"/>
  <c r="AH55" i="23"/>
  <c r="AM55" i="23"/>
  <c r="AJ55" i="23"/>
  <c r="AN55" i="1"/>
  <c r="AM55" i="1"/>
  <c r="AS55" i="1"/>
  <c r="AX55" i="23"/>
  <c r="AN55" i="23"/>
  <c r="AY55" i="1"/>
  <c r="AL55" i="1"/>
  <c r="AH55" i="1"/>
  <c r="AF55" i="1"/>
  <c r="AZ55" i="23"/>
  <c r="AI55" i="1"/>
  <c r="AU55" i="23"/>
  <c r="AS55" i="23"/>
  <c r="AO55" i="1"/>
  <c r="AR55" i="1"/>
  <c r="AY55" i="23"/>
  <c r="AK55" i="1"/>
  <c r="AW55" i="1"/>
  <c r="AG55" i="1"/>
  <c r="AO55" i="23"/>
  <c r="AI55" i="23"/>
  <c r="AQ55" i="23"/>
  <c r="AW55" i="23"/>
  <c r="AX55" i="1"/>
  <c r="AV55" i="1"/>
  <c r="AP55" i="23"/>
  <c r="AV55" i="23"/>
  <c r="AP55" i="1"/>
  <c r="AT55" i="23"/>
  <c r="D63" i="4"/>
  <c r="D64" i="4" s="1"/>
  <c r="B63" i="4"/>
  <c r="B64" i="4" s="1"/>
  <c r="O63" i="4"/>
  <c r="O64" i="4" s="1"/>
  <c r="G56" i="4"/>
  <c r="G75" i="4" s="1"/>
  <c r="H57" i="4"/>
  <c r="H58" i="4" s="1"/>
  <c r="H76" i="4" s="1"/>
  <c r="H63" i="4"/>
  <c r="H64" i="4" s="1"/>
  <c r="P63" i="4"/>
  <c r="P64" i="4" s="1"/>
  <c r="G63" i="4"/>
  <c r="G64" i="4" s="1"/>
  <c r="E63" i="4"/>
  <c r="E64" i="4" s="1"/>
  <c r="Q63" i="4"/>
  <c r="Q64" i="4" s="1"/>
  <c r="V55" i="23"/>
  <c r="U55" i="23"/>
  <c r="AA55" i="23"/>
  <c r="AZ45" i="23"/>
  <c r="AO27" i="23"/>
  <c r="AO52" i="23" s="1"/>
  <c r="AM27" i="1"/>
  <c r="AM52" i="1" s="1"/>
  <c r="AO22" i="23"/>
  <c r="AT27" i="1"/>
  <c r="AT52" i="1" s="1"/>
  <c r="AT45" i="23"/>
  <c r="AL27" i="23"/>
  <c r="AL52" i="23" s="1"/>
  <c r="I56" i="4"/>
  <c r="I75" i="4" s="1"/>
  <c r="M4" i="12"/>
  <c r="AU22" i="1"/>
  <c r="AE4" i="4"/>
  <c r="AE62" i="4" s="1"/>
  <c r="AP27" i="23"/>
  <c r="AP52" i="23" s="1"/>
  <c r="AD4" i="4"/>
  <c r="AD55" i="4" s="1"/>
  <c r="AT45" i="1"/>
  <c r="W4" i="4"/>
  <c r="W62" i="4" s="1"/>
  <c r="H4" i="12"/>
  <c r="AY27" i="1"/>
  <c r="AY52" i="1" s="1"/>
  <c r="AU22" i="23"/>
  <c r="AT27" i="23"/>
  <c r="AT52" i="23" s="1"/>
  <c r="AP22" i="23"/>
  <c r="AU45" i="23"/>
  <c r="AI4" i="4"/>
  <c r="AI62" i="4" s="1"/>
  <c r="AK45" i="1"/>
  <c r="AL22" i="1"/>
  <c r="AM22" i="1"/>
  <c r="AL22" i="23"/>
  <c r="AL27" i="1"/>
  <c r="AL52" i="1" s="1"/>
  <c r="AG80" i="4"/>
  <c r="G57" i="4"/>
  <c r="G58" i="4" s="1"/>
  <c r="G76" i="4" s="1"/>
  <c r="AB80" i="4"/>
  <c r="F57" i="4"/>
  <c r="F58" i="4" s="1"/>
  <c r="F76" i="4" s="1"/>
  <c r="B56" i="4"/>
  <c r="E79" i="4"/>
  <c r="G79" i="4"/>
  <c r="I79" i="4"/>
  <c r="H79" i="4"/>
  <c r="F79" i="4"/>
  <c r="J80" i="4"/>
  <c r="E57" i="4"/>
  <c r="E58" i="4" s="1"/>
  <c r="E76" i="4" s="1"/>
  <c r="E56" i="4"/>
  <c r="E75" i="4" s="1"/>
  <c r="W80" i="4"/>
  <c r="F56" i="4"/>
  <c r="F75" i="4" s="1"/>
  <c r="P57" i="4"/>
  <c r="P58" i="4" s="1"/>
  <c r="P76" i="4" s="1"/>
  <c r="R56" i="4"/>
  <c r="R75" i="4" s="1"/>
  <c r="D56" i="4"/>
  <c r="D75" i="4" s="1"/>
  <c r="B57" i="4"/>
  <c r="B58" i="4" s="1"/>
  <c r="B76" i="4" s="1"/>
  <c r="AL45" i="33"/>
  <c r="AL27" i="33"/>
  <c r="AL52" i="33" s="1"/>
  <c r="AL22" i="33"/>
  <c r="D57" i="4"/>
  <c r="D58" i="4" s="1"/>
  <c r="D76" i="4" s="1"/>
  <c r="AM27" i="33"/>
  <c r="AM52" i="33" s="1"/>
  <c r="AM22" i="33"/>
  <c r="AM45" i="33"/>
  <c r="O57" i="4"/>
  <c r="O58" i="4" s="1"/>
  <c r="O76" i="4" s="1"/>
  <c r="C57" i="4"/>
  <c r="C58" i="4" s="1"/>
  <c r="C76" i="4" s="1"/>
  <c r="Q2" i="12"/>
  <c r="Q4" i="12" s="1"/>
  <c r="P2" i="12"/>
  <c r="P4" i="12" s="1"/>
  <c r="Q56" i="4"/>
  <c r="Q75" i="4" s="1"/>
  <c r="O56" i="4"/>
  <c r="O75" i="4" s="1"/>
  <c r="T77" i="4" s="1"/>
  <c r="C56" i="4"/>
  <c r="C75" i="4" s="1"/>
  <c r="R2" i="12"/>
  <c r="R4" i="12" s="1"/>
  <c r="W74" i="4"/>
  <c r="AA2" i="12" s="1"/>
  <c r="V74" i="4"/>
  <c r="Z2" i="12" s="1"/>
  <c r="V62" i="4"/>
  <c r="AO22" i="33"/>
  <c r="AO45" i="33"/>
  <c r="AO27" i="33"/>
  <c r="AO52" i="33" s="1"/>
  <c r="P56" i="4"/>
  <c r="R57" i="4"/>
  <c r="R58" i="4" s="1"/>
  <c r="R76" i="4" s="1"/>
  <c r="Q57" i="4"/>
  <c r="Q58" i="4" s="1"/>
  <c r="Q76" i="4" s="1"/>
  <c r="Q79" i="4"/>
  <c r="P79" i="4"/>
  <c r="R79" i="4"/>
  <c r="R80" i="4" s="1"/>
  <c r="AZ45" i="1"/>
  <c r="AV27" i="1"/>
  <c r="AV52" i="1" s="1"/>
  <c r="AV45" i="23"/>
  <c r="U4" i="4"/>
  <c r="AV45" i="1"/>
  <c r="AZ22" i="1"/>
  <c r="AZ27" i="1"/>
  <c r="AZ52" i="1" s="1"/>
  <c r="AX27" i="1"/>
  <c r="AX52" i="1" s="1"/>
  <c r="F2" i="27"/>
  <c r="F4" i="27" s="1"/>
  <c r="AZ22" i="23"/>
  <c r="AX45" i="1"/>
  <c r="O2" i="12"/>
  <c r="O4" i="12" s="1"/>
  <c r="AV27" i="23"/>
  <c r="AV52" i="23" s="1"/>
  <c r="AS22" i="23"/>
  <c r="AK27" i="1"/>
  <c r="AK52" i="1" s="1"/>
  <c r="AM27" i="23"/>
  <c r="AM52" i="23" s="1"/>
  <c r="AM45" i="23"/>
  <c r="C79" i="4"/>
  <c r="D79" i="4"/>
  <c r="K15" i="28"/>
  <c r="K13" i="28"/>
  <c r="K11" i="28"/>
  <c r="K9" i="28"/>
  <c r="L14" i="28"/>
  <c r="L12" i="28"/>
  <c r="L10" i="28"/>
  <c r="L8" i="28"/>
  <c r="L15" i="28"/>
  <c r="L13" i="28"/>
  <c r="L11" i="28"/>
  <c r="L9" i="28"/>
  <c r="K14" i="28"/>
  <c r="K12" i="28"/>
  <c r="K10" i="28"/>
  <c r="K8" i="28"/>
  <c r="L55" i="23"/>
  <c r="X55" i="23"/>
  <c r="D55" i="23"/>
  <c r="H55" i="23"/>
  <c r="K55" i="23"/>
  <c r="S55" i="23"/>
  <c r="AC55" i="23"/>
  <c r="J55" i="23"/>
  <c r="Z55" i="23"/>
  <c r="W59" i="23"/>
  <c r="M55" i="23"/>
  <c r="G55" i="23"/>
  <c r="T55" i="23"/>
  <c r="Q55" i="23"/>
  <c r="E55" i="23"/>
  <c r="Y55" i="23"/>
  <c r="I55" i="23"/>
  <c r="O55" i="23"/>
  <c r="AQ59" i="23"/>
  <c r="AQ60" i="23" s="1"/>
  <c r="AV59" i="23"/>
  <c r="AV60" i="23" s="1"/>
  <c r="AH59" i="23"/>
  <c r="AH60" i="23" s="1"/>
  <c r="O79" i="4"/>
  <c r="B79" i="4"/>
  <c r="B64" i="23"/>
  <c r="AM61" i="23"/>
  <c r="R61" i="23"/>
  <c r="L59" i="23"/>
  <c r="L60" i="23" s="1"/>
  <c r="F59" i="23"/>
  <c r="F60" i="23" s="1"/>
  <c r="V59" i="23"/>
  <c r="V60" i="23" s="1"/>
  <c r="AS59" i="23"/>
  <c r="AS60" i="23" s="1"/>
  <c r="AX59" i="23"/>
  <c r="AX60" i="23" s="1"/>
  <c r="AN59" i="23"/>
  <c r="AN60" i="23" s="1"/>
  <c r="AG59" i="23"/>
  <c r="AG60" i="23" s="1"/>
  <c r="AW59" i="23"/>
  <c r="AW60" i="23" s="1"/>
  <c r="AL59" i="23"/>
  <c r="AL60" i="23" s="1"/>
  <c r="AF59" i="23"/>
  <c r="AF60" i="23" s="1"/>
  <c r="AU59" i="23"/>
  <c r="AU60" i="23" s="1"/>
  <c r="AB59" i="23"/>
  <c r="AB60" i="23" s="1"/>
  <c r="AJ59" i="23"/>
  <c r="AJ60" i="23" s="1"/>
  <c r="AK59" i="23"/>
  <c r="AK60" i="23" s="1"/>
  <c r="BA59" i="23"/>
  <c r="BA60" i="23" s="1"/>
  <c r="AP59" i="23"/>
  <c r="AP60" i="23" s="1"/>
  <c r="AI59" i="23"/>
  <c r="AI60" i="23" s="1"/>
  <c r="AY59" i="23"/>
  <c r="AY60" i="23" s="1"/>
  <c r="O59" i="23"/>
  <c r="O60" i="23" s="1"/>
  <c r="Q59" i="23"/>
  <c r="Q60" i="23" s="1"/>
  <c r="AR59" i="23"/>
  <c r="AR60" i="23" s="1"/>
  <c r="AO59" i="23"/>
  <c r="AO60" i="23" s="1"/>
  <c r="AZ59" i="23"/>
  <c r="AZ60" i="23" s="1"/>
  <c r="AT59" i="23"/>
  <c r="AT60" i="23" s="1"/>
  <c r="B65" i="23"/>
  <c r="AH4" i="4"/>
  <c r="AH55" i="4" s="1"/>
  <c r="AV22" i="1"/>
  <c r="AX22" i="23"/>
  <c r="AY45" i="1"/>
  <c r="AY45" i="23"/>
  <c r="AX27" i="23"/>
  <c r="AX52" i="23" s="1"/>
  <c r="AY27" i="23"/>
  <c r="AY52" i="23" s="1"/>
  <c r="N2" i="12"/>
  <c r="AH45" i="23"/>
  <c r="AC4" i="4"/>
  <c r="AC62" i="4" s="1"/>
  <c r="AS27" i="1"/>
  <c r="AS52" i="1" s="1"/>
  <c r="AS22" i="1"/>
  <c r="AS45" i="1"/>
  <c r="S4" i="4"/>
  <c r="S62" i="4" s="1"/>
  <c r="AI45" i="1"/>
  <c r="AI27" i="1"/>
  <c r="AI52" i="1" s="1"/>
  <c r="AI22" i="1"/>
  <c r="AQ27" i="23"/>
  <c r="AQ52" i="23" s="1"/>
  <c r="AQ22" i="23"/>
  <c r="AQ45" i="23"/>
  <c r="AQ45" i="1"/>
  <c r="AQ27" i="1"/>
  <c r="AQ52" i="1" s="1"/>
  <c r="S2" i="12"/>
  <c r="S4" i="12" s="1"/>
  <c r="AS45" i="23"/>
  <c r="AK27" i="23"/>
  <c r="AK52" i="23" s="1"/>
  <c r="AK45" i="23"/>
  <c r="AO27" i="1"/>
  <c r="AO52" i="1" s="1"/>
  <c r="Y4" i="4"/>
  <c r="Y62" i="4" s="1"/>
  <c r="AO45" i="1"/>
  <c r="AO22" i="1"/>
  <c r="AI45" i="23"/>
  <c r="AI27" i="23"/>
  <c r="AI52" i="23" s="1"/>
  <c r="AI22" i="23"/>
  <c r="AA4" i="4"/>
  <c r="AH45" i="1"/>
  <c r="R4" i="4"/>
  <c r="R62" i="4" s="1"/>
  <c r="AH27" i="1"/>
  <c r="AH52" i="1" s="1"/>
  <c r="AH27" i="23"/>
  <c r="AH52" i="23" s="1"/>
  <c r="C59" i="23"/>
  <c r="C60" i="23" s="1"/>
  <c r="P59" i="23"/>
  <c r="P60" i="23" s="1"/>
  <c r="U59" i="23"/>
  <c r="U60" i="23" s="1"/>
  <c r="Z59" i="23"/>
  <c r="Z60" i="23" s="1"/>
  <c r="S59" i="23"/>
  <c r="S60" i="23" s="1"/>
  <c r="T59" i="23"/>
  <c r="T60" i="23" s="1"/>
  <c r="N59" i="23"/>
  <c r="N60" i="23" s="1"/>
  <c r="E59" i="23"/>
  <c r="E60" i="23" s="1"/>
  <c r="J59" i="23"/>
  <c r="J60" i="23" s="1"/>
  <c r="K59" i="23"/>
  <c r="K60" i="23" s="1"/>
  <c r="D59" i="23"/>
  <c r="D60" i="23" s="1"/>
  <c r="I59" i="23"/>
  <c r="I60" i="23" s="1"/>
  <c r="Y59" i="23"/>
  <c r="Y60" i="23" s="1"/>
  <c r="AE59" i="23"/>
  <c r="AE60" i="23" s="1"/>
  <c r="AA59" i="23"/>
  <c r="AA60" i="23" s="1"/>
  <c r="G59" i="23"/>
  <c r="G60" i="23" s="1"/>
  <c r="H59" i="23"/>
  <c r="H60" i="23" s="1"/>
  <c r="X59" i="23"/>
  <c r="X60" i="23" s="1"/>
  <c r="M59" i="23"/>
  <c r="M60" i="23" s="1"/>
  <c r="AC59" i="23"/>
  <c r="AC60" i="23" s="1"/>
  <c r="T55" i="1"/>
  <c r="C55" i="1"/>
  <c r="Q55" i="1"/>
  <c r="V55" i="1"/>
  <c r="O55" i="1"/>
  <c r="H55" i="1"/>
  <c r="R55" i="1"/>
  <c r="AA55" i="1"/>
  <c r="F55" i="1"/>
  <c r="AC55" i="1"/>
  <c r="N55" i="1"/>
  <c r="AB55" i="1"/>
  <c r="I55" i="1"/>
  <c r="L55" i="1"/>
  <c r="U55" i="1"/>
  <c r="J55" i="1"/>
  <c r="D55" i="1"/>
  <c r="K55" i="1"/>
  <c r="E55" i="1"/>
  <c r="W55" i="1"/>
  <c r="X55" i="1"/>
  <c r="P55" i="1"/>
  <c r="H3" i="12"/>
  <c r="AE59" i="1"/>
  <c r="AE60" i="1" s="1"/>
  <c r="Z59" i="1"/>
  <c r="Z60" i="1" s="1"/>
  <c r="V59" i="1"/>
  <c r="V60" i="1" s="1"/>
  <c r="R59" i="1"/>
  <c r="R60" i="1" s="1"/>
  <c r="N59" i="1"/>
  <c r="N60" i="1" s="1"/>
  <c r="J59" i="1"/>
  <c r="J60" i="1" s="1"/>
  <c r="F59" i="1"/>
  <c r="F60" i="1" s="1"/>
  <c r="AC59" i="1"/>
  <c r="AC60" i="1" s="1"/>
  <c r="Y59" i="1"/>
  <c r="Y60" i="1" s="1"/>
  <c r="U59" i="1"/>
  <c r="U60" i="1" s="1"/>
  <c r="Q59" i="1"/>
  <c r="Q60" i="1" s="1"/>
  <c r="M59" i="1"/>
  <c r="M60" i="1" s="1"/>
  <c r="I59" i="1"/>
  <c r="I60" i="1" s="1"/>
  <c r="E59" i="1"/>
  <c r="E60" i="1" s="1"/>
  <c r="AB59" i="1"/>
  <c r="AB60" i="1" s="1"/>
  <c r="X59" i="1"/>
  <c r="X60" i="1" s="1"/>
  <c r="T59" i="1"/>
  <c r="T60" i="1" s="1"/>
  <c r="P59" i="1"/>
  <c r="P60" i="1" s="1"/>
  <c r="L59" i="1"/>
  <c r="L60" i="1" s="1"/>
  <c r="H59" i="1"/>
  <c r="H60" i="1" s="1"/>
  <c r="D59" i="1"/>
  <c r="D60" i="1" s="1"/>
  <c r="O59" i="1"/>
  <c r="O60" i="1" s="1"/>
  <c r="S59" i="1"/>
  <c r="S60" i="1" s="1"/>
  <c r="AA59" i="1"/>
  <c r="AA60" i="1" s="1"/>
  <c r="K59" i="1"/>
  <c r="K60" i="1" s="1"/>
  <c r="C59" i="1"/>
  <c r="C60" i="1" s="1"/>
  <c r="W59" i="1"/>
  <c r="W60" i="1" s="1"/>
  <c r="G59" i="1"/>
  <c r="G60" i="1" s="1"/>
  <c r="S55" i="1"/>
  <c r="Y55" i="1"/>
  <c r="M55" i="1"/>
  <c r="Z55" i="1"/>
  <c r="AZ59" i="1"/>
  <c r="AZ60" i="1" s="1"/>
  <c r="AV59" i="1"/>
  <c r="AV60" i="1" s="1"/>
  <c r="AR59" i="1"/>
  <c r="AR60" i="1" s="1"/>
  <c r="AN59" i="1"/>
  <c r="AN60" i="1" s="1"/>
  <c r="AJ59" i="1"/>
  <c r="AJ60" i="1" s="1"/>
  <c r="AF59" i="1"/>
  <c r="AF60" i="1" s="1"/>
  <c r="AY59" i="1"/>
  <c r="AY60" i="1" s="1"/>
  <c r="AU59" i="1"/>
  <c r="AU60" i="1" s="1"/>
  <c r="AQ59" i="1"/>
  <c r="AQ60" i="1" s="1"/>
  <c r="AM59" i="1"/>
  <c r="AM60" i="1" s="1"/>
  <c r="AI59" i="1"/>
  <c r="AI60" i="1" s="1"/>
  <c r="AX59" i="1"/>
  <c r="AX60" i="1" s="1"/>
  <c r="AT59" i="1"/>
  <c r="AT60" i="1" s="1"/>
  <c r="AP59" i="1"/>
  <c r="AP60" i="1" s="1"/>
  <c r="AL59" i="1"/>
  <c r="AL60" i="1" s="1"/>
  <c r="AH59" i="1"/>
  <c r="AH60" i="1" s="1"/>
  <c r="AO59" i="1"/>
  <c r="AO60" i="1" s="1"/>
  <c r="BA59" i="1"/>
  <c r="BA60" i="1" s="1"/>
  <c r="AK59" i="1"/>
  <c r="AK60" i="1" s="1"/>
  <c r="AS59" i="1"/>
  <c r="AS60" i="1" s="1"/>
  <c r="AW59" i="1"/>
  <c r="AW60" i="1" s="1"/>
  <c r="AG59" i="1"/>
  <c r="AG60" i="1" s="1"/>
  <c r="B65" i="1"/>
  <c r="B64" i="1"/>
  <c r="B55" i="1"/>
  <c r="AR45" i="23"/>
  <c r="AR27" i="23"/>
  <c r="AR52" i="23" s="1"/>
  <c r="AR22" i="23"/>
  <c r="AW22" i="23"/>
  <c r="AW27" i="23"/>
  <c r="AW52" i="23" s="1"/>
  <c r="AW45" i="23"/>
  <c r="AN45" i="23"/>
  <c r="AN27" i="23"/>
  <c r="AN52" i="23" s="1"/>
  <c r="AN22" i="23"/>
  <c r="AG4" i="4"/>
  <c r="AG62" i="4" s="1"/>
  <c r="AW45" i="1"/>
  <c r="AW27" i="1"/>
  <c r="AW52" i="1" s="1"/>
  <c r="AW22" i="1"/>
  <c r="AN27" i="1"/>
  <c r="AN52" i="1" s="1"/>
  <c r="AN22" i="1"/>
  <c r="AN45" i="1"/>
  <c r="X4" i="4"/>
  <c r="X62" i="4" s="1"/>
  <c r="G3" i="12"/>
  <c r="AR22" i="1"/>
  <c r="AR45" i="1"/>
  <c r="AB4" i="4"/>
  <c r="AB62" i="4" s="1"/>
  <c r="AR27" i="1"/>
  <c r="AR52" i="1" s="1"/>
  <c r="AJ74" i="4"/>
  <c r="AJ55" i="4"/>
  <c r="AJ27" i="23"/>
  <c r="AJ52" i="23" s="1"/>
  <c r="AJ45" i="23"/>
  <c r="AJ22" i="23"/>
  <c r="F3" i="12"/>
  <c r="J3" i="12"/>
  <c r="BA22" i="23"/>
  <c r="BA27" i="23"/>
  <c r="BA52" i="23" s="1"/>
  <c r="BA45" i="23"/>
  <c r="I3" i="12"/>
  <c r="AJ27" i="1"/>
  <c r="AJ52" i="1" s="1"/>
  <c r="AJ45" i="1"/>
  <c r="T4" i="4"/>
  <c r="T62" i="4" s="1"/>
  <c r="AJ22" i="1"/>
  <c r="AK4" i="4"/>
  <c r="AK62" i="4" s="1"/>
  <c r="BA22" i="1"/>
  <c r="BA27" i="1"/>
  <c r="BA52" i="1" s="1"/>
  <c r="BA45" i="1"/>
  <c r="AF74" i="4"/>
  <c r="AF55" i="4"/>
  <c r="E94" i="4" l="1"/>
  <c r="L4" i="12"/>
  <c r="F4" i="12"/>
  <c r="N4" i="12"/>
  <c r="I4" i="12"/>
  <c r="G4" i="12"/>
  <c r="AD74" i="4"/>
  <c r="AH2" i="12" s="1"/>
  <c r="W60" i="23"/>
  <c r="W61" i="23" s="1"/>
  <c r="W55" i="4"/>
  <c r="AE55" i="4"/>
  <c r="AE74" i="4"/>
  <c r="AI74" i="4"/>
  <c r="AD62" i="4"/>
  <c r="AI55" i="4"/>
  <c r="B80" i="4"/>
  <c r="P75" i="4"/>
  <c r="B5" i="27" s="1"/>
  <c r="O81" i="4"/>
  <c r="AH74" i="4"/>
  <c r="AH62" i="4"/>
  <c r="AA74" i="4"/>
  <c r="AE2" i="12" s="1"/>
  <c r="AA62" i="4"/>
  <c r="U74" i="4"/>
  <c r="Y2" i="12" s="1"/>
  <c r="U62" i="4"/>
  <c r="B5" i="12"/>
  <c r="B6" i="12"/>
  <c r="B6" i="27"/>
  <c r="AH61" i="23"/>
  <c r="AV61" i="23"/>
  <c r="AQ61" i="23"/>
  <c r="U55" i="4"/>
  <c r="F3" i="27"/>
  <c r="AK77" i="4"/>
  <c r="AB77" i="4"/>
  <c r="AH77" i="4"/>
  <c r="W77" i="4"/>
  <c r="V77" i="4"/>
  <c r="U77" i="4"/>
  <c r="Z77" i="4"/>
  <c r="X77" i="4"/>
  <c r="O77" i="4"/>
  <c r="AA77" i="4"/>
  <c r="AC77" i="4"/>
  <c r="S77" i="4"/>
  <c r="AD77" i="4"/>
  <c r="Y77" i="4"/>
  <c r="Q77" i="4"/>
  <c r="AJ77" i="4"/>
  <c r="AI77" i="4"/>
  <c r="R77" i="4"/>
  <c r="AF77" i="4"/>
  <c r="AG77" i="4"/>
  <c r="AE77" i="4"/>
  <c r="AK81" i="4"/>
  <c r="AK82" i="4" s="1"/>
  <c r="W81" i="4"/>
  <c r="W82" i="4" s="1"/>
  <c r="Y81" i="4"/>
  <c r="Y82" i="4" s="1"/>
  <c r="T81" i="4"/>
  <c r="AG81" i="4"/>
  <c r="AG82" i="4" s="1"/>
  <c r="AA81" i="4"/>
  <c r="AA82" i="4" s="1"/>
  <c r="AF81" i="4"/>
  <c r="AF82" i="4" s="1"/>
  <c r="AH81" i="4"/>
  <c r="AH82" i="4" s="1"/>
  <c r="AJ81" i="4"/>
  <c r="AJ82" i="4" s="1"/>
  <c r="AD81" i="4"/>
  <c r="AD82" i="4" s="1"/>
  <c r="U81" i="4"/>
  <c r="AI81" i="4"/>
  <c r="AI82" i="4" s="1"/>
  <c r="AC81" i="4"/>
  <c r="AC82" i="4" s="1"/>
  <c r="AE81" i="4"/>
  <c r="AE82" i="4" s="1"/>
  <c r="P81" i="4"/>
  <c r="V81" i="4"/>
  <c r="AB81" i="4"/>
  <c r="AB82" i="4" s="1"/>
  <c r="S81" i="4"/>
  <c r="X81" i="4"/>
  <c r="X82" i="4" s="1"/>
  <c r="Z81" i="4"/>
  <c r="Z82" i="4" s="1"/>
  <c r="Q81" i="4"/>
  <c r="R81" i="4"/>
  <c r="B86" i="4"/>
  <c r="B87" i="4"/>
  <c r="B75" i="4"/>
  <c r="M81" i="4"/>
  <c r="J81" i="4"/>
  <c r="K81" i="4"/>
  <c r="L81" i="4"/>
  <c r="M61" i="23"/>
  <c r="AA61" i="23"/>
  <c r="I61" i="23"/>
  <c r="E61" i="23"/>
  <c r="S61" i="23"/>
  <c r="P61" i="23"/>
  <c r="AT61" i="23"/>
  <c r="Q61" i="23"/>
  <c r="AP61" i="23"/>
  <c r="AB61" i="23"/>
  <c r="AW61" i="23"/>
  <c r="AS61" i="23"/>
  <c r="X61" i="23"/>
  <c r="D61" i="23"/>
  <c r="C61" i="23"/>
  <c r="AZ61" i="23"/>
  <c r="O61" i="23"/>
  <c r="BA61" i="23"/>
  <c r="AU61" i="23"/>
  <c r="AG61" i="23"/>
  <c r="V61" i="23"/>
  <c r="AO61" i="23"/>
  <c r="AY61" i="23"/>
  <c r="AK61" i="23"/>
  <c r="AF61" i="23"/>
  <c r="AN61" i="23"/>
  <c r="F61" i="23"/>
  <c r="H61" i="23"/>
  <c r="K61" i="23"/>
  <c r="N61" i="23"/>
  <c r="Z61" i="23"/>
  <c r="AC61" i="23"/>
  <c r="G61" i="23"/>
  <c r="Y61" i="23"/>
  <c r="J61" i="23"/>
  <c r="T61" i="23"/>
  <c r="U61" i="23"/>
  <c r="AR61" i="23"/>
  <c r="AI61" i="23"/>
  <c r="AJ61" i="23"/>
  <c r="AL61" i="23"/>
  <c r="AX61" i="23"/>
  <c r="L61" i="23"/>
  <c r="AS61" i="1"/>
  <c r="AX61" i="1"/>
  <c r="AN61" i="1"/>
  <c r="D61" i="1"/>
  <c r="T61" i="1"/>
  <c r="Y61" i="1"/>
  <c r="Z61" i="1"/>
  <c r="AK61" i="1"/>
  <c r="AI61" i="1"/>
  <c r="AY61" i="1"/>
  <c r="G61" i="1"/>
  <c r="AA61" i="1"/>
  <c r="X61" i="1"/>
  <c r="M61" i="1"/>
  <c r="AC61" i="1"/>
  <c r="BA61" i="1"/>
  <c r="AP61" i="1"/>
  <c r="AM61" i="1"/>
  <c r="AV61" i="1"/>
  <c r="W61" i="1"/>
  <c r="S61" i="1"/>
  <c r="L61" i="1"/>
  <c r="AB61" i="1"/>
  <c r="Q61" i="1"/>
  <c r="R61" i="1"/>
  <c r="AW61" i="1"/>
  <c r="AO61" i="1"/>
  <c r="AT61" i="1"/>
  <c r="AQ61" i="1"/>
  <c r="AJ61" i="1"/>
  <c r="AZ61" i="1"/>
  <c r="O61" i="1"/>
  <c r="P61" i="1"/>
  <c r="E61" i="1"/>
  <c r="U61" i="1"/>
  <c r="F61" i="1"/>
  <c r="V61" i="1"/>
  <c r="AU61" i="1"/>
  <c r="K61" i="1"/>
  <c r="I61" i="1"/>
  <c r="J61" i="1"/>
  <c r="AL61" i="1"/>
  <c r="AR61" i="1"/>
  <c r="H61" i="1"/>
  <c r="N61" i="1"/>
  <c r="AA55" i="4"/>
  <c r="O3" i="12"/>
  <c r="R3" i="12"/>
  <c r="S3" i="12"/>
  <c r="N3" i="12"/>
  <c r="M3" i="12"/>
  <c r="L3" i="12"/>
  <c r="Y55" i="4"/>
  <c r="Y74" i="4"/>
  <c r="AC2" i="12" s="1"/>
  <c r="S55" i="4"/>
  <c r="S74" i="4"/>
  <c r="W2" i="12" s="1"/>
  <c r="AC55" i="4"/>
  <c r="AC74" i="4"/>
  <c r="AG2" i="12" s="1"/>
  <c r="R55" i="4"/>
  <c r="R74" i="4"/>
  <c r="P3" i="12"/>
  <c r="Q3" i="12"/>
  <c r="K2" i="12"/>
  <c r="K4" i="12" s="1"/>
  <c r="B4" i="27"/>
  <c r="B4" i="12"/>
  <c r="AE61" i="1"/>
  <c r="AG61" i="1"/>
  <c r="AF61" i="1"/>
  <c r="C61" i="1"/>
  <c r="AH61" i="1"/>
  <c r="X55" i="4"/>
  <c r="X74" i="4"/>
  <c r="AB2" i="12" s="1"/>
  <c r="AG55" i="4"/>
  <c r="AG74" i="4"/>
  <c r="AB74" i="4"/>
  <c r="AF2" i="12" s="1"/>
  <c r="AB55" i="4"/>
  <c r="T55" i="4"/>
  <c r="T74" i="4"/>
  <c r="AK74" i="4"/>
  <c r="AK55" i="4"/>
  <c r="B94" i="4" l="1"/>
  <c r="M94" i="4"/>
  <c r="K94" i="4"/>
  <c r="L94" i="4"/>
  <c r="J94" i="4"/>
  <c r="D94" i="4"/>
  <c r="C94" i="4"/>
  <c r="F94" i="4"/>
  <c r="G94" i="4"/>
  <c r="I94" i="4"/>
  <c r="H94" i="4"/>
  <c r="AB4" i="12"/>
  <c r="AD4" i="12"/>
  <c r="P77" i="4"/>
  <c r="AE4" i="12"/>
  <c r="Z4" i="12"/>
  <c r="W4" i="12"/>
  <c r="AG4" i="12"/>
  <c r="AC4" i="12"/>
  <c r="AH4" i="12"/>
  <c r="AF4" i="12"/>
  <c r="Y4" i="12"/>
  <c r="AA4" i="12"/>
  <c r="I81" i="4"/>
  <c r="F3" i="28" s="1"/>
  <c r="F81" i="4"/>
  <c r="F83" i="4" s="1"/>
  <c r="G81" i="4"/>
  <c r="H81" i="4"/>
  <c r="D81" i="4"/>
  <c r="D83" i="4" s="1"/>
  <c r="E81" i="4"/>
  <c r="C81" i="4"/>
  <c r="K77" i="4"/>
  <c r="J77" i="4"/>
  <c r="E4" i="28" s="1"/>
  <c r="G77" i="4"/>
  <c r="F77" i="4"/>
  <c r="L77" i="4"/>
  <c r="E6" i="28" s="1"/>
  <c r="B77" i="4"/>
  <c r="B2" i="27"/>
  <c r="G6" i="27" s="1"/>
  <c r="M77" i="4"/>
  <c r="I77" i="4"/>
  <c r="B2" i="12"/>
  <c r="E6" i="12" s="1"/>
  <c r="H77" i="4"/>
  <c r="D77" i="4"/>
  <c r="C77" i="4"/>
  <c r="E77" i="4"/>
  <c r="AG8" i="12"/>
  <c r="AG9" i="12" s="1"/>
  <c r="AG10" i="12" s="1"/>
  <c r="U8" i="12"/>
  <c r="U9" i="12" s="1"/>
  <c r="U10" i="12" s="1"/>
  <c r="AJ8" i="12"/>
  <c r="AJ9" i="12" s="1"/>
  <c r="AJ10" i="12" s="1"/>
  <c r="AB8" i="12"/>
  <c r="AB9" i="12" s="1"/>
  <c r="AB10" i="12" s="1"/>
  <c r="Z8" i="12"/>
  <c r="Z9" i="12" s="1"/>
  <c r="Z10" i="12" s="1"/>
  <c r="AC8" i="12"/>
  <c r="AC9" i="12" s="1"/>
  <c r="AC10" i="12" s="1"/>
  <c r="V8" i="12"/>
  <c r="V9" i="12" s="1"/>
  <c r="V10" i="12" s="1"/>
  <c r="X8" i="12"/>
  <c r="X9" i="12" s="1"/>
  <c r="X10" i="12" s="1"/>
  <c r="AH8" i="12"/>
  <c r="AH9" i="12" s="1"/>
  <c r="AH10" i="12" s="1"/>
  <c r="AD8" i="12"/>
  <c r="AD9" i="12" s="1"/>
  <c r="AD10" i="12" s="1"/>
  <c r="AI8" i="12"/>
  <c r="AI9" i="12" s="1"/>
  <c r="AI10" i="12" s="1"/>
  <c r="W8" i="12"/>
  <c r="W9" i="12" s="1"/>
  <c r="W10" i="12" s="1"/>
  <c r="Y8" i="12"/>
  <c r="Y9" i="12" s="1"/>
  <c r="Y10" i="12" s="1"/>
  <c r="AE8" i="12"/>
  <c r="AE9" i="12" s="1"/>
  <c r="AE10" i="12" s="1"/>
  <c r="AA8" i="12"/>
  <c r="AA9" i="12" s="1"/>
  <c r="AA10" i="12" s="1"/>
  <c r="AF8" i="12"/>
  <c r="AF9" i="12" s="1"/>
  <c r="AF10" i="12" s="1"/>
  <c r="H8" i="27"/>
  <c r="H9" i="27" s="1"/>
  <c r="H10" i="27" s="1"/>
  <c r="J8" i="27"/>
  <c r="J9" i="27" s="1"/>
  <c r="J10" i="27" s="1"/>
  <c r="I8" i="27"/>
  <c r="I9" i="27" s="1"/>
  <c r="I10" i="27" s="1"/>
  <c r="AB83" i="4"/>
  <c r="AJ83" i="4"/>
  <c r="AG83" i="4"/>
  <c r="L83" i="4"/>
  <c r="V83" i="4"/>
  <c r="AI83" i="4"/>
  <c r="T83" i="4"/>
  <c r="M83" i="4"/>
  <c r="X83" i="4"/>
  <c r="P83" i="4"/>
  <c r="U83" i="4"/>
  <c r="AF83" i="4"/>
  <c r="Y83" i="4"/>
  <c r="S5" i="12"/>
  <c r="Q83" i="4"/>
  <c r="AC83" i="4"/>
  <c r="AK83" i="4"/>
  <c r="Z83" i="4"/>
  <c r="AH83" i="4"/>
  <c r="K83" i="4"/>
  <c r="J83" i="4"/>
  <c r="R83" i="4"/>
  <c r="S83" i="4"/>
  <c r="AE83" i="4"/>
  <c r="AD83" i="4"/>
  <c r="AA83" i="4"/>
  <c r="W83" i="4"/>
  <c r="O83" i="4"/>
  <c r="AE61" i="23"/>
  <c r="AG3" i="12"/>
  <c r="AD3" i="12"/>
  <c r="AE3" i="12"/>
  <c r="AC3" i="12"/>
  <c r="W3" i="12"/>
  <c r="Y3" i="12"/>
  <c r="I2" i="27"/>
  <c r="I4" i="27" s="1"/>
  <c r="V2" i="12"/>
  <c r="V4" i="12" s="1"/>
  <c r="J2" i="28"/>
  <c r="K3" i="12"/>
  <c r="F2" i="28"/>
  <c r="J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F4" i="28"/>
  <c r="E5" i="28"/>
  <c r="J11" i="28"/>
  <c r="I6" i="28"/>
  <c r="J9" i="28"/>
  <c r="I8" i="28"/>
  <c r="F14" i="28"/>
  <c r="E7" i="28"/>
  <c r="F12" i="28"/>
  <c r="J6" i="28"/>
  <c r="J7" i="28"/>
  <c r="E12" i="28"/>
  <c r="I10" i="28"/>
  <c r="I13" i="28"/>
  <c r="E15" i="28"/>
  <c r="E11" i="28"/>
  <c r="F11" i="28"/>
  <c r="F6" i="28"/>
  <c r="J14" i="28"/>
  <c r="I15" i="28"/>
  <c r="I9" i="28"/>
  <c r="J5" i="28"/>
  <c r="J8" i="28"/>
  <c r="F10" i="28"/>
  <c r="I5" i="28"/>
  <c r="I4" i="28"/>
  <c r="I7" i="28"/>
  <c r="E13" i="28"/>
  <c r="E9" i="28"/>
  <c r="J10" i="28"/>
  <c r="I14" i="28"/>
  <c r="J4" i="28"/>
  <c r="J12" i="28"/>
  <c r="I12" i="28"/>
  <c r="F7" i="28"/>
  <c r="J15" i="28"/>
  <c r="AI2" i="12"/>
  <c r="AI4" i="12" s="1"/>
  <c r="X2" i="12"/>
  <c r="X4" i="12" s="1"/>
  <c r="P5" i="12" l="1"/>
  <c r="R5" i="12"/>
  <c r="Q5" i="12"/>
  <c r="G83" i="4"/>
  <c r="I83" i="4"/>
  <c r="E83" i="4"/>
  <c r="C83" i="4"/>
  <c r="H83" i="4"/>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F12" i="22"/>
  <c r="K12" i="22" s="1"/>
  <c r="M12" i="22" s="1"/>
  <c r="F16" i="22"/>
  <c r="G16" i="22" s="1"/>
  <c r="F22" i="22"/>
  <c r="I22" i="22" s="1"/>
  <c r="J5" i="12"/>
  <c r="F15" i="22"/>
  <c r="G15" i="22" s="1"/>
  <c r="L5" i="12"/>
  <c r="F21" i="22"/>
  <c r="G21" i="22" s="1"/>
  <c r="F5" i="12"/>
  <c r="F24" i="22"/>
  <c r="K24" i="22" s="1"/>
  <c r="M24" i="22" s="1"/>
  <c r="F10" i="22"/>
  <c r="F11" i="22"/>
  <c r="F13" i="22"/>
  <c r="I13" i="22" s="1"/>
  <c r="F14" i="22"/>
  <c r="I14" i="22" s="1"/>
  <c r="F18" i="22"/>
  <c r="G18" i="22" s="1"/>
  <c r="F8" i="22"/>
  <c r="G8" i="22" s="1"/>
  <c r="F5" i="27"/>
  <c r="F25" i="22"/>
  <c r="I25" i="22" s="1"/>
  <c r="G5" i="12"/>
  <c r="H5" i="12"/>
  <c r="F17" i="22"/>
  <c r="K17" i="22" s="1"/>
  <c r="M17" i="22" s="1"/>
  <c r="K5" i="12"/>
  <c r="G51" i="22"/>
  <c r="J51" i="22" s="1"/>
  <c r="I51" i="22"/>
  <c r="M51" i="22" s="1"/>
  <c r="K51" i="22"/>
  <c r="N51" i="22" s="1"/>
  <c r="G44" i="22"/>
  <c r="J44" i="22" s="1"/>
  <c r="I44" i="22"/>
  <c r="M44" i="22" s="1"/>
  <c r="K44" i="22"/>
  <c r="N44" i="22" s="1"/>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I34" i="22"/>
  <c r="K34" i="22"/>
  <c r="G39" i="22"/>
  <c r="J39" i="22" s="1"/>
  <c r="I39" i="22"/>
  <c r="M39" i="22" s="1"/>
  <c r="K39" i="22"/>
  <c r="N39" i="22" s="1"/>
  <c r="G32" i="22"/>
  <c r="J32" i="22" s="1"/>
  <c r="I32" i="22"/>
  <c r="K32" i="22"/>
  <c r="L3" i="28" s="1"/>
  <c r="G45" i="22"/>
  <c r="J45" i="22" s="1"/>
  <c r="I45" i="22"/>
  <c r="M45" i="22" s="1"/>
  <c r="K45" i="22"/>
  <c r="N45" i="22" s="1"/>
  <c r="G36" i="22"/>
  <c r="J36" i="22" s="1"/>
  <c r="I36" i="22"/>
  <c r="K36" i="22" s="1"/>
  <c r="G48" i="22"/>
  <c r="J48" i="22" s="1"/>
  <c r="I48" i="22"/>
  <c r="M48" i="22" s="1"/>
  <c r="K48" i="22"/>
  <c r="N48" i="22" s="1"/>
  <c r="G43" i="22"/>
  <c r="J43" i="22" s="1"/>
  <c r="I43" i="22"/>
  <c r="M43" i="22" s="1"/>
  <c r="K43" i="22"/>
  <c r="N43" i="22" s="1"/>
  <c r="M32" i="22" l="1"/>
  <c r="I18" i="22"/>
  <c r="I15" i="22"/>
  <c r="I35" i="22"/>
  <c r="K35" i="22" s="1"/>
  <c r="N35" i="22" s="1"/>
  <c r="I33" i="22"/>
  <c r="K33" i="22" s="1"/>
  <c r="N33" i="22" s="1"/>
  <c r="I12" i="22"/>
  <c r="G12" i="22"/>
  <c r="M34" i="22"/>
  <c r="K5" i="28"/>
  <c r="M36" i="22"/>
  <c r="K7" i="28"/>
  <c r="N36" i="22"/>
  <c r="L7" i="28"/>
  <c r="N34" i="22"/>
  <c r="L5" i="28"/>
  <c r="I19" i="22"/>
  <c r="G14" i="22"/>
  <c r="K15" i="22"/>
  <c r="M15" i="22" s="1"/>
  <c r="K25" i="22"/>
  <c r="M25" i="22" s="1"/>
  <c r="K14" i="22"/>
  <c r="M14" i="22" s="1"/>
  <c r="G25" i="22"/>
  <c r="K7" i="22"/>
  <c r="N7" i="22" s="1"/>
  <c r="K16" i="22"/>
  <c r="M16" i="22" s="1"/>
  <c r="K19" i="22"/>
  <c r="M19" i="22" s="1"/>
  <c r="K18" i="22"/>
  <c r="M18" i="22" s="1"/>
  <c r="G10" i="22"/>
  <c r="I10" i="22" s="1"/>
  <c r="G13" i="22"/>
  <c r="K26" i="22"/>
  <c r="M26" i="22" s="1"/>
  <c r="G9" i="22"/>
  <c r="I9" i="22" s="1"/>
  <c r="I24" i="22"/>
  <c r="I7" i="22"/>
  <c r="G3" i="28" s="1"/>
  <c r="G24" i="22"/>
  <c r="G22" i="22"/>
  <c r="K21" i="22"/>
  <c r="M21" i="22" s="1"/>
  <c r="G11" i="22"/>
  <c r="I11" i="22" s="1"/>
  <c r="I17" i="22"/>
  <c r="I26" i="22"/>
  <c r="G17" i="22"/>
  <c r="K13" i="22"/>
  <c r="M13" i="22" s="1"/>
  <c r="I16" i="22"/>
  <c r="G20" i="22"/>
  <c r="K8" i="22"/>
  <c r="M8" i="22" s="1"/>
  <c r="K23" i="22"/>
  <c r="M23" i="22" s="1"/>
  <c r="I21" i="22"/>
  <c r="K22" i="22"/>
  <c r="M22" i="22" s="1"/>
  <c r="I8" i="22"/>
  <c r="G4" i="28" s="1"/>
  <c r="I23" i="22"/>
  <c r="K20" i="22"/>
  <c r="M20" i="22" s="1"/>
  <c r="N12" i="22"/>
  <c r="N24" i="22"/>
  <c r="N17" i="22"/>
  <c r="L2" i="28"/>
  <c r="N32" i="22"/>
  <c r="K3" i="28"/>
  <c r="K2" i="28"/>
  <c r="G13" i="28"/>
  <c r="G14" i="28"/>
  <c r="G8" i="28"/>
  <c r="G11" i="28"/>
  <c r="G12" i="28"/>
  <c r="G9" i="28"/>
  <c r="G15" i="28"/>
  <c r="G10" i="28"/>
  <c r="H15" i="28"/>
  <c r="H12" i="28"/>
  <c r="H9" i="28"/>
  <c r="H14" i="28"/>
  <c r="H10" i="28"/>
  <c r="H13" i="28"/>
  <c r="H11" i="28"/>
  <c r="H8" i="28"/>
  <c r="M7" i="22" l="1"/>
  <c r="G7" i="28"/>
  <c r="K11" i="22"/>
  <c r="M11" i="22" s="1"/>
  <c r="K10" i="22"/>
  <c r="G6" i="28"/>
  <c r="K9" i="22"/>
  <c r="M9" i="22" s="1"/>
  <c r="G5" i="28"/>
  <c r="L6" i="28"/>
  <c r="K6" i="28"/>
  <c r="M35" i="22"/>
  <c r="K4" i="28"/>
  <c r="L4" i="28"/>
  <c r="M33" i="22"/>
  <c r="H3" i="28"/>
  <c r="H4" i="28"/>
  <c r="N21" i="22"/>
  <c r="N14" i="22"/>
  <c r="N19" i="22"/>
  <c r="H2" i="28"/>
  <c r="N15" i="22"/>
  <c r="N18" i="22"/>
  <c r="N16" i="22"/>
  <c r="N25" i="22"/>
  <c r="N26" i="22"/>
  <c r="N8" i="22"/>
  <c r="N20" i="22"/>
  <c r="N13" i="22"/>
  <c r="G2" i="28"/>
  <c r="N11" i="22"/>
  <c r="N23" i="22"/>
  <c r="N22" i="22"/>
  <c r="H7" i="28" l="1"/>
  <c r="N9" i="22"/>
  <c r="H5" i="28"/>
  <c r="N10" i="22"/>
  <c r="M10" i="22"/>
  <c r="H6"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<sst xmlns="http://schemas.openxmlformats.org/spreadsheetml/2006/main" count="7680" uniqueCount="4450">
  <si>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</si>
  <si>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</si>
  <si>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</si>
  <si>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</si>
  <si>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</si>
  <si>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</si>
  <si>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</si>
  <si>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</si>
  <si>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</si>
  <si>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</si>
  <si>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</si>
  <si>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</si>
  <si>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</si>
  <si>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</si>
  <si>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</si>
  <si>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</si>
  <si>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</si>
  <si>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</si>
  <si>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</si>
  <si>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</si>
  <si>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</si>
  <si>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</si>
  <si>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</si>
  <si>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</si>
  <si>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</si>
  <si>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</si>
  <si>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</si>
  <si>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</si>
  <si>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</si>
  <si>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</si>
  <si>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</si>
  <si>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</si>
  <si>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</si>
  <si>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</si>
  <si>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</si>
  <si>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</si>
  <si>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</si>
  <si>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</si>
  <si>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</si>
  <si>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</si>
  <si>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</si>
  <si>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</si>
  <si>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</si>
  <si>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</si>
  <si>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</si>
  <si>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</si>
  <si>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</si>
  <si>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</si>
  <si>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</si>
  <si>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</si>
  <si>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</si>
  <si>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</si>
  <si>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</si>
  <si>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</si>
  <si>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</si>
  <si>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</si>
  <si>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</si>
  <si>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</si>
  <si>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</si>
  <si>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</si>
  <si>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</si>
  <si>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</si>
  <si>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</si>
  <si>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</si>
  <si>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</si>
  <si>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</si>
  <si>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</si>
  <si>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</si>
  <si>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</si>
  <si>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</si>
  <si>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</si>
  <si>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</si>
  <si>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</si>
  <si>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</si>
  <si>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</si>
  <si>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</si>
  <si>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</si>
  <si>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</si>
  <si>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</si>
  <si>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</si>
  <si>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</si>
  <si>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</si>
  <si>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</si>
  <si>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</si>
  <si>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</si>
  <si>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</si>
  <si>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</si>
  <si>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</si>
  <si>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</si>
  <si>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</si>
  <si>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</si>
  <si>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</si>
  <si>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</si>
  <si>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</si>
  <si>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</si>
  <si>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</si>
  <si>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</si>
  <si>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</si>
  <si>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</si>
  <si>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</si>
  <si>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</si>
  <si>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</si>
  <si>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</si>
  <si>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</si>
  <si>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</si>
  <si>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</si>
  <si>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</si>
  <si>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</si>
  <si>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</si>
  <si>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</si>
  <si>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</si>
  <si>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</si>
  <si>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</si>
  <si>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</si>
  <si>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</si>
  <si>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</si>
  <si>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</si>
  <si>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</si>
  <si>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</si>
  <si>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</si>
  <si>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</si>
  <si>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</si>
  <si>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</si>
  <si>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</si>
  <si>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</si>
  <si>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</si>
  <si>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</si>
  <si>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</si>
  <si>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</si>
  <si>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</si>
  <si>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</si>
  <si>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</si>
  <si>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</si>
  <si>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</si>
  <si>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</si>
  <si>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</si>
  <si>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</si>
  <si>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</si>
  <si>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</si>
  <si>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</si>
  <si>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</si>
  <si>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</si>
  <si>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</si>
  <si>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</si>
  <si>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</si>
  <si>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</si>
  <si>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</si>
  <si>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</si>
  <si>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</si>
  <si>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</si>
  <si>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</si>
  <si>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</si>
  <si>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</si>
  <si>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</si>
  <si>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</si>
  <si>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</si>
  <si>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</si>
  <si>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</si>
  <si>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</si>
  <si>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</si>
  <si>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</si>
  <si>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</si>
  <si>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</si>
  <si>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</si>
  <si>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</si>
  <si>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</si>
  <si>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 xml:space="preserve">C:\Users\andre\Desktop\REACTIV CEFAS\Testosterone\Testosterone/20201116_Cefas_Test6-Run1/Plate 1/@1/A10_01.tif </t>
  </si>
  <si>
    <t xml:space="preserve"> 9473.8938 </t>
  </si>
  <si>
    <t xml:space="preserve"> 38.9132 </t>
  </si>
  <si>
    <t xml:space="preserve">C:\Users\andre\Desktop\REACTIV CEFAS\Testosterone\Testosterone/20201116_Cefas_Test6-Run1/Plate 1/@1/A10_02.tif </t>
  </si>
  <si>
    <t xml:space="preserve"> 2746.9966 </t>
  </si>
  <si>
    <t xml:space="preserve"> 38.8819 </t>
  </si>
  <si>
    <t xml:space="preserve">C:\Users\andre\Desktop\REACTIV CEFAS\Testosterone\Testosterone/20201116_Cefas_Test6-Run1/Plate 1/@1/A10_03.tif </t>
  </si>
  <si>
    <t xml:space="preserve"> 4563.9078 </t>
  </si>
  <si>
    <t xml:space="preserve"> 33.7488 </t>
  </si>
  <si>
    <t xml:space="preserve">C:\Users\andre\Desktop\REACTIV CEFAS\Testosterone\Testosterone/20201116_Cefas_Test6-Run1/Plate 1/@1/B10_01.tif </t>
  </si>
  <si>
    <t xml:space="preserve"> 3741.9718 </t>
  </si>
  <si>
    <t xml:space="preserve"> 39.4566 </t>
  </si>
  <si>
    <t xml:space="preserve">C:\Users\andre\Desktop\REACTIV CEFAS\Testosterone\Testosterone/20201116_Cefas_Test6-Run1/Plate 1/@1/B10_02.tif </t>
  </si>
  <si>
    <t xml:space="preserve"> 5818.4417 </t>
  </si>
  <si>
    <t xml:space="preserve"> 39.7286 </t>
  </si>
  <si>
    <t xml:space="preserve">C:\Users\andre\Desktop\REACTIV CEFAS\Testosterone\Testosterone/20201116_Cefas_Test6-Run1/Plate 1/@1/B10_03.tif </t>
  </si>
  <si>
    <t xml:space="preserve"> 7246.0147 </t>
  </si>
  <si>
    <t xml:space="preserve"> 37.4627 </t>
  </si>
  <si>
    <t xml:space="preserve">C:\Users\andre\Desktop\REACTIV CEFAS\Testosterone\Testosterone/20201116_Cefas_Test6-Run1/Plate 1/@1/C10_01.tif </t>
  </si>
  <si>
    <t xml:space="preserve"> 14297.3603 </t>
  </si>
  <si>
    <t xml:space="preserve"> 43.6263 </t>
  </si>
  <si>
    <t xml:space="preserve">C:\Users\andre\Desktop\REACTIV CEFAS\Testosterone\Testosterone/20201116_Cefas_Test6-Run1/Plate 1/@1/C10_02.tif </t>
  </si>
  <si>
    <t xml:space="preserve"> 11398.9545 </t>
  </si>
  <si>
    <t xml:space="preserve"> 42.8577 </t>
  </si>
  <si>
    <t xml:space="preserve">C:\Users\andre\Desktop\REACTIV CEFAS\Testosterone\Testosterone/20201116_Cefas_Test6-Run1/Plate 1/@1/C10_03.tif </t>
  </si>
  <si>
    <t xml:space="preserve"> 3893.381 </t>
  </si>
  <si>
    <t xml:space="preserve"> 37.2444 </t>
  </si>
  <si>
    <t xml:space="preserve">C:\Users\andre\Desktop\REACTIV CEFAS\Testosterone\Testosterone/20201116_Cefas_Test6-Run1/Plate 1/@1/D10_01.tif </t>
  </si>
  <si>
    <t xml:space="preserve"> 10166.0505 </t>
  </si>
  <si>
    <t xml:space="preserve"> 41.4787 </t>
  </si>
  <si>
    <t xml:space="preserve">C:\Users\andre\Desktop\REACTIV CEFAS\Testosterone\Testosterone/20201116_Cefas_Test6-Run1/Plate 1/@1/D10_02.tif </t>
  </si>
  <si>
    <t xml:space="preserve"> 5083.0252 </t>
  </si>
  <si>
    <t xml:space="preserve"> 40.0809 </t>
  </si>
  <si>
    <t xml:space="preserve">C:\Users\andre\Desktop\REACTIV CEFAS\Testosterone\Testosterone/20201116_Cefas_Test6-Run1/Plate 1/@1/D10_03.tif </t>
  </si>
  <si>
    <t xml:space="preserve"> 497.4876 </t>
  </si>
  <si>
    <t xml:space="preserve"> 31.3043 </t>
  </si>
  <si>
    <t xml:space="preserve">C:\Users\andre\Desktop\REACTIV CEFAS\Testosterone\Testosterone/20201116_Cefas_Test6-Run1/Plate 1/@1/E10_01.tif </t>
  </si>
  <si>
    <t xml:space="preserve"> 7332.5343 </t>
  </si>
  <si>
    <t xml:space="preserve"> 37.8643 </t>
  </si>
  <si>
    <t xml:space="preserve">C:\Users\andre\Desktop\REACTIV CEFAS\Testosterone\Testosterone/20201116_Cefas_Test6-Run1/Plate 1/@1/E10_02.tif </t>
  </si>
  <si>
    <t xml:space="preserve"> 7072.9755 </t>
  </si>
  <si>
    <t xml:space="preserve"> 34.7034 </t>
  </si>
  <si>
    <t xml:space="preserve">C:\Users\andre\Desktop\REACTIV CEFAS\Testosterone\Testosterone/20201116_Cefas_Test6-Run1/Plate 1/@1/E10_03.tif </t>
  </si>
  <si>
    <t xml:space="preserve"> 10295.8298 </t>
  </si>
  <si>
    <t xml:space="preserve"> 35.7563 </t>
  </si>
  <si>
    <t xml:space="preserve">C:\Users\andre\Desktop\REACTIV CEFAS\Testosterone\Testosterone/20201116_Cefas_Test6-Run1/Plate 1/@1/F10_01.tif </t>
  </si>
  <si>
    <t xml:space="preserve"> 4996.5057 </t>
  </si>
  <si>
    <t xml:space="preserve"> 36.4719 </t>
  </si>
  <si>
    <t xml:space="preserve">C:\Users\andre\Desktop\REACTIV CEFAS\Testosterone\Testosterone/20201116_Cefas_Test6-Run1/Plate 1/@1/F10_02.tif </t>
  </si>
  <si>
    <t xml:space="preserve"> 2898.4059 </t>
  </si>
  <si>
    <t xml:space="preserve"> 35.7388 </t>
  </si>
  <si>
    <t xml:space="preserve">C:\Users\andre\Desktop\REACTIV CEFAS\Testosterone\Testosterone/20201116_Cefas_Test6-Run1/Plate 1/@1/F10_03.tif </t>
  </si>
  <si>
    <t xml:space="preserve"> 2660.477 </t>
  </si>
  <si>
    <t xml:space="preserve"> 33.5854 </t>
  </si>
  <si>
    <t xml:space="preserve">C:\Users\andre\Desktop\REACTIV CEFAS\Testosterone\Testosterone/20201116_Cefas_Test6-Run1/Plate 1/@1/G10_01.tif </t>
  </si>
  <si>
    <t xml:space="preserve"> 4412.4985 </t>
  </si>
  <si>
    <t xml:space="preserve"> 37.0343 </t>
  </si>
  <si>
    <t xml:space="preserve">C:\Users\andre\Desktop\REACTIV CEFAS\Testosterone\Testosterone/20201116_Cefas_Test6-Run1/Plate 1/@1/G10_02.tif </t>
  </si>
  <si>
    <t xml:space="preserve"> 3655.4522 </t>
  </si>
  <si>
    <t xml:space="preserve"> 40.3609 </t>
  </si>
  <si>
    <t xml:space="preserve">C:\Users\andre\Desktop\REACTIV CEFAS\Testosterone\Testosterone/20201116_Cefas_Test6-Run1/Plate 1/@1/G10_03.tif </t>
  </si>
  <si>
    <t xml:space="preserve"> 43.2598 </t>
  </si>
  <si>
    <t xml:space="preserve">C:\Users\andre\Desktop\REACTIV CEFAS\Testosterone\Testosterone/20201116_Cefas_Test6-Run1/Plate 1/@1/H10_01.tif </t>
  </si>
  <si>
    <t xml:space="preserve"> 1124.7545 </t>
  </si>
  <si>
    <t xml:space="preserve"> 32.8269 </t>
  </si>
  <si>
    <t xml:space="preserve">C:\Users\andre\Desktop\REACTIV CEFAS\Testosterone\Testosterone/20201116_Cefas_Test6-Run1/Plate 1/@1/H10_02.tif </t>
  </si>
  <si>
    <t xml:space="preserve"> 3071.445 </t>
  </si>
  <si>
    <t xml:space="preserve"> 36.2113 </t>
  </si>
  <si>
    <t xml:space="preserve">C:\Users\andre\Desktop\REACTIV CEFAS\Testosterone\Testosterone/20201116_Cefas_Test6-Run1/Plate 1/@1/H10_03.tif </t>
  </si>
  <si>
    <t xml:space="preserve"> 2876.776 </t>
  </si>
  <si>
    <t xml:space="preserve"> 35.1429 </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</si>
  <si>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</si>
  <si>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</si>
  <si>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</si>
  <si>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</si>
  <si>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</si>
  <si>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</si>
  <si>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</si>
  <si>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C:\Users\andre\Desktop\REACTIV CEFAS\Testosterone\Testosterone/20201116_Cefas_Test6-Run1/Plate 1/@1/ </t>
  </si>
  <si>
    <t xml:space="preserve"> 37.1034 </t>
  </si>
  <si>
    <t xml:space="preserve"> 3.4538 </t>
  </si>
  <si>
    <t xml:space="preserve"> 208579.833 </t>
  </si>
  <si>
    <t xml:space="preserve"> 153416.885 </t>
  </si>
  <si>
    <t xml:space="preserve">file name </t>
  </si>
  <si>
    <t xml:space="preserve">C:\Users\andre\Desktop\REACTIV CEFAS\Testosterone\Testosterone/20201116_Cefas_Test6-Run1/Plate 1/@13/A8_01.tif </t>
  </si>
  <si>
    <t xml:space="preserve"> 54658.7437 </t>
  </si>
  <si>
    <t xml:space="preserve"> 36.9577 </t>
  </si>
  <si>
    <t xml:space="preserve">C:\Users\andre\Desktop\REACTIV CEFAS\Testosterone\Testosterone/20201116_Cefas_Test6-Run1/Plate 1/@13/A8_02.tif </t>
  </si>
  <si>
    <t xml:space="preserve"> 38782.4011 </t>
  </si>
  <si>
    <t xml:space="preserve"> 34.9927 </t>
  </si>
  <si>
    <t xml:space="preserve">C:\Users\andre\Desktop\REACTIV CEFAS\Testosterone\Testosterone/20201116_Cefas_Test6-Run1/Plate 1/@13/A8_03.tif </t>
  </si>
  <si>
    <t xml:space="preserve"> 47758.8073 </t>
  </si>
  <si>
    <t xml:space="preserve"> 35.5077 </t>
  </si>
  <si>
    <t xml:space="preserve">C:\Users\andre\Desktop\REACTIV CEFAS\Testosterone\Testosterone/20201116_Cefas_Test6-Run1/Plate 1/@13/B8_01.tif </t>
  </si>
  <si>
    <t xml:space="preserve"> 994.9752 </t>
  </si>
  <si>
    <t xml:space="preserve"> 31.6957 </t>
  </si>
  <si>
    <t xml:space="preserve">C:\Users\andre\Desktop\REACTIV CEFAS\Testosterone\Testosterone/20201116_Cefas_Test6-Run1/Plate 1/@13/B8_02.tif </t>
  </si>
  <si>
    <t xml:space="preserve"> 1427.573 </t>
  </si>
  <si>
    <t xml:space="preserve"> 31.1061 </t>
  </si>
  <si>
    <t xml:space="preserve">C:\Users\andre\Desktop\REACTIV CEFAS\Testosterone\Testosterone/20201116_Cefas_Test6-Run1/Plate 1/@13/B8_03.tif </t>
  </si>
  <si>
    <t xml:space="preserve"> 4455.7583 </t>
  </si>
  <si>
    <t xml:space="preserve"> 31.7184 </t>
  </si>
  <si>
    <t xml:space="preserve">C:\Users\andre\Desktop\REACTIV CEFAS\Testosterone\Testosterone/20201116_Cefas_Test6-Run1/Plate 1/@13/C8_01.tif </t>
  </si>
  <si>
    <t xml:space="preserve"> 47196.4301 </t>
  </si>
  <si>
    <t xml:space="preserve"> 36.9418 </t>
  </si>
  <si>
    <t xml:space="preserve">C:\Users\andre\Desktop\REACTIV CEFAS\Testosterone\Testosterone/20201116_Cefas_Test6-Run1/Plate 1/@13/C8_02.tif </t>
  </si>
  <si>
    <t xml:space="preserve"> 34045.4541 </t>
  </si>
  <si>
    <t xml:space="preserve"> 34.6499 </t>
  </si>
  <si>
    <t xml:space="preserve">C:\Users\andre\Desktop\REACTIV CEFAS\Testosterone\Testosterone/20201116_Cefas_Test6-Run1/Plate 1/@13/C8_03.tif </t>
  </si>
  <si>
    <t xml:space="preserve"> 41983.6255 </t>
  </si>
  <si>
    <t xml:space="preserve"> 36.1783 </t>
  </si>
  <si>
    <t xml:space="preserve">C:\Users\andre\Desktop\REACTIV CEFAS\Testosterone\Testosterone/20201116_Cefas_Test6-Run1/Plate 1/@13/D8_01.tif </t>
  </si>
  <si>
    <t xml:space="preserve"> 24528.3005 </t>
  </si>
  <si>
    <t xml:space="preserve"> 33.0467 </t>
  </si>
  <si>
    <t>C:\Users\andre\Desktop\REACTIV CEFAS\Testosterone\Testosterone/20201116_Cefas_Test6-Run1/Plate 1/@13/D8_02- exclu.tif</t>
  </si>
  <si>
    <t xml:space="preserve">C:\Users\andre\Desktop\REACTIV CEFAS\Testosterone\Testosterone/20201116_Cefas_Test6-Run1/Plate 1/@13/D8_03.tif </t>
  </si>
  <si>
    <t xml:space="preserve"> 37679.2764 </t>
  </si>
  <si>
    <t xml:space="preserve"> 34.7365 </t>
  </si>
  <si>
    <t xml:space="preserve">C:\Users\andre\Desktop\REACTIV CEFAS\Testosterone\Testosterone/20201116_Cefas_Test6-Run1/Plate 1/@13/E8_01.tif </t>
  </si>
  <si>
    <t xml:space="preserve"> 14340.6201 </t>
  </si>
  <si>
    <t xml:space="preserve"> 34.0332 </t>
  </si>
  <si>
    <t xml:space="preserve">C:\Users\andre\Desktop\REACTIV CEFAS\Testosterone\Testosterone/20201116_Cefas_Test6-Run1/Plate 1/@13/E8_02.tif </t>
  </si>
  <si>
    <t xml:space="preserve"> 9300.8547 </t>
  </si>
  <si>
    <t xml:space="preserve"> 32.8163 </t>
  </si>
  <si>
    <t xml:space="preserve">C:\Users\andre\Desktop\REACTIV CEFAS\Testosterone\Testosterone/20201116_Cefas_Test6-Run1/Plate 1/@13/E8_03.tif </t>
  </si>
  <si>
    <t xml:space="preserve"> 6683.6374 </t>
  </si>
  <si>
    <t xml:space="preserve"> 32.7217 </t>
  </si>
  <si>
    <t xml:space="preserve">C:\Users\andre\Desktop\REACTIV CEFAS\Testosterone\Testosterone/20201116_Cefas_Test6-Run1/Plate 1/@13/F8_01.tif </t>
  </si>
  <si>
    <t xml:space="preserve"> 57405.7403 </t>
  </si>
  <si>
    <t xml:space="preserve"> 39.8425 </t>
  </si>
  <si>
    <t xml:space="preserve">C:\Users\andre\Desktop\REACTIV CEFAS\Testosterone\Testosterone/20201116_Cefas_Test6-Run1/Plate 1/@13/F8_02.tif </t>
  </si>
  <si>
    <t xml:space="preserve"> 42978.6006 </t>
  </si>
  <si>
    <t xml:space="preserve"> 37.4459 </t>
  </si>
  <si>
    <t xml:space="preserve">C:\Users\andre\Desktop\REACTIV CEFAS\Testosterone\Testosterone/20201116_Cefas_Test6-Run1/Plate 1/@13/F8_03.tif </t>
  </si>
  <si>
    <t xml:space="preserve"> 56194.4662 </t>
  </si>
  <si>
    <t xml:space="preserve"> 40.0481 </t>
  </si>
  <si>
    <t xml:space="preserve">C:\Users\andre\Desktop\REACTIV CEFAS\Testosterone\Testosterone/20201116_Cefas_Test6-Run1/Plate 1/@13/G8_01.tif </t>
  </si>
  <si>
    <t xml:space="preserve"> 129.7794 </t>
  </si>
  <si>
    <t xml:space="preserve"> 31.3333 </t>
  </si>
  <si>
    <t xml:space="preserve">C:\Users\andre\Desktop\REACTIV CEFAS\Testosterone\Testosterone/20201116_Cefas_Test6-Run1/Plate 1/@13/G8_02.tif </t>
  </si>
  <si>
    <t xml:space="preserve"> 1838.541 </t>
  </si>
  <si>
    <t xml:space="preserve"> 34.6 </t>
  </si>
  <si>
    <t xml:space="preserve">C:\Users\andre\Desktop\REACTIV CEFAS\Testosterone\Testosterone/20201116_Cefas_Test6-Run1/Plate 1/@13/G8_03.tif </t>
  </si>
  <si>
    <t xml:space="preserve"> 216.2989 </t>
  </si>
  <si>
    <t xml:space="preserve"> 31.4 </t>
  </si>
  <si>
    <t xml:space="preserve">C:\Users\andre\Desktop\REACTIV CEFAS\Testosterone\Testosterone/20201116_Cefas_Test6-Run1/Plate 1/@13/H8_01.tif </t>
  </si>
  <si>
    <t xml:space="preserve"> 13670.0934 </t>
  </si>
  <si>
    <t xml:space="preserve"> 35.4589 </t>
  </si>
  <si>
    <t>C:\Users\andre\Desktop\REACTIV CEFAS\Testosterone\Testosterone/20201116_Cefas_Test6-Run1/Plate 1/@13/H8_02- exclu.tif</t>
  </si>
  <si>
    <t>C:\Users\andre\Desktop\REACTIV CEFAS\Testosterone\Testosterone/20201116_Cefas_Test6-Run1/Plate 1/@13/H8_03- exclu.tif</t>
  </si>
  <si>
    <t xml:space="preserve">C:\Users\andre\Desktop\REACTIV CEFAS\Testosterone\Testosterone/20201116_Cefas_Test6-Run1/Plate 1/@13/ </t>
  </si>
  <si>
    <t xml:space="preserve"> 35.253 </t>
  </si>
  <si>
    <t xml:space="preserve"> 3.3678 </t>
  </si>
  <si>
    <t xml:space="preserve"> 899741.375 </t>
  </si>
  <si>
    <t xml:space="preserve"> 764905.496 </t>
  </si>
  <si>
    <t xml:space="preserve">C:\Users\andre\Desktop\REACTIV CEFAS\Testosterone\Testosterone/20201116_Cefas_Test6-Run1/Plate 1/@14/A9_01.tif </t>
  </si>
  <si>
    <t xml:space="preserve"> 2422.5482 </t>
  </si>
  <si>
    <t xml:space="preserve"> 34.5179 </t>
  </si>
  <si>
    <t xml:space="preserve">C:\Users\andre\Desktop\REACTIV CEFAS\Testosterone\Testosterone/20201116_Cefas_Test6-Run1/Plate 1/@14/A9_02.tif </t>
  </si>
  <si>
    <t xml:space="preserve"> 3049.8151 </t>
  </si>
  <si>
    <t xml:space="preserve"> 39.5887 </t>
  </si>
  <si>
    <t xml:space="preserve">C:\Users\andre\Desktop\REACTIV CEFAS\Testosterone\Testosterone/20201116_Cefas_Test6-Run1/Plate 1/@14/A9_03.tif </t>
  </si>
  <si>
    <t xml:space="preserve"> 151.4093 </t>
  </si>
  <si>
    <t xml:space="preserve"> 30.8571 </t>
  </si>
  <si>
    <t xml:space="preserve">C:\Users\andre\Desktop\REACTIV CEFAS\Testosterone\Testosterone/20201116_Cefas_Test6-Run1/Plate 1/@14/B9_01.tif </t>
  </si>
  <si>
    <t xml:space="preserve"> 33.7589 </t>
  </si>
  <si>
    <t xml:space="preserve">C:\Users\andre\Desktop\REACTIV CEFAS\Testosterone\Testosterone/20201116_Cefas_Test6-Run1/Plate 1/@14/B9_02.tif </t>
  </si>
  <si>
    <t xml:space="preserve"> 1384.3133 </t>
  </si>
  <si>
    <t xml:space="preserve"> 31.4531 </t>
  </si>
  <si>
    <t xml:space="preserve">C:\Users\andre\Desktop\REACTIV CEFAS\Testosterone\Testosterone/20201116_Cefas_Test6-Run1/Plate 1/@14/B9_03.tif </t>
  </si>
  <si>
    <t xml:space="preserve"> 1730.3916 </t>
  </si>
  <si>
    <t xml:space="preserve"> 32.25 </t>
  </si>
  <si>
    <t xml:space="preserve">C:\Users\andre\Desktop\REACTIV CEFAS\Testosterone\Testosterone/20201116_Cefas_Test6-Run1/Plate 1/@14/C9_01.tif </t>
  </si>
  <si>
    <t xml:space="preserve"> 44060.0954 </t>
  </si>
  <si>
    <t xml:space="preserve"> 38.1816 </t>
  </si>
  <si>
    <t xml:space="preserve">C:\Users\andre\Desktop\REACTIV CEFAS\Testosterone\Testosterone/20201116_Cefas_Test6-Run1/Plate 1/@14/C9_02.tif </t>
  </si>
  <si>
    <t xml:space="preserve"> 45509.2983 </t>
  </si>
  <si>
    <t xml:space="preserve"> 38.9187 </t>
  </si>
  <si>
    <t xml:space="preserve">C:\Users\andre\Desktop\REACTIV CEFAS\Testosterone\Testosterone/20201116_Cefas_Test6-Run1/Plate 1/@14/C9_03.tif </t>
  </si>
  <si>
    <t xml:space="preserve"> 46547.5332 </t>
  </si>
  <si>
    <t xml:space="preserve"> 40.0316 </t>
  </si>
  <si>
    <t>C:\Users\andre\Desktop\REACTIV CEFAS\Testosterone\Testosterone/20201116_Cefas_Test6-Run1/Plate 1/@14/D9_01- exclu.tif</t>
  </si>
  <si>
    <t>C:\Users\andre\Desktop\REACTIV CEFAS\Testosterone\Testosterone/20201116_Cefas_Test6-Run1/Plate 1/@14/D9_02- exclu.tif</t>
  </si>
  <si>
    <t>C:\Users\andre\Desktop\REACTIV CEFAS\Testosterone\Testosterone/20201116_Cefas_Test6-Run1/Plate 1/@14/D9_03- exclu.tif</t>
  </si>
  <si>
    <t xml:space="preserve">C:\Users\andre\Desktop\REACTIV CEFAS\Testosterone\Testosterone/20201116_Cefas_Test6-Run1/Plate 1/@14/E9_01.tif </t>
  </si>
  <si>
    <t xml:space="preserve"> 16114.2715 </t>
  </si>
  <si>
    <t xml:space="preserve"> 32.5732 </t>
  </si>
  <si>
    <t xml:space="preserve">C:\Users\andre\Desktop\REACTIV CEFAS\Testosterone\Testosterone/20201116_Cefas_Test6-Run1/Plate 1/@14/E9_02.tif </t>
  </si>
  <si>
    <t xml:space="preserve"> 8760.1073 </t>
  </si>
  <si>
    <t xml:space="preserve"> 31.6691 </t>
  </si>
  <si>
    <t xml:space="preserve">C:\Users\andre\Desktop\REACTIV CEFAS\Testosterone\Testosterone/20201116_Cefas_Test6-Run1/Plate 1/@14/E9_03.tif </t>
  </si>
  <si>
    <t xml:space="preserve"> 10447.2391 </t>
  </si>
  <si>
    <t xml:space="preserve"> 31.9379 </t>
  </si>
  <si>
    <t xml:space="preserve">C:\Users\andre\Desktop\REACTIV CEFAS\Testosterone\Testosterone/20201116_Cefas_Test6-Run1/Plate 1/@14/F9_01.tif </t>
  </si>
  <si>
    <t xml:space="preserve"> 13324.0151 </t>
  </si>
  <si>
    <t xml:space="preserve"> 33.2451 </t>
  </si>
  <si>
    <t xml:space="preserve">C:\Users\andre\Desktop\REACTIV CEFAS\Testosterone\Testosterone/20201116_Cefas_Test6-Run1/Plate 1/@14/F9_02.tif </t>
  </si>
  <si>
    <t xml:space="preserve"> 15184.186 </t>
  </si>
  <si>
    <t xml:space="preserve"> 33.584 </t>
  </si>
  <si>
    <t xml:space="preserve">C:\Users\andre\Desktop\REACTIV CEFAS\Testosterone\Testosterone/20201116_Cefas_Test6-Run1/Plate 1/@14/F9_03.tif </t>
  </si>
  <si>
    <t xml:space="preserve"> 18861.2681 </t>
  </si>
  <si>
    <t xml:space="preserve"> 33.836 </t>
  </si>
  <si>
    <t xml:space="preserve">C:\Users\andre\Desktop\REACTIV CEFAS\Testosterone\Testosterone/20201116_Cefas_Test6-Run1/Plate 1/@14/G9_01.tif </t>
  </si>
  <si>
    <t xml:space="preserve"> 6575.488 </t>
  </si>
  <si>
    <t xml:space="preserve"> 36.1447 </t>
  </si>
  <si>
    <t xml:space="preserve">C:\Users\andre\Desktop\REACTIV CEFAS\Testosterone\Testosterone/20201116_Cefas_Test6-Run1/Plate 1/@14/G9_02.tif </t>
  </si>
  <si>
    <t xml:space="preserve"> 4109.68 </t>
  </si>
  <si>
    <t xml:space="preserve"> 34.9895 </t>
  </si>
  <si>
    <t xml:space="preserve">C:\Users\andre\Desktop\REACTIV CEFAS\Testosterone\Testosterone/20201116_Cefas_Test6-Run1/Plate 1/@14/G9_03.tif </t>
  </si>
  <si>
    <t xml:space="preserve"> 4758.5768 </t>
  </si>
  <si>
    <t xml:space="preserve"> 36.7727 </t>
  </si>
  <si>
    <t xml:space="preserve">C:\Users\andre\Desktop\REACTIV CEFAS\Testosterone\Testosterone/20201116_Cefas_Test6-Run1/Plate 1/@14/H9_01.tif </t>
  </si>
  <si>
    <t xml:space="preserve"> 18969.4176 </t>
  </si>
  <si>
    <t xml:space="preserve"> 32.7241 </t>
  </si>
  <si>
    <t xml:space="preserve">C:\Users\andre\Desktop\REACTIV CEFAS\Testosterone\Testosterone/20201116_Cefas_Test6-Run1/Plate 1/@14/H9_02.tif </t>
  </si>
  <si>
    <t xml:space="preserve"> 26280.322 </t>
  </si>
  <si>
    <t xml:space="preserve"> 33.8543 </t>
  </si>
  <si>
    <t xml:space="preserve">C:\Users\andre\Desktop\REACTIV CEFAS\Testosterone\Testosterone/20201116_Cefas_Test6-Run1/Plate 1/@14/H9_03.tif </t>
  </si>
  <si>
    <t xml:space="preserve"> 17065.9869 </t>
  </si>
  <si>
    <t xml:space="preserve"> 33.4081 </t>
  </si>
  <si>
    <t xml:space="preserve">C:\Users\andre\Desktop\REACTIV CEFAS\Testosterone\Testosterone/20201116_Cefas_Test6-Run1/Plate 1/@14/ </t>
  </si>
  <si>
    <t xml:space="preserve"> 34.8573 </t>
  </si>
  <si>
    <t xml:space="preserve"> 2.9528 </t>
  </si>
  <si>
    <t xml:space="preserve"> 513082.708 </t>
  </si>
  <si>
    <t xml:space="preserve"> 544247.102 </t>
  </si>
  <si>
    <t xml:space="preserve">C:\Users\andre\Desktop\REACTIV CEFAS\Testosterone\Testosterone/20201116_Cefas_Test6-Run1/Plate 1/@15/A11_01.tif </t>
  </si>
  <si>
    <t xml:space="preserve"> 99648.9246 </t>
  </si>
  <si>
    <t xml:space="preserve"> 51.2633 </t>
  </si>
  <si>
    <t xml:space="preserve">C:\Users\andre\Desktop\REACTIV CEFAS\Testosterone\Testosterone/20201116_Cefas_Test6-Run1/Plate 1/@15/A11_02.tif </t>
  </si>
  <si>
    <t xml:space="preserve"> 100254.562 </t>
  </si>
  <si>
    <t xml:space="preserve"> 50.2412 </t>
  </si>
  <si>
    <t xml:space="preserve">C:\Users\andre\Desktop\REACTIV CEFAS\Testosterone\Testosterone/20201116_Cefas_Test6-Run1/Plate 1/@15/A11_03.tif </t>
  </si>
  <si>
    <t xml:space="preserve"> 95517.6147 </t>
  </si>
  <si>
    <t xml:space="preserve"> 54.0562 </t>
  </si>
  <si>
    <t xml:space="preserve">C:\Users\andre\Desktop\REACTIV CEFAS\Testosterone\Testosterone/20201116_Cefas_Test6-Run1/Plate 1/@15/B11_01.tif </t>
  </si>
  <si>
    <t xml:space="preserve"> 82907.3861 </t>
  </si>
  <si>
    <t xml:space="preserve"> 52.2507 </t>
  </si>
  <si>
    <t xml:space="preserve">C:\Users\andre\Desktop\REACTIV CEFAS\Testosterone\Testosterone/20201116_Cefas_Test6-Run1/Plate 1/@15/B11_02.tif </t>
  </si>
  <si>
    <t xml:space="preserve"> 79273.5638 </t>
  </si>
  <si>
    <t xml:space="preserve"> 49.949 </t>
  </si>
  <si>
    <t xml:space="preserve">C:\Users\andre\Desktop\REACTIV CEFAS\Testosterone\Testosterone/20201116_Cefas_Test6-Run1/Plate 1/@15/B11_03.tif </t>
  </si>
  <si>
    <t xml:space="preserve"> 83058.7954 </t>
  </si>
  <si>
    <t xml:space="preserve"> 49.032 </t>
  </si>
  <si>
    <t xml:space="preserve">C:\Users\andre\Desktop\REACTIV CEFAS\Testosterone\Testosterone/20201116_Cefas_Test6-Run1/Plate 1/@15/C11_01.tif </t>
  </si>
  <si>
    <t xml:space="preserve"> 76829.3857 </t>
  </si>
  <si>
    <t xml:space="preserve"> 49.2123 </t>
  </si>
  <si>
    <t xml:space="preserve">C:\Users\andre\Desktop\REACTIV CEFAS\Testosterone\Testosterone/20201116_Cefas_Test6-Run1/Plate 1/@15/C11_02.tif </t>
  </si>
  <si>
    <t xml:space="preserve"> 78213.699 </t>
  </si>
  <si>
    <t xml:space="preserve"> 50.9051 </t>
  </si>
  <si>
    <t xml:space="preserve">C:\Users\andre\Desktop\REACTIV CEFAS\Testosterone\Testosterone/20201116_Cefas_Test6-Run1/Plate 1/@15/C11_03.tif </t>
  </si>
  <si>
    <t xml:space="preserve"> 79944.0905 </t>
  </si>
  <si>
    <t xml:space="preserve"> 51.7018 </t>
  </si>
  <si>
    <t xml:space="preserve">C:\Users\andre\Desktop\REACTIV CEFAS\Testosterone\Testosterone/20201116_Cefas_Test6-Run1/Plate 1/@15/D11_01.tif </t>
  </si>
  <si>
    <t xml:space="preserve"> 74168.9087 </t>
  </si>
  <si>
    <t xml:space="preserve"> 45.5894 </t>
  </si>
  <si>
    <t xml:space="preserve">C:\Users\andre\Desktop\REACTIV CEFAS\Testosterone\Testosterone/20201116_Cefas_Test6-Run1/Plate 1/@15/D11_02.tif </t>
  </si>
  <si>
    <t xml:space="preserve"> 73736.3108 </t>
  </si>
  <si>
    <t xml:space="preserve"> 44.2077 </t>
  </si>
  <si>
    <t xml:space="preserve">C:\Users\andre\Desktop\REACTIV CEFAS\Testosterone\Testosterone/20201116_Cefas_Test6-Run1/Plate 1/@15/D11_03.tif </t>
  </si>
  <si>
    <t xml:space="preserve"> 81003.9554 </t>
  </si>
  <si>
    <t xml:space="preserve"> 47.2475 </t>
  </si>
  <si>
    <t xml:space="preserve">C:\Users\andre\Desktop\REACTIV CEFAS\Testosterone\Testosterone/20201116_Cefas_Test6-Run1/Plate 1/@15/E11_01.tif </t>
  </si>
  <si>
    <t xml:space="preserve"> 47412.729 </t>
  </si>
  <si>
    <t xml:space="preserve"> 42.927 </t>
  </si>
  <si>
    <t xml:space="preserve">C:\Users\andre\Desktop\REACTIV CEFAS\Testosterone\Testosterone/20201116_Cefas_Test6-Run1/Plate 1/@15/E11_02.tif </t>
  </si>
  <si>
    <t xml:space="preserve"> 41010.2802 </t>
  </si>
  <si>
    <t xml:space="preserve"> 41.6108 </t>
  </si>
  <si>
    <t xml:space="preserve">C:\Users\andre\Desktop\REACTIV CEFAS\Testosterone\Testosterone/20201116_Cefas_Test6-Run1/Plate 1/@15/E11_03.tif </t>
  </si>
  <si>
    <t xml:space="preserve"> 43043.4903 </t>
  </si>
  <si>
    <t xml:space="preserve"> 43.8065 </t>
  </si>
  <si>
    <t xml:space="preserve">C:\Users\andre\Desktop\REACTIV CEFAS\Testosterone\Testosterone/20201116_Cefas_Test6-Run1/Plate 1/@15/F11_01.tif </t>
  </si>
  <si>
    <t xml:space="preserve"> 64846.4241 </t>
  </si>
  <si>
    <t xml:space="preserve"> 45.6044 </t>
  </si>
  <si>
    <t xml:space="preserve">C:\Users\andre\Desktop\REACTIV CEFAS\Testosterone\Testosterone/20201116_Cefas_Test6-Run1/Plate 1/@15/F11_02.tif </t>
  </si>
  <si>
    <t xml:space="preserve"> 60606.9648 </t>
  </si>
  <si>
    <t xml:space="preserve"> 51.2434 </t>
  </si>
  <si>
    <t xml:space="preserve">C:\Users\andre\Desktop\REACTIV CEFAS\Testosterone\Testosterone/20201116_Cefas_Test6-Run1/Plate 1/@15/F11_03.tif </t>
  </si>
  <si>
    <t xml:space="preserve"> 60542.0751 </t>
  </si>
  <si>
    <t xml:space="preserve"> 48.1168 </t>
  </si>
  <si>
    <t xml:space="preserve">C:\Users\andre\Desktop\REACTIV CEFAS\Testosterone\Testosterone/20201116_Cefas_Test6-Run1/Plate 1/@15/G11_01.tif </t>
  </si>
  <si>
    <t xml:space="preserve"> 74731.2859 </t>
  </si>
  <si>
    <t xml:space="preserve"> 45.2104 </t>
  </si>
  <si>
    <t xml:space="preserve">C:\Users\andre\Desktop\REACTIV CEFAS\Testosterone\Testosterone/20201116_Cefas_Test6-Run1/Plate 1/@15/G11_02.tif </t>
  </si>
  <si>
    <t xml:space="preserve"> 76937.5352 </t>
  </si>
  <si>
    <t xml:space="preserve"> 48.8336 </t>
  </si>
  <si>
    <t xml:space="preserve">C:\Users\andre\Desktop\REACTIV CEFAS\Testosterone\Testosterone/20201116_Cefas_Test6-Run1/Plate 1/@15/G11_03.tif </t>
  </si>
  <si>
    <t xml:space="preserve"> 77975.7701 </t>
  </si>
  <si>
    <t xml:space="preserve"> 49.6419 </t>
  </si>
  <si>
    <t xml:space="preserve">C:\Users\andre\Desktop\REACTIV CEFAS\Testosterone\Testosterone/20201116_Cefas_Test6-Run1/Plate 1/@15/H11_01.tif </t>
  </si>
  <si>
    <t xml:space="preserve"> 81328.4038 </t>
  </si>
  <si>
    <t xml:space="preserve"> 41.8516 </t>
  </si>
  <si>
    <t xml:space="preserve">C:\Users\andre\Desktop\REACTIV CEFAS\Testosterone\Testosterone/20201116_Cefas_Test6-Run1/Plate 1/@15/H11_02.tif </t>
  </si>
  <si>
    <t xml:space="preserve"> 90737.408 </t>
  </si>
  <si>
    <t xml:space="preserve"> 41.2737 </t>
  </si>
  <si>
    <t xml:space="preserve">C:\Users\andre\Desktop\REACTIV CEFAS\Testosterone\Testosterone/20201116_Cefas_Test6-Run1/Plate 1/@15/H11_03.tif </t>
  </si>
  <si>
    <t xml:space="preserve"> 71119.0935 </t>
  </si>
  <si>
    <t xml:space="preserve"> 41.8656 </t>
  </si>
  <si>
    <t xml:space="preserve">C:\Users\andre\Desktop\REACTIV CEFAS\Testosterone\Testosterone/20201116_Cefas_Test6-Run1/Plate 1/@15/ </t>
  </si>
  <si>
    <t xml:space="preserve"> 47.4017 </t>
  </si>
  <si>
    <t xml:space="preserve"> 3.8636 </t>
  </si>
  <si>
    <t xml:space="preserve"> 3573872.33 </t>
  </si>
  <si>
    <t xml:space="preserve"> 909613.124 </t>
  </si>
  <si>
    <t xml:space="preserve">C:\Users\andre\Desktop\REACTIV CEFAS\Testosterone\Testosterone/20201116_Cefas_Test6-Run1/Plate 1/@16/A12_01.tif </t>
  </si>
  <si>
    <t xml:space="preserve"> 1146.3844 </t>
  </si>
  <si>
    <t xml:space="preserve"> 33.8868 </t>
  </si>
  <si>
    <t xml:space="preserve">C:\Users\andre\Desktop\REACTIV CEFAS\Testosterone\Testosterone/20201116_Cefas_Test6-Run1/Plate 1/@16/A12_02.tif </t>
  </si>
  <si>
    <t xml:space="preserve"> 2098.0998 </t>
  </si>
  <si>
    <t xml:space="preserve"> 34.6804 </t>
  </si>
  <si>
    <t xml:space="preserve">C:\Users\andre\Desktop\REACTIV CEFAS\Testosterone\Testosterone/20201116_Cefas_Test6-Run1/Plate 1/@16/A12_03.tif </t>
  </si>
  <si>
    <t xml:space="preserve"> 1211.2741 </t>
  </si>
  <si>
    <t xml:space="preserve"> 32.1429 </t>
  </si>
  <si>
    <t xml:space="preserve">C:\Users\andre\Desktop\REACTIV CEFAS\Testosterone\Testosterone/20201116_Cefas_Test6-Run1/Plate 1/@16/B12_01.tif </t>
  </si>
  <si>
    <t xml:space="preserve"> 36.7388 </t>
  </si>
  <si>
    <t xml:space="preserve">C:\Users\andre\Desktop\REACTIV CEFAS\Testosterone\Testosterone/20201116_Cefas_Test6-Run1/Plate 1/@16/B12_02.tif </t>
  </si>
  <si>
    <t xml:space="preserve"> 2054.84 </t>
  </si>
  <si>
    <t xml:space="preserve"> 34.7158 </t>
  </si>
  <si>
    <t xml:space="preserve">C:\Users\andre\Desktop\REACTIV CEFAS\Testosterone\Testosterone/20201116_Cefas_Test6-Run1/Plate 1/@16/B12_03.tif </t>
  </si>
  <si>
    <t xml:space="preserve"> 6078.0004 </t>
  </si>
  <si>
    <t xml:space="preserve"> 36.4199 </t>
  </si>
  <si>
    <t xml:space="preserve">C:\Users\andre\Desktop\REACTIV CEFAS\Testosterone\Testosterone/20201116_Cefas_Test6-Run1/Plate 1/@16/C12_01.tif </t>
  </si>
  <si>
    <t xml:space="preserve"> 1276.1638 </t>
  </si>
  <si>
    <t xml:space="preserve"> 34.6271 </t>
  </si>
  <si>
    <t>C:\Users\andre\Desktop\REACTIV CEFAS\Testosterone\Testosterone/20201116_Cefas_Test6-Run1/Plate 1/@16/C12_02- exclu.tif</t>
  </si>
  <si>
    <t xml:space="preserve">C:\Users\andre\Desktop\REACTIV CEFAS\Testosterone\Testosterone/20201116_Cefas_Test6-Run1/Plate 1/@16/C12_03.tif </t>
  </si>
  <si>
    <t xml:space="preserve"> 3633.8223 </t>
  </si>
  <si>
    <t xml:space="preserve"> 36.131 </t>
  </si>
  <si>
    <t xml:space="preserve">C:\Users\andre\Desktop\REACTIV CEFAS\Testosterone\Testosterone/20201116_Cefas_Test6-Run1/Plate 1/@16/D12_01.tif </t>
  </si>
  <si>
    <t xml:space="preserve"> 2855.1461 </t>
  </si>
  <si>
    <t xml:space="preserve"> 36.8636 </t>
  </si>
  <si>
    <t xml:space="preserve">C:\Users\andre\Desktop\REACTIV CEFAS\Testosterone\Testosterone/20201116_Cefas_Test6-Run1/Plate 1/@16/D12_02.tif </t>
  </si>
  <si>
    <t xml:space="preserve"> 1557.3524 </t>
  </si>
  <si>
    <t xml:space="preserve"> 33.625 </t>
  </si>
  <si>
    <t xml:space="preserve">C:\Users\andre\Desktop\REACTIV CEFAS\Testosterone\Testosterone/20201116_Cefas_Test6-Run1/Plate 1/@16/D12_03.tif </t>
  </si>
  <si>
    <t xml:space="preserve"> 237.9288 </t>
  </si>
  <si>
    <t xml:space="preserve"> 31.2727 </t>
  </si>
  <si>
    <t xml:space="preserve">C:\Users\andre\Desktop\REACTIV CEFAS\Testosterone\Testosterone/20201116_Cefas_Test6-Run1/Plate 1/@16/E12_01.tif </t>
  </si>
  <si>
    <t xml:space="preserve"> 2444.1781 </t>
  </si>
  <si>
    <t xml:space="preserve"> 31.0265 </t>
  </si>
  <si>
    <t xml:space="preserve">C:\Users\andre\Desktop\REACTIV CEFAS\Testosterone\Testosterone/20201116_Cefas_Test6-Run1/Plate 1/@16/E12_02.tif </t>
  </si>
  <si>
    <t xml:space="preserve"> 9646.933 </t>
  </si>
  <si>
    <t xml:space="preserve"> 36.704 </t>
  </si>
  <si>
    <t xml:space="preserve">C:\Users\andre\Desktop\REACTIV CEFAS\Testosterone\Testosterone/20201116_Cefas_Test6-Run1/Plate 1/@16/E12_03.tif </t>
  </si>
  <si>
    <t xml:space="preserve"> 9949.7515 </t>
  </si>
  <si>
    <t xml:space="preserve"> 40.5152 </t>
  </si>
  <si>
    <t xml:space="preserve">C:\Users\andre\Desktop\REACTIV CEFAS\Testosterone\Testosterone/20201116_Cefas_Test6-Run1/Plate 1/@16/F12_01.tif </t>
  </si>
  <si>
    <t xml:space="preserve"> 1405.9432 </t>
  </si>
  <si>
    <t xml:space="preserve"> 32.9385 </t>
  </si>
  <si>
    <t xml:space="preserve">C:\Users\andre\Desktop\REACTIV CEFAS\Testosterone\Testosterone/20201116_Cefas_Test6-Run1/Plate 1/@16/F12_02.tif </t>
  </si>
  <si>
    <t xml:space="preserve"> 1535.7225 </t>
  </si>
  <si>
    <t xml:space="preserve"> 32.6056 </t>
  </si>
  <si>
    <t xml:space="preserve">C:\Users\andre\Desktop\REACTIV CEFAS\Testosterone\Testosterone/20201116_Cefas_Test6-Run1/Plate 1/@16/F12_03.tif </t>
  </si>
  <si>
    <t xml:space="preserve">C:\Users\andre\Desktop\REACTIV CEFAS\Testosterone\Testosterone/20201116_Cefas_Test6-Run1/Plate 1/@16/G12_01.tif </t>
  </si>
  <si>
    <t xml:space="preserve"> 41.4657 </t>
  </si>
  <si>
    <t xml:space="preserve">C:\Users\andre\Desktop\REACTIV CEFAS\Testosterone\Testosterone/20201116_Cefas_Test6-Run1/Plate 1/@16/G12_02.tif </t>
  </si>
  <si>
    <t xml:space="preserve"> 584.0072 </t>
  </si>
  <si>
    <t xml:space="preserve"> 31.8519 </t>
  </si>
  <si>
    <t xml:space="preserve">C:\Users\andre\Desktop\REACTIV CEFAS\Testosterone\Testosterone/20201116_Cefas_Test6-Run1/Plate 1/@16/G12_03.tif </t>
  </si>
  <si>
    <t xml:space="preserve"> 1643.872 </t>
  </si>
  <si>
    <t xml:space="preserve"> 32.8684 </t>
  </si>
  <si>
    <t xml:space="preserve">C:\Users\andre\Desktop\REACTIV CEFAS\Testosterone\Testosterone/20201116_Cefas_Test6-Run1/Plate 1/@16/H12_01.tif </t>
  </si>
  <si>
    <t xml:space="preserve"> 7483.9435 </t>
  </si>
  <si>
    <t xml:space="preserve"> 37.3728 </t>
  </si>
  <si>
    <t xml:space="preserve">C:\Users\andre\Desktop\REACTIV CEFAS\Testosterone\Testosterone/20201116_Cefas_Test6-Run1/Plate 1/@16/H12_02.tif </t>
  </si>
  <si>
    <t xml:space="preserve"> 5775.1819 </t>
  </si>
  <si>
    <t xml:space="preserve"> 37.1873 </t>
  </si>
  <si>
    <t xml:space="preserve">C:\Users\andre\Desktop\REACTIV CEFAS\Testosterone\Testosterone/20201116_Cefas_Test6-Run1/Plate 1/@16/H12_03.tif </t>
  </si>
  <si>
    <t xml:space="preserve"> 2941.6657 </t>
  </si>
  <si>
    <t xml:space="preserve"> 33.5588 </t>
  </si>
  <si>
    <t xml:space="preserve">C:\Users\andre\Desktop\REACTIV CEFAS\Testosterone\Testosterone/20201116_Cefas_Test6-Run1/Plate 1/@16/ </t>
  </si>
  <si>
    <t xml:space="preserve"> 33.415 </t>
  </si>
  <si>
    <t xml:space="preserve"> 7.6125 </t>
  </si>
  <si>
    <t xml:space="preserve"> 114020.083 </t>
  </si>
  <si>
    <t xml:space="preserve"> 108055.155 </t>
  </si>
  <si>
    <t xml:space="preserve">C:\Users\andre\Desktop\REACTIV CEFAS\Testosterone\Testosterone/20201116_Cefas_Test6-Run1/Plate 1/@2/A2_01.tif </t>
  </si>
  <si>
    <t xml:space="preserve"> 7419.0539 </t>
  </si>
  <si>
    <t xml:space="preserve"> 36.3907 </t>
  </si>
  <si>
    <t xml:space="preserve">C:\Users\andre\Desktop\REACTIV CEFAS\Testosterone\Testosterone/20201116_Cefas_Test6-Run1/Plate 1/@2/A2_02.tif </t>
  </si>
  <si>
    <t xml:space="preserve"> 10079.5309 </t>
  </si>
  <si>
    <t xml:space="preserve"> 36.7146 </t>
  </si>
  <si>
    <t xml:space="preserve">C:\Users\andre\Desktop\REACTIV CEFAS\Testosterone\Testosterone/20201116_Cefas_Test6-Run1/Plate 1/@2/A2_03.tif </t>
  </si>
  <si>
    <t xml:space="preserve"> 3179.5945 </t>
  </si>
  <si>
    <t xml:space="preserve"> 33.898 </t>
  </si>
  <si>
    <t xml:space="preserve">C:\Users\andre\Desktop\REACTIV CEFAS\Testosterone\Testosterone/20201116_Cefas_Test6-Run1/Plate 1/@2/B2_01.tif </t>
  </si>
  <si>
    <t xml:space="preserve"> 21.6299 </t>
  </si>
  <si>
    <t xml:space="preserve">C:\Users\andre\Desktop\REACTIV CEFAS\Testosterone\Testosterone/20201116_Cefas_Test6-Run1/Plate 1/@2/B2_02.tif </t>
  </si>
  <si>
    <t xml:space="preserve"> 86.5196 </t>
  </si>
  <si>
    <t xml:space="preserve"> 31.25 </t>
  </si>
  <si>
    <t xml:space="preserve">C:\Users\andre\Desktop\REACTIV CEFAS\Testosterone\Testosterone/20201116_Cefas_Test6-Run1/Plate 1/@2/B2_03.tif </t>
  </si>
  <si>
    <t xml:space="preserve"> 3395.8935 </t>
  </si>
  <si>
    <t xml:space="preserve"> 33.4968 </t>
  </si>
  <si>
    <t xml:space="preserve">C:\Users\andre\Desktop\REACTIV CEFAS\Testosterone\Testosterone/20201116_Cefas_Test6-Run1/Plate 1/@2/C2_01.tif </t>
  </si>
  <si>
    <t xml:space="preserve"> 5320.9541 </t>
  </si>
  <si>
    <t xml:space="preserve"> 36.378 </t>
  </si>
  <si>
    <t xml:space="preserve">C:\Users\andre\Desktop\REACTIV CEFAS\Testosterone\Testosterone/20201116_Cefas_Test6-Run1/Plate 1/@2/C2_02.tif </t>
  </si>
  <si>
    <t xml:space="preserve"> 34.8582 </t>
  </si>
  <si>
    <t xml:space="preserve">C:\Users\andre\Desktop\REACTIV CEFAS\Testosterone\Testosterone/20201116_Cefas_Test6-Run1/Plate 1/@2/C2_03.tif </t>
  </si>
  <si>
    <t xml:space="preserve"> 4888.3562 </t>
  </si>
  <si>
    <t xml:space="preserve"> 36.9956 </t>
  </si>
  <si>
    <t xml:space="preserve">C:\Users\andre\Desktop\REACTIV CEFAS\Testosterone\Testosterone/20201116_Cefas_Test6-Run1/Plate 1/@2/D2_01.tif </t>
  </si>
  <si>
    <t xml:space="preserve"> 5904.9612 </t>
  </si>
  <si>
    <t xml:space="preserve"> 40.8132 </t>
  </si>
  <si>
    <t xml:space="preserve">C:\Users\andre\Desktop\REACTIV CEFAS\Testosterone\Testosterone/20201116_Cefas_Test6-Run1/Plate 1/@2/D2_02.tif </t>
  </si>
  <si>
    <t xml:space="preserve"> 4044.7903 </t>
  </si>
  <si>
    <t xml:space="preserve"> 37.1497 </t>
  </si>
  <si>
    <t xml:space="preserve">C:\Users\andre\Desktop\REACTIV CEFAS\Testosterone\Testosterone/20201116_Cefas_Test6-Run1/Plate 1/@2/D2_03.tif </t>
  </si>
  <si>
    <t xml:space="preserve"> 3266.1141 </t>
  </si>
  <si>
    <t xml:space="preserve"> 37.1589 </t>
  </si>
  <si>
    <t>C:\Users\andre\Desktop\REACTIV CEFAS\Testosterone\Testosterone/20201116_Cefas_Test6-Run1/Plate 1/@2/E2_01- exclu.tif</t>
  </si>
  <si>
    <t>C:\Users\andre\Desktop\REACTIV CEFAS\Testosterone\Testosterone/20201116_Cefas_Test6-Run1/Plate 1/@2/E2_02- exclu.tif</t>
  </si>
  <si>
    <t>C:\Users\andre\Desktop\REACTIV CEFAS\Testosterone\Testosterone/20201116_Cefas_Test6-Run1/Plate 1/@2/E2_03- exclu.tif</t>
  </si>
  <si>
    <t xml:space="preserve">C:\Users\andre\Desktop\REACTIV CEFAS\Testosterone\Testosterone/20201116_Cefas_Test6-Run1/Plate 1/@2/F2_01.tif </t>
  </si>
  <si>
    <t xml:space="preserve"> 15335.5953 </t>
  </si>
  <si>
    <t xml:space="preserve"> 38.0409 </t>
  </si>
  <si>
    <t xml:space="preserve">C:\Users\andre\Desktop\REACTIV CEFAS\Testosterone\Testosterone/20201116_Cefas_Test6-Run1/Plate 1/@2/F2_02.tif </t>
  </si>
  <si>
    <t xml:space="preserve"> 11182.6555 </t>
  </si>
  <si>
    <t xml:space="preserve"> 38.8414 </t>
  </si>
  <si>
    <t xml:space="preserve">C:\Users\andre\Desktop\REACTIV CEFAS\Testosterone\Testosterone/20201116_Cefas_Test6-Run1/Plate 1/@2/F2_03.tif </t>
  </si>
  <si>
    <t xml:space="preserve"> 16633.389 </t>
  </si>
  <si>
    <t xml:space="preserve"> 37.6931 </t>
  </si>
  <si>
    <t xml:space="preserve">C:\Users\andre\Desktop\REACTIV CEFAS\Testosterone\Testosterone/20201116_Cefas_Test6-Run1/Plate 1/@2/G2_01.tif </t>
  </si>
  <si>
    <t xml:space="preserve"> 7029.7158 </t>
  </si>
  <si>
    <t xml:space="preserve"> 36.3231 </t>
  </si>
  <si>
    <t xml:space="preserve">C:\Users\andre\Desktop\REACTIV CEFAS\Testosterone\Testosterone/20201116_Cefas_Test6-Run1/Plate 1/@2/G2_02.tif </t>
  </si>
  <si>
    <t xml:space="preserve"> 4736.9469 </t>
  </si>
  <si>
    <t xml:space="preserve"> 38.6712 </t>
  </si>
  <si>
    <t xml:space="preserve">C:\Users\andre\Desktop\REACTIV CEFAS\Testosterone\Testosterone/20201116_Cefas_Test6-Run1/Plate 1/@2/G2_03.tif </t>
  </si>
  <si>
    <t xml:space="preserve"> 3093.0749 </t>
  </si>
  <si>
    <t xml:space="preserve"> 37.5105 </t>
  </si>
  <si>
    <t xml:space="preserve">C:\Users\andre\Desktop\REACTIV CEFAS\Testosterone\Testosterone/20201116_Cefas_Test6-Run1/Plate 1/@2/H2_01.tif </t>
  </si>
  <si>
    <t xml:space="preserve"> 3287.744 </t>
  </si>
  <si>
    <t xml:space="preserve"> 34.4474 </t>
  </si>
  <si>
    <t xml:space="preserve">C:\Users\andre\Desktop\REACTIV CEFAS\Testosterone\Testosterone/20201116_Cefas_Test6-Run1/Plate 1/@2/H2_02.tif </t>
  </si>
  <si>
    <t xml:space="preserve">C:\Users\andre\Desktop\REACTIV CEFAS\Testosterone\Testosterone/20201116_Cefas_Test6-Run1/Plate 1/@2/H2_03.tif </t>
  </si>
  <si>
    <t xml:space="preserve"> 2768.6265 </t>
  </si>
  <si>
    <t xml:space="preserve"> 32.0391 </t>
  </si>
  <si>
    <t xml:space="preserve">C:\Users\andre\Desktop\REACTIV CEFAS\Testosterone\Testosterone/20201116_Cefas_Test6-Run1/Plate 1/@2/ </t>
  </si>
  <si>
    <t xml:space="preserve"> 33.4716 </t>
  </si>
  <si>
    <t xml:space="preserve"> 10.7565 </t>
  </si>
  <si>
    <t xml:space="preserve"> 208391.458 </t>
  </si>
  <si>
    <t xml:space="preserve"> 174745.777 </t>
  </si>
  <si>
    <t xml:space="preserve">C:\Users\andre\Desktop\REACTIV CEFAS\Testosterone\Testosterone/20201116_Cefas_Test6-Run1/Plate 1/@3/A3_01.tif </t>
  </si>
  <si>
    <t xml:space="preserve"> 8651.9579 </t>
  </si>
  <si>
    <t xml:space="preserve"> 34.8525 </t>
  </si>
  <si>
    <t xml:space="preserve">C:\Users\andre\Desktop\REACTIV CEFAS\Testosterone\Testosterone/20201116_Cefas_Test6-Run1/Plate 1/@3/A3_02.tif </t>
  </si>
  <si>
    <t xml:space="preserve"> 3677.0821 </t>
  </si>
  <si>
    <t xml:space="preserve"> 32.8706 </t>
  </si>
  <si>
    <t xml:space="preserve">C:\Users\andre\Desktop\REACTIV CEFAS\Testosterone\Testosterone/20201116_Cefas_Test6-Run1/Plate 1/@3/A3_03.tif </t>
  </si>
  <si>
    <t xml:space="preserve"> 1038.2349 </t>
  </si>
  <si>
    <t xml:space="preserve"> 31.1875 </t>
  </si>
  <si>
    <t xml:space="preserve">C:\Users\andre\Desktop\REACTIV CEFAS\Testosterone\Testosterone/20201116_Cefas_Test6-Run1/Plate 1/@3/B3_01.tif </t>
  </si>
  <si>
    <t xml:space="preserve"> 33.5033 </t>
  </si>
  <si>
    <t>C:\Users\andre\Desktop\REACTIV CEFAS\Testosterone\Testosterone/20201116_Cefas_Test6-Run1/Plate 1/@3/B3_02- exclu.tif</t>
  </si>
  <si>
    <t xml:space="preserve">C:\Users\andre\Desktop\REACTIV CEFAS\Testosterone\Testosterone/20201116_Cefas_Test6-Run1/Plate 1/@3/B3_03.tif </t>
  </si>
  <si>
    <t xml:space="preserve"> 2595.5874 </t>
  </si>
  <si>
    <t xml:space="preserve"> 33.4083 </t>
  </si>
  <si>
    <t xml:space="preserve">C:\Users\andre\Desktop\REACTIV CEFAS\Testosterone\Testosterone/20201116_Cefas_Test6-Run1/Plate 1/@3/C3_01.tif </t>
  </si>
  <si>
    <t xml:space="preserve"> 8630.328 </t>
  </si>
  <si>
    <t xml:space="preserve"> 37.3333 </t>
  </si>
  <si>
    <t xml:space="preserve">C:\Users\andre\Desktop\REACTIV CEFAS\Testosterone\Testosterone/20201116_Cefas_Test6-Run1/Plate 1/@3/C3_02.tif </t>
  </si>
  <si>
    <t xml:space="preserve"> 4607.1676 </t>
  </si>
  <si>
    <t xml:space="preserve"> 37.4742 </t>
  </si>
  <si>
    <t xml:space="preserve">C:\Users\andre\Desktop\REACTIV CEFAS\Testosterone\Testosterone/20201116_Cefas_Test6-Run1/Plate 1/@3/C3_03.tif </t>
  </si>
  <si>
    <t xml:space="preserve"> 34.9371 </t>
  </si>
  <si>
    <t xml:space="preserve">C:\Users\andre\Desktop\REACTIV CEFAS\Testosterone\Testosterone/20201116_Cefas_Test6-Run1/Plate 1/@3/D3_01.tif </t>
  </si>
  <si>
    <t xml:space="preserve"> 6229.4097 </t>
  </si>
  <si>
    <t xml:space="preserve"> 35.1181 </t>
  </si>
  <si>
    <t xml:space="preserve">C:\Users\andre\Desktop\REACTIV CEFAS\Testosterone\Testosterone/20201116_Cefas_Test6-Run1/Plate 1/@3/D3_02.tif </t>
  </si>
  <si>
    <t xml:space="preserve"> 31.5833 </t>
  </si>
  <si>
    <t xml:space="preserve">C:\Users\andre\Desktop\REACTIV CEFAS\Testosterone\Testosterone/20201116_Cefas_Test6-Run1/Plate 1/@3/D3_03.tif </t>
  </si>
  <si>
    <t xml:space="preserve"> 9452.264 </t>
  </si>
  <si>
    <t xml:space="preserve"> 34.0114 </t>
  </si>
  <si>
    <t xml:space="preserve">C:\Users\andre\Desktop\REACTIV CEFAS\Testosterone\Testosterone/20201116_Cefas_Test6-Run1/Plate 1/@3/E3_01.tif </t>
  </si>
  <si>
    <t xml:space="preserve"> 32.7632 </t>
  </si>
  <si>
    <t xml:space="preserve">C:\Users\andre\Desktop\REACTIV CEFAS\Testosterone\Testosterone/20201116_Cefas_Test6-Run1/Plate 1/@3/E3_02.tif </t>
  </si>
  <si>
    <t xml:space="preserve"> 3309.3739 </t>
  </si>
  <si>
    <t xml:space="preserve"> 33.3072 </t>
  </si>
  <si>
    <t xml:space="preserve">C:\Users\andre\Desktop\REACTIV CEFAS\Testosterone\Testosterone/20201116_Cefas_Test6-Run1/Plate 1/@3/E3_03.tif </t>
  </si>
  <si>
    <t xml:space="preserve"> 3525.6728 </t>
  </si>
  <si>
    <t xml:space="preserve">C:\Users\andre\Desktop\REACTIV CEFAS\Testosterone\Testosterone/20201116_Cefas_Test6-Run1/Plate 1/@3/F3_01.tif </t>
  </si>
  <si>
    <t xml:space="preserve"> 4520.648 </t>
  </si>
  <si>
    <t xml:space="preserve"> 37.0335 </t>
  </si>
  <si>
    <t xml:space="preserve">C:\Users\andre\Desktop\REACTIV CEFAS\Testosterone\Testosterone/20201116_Cefas_Test6-Run1/Plate 1/@3/F3_02.tif </t>
  </si>
  <si>
    <t xml:space="preserve"> 2984.9255 </t>
  </si>
  <si>
    <t xml:space="preserve"> 31.587 </t>
  </si>
  <si>
    <t xml:space="preserve">C:\Users\andre\Desktop\REACTIV CEFAS\Testosterone\Testosterone/20201116_Cefas_Test6-Run1/Plate 1/@3/F3_03.tif </t>
  </si>
  <si>
    <t xml:space="preserve"> 37.4079 </t>
  </si>
  <si>
    <t xml:space="preserve">C:\Users\andre\Desktop\REACTIV CEFAS\Testosterone\Testosterone/20201116_Cefas_Test6-Run1/Plate 1/@3/G3_01.tif </t>
  </si>
  <si>
    <t xml:space="preserve"> 22559.9801 </t>
  </si>
  <si>
    <t xml:space="preserve"> 33.0786 </t>
  </si>
  <si>
    <t xml:space="preserve">C:\Users\andre\Desktop\REACTIV CEFAS\Testosterone\Testosterone/20201116_Cefas_Test6-Run1/Plate 1/@3/G3_02.tif </t>
  </si>
  <si>
    <t xml:space="preserve"> 34889.02 </t>
  </si>
  <si>
    <t xml:space="preserve"> 34.7328 </t>
  </si>
  <si>
    <t xml:space="preserve">C:\Users\andre\Desktop\REACTIV CEFAS\Testosterone\Testosterone/20201116_Cefas_Test6-Run1/Plate 1/@3/G3_03.tif </t>
  </si>
  <si>
    <t xml:space="preserve"> 1341.0535 </t>
  </si>
  <si>
    <t xml:space="preserve"> 30.9355 </t>
  </si>
  <si>
    <t xml:space="preserve">C:\Users\andre\Desktop\REACTIV CEFAS\Testosterone\Testosterone/20201116_Cefas_Test6-Run1/Plate 1/@3/H3_01.tif </t>
  </si>
  <si>
    <t xml:space="preserve"> 3460.7831 </t>
  </si>
  <si>
    <t xml:space="preserve"> 31.6438 </t>
  </si>
  <si>
    <t xml:space="preserve">C:\Users\andre\Desktop\REACTIV CEFAS\Testosterone\Testosterone/20201116_Cefas_Test6-Run1/Plate 1/@3/H3_02.tif </t>
  </si>
  <si>
    <t xml:space="preserve"> 3720.3419 </t>
  </si>
  <si>
    <t xml:space="preserve"> 31.7791 </t>
  </si>
  <si>
    <t xml:space="preserve">C:\Users\andre\Desktop\REACTIV CEFAS\Testosterone\Testosterone/20201116_Cefas_Test6-Run1/Plate 1/@3/H3_03.tif </t>
  </si>
  <si>
    <t xml:space="preserve"> 7224.3848 </t>
  </si>
  <si>
    <t xml:space="preserve"> 32.6347 </t>
  </si>
  <si>
    <t xml:space="preserve">C:\Users\andre\Desktop\REACTIV CEFAS\Testosterone\Testosterone/20201116_Cefas_Test6-Run1/Plate 1/@3/ </t>
  </si>
  <si>
    <t xml:space="preserve"> 32.4243 </t>
  </si>
  <si>
    <t xml:space="preserve"> 7.1955 </t>
  </si>
  <si>
    <t xml:space="preserve"> 210803.167 </t>
  </si>
  <si>
    <t xml:space="preserve"> 260822.988 </t>
  </si>
  <si>
    <t xml:space="preserve">C:\Users\andre\Desktop\REACTIV CEFAS\Testosterone\Testosterone/20201116_Cefas_Test6-Run1/Plate 1/@4/A4_01.tif </t>
  </si>
  <si>
    <t xml:space="preserve"> 20245.5814 </t>
  </si>
  <si>
    <t xml:space="preserve"> 34.969 </t>
  </si>
  <si>
    <t xml:space="preserve">C:\Users\andre\Desktop\REACTIV CEFAS\Testosterone\Testosterone/20201116_Cefas_Test6-Run1/Plate 1/@4/A4_02.tif </t>
  </si>
  <si>
    <t xml:space="preserve"> 40.5149 </t>
  </si>
  <si>
    <t xml:space="preserve">C:\Users\andre\Desktop\REACTIV CEFAS\Testosterone\Testosterone/20201116_Cefas_Test6-Run1/Plate 1/@4/A4_03.tif </t>
  </si>
  <si>
    <t xml:space="preserve"> 18125.8517 </t>
  </si>
  <si>
    <t xml:space="preserve"> 35.0823 </t>
  </si>
  <si>
    <t xml:space="preserve">C:\Users\andre\Desktop\REACTIV CEFAS\Testosterone\Testosterone/20201116_Cefas_Test6-Run1/Plate 1/@4/B4_01.tif </t>
  </si>
  <si>
    <t xml:space="preserve"> 54442.4448 </t>
  </si>
  <si>
    <t xml:space="preserve"> 39.4358 </t>
  </si>
  <si>
    <t xml:space="preserve">C:\Users\andre\Desktop\REACTIV CEFAS\Testosterone\Testosterone/20201116_Cefas_Test6-Run1/Plate 1/@4/B4_02.tif </t>
  </si>
  <si>
    <t xml:space="preserve"> 37527.8672 </t>
  </si>
  <si>
    <t xml:space="preserve"> 40.717 </t>
  </si>
  <si>
    <t>C:\Users\andre\Desktop\REACTIV CEFAS\Testosterone\Testosterone/20201116_Cefas_Test6-Run1/Plate 1/@4/B4_03- exclu.tif</t>
  </si>
  <si>
    <t xml:space="preserve">C:\Users\andre\Desktop\REACTIV CEFAS\Testosterone\Testosterone/20201116_Cefas_Test6-Run1/Plate 1/@4/C4_01.tif </t>
  </si>
  <si>
    <t xml:space="preserve"> 10490.4989 </t>
  </si>
  <si>
    <t xml:space="preserve"> 33.1773 </t>
  </si>
  <si>
    <t xml:space="preserve">C:\Users\andre\Desktop\REACTIV CEFAS\Testosterone\Testosterone/20201116_Cefas_Test6-Run1/Plate 1/@4/C4_02.tif </t>
  </si>
  <si>
    <t xml:space="preserve"> 31.6833 </t>
  </si>
  <si>
    <t xml:space="preserve">C:\Users\andre\Desktop\REACTIV CEFAS\Testosterone\Testosterone/20201116_Cefas_Test6-Run1/Plate 1/@4/C4_03.tif </t>
  </si>
  <si>
    <t xml:space="preserve"> 12653.4884 </t>
  </si>
  <si>
    <t xml:space="preserve"> 33.1658 </t>
  </si>
  <si>
    <t xml:space="preserve">C:\Users\andre\Desktop\REACTIV CEFAS\Testosterone\Testosterone/20201116_Cefas_Test6-Run1/Plate 1/@4/D4_01.tif </t>
  </si>
  <si>
    <t xml:space="preserve"> 65235.7622 </t>
  </si>
  <si>
    <t xml:space="preserve"> 40.4015 </t>
  </si>
  <si>
    <t xml:space="preserve">C:\Users\andre\Desktop\REACTIV CEFAS\Testosterone\Testosterone/20201116_Cefas_Test6-Run1/Plate 1/@4/D4_02.tif </t>
  </si>
  <si>
    <t xml:space="preserve"> 66922.894 </t>
  </si>
  <si>
    <t xml:space="preserve"> 39.914 </t>
  </si>
  <si>
    <t xml:space="preserve">C:\Users\andre\Desktop\REACTIV CEFAS\Testosterone\Testosterone/20201116_Cefas_Test6-Run1/Plate 1/@4/D4_03.tif </t>
  </si>
  <si>
    <t xml:space="preserve"> 66641.7054 </t>
  </si>
  <si>
    <t xml:space="preserve"> 41.5748 </t>
  </si>
  <si>
    <t xml:space="preserve">C:\Users\andre\Desktop\REACTIV CEFAS\Testosterone\Testosterone/20201116_Cefas_Test6-Run1/Plate 1/@4/E4_01.tif </t>
  </si>
  <si>
    <t xml:space="preserve"> 8543.8084 </t>
  </si>
  <si>
    <t xml:space="preserve"> 31.9215 </t>
  </si>
  <si>
    <t xml:space="preserve">C:\Users\andre\Desktop\REACTIV CEFAS\Testosterone\Testosterone/20201116_Cefas_Test6-Run1/Plate 1/@4/E4_02.tif </t>
  </si>
  <si>
    <t xml:space="preserve"> 4131.3099 </t>
  </si>
  <si>
    <t xml:space="preserve"> 31.911 </t>
  </si>
  <si>
    <t xml:space="preserve">C:\Users\andre\Desktop\REACTIV CEFAS\Testosterone\Testosterone/20201116_Cefas_Test6-Run1/Plate 1/@4/E4_03.tif </t>
  </si>
  <si>
    <t xml:space="preserve"> 6359.189 </t>
  </si>
  <si>
    <t xml:space="preserve"> 38.8027 </t>
  </si>
  <si>
    <t xml:space="preserve">C:\Users\andre\Desktop\REACTIV CEFAS\Testosterone\Testosterone/20201116_Cefas_Test6-Run1/Plate 1/@4/F4_01.tif </t>
  </si>
  <si>
    <t xml:space="preserve"> 64.8897 </t>
  </si>
  <si>
    <t xml:space="preserve">C:\Users\andre\Desktop\REACTIV CEFAS\Testosterone\Testosterone/20201116_Cefas_Test6-Run1/Plate 1/@4/F4_02.tif </t>
  </si>
  <si>
    <t xml:space="preserve"> 3374.2636 </t>
  </si>
  <si>
    <t xml:space="preserve"> 35.4487 </t>
  </si>
  <si>
    <t xml:space="preserve">C:\Users\andre\Desktop\REACTIV CEFAS\Testosterone\Testosterone/20201116_Cefas_Test6-Run1/Plate 1/@4/F4_03.tif </t>
  </si>
  <si>
    <t xml:space="preserve"> 6770.157 </t>
  </si>
  <si>
    <t xml:space="preserve"> 39.2875 </t>
  </si>
  <si>
    <t xml:space="preserve">C:\Users\andre\Desktop\REACTIV CEFAS\Testosterone\Testosterone/20201116_Cefas_Test6-Run1/Plate 1/@4/G4_01.tif </t>
  </si>
  <si>
    <t xml:space="preserve"> 38479.5825 </t>
  </si>
  <si>
    <t xml:space="preserve"> 34.5346 </t>
  </si>
  <si>
    <t xml:space="preserve">C:\Users\andre\Desktop\REACTIV CEFAS\Testosterone\Testosterone/20201116_Cefas_Test6-Run1/Plate 1/@4/G4_02.tif </t>
  </si>
  <si>
    <t xml:space="preserve"> 32769.2904 </t>
  </si>
  <si>
    <t xml:space="preserve"> 34.3465 </t>
  </si>
  <si>
    <t xml:space="preserve">C:\Users\andre\Desktop\REACTIV CEFAS\Testosterone\Testosterone/20201116_Cefas_Test6-Run1/Plate 1/@4/G4_03.tif </t>
  </si>
  <si>
    <t xml:space="preserve"> 37052.0095 </t>
  </si>
  <si>
    <t xml:space="preserve"> 33.7782 </t>
  </si>
  <si>
    <t xml:space="preserve">C:\Users\andre\Desktop\REACTIV CEFAS\Testosterone\Testosterone/20201116_Cefas_Test6-Run1/Plate 1/@4/H4_01.tif </t>
  </si>
  <si>
    <t xml:space="preserve"> 65127.6127 </t>
  </si>
  <si>
    <t xml:space="preserve"> 38.4756 </t>
  </si>
  <si>
    <t xml:space="preserve">C:\Users\andre\Desktop\REACTIV CEFAS\Testosterone\Testosterone/20201116_Cefas_Test6-Run1/Plate 1/@4/H4_02.tif </t>
  </si>
  <si>
    <t xml:space="preserve"> 62185.9471 </t>
  </si>
  <si>
    <t xml:space="preserve"> 38.408 </t>
  </si>
  <si>
    <t xml:space="preserve">C:\Users\andre\Desktop\REACTIV CEFAS\Testosterone\Testosterone/20201116_Cefas_Test6-Run1/Plate 1/@4/H4_03.tif </t>
  </si>
  <si>
    <t xml:space="preserve"> 53360.95 </t>
  </si>
  <si>
    <t xml:space="preserve"> 35.7921 </t>
  </si>
  <si>
    <t xml:space="preserve">C:\Users\andre\Desktop\REACTIV CEFAS\Testosterone\Testosterone/20201116_Cefas_Test6-Run1/Plate 1/@4/ </t>
  </si>
  <si>
    <t xml:space="preserve"> 36.5336 </t>
  </si>
  <si>
    <t xml:space="preserve"> 3.3163 </t>
  </si>
  <si>
    <t xml:space="preserve"> 1156559.38 </t>
  </si>
  <si>
    <t xml:space="preserve"> 977012.752 </t>
  </si>
  <si>
    <t xml:space="preserve">C:\Users\andre\Desktop\REACTIV CEFAS\Testosterone\Testosterone/20201116_Cefas_Test6-Run1/Plate 1/@5/A5_01.tif </t>
  </si>
  <si>
    <t xml:space="preserve"> 41.0869 </t>
  </si>
  <si>
    <t xml:space="preserve">C:\Users\andre\Desktop\REACTIV CEFAS\Testosterone\Testosterone/20201116_Cefas_Test6-Run1/Plate 1/@5/A5_02.tif </t>
  </si>
  <si>
    <t xml:space="preserve"> 68436.9866 </t>
  </si>
  <si>
    <t xml:space="preserve"> 34.3056 </t>
  </si>
  <si>
    <t xml:space="preserve">C:\Users\andre\Desktop\REACTIV CEFAS\Testosterone\Testosterone/20201116_Cefas_Test6-Run1/Plate 1/@5/A5_03.tif </t>
  </si>
  <si>
    <t xml:space="preserve"> 73952.6097 </t>
  </si>
  <si>
    <t xml:space="preserve"> 40.7672 </t>
  </si>
  <si>
    <t xml:space="preserve">C:\Users\andre\Desktop\REACTIV CEFAS\Testosterone\Testosterone/20201116_Cefas_Test6-Run1/Plate 1/@5/B5_01.tif </t>
  </si>
  <si>
    <t xml:space="preserve"> 37376.4579 </t>
  </si>
  <si>
    <t xml:space="preserve"> 38.4977 </t>
  </si>
  <si>
    <t xml:space="preserve">C:\Users\andre\Desktop\REACTIV CEFAS\Testosterone\Testosterone/20201116_Cefas_Test6-Run1/Plate 1/@5/B5_02.tif </t>
  </si>
  <si>
    <t xml:space="preserve"> 39214.999 </t>
  </si>
  <si>
    <t xml:space="preserve"> 38.6674 </t>
  </si>
  <si>
    <t xml:space="preserve">C:\Users\andre\Desktop\REACTIV CEFAS\Testosterone\Testosterone/20201116_Cefas_Test6-Run1/Plate 1/@5/B5_03.tif </t>
  </si>
  <si>
    <t xml:space="preserve"> 44081.7253 </t>
  </si>
  <si>
    <t xml:space="preserve"> 43.5751 </t>
  </si>
  <si>
    <t xml:space="preserve">C:\Users\andre\Desktop\REACTIV CEFAS\Testosterone\Testosterone/20201116_Cefas_Test6-Run1/Plate 1/@5/C5_01.tif </t>
  </si>
  <si>
    <t xml:space="preserve"> 70491.8266 </t>
  </si>
  <si>
    <t xml:space="preserve"> 40.7389 </t>
  </si>
  <si>
    <t xml:space="preserve">C:\Users\andre\Desktop\REACTIV CEFAS\Testosterone\Testosterone/20201116_Cefas_Test6-Run1/Plate 1/@5/C5_02.tif </t>
  </si>
  <si>
    <t xml:space="preserve"> 70729.7554 </t>
  </si>
  <si>
    <t xml:space="preserve"> 41.4128 </t>
  </si>
  <si>
    <t xml:space="preserve">C:\Users\andre\Desktop\REACTIV CEFAS\Testosterone\Testosterone/20201116_Cefas_Test6-Run1/Plate 1/@5/C5_03.tif </t>
  </si>
  <si>
    <t xml:space="preserve"> 69453.5917 </t>
  </si>
  <si>
    <t xml:space="preserve"> 41.0972 </t>
  </si>
  <si>
    <t xml:space="preserve">C:\Users\andre\Desktop\REACTIV CEFAS\Testosterone\Testosterone/20201116_Cefas_Test6-Run1/Plate 1/@5/D5_01.tif </t>
  </si>
  <si>
    <t xml:space="preserve"> 56713.5837 </t>
  </si>
  <si>
    <t xml:space="preserve"> 39.7616 </t>
  </si>
  <si>
    <t xml:space="preserve">C:\Users\andre\Desktop\REACTIV CEFAS\Testosterone\Testosterone/20201116_Cefas_Test6-Run1/Plate 1/@5/D5_02.tif </t>
  </si>
  <si>
    <t xml:space="preserve"> 54572.2241 </t>
  </si>
  <si>
    <t xml:space="preserve"> 38.4308 </t>
  </si>
  <si>
    <t xml:space="preserve">C:\Users\andre\Desktop\REACTIV CEFAS\Testosterone\Testosterone/20201116_Cefas_Test6-Run1/Plate 1/@5/D5_03.tif </t>
  </si>
  <si>
    <t xml:space="preserve"> 58790.0536 </t>
  </si>
  <si>
    <t xml:space="preserve"> 39.94 </t>
  </si>
  <si>
    <t xml:space="preserve">C:\Users\andre\Desktop\REACTIV CEFAS\Testosterone\Testosterone/20201116_Cefas_Test6-Run1/Plate 1/@5/E5_01.tif </t>
  </si>
  <si>
    <t xml:space="preserve"> 58400.7155 </t>
  </si>
  <si>
    <t xml:space="preserve"> 47.9378 </t>
  </si>
  <si>
    <t xml:space="preserve">C:\Users\andre\Desktop\REACTIV CEFAS\Testosterone\Testosterone/20201116_Cefas_Test6-Run1/Plate 1/@5/E5_02.tif </t>
  </si>
  <si>
    <t xml:space="preserve"> 68047.6485 </t>
  </si>
  <si>
    <t xml:space="preserve"> 47.5842 </t>
  </si>
  <si>
    <t xml:space="preserve">C:\Users\andre\Desktop\REACTIV CEFAS\Testosterone\Testosterone/20201116_Cefas_Test6-Run1/Plate 1/@5/E5_03.tif </t>
  </si>
  <si>
    <t xml:space="preserve"> 64543.6056 </t>
  </si>
  <si>
    <t xml:space="preserve"> 46.7983 </t>
  </si>
  <si>
    <t xml:space="preserve">C:\Users\andre\Desktop\REACTIV CEFAS\Testosterone\Testosterone/20201116_Cefas_Test6-Run1/Plate 1/@5/F5_01.tif </t>
  </si>
  <si>
    <t xml:space="preserve"> 38933.8103 </t>
  </si>
  <si>
    <t xml:space="preserve"> 37.5089 </t>
  </si>
  <si>
    <t xml:space="preserve">C:\Users\andre\Desktop\REACTIV CEFAS\Testosterone\Testosterone/20201116_Cefas_Test6-Run1/Plate 1/@5/F5_02.tif </t>
  </si>
  <si>
    <t xml:space="preserve"> 39452.9278 </t>
  </si>
  <si>
    <t xml:space="preserve"> 41.0099 </t>
  </si>
  <si>
    <t xml:space="preserve">C:\Users\andre\Desktop\REACTIV CEFAS\Testosterone\Testosterone/20201116_Cefas_Test6-Run1/Plate 1/@5/F5_03.tif </t>
  </si>
  <si>
    <t xml:space="preserve"> 34002.1944 </t>
  </si>
  <si>
    <t xml:space="preserve"> 39.1972 </t>
  </si>
  <si>
    <t xml:space="preserve">C:\Users\andre\Desktop\REACTIV CEFAS\Testosterone\Testosterone/20201116_Cefas_Test6-Run1/Plate 1/@5/G5_01.tif </t>
  </si>
  <si>
    <t xml:space="preserve"> 67701.5702 </t>
  </si>
  <si>
    <t xml:space="preserve"> 41.3486 </t>
  </si>
  <si>
    <t xml:space="preserve">C:\Users\andre\Desktop\REACTIV CEFAS\Testosterone\Testosterone/20201116_Cefas_Test6-Run1/Plate 1/@5/G5_02.tif </t>
  </si>
  <si>
    <t xml:space="preserve"> 68242.3176 </t>
  </si>
  <si>
    <t xml:space="preserve"> 41.6406 </t>
  </si>
  <si>
    <t xml:space="preserve">C:\Users\andre\Desktop\REACTIV CEFAS\Testosterone\Testosterone/20201116_Cefas_Test6-Run1/Plate 1/@5/G5_03.tif </t>
  </si>
  <si>
    <t xml:space="preserve"> 61234.2317 </t>
  </si>
  <si>
    <t xml:space="preserve"> 41.3539 </t>
  </si>
  <si>
    <t xml:space="preserve">C:\Users\andre\Desktop\REACTIV CEFAS\Testosterone\Testosterone/20201116_Cefas_Test6-Run1/Plate 1/@5/H5_01.tif </t>
  </si>
  <si>
    <t xml:space="preserve"> 71075.8338 </t>
  </si>
  <si>
    <t xml:space="preserve"> 41.8561 </t>
  </si>
  <si>
    <t xml:space="preserve">C:\Users\andre\Desktop\REACTIV CEFAS\Testosterone\Testosterone/20201116_Cefas_Test6-Run1/Plate 1/@5/H5_02.tif </t>
  </si>
  <si>
    <t xml:space="preserve"> 65019.4633 </t>
  </si>
  <si>
    <t xml:space="preserve"> 42.345 </t>
  </si>
  <si>
    <t xml:space="preserve">C:\Users\andre\Desktop\REACTIV CEFAS\Testosterone\Testosterone/20201116_Cefas_Test6-Run1/Plate 1/@5/H5_03.tif </t>
  </si>
  <si>
    <t xml:space="preserve"> 59482.2102 </t>
  </si>
  <si>
    <t xml:space="preserve"> 37.6633 </t>
  </si>
  <si>
    <t xml:space="preserve">C:\Users\andre\Desktop\REACTIV CEFAS\Testosterone\Testosterone/20201116_Cefas_Test6-Run1/Plate 1/@5/ </t>
  </si>
  <si>
    <t xml:space="preserve"> 41.0219 </t>
  </si>
  <si>
    <t xml:space="preserve"> 3.1456 </t>
  </si>
  <si>
    <t xml:space="preserve"> 2431935.62 </t>
  </si>
  <si>
    <t xml:space="preserve"> 605315.057 </t>
  </si>
  <si>
    <t xml:space="preserve">C:\Users\andre\Desktop\REACTIV CEFAS\Testosterone\Testosterone/20201116_Cefas_Test6-Run1/Plate 1/@6/A6_01.tif </t>
  </si>
  <si>
    <t xml:space="preserve"> 65279.022 </t>
  </si>
  <si>
    <t xml:space="preserve"> 47.0971 </t>
  </si>
  <si>
    <t xml:space="preserve">C:\Users\andre\Desktop\REACTIV CEFAS\Testosterone\Testosterone/20201116_Cefas_Test6-Run1/Plate 1/@6/A6_02.tif </t>
  </si>
  <si>
    <t xml:space="preserve"> 67593.4207 </t>
  </si>
  <si>
    <t xml:space="preserve"> 48.3126 </t>
  </si>
  <si>
    <t xml:space="preserve">C:\Users\andre\Desktop\REACTIV CEFAS\Testosterone\Testosterone/20201116_Cefas_Test6-Run1/Plate 1/@6/A6_03.tif </t>
  </si>
  <si>
    <t xml:space="preserve"> 59633.6195 </t>
  </si>
  <si>
    <t xml:space="preserve"> 47.4868 </t>
  </si>
  <si>
    <t xml:space="preserve">C:\Users\andre\Desktop\REACTIV CEFAS\Testosterone\Testosterone/20201116_Cefas_Test6-Run1/Plate 1/@6/B6_01.tif </t>
  </si>
  <si>
    <t xml:space="preserve"> 33.135 </t>
  </si>
  <si>
    <t xml:space="preserve">C:\Users\andre\Desktop\REACTIV CEFAS\Testosterone\Testosterone/20201116_Cefas_Test6-Run1/Plate 1/@6/B6_02.tif </t>
  </si>
  <si>
    <t xml:space="preserve"> 14189.2109 </t>
  </si>
  <si>
    <t xml:space="preserve"> 38.8613 </t>
  </si>
  <si>
    <t xml:space="preserve">C:\Users\andre\Desktop\REACTIV CEFAS\Testosterone\Testosterone/20201116_Cefas_Test6-Run1/Plate 1/@6/B6_03.tif </t>
  </si>
  <si>
    <t xml:space="preserve"> 13972.9119 </t>
  </si>
  <si>
    <t xml:space="preserve"> 38.356 </t>
  </si>
  <si>
    <t xml:space="preserve">C:\Users\andre\Desktop\REACTIV CEFAS\Testosterone\Testosterone/20201116_Cefas_Test6-Run1/Plate 1/@6/C6_01.tif </t>
  </si>
  <si>
    <t xml:space="preserve"> 60628.5946 </t>
  </si>
  <si>
    <t xml:space="preserve"> 52.7039 </t>
  </si>
  <si>
    <t>C:\Users\andre\Desktop\REACTIV CEFAS\Testosterone\Testosterone/20201116_Cefas_Test6-Run1/Plate 1/@6/C6_02- exclu.tif</t>
  </si>
  <si>
    <t xml:space="preserve">C:\Users\andre\Desktop\REACTIV CEFAS\Testosterone\Testosterone/20201116_Cefas_Test6-Run1/Plate 1/@6/C6_03.tif </t>
  </si>
  <si>
    <t xml:space="preserve"> 63202.5521 </t>
  </si>
  <si>
    <t xml:space="preserve"> 49.9493 </t>
  </si>
  <si>
    <t xml:space="preserve">C:\Users\andre\Desktop\REACTIV CEFAS\Testosterone\Testosterone/20201116_Cefas_Test6-Run1/Plate 1/@6/D6_01.tif </t>
  </si>
  <si>
    <t xml:space="preserve"> 81176.9945 </t>
  </si>
  <si>
    <t xml:space="preserve"> 48.016 </t>
  </si>
  <si>
    <t xml:space="preserve">C:\Users\andre\Desktop\REACTIV CEFAS\Testosterone\Testosterone/20201116_Cefas_Test6-Run1/Plate 1/@6/D6_02.tif </t>
  </si>
  <si>
    <t xml:space="preserve"> 82885.7562 </t>
  </si>
  <si>
    <t xml:space="preserve"> 51.3578 </t>
  </si>
  <si>
    <t xml:space="preserve">C:\Users\andre\Desktop\REACTIV CEFAS\Testosterone\Testosterone/20201116_Cefas_Test6-Run1/Plate 1/@6/D6_03.tif </t>
  </si>
  <si>
    <t xml:space="preserve"> 75380.1828 </t>
  </si>
  <si>
    <t xml:space="preserve"> 47.6494 </t>
  </si>
  <si>
    <t xml:space="preserve">C:\Users\andre\Desktop\REACTIV CEFAS\Testosterone\Testosterone/20201116_Cefas_Test6-Run1/Plate 1/@6/E6_01.tif </t>
  </si>
  <si>
    <t xml:space="preserve"> 92640.8387 </t>
  </si>
  <si>
    <t xml:space="preserve"> 50.4982 </t>
  </si>
  <si>
    <t xml:space="preserve">C:\Users\andre\Desktop\REACTIV CEFAS\Testosterone\Testosterone/20201116_Cefas_Test6-Run1/Plate 1/@6/E6_02.tif </t>
  </si>
  <si>
    <t xml:space="preserve"> 99865.2235 </t>
  </si>
  <si>
    <t xml:space="preserve"> 50.3405 </t>
  </si>
  <si>
    <t xml:space="preserve">C:\Users\andre\Desktop\REACTIV CEFAS\Testosterone\Testosterone/20201116_Cefas_Test6-Run1/Plate 1/@6/E6_03.tif </t>
  </si>
  <si>
    <t xml:space="preserve"> 88574.4185 </t>
  </si>
  <si>
    <t xml:space="preserve"> 48.6369 </t>
  </si>
  <si>
    <t xml:space="preserve">C:\Users\andre\Desktop\REACTIV CEFAS\Testosterone\Testosterone/20201116_Cefas_Test6-Run1/Plate 1/@6/F6_01.tif </t>
  </si>
  <si>
    <t xml:space="preserve"> 73433.4923 </t>
  </si>
  <si>
    <t xml:space="preserve"> 44.8872 </t>
  </si>
  <si>
    <t xml:space="preserve">C:\Users\andre\Desktop\REACTIV CEFAS\Testosterone\Testosterone/20201116_Cefas_Test6-Run1/Plate 1/@6/F6_02.tif </t>
  </si>
  <si>
    <t xml:space="preserve"> 69150.7731 </t>
  </si>
  <si>
    <t xml:space="preserve"> 41.9697 </t>
  </si>
  <si>
    <t xml:space="preserve">C:\Users\andre\Desktop\REACTIV CEFAS\Testosterone\Testosterone/20201116_Cefas_Test6-Run1/Plate 1/@6/F6_03.tif </t>
  </si>
  <si>
    <t xml:space="preserve"> 69020.9938 </t>
  </si>
  <si>
    <t xml:space="preserve"> 41.4698 </t>
  </si>
  <si>
    <t>C:\Users\andre\Desktop\REACTIV CEFAS\Testosterone\Testosterone/20201116_Cefas_Test6-Run1/Plate 1/@6/G6_01- exclu.tif</t>
  </si>
  <si>
    <t>C:\Users\andre\Desktop\REACTIV CEFAS\Testosterone\Testosterone/20201116_Cefas_Test6-Run1/Plate 1/@6/G6_02- exclu.tif</t>
  </si>
  <si>
    <t>C:\Users\andre\Desktop\REACTIV CEFAS\Testosterone\Testosterone/20201116_Cefas_Test6-Run1/Plate 1/@6/G6_03- exclu.tif</t>
  </si>
  <si>
    <t xml:space="preserve">C:\Users\andre\Desktop\REACTIV CEFAS\Testosterone\Testosterone/20201116_Cefas_Test6-Run1/Plate 1/@6/H6_01.tif </t>
  </si>
  <si>
    <t xml:space="preserve"> 39323.1484 </t>
  </si>
  <si>
    <t xml:space="preserve"> 38.2525 </t>
  </si>
  <si>
    <t xml:space="preserve">C:\Users\andre\Desktop\REACTIV CEFAS\Testosterone\Testosterone/20201116_Cefas_Test6-Run1/Plate 1/@6/H6_02.tif </t>
  </si>
  <si>
    <t xml:space="preserve"> 48083.2558 </t>
  </si>
  <si>
    <t xml:space="preserve"> 37.9613 </t>
  </si>
  <si>
    <t xml:space="preserve">C:\Users\andre\Desktop\REACTIV CEFAS\Testosterone\Testosterone/20201116_Cefas_Test6-Run1/Plate 1/@6/H6_03.tif </t>
  </si>
  <si>
    <t xml:space="preserve"> 24960.8984 </t>
  </si>
  <si>
    <t xml:space="preserve"> 42.1464 </t>
  </si>
  <si>
    <t xml:space="preserve">C:\Users\andre\Desktop\REACTIV CEFAS\Testosterone\Testosterone/20201116_Cefas_Test6-Run1/Plate 1/@6/ </t>
  </si>
  <si>
    <t xml:space="preserve"> 43.5561 </t>
  </si>
  <si>
    <t xml:space="preserve"> 7.1074 </t>
  </si>
  <si>
    <t xml:space="preserve"> 2409464.88 </t>
  </si>
  <si>
    <t xml:space="preserve"> 1595160.51 </t>
  </si>
  <si>
    <t xml:space="preserve">C:\Users\andre\Desktop\REACTIV CEFAS\Testosterone\Testosterone/20201116_Cefas_Test6-Run1/Plate 1/@7/A7_01.tif </t>
  </si>
  <si>
    <t xml:space="preserve"> 76872.6455 </t>
  </si>
  <si>
    <t xml:space="preserve"> 58.3655 </t>
  </si>
  <si>
    <t xml:space="preserve">C:\Users\andre\Desktop\REACTIV CEFAS\Testosterone\Testosterone/20201116_Cefas_Test6-Run1/Plate 1/@7/A7_02.tif </t>
  </si>
  <si>
    <t xml:space="preserve"> 73563.2716 </t>
  </si>
  <si>
    <t xml:space="preserve"> 51.4699 </t>
  </si>
  <si>
    <t xml:space="preserve">C:\Users\andre\Desktop\REACTIV CEFAS\Testosterone\Testosterone/20201116_Cefas_Test6-Run1/Plate 1/@7/A7_03.tif </t>
  </si>
  <si>
    <t xml:space="preserve"> 79662.9019 </t>
  </si>
  <si>
    <t xml:space="preserve"> 52.3649 </t>
  </si>
  <si>
    <t xml:space="preserve">C:\Users\andre\Desktop\REACTIV CEFAS\Testosterone\Testosterone/20201116_Cefas_Test6-Run1/Plate 1/@7/B7_01.tif </t>
  </si>
  <si>
    <t xml:space="preserve"> 64911.3138 </t>
  </si>
  <si>
    <t xml:space="preserve"> 53.7048 </t>
  </si>
  <si>
    <t xml:space="preserve">C:\Users\andre\Desktop\REACTIV CEFAS\Testosterone\Testosterone/20201116_Cefas_Test6-Run1/Plate 1/@7/B7_02.tif </t>
  </si>
  <si>
    <t xml:space="preserve"> 67831.3496 </t>
  </si>
  <si>
    <t xml:space="preserve"> 53.6489 </t>
  </si>
  <si>
    <t xml:space="preserve">C:\Users\andre\Desktop\REACTIV CEFAS\Testosterone\Testosterone/20201116_Cefas_Test6-Run1/Plate 1/@7/B7_03.tif </t>
  </si>
  <si>
    <t xml:space="preserve"> 72438.5171 </t>
  </si>
  <si>
    <t xml:space="preserve"> 57.0911 </t>
  </si>
  <si>
    <t xml:space="preserve">C:\Users\andre\Desktop\REACTIV CEFAS\Testosterone\Testosterone/20201116_Cefas_Test6-Run1/Plate 1/@7/C7_01.tif </t>
  </si>
  <si>
    <t xml:space="preserve"> 84551.2581 </t>
  </si>
  <si>
    <t xml:space="preserve"> 62.3154 </t>
  </si>
  <si>
    <t xml:space="preserve">C:\Users\andre\Desktop\REACTIV CEFAS\Testosterone\Testosterone/20201116_Cefas_Test6-Run1/Plate 1/@7/C7_02.tif </t>
  </si>
  <si>
    <t xml:space="preserve"> 90110.141 </t>
  </si>
  <si>
    <t xml:space="preserve"> 59.2712 </t>
  </si>
  <si>
    <t xml:space="preserve">C:\Users\andre\Desktop\REACTIV CEFAS\Testosterone\Testosterone/20201116_Cefas_Test6-Run1/Plate 1/@7/C7_03.tif </t>
  </si>
  <si>
    <t xml:space="preserve"> 85438.0838 </t>
  </si>
  <si>
    <t xml:space="preserve"> 58.2729 </t>
  </si>
  <si>
    <t xml:space="preserve">C:\Users\andre\Desktop\REACTIV CEFAS\Testosterone\Testosterone/20201116_Cefas_Test6-Run1/Plate 1/@7/D7_01.tif </t>
  </si>
  <si>
    <t xml:space="preserve"> 73130.6737 </t>
  </si>
  <si>
    <t xml:space="preserve"> 55.0834 </t>
  </si>
  <si>
    <t xml:space="preserve">C:\Users\andre\Desktop\REACTIV CEFAS\Testosterone\Testosterone/20201116_Cefas_Test6-Run1/Plate 1/@7/D7_02.tif </t>
  </si>
  <si>
    <t xml:space="preserve"> 72481.7769 </t>
  </si>
  <si>
    <t xml:space="preserve"> 61.5936 </t>
  </si>
  <si>
    <t xml:space="preserve">C:\Users\andre\Desktop\REACTIV CEFAS\Testosterone\Testosterone/20201116_Cefas_Test6-Run1/Plate 1/@7/D7_03.tif </t>
  </si>
  <si>
    <t xml:space="preserve"> 70318.7874 </t>
  </si>
  <si>
    <t xml:space="preserve"> 61.2931 </t>
  </si>
  <si>
    <t>C:\Users\andre\Desktop\REACTIV CEFAS\Testosterone\Testosterone/20201116_Cefas_Test6-Run1/Plate 1/@7/E7_01- exclu.tif</t>
  </si>
  <si>
    <t xml:space="preserve">C:\Users\andre\Desktop\REACTIV CEFAS\Testosterone\Testosterone/20201116_Cefas_Test6-Run1/Plate 1/@7/E7_02.tif </t>
  </si>
  <si>
    <t xml:space="preserve"> 76267.0085 </t>
  </si>
  <si>
    <t xml:space="preserve"> 58.6653 </t>
  </si>
  <si>
    <t xml:space="preserve">C:\Users\andre\Desktop\REACTIV CEFAS\Testosterone\Testosterone/20201116_Cefas_Test6-Run1/Plate 1/@7/E7_03.tif </t>
  </si>
  <si>
    <t xml:space="preserve"> 64240.787 </t>
  </si>
  <si>
    <t xml:space="preserve"> 61.8593 </t>
  </si>
  <si>
    <t xml:space="preserve">C:\Users\andre\Desktop\REACTIV CEFAS\Testosterone\Testosterone/20201116_Cefas_Test6-Run1/Plate 1/@7/F7_01.tif </t>
  </si>
  <si>
    <t xml:space="preserve"> 79208.6741 </t>
  </si>
  <si>
    <t xml:space="preserve"> 52.3815 </t>
  </si>
  <si>
    <t xml:space="preserve">C:\Users\andre\Desktop\REACTIV CEFAS\Testosterone\Testosterone/20201116_Cefas_Test6-Run1/Plate 1/@7/F7_02.tif </t>
  </si>
  <si>
    <t xml:space="preserve"> 69669.8906 </t>
  </si>
  <si>
    <t xml:space="preserve"> 53.9618 </t>
  </si>
  <si>
    <t xml:space="preserve">C:\Users\andre\Desktop\REACTIV CEFAS\Testosterone\Testosterone/20201116_Cefas_Test6-Run1/Plate 1/@7/F7_03.tif </t>
  </si>
  <si>
    <t xml:space="preserve"> 77175.464 </t>
  </si>
  <si>
    <t xml:space="preserve"> 53.9986 </t>
  </si>
  <si>
    <t xml:space="preserve">C:\Users\andre\Desktop\REACTIV CEFAS\Testosterone\Testosterone/20201116_Cefas_Test6-Run1/Plate 1/@7/G7_01.tif </t>
  </si>
  <si>
    <t xml:space="preserve"> 88833.9772 </t>
  </si>
  <si>
    <t xml:space="preserve"> 54.5103 </t>
  </si>
  <si>
    <t xml:space="preserve">C:\Users\andre\Desktop\REACTIV CEFAS\Testosterone\Testosterone/20201116_Cefas_Test6-Run1/Plate 1/@7/G7_02.tif </t>
  </si>
  <si>
    <t xml:space="preserve"> 92727.3583 </t>
  </si>
  <si>
    <t xml:space="preserve"> 58.4616 </t>
  </si>
  <si>
    <t xml:space="preserve">C:\Users\andre\Desktop\REACTIV CEFAS\Testosterone\Testosterone/20201116_Cefas_Test6-Run1/Plate 1/@7/G7_03.tif </t>
  </si>
  <si>
    <t xml:space="preserve"> 92316.3903 </t>
  </si>
  <si>
    <t xml:space="preserve"> 58.6354 </t>
  </si>
  <si>
    <t xml:space="preserve">C:\Users\andre\Desktop\REACTIV CEFAS\Testosterone\Testosterone/20201116_Cefas_Test6-Run1/Plate 1/@7/H7_01.tif </t>
  </si>
  <si>
    <t xml:space="preserve"> 81068.8451 </t>
  </si>
  <si>
    <t xml:space="preserve"> 51.5229 </t>
  </si>
  <si>
    <t xml:space="preserve">C:\Users\andre\Desktop\REACTIV CEFAS\Testosterone\Testosterone/20201116_Cefas_Test6-Run1/Plate 1/@7/H7_02.tif </t>
  </si>
  <si>
    <t xml:space="preserve"> 49.0087 </t>
  </si>
  <si>
    <t xml:space="preserve">C:\Users\andre\Desktop\REACTIV CEFAS\Testosterone\Testosterone/20201116_Cefas_Test6-Run1/Plate 1/@7/H7_03.tif </t>
  </si>
  <si>
    <t xml:space="preserve"> 68934.4742 </t>
  </si>
  <si>
    <t xml:space="preserve"> 52.8337 </t>
  </si>
  <si>
    <t xml:space="preserve">C:\Users\andre\Desktop\REACTIV CEFAS\Testosterone\Testosterone/20201116_Cefas_Test6-Run1/Plate 1/@7/ </t>
  </si>
  <si>
    <t xml:space="preserve"> 56.2702 </t>
  </si>
  <si>
    <t xml:space="preserve"> 3.8432 </t>
  </si>
  <si>
    <t xml:space="preserve"> 4269810.62 </t>
  </si>
  <si>
    <t xml:space="preserve"> 701246.659 </t>
  </si>
  <si>
    <t xml:space="preserve">C:\Users\andre\Desktop\REACTIV CEFAS\Testosterone\Testosterone/20201116_Cefas_Test6-Run1/Plate 2/@10/A4_01.tif </t>
  </si>
  <si>
    <t xml:space="preserve"> 22127.3822 </t>
  </si>
  <si>
    <t xml:space="preserve"> 34.7967 </t>
  </si>
  <si>
    <t xml:space="preserve">C:\Users\andre\Desktop\REACTIV CEFAS\Testosterone\Testosterone/20201116_Cefas_Test6-Run1/Plate 2/@10/A4_02.tif </t>
  </si>
  <si>
    <t xml:space="preserve"> 16914.5776 </t>
  </si>
  <si>
    <t xml:space="preserve"> 33.2033 </t>
  </si>
  <si>
    <t xml:space="preserve">C:\Users\andre\Desktop\REACTIV CEFAS\Testosterone\Testosterone/20201116_Cefas_Test6-Run1/Plate 2/@10/A4_03.tif </t>
  </si>
  <si>
    <t xml:space="preserve"> 18363.7805 </t>
  </si>
  <si>
    <t xml:space="preserve"> 34.3027 </t>
  </si>
  <si>
    <t xml:space="preserve">C:\Users\andre\Desktop\REACTIV CEFAS\Testosterone\Testosterone/20201116_Cefas_Test6-Run1/Plate 2/@10/B4_01.tif </t>
  </si>
  <si>
    <t xml:space="preserve"> 23425.1759 </t>
  </si>
  <si>
    <t xml:space="preserve"> 35.8227 </t>
  </si>
  <si>
    <t xml:space="preserve">C:\Users\andre\Desktop\REACTIV CEFAS\Testosterone\Testosterone/20201116_Cefas_Test6-Run1/Plate 2/@10/B4_02.tif </t>
  </si>
  <si>
    <t xml:space="preserve"> 28573.0908 </t>
  </si>
  <si>
    <t xml:space="preserve"> 35.9871 </t>
  </si>
  <si>
    <t xml:space="preserve">C:\Users\andre\Desktop\REACTIV CEFAS\Testosterone\Testosterone/20201116_Cefas_Test6-Run1/Plate 2/@10/B4_03.tif </t>
  </si>
  <si>
    <t xml:space="preserve"> 15487.0046 </t>
  </si>
  <si>
    <t xml:space="preserve"> 34.9204 </t>
  </si>
  <si>
    <t xml:space="preserve">C:\Users\andre\Desktop\REACTIV CEFAS\Testosterone\Testosterone/20201116_Cefas_Test6-Run1/Plate 2/@10/C4_01.tif </t>
  </si>
  <si>
    <t xml:space="preserve"> 25393.4963 </t>
  </si>
  <si>
    <t xml:space="preserve"> 33.4659 </t>
  </si>
  <si>
    <t xml:space="preserve">C:\Users\andre\Desktop\REACTIV CEFAS\Testosterone\Testosterone/20201116_Cefas_Test6-Run1/Plate 2/@10/C4_02.tif </t>
  </si>
  <si>
    <t xml:space="preserve"> 35.9731 </t>
  </si>
  <si>
    <t xml:space="preserve">C:\Users\andre\Desktop\REACTIV CEFAS\Testosterone\Testosterone/20201116_Cefas_Test6-Run1/Plate 2/@10/C4_03.tif </t>
  </si>
  <si>
    <t xml:space="preserve"> 28897.5392 </t>
  </si>
  <si>
    <t xml:space="preserve"> 34.6639 </t>
  </si>
  <si>
    <t xml:space="preserve">C:\Users\andre\Desktop\REACTIV CEFAS\Testosterone\Testosterone/20201116_Cefas_Test6-Run1/Plate 2/@10/D4_01.tif </t>
  </si>
  <si>
    <t xml:space="preserve"> 44276.3943 </t>
  </si>
  <si>
    <t xml:space="preserve"> 38.9126 </t>
  </si>
  <si>
    <t xml:space="preserve">C:\Users\andre\Desktop\REACTIV CEFAS\Testosterone\Testosterone/20201116_Cefas_Test6-Run1/Plate 2/@10/D4_02.tif </t>
  </si>
  <si>
    <t xml:space="preserve"> 39734.1164 </t>
  </si>
  <si>
    <t xml:space="preserve"> 39.0381 </t>
  </si>
  <si>
    <t xml:space="preserve">C:\Users\andre\Desktop\REACTIV CEFAS\Testosterone\Testosterone/20201116_Cefas_Test6-Run1/Plate 2/@10/D4_03.tif </t>
  </si>
  <si>
    <t xml:space="preserve"> 46785.4621 </t>
  </si>
  <si>
    <t xml:space="preserve"> 41.5885 </t>
  </si>
  <si>
    <t xml:space="preserve">C:\Users\andre\Desktop\REACTIV CEFAS\Testosterone\Testosterone/20201116_Cefas_Test6-Run1/Plate 2/@10/E4_01.tif </t>
  </si>
  <si>
    <t xml:space="preserve"> 50678.8431 </t>
  </si>
  <si>
    <t xml:space="preserve"> 38.9168 </t>
  </si>
  <si>
    <t xml:space="preserve">C:\Users\andre\Desktop\REACTIV CEFAS\Testosterone\Testosterone/20201116_Cefas_Test6-Run1/Plate 2/@10/E4_02.tif </t>
  </si>
  <si>
    <t xml:space="preserve"> 48299.5547 </t>
  </si>
  <si>
    <t xml:space="preserve"> 36.6516 </t>
  </si>
  <si>
    <t xml:space="preserve">C:\Users\andre\Desktop\REACTIV CEFAS\Testosterone\Testosterone/20201116_Cefas_Test6-Run1/Plate 2/@10/E4_03.tif </t>
  </si>
  <si>
    <t xml:space="preserve"> 52149.676 </t>
  </si>
  <si>
    <t xml:space="preserve"> 38.0207 </t>
  </si>
  <si>
    <t xml:space="preserve">C:\Users\andre\Desktop\REACTIV CEFAS\Testosterone\Testosterone/20201116_Cefas_Test6-Run1/Plate 2/@10/F4_01.tif </t>
  </si>
  <si>
    <t xml:space="preserve"> 4650.4273 </t>
  </si>
  <si>
    <t xml:space="preserve"> 33.293 </t>
  </si>
  <si>
    <t xml:space="preserve">C:\Users\andre\Desktop\REACTIV CEFAS\Testosterone\Testosterone/20201116_Cefas_Test6-Run1/Plate 2/@10/F4_02.tif </t>
  </si>
  <si>
    <t xml:space="preserve"> 11009.6164 </t>
  </si>
  <si>
    <t xml:space="preserve"> 36.1749 </t>
  </si>
  <si>
    <t xml:space="preserve">C:\Users\andre\Desktop\REACTIV CEFAS\Testosterone\Testosterone/20201116_Cefas_Test6-Run1/Plate 2/@10/F4_03.tif </t>
  </si>
  <si>
    <t xml:space="preserve"> 7765.1322 </t>
  </si>
  <si>
    <t xml:space="preserve"> 33.8774 </t>
  </si>
  <si>
    <t xml:space="preserve">C:\Users\andre\Desktop\REACTIV CEFAS\Testosterone\Testosterone/20201116_Cefas_Test6-Run1/Plate 2/@10/G4_01.tif </t>
  </si>
  <si>
    <t xml:space="preserve"> 34.7553 </t>
  </si>
  <si>
    <t xml:space="preserve">C:\Users\andre\Desktop\REACTIV CEFAS\Testosterone\Testosterone/20201116_Cefas_Test6-Run1/Plate 2/@10/G4_02.tif </t>
  </si>
  <si>
    <t xml:space="preserve"> 3850.1212 </t>
  </si>
  <si>
    <t xml:space="preserve"> 31.382 </t>
  </si>
  <si>
    <t xml:space="preserve">C:\Users\andre\Desktop\REACTIV CEFAS\Testosterone\Testosterone/20201116_Cefas_Test6-Run1/Plate 2/@10/G4_03.tif </t>
  </si>
  <si>
    <t xml:space="preserve"> 1297.7937 </t>
  </si>
  <si>
    <t xml:space="preserve"> 31.3667 </t>
  </si>
  <si>
    <t xml:space="preserve">C:\Users\andre\Desktop\REACTIV CEFAS\Testosterone\Testosterone/20201116_Cefas_Test6-Run1/Plate 2/@10/H4_01.tif </t>
  </si>
  <si>
    <t xml:space="preserve"> 48169.7753 </t>
  </si>
  <si>
    <t xml:space="preserve"> 39.5599 </t>
  </si>
  <si>
    <t xml:space="preserve">C:\Users\andre\Desktop\REACTIV CEFAS\Testosterone\Testosterone/20201116_Cefas_Test6-Run1/Plate 2/@10/H4_02.tif </t>
  </si>
  <si>
    <t xml:space="preserve"> 48277.9248 </t>
  </si>
  <si>
    <t xml:space="preserve"> 39.6263 </t>
  </si>
  <si>
    <t xml:space="preserve">C:\Users\andre\Desktop\REACTIV CEFAS\Testosterone\Testosterone/20201116_Cefas_Test6-Run1/Plate 2/@10/H4_03.tif </t>
  </si>
  <si>
    <t xml:space="preserve"> 57578.7795 </t>
  </si>
  <si>
    <t xml:space="preserve"> 38.811 </t>
  </si>
  <si>
    <t xml:space="preserve">C:\Users\andre\Desktop\REACTIV CEFAS\Testosterone\Testosterone/20201116_Cefas_Test6-Run1/Plate 2/@10/ </t>
  </si>
  <si>
    <t xml:space="preserve"> 36.0463 </t>
  </si>
  <si>
    <t xml:space="preserve"> 2.7457 </t>
  </si>
  <si>
    <t xml:space="preserve"> 1084415.67 </t>
  </si>
  <si>
    <t xml:space="preserve"> 717220.135 </t>
  </si>
  <si>
    <t xml:space="preserve">C:\Users\andre\Desktop\REACTIV CEFAS\Testosterone\Testosterone/20201116_Cefas_Test6-Run1/Plate 2/@11/A5_01.tif </t>
  </si>
  <si>
    <t xml:space="preserve"> 59417.3205 </t>
  </si>
  <si>
    <t xml:space="preserve"> 38.7809 </t>
  </si>
  <si>
    <t xml:space="preserve">C:\Users\andre\Desktop\REACTIV CEFAS\Testosterone\Testosterone/20201116_Cefas_Test6-Run1/Plate 2/@11/A5_02.tif </t>
  </si>
  <si>
    <t xml:space="preserve"> 37.8749 </t>
  </si>
  <si>
    <t xml:space="preserve">C:\Users\andre\Desktop\REACTIV CEFAS\Testosterone\Testosterone/20201116_Cefas_Test6-Run1/Plate 2/@11/A5_03.tif </t>
  </si>
  <si>
    <t xml:space="preserve"> 56367.5054 </t>
  </si>
  <si>
    <t xml:space="preserve"> 37.5388 </t>
  </si>
  <si>
    <t xml:space="preserve">C:\Users\andre\Desktop\REACTIV CEFAS\Testosterone\Testosterone/20201116_Cefas_Test6-Run1/Plate 2/@11/B5_01.tif </t>
  </si>
  <si>
    <t xml:space="preserve"> 13064.4564 </t>
  </si>
  <si>
    <t xml:space="preserve"> 34.4735 </t>
  </si>
  <si>
    <t xml:space="preserve">C:\Users\andre\Desktop\REACTIV CEFAS\Testosterone\Testosterone/20201116_Cefas_Test6-Run1/Plate 2/@11/B5_02.tif </t>
  </si>
  <si>
    <t xml:space="preserve"> 12285.7801 </t>
  </si>
  <si>
    <t xml:space="preserve"> 33.213 </t>
  </si>
  <si>
    <t xml:space="preserve">C:\Users\andre\Desktop\REACTIV CEFAS\Testosterone\Testosterone/20201116_Cefas_Test6-Run1/Plate 2/@11/B5_03.tif </t>
  </si>
  <si>
    <t xml:space="preserve"> 12091.1111 </t>
  </si>
  <si>
    <t xml:space="preserve"> 33.2665 </t>
  </si>
  <si>
    <t xml:space="preserve">C:\Users\andre\Desktop\REACTIV CEFAS\Testosterone\Testosterone/20201116_Cefas_Test6-Run1/Plate 2/@11/C5_01.tif </t>
  </si>
  <si>
    <t xml:space="preserve"> 60715.1142 </t>
  </si>
  <si>
    <t xml:space="preserve"> 36.0285 </t>
  </si>
  <si>
    <t xml:space="preserve">C:\Users\andre\Desktop\REACTIV CEFAS\Testosterone\Testosterone/20201116_Cefas_Test6-Run1/Plate 2/@11/C5_02.tif </t>
  </si>
  <si>
    <t xml:space="preserve"> 58854.9433 </t>
  </si>
  <si>
    <t xml:space="preserve"> 36.4579 </t>
  </si>
  <si>
    <t xml:space="preserve">C:\Users\andre\Desktop\REACTIV CEFAS\Testosterone\Testosterone/20201116_Cefas_Test6-Run1/Plate 2/@11/C5_03.tif </t>
  </si>
  <si>
    <t xml:space="preserve"> 65798.1395 </t>
  </si>
  <si>
    <t xml:space="preserve"> 37.8153 </t>
  </si>
  <si>
    <t xml:space="preserve">C:\Users\andre\Desktop\REACTIV CEFAS\Testosterone\Testosterone/20201116_Cefas_Test6-Run1/Plate 2/@11/D5_01.tif </t>
  </si>
  <si>
    <t xml:space="preserve"> 75207.1436 </t>
  </si>
  <si>
    <t xml:space="preserve"> 45.2824 </t>
  </si>
  <si>
    <t xml:space="preserve">C:\Users\andre\Desktop\REACTIV CEFAS\Testosterone\Testosterone/20201116_Cefas_Test6-Run1/Plate 2/@11/D5_02.tif </t>
  </si>
  <si>
    <t xml:space="preserve"> 74817.8055 </t>
  </si>
  <si>
    <t xml:space="preserve"> 51.0382 </t>
  </si>
  <si>
    <t xml:space="preserve">C:\Users\andre\Desktop\REACTIV CEFAS\Testosterone\Testosterone/20201116_Cefas_Test6-Run1/Plate 2/@11/D5_03.tif </t>
  </si>
  <si>
    <t xml:space="preserve"> 77002.4249 </t>
  </si>
  <si>
    <t xml:space="preserve"> 50.2691 </t>
  </si>
  <si>
    <t xml:space="preserve">C:\Users\andre\Desktop\REACTIV CEFAS\Testosterone\Testosterone/20201116_Cefas_Test6-Run1/Plate 2/@11/E5_01.tif </t>
  </si>
  <si>
    <t xml:space="preserve"> 35775.8457 </t>
  </si>
  <si>
    <t xml:space="preserve"> 34.893 </t>
  </si>
  <si>
    <t xml:space="preserve">C:\Users\andre\Desktop\REACTIV CEFAS\Testosterone\Testosterone/20201116_Cefas_Test6-Run1/Plate 2/@11/E5_02.tif </t>
  </si>
  <si>
    <t xml:space="preserve"> 39409.668 </t>
  </si>
  <si>
    <t xml:space="preserve"> 34.6021 </t>
  </si>
  <si>
    <t xml:space="preserve">C:\Users\andre\Desktop\REACTIV CEFAS\Testosterone\Testosterone/20201116_Cefas_Test6-Run1/Plate 2/@11/E5_03.tif </t>
  </si>
  <si>
    <t xml:space="preserve"> 40880.5008 </t>
  </si>
  <si>
    <t xml:space="preserve"> 35.3709 </t>
  </si>
  <si>
    <t xml:space="preserve">C:\Users\andre\Desktop\REACTIV CEFAS\Testosterone\Testosterone/20201116_Cefas_Test6-Run1/Plate 2/@11/F5_01.tif </t>
  </si>
  <si>
    <t xml:space="preserve"> 83686.0623 </t>
  </si>
  <si>
    <t xml:space="preserve"> 46.7493 </t>
  </si>
  <si>
    <t xml:space="preserve">C:\Users\andre\Desktop\REACTIV CEFAS\Testosterone\Testosterone/20201116_Cefas_Test6-Run1/Plate 2/@11/F5_02.tif </t>
  </si>
  <si>
    <t xml:space="preserve"> 83729.3221 </t>
  </si>
  <si>
    <t xml:space="preserve"> 46.4231 </t>
  </si>
  <si>
    <t xml:space="preserve">C:\Users\andre\Desktop\REACTIV CEFAS\Testosterone\Testosterone/20201116_Cefas_Test6-Run1/Plate 2/@11/F5_03.tif </t>
  </si>
  <si>
    <t xml:space="preserve"> 83513.0232 </t>
  </si>
  <si>
    <t xml:space="preserve"> 46.4574 </t>
  </si>
  <si>
    <t xml:space="preserve">C:\Users\andre\Desktop\REACTIV CEFAS\Testosterone\Testosterone/20201116_Cefas_Test6-Run1/Plate 2/@11/G5_01.tif </t>
  </si>
  <si>
    <t xml:space="preserve"> 4499.0181 </t>
  </si>
  <si>
    <t xml:space="preserve"> 40.5577 </t>
  </si>
  <si>
    <t>C:\Users\andre\Desktop\REACTIV CEFAS\Testosterone\Testosterone/20201116_Cefas_Test6-Run1/Plate 2/@11/G5_02- exclu.tif</t>
  </si>
  <si>
    <t>C:\Users\andre\Desktop\REACTIV CEFAS\Testosterone\Testosterone/20201116_Cefas_Test6-Run1/Plate 2/@11/G5_03- exclu.tif</t>
  </si>
  <si>
    <t xml:space="preserve">C:\Users\andre\Desktop\REACTIV CEFAS\Testosterone\Testosterone/20201116_Cefas_Test6-Run1/Plate 2/@11/H5_01.tif </t>
  </si>
  <si>
    <t xml:space="preserve"> 42199.9244 </t>
  </si>
  <si>
    <t xml:space="preserve"> 36.0097 </t>
  </si>
  <si>
    <t xml:space="preserve">C:\Users\andre\Desktop\REACTIV CEFAS\Testosterone\Testosterone/20201116_Cefas_Test6-Run1/Plate 2/@11/H5_02.tif </t>
  </si>
  <si>
    <t xml:space="preserve"> 50981.6616 </t>
  </si>
  <si>
    <t xml:space="preserve"> 39.2367 </t>
  </si>
  <si>
    <t xml:space="preserve">C:\Users\andre\Desktop\REACTIV CEFAS\Testosterone\Testosterone/20201116_Cefas_Test6-Run1/Plate 2/@11/H5_03.tif </t>
  </si>
  <si>
    <t xml:space="preserve"> 43995.2057 </t>
  </si>
  <si>
    <t xml:space="preserve"> 35.5934 </t>
  </si>
  <si>
    <t xml:space="preserve">C:\Users\andre\Desktop\REACTIV CEFAS\Testosterone\Testosterone/20201116_Cefas_Test6-Run1/Plate 2/@11/ </t>
  </si>
  <si>
    <t xml:space="preserve"> 39.156 </t>
  </si>
  <si>
    <t xml:space="preserve"> 5.4604 </t>
  </si>
  <si>
    <t xml:space="preserve"> 1978133.21 </t>
  </si>
  <si>
    <t xml:space="preserve"> 1282271.03 </t>
  </si>
  <si>
    <t xml:space="preserve">C:\Users\andre\Desktop\REACTIV CEFAS\Testosterone\Testosterone/20201116_Cefas_Test6-Run1/Plate 2/@12/A6_01.tif </t>
  </si>
  <si>
    <t xml:space="preserve"> 32401.5822 </t>
  </si>
  <si>
    <t xml:space="preserve"> 36.723 </t>
  </si>
  <si>
    <t xml:space="preserve">C:\Users\andre\Desktop\REACTIV CEFAS\Testosterone\Testosterone/20201116_Cefas_Test6-Run1/Plate 2/@12/A6_02.tif </t>
  </si>
  <si>
    <t xml:space="preserve"> 38393.063 </t>
  </si>
  <si>
    <t xml:space="preserve"> 37.191 </t>
  </si>
  <si>
    <t xml:space="preserve">C:\Users\andre\Desktop\REACTIV CEFAS\Testosterone\Testosterone/20201116_Cefas_Test6-Run1/Plate 2/@12/A6_03.tif </t>
  </si>
  <si>
    <t xml:space="preserve"> 44579.2128 </t>
  </si>
  <si>
    <t xml:space="preserve"> 38.7166 </t>
  </si>
  <si>
    <t>C:\Users\andre\Desktop\REACTIV CEFAS\Testosterone\Testosterone/20201116_Cefas_Test6-Run1/Plate 2/@12/B6_01- exclu.tif</t>
  </si>
  <si>
    <t xml:space="preserve">C:\Users\andre\Desktop\REACTIV CEFAS\Testosterone\Testosterone/20201116_Cefas_Test6-Run1/Plate 2/@12/B6_02.tif </t>
  </si>
  <si>
    <t xml:space="preserve"> 63635.15 </t>
  </si>
  <si>
    <t xml:space="preserve"> 43.0666 </t>
  </si>
  <si>
    <t>C:\Users\andre\Desktop\REACTIV CEFAS\Testosterone\Testosterone/20201116_Cefas_Test6-Run1/Plate 2/@12/B6_03- exclu.tif</t>
  </si>
  <si>
    <t>C:\Users\andre\Desktop\REACTIV CEFAS\Testosterone\Testosterone/20201116_Cefas_Test6-Run1/Plate 2/@12/C6_01- exclu.tif</t>
  </si>
  <si>
    <t>C:\Users\andre\Desktop\REACTIV CEFAS\Testosterone\Testosterone/20201116_Cefas_Test6-Run1/Plate 2/@12/C6_02- exclu.tif</t>
  </si>
  <si>
    <t>C:\Users\andre\Desktop\REACTIV CEFAS\Testosterone\Testosterone/20201116_Cefas_Test6-Run1/Plate 2/@12/C6_03- exclu.tif</t>
  </si>
  <si>
    <t xml:space="preserve">C:\Users\andre\Desktop\REACTIV CEFAS\Testosterone\Testosterone/20201116_Cefas_Test6-Run1/Plate 2/@12/D6_01.tif </t>
  </si>
  <si>
    <t xml:space="preserve"> 66901.2641 </t>
  </si>
  <si>
    <t xml:space="preserve"> 44.2548 </t>
  </si>
  <si>
    <t xml:space="preserve">C:\Users\andre\Desktop\REACTIV CEFAS\Testosterone\Testosterone/20201116_Cefas_Test6-Run1/Plate 2/@12/D6_02.tif </t>
  </si>
  <si>
    <t xml:space="preserve"> 70708.1255 </t>
  </si>
  <si>
    <t xml:space="preserve"> 44.8715 </t>
  </si>
  <si>
    <t xml:space="preserve">C:\Users\andre\Desktop\REACTIV CEFAS\Testosterone\Testosterone/20201116_Cefas_Test6-Run1/Plate 2/@12/D6_03.tif </t>
  </si>
  <si>
    <t xml:space="preserve"> 64738.2746 </t>
  </si>
  <si>
    <t xml:space="preserve"> 46.2192 </t>
  </si>
  <si>
    <t xml:space="preserve">C:\Users\andre\Desktop\REACTIV CEFAS\Testosterone\Testosterone/20201116_Cefas_Test6-Run1/Plate 2/@12/E6_01.tif </t>
  </si>
  <si>
    <t xml:space="preserve"> 35040.4293 </t>
  </si>
  <si>
    <t xml:space="preserve"> 40.2679 </t>
  </si>
  <si>
    <t xml:space="preserve">C:\Users\andre\Desktop\REACTIV CEFAS\Testosterone\Testosterone/20201116_Cefas_Test6-Run1/Plate 2/@12/E6_02.tif </t>
  </si>
  <si>
    <t xml:space="preserve"> 39625.967 </t>
  </si>
  <si>
    <t xml:space="preserve"> 42.5246 </t>
  </si>
  <si>
    <t xml:space="preserve">C:\Users\andre\Desktop\REACTIV CEFAS\Testosterone\Testosterone/20201116_Cefas_Test6-Run1/Plate 2/@12/E6_03.tif </t>
  </si>
  <si>
    <t xml:space="preserve"> 38349.8032 </t>
  </si>
  <si>
    <t xml:space="preserve"> 42.6808 </t>
  </si>
  <si>
    <t xml:space="preserve">C:\Users\andre\Desktop\REACTIV CEFAS\Testosterone\Testosterone/20201116_Cefas_Test6-Run1/Plate 2/@12/F6_01.tif </t>
  </si>
  <si>
    <t xml:space="preserve"> 76786.1259 </t>
  </si>
  <si>
    <t xml:space="preserve"> 42.9186 </t>
  </si>
  <si>
    <t xml:space="preserve">C:\Users\andre\Desktop\REACTIV CEFAS\Testosterone\Testosterone/20201116_Cefas_Test6-Run1/Plate 2/@12/F6_02.tif </t>
  </si>
  <si>
    <t xml:space="preserve"> 73087.414 </t>
  </si>
  <si>
    <t xml:space="preserve"> 44.8659 </t>
  </si>
  <si>
    <t xml:space="preserve">C:\Users\andre\Desktop\REACTIV CEFAS\Testosterone\Testosterone/20201116_Cefas_Test6-Run1/Plate 2/@12/F6_03.tif </t>
  </si>
  <si>
    <t xml:space="preserve"> 73520.0118 </t>
  </si>
  <si>
    <t xml:space="preserve"> 48.406 </t>
  </si>
  <si>
    <t xml:space="preserve">C:\Users\andre\Desktop\REACTIV CEFAS\Testosterone\Testosterone/20201116_Cefas_Test6-Run1/Plate 2/@12/G6_01.tif </t>
  </si>
  <si>
    <t xml:space="preserve"> 49186.3804 </t>
  </si>
  <si>
    <t xml:space="preserve"> 42.8562 </t>
  </si>
  <si>
    <t xml:space="preserve">C:\Users\andre\Desktop\REACTIV CEFAS\Testosterone\Testosterone/20201116_Cefas_Test6-Run1/Plate 2/@12/G6_02.tif </t>
  </si>
  <si>
    <t xml:space="preserve"> 56756.8435 </t>
  </si>
  <si>
    <t xml:space="preserve"> 45.3476 </t>
  </si>
  <si>
    <t xml:space="preserve">C:\Users\andre\Desktop\REACTIV CEFAS\Testosterone\Testosterone/20201116_Cefas_Test6-Run1/Plate 2/@12/G6_03.tif </t>
  </si>
  <si>
    <t xml:space="preserve"> 55978.1673 </t>
  </si>
  <si>
    <t xml:space="preserve"> 45.6549 </t>
  </si>
  <si>
    <t xml:space="preserve">C:\Users\andre\Desktop\REACTIV CEFAS\Testosterone\Testosterone/20201116_Cefas_Test6-Run1/Plate 2/@12/H6_01.tif </t>
  </si>
  <si>
    <t xml:space="preserve"> 77802.731 </t>
  </si>
  <si>
    <t xml:space="preserve"> 41.8827 </t>
  </si>
  <si>
    <t xml:space="preserve">C:\Users\andre\Desktop\REACTIV CEFAS\Testosterone\Testosterone/20201116_Cefas_Test6-Run1/Plate 2/@12/H6_02.tif </t>
  </si>
  <si>
    <t xml:space="preserve"> 83923.9912 </t>
  </si>
  <si>
    <t xml:space="preserve"> 45.3768 </t>
  </si>
  <si>
    <t xml:space="preserve">C:\Users\andre\Desktop\REACTIV CEFAS\Testosterone\Testosterone/20201116_Cefas_Test6-Run1/Plate 2/@12/H6_03.tif </t>
  </si>
  <si>
    <t xml:space="preserve"> 84118.6602 </t>
  </si>
  <si>
    <t xml:space="preserve"> 43.3942 </t>
  </si>
  <si>
    <t xml:space="preserve">C:\Users\andre\Desktop\REACTIV CEFAS\Testosterone\Testosterone/20201116_Cefas_Test6-Run1/Plate 2/@12/ </t>
  </si>
  <si>
    <t xml:space="preserve"> 43.0504 </t>
  </si>
  <si>
    <t xml:space="preserve"> 3.8745 </t>
  </si>
  <si>
    <t xml:space="preserve"> 2392916.12 </t>
  </si>
  <si>
    <t xml:space="preserve"> 931215.192 </t>
  </si>
  <si>
    <t xml:space="preserve">C:\Users\andre\Desktop\REACTIV CEFAS\Testosterone\Testosterone/20201116_Cefas_Test6-Run1/Plate 2/@17/A8_01.tif </t>
  </si>
  <si>
    <t xml:space="preserve"> 64111.0077 </t>
  </si>
  <si>
    <t xml:space="preserve"> 38.8428 </t>
  </si>
  <si>
    <t xml:space="preserve">C:\Users\andre\Desktop\REACTIV CEFAS\Testosterone\Testosterone/20201116_Cefas_Test6-Run1/Plate 2/@17/A8_02.tif </t>
  </si>
  <si>
    <t xml:space="preserve"> 58011.3774 </t>
  </si>
  <si>
    <t xml:space="preserve"> 39.1342 </t>
  </si>
  <si>
    <t xml:space="preserve">C:\Users\andre\Desktop\REACTIV CEFAS\Testosterone\Testosterone/20201116_Cefas_Test6-Run1/Plate 2/@17/A8_03.tif </t>
  </si>
  <si>
    <t xml:space="preserve"> 69302.1824 </t>
  </si>
  <si>
    <t xml:space="preserve"> 40.9766 </t>
  </si>
  <si>
    <t xml:space="preserve">C:\Users\andre\Desktop\REACTIV CEFAS\Testosterone\Testosterone/20201116_Cefas_Test6-Run1/Plate 2/@17/B8_01.tif </t>
  </si>
  <si>
    <t xml:space="preserve"> 68307.2072 </t>
  </si>
  <si>
    <t xml:space="preserve"> 41.4037 </t>
  </si>
  <si>
    <t xml:space="preserve">C:\Users\andre\Desktop\REACTIV CEFAS\Testosterone\Testosterone/20201116_Cefas_Test6-Run1/Plate 2/@17/B8_02.tif </t>
  </si>
  <si>
    <t xml:space="preserve"> 68826.3247 </t>
  </si>
  <si>
    <t xml:space="preserve"> 39.9239 </t>
  </si>
  <si>
    <t xml:space="preserve">C:\Users\andre\Desktop\REACTIV CEFAS\Testosterone\Testosterone/20201116_Cefas_Test6-Run1/Plate 2/@17/B8_03.tif </t>
  </si>
  <si>
    <t xml:space="preserve"> 64868.054 </t>
  </si>
  <si>
    <t xml:space="preserve"> 40.9697 </t>
  </si>
  <si>
    <t xml:space="preserve">C:\Users\andre\Desktop\REACTIV CEFAS\Testosterone\Testosterone/20201116_Cefas_Test6-Run1/Plate 2/@17/C8_01.tif </t>
  </si>
  <si>
    <t xml:space="preserve"> 13583.5738 </t>
  </si>
  <si>
    <t xml:space="preserve"> 37.0446 </t>
  </si>
  <si>
    <t xml:space="preserve">C:\Users\andre\Desktop\REACTIV CEFAS\Testosterone\Testosterone/20201116_Cefas_Test6-Run1/Plate 2/@17/C8_02.tif </t>
  </si>
  <si>
    <t xml:space="preserve"> 15703.3035 </t>
  </si>
  <si>
    <t xml:space="preserve"> 39.6336 </t>
  </si>
  <si>
    <t xml:space="preserve">C:\Users\andre\Desktop\REACTIV CEFAS\Testosterone\Testosterone/20201116_Cefas_Test6-Run1/Plate 2/@17/C8_03.tif </t>
  </si>
  <si>
    <t xml:space="preserve"> 16027.7519 </t>
  </si>
  <si>
    <t xml:space="preserve"> 38.8381 </t>
  </si>
  <si>
    <t xml:space="preserve">C:\Users\andre\Desktop\REACTIV CEFAS\Testosterone\Testosterone/20201116_Cefas_Test6-Run1/Plate 2/@17/D8_01.tif </t>
  </si>
  <si>
    <t xml:space="preserve"> 53166.281 </t>
  </si>
  <si>
    <t xml:space="preserve"> 37.0008 </t>
  </si>
  <si>
    <t xml:space="preserve">C:\Users\andre\Desktop\REACTIV CEFAS\Testosterone\Testosterone/20201116_Cefas_Test6-Run1/Plate 2/@17/D8_02.tif </t>
  </si>
  <si>
    <t xml:space="preserve"> 53469.0995 </t>
  </si>
  <si>
    <t xml:space="preserve"> 37.968 </t>
  </si>
  <si>
    <t xml:space="preserve">C:\Users\andre\Desktop\REACTIV CEFAS\Testosterone\Testosterone/20201116_Cefas_Test6-Run1/Plate 2/@17/D8_03.tif </t>
  </si>
  <si>
    <t xml:space="preserve"> 52495.7543 </t>
  </si>
  <si>
    <t xml:space="preserve"> 37.5286 </t>
  </si>
  <si>
    <t xml:space="preserve">C:\Users\andre\Desktop\REACTIV CEFAS\Testosterone\Testosterone/20201116_Cefas_Test6-Run1/Plate 2/@17/E8_01.tif </t>
  </si>
  <si>
    <t xml:space="preserve"> 34.7434 </t>
  </si>
  <si>
    <t xml:space="preserve">C:\Users\andre\Desktop\REACTIV CEFAS\Testosterone\Testosterone/20201116_Cefas_Test6-Run1/Plate 2/@17/E8_02.tif </t>
  </si>
  <si>
    <t xml:space="preserve"> 3871.7511 </t>
  </si>
  <si>
    <t xml:space="preserve"> 33.5251 </t>
  </si>
  <si>
    <t xml:space="preserve">C:\Users\andre\Desktop\REACTIV CEFAS\Testosterone\Testosterone/20201116_Cefas_Test6-Run1/Plate 2/@17/E8_03.tif </t>
  </si>
  <si>
    <t xml:space="preserve"> 35.0641 </t>
  </si>
  <si>
    <t xml:space="preserve">C:\Users\andre\Desktop\REACTIV CEFAS\Testosterone\Testosterone/20201116_Cefas_Test6-Run1/Plate 2/@17/F8_01.tif </t>
  </si>
  <si>
    <t xml:space="preserve"> 10685.1679 </t>
  </si>
  <si>
    <t xml:space="preserve"> 32.7085 </t>
  </si>
  <si>
    <t xml:space="preserve">C:\Users\andre\Desktop\REACTIV CEFAS\Testosterone\Testosterone/20201116_Cefas_Test6-Run1/Plate 2/@17/F8_02.tif </t>
  </si>
  <si>
    <t xml:space="preserve"> 18320.5208 </t>
  </si>
  <si>
    <t xml:space="preserve"> 34.1724 </t>
  </si>
  <si>
    <t xml:space="preserve">C:\Users\andre\Desktop\REACTIV CEFAS\Testosterone\Testosterone/20201116_Cefas_Test6-Run1/Plate 2/@17/F8_03.tif </t>
  </si>
  <si>
    <t xml:space="preserve"> 7613.7229 </t>
  </si>
  <si>
    <t xml:space="preserve"> 33.483 </t>
  </si>
  <si>
    <t xml:space="preserve">C:\Users\andre\Desktop\REACTIV CEFAS\Testosterone\Testosterone/20201116_Cefas_Test6-Run1/Plate 2/@17/G8_01.tif </t>
  </si>
  <si>
    <t xml:space="preserve"> 14859.7376 </t>
  </si>
  <si>
    <t xml:space="preserve"> 37.5531 </t>
  </si>
  <si>
    <t xml:space="preserve">C:\Users\andre\Desktop\REACTIV CEFAS\Testosterone\Testosterone/20201116_Cefas_Test6-Run1/Plate 2/@17/G8_02.tif </t>
  </si>
  <si>
    <t xml:space="preserve"> 9214.3351 </t>
  </si>
  <si>
    <t xml:space="preserve"> 34.5751 </t>
  </si>
  <si>
    <t xml:space="preserve">C:\Users\andre\Desktop\REACTIV CEFAS\Testosterone\Testosterone/20201116_Cefas_Test6-Run1/Plate 2/@17/G8_03.tif </t>
  </si>
  <si>
    <t xml:space="preserve"> 12891.4172 </t>
  </si>
  <si>
    <t xml:space="preserve"> 35.0789 </t>
  </si>
  <si>
    <t xml:space="preserve">C:\Users\andre\Desktop\REACTIV CEFAS\Testosterone\Testosterone/20201116_Cefas_Test6-Run1/Plate 2/@17/H8_01.tif </t>
  </si>
  <si>
    <t xml:space="preserve"> 31233.5678 </t>
  </si>
  <si>
    <t xml:space="preserve"> 36.5436 </t>
  </si>
  <si>
    <t xml:space="preserve">C:\Users\andre\Desktop\REACTIV CEFAS\Testosterone\Testosterone/20201116_Cefas_Test6-Run1/Plate 2/@17/H8_02.tif </t>
  </si>
  <si>
    <t xml:space="preserve"> 29070.5784 </t>
  </si>
  <si>
    <t xml:space="preserve"> 35.6324 </t>
  </si>
  <si>
    <t xml:space="preserve">C:\Users\andre\Desktop\REACTIV CEFAS\Testosterone\Testosterone/20201116_Cefas_Test6-Run1/Plate 2/@17/H8_03.tif </t>
  </si>
  <si>
    <t xml:space="preserve"> 20634.9195 </t>
  </si>
  <si>
    <t xml:space="preserve"> 34.3166 </t>
  </si>
  <si>
    <t xml:space="preserve">C:\Users\andre\Desktop\REACTIV CEFAS\Testosterone\Testosterone/20201116_Cefas_Test6-Run1/Plate 2/@17/ </t>
  </si>
  <si>
    <t xml:space="preserve"> 36.9442 </t>
  </si>
  <si>
    <t xml:space="preserve"> 2.6191 </t>
  </si>
  <si>
    <t xml:space="preserve"> 1223181.46 </t>
  </si>
  <si>
    <t xml:space="preserve"> 1003073.04 </t>
  </si>
  <si>
    <t xml:space="preserve">C:\Users\andre\Desktop\REACTIV CEFAS\Testosterone\Testosterone/20201116_Cefas_Test6-Run1/Plate 2/@18/A9_01.tif </t>
  </si>
  <si>
    <t xml:space="preserve"> 67571.7908 </t>
  </si>
  <si>
    <t xml:space="preserve"> 40.6761 </t>
  </si>
  <si>
    <t xml:space="preserve">C:\Users\andre\Desktop\REACTIV CEFAS\Testosterone\Testosterone/20201116_Cefas_Test6-Run1/Plate 2/@18/A9_02.tif </t>
  </si>
  <si>
    <t xml:space="preserve"> 54528.9644 </t>
  </si>
  <si>
    <t xml:space="preserve"> 37.4189 </t>
  </si>
  <si>
    <t xml:space="preserve">C:\Users\andre\Desktop\REACTIV CEFAS\Testosterone\Testosterone/20201116_Cefas_Test6-Run1/Plate 2/@18/A9_03.tif </t>
  </si>
  <si>
    <t xml:space="preserve"> 55891.6477 </t>
  </si>
  <si>
    <t xml:space="preserve"> 35.7384 </t>
  </si>
  <si>
    <t xml:space="preserve">C:\Users\andre\Desktop\REACTIV CEFAS\Testosterone\Testosterone/20201116_Cefas_Test6-Run1/Plate 2/@18/B9_01.tif </t>
  </si>
  <si>
    <t xml:space="preserve"> 34305.0129 </t>
  </si>
  <si>
    <t xml:space="preserve"> 34.2364 </t>
  </si>
  <si>
    <t xml:space="preserve">C:\Users\andre\Desktop\REACTIV CEFAS\Testosterone\Testosterone/20201116_Cefas_Test6-Run1/Plate 2/@18/B9_02.tif </t>
  </si>
  <si>
    <t xml:space="preserve"> 46936.8713 </t>
  </si>
  <si>
    <t xml:space="preserve"> 35.8908 </t>
  </si>
  <si>
    <t xml:space="preserve">C:\Users\andre\Desktop\REACTIV CEFAS\Testosterone\Testosterone/20201116_Cefas_Test6-Run1/Plate 2/@18/B9_03.tif </t>
  </si>
  <si>
    <t xml:space="preserve"> 33980.5645 </t>
  </si>
  <si>
    <t xml:space="preserve"> 33.5143 </t>
  </si>
  <si>
    <t xml:space="preserve">C:\Users\andre\Desktop\REACTIV CEFAS\Testosterone\Testosterone/20201116_Cefas_Test6-Run1/Plate 2/@18/C9_01.tif </t>
  </si>
  <si>
    <t xml:space="preserve"> 53425.8397 </t>
  </si>
  <si>
    <t xml:space="preserve"> 40.517 </t>
  </si>
  <si>
    <t xml:space="preserve">C:\Users\andre\Desktop\REACTIV CEFAS\Testosterone\Testosterone/20201116_Cefas_Test6-Run1/Plate 2/@18/C9_02.tif </t>
  </si>
  <si>
    <t xml:space="preserve"> 45877.0065 </t>
  </si>
  <si>
    <t xml:space="preserve"> 38.1924 </t>
  </si>
  <si>
    <t xml:space="preserve">C:\Users\andre\Desktop\REACTIV CEFAS\Testosterone\Testosterone/20201116_Cefas_Test6-Run1/Plate 2/@18/C9_03.tif </t>
  </si>
  <si>
    <t xml:space="preserve"> 49056.601 </t>
  </si>
  <si>
    <t xml:space="preserve"> 40.9656 </t>
  </si>
  <si>
    <t xml:space="preserve">C:\Users\andre\Desktop\REACTIV CEFAS\Testosterone\Testosterone/20201116_Cefas_Test6-Run1/Plate 2/@18/D9_01.tif </t>
  </si>
  <si>
    <t xml:space="preserve"> 62899.7336 </t>
  </si>
  <si>
    <t xml:space="preserve"> 43.8841 </t>
  </si>
  <si>
    <t xml:space="preserve">C:\Users\andre\Desktop\REACTIV CEFAS\Testosterone\Testosterone/20201116_Cefas_Test6-Run1/Plate 2/@18/D9_02.tif </t>
  </si>
  <si>
    <t xml:space="preserve"> 68610.0258 </t>
  </si>
  <si>
    <t xml:space="preserve"> 43.3367 </t>
  </si>
  <si>
    <t xml:space="preserve">C:\Users\andre\Desktop\REACTIV CEFAS\Testosterone\Testosterone/20201116_Cefas_Test6-Run1/Plate 2/@18/D9_03.tif </t>
  </si>
  <si>
    <t xml:space="preserve"> 71227.243 </t>
  </si>
  <si>
    <t xml:space="preserve"> 42.5342 </t>
  </si>
  <si>
    <t xml:space="preserve">C:\Users\andre\Desktop\REACTIV CEFAS\Testosterone\Testosterone/20201116_Cefas_Test6-Run1/Plate 2/@18/E9_01.tif </t>
  </si>
  <si>
    <t xml:space="preserve"> 55437.4199 </t>
  </si>
  <si>
    <t xml:space="preserve"> 45.8498 </t>
  </si>
  <si>
    <t xml:space="preserve">C:\Users\andre\Desktop\REACTIV CEFAS\Testosterone\Testosterone/20201116_Cefas_Test6-Run1/Plate 2/@18/E9_02.tif </t>
  </si>
  <si>
    <t xml:space="preserve"> 59049.6123 </t>
  </si>
  <si>
    <t xml:space="preserve"> 46.0451 </t>
  </si>
  <si>
    <t xml:space="preserve">C:\Users\andre\Desktop\REACTIV CEFAS\Testosterone\Testosterone/20201116_Cefas_Test6-Run1/Plate 2/@18/E9_03.tif </t>
  </si>
  <si>
    <t xml:space="preserve"> 56497.2848 </t>
  </si>
  <si>
    <t xml:space="preserve"> 46.8832 </t>
  </si>
  <si>
    <t xml:space="preserve">C:\Users\andre\Desktop\REACTIV CEFAS\Testosterone\Testosterone/20201116_Cefas_Test6-Run1/Plate 2/@18/F9_01.tif </t>
  </si>
  <si>
    <t xml:space="preserve"> 58984.7227 </t>
  </si>
  <si>
    <t xml:space="preserve"> 46.2772 </t>
  </si>
  <si>
    <t xml:space="preserve">C:\Users\andre\Desktop\REACTIV CEFAS\Testosterone\Testosterone/20201116_Cefas_Test6-Run1/Plate 2/@18/F9_02.tif </t>
  </si>
  <si>
    <t xml:space="preserve"> 46.8441 </t>
  </si>
  <si>
    <t xml:space="preserve">C:\Users\andre\Desktop\REACTIV CEFAS\Testosterone\Testosterone/20201116_Cefas_Test6-Run1/Plate 2/@18/F9_03.tif </t>
  </si>
  <si>
    <t xml:space="preserve"> 54355.9252 </t>
  </si>
  <si>
    <t xml:space="preserve"> 44.5897 </t>
  </si>
  <si>
    <t xml:space="preserve">C:\Users\andre\Desktop\REACTIV CEFAS\Testosterone\Testosterone/20201116_Cefas_Test6-Run1/Plate 2/@18/G9_01.tif </t>
  </si>
  <si>
    <t xml:space="preserve"> 39171.7392 </t>
  </si>
  <si>
    <t xml:space="preserve"> 35.7294 </t>
  </si>
  <si>
    <t xml:space="preserve">C:\Users\andre\Desktop\REACTIV CEFAS\Testosterone\Testosterone/20201116_Cefas_Test6-Run1/Plate 2/@18/G9_02.tif </t>
  </si>
  <si>
    <t xml:space="preserve"> 30952.3792 </t>
  </si>
  <si>
    <t xml:space="preserve"> 35.6548 </t>
  </si>
  <si>
    <t xml:space="preserve">C:\Users\andre\Desktop\REACTIV CEFAS\Testosterone\Testosterone/20201116_Cefas_Test6-Run1/Plate 2/@18/G9_03.tif </t>
  </si>
  <si>
    <t xml:space="preserve"> 33526.3367 </t>
  </si>
  <si>
    <t xml:space="preserve"> 36.3865 </t>
  </si>
  <si>
    <t xml:space="preserve">C:\Users\andre\Desktop\REACTIV CEFAS\Testosterone\Testosterone/20201116_Cefas_Test6-Run1/Plate 2/@18/H9_01.tif </t>
  </si>
  <si>
    <t xml:space="preserve"> 2141.3596 </t>
  </si>
  <si>
    <t xml:space="preserve"> 31.1919 </t>
  </si>
  <si>
    <t xml:space="preserve">C:\Users\andre\Desktop\REACTIV CEFAS\Testosterone\Testosterone/20201116_Cefas_Test6-Run1/Plate 2/@18/H9_02.tif </t>
  </si>
  <si>
    <t xml:space="preserve"> 33.3684 </t>
  </si>
  <si>
    <t xml:space="preserve">C:\Users\andre\Desktop\REACTIV CEFAS\Testosterone\Testosterone/20201116_Cefas_Test6-Run1/Plate 2/@18/H9_03.tif </t>
  </si>
  <si>
    <t xml:space="preserve"> 14838.1077 </t>
  </si>
  <si>
    <t xml:space="preserve"> 34.1851 </t>
  </si>
  <si>
    <t xml:space="preserve">C:\Users\andre\Desktop\REACTIV CEFAS\Testosterone\Testosterone/20201116_Cefas_Test6-Run1/Plate 2/@18/ </t>
  </si>
  <si>
    <t xml:space="preserve"> 39.5796 </t>
  </si>
  <si>
    <t xml:space="preserve"> 5.0274 </t>
  </si>
  <si>
    <t xml:space="preserve"> 1923027.42 </t>
  </si>
  <si>
    <t xml:space="preserve"> 888139.654 </t>
  </si>
  <si>
    <t xml:space="preserve">C:\Users\andre\Desktop\REACTIV CEFAS\Testosterone\Testosterone/20201116_Cefas_Test6-Run1/Plate 2/@19/A10_01.tif </t>
  </si>
  <si>
    <t xml:space="preserve"> 35754.2158 </t>
  </si>
  <si>
    <t xml:space="preserve"> 37.7925 </t>
  </si>
  <si>
    <t xml:space="preserve">C:\Users\andre\Desktop\REACTIV CEFAS\Testosterone\Testosterone/20201116_Cefas_Test6-Run1/Plate 2/@19/A10_02.tif </t>
  </si>
  <si>
    <t xml:space="preserve"> 41096.7998 </t>
  </si>
  <si>
    <t xml:space="preserve"> 36.9126 </t>
  </si>
  <si>
    <t xml:space="preserve">C:\Users\andre\Desktop\REACTIV CEFAS\Testosterone\Testosterone/20201116_Cefas_Test6-Run1/Plate 2/@19/A10_03.tif </t>
  </si>
  <si>
    <t xml:space="preserve"> 29373.3969 </t>
  </si>
  <si>
    <t xml:space="preserve"> 35.0029 </t>
  </si>
  <si>
    <t xml:space="preserve">C:\Users\andre\Desktop\REACTIV CEFAS\Testosterone\Testosterone/20201116_Cefas_Test6-Run1/Plate 2/@19/B10_01.tif </t>
  </si>
  <si>
    <t xml:space="preserve"> 50527.4339 </t>
  </si>
  <si>
    <t xml:space="preserve"> 39.9062 </t>
  </si>
  <si>
    <t xml:space="preserve">C:\Users\andre\Desktop\REACTIV CEFAS\Testosterone\Testosterone/20201116_Cefas_Test6-Run1/Plate 2/@19/B10_02.tif </t>
  </si>
  <si>
    <t xml:space="preserve"> 50289.505 </t>
  </si>
  <si>
    <t xml:space="preserve"> 41.3252 </t>
  </si>
  <si>
    <t xml:space="preserve">C:\Users\andre\Desktop\REACTIV CEFAS\Testosterone\Testosterone/20201116_Cefas_Test6-Run1/Plate 2/@19/B10_03.tif </t>
  </si>
  <si>
    <t xml:space="preserve"> 52214.5656 </t>
  </si>
  <si>
    <t xml:space="preserve"> 40.464 </t>
  </si>
  <si>
    <t>C:\Users\andre\Desktop\REACTIV CEFAS\Testosterone\Testosterone/20201116_Cefas_Test6-Run1/Plate 2/@19/C10_01- exclu.tif</t>
  </si>
  <si>
    <t>C:\Users\andre\Desktop\REACTIV CEFAS\Testosterone\Testosterone/20201116_Cefas_Test6-Run1/Plate 2/@19/C10_02- exclu.tif</t>
  </si>
  <si>
    <t xml:space="preserve">C:\Users\andre\Desktop\REACTIV CEFAS\Testosterone\Testosterone/20201116_Cefas_Test6-Run1/Plate 2/@19/C10_03.tif </t>
  </si>
  <si>
    <t xml:space="preserve"> 2162.9895 </t>
  </si>
  <si>
    <t xml:space="preserve"> 36.17 </t>
  </si>
  <si>
    <t xml:space="preserve">C:\Users\andre\Desktop\REACTIV CEFAS\Testosterone\Testosterone/20201116_Cefas_Test6-Run1/Plate 2/@19/D10_01.tif </t>
  </si>
  <si>
    <t xml:space="preserve"> 1860.1709 </t>
  </si>
  <si>
    <t xml:space="preserve"> 31.1395 </t>
  </si>
  <si>
    <t xml:space="preserve">C:\Users\andre\Desktop\REACTIV CEFAS\Testosterone\Testosterone/20201116_Cefas_Test6-Run1/Plate 2/@19/D10_02.tif </t>
  </si>
  <si>
    <t xml:space="preserve"> 13994.5418 </t>
  </si>
  <si>
    <t xml:space="preserve"> 37.9815 </t>
  </si>
  <si>
    <t xml:space="preserve">C:\Users\andre\Desktop\REACTIV CEFAS\Testosterone\Testosterone/20201116_Cefas_Test6-Run1/Plate 2/@19/D10_03.tif </t>
  </si>
  <si>
    <t xml:space="preserve"> 12826.5275 </t>
  </si>
  <si>
    <t xml:space="preserve"> 41.9865 </t>
  </si>
  <si>
    <t xml:space="preserve">C:\Users\andre\Desktop\REACTIV CEFAS\Testosterone\Testosterone/20201116_Cefas_Test6-Run1/Plate 2/@19/E10_01.tif </t>
  </si>
  <si>
    <t xml:space="preserve"> 48321.1846 </t>
  </si>
  <si>
    <t xml:space="preserve"> 37.9185 </t>
  </si>
  <si>
    <t>C:\Users\andre\Desktop\REACTIV CEFAS\Testosterone\Testosterone/20201116_Cefas_Test6-Run1/Plate 2/@19/E10_02- exclu.tif</t>
  </si>
  <si>
    <t>C:\Users\andre\Desktop\REACTIV CEFAS\Testosterone\Testosterone/20201116_Cefas_Test6-Run1/Plate 2/@19/E10_03- exclu.tif</t>
  </si>
  <si>
    <t xml:space="preserve">C:\Users\andre\Desktop\REACTIV CEFAS\Testosterone\Testosterone/20201116_Cefas_Test6-Run1/Plate 2/@19/F10_01.tif </t>
  </si>
  <si>
    <t xml:space="preserve"> 2509.0678 </t>
  </si>
  <si>
    <t xml:space="preserve"> 32.9397 </t>
  </si>
  <si>
    <t xml:space="preserve">C:\Users\andre\Desktop\REACTIV CEFAS\Testosterone\Testosterone/20201116_Cefas_Test6-Run1/Plate 2/@19/F10_02.tif </t>
  </si>
  <si>
    <t xml:space="preserve"> 173.0392 </t>
  </si>
  <si>
    <t xml:space="preserve">C:\Users\andre\Desktop\REACTIV CEFAS\Testosterone\Testosterone/20201116_Cefas_Test6-Run1/Plate 2/@19/F10_03.tif </t>
  </si>
  <si>
    <t xml:space="preserve"> 930.0855 </t>
  </si>
  <si>
    <t xml:space="preserve"> 32.3953 </t>
  </si>
  <si>
    <t xml:space="preserve">C:\Users\andre\Desktop\REACTIV CEFAS\Testosterone\Testosterone/20201116_Cefas_Test6-Run1/Plate 2/@19/G10_01.tif </t>
  </si>
  <si>
    <t xml:space="preserve"> 71681.4708 </t>
  </si>
  <si>
    <t xml:space="preserve"> 47.4798 </t>
  </si>
  <si>
    <t xml:space="preserve">C:\Users\andre\Desktop\REACTIV CEFAS\Testosterone\Testosterone/20201116_Cefas_Test6-Run1/Plate 2/@19/G10_02.tif </t>
  </si>
  <si>
    <t xml:space="preserve"> 69518.4813 </t>
  </si>
  <si>
    <t xml:space="preserve"> 44.8979 </t>
  </si>
  <si>
    <t xml:space="preserve">C:\Users\andre\Desktop\REACTIV CEFAS\Testosterone\Testosterone/20201116_Cefas_Test6-Run1/Plate 2/@19/G10_03.tif </t>
  </si>
  <si>
    <t xml:space="preserve"> 44.4099 </t>
  </si>
  <si>
    <t xml:space="preserve">C:\Users\andre\Desktop\REACTIV CEFAS\Testosterone\Testosterone/20201116_Cefas_Test6-Run1/Plate 2/@19/H10_01.tif </t>
  </si>
  <si>
    <t xml:space="preserve"> 15357.2252 </t>
  </si>
  <si>
    <t xml:space="preserve"> 36.5563 </t>
  </si>
  <si>
    <t xml:space="preserve">C:\Users\andre\Desktop\REACTIV CEFAS\Testosterone\Testosterone/20201116_Cefas_Test6-Run1/Plate 2/@19/H10_02.tif </t>
  </si>
  <si>
    <t xml:space="preserve"> 36.6829 </t>
  </si>
  <si>
    <t xml:space="preserve">C:\Users\andre\Desktop\REACTIV CEFAS\Testosterone\Testosterone/20201116_Cefas_Test6-Run1/Plate 2/@19/H10_03.tif </t>
  </si>
  <si>
    <t xml:space="preserve"> 11896.442 </t>
  </si>
  <si>
    <t xml:space="preserve"> 36.1727 </t>
  </si>
  <si>
    <t xml:space="preserve">C:\Users\andre\Desktop\REACTIV CEFAS\Testosterone\Testosterone/20201116_Cefas_Test6-Run1/Plate 2/@19/ </t>
  </si>
  <si>
    <t xml:space="preserve"> 37.4945 </t>
  </si>
  <si>
    <t xml:space="preserve"> 4.5586 </t>
  </si>
  <si>
    <t xml:space="preserve"> 1081895.02 </t>
  </si>
  <si>
    <t xml:space="preserve">C:\Users\andre\Desktop\REACTIV CEFAS\Testosterone\Testosterone/20201116_Cefas_Test6-Run1/Plate 2/@20/A11_01.tif </t>
  </si>
  <si>
    <t xml:space="preserve"> 55545.5694 </t>
  </si>
  <si>
    <t xml:space="preserve"> 39.5027 </t>
  </si>
  <si>
    <t xml:space="preserve">C:\Users\andre\Desktop\REACTIV CEFAS\Testosterone\Testosterone/20201116_Cefas_Test6-Run1/Plate 2/@20/A11_02.tif </t>
  </si>
  <si>
    <t xml:space="preserve"> 41.0308 </t>
  </si>
  <si>
    <t xml:space="preserve">C:\Users\andre\Desktop\REACTIV CEFAS\Testosterone\Testosterone/20201116_Cefas_Test6-Run1/Plate 2/@20/A11_03.tif </t>
  </si>
  <si>
    <t xml:space="preserve"> 62034.5378 </t>
  </si>
  <si>
    <t xml:space="preserve"> 42.978 </t>
  </si>
  <si>
    <t xml:space="preserve">C:\Users\andre\Desktop\REACTIV CEFAS\Testosterone\Testosterone/20201116_Cefas_Test6-Run1/Plate 2/@20/B11_01.tif </t>
  </si>
  <si>
    <t xml:space="preserve"> 2963.2956 </t>
  </si>
  <si>
    <t xml:space="preserve"> 31.7372 </t>
  </si>
  <si>
    <t xml:space="preserve">C:\Users\andre\Desktop\REACTIV CEFAS\Testosterone\Testosterone/20201116_Cefas_Test6-Run1/Plate 2/@20/B11_02.tif </t>
  </si>
  <si>
    <t xml:space="preserve"> 1881.8008 </t>
  </si>
  <si>
    <t xml:space="preserve"> 31.6207 </t>
  </si>
  <si>
    <t xml:space="preserve">C:\Users\andre\Desktop\REACTIV CEFAS\Testosterone\Testosterone/20201116_Cefas_Test6-Run1/Plate 2/@20/B11_03.tif </t>
  </si>
  <si>
    <t xml:space="preserve"> 3417.5234 </t>
  </si>
  <si>
    <t xml:space="preserve"> 32.3797 </t>
  </si>
  <si>
    <t xml:space="preserve">C:\Users\andre\Desktop\REACTIV CEFAS\Testosterone\Testosterone/20201116_Cefas_Test6-Run1/Plate 2/@20/C11_01.tif </t>
  </si>
  <si>
    <t xml:space="preserve"> 60996.3029 </t>
  </si>
  <si>
    <t xml:space="preserve"> 44.0266 </t>
  </si>
  <si>
    <t xml:space="preserve">C:\Users\andre\Desktop\REACTIV CEFAS\Testosterone\Testosterone/20201116_Cefas_Test6-Run1/Plate 2/@20/C11_02.tif </t>
  </si>
  <si>
    <t xml:space="preserve"> 60369.0359 </t>
  </si>
  <si>
    <t xml:space="preserve"> 40.297 </t>
  </si>
  <si>
    <t xml:space="preserve">C:\Users\andre\Desktop\REACTIV CEFAS\Testosterone\Testosterone/20201116_Cefas_Test6-Run1/Plate 2/@20/C11_03.tif </t>
  </si>
  <si>
    <t xml:space="preserve"> 60282.5163 </t>
  </si>
  <si>
    <t xml:space="preserve"> 41.9107 </t>
  </si>
  <si>
    <t xml:space="preserve">C:\Users\andre\Desktop\REACTIV CEFAS\Testosterone\Testosterone/20201116_Cefas_Test6-Run1/Plate 2/@20/D11_01.tif </t>
  </si>
  <si>
    <t xml:space="preserve"> 12350.6698 </t>
  </si>
  <si>
    <t xml:space="preserve"> 32.7566 </t>
  </si>
  <si>
    <t xml:space="preserve">C:\Users\andre\Desktop\REACTIV CEFAS\Testosterone\Testosterone/20201116_Cefas_Test6-Run1/Plate 2/@20/D11_02.tif </t>
  </si>
  <si>
    <t xml:space="preserve"> 8824.997 </t>
  </si>
  <si>
    <t xml:space="preserve"> 32.5809 </t>
  </si>
  <si>
    <t xml:space="preserve">C:\Users\andre\Desktop\REACTIV CEFAS\Testosterone\Testosterone/20201116_Cefas_Test6-Run1/Plate 2/@20/D11_03.tif </t>
  </si>
  <si>
    <t xml:space="preserve"> 20072.5422 </t>
  </si>
  <si>
    <t xml:space="preserve"> 33.4784 </t>
  </si>
  <si>
    <t xml:space="preserve">C:\Users\andre\Desktop\REACTIV CEFAS\Testosterone\Testosterone/20201116_Cefas_Test6-Run1/Plate 2/@20/E11_01.tif </t>
  </si>
  <si>
    <t xml:space="preserve"> 1578.9823 </t>
  </si>
  <si>
    <t xml:space="preserve"> 32.7671 </t>
  </si>
  <si>
    <t xml:space="preserve">C:\Users\andre\Desktop\REACTIV CEFAS\Testosterone\Testosterone/20201116_Cefas_Test6-Run1/Plate 2/@20/E11_02.tif </t>
  </si>
  <si>
    <t xml:space="preserve"> 7873.2816 </t>
  </si>
  <si>
    <t xml:space="preserve"> 40.4505 </t>
  </si>
  <si>
    <t xml:space="preserve">C:\Users\andre\Desktop\REACTIV CEFAS\Testosterone\Testosterone/20201116_Cefas_Test6-Run1/Plate 2/@20/E11_03.tif </t>
  </si>
  <si>
    <t xml:space="preserve"> 5126.285 </t>
  </si>
  <si>
    <t xml:space="preserve"> 42.4135 </t>
  </si>
  <si>
    <t xml:space="preserve">C:\Users\andre\Desktop\REACTIV CEFAS\Testosterone\Testosterone/20201116_Cefas_Test6-Run1/Plate 2/@20/F11_01.tif </t>
  </si>
  <si>
    <t xml:space="preserve"> 8240.9899 </t>
  </si>
  <si>
    <t xml:space="preserve"> 41.0682 </t>
  </si>
  <si>
    <t>C:\Users\andre\Desktop\REACTIV CEFAS\Testosterone\Testosterone/20201116_Cefas_Test6-Run1/Plate 2/@20/F11_02- exclu.tif</t>
  </si>
  <si>
    <t>C:\Users\andre\Desktop\REACTIV CEFAS\Testosterone\Testosterone/20201116_Cefas_Test6-Run1/Plate 2/@20/F11_03- exclu.tif</t>
  </si>
  <si>
    <t xml:space="preserve">C:\Users\andre\Desktop\REACTIV CEFAS\Testosterone\Testosterone/20201116_Cefas_Test6-Run1/Plate 2/@20/G11_01.tif </t>
  </si>
  <si>
    <t xml:space="preserve"> 20007.6525 </t>
  </si>
  <si>
    <t xml:space="preserve"> 39.0984 </t>
  </si>
  <si>
    <t xml:space="preserve">C:\Users\andre\Desktop\REACTIV CEFAS\Testosterone\Testosterone/20201116_Cefas_Test6-Run1/Plate 2/@20/G11_02.tif </t>
  </si>
  <si>
    <t xml:space="preserve"> 25761.2045 </t>
  </si>
  <si>
    <t xml:space="preserve"> 36.5726 </t>
  </si>
  <si>
    <t xml:space="preserve">C:\Users\andre\Desktop\REACTIV CEFAS\Testosterone\Testosterone/20201116_Cefas_Test6-Run1/Plate 2/@20/G11_03.tif </t>
  </si>
  <si>
    <t xml:space="preserve"> 25847.7241 </t>
  </si>
  <si>
    <t xml:space="preserve"> 39.9598 </t>
  </si>
  <si>
    <t>C:\Users\andre\Desktop\REACTIV CEFAS\Testosterone\Testosterone/20201116_Cefas_Test6-Run1/Plate 2/@20/H11_01- exclu.tif</t>
  </si>
  <si>
    <t xml:space="preserve">C:\Users\andre\Desktop\REACTIV CEFAS\Testosterone\Testosterone/20201116_Cefas_Test6-Run1/Plate 2/@20/H11_02.tif </t>
  </si>
  <si>
    <t xml:space="preserve"> 57297.5909 </t>
  </si>
  <si>
    <t xml:space="preserve"> 39.9302 </t>
  </si>
  <si>
    <t xml:space="preserve">C:\Users\andre\Desktop\REACTIV CEFAS\Testosterone\Testosterone/20201116_Cefas_Test6-Run1/Plate 2/@20/H11_03.tif </t>
  </si>
  <si>
    <t xml:space="preserve"> 66014.4384 </t>
  </si>
  <si>
    <t xml:space="preserve"> 38.5718 </t>
  </si>
  <si>
    <t xml:space="preserve">C:\Users\andre\Desktop\REACTIV CEFAS\Testosterone\Testosterone/20201116_Cefas_Test6-Run1/Plate 2/@20/ </t>
  </si>
  <si>
    <t xml:space="preserve"> 38.4759 </t>
  </si>
  <si>
    <t xml:space="preserve"> 5.0782 </t>
  </si>
  <si>
    <t xml:space="preserve"> 1115512.38 </t>
  </si>
  <si>
    <t xml:space="preserve"> 1014699.92 </t>
  </si>
  <si>
    <t>C:\Users\andre\Desktop\REACTIV CEFAS\Testosterone\Testosterone/20201116_Cefas_Test6-Run1/Plate 2/@21/A12_01- exclu.tif</t>
  </si>
  <si>
    <t xml:space="preserve">C:\Users\andre\Desktop\REACTIV CEFAS\Testosterone\Testosterone/20201116_Cefas_Test6-Run1/Plate 2/@21/A12_02.tif </t>
  </si>
  <si>
    <t xml:space="preserve"> 51.7063 </t>
  </si>
  <si>
    <t xml:space="preserve">C:\Users\andre\Desktop\REACTIV CEFAS\Testosterone\Testosterone/20201116_Cefas_Test6-Run1/Plate 2/@21/A12_03.tif </t>
  </si>
  <si>
    <t xml:space="preserve"> 75726.2611 </t>
  </si>
  <si>
    <t xml:space="preserve"> 53.1157 </t>
  </si>
  <si>
    <t>C:\Users\andre\Desktop\REACTIV CEFAS\Testosterone\Testosterone/20201116_Cefas_Test6-Run1/Plate 2/@21/B12_01- exclu.tif</t>
  </si>
  <si>
    <t>C:\Users\andre\Desktop\REACTIV CEFAS\Testosterone\Testosterone/20201116_Cefas_Test6-Run1/Plate 2/@21/B12_02- exclu.tif</t>
  </si>
  <si>
    <t>C:\Users\andre\Desktop\REACTIV CEFAS\Testosterone\Testosterone/20201116_Cefas_Test6-Run1/Plate 2/@21/B12_03- exclu.tif</t>
  </si>
  <si>
    <t xml:space="preserve">C:\Users\andre\Desktop\REACTIV CEFAS\Testosterone\Testosterone/20201116_Cefas_Test6-Run1/Plate 2/@21/C12_01.tif </t>
  </si>
  <si>
    <t xml:space="preserve"> 65711.6199 </t>
  </si>
  <si>
    <t xml:space="preserve"> 47.6725 </t>
  </si>
  <si>
    <t xml:space="preserve">C:\Users\andre\Desktop\REACTIV CEFAS\Testosterone\Testosterone/20201116_Cefas_Test6-Run1/Plate 2/@21/C12_02.tif </t>
  </si>
  <si>
    <t xml:space="preserve"> 66598.4456 </t>
  </si>
  <si>
    <t xml:space="preserve"> 49.6645 </t>
  </si>
  <si>
    <t xml:space="preserve">C:\Users\andre\Desktop\REACTIV CEFAS\Testosterone\Testosterone/20201116_Cefas_Test6-Run1/Plate 2/@21/C12_03.tif </t>
  </si>
  <si>
    <t xml:space="preserve"> 75336.923 </t>
  </si>
  <si>
    <t xml:space="preserve"> 52.621 </t>
  </si>
  <si>
    <t xml:space="preserve">C:\Users\andre\Desktop\REACTIV CEFAS\Testosterone\Testosterone/20201116_Cefas_Test6-Run1/Plate 2/@21/D12_01.tif </t>
  </si>
  <si>
    <t xml:space="preserve"> 46655.6827 </t>
  </si>
  <si>
    <t xml:space="preserve"> 47.6249 </t>
  </si>
  <si>
    <t xml:space="preserve">C:\Users\andre\Desktop\REACTIV CEFAS\Testosterone\Testosterone/20201116_Cefas_Test6-Run1/Plate 2/@21/D12_02.tif </t>
  </si>
  <si>
    <t xml:space="preserve"> 52776.9429 </t>
  </si>
  <si>
    <t xml:space="preserve"> 46.3549 </t>
  </si>
  <si>
    <t xml:space="preserve">C:\Users\andre\Desktop\REACTIV CEFAS\Testosterone\Testosterone/20201116_Cefas_Test6-Run1/Plate 2/@21/D12_03.tif </t>
  </si>
  <si>
    <t xml:space="preserve"> 52841.8326 </t>
  </si>
  <si>
    <t xml:space="preserve"> 45.1858 </t>
  </si>
  <si>
    <t xml:space="preserve">C:\Users\andre\Desktop\REACTIV CEFAS\Testosterone\Testosterone/20201116_Cefas_Test6-Run1/Plate 2/@21/E12_01.tif </t>
  </si>
  <si>
    <t xml:space="preserve"> 33915.6748 </t>
  </si>
  <si>
    <t xml:space="preserve"> 36.6282 </t>
  </si>
  <si>
    <t xml:space="preserve">C:\Users\andre\Desktop\REACTIV CEFAS\Testosterone\Testosterone/20201116_Cefas_Test6-Run1/Plate 2/@21/E12_02.tif </t>
  </si>
  <si>
    <t xml:space="preserve"> 36.6778 </t>
  </si>
  <si>
    <t xml:space="preserve">C:\Users\andre\Desktop\REACTIV CEFAS\Testosterone\Testosterone/20201116_Cefas_Test6-Run1/Plate 2/@21/E12_03.tif </t>
  </si>
  <si>
    <t xml:space="preserve"> 25263.7169 </t>
  </si>
  <si>
    <t xml:space="preserve"> 35.607 </t>
  </si>
  <si>
    <t xml:space="preserve">C:\Users\andre\Desktop\REACTIV CEFAS\Testosterone\Testosterone/20201116_Cefas_Test6-Run1/Plate 2/@21/F12_01.tif </t>
  </si>
  <si>
    <t xml:space="preserve"> 44514.3231 </t>
  </si>
  <si>
    <t xml:space="preserve"> 38.8401 </t>
  </si>
  <si>
    <t xml:space="preserve">C:\Users\andre\Desktop\REACTIV CEFAS\Testosterone\Testosterone/20201116_Cefas_Test6-Run1/Plate 2/@21/F12_02.tif </t>
  </si>
  <si>
    <t xml:space="preserve"> 43843.7964 </t>
  </si>
  <si>
    <t xml:space="preserve"> 39.6404 </t>
  </si>
  <si>
    <t xml:space="preserve">C:\Users\andre\Desktop\REACTIV CEFAS\Testosterone\Testosterone/20201116_Cefas_Test6-Run1/Plate 2/@21/F12_03.tif </t>
  </si>
  <si>
    <t xml:space="preserve"> 34802.5005 </t>
  </si>
  <si>
    <t xml:space="preserve"> 35.5693 </t>
  </si>
  <si>
    <t xml:space="preserve">C:\Users\andre\Desktop\REACTIV CEFAS\Testosterone\Testosterone/20201116_Cefas_Test6-Run1/Plate 2/@21/G12_01.tif </t>
  </si>
  <si>
    <t xml:space="preserve"> 41161.6895 </t>
  </si>
  <si>
    <t xml:space="preserve"> 42.7961 </t>
  </si>
  <si>
    <t xml:space="preserve">C:\Users\andre\Desktop\REACTIV CEFAS\Testosterone\Testosterone/20201116_Cefas_Test6-Run1/Plate 2/@21/G12_02.tif </t>
  </si>
  <si>
    <t xml:space="preserve"> 43627.4975 </t>
  </si>
  <si>
    <t xml:space="preserve"> 42.0055 </t>
  </si>
  <si>
    <t xml:space="preserve">C:\Users\andre\Desktop\REACTIV CEFAS\Testosterone\Testosterone/20201116_Cefas_Test6-Run1/Plate 2/@21/G12_03.tif </t>
  </si>
  <si>
    <t xml:space="preserve"> 48624.0031 </t>
  </si>
  <si>
    <t xml:space="preserve"> 42.488 </t>
  </si>
  <si>
    <t xml:space="preserve">C:\Users\andre\Desktop\REACTIV CEFAS\Testosterone\Testosterone/20201116_Cefas_Test6-Run1/Plate 2/@21/H12_01.tif </t>
  </si>
  <si>
    <t xml:space="preserve"> 1189.6442 </t>
  </si>
  <si>
    <t xml:space="preserve"> 33.1455 </t>
  </si>
  <si>
    <t xml:space="preserve">C:\Users\andre\Desktop\REACTIV CEFAS\Testosterone\Testosterone/20201116_Cefas_Test6-Run1/Plate 2/@21/H12_02.tif </t>
  </si>
  <si>
    <t xml:space="preserve"> 37.0262 </t>
  </si>
  <si>
    <t xml:space="preserve">C:\Users\andre\Desktop\REACTIV CEFAS\Testosterone\Testosterone/20201116_Cefas_Test6-Run1/Plate 2/@21/H12_03.tif </t>
  </si>
  <si>
    <t xml:space="preserve"> 38.4783 </t>
  </si>
  <si>
    <t xml:space="preserve">C:\Users\andre\Desktop\REACTIV CEFAS\Testosterone\Testosterone/20201116_Cefas_Test6-Run1/Plate 2/@21/ </t>
  </si>
  <si>
    <t xml:space="preserve"> 37.5688 </t>
  </si>
  <si>
    <t xml:space="preserve"> 15.6326 </t>
  </si>
  <si>
    <t xml:space="preserve"> 1757497.38 </t>
  </si>
  <si>
    <t xml:space="preserve"> 1331632.04 </t>
  </si>
  <si>
    <t xml:space="preserve">C:\Users\andre\Desktop\REACTIV CEFAS\Testosterone\Testosterone/20201116_Cefas_Test6-Run1/Plate 2/@8/A2_01.tif </t>
  </si>
  <si>
    <t xml:space="preserve"> 33.5882 </t>
  </si>
  <si>
    <t xml:space="preserve">C:\Users\andre\Desktop\REACTIV CEFAS\Testosterone\Testosterone/20201116_Cefas_Test6-Run1/Plate 2/@8/A2_02.tif </t>
  </si>
  <si>
    <t xml:space="preserve"> 2400.9183 </t>
  </si>
  <si>
    <t xml:space="preserve"> 33.4054 </t>
  </si>
  <si>
    <t xml:space="preserve">C:\Users\andre\Desktop\REACTIV CEFAS\Testosterone\Testosterone/20201116_Cefas_Test6-Run1/Plate 2/@8/A2_03.tif </t>
  </si>
  <si>
    <t xml:space="preserve"> 2357.6585 </t>
  </si>
  <si>
    <t xml:space="preserve"> 33.1101 </t>
  </si>
  <si>
    <t xml:space="preserve">C:\Users\andre\Desktop\REACTIV CEFAS\Testosterone\Testosterone/20201116_Cefas_Test6-Run1/Plate 2/@8/B2_01.tif </t>
  </si>
  <si>
    <t xml:space="preserve"> 7548.8332 </t>
  </si>
  <si>
    <t xml:space="preserve"> 42.6963 </t>
  </si>
  <si>
    <t>C:\Users\andre\Desktop\REACTIV CEFAS\Testosterone\Testosterone/20201116_Cefas_Test6-Run1/Plate 2/@8/B2_02- exclu.tif</t>
  </si>
  <si>
    <t xml:space="preserve">C:\Users\andre\Desktop\REACTIV CEFAS\Testosterone\Testosterone/20201116_Cefas_Test6-Run1/Plate 2/@8/B2_03.tif </t>
  </si>
  <si>
    <t xml:space="preserve"> 12588.5987 </t>
  </si>
  <si>
    <t xml:space="preserve"> 48.5309 </t>
  </si>
  <si>
    <t xml:space="preserve">C:\Users\andre\Desktop\REACTIV CEFAS\Testosterone\Testosterone/20201116_Cefas_Test6-Run1/Plate 2/@8/C2_01.tif </t>
  </si>
  <si>
    <t xml:space="preserve"> 4088.0501 </t>
  </si>
  <si>
    <t xml:space="preserve"> 39.0053 </t>
  </si>
  <si>
    <t xml:space="preserve">C:\Users\andre\Desktop\REACTIV CEFAS\Testosterone\Testosterone/20201116_Cefas_Test6-Run1/Plate 2/@8/C2_02.tif </t>
  </si>
  <si>
    <t xml:space="preserve"> 7159.4951 </t>
  </si>
  <si>
    <t xml:space="preserve"> 41.3565 </t>
  </si>
  <si>
    <t xml:space="preserve">C:\Users\andre\Desktop\REACTIV CEFAS\Testosterone\Testosterone/20201116_Cefas_Test6-Run1/Plate 2/@8/C2_03.tif </t>
  </si>
  <si>
    <t xml:space="preserve"> 6813.4168 </t>
  </si>
  <si>
    <t xml:space="preserve"> 42.6095 </t>
  </si>
  <si>
    <t>C:\Users\andre\Desktop\REACTIV CEFAS\Testosterone\Testosterone/20201116_Cefas_Test6-Run1/Plate 2/@8/D2_01- exclu.tif</t>
  </si>
  <si>
    <t>C:\Users\andre\Desktop\REACTIV CEFAS\Testosterone\Testosterone/20201116_Cefas_Test6-Run1/Plate 2/@8/D2_02- exclu.tif</t>
  </si>
  <si>
    <t xml:space="preserve">C:\Users\andre\Desktop\REACTIV CEFAS\Testosterone\Testosterone/20201116_Cefas_Test6-Run1/Plate 2/@8/D2_03.tif </t>
  </si>
  <si>
    <t xml:space="preserve"> 46.6608 </t>
  </si>
  <si>
    <t xml:space="preserve">C:\Users\andre\Desktop\REACTIV CEFAS\Testosterone\Testosterone/20201116_Cefas_Test6-Run1/Plate 2/@8/E2_01.tif </t>
  </si>
  <si>
    <t xml:space="preserve"> 11074.506 </t>
  </si>
  <si>
    <t xml:space="preserve"> 43.6016 </t>
  </si>
  <si>
    <t>C:\Users\andre\Desktop\REACTIV CEFAS\Testosterone\Testosterone/20201116_Cefas_Test6-Run1/Plate 2/@8/E2_02- exclu.tif</t>
  </si>
  <si>
    <t>C:\Users\andre\Desktop\REACTIV CEFAS\Testosterone\Testosterone/20201116_Cefas_Test6-Run1/Plate 2/@8/E2_03- exclu.tif</t>
  </si>
  <si>
    <t xml:space="preserve">C:\Users\andre\Desktop\REACTIV CEFAS\Testosterone\Testosterone/20201116_Cefas_Test6-Run1/Plate 2/@8/F2_01.tif </t>
  </si>
  <si>
    <t xml:space="preserve"> 40.1269 </t>
  </si>
  <si>
    <t xml:space="preserve">C:\Users\andre\Desktop\REACTIV CEFAS\Testosterone\Testosterone/20201116_Cefas_Test6-Run1/Plate 2/@8/F2_02.tif </t>
  </si>
  <si>
    <t xml:space="preserve"> 9062.9258 </t>
  </si>
  <si>
    <t xml:space="preserve"> 40.8616 </t>
  </si>
  <si>
    <t xml:space="preserve">C:\Users\andre\Desktop\REACTIV CEFAS\Testosterone\Testosterone/20201116_Cefas_Test6-Run1/Plate 2/@8/F2_03.tif </t>
  </si>
  <si>
    <t xml:space="preserve"> 40.8813 </t>
  </si>
  <si>
    <t xml:space="preserve">C:\Users\andre\Desktop\REACTIV CEFAS\Testosterone\Testosterone/20201116_Cefas_Test6-Run1/Plate 2/@8/G2_01.tif </t>
  </si>
  <si>
    <t xml:space="preserve"> 5256.0644 </t>
  </si>
  <si>
    <t xml:space="preserve"> 39.5021 </t>
  </si>
  <si>
    <t xml:space="preserve">C:\Users\andre\Desktop\REACTIV CEFAS\Testosterone\Testosterone/20201116_Cefas_Test6-Run1/Plate 2/@8/G2_02.tif </t>
  </si>
  <si>
    <t xml:space="preserve"> 40.2562 </t>
  </si>
  <si>
    <t xml:space="preserve">C:\Users\andre\Desktop\REACTIV CEFAS\Testosterone\Testosterone/20201116_Cefas_Test6-Run1/Plate 2/@8/G2_03.tif </t>
  </si>
  <si>
    <t xml:space="preserve">C:\Users\andre\Desktop\REACTIV CEFAS\Testosterone\Testosterone/20201116_Cefas_Test6-Run1/Plate 2/@8/H2_01.tif </t>
  </si>
  <si>
    <t xml:space="preserve"> 2682.1069 </t>
  </si>
  <si>
    <t xml:space="preserve"> 33.4516 </t>
  </si>
  <si>
    <t xml:space="preserve">C:\Users\andre\Desktop\REACTIV CEFAS\Testosterone\Testosterone/20201116_Cefas_Test6-Run1/Plate 2/@8/H2_02.tif </t>
  </si>
  <si>
    <t xml:space="preserve"> 821.936 </t>
  </si>
  <si>
    <t xml:space="preserve"> 32.6316 </t>
  </si>
  <si>
    <t xml:space="preserve">C:\Users\andre\Desktop\REACTIV CEFAS\Testosterone\Testosterone/20201116_Cefas_Test6-Run1/Plate 2/@8/H2_03.tif </t>
  </si>
  <si>
    <t xml:space="preserve"> 908.4556 </t>
  </si>
  <si>
    <t xml:space="preserve"> 32.8571 </t>
  </si>
  <si>
    <t xml:space="preserve">C:\Users\andre\Desktop\REACTIV CEFAS\Testosterone\Testosterone/20201116_Cefas_Test6-Run1/Plate 2/@8/ </t>
  </si>
  <si>
    <t xml:space="preserve"> 39.2334 </t>
  </si>
  <si>
    <t xml:space="preserve"> 10.0642 </t>
  </si>
  <si>
    <t xml:space="preserve"> 328630.167 </t>
  </si>
  <si>
    <t xml:space="preserve"> 250561.915 </t>
  </si>
  <si>
    <t xml:space="preserve">C:\Users\andre\Desktop\REACTIV CEFAS\Testosterone\Testosterone/20201116_Cefas_Test6-Run1/Plate 2/@9/A3_01.tif </t>
  </si>
  <si>
    <t xml:space="preserve"> 33050.479 </t>
  </si>
  <si>
    <t xml:space="preserve"> 35.8017 </t>
  </si>
  <si>
    <t xml:space="preserve">C:\Users\andre\Desktop\REACTIV CEFAS\Testosterone\Testosterone/20201116_Cefas_Test6-Run1/Plate 2/@9/A3_02.tif </t>
  </si>
  <si>
    <t xml:space="preserve"> 28875.9093 </t>
  </si>
  <si>
    <t xml:space="preserve"> 34.8839 </t>
  </si>
  <si>
    <t xml:space="preserve">C:\Users\andre\Desktop\REACTIV CEFAS\Testosterone\Testosterone/20201116_Cefas_Test6-Run1/Plate 2/@9/A3_03.tif </t>
  </si>
  <si>
    <t xml:space="preserve"> 24874.3788 </t>
  </si>
  <si>
    <t xml:space="preserve"> 34.0487 </t>
  </si>
  <si>
    <t xml:space="preserve">C:\Users\andre\Desktop\REACTIV CEFAS\Testosterone\Testosterone/20201116_Cefas_Test6-Run1/Plate 2/@9/B3_01.tif </t>
  </si>
  <si>
    <t xml:space="preserve"> 36.5874 </t>
  </si>
  <si>
    <t xml:space="preserve">C:\Users\andre\Desktop\REACTIV CEFAS\Testosterone\Testosterone/20201116_Cefas_Test6-Run1/Plate 2/@9/B3_02.tif </t>
  </si>
  <si>
    <t xml:space="preserve"> 8457.2888 </t>
  </si>
  <si>
    <t xml:space="preserve"> 36.5575 </t>
  </si>
  <si>
    <t xml:space="preserve">C:\Users\andre\Desktop\REACTIV CEFAS\Testosterone\Testosterone/20201116_Cefas_Test6-Run1/Plate 2/@9/B3_03.tif </t>
  </si>
  <si>
    <t xml:space="preserve"> 6251.0395 </t>
  </si>
  <si>
    <t xml:space="preserve"> 35.4567 </t>
  </si>
  <si>
    <t xml:space="preserve">C:\Users\andre\Desktop\REACTIV CEFAS\Testosterone\Testosterone/20201116_Cefas_Test6-Run1/Plate 2/@9/C3_01.tif </t>
  </si>
  <si>
    <t xml:space="preserve"> 10187.6804 </t>
  </si>
  <si>
    <t xml:space="preserve"> 39.414 </t>
  </si>
  <si>
    <t xml:space="preserve">C:\Users\andre\Desktop\REACTIV CEFAS\Testosterone\Testosterone/20201116_Cefas_Test6-Run1/Plate 2/@9/C3_02.tif </t>
  </si>
  <si>
    <t xml:space="preserve"> 7570.4631 </t>
  </si>
  <si>
    <t xml:space="preserve"> 39.5571 </t>
  </si>
  <si>
    <t xml:space="preserve">C:\Users\andre\Desktop\REACTIV CEFAS\Testosterone\Testosterone/20201116_Cefas_Test6-Run1/Plate 2/@9/C3_03.tif </t>
  </si>
  <si>
    <t xml:space="preserve"> 2920.0358 </t>
  </si>
  <si>
    <t xml:space="preserve"> 32.5111 </t>
  </si>
  <si>
    <t xml:space="preserve">C:\Users\andre\Desktop\REACTIV CEFAS\Testosterone\Testosterone/20201116_Cefas_Test6-Run1/Plate 2/@9/D3_01.tif </t>
  </si>
  <si>
    <t xml:space="preserve"> 12026.2214 </t>
  </si>
  <si>
    <t xml:space="preserve"> 35.8831 </t>
  </si>
  <si>
    <t xml:space="preserve">C:\Users\andre\Desktop\REACTIV CEFAS\Testosterone\Testosterone/20201116_Cefas_Test6-Run1/Plate 2/@9/D3_02.tif </t>
  </si>
  <si>
    <t xml:space="preserve"> 14578.549 </t>
  </si>
  <si>
    <t xml:space="preserve"> 34.6944 </t>
  </si>
  <si>
    <t xml:space="preserve">C:\Users\andre\Desktop\REACTIV CEFAS\Testosterone\Testosterone/20201116_Cefas_Test6-Run1/Plate 2/@9/D3_03.tif </t>
  </si>
  <si>
    <t xml:space="preserve"> 13518.6841 </t>
  </si>
  <si>
    <t xml:space="preserve"> 33.384 </t>
  </si>
  <si>
    <t xml:space="preserve">C:\Users\andre\Desktop\REACTIV CEFAS\Testosterone\Testosterone/20201116_Cefas_Test6-Run1/Plate 2/@9/E3_01.tif </t>
  </si>
  <si>
    <t xml:space="preserve"> 13410.5347 </t>
  </si>
  <si>
    <t xml:space="preserve"> 34.95 </t>
  </si>
  <si>
    <t xml:space="preserve">C:\Users\andre\Desktop\REACTIV CEFAS\Testosterone\Testosterone/20201116_Cefas_Test6-Run1/Plate 2/@9/E3_02.tif </t>
  </si>
  <si>
    <t xml:space="preserve"> 11485.474 </t>
  </si>
  <si>
    <t xml:space="preserve"> 34.7495 </t>
  </si>
  <si>
    <t xml:space="preserve">C:\Users\andre\Desktop\REACTIV CEFAS\Testosterone\Testosterone/20201116_Cefas_Test6-Run1/Plate 2/@9/E3_03.tif </t>
  </si>
  <si>
    <t xml:space="preserve"> 8500.5486 </t>
  </si>
  <si>
    <t xml:space="preserve"> 33.1705 </t>
  </si>
  <si>
    <t xml:space="preserve">C:\Users\andre\Desktop\REACTIV CEFAS\Testosterone\Testosterone/20201116_Cefas_Test6-Run1/Plate 2/@9/F3_01.tif </t>
  </si>
  <si>
    <t xml:space="preserve"> 34975.5396 </t>
  </si>
  <si>
    <t xml:space="preserve"> 34.5009 </t>
  </si>
  <si>
    <t xml:space="preserve">C:\Users\andre\Desktop\REACTIV CEFAS\Testosterone\Testosterone/20201116_Cefas_Test6-Run1/Plate 2/@9/F3_02.tif </t>
  </si>
  <si>
    <t xml:space="preserve"> 36.0477 </t>
  </si>
  <si>
    <t>C:\Users\andre\Desktop\REACTIV CEFAS\Testosterone\Testosterone/20201116_Cefas_Test6-Run1/Plate 2/@9/F3_03- exclu.tif</t>
  </si>
  <si>
    <t xml:space="preserve">C:\Users\andre\Desktop\REACTIV CEFAS\Testosterone\Testosterone/20201116_Cefas_Test6-Run1/Plate 2/@9/G3_01.tif </t>
  </si>
  <si>
    <t xml:space="preserve"> 4801.8366 </t>
  </si>
  <si>
    <t xml:space="preserve"> 37.6171 </t>
  </si>
  <si>
    <t>C:\Users\andre\Desktop\REACTIV CEFAS\Testosterone\Testosterone/20201116_Cefas_Test6-Run1/Plate 2/@9/G3_02- exclu.tif</t>
  </si>
  <si>
    <t>C:\Users\andre\Desktop\REACTIV CEFAS\Testosterone\Testosterone/20201116_Cefas_Test6-Run1/Plate 2/@9/G3_03- exclu.tif</t>
  </si>
  <si>
    <t xml:space="preserve">C:\Users\andre\Desktop\REACTIV CEFAS\Testosterone\Testosterone/20201116_Cefas_Test6-Run1/Plate 2/@9/H3_01.tif </t>
  </si>
  <si>
    <t xml:space="preserve"> 7743.5023 </t>
  </si>
  <si>
    <t xml:space="preserve"> 38.081 </t>
  </si>
  <si>
    <t xml:space="preserve">C:\Users\andre\Desktop\REACTIV CEFAS\Testosterone\Testosterone/20201116_Cefas_Test6-Run1/Plate 2/@9/H3_02.tif </t>
  </si>
  <si>
    <t xml:space="preserve"> 8219.36 </t>
  </si>
  <si>
    <t xml:space="preserve"> 36.6395 </t>
  </si>
  <si>
    <t xml:space="preserve">C:\Users\andre\Desktop\REACTIV CEFAS\Testosterone\Testosterone/20201116_Cefas_Test6-Run1/Plate 2/@9/H3_03.tif </t>
  </si>
  <si>
    <t xml:space="preserve"> 10750.0576 </t>
  </si>
  <si>
    <t xml:space="preserve"> 41.1509 </t>
  </si>
  <si>
    <t xml:space="preserve">C:\Users\andre\Desktop\REACTIV CEFAS\Testosterone\Testosterone/20201116_Cefas_Test6-Run1/Plate 2/@9/ </t>
  </si>
  <si>
    <t xml:space="preserve"> 34.5114 </t>
  </si>
  <si>
    <t xml:space="preserve"> 7.6418 </t>
  </si>
  <si>
    <t xml:space="preserve"> 480796.458 </t>
  </si>
  <si>
    <t xml:space="preserve"> 390674.532 </t>
  </si>
  <si>
    <t>Colonne1</t>
  </si>
  <si>
    <t>1</t>
  </si>
  <si>
    <t>13</t>
  </si>
  <si>
    <t>14</t>
  </si>
  <si>
    <t>15</t>
  </si>
  <si>
    <t>16</t>
  </si>
  <si>
    <t>2</t>
  </si>
  <si>
    <t>3</t>
  </si>
  <si>
    <t>4</t>
  </si>
  <si>
    <t>5</t>
  </si>
  <si>
    <t>6</t>
  </si>
  <si>
    <t>7</t>
  </si>
  <si>
    <t>10</t>
  </si>
  <si>
    <t>11</t>
  </si>
  <si>
    <t>12</t>
  </si>
  <si>
    <t>17</t>
  </si>
  <si>
    <t>18</t>
  </si>
  <si>
    <t>19</t>
  </si>
  <si>
    <t>20</t>
  </si>
  <si>
    <t>21</t>
  </si>
  <si>
    <t>8</t>
  </si>
  <si>
    <t>9</t>
  </si>
  <si>
    <t>B</t>
  </si>
  <si>
    <t>C</t>
  </si>
  <si>
    <t>D</t>
  </si>
  <si>
    <t>E</t>
  </si>
  <si>
    <t>F</t>
  </si>
  <si>
    <t>G</t>
  </si>
  <si>
    <t>H</t>
  </si>
  <si>
    <t>Testo-3.7µg/L</t>
  </si>
  <si>
    <t>Testo-11µg/L</t>
  </si>
  <si>
    <t>Testo-33µg/L</t>
  </si>
  <si>
    <t>Testo-100µg/L</t>
  </si>
  <si>
    <t>Testo-300µg/L</t>
  </si>
  <si>
    <t>Testo</t>
  </si>
  <si>
    <t xml:space="preserve">C:\Users\andre\Desktop\REACTIV CEFAS\Testosterone\Testosterone/20201117_Cefas_Test6-Run2/Plate 1/@1/A10_01.tif </t>
  </si>
  <si>
    <t xml:space="preserve"> 30.5 </t>
  </si>
  <si>
    <t xml:space="preserve">C:\Users\andre\Desktop\REACTIV CEFAS\Testosterone\Testosterone/20201117_Cefas_Test6-Run2/Plate 1/@1/A10_02.tif </t>
  </si>
  <si>
    <t xml:space="preserve"> 1319.4236 </t>
  </si>
  <si>
    <t xml:space="preserve"> 34.2459 </t>
  </si>
  <si>
    <t xml:space="preserve">C:\Users\andre\Desktop\REACTIV CEFAS\Testosterone\Testosterone/20201117_Cefas_Test6-Run2/Plate 1/@1/A10_03.tif </t>
  </si>
  <si>
    <t xml:space="preserve">C:\Users\andre\Desktop\REACTIV CEFAS\Testosterone\Testosterone/20201117_Cefas_Test6-Run2/Plate 1/@1/B10_01.tif </t>
  </si>
  <si>
    <t xml:space="preserve"> 670.5267 </t>
  </si>
  <si>
    <t xml:space="preserve"> 33.1935 </t>
  </si>
  <si>
    <t xml:space="preserve">C:\Users\andre\Desktop\REACTIV CEFAS\Testosterone\Testosterone/20201117_Cefas_Test6-Run2/Plate 1/@1/B10_02.tif </t>
  </si>
  <si>
    <t xml:space="preserve">C:\Users\andre\Desktop\REACTIV CEFAS\Testosterone\Testosterone/20201117_Cefas_Test6-Run2/Plate 1/@1/B10_03.tif </t>
  </si>
  <si>
    <t xml:space="preserve"> 9928.1216 </t>
  </si>
  <si>
    <t xml:space="preserve"> 42.427 </t>
  </si>
  <si>
    <t xml:space="preserve">C:\Users\andre\Desktop\REACTIV CEFAS\Testosterone\Testosterone/20201117_Cefas_Test6-Run2/Plate 1/@1/C10_01.tif </t>
  </si>
  <si>
    <t xml:space="preserve"> 194.6691 </t>
  </si>
  <si>
    <t xml:space="preserve"> 34.1111 </t>
  </si>
  <si>
    <t xml:space="preserve">C:\Users\andre\Desktop\REACTIV CEFAS\Testosterone\Testosterone/20201117_Cefas_Test6-Run2/Plate 1/@1/C10_02.tif </t>
  </si>
  <si>
    <t xml:space="preserve"> 475.8577 </t>
  </si>
  <si>
    <t xml:space="preserve"> 32.9091 </t>
  </si>
  <si>
    <t xml:space="preserve">C:\Users\andre\Desktop\REACTIV CEFAS\Testosterone\Testosterone/20201117_Cefas_Test6-Run2/Plate 1/@1/C10_03.tif </t>
  </si>
  <si>
    <t xml:space="preserve"> 38.0906 </t>
  </si>
  <si>
    <t xml:space="preserve">C:\Users\andre\Desktop\REACTIV CEFAS\Testosterone\Testosterone/20201117_Cefas_Test6-Run2/Plate 1/@1/D10_01.tif </t>
  </si>
  <si>
    <t xml:space="preserve"> 4672.0572 </t>
  </si>
  <si>
    <t xml:space="preserve"> 34.7917 </t>
  </si>
  <si>
    <t xml:space="preserve">C:\Users\andre\Desktop\REACTIV CEFAS\Testosterone\Testosterone/20201117_Cefas_Test6-Run2/Plate 1/@1/D10_02.tif </t>
  </si>
  <si>
    <t xml:space="preserve"> 4217.8295 </t>
  </si>
  <si>
    <t xml:space="preserve"> 34.0513 </t>
  </si>
  <si>
    <t xml:space="preserve">C:\Users\andre\Desktop\REACTIV CEFAS\Testosterone\Testosterone/20201117_Cefas_Test6-Run2/Plate 1/@1/D10_03.tif </t>
  </si>
  <si>
    <t xml:space="preserve"> 36.9211 </t>
  </si>
  <si>
    <t xml:space="preserve">C:\Users\andre\Desktop\REACTIV CEFAS\Testosterone\Testosterone/20201117_Cefas_Test6-Run2/Plate 1/@1/E10_01.tif </t>
  </si>
  <si>
    <t xml:space="preserve"> 39.2959 </t>
  </si>
  <si>
    <t xml:space="preserve">C:\Users\andre\Desktop\REACTIV CEFAS\Testosterone\Testosterone/20201117_Cefas_Test6-Run2/Plate 1/@1/E10_02.tif </t>
  </si>
  <si>
    <t xml:space="preserve"> 36.8529 </t>
  </si>
  <si>
    <t xml:space="preserve">C:\Users\andre\Desktop\REACTIV CEFAS\Testosterone\Testosterone/20201117_Cefas_Test6-Run2/Plate 1/@1/E10_03.tif </t>
  </si>
  <si>
    <t xml:space="preserve"> 2379.2884 </t>
  </si>
  <si>
    <t xml:space="preserve"> 33.5455 </t>
  </si>
  <si>
    <t xml:space="preserve">C:\Users\andre\Desktop\REACTIV CEFAS\Testosterone\Testosterone/20201117_Cefas_Test6-Run2/Plate 1/@1/F10_01.tif </t>
  </si>
  <si>
    <t xml:space="preserve">C:\Users\andre\Desktop\REACTIV CEFAS\Testosterone\Testosterone/20201117_Cefas_Test6-Run2/Plate 1/@1/F10_02.tif </t>
  </si>
  <si>
    <t xml:space="preserve">C:\Users\andre\Desktop\REACTIV CEFAS\Testosterone\Testosterone/20201117_Cefas_Test6-Run2/Plate 1/@1/F10_03.tif </t>
  </si>
  <si>
    <t xml:space="preserve"> 30.6667 </t>
  </si>
  <si>
    <t xml:space="preserve">C:\Users\andre\Desktop\REACTIV CEFAS\Testosterone\Testosterone/20201117_Cefas_Test6-Run2/Plate 1/@1/G10_01.tif </t>
  </si>
  <si>
    <t xml:space="preserve"> 39.5799 </t>
  </si>
  <si>
    <t xml:space="preserve">C:\Users\andre\Desktop\REACTIV CEFAS\Testosterone\Testosterone/20201117_Cefas_Test6-Run2/Plate 1/@1/G10_02.tif </t>
  </si>
  <si>
    <t xml:space="preserve"> 7721.8724 </t>
  </si>
  <si>
    <t xml:space="preserve"> 39.395 </t>
  </si>
  <si>
    <t xml:space="preserve">C:\Users\andre\Desktop\REACTIV CEFAS\Testosterone\Testosterone/20201117_Cefas_Test6-Run2/Plate 1/@1/G10_03.tif </t>
  </si>
  <si>
    <t xml:space="preserve"> 38.6263 </t>
  </si>
  <si>
    <t>C:\Users\andre\Desktop\REACTIV CEFAS\Testosterone\Testosterone/20201117_Cefas_Test6-Run2/Plate 1/@1/H10_01- exclu.tif</t>
  </si>
  <si>
    <t>C:\Users\andre\Desktop\REACTIV CEFAS\Testosterone\Testosterone/20201117_Cefas_Test6-Run2/Plate 1/@1/H10_02- exclu.tif</t>
  </si>
  <si>
    <t>C:\Users\andre\Desktop\REACTIV CEFAS\Testosterone\Testosterone/20201117_Cefas_Test6-Run2/Plate 1/@1/H10_03- exclu.tif</t>
  </si>
  <si>
    <t xml:space="preserve">C:\Users\andre\Desktop\REACTIV CEFAS\Testosterone\Testosterone/20201117_Cefas_Test6-Run2/Plate 1/@1/ </t>
  </si>
  <si>
    <t xml:space="preserve"> 26.6335 </t>
  </si>
  <si>
    <t xml:space="preserve"> 16.0025 </t>
  </si>
  <si>
    <t xml:space="preserve"> 96127.75 </t>
  </si>
  <si>
    <t xml:space="preserve"> 118071.906 </t>
  </si>
  <si>
    <t xml:space="preserve">C:\Users\andre\Desktop\REACTIV CEFAS\Testosterone\Testosterone/20201117_Cefas_Test6-Run2/Plate 1/@13/A8_01.tif </t>
  </si>
  <si>
    <t xml:space="preserve"> 28162.1228 </t>
  </si>
  <si>
    <t xml:space="preserve"> 35.7427 </t>
  </si>
  <si>
    <t xml:space="preserve">C:\Users\andre\Desktop\REACTIV CEFAS\Testosterone\Testosterone/20201117_Cefas_Test6-Run2/Plate 1/@13/A8_02.tif </t>
  </si>
  <si>
    <t xml:space="preserve"> 31947.3544 </t>
  </si>
  <si>
    <t xml:space="preserve"> 35.4028 </t>
  </si>
  <si>
    <t xml:space="preserve">C:\Users\andre\Desktop\REACTIV CEFAS\Testosterone\Testosterone/20201117_Cefas_Test6-Run2/Plate 1/@13/A8_03.tif </t>
  </si>
  <si>
    <t xml:space="preserve"> 31752.6853 </t>
  </si>
  <si>
    <t xml:space="preserve"> 35.6199 </t>
  </si>
  <si>
    <t xml:space="preserve">C:\Users\andre\Desktop\REACTIV CEFAS\Testosterone\Testosterone/20201117_Cefas_Test6-Run2/Plate 1/@13/B8_01.tif </t>
  </si>
  <si>
    <t xml:space="preserve"> 62056.1677 </t>
  </si>
  <si>
    <t xml:space="preserve"> 40.4333 </t>
  </si>
  <si>
    <t xml:space="preserve">C:\Users\andre\Desktop\REACTIV CEFAS\Testosterone\Testosterone/20201117_Cefas_Test6-Run2/Plate 1/@13/B8_02.tif </t>
  </si>
  <si>
    <t xml:space="preserve"> 71551.6914 </t>
  </si>
  <si>
    <t xml:space="preserve"> 41.7288 </t>
  </si>
  <si>
    <t xml:space="preserve">C:\Users\andre\Desktop\REACTIV CEFAS\Testosterone\Testosterone/20201117_Cefas_Test6-Run2/Plate 1/@13/B8_03.tif </t>
  </si>
  <si>
    <t xml:space="preserve"> 62640.1748 </t>
  </si>
  <si>
    <t xml:space="preserve"> 41.0915 </t>
  </si>
  <si>
    <t xml:space="preserve">C:\Users\andre\Desktop\REACTIV CEFAS\Testosterone\Testosterone/20201117_Cefas_Test6-Run2/Plate 1/@13/C8_01.tif </t>
  </si>
  <si>
    <t xml:space="preserve"> 16135.9014 </t>
  </si>
  <si>
    <t xml:space="preserve"> 34.5965 </t>
  </si>
  <si>
    <t xml:space="preserve">C:\Users\andre\Desktop\REACTIV CEFAS\Testosterone\Testosterone/20201117_Cefas_Test6-Run2/Plate 1/@13/C8_02.tif </t>
  </si>
  <si>
    <t xml:space="preserve"> 6986.456 </t>
  </si>
  <si>
    <t xml:space="preserve"> 32.0836 </t>
  </si>
  <si>
    <t xml:space="preserve">C:\Users\andre\Desktop\REACTIV CEFAS\Testosterone\Testosterone/20201117_Cefas_Test6-Run2/Plate 1/@13/C8_03.tif </t>
  </si>
  <si>
    <t xml:space="preserve"> 12610.2286 </t>
  </si>
  <si>
    <t xml:space="preserve"> 33.8988 </t>
  </si>
  <si>
    <t xml:space="preserve">C:\Users\andre\Desktop\REACTIV CEFAS\Testosterone\Testosterone/20201117_Cefas_Test6-Run2/Plate 1/@13/D8_01.tif </t>
  </si>
  <si>
    <t xml:space="preserve"> 30281.8525 </t>
  </si>
  <si>
    <t xml:space="preserve"> 35.1586 </t>
  </si>
  <si>
    <t xml:space="preserve">C:\Users\andre\Desktop\REACTIV CEFAS\Testosterone\Testosterone/20201117_Cefas_Test6-Run2/Plate 1/@13/D8_02.tif </t>
  </si>
  <si>
    <t xml:space="preserve"> 38717.5114 </t>
  </si>
  <si>
    <t xml:space="preserve"> 35.8877 </t>
  </si>
  <si>
    <t xml:space="preserve">C:\Users\andre\Desktop\REACTIV CEFAS\Testosterone\Testosterone/20201117_Cefas_Test6-Run2/Plate 1/@13/D8_03.tif </t>
  </si>
  <si>
    <t xml:space="preserve"> 29654.5855 </t>
  </si>
  <si>
    <t xml:space="preserve"> 34.9555 </t>
  </si>
  <si>
    <t xml:space="preserve">C:\Users\andre\Desktop\REACTIV CEFAS\Testosterone\Testosterone/20201117_Cefas_Test6-Run2/Plate 1/@13/E8_01.tif </t>
  </si>
  <si>
    <t xml:space="preserve"> 46244.7147 </t>
  </si>
  <si>
    <t xml:space="preserve"> 39.5776 </t>
  </si>
  <si>
    <t xml:space="preserve">C:\Users\andre\Desktop\REACTIV CEFAS\Testosterone\Testosterone/20201117_Cefas_Test6-Run2/Plate 1/@13/E8_02.tif </t>
  </si>
  <si>
    <t xml:space="preserve"> 63829.819 </t>
  </si>
  <si>
    <t xml:space="preserve"> 43.0661 </t>
  </si>
  <si>
    <t xml:space="preserve">C:\Users\andre\Desktop\REACTIV CEFAS\Testosterone\Testosterone/20201117_Cefas_Test6-Run2/Plate 1/@13/E8_03.tif </t>
  </si>
  <si>
    <t xml:space="preserve"> 63548.6304 </t>
  </si>
  <si>
    <t xml:space="preserve"> 42.0218 </t>
  </si>
  <si>
    <t xml:space="preserve">C:\Users\andre\Desktop\REACTIV CEFAS\Testosterone\Testosterone/20201117_Cefas_Test6-Run2/Plate 1/@13/F8_01.tif </t>
  </si>
  <si>
    <t xml:space="preserve"> 66187.4776 </t>
  </si>
  <si>
    <t xml:space="preserve"> 44.6853 </t>
  </si>
  <si>
    <t xml:space="preserve">C:\Users\andre\Desktop\REACTIV CEFAS\Testosterone\Testosterone/20201117_Cefas_Test6-Run2/Plate 1/@13/F8_02.tif </t>
  </si>
  <si>
    <t xml:space="preserve"> 62207.577 </t>
  </si>
  <si>
    <t xml:space="preserve"> 42.9503 </t>
  </si>
  <si>
    <t xml:space="preserve">C:\Users\andre\Desktop\REACTIV CEFAS\Testosterone\Testosterone/20201117_Cefas_Test6-Run2/Plate 1/@13/F8_03.tif </t>
  </si>
  <si>
    <t xml:space="preserve"> 60001.3277 </t>
  </si>
  <si>
    <t xml:space="preserve"> 40.8983 </t>
  </si>
  <si>
    <t xml:space="preserve">C:\Users\andre\Desktop\REACTIV CEFAS\Testosterone\Testosterone/20201117_Cefas_Test6-Run2/Plate 1/@13/G8_01.tif </t>
  </si>
  <si>
    <t xml:space="preserve"> 32704.4007 </t>
  </si>
  <si>
    <t xml:space="preserve"> 36.6806 </t>
  </si>
  <si>
    <t xml:space="preserve">C:\Users\andre\Desktop\REACTIV CEFAS\Testosterone\Testosterone/20201117_Cefas_Test6-Run2/Plate 1/@13/G8_02.tif </t>
  </si>
  <si>
    <t xml:space="preserve"> 40815.6112 </t>
  </si>
  <si>
    <t xml:space="preserve"> 36.9565 </t>
  </si>
  <si>
    <t xml:space="preserve">C:\Users\andre\Desktop\REACTIV CEFAS\Testosterone\Testosterone/20201117_Cefas_Test6-Run2/Plate 1/@13/G8_03.tif </t>
  </si>
  <si>
    <t xml:space="preserve"> 27578.1157 </t>
  </si>
  <si>
    <t xml:space="preserve"> 36.28 </t>
  </si>
  <si>
    <t xml:space="preserve">C:\Users\andre\Desktop\REACTIV CEFAS\Testosterone\Testosterone/20201117_Cefas_Test6-Run2/Plate 1/@13/H8_01.tif </t>
  </si>
  <si>
    <t xml:space="preserve"> 4780.2067 </t>
  </si>
  <si>
    <t xml:space="preserve"> 31.4027 </t>
  </si>
  <si>
    <t xml:space="preserve">C:\Users\andre\Desktop\REACTIV CEFAS\Testosterone\Testosterone/20201117_Cefas_Test6-Run2/Plate 1/@13/H8_02.tif </t>
  </si>
  <si>
    <t xml:space="preserve"> 7851.6518 </t>
  </si>
  <si>
    <t xml:space="preserve"> 32.1763 </t>
  </si>
  <si>
    <t xml:space="preserve">C:\Users\andre\Desktop\REACTIV CEFAS\Testosterone\Testosterone/20201117_Cefas_Test6-Run2/Plate 1/@13/H8_03.tif </t>
  </si>
  <si>
    <t xml:space="preserve"> 32.3897 </t>
  </si>
  <si>
    <t xml:space="preserve">C:\Users\andre\Desktop\REACTIV CEFAS\Testosterone\Testosterone/20201117_Cefas_Test6-Run2/Plate 1/@13/ </t>
  </si>
  <si>
    <t xml:space="preserve"> 37.3202 </t>
  </si>
  <si>
    <t xml:space="preserve"> 3.9433 </t>
  </si>
  <si>
    <t xml:space="preserve"> 1484651.71 </t>
  </si>
  <si>
    <t xml:space="preserve"> 977127.389 </t>
  </si>
  <si>
    <t>C:\Users\andre\Desktop\REACTIV CEFAS\Testosterone\Testosterone/20201117_Cefas_Test6-Run2/Plate 1/@14/A9_01- exclu.tif</t>
  </si>
  <si>
    <t>C:\Users\andre\Desktop\REACTIV CEFAS\Testosterone\Testosterone/20201117_Cefas_Test6-Run2/Plate 1/@14/A9_02- exclu.tif</t>
  </si>
  <si>
    <t>C:\Users\andre\Desktop\REACTIV CEFAS\Testosterone\Testosterone/20201117_Cefas_Test6-Run2/Plate 1/@14/A9_03- exclu.tif</t>
  </si>
  <si>
    <t xml:space="preserve">C:\Users\andre\Desktop\REACTIV CEFAS\Testosterone\Testosterone/20201117_Cefas_Test6-Run2/Plate 1/@14/B9_01.tif </t>
  </si>
  <si>
    <t xml:space="preserve"> 65473.691 </t>
  </si>
  <si>
    <t xml:space="preserve"> 41.8427 </t>
  </si>
  <si>
    <t xml:space="preserve">C:\Users\andre\Desktop\REACTIV CEFAS\Testosterone\Testosterone/20201117_Cefas_Test6-Run2/Plate 1/@14/B9_02.tif </t>
  </si>
  <si>
    <t xml:space="preserve"> 41.9433 </t>
  </si>
  <si>
    <t xml:space="preserve">C:\Users\andre\Desktop\REACTIV CEFAS\Testosterone\Testosterone/20201117_Cefas_Test6-Run2/Plate 1/@14/B9_03.tif </t>
  </si>
  <si>
    <t xml:space="preserve"> 69799.67 </t>
  </si>
  <si>
    <t xml:space="preserve"> 42.5931 </t>
  </si>
  <si>
    <t xml:space="preserve">C:\Users\andre\Desktop\REACTIV CEFAS\Testosterone\Testosterone/20201117_Cefas_Test6-Run2/Plate 1/@14/C9_01.tif </t>
  </si>
  <si>
    <t xml:space="preserve"> 44687.3623 </t>
  </si>
  <si>
    <t xml:space="preserve"> 37.4593 </t>
  </si>
  <si>
    <t xml:space="preserve">C:\Users\andre\Desktop\REACTIV CEFAS\Testosterone\Testosterone/20201117_Cefas_Test6-Run2/Plate 1/@14/C9_02.tif </t>
  </si>
  <si>
    <t xml:space="preserve"> 40253.2339 </t>
  </si>
  <si>
    <t xml:space="preserve"> 36.3853 </t>
  </si>
  <si>
    <t xml:space="preserve">C:\Users\andre\Desktop\REACTIV CEFAS\Testosterone\Testosterone/20201117_Cefas_Test6-Run2/Plate 1/@14/C9_03.tif </t>
  </si>
  <si>
    <t xml:space="preserve"> 49965.0566 </t>
  </si>
  <si>
    <t xml:space="preserve"> 38.1784 </t>
  </si>
  <si>
    <t xml:space="preserve">C:\Users\andre\Desktop\REACTIV CEFAS\Testosterone\Testosterone/20201117_Cefas_Test6-Run2/Plate 1/@14/D9_01.tif </t>
  </si>
  <si>
    <t xml:space="preserve"> 65884.659 </t>
  </si>
  <si>
    <t xml:space="preserve"> 48.4875 </t>
  </si>
  <si>
    <t xml:space="preserve">C:\Users\andre\Desktop\REACTIV CEFAS\Testosterone\Testosterone/20201117_Cefas_Test6-Run2/Plate 1/@14/D9_02.tif </t>
  </si>
  <si>
    <t xml:space="preserve"> 74190.5386 </t>
  </si>
  <si>
    <t xml:space="preserve"> 44.9469 </t>
  </si>
  <si>
    <t xml:space="preserve">C:\Users\andre\Desktop\REACTIV CEFAS\Testosterone\Testosterone/20201117_Cefas_Test6-Run2/Plate 1/@14/D9_03.tif </t>
  </si>
  <si>
    <t xml:space="preserve"> 70080.8586 </t>
  </si>
  <si>
    <t xml:space="preserve"> 49.0164 </t>
  </si>
  <si>
    <t xml:space="preserve">C:\Users\andre\Desktop\REACTIV CEFAS\Testosterone\Testosterone/20201117_Cefas_Test6-Run2/Plate 1/@14/E9_01.tif </t>
  </si>
  <si>
    <t xml:space="preserve"> 2271.1389 </t>
  </si>
  <si>
    <t xml:space="preserve"> 31.8952 </t>
  </si>
  <si>
    <t xml:space="preserve">C:\Users\andre\Desktop\REACTIV CEFAS\Testosterone\Testosterone/20201117_Cefas_Test6-Run2/Plate 1/@14/E9_02.tif </t>
  </si>
  <si>
    <t xml:space="preserve"> 6164.52 </t>
  </si>
  <si>
    <t xml:space="preserve"> 33.786 </t>
  </si>
  <si>
    <t xml:space="preserve">C:\Users\andre\Desktop\REACTIV CEFAS\Testosterone\Testosterone/20201117_Cefas_Test6-Run2/Plate 1/@14/E9_03.tif </t>
  </si>
  <si>
    <t xml:space="preserve"> 605.637 </t>
  </si>
  <si>
    <t xml:space="preserve"> 32.3214 </t>
  </si>
  <si>
    <t xml:space="preserve">C:\Users\andre\Desktop\REACTIV CEFAS\Testosterone\Testosterone/20201117_Cefas_Test6-Run2/Plate 1/@14/F9_01.tif </t>
  </si>
  <si>
    <t xml:space="preserve"> 30433.2617 </t>
  </si>
  <si>
    <t xml:space="preserve"> 34.9666 </t>
  </si>
  <si>
    <t xml:space="preserve">C:\Users\andre\Desktop\REACTIV CEFAS\Testosterone\Testosterone/20201117_Cefas_Test6-Run2/Plate 1/@14/F9_02.tif </t>
  </si>
  <si>
    <t xml:space="preserve"> 23814.514 </t>
  </si>
  <si>
    <t xml:space="preserve"> 35.3497 </t>
  </si>
  <si>
    <t xml:space="preserve">C:\Users\andre\Desktop\REACTIV CEFAS\Testosterone\Testosterone/20201117_Cefas_Test6-Run2/Plate 1/@14/F9_03.tif </t>
  </si>
  <si>
    <t xml:space="preserve"> 23317.0264 </t>
  </si>
  <si>
    <t xml:space="preserve"> 32.8275 </t>
  </si>
  <si>
    <t xml:space="preserve">C:\Users\andre\Desktop\REACTIV CEFAS\Testosterone\Testosterone/20201117_Cefas_Test6-Run2/Plate 1/@14/G9_01.tif </t>
  </si>
  <si>
    <t xml:space="preserve"> 33.79 </t>
  </si>
  <si>
    <t xml:space="preserve">C:\Users\andre\Desktop\REACTIV CEFAS\Testosterone\Testosterone/20201117_Cefas_Test6-Run2/Plate 1/@14/G9_02.tif </t>
  </si>
  <si>
    <t xml:space="preserve"> 5212.8046 </t>
  </si>
  <si>
    <t xml:space="preserve"> 32.5726 </t>
  </si>
  <si>
    <t xml:space="preserve">C:\Users\andre\Desktop\REACTIV CEFAS\Testosterone\Testosterone/20201117_Cefas_Test6-Run2/Plate 1/@14/G9_03.tif </t>
  </si>
  <si>
    <t xml:space="preserve"> 8673.5877 </t>
  </si>
  <si>
    <t xml:space="preserve"> 33.9701 </t>
  </si>
  <si>
    <t xml:space="preserve">C:\Users\andre\Desktop\REACTIV CEFAS\Testosterone\Testosterone/20201117_Cefas_Test6-Run2/Plate 1/@14/H9_01.tif </t>
  </si>
  <si>
    <t xml:space="preserve"> 20656.5494 </t>
  </si>
  <si>
    <t xml:space="preserve"> 34.7864 </t>
  </si>
  <si>
    <t xml:space="preserve">C:\Users\andre\Desktop\REACTIV CEFAS\Testosterone\Testosterone/20201117_Cefas_Test6-Run2/Plate 1/@14/H9_02.tif </t>
  </si>
  <si>
    <t xml:space="preserve"> 24701.3397 </t>
  </si>
  <si>
    <t xml:space="preserve"> 35.4475 </t>
  </si>
  <si>
    <t xml:space="preserve">C:\Users\andre\Desktop\REACTIV CEFAS\Testosterone\Testosterone/20201117_Cefas_Test6-Run2/Plate 1/@14/H9_03.tif </t>
  </si>
  <si>
    <t xml:space="preserve"> 30022.2937 </t>
  </si>
  <si>
    <t xml:space="preserve"> 36.286 </t>
  </si>
  <si>
    <t xml:space="preserve">C:\Users\andre\Desktop\REACTIV CEFAS\Testosterone\Testosterone/20201117_Cefas_Test6-Run2/Plate 1/@14/ </t>
  </si>
  <si>
    <t xml:space="preserve"> 38.0158 </t>
  </si>
  <si>
    <t xml:space="preserve"> 5.0494 </t>
  </si>
  <si>
    <t xml:space="preserve"> 1502746.92 </t>
  </si>
  <si>
    <t xml:space="preserve"> 1134745.19 </t>
  </si>
  <si>
    <t xml:space="preserve">C:\Users\andre\Desktop\REACTIV CEFAS\Testosterone\Testosterone/20201117_Cefas_Test6-Run2/Plate 1/@15/A11_01.tif </t>
  </si>
  <si>
    <t xml:space="preserve"> 94111.6715 </t>
  </si>
  <si>
    <t xml:space="preserve"> 50.7378 </t>
  </si>
  <si>
    <t xml:space="preserve">C:\Users\andre\Desktop\REACTIV CEFAS\Testosterone\Testosterone/20201117_Cefas_Test6-Run2/Plate 1/@15/A11_02.tif </t>
  </si>
  <si>
    <t xml:space="preserve"> 88985.3865 </t>
  </si>
  <si>
    <t xml:space="preserve"> 45.1728 </t>
  </si>
  <si>
    <t xml:space="preserve">C:\Users\andre\Desktop\REACTIV CEFAS\Testosterone\Testosterone/20201117_Cefas_Test6-Run2/Plate 1/@15/A11_03.tif </t>
  </si>
  <si>
    <t xml:space="preserve"> 78776.0762 </t>
  </si>
  <si>
    <t xml:space="preserve"> 52.0695 </t>
  </si>
  <si>
    <t xml:space="preserve">C:\Users\andre\Desktop\REACTIV CEFAS\Testosterone\Testosterone/20201117_Cefas_Test6-Run2/Plate 1/@15/B11_01.tif </t>
  </si>
  <si>
    <t xml:space="preserve"> 54053.1067 </t>
  </si>
  <si>
    <t xml:space="preserve"> 44.0656 </t>
  </si>
  <si>
    <t xml:space="preserve">C:\Users\andre\Desktop\REACTIV CEFAS\Testosterone\Testosterone/20201117_Cefas_Test6-Run2/Plate 1/@15/B11_02.tif </t>
  </si>
  <si>
    <t xml:space="preserve"> 52344.345 </t>
  </si>
  <si>
    <t xml:space="preserve"> 45.3826 </t>
  </si>
  <si>
    <t xml:space="preserve">C:\Users\andre\Desktop\REACTIV CEFAS\Testosterone\Testosterone/20201117_Cefas_Test6-Run2/Plate 1/@15/B11_03.tif </t>
  </si>
  <si>
    <t xml:space="preserve"> 46.6851 </t>
  </si>
  <si>
    <t xml:space="preserve">C:\Users\andre\Desktop\REACTIV CEFAS\Testosterone\Testosterone/20201117_Cefas_Test6-Run2/Plate 1/@15/C11_01.tif </t>
  </si>
  <si>
    <t xml:space="preserve"> 40296.4937 </t>
  </si>
  <si>
    <t xml:space="preserve"> 40.2979 </t>
  </si>
  <si>
    <t>C:\Users\andre\Desktop\REACTIV CEFAS\Testosterone\Testosterone/20201117_Cefas_Test6-Run2/Plate 1/@15/C11_02- exclu.tif</t>
  </si>
  <si>
    <t>C:\Users\andre\Desktop\REACTIV CEFAS\Testosterone\Testosterone/20201117_Cefas_Test6-Run2/Plate 1/@15/C11_03- exclu.tif</t>
  </si>
  <si>
    <t xml:space="preserve">C:\Users\andre\Desktop\REACTIV CEFAS\Testosterone\Testosterone/20201117_Cefas_Test6-Run2/Plate 1/@15/D11_01.tif </t>
  </si>
  <si>
    <t xml:space="preserve"> 57470.63 </t>
  </si>
  <si>
    <t xml:space="preserve"> 50.9364 </t>
  </si>
  <si>
    <t xml:space="preserve">C:\Users\andre\Desktop\REACTIV CEFAS\Testosterone\Testosterone/20201117_Cefas_Test6-Run2/Plate 1/@15/D11_02.tif </t>
  </si>
  <si>
    <t xml:space="preserve"> 54226.1458 </t>
  </si>
  <si>
    <t xml:space="preserve"> 44.3797 </t>
  </si>
  <si>
    <t xml:space="preserve">C:\Users\andre\Desktop\REACTIV CEFAS\Testosterone\Testosterone/20201117_Cefas_Test6-Run2/Plate 1/@15/D11_03.tif </t>
  </si>
  <si>
    <t xml:space="preserve"> 62878.1037 </t>
  </si>
  <si>
    <t xml:space="preserve"> 44.0791 </t>
  </si>
  <si>
    <t xml:space="preserve">C:\Users\andre\Desktop\REACTIV CEFAS\Testosterone\Testosterone/20201117_Cefas_Test6-Run2/Plate 1/@15/E11_01.tif </t>
  </si>
  <si>
    <t xml:space="preserve"> 93852.1128 </t>
  </si>
  <si>
    <t xml:space="preserve"> 56.575 </t>
  </si>
  <si>
    <t xml:space="preserve">C:\Users\andre\Desktop\REACTIV CEFAS\Testosterone\Testosterone/20201117_Cefas_Test6-Run2/Plate 1/@15/E11_02.tif </t>
  </si>
  <si>
    <t xml:space="preserve"> 98848.6185 </t>
  </si>
  <si>
    <t xml:space="preserve"> 53.0672 </t>
  </si>
  <si>
    <t xml:space="preserve">C:\Users\andre\Desktop\REACTIV CEFAS\Testosterone\Testosterone/20201117_Cefas_Test6-Run2/Plate 1/@15/E11_03.tif </t>
  </si>
  <si>
    <t xml:space="preserve"> 100362.711 </t>
  </si>
  <si>
    <t xml:space="preserve"> 56.5625 </t>
  </si>
  <si>
    <t xml:space="preserve">C:\Users\andre\Desktop\REACTIV CEFAS\Testosterone\Testosterone/20201117_Cefas_Test6-Run2/Plate 1/@15/F11_01.tif </t>
  </si>
  <si>
    <t xml:space="preserve"> 79727.7916 </t>
  </si>
  <si>
    <t xml:space="preserve"> 53.1039 </t>
  </si>
  <si>
    <t xml:space="preserve">C:\Users\andre\Desktop\REACTIV CEFAS\Testosterone\Testosterone/20201117_Cefas_Test6-Run2/Plate 1/@15/F11_02.tif </t>
  </si>
  <si>
    <t xml:space="preserve"> 81047.2152 </t>
  </si>
  <si>
    <t xml:space="preserve"> 55.6864 </t>
  </si>
  <si>
    <t xml:space="preserve">C:\Users\andre\Desktop\REACTIV CEFAS\Testosterone\Testosterone/20201117_Cefas_Test6-Run2/Plate 1/@15/F11_03.tif </t>
  </si>
  <si>
    <t xml:space="preserve"> 84443.1086 </t>
  </si>
  <si>
    <t xml:space="preserve"> 48.3135 </t>
  </si>
  <si>
    <t xml:space="preserve">C:\Users\andre\Desktop\REACTIV CEFAS\Testosterone\Testosterone/20201117_Cefas_Test6-Run2/Plate 1/@15/G11_01.tif </t>
  </si>
  <si>
    <t xml:space="preserve"> 82042.1903 </t>
  </si>
  <si>
    <t xml:space="preserve"> 41.1819 </t>
  </si>
  <si>
    <t xml:space="preserve">C:\Users\andre\Desktop\REACTIV CEFAS\Testosterone\Testosterone/20201117_Cefas_Test6-Run2/Plate 1/@15/G11_02.tif </t>
  </si>
  <si>
    <t xml:space="preserve"> 82799.2366 </t>
  </si>
  <si>
    <t xml:space="preserve"> 43.7244 </t>
  </si>
  <si>
    <t xml:space="preserve">C:\Users\andre\Desktop\REACTIV CEFAS\Testosterone\Testosterone/20201117_Cefas_Test6-Run2/Plate 1/@15/G11_03.tif </t>
  </si>
  <si>
    <t xml:space="preserve"> 66338.8868 </t>
  </si>
  <si>
    <t xml:space="preserve"> 43.0619 </t>
  </si>
  <si>
    <t xml:space="preserve">C:\Users\andre\Desktop\REACTIV CEFAS\Testosterone\Testosterone/20201117_Cefas_Test6-Run2/Plate 1/@15/H11_01.tif </t>
  </si>
  <si>
    <t xml:space="preserve"> 75034.1045 </t>
  </si>
  <si>
    <t xml:space="preserve"> 49.8818 </t>
  </si>
  <si>
    <t xml:space="preserve">C:\Users\andre\Desktop\REACTIV CEFAS\Testosterone\Testosterone/20201117_Cefas_Test6-Run2/Plate 1/@15/H11_02.tif </t>
  </si>
  <si>
    <t xml:space="preserve"> 82388.2686 </t>
  </si>
  <si>
    <t xml:space="preserve"> 49.4214 </t>
  </si>
  <si>
    <t xml:space="preserve">C:\Users\andre\Desktop\REACTIV CEFAS\Testosterone\Testosterone/20201117_Cefas_Test6-Run2/Plate 1/@15/H11_03.tif </t>
  </si>
  <si>
    <t xml:space="preserve"> 72611.5563 </t>
  </si>
  <si>
    <t xml:space="preserve"> 48.3324 </t>
  </si>
  <si>
    <t xml:space="preserve">C:\Users\andre\Desktop\REACTIV CEFAS\Testosterone\Testosterone/20201117_Cefas_Test6-Run2/Plate 1/@15/ </t>
  </si>
  <si>
    <t xml:space="preserve"> 47.5661 </t>
  </si>
  <si>
    <t xml:space="preserve"> 5.3066 </t>
  </si>
  <si>
    <t xml:space="preserve"> 3492183.46 </t>
  </si>
  <si>
    <t xml:space="preserve"> 1155670.21 </t>
  </si>
  <si>
    <t xml:space="preserve">C:\Users\andre\Desktop\REACTIV CEFAS\Testosterone\Testosterone/20201117_Cefas_Test6-Run2/Plate 1/@16/A12_01.tif </t>
  </si>
  <si>
    <t xml:space="preserve"> 31.6667 </t>
  </si>
  <si>
    <t xml:space="preserve">C:\Users\andre\Desktop\REACTIV CEFAS\Testosterone\Testosterone/20201117_Cefas_Test6-Run2/Plate 1/@16/A12_02.tif </t>
  </si>
  <si>
    <t xml:space="preserve"> 8954.7764 </t>
  </si>
  <si>
    <t xml:space="preserve"> 38.5652 </t>
  </si>
  <si>
    <t xml:space="preserve">C:\Users\andre\Desktop\REACTIV CEFAS\Testosterone\Testosterone/20201117_Cefas_Test6-Run2/Plate 1/@16/A12_03.tif </t>
  </si>
  <si>
    <t xml:space="preserve"> 7310.9044 </t>
  </si>
  <si>
    <t xml:space="preserve"> 35.8609 </t>
  </si>
  <si>
    <t xml:space="preserve">C:\Users\andre\Desktop\REACTIV CEFAS\Testosterone\Testosterone/20201117_Cefas_Test6-Run2/Plate 1/@16/B12_01.tif </t>
  </si>
  <si>
    <t xml:space="preserve"> 36.1839 </t>
  </si>
  <si>
    <t xml:space="preserve">C:\Users\andre\Desktop\REACTIV CEFAS\Testosterone\Testosterone/20201117_Cefas_Test6-Run2/Plate 1/@16/B12_02.tif </t>
  </si>
  <si>
    <t xml:space="preserve"> 5731.9221 </t>
  </si>
  <si>
    <t xml:space="preserve"> 42.9057 </t>
  </si>
  <si>
    <t xml:space="preserve">C:\Users\andre\Desktop\REACTIV CEFAS\Testosterone\Testosterone/20201117_Cefas_Test6-Run2/Plate 1/@16/B12_03.tif </t>
  </si>
  <si>
    <t xml:space="preserve"> 8889.8867 </t>
  </si>
  <si>
    <t xml:space="preserve"> 46.292 </t>
  </si>
  <si>
    <t xml:space="preserve">C:\Users\andre\Desktop\REACTIV CEFAS\Testosterone\Testosterone/20201117_Cefas_Test6-Run2/Plate 1/@16/C12_01.tif </t>
  </si>
  <si>
    <t xml:space="preserve"> 33.0758 </t>
  </si>
  <si>
    <t xml:space="preserve">C:\Users\andre\Desktop\REACTIV CEFAS\Testosterone\Testosterone/20201117_Cefas_Test6-Run2/Plate 1/@16/C12_02.tif </t>
  </si>
  <si>
    <t xml:space="preserve"> 39.6596 </t>
  </si>
  <si>
    <t xml:space="preserve">C:\Users\andre\Desktop\REACTIV CEFAS\Testosterone\Testosterone/20201117_Cefas_Test6-Run2/Plate 1/@16/C12_03.tif </t>
  </si>
  <si>
    <t xml:space="preserve"> 6445.7086 </t>
  </si>
  <si>
    <t xml:space="preserve"> 38.0839 </t>
  </si>
  <si>
    <t xml:space="preserve">C:\Users\andre\Desktop\REACTIV CEFAS\Testosterone\Testosterone/20201117_Cefas_Test6-Run2/Plate 1/@16/D12_01.tif </t>
  </si>
  <si>
    <t xml:space="preserve"> 367.7082 </t>
  </si>
  <si>
    <t xml:space="preserve"> 31.3529 </t>
  </si>
  <si>
    <t xml:space="preserve">C:\Users\andre\Desktop\REACTIV CEFAS\Testosterone\Testosterone/20201117_Cefas_Test6-Run2/Plate 1/@16/D12_02.tif </t>
  </si>
  <si>
    <t xml:space="preserve"> 259.5587 </t>
  </si>
  <si>
    <t xml:space="preserve"> 31.5 </t>
  </si>
  <si>
    <t xml:space="preserve">C:\Users\andre\Desktop\REACTIV CEFAS\Testosterone\Testosterone/20201117_Cefas_Test6-Run2/Plate 1/@16/D12_03.tif </t>
  </si>
  <si>
    <t xml:space="preserve"> 1773.6514 </t>
  </si>
  <si>
    <t xml:space="preserve"> 33.4512 </t>
  </si>
  <si>
    <t xml:space="preserve">C:\Users\andre\Desktop\REACTIV CEFAS\Testosterone\Testosterone/20201117_Cefas_Test6-Run2/Plate 1/@16/E12_01.tif </t>
  </si>
  <si>
    <t xml:space="preserve">C:\Users\andre\Desktop\REACTIV CEFAS\Testosterone\Testosterone/20201117_Cefas_Test6-Run2/Plate 1/@16/E12_02.tif </t>
  </si>
  <si>
    <t xml:space="preserve">C:\Users\andre\Desktop\REACTIV CEFAS\Testosterone\Testosterone/20201117_Cefas_Test6-Run2/Plate 1/@16/E12_03.tif </t>
  </si>
  <si>
    <t xml:space="preserve"> 3504.0429 </t>
  </si>
  <si>
    <t xml:space="preserve"> 37.642 </t>
  </si>
  <si>
    <t xml:space="preserve">C:\Users\andre\Desktop\REACTIV CEFAS\Testosterone\Testosterone/20201117_Cefas_Test6-Run2/Plate 1/@16/F12_01.tif </t>
  </si>
  <si>
    <t xml:space="preserve"> 39.0536 </t>
  </si>
  <si>
    <t xml:space="preserve">C:\Users\andre\Desktop\REACTIV CEFAS\Testosterone\Testosterone/20201117_Cefas_Test6-Run2/Plate 1/@16/F12_02.tif </t>
  </si>
  <si>
    <t xml:space="preserve"> 6705.2673 </t>
  </si>
  <si>
    <t xml:space="preserve"> 39.1 </t>
  </si>
  <si>
    <t xml:space="preserve">C:\Users\andre\Desktop\REACTIV CEFAS\Testosterone\Testosterone/20201117_Cefas_Test6-Run2/Plate 1/@16/F12_03.tif </t>
  </si>
  <si>
    <t xml:space="preserve"> 8154.4703 </t>
  </si>
  <si>
    <t xml:space="preserve"> 38.1459 </t>
  </si>
  <si>
    <t xml:space="preserve">C:\Users\andre\Desktop\REACTIV CEFAS\Testosterone\Testosterone/20201117_Cefas_Test6-Run2/Plate 1/@16/G12_01.tif </t>
  </si>
  <si>
    <t xml:space="preserve"> 37.0412 </t>
  </si>
  <si>
    <t xml:space="preserve">C:\Users\andre\Desktop\REACTIV CEFAS\Testosterone\Testosterone/20201117_Cefas_Test6-Run2/Plate 1/@16/G12_02.tif </t>
  </si>
  <si>
    <t xml:space="preserve"> 4390.8686 </t>
  </si>
  <si>
    <t xml:space="preserve"> 35.069 </t>
  </si>
  <si>
    <t xml:space="preserve">C:\Users\andre\Desktop\REACTIV CEFAS\Testosterone\Testosterone/20201117_Cefas_Test6-Run2/Plate 1/@16/G12_03.tif </t>
  </si>
  <si>
    <t xml:space="preserve"> 2033.2101 </t>
  </si>
  <si>
    <t xml:space="preserve"> 33.4574 </t>
  </si>
  <si>
    <t xml:space="preserve">C:\Users\andre\Desktop\REACTIV CEFAS\Testosterone\Testosterone/20201117_Cefas_Test6-Run2/Plate 1/@16/H12_01.tif </t>
  </si>
  <si>
    <t xml:space="preserve"> 6294.2993 </t>
  </si>
  <si>
    <t xml:space="preserve"> 36.4536 </t>
  </si>
  <si>
    <t xml:space="preserve">C:\Users\andre\Desktop\REACTIV CEFAS\Testosterone\Testosterone/20201117_Cefas_Test6-Run2/Plate 1/@16/H12_02.tif </t>
  </si>
  <si>
    <t xml:space="preserve"> 36.831 </t>
  </si>
  <si>
    <t xml:space="preserve">C:\Users\andre\Desktop\REACTIV CEFAS\Testosterone\Testosterone/20201117_Cefas_Test6-Run2/Plate 1/@16/H12_03.tif </t>
  </si>
  <si>
    <t xml:space="preserve"> 36.9754 </t>
  </si>
  <si>
    <t xml:space="preserve">C:\Users\andre\Desktop\REACTIV CEFAS\Testosterone\Testosterone/20201117_Cefas_Test6-Run2/Plate 1/@16/ </t>
  </si>
  <si>
    <t xml:space="preserve"> 34.932 </t>
  </si>
  <si>
    <t xml:space="preserve"> 8.3269 </t>
  </si>
  <si>
    <t xml:space="preserve"> 171310.625 </t>
  </si>
  <si>
    <t xml:space="preserve"> 136205.397 </t>
  </si>
  <si>
    <t>C:\Users\andre\Desktop\REACTIV CEFAS\Testosterone\Testosterone/20201117_Cefas_Test6-Run2/Plate 1/@2/A2_01- exclu.tif</t>
  </si>
  <si>
    <t>C:\Users\andre\Desktop\REACTIV CEFAS\Testosterone\Testosterone/20201117_Cefas_Test6-Run2/Plate 1/@2/A2_02- exclu.tif</t>
  </si>
  <si>
    <t>C:\Users\andre\Desktop\REACTIV CEFAS\Testosterone\Testosterone/20201117_Cefas_Test6-Run2/Plate 1/@2/A2_03- exclu.tif</t>
  </si>
  <si>
    <t xml:space="preserve">C:\Users\andre\Desktop\REACTIV CEFAS\Testosterone\Testosterone/20201117_Cefas_Test6-Run2/Plate 1/@2/B2_01.tif </t>
  </si>
  <si>
    <t xml:space="preserve"> 4369.2387 </t>
  </si>
  <si>
    <t xml:space="preserve"> 40.5248 </t>
  </si>
  <si>
    <t xml:space="preserve">C:\Users\andre\Desktop\REACTIV CEFAS\Testosterone\Testosterone/20201117_Cefas_Test6-Run2/Plate 1/@2/B2_02.tif </t>
  </si>
  <si>
    <t xml:space="preserve"> 34.8188 </t>
  </si>
  <si>
    <t xml:space="preserve">C:\Users\andre\Desktop\REACTIV CEFAS\Testosterone\Testosterone/20201117_Cefas_Test6-Run2/Plate 1/@2/B2_03.tif </t>
  </si>
  <si>
    <t xml:space="preserve"> 3157.9646 </t>
  </si>
  <si>
    <t xml:space="preserve"> 36.2877 </t>
  </si>
  <si>
    <t xml:space="preserve">C:\Users\andre\Desktop\REACTIV CEFAS\Testosterone\Testosterone/20201117_Cefas_Test6-Run2/Plate 1/@2/C2_01.tif </t>
  </si>
  <si>
    <t xml:space="preserve"> 8716.8475 </t>
  </si>
  <si>
    <t xml:space="preserve"> 40.3474 </t>
  </si>
  <si>
    <t xml:space="preserve">C:\Users\andre\Desktop\REACTIV CEFAS\Testosterone\Testosterone/20201117_Cefas_Test6-Run2/Plate 1/@2/C2_02.tif </t>
  </si>
  <si>
    <t xml:space="preserve"> 3136.3347 </t>
  </si>
  <si>
    <t xml:space="preserve"> 32.3793 </t>
  </si>
  <si>
    <t xml:space="preserve">C:\Users\andre\Desktop\REACTIV CEFAS\Testosterone\Testosterone/20201117_Cefas_Test6-Run2/Plate 1/@2/C2_03.tif </t>
  </si>
  <si>
    <t xml:space="preserve"> 5104.6551 </t>
  </si>
  <si>
    <t xml:space="preserve"> 36.1017 </t>
  </si>
  <si>
    <t xml:space="preserve">C:\Users\andre\Desktop\REACTIV CEFAS\Testosterone\Testosterone/20201117_Cefas_Test6-Run2/Plate 1/@2/D2_01.tif </t>
  </si>
  <si>
    <t xml:space="preserve"> 7700.2425 </t>
  </si>
  <si>
    <t xml:space="preserve"> 37.1292 </t>
  </si>
  <si>
    <t xml:space="preserve">C:\Users\andre\Desktop\REACTIV CEFAS\Testosterone\Testosterone/20201117_Cefas_Test6-Run2/Plate 1/@2/D2_02.tif </t>
  </si>
  <si>
    <t xml:space="preserve"> 37.2527 </t>
  </si>
  <si>
    <t xml:space="preserve">C:\Users\andre\Desktop\REACTIV CEFAS\Testosterone\Testosterone/20201117_Cefas_Test6-Run2/Plate 1/@2/D2_03.tif </t>
  </si>
  <si>
    <t xml:space="preserve"> 33.0192 </t>
  </si>
  <si>
    <t xml:space="preserve">C:\Users\andre\Desktop\REACTIV CEFAS\Testosterone\Testosterone/20201117_Cefas_Test6-Run2/Plate 1/@2/E2_01.tif </t>
  </si>
  <si>
    <t xml:space="preserve"> 14470.3995 </t>
  </si>
  <si>
    <t xml:space="preserve"> 41.7175 </t>
  </si>
  <si>
    <t xml:space="preserve">C:\Users\andre\Desktop\REACTIV CEFAS\Testosterone\Testosterone/20201117_Cefas_Test6-Run2/Plate 1/@2/E2_02.tif </t>
  </si>
  <si>
    <t xml:space="preserve"> 33.6 </t>
  </si>
  <si>
    <t>C:\Users\andre\Desktop\REACTIV CEFAS\Testosterone\Testosterone/20201117_Cefas_Test6-Run2/Plate 1/@2/E2_03- exclu.tif</t>
  </si>
  <si>
    <t xml:space="preserve">C:\Users\andre\Desktop\REACTIV CEFAS\Testosterone\Testosterone/20201117_Cefas_Test6-Run2/Plate 1/@2/F2_01.tif </t>
  </si>
  <si>
    <t>C:\Users\andre\Desktop\REACTIV CEFAS\Testosterone\Testosterone/20201117_Cefas_Test6-Run2/Plate 1/@2/F2_02- exclu.tif</t>
  </si>
  <si>
    <t>C:\Users\andre\Desktop\REACTIV CEFAS\Testosterone\Testosterone/20201117_Cefas_Test6-Run2/Plate 1/@2/F2_03- exclu.tif</t>
  </si>
  <si>
    <t>C:\Users\andre\Desktop\REACTIV CEFAS\Testosterone\Testosterone/20201117_Cefas_Test6-Run2/Plate 1/@2/G2_01- exclu.tif</t>
  </si>
  <si>
    <t xml:space="preserve">C:\Users\andre\Desktop\REACTIV CEFAS\Testosterone\Testosterone/20201117_Cefas_Test6-Run2/Plate 1/@2/G2_02.tif </t>
  </si>
  <si>
    <t xml:space="preserve"> 36.6456 </t>
  </si>
  <si>
    <t xml:space="preserve">C:\Users\andre\Desktop\REACTIV CEFAS\Testosterone\Testosterone/20201117_Cefas_Test6-Run2/Plate 1/@2/G2_03.tif </t>
  </si>
  <si>
    <t xml:space="preserve">C:\Users\andre\Desktop\REACTIV CEFAS\Testosterone\Testosterone/20201117_Cefas_Test6-Run2/Plate 1/@2/H2_01.tif </t>
  </si>
  <si>
    <t xml:space="preserve"> 36.1429 </t>
  </si>
  <si>
    <t xml:space="preserve">C:\Users\andre\Desktop\REACTIV CEFAS\Testosterone\Testosterone/20201117_Cefas_Test6-Run2/Plate 1/@2/H2_02.tif </t>
  </si>
  <si>
    <t xml:space="preserve"> 37.6983 </t>
  </si>
  <si>
    <t xml:space="preserve">C:\Users\andre\Desktop\REACTIV CEFAS\Testosterone\Testosterone/20201117_Cefas_Test6-Run2/Plate 1/@2/H2_03.tif </t>
  </si>
  <si>
    <t xml:space="preserve"> 3763.6017 </t>
  </si>
  <si>
    <t xml:space="preserve"> 35.7471 </t>
  </si>
  <si>
    <t xml:space="preserve">C:\Users\andre\Desktop\REACTIV CEFAS\Testosterone\Testosterone/20201117_Cefas_Test6-Run2/Plate 1/@2/ </t>
  </si>
  <si>
    <t xml:space="preserve"> 33.5932 </t>
  </si>
  <si>
    <t xml:space="preserve"> 14.3091 </t>
  </si>
  <si>
    <t xml:space="preserve"> 219280.333 </t>
  </si>
  <si>
    <t xml:space="preserve"> 257252.564 </t>
  </si>
  <si>
    <t xml:space="preserve">C:\Users\andre\Desktop\REACTIV CEFAS\Testosterone\Testosterone/20201117_Cefas_Test6-Run2/Plate 1/@3/A3_01.tif </t>
  </si>
  <si>
    <t xml:space="preserve"> 39.5619 </t>
  </si>
  <si>
    <t xml:space="preserve">C:\Users\andre\Desktop\REACTIV CEFAS\Testosterone\Testosterone/20201117_Cefas_Test6-Run2/Plate 1/@3/A3_02.tif </t>
  </si>
  <si>
    <t xml:space="preserve"> 692.1566 </t>
  </si>
  <si>
    <t xml:space="preserve"> 32.7812 </t>
  </si>
  <si>
    <t xml:space="preserve">C:\Users\andre\Desktop\REACTIV CEFAS\Testosterone\Testosterone/20201117_Cefas_Test6-Run2/Plate 1/@3/A3_03.tif </t>
  </si>
  <si>
    <t xml:space="preserve">C:\Users\andre\Desktop\REACTIV CEFAS\Testosterone\Testosterone/20201117_Cefas_Test6-Run2/Plate 1/@3/B3_01.tif </t>
  </si>
  <si>
    <t xml:space="preserve"> 34.4167 </t>
  </si>
  <si>
    <t xml:space="preserve">C:\Users\andre\Desktop\REACTIV CEFAS\Testosterone\Testosterone/20201117_Cefas_Test6-Run2/Plate 1/@3/B3_02.tif </t>
  </si>
  <si>
    <t xml:space="preserve"> 33.25 </t>
  </si>
  <si>
    <t>C:\Users\andre\Desktop\REACTIV CEFAS\Testosterone\Testosterone/20201117_Cefas_Test6-Run2/Plate 1/@3/B3_03- exclu.tif</t>
  </si>
  <si>
    <t xml:space="preserve">C:\Users\andre\Desktop\REACTIV CEFAS\Testosterone\Testosterone/20201117_Cefas_Test6-Run2/Plate 1/@3/C3_01.tif </t>
  </si>
  <si>
    <t xml:space="preserve"> 6121.2602 </t>
  </si>
  <si>
    <t xml:space="preserve"> 38.0813 </t>
  </si>
  <si>
    <t>C:\Users\andre\Desktop\REACTIV CEFAS\Testosterone\Testosterone/20201117_Cefas_Test6-Run2/Plate 1/@3/C3_02- exclu.tif</t>
  </si>
  <si>
    <t>C:\Users\andre\Desktop\REACTIV CEFAS\Testosterone\Testosterone/20201117_Cefas_Test6-Run2/Plate 1/@3/C3_03- exclu.tif</t>
  </si>
  <si>
    <t xml:space="preserve">C:\Users\andre\Desktop\REACTIV CEFAS\Testosterone\Testosterone/20201117_Cefas_Test6-Run2/Plate 1/@3/D3_01.tif </t>
  </si>
  <si>
    <t xml:space="preserve"> 31.2222 </t>
  </si>
  <si>
    <t xml:space="preserve">C:\Users\andre\Desktop\REACTIV CEFAS\Testosterone\Testosterone/20201117_Cefas_Test6-Run2/Plate 1/@3/D3_02.tif </t>
  </si>
  <si>
    <t xml:space="preserve">C:\Users\andre\Desktop\REACTIV CEFAS\Testosterone\Testosterone/20201117_Cefas_Test6-Run2/Plate 1/@3/D3_03.tif </t>
  </si>
  <si>
    <t xml:space="preserve"> 33.0362 </t>
  </si>
  <si>
    <t xml:space="preserve">C:\Users\andre\Desktop\REACTIV CEFAS\Testosterone\Testosterone/20201117_Cefas_Test6-Run2/Plate 1/@3/E3_01.tif </t>
  </si>
  <si>
    <t xml:space="preserve"> 40.8171 </t>
  </si>
  <si>
    <t xml:space="preserve">C:\Users\andre\Desktop\REACTIV CEFAS\Testosterone\Testosterone/20201117_Cefas_Test6-Run2/Plate 1/@3/E3_02.tif </t>
  </si>
  <si>
    <t xml:space="preserve"> 37.7931 </t>
  </si>
  <si>
    <t xml:space="preserve">C:\Users\andre\Desktop\REACTIV CEFAS\Testosterone\Testosterone/20201117_Cefas_Test6-Run2/Plate 1/@3/E3_03.tif </t>
  </si>
  <si>
    <t xml:space="preserve"> 5169.5448 </t>
  </si>
  <si>
    <t xml:space="preserve"> 36.5272 </t>
  </si>
  <si>
    <t xml:space="preserve">C:\Users\andre\Desktop\REACTIV CEFAS\Testosterone\Testosterone/20201117_Cefas_Test6-Run2/Plate 1/@3/F3_01.tif </t>
  </si>
  <si>
    <t xml:space="preserve">C:\Users\andre\Desktop\REACTIV CEFAS\Testosterone\Testosterone/20201117_Cefas_Test6-Run2/Plate 1/@3/F3_02.tif </t>
  </si>
  <si>
    <t xml:space="preserve"> 5991.4808 </t>
  </si>
  <si>
    <t xml:space="preserve"> 36.1227 </t>
  </si>
  <si>
    <t xml:space="preserve">C:\Users\andre\Desktop\REACTIV CEFAS\Testosterone\Testosterone/20201117_Cefas_Test6-Run2/Plate 1/@3/F3_03.tif </t>
  </si>
  <si>
    <t xml:space="preserve"> 39.1768 </t>
  </si>
  <si>
    <t xml:space="preserve">C:\Users\andre\Desktop\REACTIV CEFAS\Testosterone\Testosterone/20201117_Cefas_Test6-Run2/Plate 1/@3/G3_01.tif </t>
  </si>
  <si>
    <t xml:space="preserve">C:\Users\andre\Desktop\REACTIV CEFAS\Testosterone\Testosterone/20201117_Cefas_Test6-Run2/Plate 1/@3/G3_02.tif </t>
  </si>
  <si>
    <t xml:space="preserve"> 5861.7014 </t>
  </si>
  <si>
    <t xml:space="preserve"> 36.3358 </t>
  </si>
  <si>
    <t xml:space="preserve">C:\Users\andre\Desktop\REACTIV CEFAS\Testosterone\Testosterone/20201117_Cefas_Test6-Run2/Plate 1/@3/G3_03.tif </t>
  </si>
  <si>
    <t xml:space="preserve"> 6013.1107 </t>
  </si>
  <si>
    <t xml:space="preserve"> 36.4317 </t>
  </si>
  <si>
    <t xml:space="preserve">C:\Users\andre\Desktop\REACTIV CEFAS\Testosterone\Testosterone/20201117_Cefas_Test6-Run2/Plate 1/@3/H3_01.tif </t>
  </si>
  <si>
    <t xml:space="preserve">C:\Users\andre\Desktop\REACTIV CEFAS\Testosterone\Testosterone/20201117_Cefas_Test6-Run2/Plate 1/@3/H3_02.tif </t>
  </si>
  <si>
    <t xml:space="preserve"> 32.6 </t>
  </si>
  <si>
    <t xml:space="preserve">C:\Users\andre\Desktop\REACTIV CEFAS\Testosterone\Testosterone/20201117_Cefas_Test6-Run2/Plate 1/@3/H3_03.tif </t>
  </si>
  <si>
    <t xml:space="preserve"> 31.9259 </t>
  </si>
  <si>
    <t xml:space="preserve">C:\Users\andre\Desktop\REACTIV CEFAS\Testosterone\Testosterone/20201117_Cefas_Test6-Run2/Plate 1/@3/ </t>
  </si>
  <si>
    <t xml:space="preserve"> 30.8566 </t>
  </si>
  <si>
    <t xml:space="preserve"> 12.3743 </t>
  </si>
  <si>
    <t xml:space="preserve"> 110473.833 </t>
  </si>
  <si>
    <t xml:space="preserve"> 125021.735 </t>
  </si>
  <si>
    <t xml:space="preserve">C:\Users\andre\Desktop\REACTIV CEFAS\Testosterone\Testosterone/20201117_Cefas_Test6-Run2/Plate 1/@4/A4_01.tif </t>
  </si>
  <si>
    <t xml:space="preserve"> 108.1495 </t>
  </si>
  <si>
    <t xml:space="preserve"> 31.2 </t>
  </si>
  <si>
    <t xml:space="preserve">C:\Users\andre\Desktop\REACTIV CEFAS\Testosterone\Testosterone/20201117_Cefas_Test6-Run2/Plate 1/@4/A4_02.tif </t>
  </si>
  <si>
    <t xml:space="preserve"> 34.566 </t>
  </si>
  <si>
    <t>C:\Users\andre\Desktop\REACTIV CEFAS\Testosterone\Testosterone/20201117_Cefas_Test6-Run2/Plate 1/@4/A4_03- exclu.tif</t>
  </si>
  <si>
    <t xml:space="preserve">C:\Users\andre\Desktop\REACTIV CEFAS\Testosterone\Testosterone/20201117_Cefas_Test6-Run2/Plate 1/@4/B4_01.tif </t>
  </si>
  <si>
    <t xml:space="preserve"> 2184.6194 </t>
  </si>
  <si>
    <t xml:space="preserve"> 33.6733 </t>
  </si>
  <si>
    <t xml:space="preserve">C:\Users\andre\Desktop\REACTIV CEFAS\Testosterone\Testosterone/20201117_Cefas_Test6-Run2/Plate 1/@4/B4_02.tif </t>
  </si>
  <si>
    <t xml:space="preserve"> 1362.6834 </t>
  </si>
  <si>
    <t xml:space="preserve"> 32.8413 </t>
  </si>
  <si>
    <t xml:space="preserve">C:\Users\andre\Desktop\REACTIV CEFAS\Testosterone\Testosterone/20201117_Cefas_Test6-Run2/Plate 1/@4/B4_03.tif </t>
  </si>
  <si>
    <t xml:space="preserve"> 35.3793 </t>
  </si>
  <si>
    <t>C:\Users\andre\Desktop\REACTIV CEFAS\Testosterone\Testosterone/20201117_Cefas_Test6-Run2/Plate 1/@4/C4_01- exclu.tif</t>
  </si>
  <si>
    <t>C:\Users\andre\Desktop\REACTIV CEFAS\Testosterone\Testosterone/20201117_Cefas_Test6-Run2/Plate 1/@4/C4_02- exclu.tif</t>
  </si>
  <si>
    <t>C:\Users\andre\Desktop\REACTIV CEFAS\Testosterone\Testosterone/20201117_Cefas_Test6-Run2/Plate 1/@4/C4_03- exclu.tif</t>
  </si>
  <si>
    <t xml:space="preserve">C:\Users\andre\Desktop\REACTIV CEFAS\Testosterone\Testosterone/20201117_Cefas_Test6-Run2/Plate 1/@4/D4_01.tif </t>
  </si>
  <si>
    <t xml:space="preserve"> 30.75 </t>
  </si>
  <si>
    <t xml:space="preserve">C:\Users\andre\Desktop\REACTIV CEFAS\Testosterone\Testosterone/20201117_Cefas_Test6-Run2/Plate 1/@4/D4_02.tif </t>
  </si>
  <si>
    <t xml:space="preserve"> 33.8778 </t>
  </si>
  <si>
    <t xml:space="preserve">C:\Users\andre\Desktop\REACTIV CEFAS\Testosterone\Testosterone/20201117_Cefas_Test6-Run2/Plate 1/@4/D4_03.tif </t>
  </si>
  <si>
    <t xml:space="preserve"> 35.1158 </t>
  </si>
  <si>
    <t xml:space="preserve">C:\Users\andre\Desktop\REACTIV CEFAS\Testosterone\Testosterone/20201117_Cefas_Test6-Run2/Plate 1/@4/E4_01.tif </t>
  </si>
  <si>
    <t xml:space="preserve"> 37.214 </t>
  </si>
  <si>
    <t xml:space="preserve">C:\Users\andre\Desktop\REACTIV CEFAS\Testosterone\Testosterone/20201117_Cefas_Test6-Run2/Plate 1/@4/E4_02.tif </t>
  </si>
  <si>
    <t xml:space="preserve"> 302.8185 </t>
  </si>
  <si>
    <t xml:space="preserve"> 31.3571 </t>
  </si>
  <si>
    <t xml:space="preserve">C:\Users\andre\Desktop\REACTIV CEFAS\Testosterone\Testosterone/20201117_Cefas_Test6-Run2/Plate 1/@4/E4_03.tif </t>
  </si>
  <si>
    <t xml:space="preserve"> 5364.2139 </t>
  </si>
  <si>
    <t xml:space="preserve"> 40.3226 </t>
  </si>
  <si>
    <t xml:space="preserve">C:\Users\andre\Desktop\REACTIV CEFAS\Testosterone\Testosterone/20201117_Cefas_Test6-Run2/Plate 1/@4/F4_01.tif </t>
  </si>
  <si>
    <t xml:space="preserve"> 5948.221 </t>
  </si>
  <si>
    <t xml:space="preserve"> 39.2364 </t>
  </si>
  <si>
    <t xml:space="preserve">C:\Users\andre\Desktop\REACTIV CEFAS\Testosterone\Testosterone/20201117_Cefas_Test6-Run2/Plate 1/@4/F4_02.tif </t>
  </si>
  <si>
    <t xml:space="preserve"> 4239.4593 </t>
  </si>
  <si>
    <t xml:space="preserve"> 37.7806 </t>
  </si>
  <si>
    <t xml:space="preserve">C:\Users\andre\Desktop\REACTIV CEFAS\Testosterone\Testosterone/20201117_Cefas_Test6-Run2/Plate 1/@4/F4_03.tif </t>
  </si>
  <si>
    <t xml:space="preserve"> 4174.5697 </t>
  </si>
  <si>
    <t xml:space="preserve"> 36.9275 </t>
  </si>
  <si>
    <t xml:space="preserve">C:\Users\andre\Desktop\REACTIV CEFAS\Testosterone\Testosterone/20201117_Cefas_Test6-Run2/Plate 1/@4/G4_01.tif </t>
  </si>
  <si>
    <t xml:space="preserve"> 41.3094 </t>
  </si>
  <si>
    <t xml:space="preserve">C:\Users\andre\Desktop\REACTIV CEFAS\Testosterone\Testosterone/20201117_Cefas_Test6-Run2/Plate 1/@4/G4_02.tif </t>
  </si>
  <si>
    <t xml:space="preserve"> 34.8642 </t>
  </si>
  <si>
    <t>C:\Users\andre\Desktop\REACTIV CEFAS\Testosterone\Testosterone/20201117_Cefas_Test6-Run2/Plate 1/@4/G4_03- exclu.tif</t>
  </si>
  <si>
    <t xml:space="preserve">C:\Users\andre\Desktop\REACTIV CEFAS\Testosterone\Testosterone/20201117_Cefas_Test6-Run2/Plate 1/@4/H4_01.tif </t>
  </si>
  <si>
    <t xml:space="preserve"> 4023.1604 </t>
  </si>
  <si>
    <t xml:space="preserve"> 35.4946 </t>
  </si>
  <si>
    <t xml:space="preserve">C:\Users\andre\Desktop\REACTIV CEFAS\Testosterone\Testosterone/20201117_Cefas_Test6-Run2/Plate 1/@4/H4_02.tif </t>
  </si>
  <si>
    <t xml:space="preserve"> 38.1379 </t>
  </si>
  <si>
    <t xml:space="preserve">C:\Users\andre\Desktop\REACTIV CEFAS\Testosterone\Testosterone/20201117_Cefas_Test6-Run2/Plate 1/@4/H4_03.tif </t>
  </si>
  <si>
    <t xml:space="preserve"> 9279.2248 </t>
  </si>
  <si>
    <t xml:space="preserve"> 38.7902 </t>
  </si>
  <si>
    <t xml:space="preserve">C:\Users\andre\Desktop\REACTIV CEFAS\Testosterone\Testosterone/20201117_Cefas_Test6-Run2/Plate 1/@4/ </t>
  </si>
  <si>
    <t xml:space="preserve"> 34.3947 </t>
  </si>
  <si>
    <t xml:space="preserve"> 12.3707 </t>
  </si>
  <si>
    <t xml:space="preserve"> 205544.333 </t>
  </si>
  <si>
    <t xml:space="preserve"> 255013.901 </t>
  </si>
  <si>
    <t xml:space="preserve">C:\Users\andre\Desktop\REACTIV CEFAS\Testosterone\Testosterone/20201117_Cefas_Test6-Run2/Plate 1/@5/A5_01.tif </t>
  </si>
  <si>
    <t xml:space="preserve">C:\Users\andre\Desktop\REACTIV CEFAS\Testosterone\Testosterone/20201117_Cefas_Test6-Run2/Plate 1/@5/A5_02.tif </t>
  </si>
  <si>
    <t>C:\Users\andre\Desktop\REACTIV CEFAS\Testosterone\Testosterone/20201117_Cefas_Test6-Run2/Plate 1/@5/A5_03- exclu.tif</t>
  </si>
  <si>
    <t xml:space="preserve">C:\Users\andre\Desktop\REACTIV CEFAS\Testosterone\Testosterone/20201117_Cefas_Test6-Run2/Plate 1/@5/B5_01.tif </t>
  </si>
  <si>
    <t xml:space="preserve"> 25523.2757 </t>
  </si>
  <si>
    <t xml:space="preserve"> 33.15 </t>
  </si>
  <si>
    <t xml:space="preserve">C:\Users\andre\Desktop\REACTIV CEFAS\Testosterone\Testosterone/20201117_Cefas_Test6-Run2/Plate 1/@5/B5_02.tif </t>
  </si>
  <si>
    <t xml:space="preserve"> 39128.4794 </t>
  </si>
  <si>
    <t xml:space="preserve"> 35.4024 </t>
  </si>
  <si>
    <t xml:space="preserve">C:\Users\andre\Desktop\REACTIV CEFAS\Testosterone\Testosterone/20201117_Cefas_Test6-Run2/Plate 1/@5/B5_03.tif </t>
  </si>
  <si>
    <t xml:space="preserve"> 34845.7602 </t>
  </si>
  <si>
    <t xml:space="preserve"> 34.509 </t>
  </si>
  <si>
    <t xml:space="preserve">C:\Users\andre\Desktop\REACTIV CEFAS\Testosterone\Testosterone/20201117_Cefas_Test6-Run2/Plate 1/@5/C5_01.tif </t>
  </si>
  <si>
    <t xml:space="preserve"> 2011.5802 </t>
  </si>
  <si>
    <t xml:space="preserve"> 34.129 </t>
  </si>
  <si>
    <t xml:space="preserve">C:\Users\andre\Desktop\REACTIV CEFAS\Testosterone\Testosterone/20201117_Cefas_Test6-Run2/Plate 1/@5/C5_02.tif </t>
  </si>
  <si>
    <t xml:space="preserve"> 31.4688 </t>
  </si>
  <si>
    <t xml:space="preserve">C:\Users\andre\Desktop\REACTIV CEFAS\Testosterone\Testosterone/20201117_Cefas_Test6-Run2/Plate 1/@5/C5_03.tif </t>
  </si>
  <si>
    <t xml:space="preserve">C:\Users\andre\Desktop\REACTIV CEFAS\Testosterone\Testosterone/20201117_Cefas_Test6-Run2/Plate 1/@5/D5_01.tif </t>
  </si>
  <si>
    <t>C:\Users\andre\Desktop\REACTIV CEFAS\Testosterone\Testosterone/20201117_Cefas_Test6-Run2/Plate 1/@5/D5_02- exclu.tif</t>
  </si>
  <si>
    <t xml:space="preserve">C:\Users\andre\Desktop\REACTIV CEFAS\Testosterone\Testosterone/20201117_Cefas_Test6-Run2/Plate 1/@5/D5_03.tif </t>
  </si>
  <si>
    <t xml:space="preserve">C:\Users\andre\Desktop\REACTIV CEFAS\Testosterone\Testosterone/20201117_Cefas_Test6-Run2/Plate 1/@5/E5_01.tif </t>
  </si>
  <si>
    <t xml:space="preserve"> 30995.639 </t>
  </si>
  <si>
    <t xml:space="preserve"> 31.529 </t>
  </si>
  <si>
    <t xml:space="preserve">C:\Users\andre\Desktop\REACTIV CEFAS\Testosterone\Testosterone/20201117_Cefas_Test6-Run2/Plate 1/@5/E5_02.tif </t>
  </si>
  <si>
    <t xml:space="preserve"> 31.3926 </t>
  </si>
  <si>
    <t xml:space="preserve">C:\Users\andre\Desktop\REACTIV CEFAS\Testosterone\Testosterone/20201117_Cefas_Test6-Run2/Plate 1/@5/E5_03.tif </t>
  </si>
  <si>
    <t xml:space="preserve"> 14275.7305 </t>
  </si>
  <si>
    <t xml:space="preserve"> 31.4091 </t>
  </si>
  <si>
    <t xml:space="preserve">C:\Users\andre\Desktop\REACTIV CEFAS\Testosterone\Testosterone/20201117_Cefas_Test6-Run2/Plate 1/@5/F5_01.tif </t>
  </si>
  <si>
    <t xml:space="preserve">C:\Users\andre\Desktop\REACTIV CEFAS\Testosterone\Testosterone/20201117_Cefas_Test6-Run2/Plate 1/@5/F5_02.tif </t>
  </si>
  <si>
    <t xml:space="preserve"> 713.7865 </t>
  </si>
  <si>
    <t xml:space="preserve"> 31.1515 </t>
  </si>
  <si>
    <t xml:space="preserve">C:\Users\andre\Desktop\REACTIV CEFAS\Testosterone\Testosterone/20201117_Cefas_Test6-Run2/Plate 1/@5/F5_03.tif </t>
  </si>
  <si>
    <t xml:space="preserve">C:\Users\andre\Desktop\REACTIV CEFAS\Testosterone\Testosterone/20201117_Cefas_Test6-Run2/Plate 1/@5/G5_01.tif </t>
  </si>
  <si>
    <t xml:space="preserve"> 6424.0787 </t>
  </si>
  <si>
    <t xml:space="preserve"> 40.3232 </t>
  </si>
  <si>
    <t xml:space="preserve">C:\Users\andre\Desktop\REACTIV CEFAS\Testosterone\Testosterone/20201117_Cefas_Test6-Run2/Plate 1/@5/G5_02.tif </t>
  </si>
  <si>
    <t xml:space="preserve"> 3915.0109 </t>
  </si>
  <si>
    <t xml:space="preserve"> 36.9116 </t>
  </si>
  <si>
    <t xml:space="preserve">C:\Users\andre\Desktop\REACTIV CEFAS\Testosterone\Testosterone/20201117_Cefas_Test6-Run2/Plate 1/@5/G5_03.tif </t>
  </si>
  <si>
    <t xml:space="preserve"> 35.4682 </t>
  </si>
  <si>
    <t xml:space="preserve">C:\Users\andre\Desktop\REACTIV CEFAS\Testosterone\Testosterone/20201117_Cefas_Test6-Run2/Plate 1/@5/H5_01.tif </t>
  </si>
  <si>
    <t xml:space="preserve"> 2725.3667 </t>
  </si>
  <si>
    <t xml:space="preserve"> 33.3095 </t>
  </si>
  <si>
    <t xml:space="preserve">C:\Users\andre\Desktop\REACTIV CEFAS\Testosterone\Testosterone/20201117_Cefas_Test6-Run2/Plate 1/@5/H5_02.tif </t>
  </si>
  <si>
    <t xml:space="preserve"> 5602.1427 </t>
  </si>
  <si>
    <t xml:space="preserve"> 39.1506 </t>
  </si>
  <si>
    <t xml:space="preserve">C:\Users\andre\Desktop\REACTIV CEFAS\Testosterone\Testosterone/20201117_Cefas_Test6-Run2/Plate 1/@5/H5_03.tif </t>
  </si>
  <si>
    <t xml:space="preserve"> 34.2035 </t>
  </si>
  <si>
    <t xml:space="preserve">C:\Users\andre\Desktop\REACTIV CEFAS\Testosterone\Testosterone/20201117_Cefas_Test6-Run2/Plate 1/@5/ </t>
  </si>
  <si>
    <t xml:space="preserve"> 24.0956 </t>
  </si>
  <si>
    <t xml:space="preserve"> 15.9608 </t>
  </si>
  <si>
    <t xml:space="preserve"> 251220.417 </t>
  </si>
  <si>
    <t xml:space="preserve"> 412272.07 </t>
  </si>
  <si>
    <t xml:space="preserve">C:\Users\andre\Desktop\REACTIV CEFAS\Testosterone\Testosterone/20201117_Cefas_Test6-Run2/Plate 1/@6/A6_01.tif </t>
  </si>
  <si>
    <t xml:space="preserve"> 51154.7008 </t>
  </si>
  <si>
    <t xml:space="preserve"> 41.814 </t>
  </si>
  <si>
    <t xml:space="preserve">C:\Users\andre\Desktop\REACTIV CEFAS\Testosterone\Testosterone/20201117_Cefas_Test6-Run2/Plate 1/@6/A6_02.tif </t>
  </si>
  <si>
    <t xml:space="preserve"> 48861.932 </t>
  </si>
  <si>
    <t xml:space="preserve"> 44.9637 </t>
  </si>
  <si>
    <t xml:space="preserve">C:\Users\andre\Desktop\REACTIV CEFAS\Testosterone\Testosterone/20201117_Cefas_Test6-Run2/Plate 1/@6/A6_03.tif </t>
  </si>
  <si>
    <t xml:space="preserve"> 66036.0683 </t>
  </si>
  <si>
    <t xml:space="preserve"> 42.0606 </t>
  </si>
  <si>
    <t xml:space="preserve">C:\Users\andre\Desktop\REACTIV CEFAS\Testosterone\Testosterone/20201117_Cefas_Test6-Run2/Plate 1/@6/B6_01.tif </t>
  </si>
  <si>
    <t xml:space="preserve"> 50938.4019 </t>
  </si>
  <si>
    <t xml:space="preserve"> 46.118 </t>
  </si>
  <si>
    <t xml:space="preserve">C:\Users\andre\Desktop\REACTIV CEFAS\Testosterone\Testosterone/20201117_Cefas_Test6-Run2/Plate 1/@6/B6_02.tif </t>
  </si>
  <si>
    <t xml:space="preserve"> 53620.5088 </t>
  </si>
  <si>
    <t xml:space="preserve"> 42.1436 </t>
  </si>
  <si>
    <t xml:space="preserve">C:\Users\andre\Desktop\REACTIV CEFAS\Testosterone\Testosterone/20201117_Cefas_Test6-Run2/Plate 1/@6/B6_03.tif </t>
  </si>
  <si>
    <t xml:space="preserve"> 46742.2023 </t>
  </si>
  <si>
    <t xml:space="preserve"> 46.0639 </t>
  </si>
  <si>
    <t xml:space="preserve">C:\Users\andre\Desktop\REACTIV CEFAS\Testosterone\Testosterone/20201117_Cefas_Test6-Run2/Plate 1/@6/C6_01.tif </t>
  </si>
  <si>
    <t xml:space="preserve"> 61126.0822 </t>
  </si>
  <si>
    <t xml:space="preserve"> 46.3857 </t>
  </si>
  <si>
    <t xml:space="preserve">C:\Users\andre\Desktop\REACTIV CEFAS\Testosterone\Testosterone/20201117_Cefas_Test6-Run2/Plate 1/@6/C6_02.tif </t>
  </si>
  <si>
    <t xml:space="preserve"> 58681.9041 </t>
  </si>
  <si>
    <t xml:space="preserve"> 49.2525 </t>
  </si>
  <si>
    <t xml:space="preserve">C:\Users\andre\Desktop\REACTIV CEFAS\Testosterone\Testosterone/20201117_Cefas_Test6-Run2/Plate 1/@6/C6_03.tif </t>
  </si>
  <si>
    <t xml:space="preserve"> 61991.278 </t>
  </si>
  <si>
    <t xml:space="preserve"> 48.1553 </t>
  </si>
  <si>
    <t>C:\Users\andre\Desktop\REACTIV CEFAS\Testosterone\Testosterone/20201117_Cefas_Test6-Run2/Plate 1/@6/D6_01- exclu.tif</t>
  </si>
  <si>
    <t>C:\Users\andre\Desktop\REACTIV CEFAS\Testosterone\Testosterone/20201117_Cefas_Test6-Run2/Plate 1/@6/D6_02- exclu.tif</t>
  </si>
  <si>
    <t>C:\Users\andre\Desktop\REACTIV CEFAS\Testosterone\Testosterone/20201117_Cefas_Test6-Run2/Plate 1/@6/D6_03- exclu.tif</t>
  </si>
  <si>
    <t xml:space="preserve">C:\Users\andre\Desktop\REACTIV CEFAS\Testosterone\Testosterone/20201117_Cefas_Test6-Run2/Plate 1/@6/E6_01.tif </t>
  </si>
  <si>
    <t xml:space="preserve"> 99194.6968 </t>
  </si>
  <si>
    <t xml:space="preserve"> 50.1742 </t>
  </si>
  <si>
    <t xml:space="preserve">C:\Users\andre\Desktop\REACTIV CEFAS\Testosterone\Testosterone/20201117_Cefas_Test6-Run2/Plate 1/@6/E6_02.tif </t>
  </si>
  <si>
    <t xml:space="preserve"> 98653.9494 </t>
  </si>
  <si>
    <t xml:space="preserve"> 47.4389 </t>
  </si>
  <si>
    <t xml:space="preserve">C:\Users\andre\Desktop\REACTIV CEFAS\Testosterone\Testosterone/20201117_Cefas_Test6-Run2/Plate 1/@6/E6_03.tif </t>
  </si>
  <si>
    <t xml:space="preserve"> 45.7331 </t>
  </si>
  <si>
    <t xml:space="preserve">C:\Users\andre\Desktop\REACTIV CEFAS\Testosterone\Testosterone/20201117_Cefas_Test6-Run2/Plate 1/@6/F6_01.tif </t>
  </si>
  <si>
    <t xml:space="preserve"> 49143.1206 </t>
  </si>
  <si>
    <t xml:space="preserve"> 43.5066 </t>
  </si>
  <si>
    <t xml:space="preserve">C:\Users\andre\Desktop\REACTIV CEFAS\Testosterone\Testosterone/20201117_Cefas_Test6-Run2/Plate 1/@6/F6_02.tif </t>
  </si>
  <si>
    <t xml:space="preserve"> 47023.3909 </t>
  </si>
  <si>
    <t xml:space="preserve"> 45.4742 </t>
  </si>
  <si>
    <t xml:space="preserve">C:\Users\andre\Desktop\REACTIV CEFAS\Testosterone\Testosterone/20201117_Cefas_Test6-Run2/Plate 1/@6/F6_03.tif </t>
  </si>
  <si>
    <t xml:space="preserve"> 49792.0174 </t>
  </si>
  <si>
    <t xml:space="preserve"> 49.2024 </t>
  </si>
  <si>
    <t xml:space="preserve">C:\Users\andre\Desktop\REACTIV CEFAS\Testosterone\Testosterone/20201117_Cefas_Test6-Run2/Plate 1/@6/G6_01.tif </t>
  </si>
  <si>
    <t xml:space="preserve"> 68090.9083 </t>
  </si>
  <si>
    <t xml:space="preserve"> 43.0492 </t>
  </si>
  <si>
    <t xml:space="preserve">C:\Users\andre\Desktop\REACTIV CEFAS\Testosterone\Testosterone/20201117_Cefas_Test6-Run2/Plate 1/@6/G6_02.tif </t>
  </si>
  <si>
    <t xml:space="preserve"> 45.5941 </t>
  </si>
  <si>
    <t xml:space="preserve">C:\Users\andre\Desktop\REACTIV CEFAS\Testosterone\Testosterone/20201117_Cefas_Test6-Run2/Plate 1/@6/G6_03.tif </t>
  </si>
  <si>
    <t xml:space="preserve"> 54918.3025 </t>
  </si>
  <si>
    <t xml:space="preserve"> 42.0654 </t>
  </si>
  <si>
    <t xml:space="preserve">C:\Users\andre\Desktop\REACTIV CEFAS\Testosterone\Testosterone/20201117_Cefas_Test6-Run2/Plate 1/@6/H6_01.tif </t>
  </si>
  <si>
    <t xml:space="preserve"> 67506.9011 </t>
  </si>
  <si>
    <t xml:space="preserve"> 43.2634 </t>
  </si>
  <si>
    <t xml:space="preserve">C:\Users\andre\Desktop\REACTIV CEFAS\Testosterone\Testosterone/20201117_Cefas_Test6-Run2/Plate 1/@6/H6_02.tif </t>
  </si>
  <si>
    <t xml:space="preserve"> 62726.6944 </t>
  </si>
  <si>
    <t xml:space="preserve"> 40.13 </t>
  </si>
  <si>
    <t xml:space="preserve">C:\Users\andre\Desktop\REACTIV CEFAS\Testosterone\Testosterone/20201117_Cefas_Test6-Run2/Plate 1/@6/H6_03.tif </t>
  </si>
  <si>
    <t xml:space="preserve"> 56691.9538 </t>
  </si>
  <si>
    <t xml:space="preserve"> 44.2068 </t>
  </si>
  <si>
    <t xml:space="preserve">C:\Users\andre\Desktop\REACTIV CEFAS\Testosterone\Testosterone/20201117_Cefas_Test6-Run2/Plate 1/@6/ </t>
  </si>
  <si>
    <t xml:space="preserve"> 44.8068 </t>
  </si>
  <si>
    <t xml:space="preserve"> 2.6848 </t>
  </si>
  <si>
    <t xml:space="preserve"> 2605293.71 </t>
  </si>
  <si>
    <t xml:space="preserve"> 953547.293 </t>
  </si>
  <si>
    <t xml:space="preserve">C:\Users\andre\Desktop\REACTIV CEFAS\Testosterone\Testosterone/20201117_Cefas_Test6-Run2/Plate 1/@7/A7_01.tif </t>
  </si>
  <si>
    <t xml:space="preserve"> 80701.1369 </t>
  </si>
  <si>
    <t xml:space="preserve"> 58.9461 </t>
  </si>
  <si>
    <t xml:space="preserve">C:\Users\andre\Desktop\REACTIV CEFAS\Testosterone\Testosterone/20201117_Cefas_Test6-Run2/Plate 1/@7/A7_02.tif </t>
  </si>
  <si>
    <t xml:space="preserve"> 92035.2016 </t>
  </si>
  <si>
    <t xml:space="preserve"> 52.6531 </t>
  </si>
  <si>
    <t xml:space="preserve">C:\Users\andre\Desktop\REACTIV CEFAS\Testosterone\Testosterone/20201117_Cefas_Test6-Run2/Plate 1/@7/A7_03.tif </t>
  </si>
  <si>
    <t xml:space="preserve"> 89309.8349 </t>
  </si>
  <si>
    <t xml:space="preserve"> 57.2662 </t>
  </si>
  <si>
    <t xml:space="preserve">C:\Users\andre\Desktop\REACTIV CEFAS\Testosterone\Testosterone/20201117_Cefas_Test6-Run2/Plate 1/@7/B7_01.tif </t>
  </si>
  <si>
    <t xml:space="preserve"> 68004.3887 </t>
  </si>
  <si>
    <t xml:space="preserve"> 53.833 </t>
  </si>
  <si>
    <t xml:space="preserve">C:\Users\andre\Desktop\REACTIV CEFAS\Testosterone\Testosterone/20201117_Cefas_Test6-Run2/Plate 1/@7/B7_02.tif </t>
  </si>
  <si>
    <t xml:space="preserve"> 67377.1218 </t>
  </si>
  <si>
    <t xml:space="preserve"> 54.2421 </t>
  </si>
  <si>
    <t xml:space="preserve">C:\Users\andre\Desktop\REACTIV CEFAS\Testosterone\Testosterone/20201117_Cefas_Test6-Run2/Plate 1/@7/B7_03.tif </t>
  </si>
  <si>
    <t xml:space="preserve"> 67160.8228 </t>
  </si>
  <si>
    <t xml:space="preserve"> 53.9233 </t>
  </si>
  <si>
    <t xml:space="preserve">C:\Users\andre\Desktop\REACTIV CEFAS\Testosterone\Testosterone/20201117_Cefas_Test6-Run2/Plate 1/@7/C7_01.tif </t>
  </si>
  <si>
    <t xml:space="preserve"> 91191.6358 </t>
  </si>
  <si>
    <t xml:space="preserve"> 53.6708 </t>
  </si>
  <si>
    <t xml:space="preserve">C:\Users\andre\Desktop\REACTIV CEFAS\Testosterone\Testosterone/20201117_Cefas_Test6-Run2/Plate 1/@7/C7_02.tif </t>
  </si>
  <si>
    <t xml:space="preserve"> 77997.4 </t>
  </si>
  <si>
    <t xml:space="preserve"> 55.8747 </t>
  </si>
  <si>
    <t xml:space="preserve">C:\Users\andre\Desktop\REACTIV CEFAS\Testosterone\Testosterone/20201117_Cefas_Test6-Run2/Plate 1/@7/C7_03.tif </t>
  </si>
  <si>
    <t xml:space="preserve"> 81739.3718 </t>
  </si>
  <si>
    <t xml:space="preserve"> 55.7997 </t>
  </si>
  <si>
    <t xml:space="preserve">C:\Users\andre\Desktop\REACTIV CEFAS\Testosterone\Testosterone/20201117_Cefas_Test6-Run2/Plate 1/@7/D7_01.tif </t>
  </si>
  <si>
    <t xml:space="preserve"> 78429.9979 </t>
  </si>
  <si>
    <t xml:space="preserve"> 55.2722 </t>
  </si>
  <si>
    <t xml:space="preserve">C:\Users\andre\Desktop\REACTIV CEFAS\Testosterone\Testosterone/20201117_Cefas_Test6-Run2/Plate 1/@7/D7_02.tif </t>
  </si>
  <si>
    <t xml:space="preserve"> 80549.7276 </t>
  </si>
  <si>
    <t xml:space="preserve"> 57.1321 </t>
  </si>
  <si>
    <t xml:space="preserve">C:\Users\andre\Desktop\REACTIV CEFAS\Testosterone\Testosterone/20201117_Cefas_Test6-Run2/Plate 1/@7/D7_03.tif </t>
  </si>
  <si>
    <t xml:space="preserve"> 78148.8093 </t>
  </si>
  <si>
    <t xml:space="preserve"> 54.6028 </t>
  </si>
  <si>
    <t>C:\Users\andre\Desktop\REACTIV CEFAS\Testosterone\Testosterone/20201117_Cefas_Test6-Run2/Plate 1/@7/E7_01- exclu.tif</t>
  </si>
  <si>
    <t xml:space="preserve">C:\Users\andre\Desktop\REACTIV CEFAS\Testosterone\Testosterone/20201117_Cefas_Test6-Run2/Plate 1/@7/E7_02.tif </t>
  </si>
  <si>
    <t xml:space="preserve"> 65841.3993 </t>
  </si>
  <si>
    <t xml:space="preserve"> 59.1659 </t>
  </si>
  <si>
    <t>C:\Users\andre\Desktop\REACTIV CEFAS\Testosterone\Testosterone/20201117_Cefas_Test6-Run2/Plate 1/@7/E7_03- exclu.tif</t>
  </si>
  <si>
    <t xml:space="preserve">C:\Users\andre\Desktop\REACTIV CEFAS\Testosterone\Testosterone/20201117_Cefas_Test6-Run2/Plate 1/@7/F7_01.tif </t>
  </si>
  <si>
    <t xml:space="preserve"> 71205.6131 </t>
  </si>
  <si>
    <t xml:space="preserve"> 60.2846 </t>
  </si>
  <si>
    <t xml:space="preserve">C:\Users\andre\Desktop\REACTIV CEFAS\Testosterone\Testosterone/20201117_Cefas_Test6-Run2/Plate 1/@7/F7_02.tif </t>
  </si>
  <si>
    <t xml:space="preserve"> 62.5481 </t>
  </si>
  <si>
    <t xml:space="preserve">C:\Users\andre\Desktop\REACTIV CEFAS\Testosterone\Testosterone/20201117_Cefas_Test6-Run2/Plate 1/@7/F7_03.tif </t>
  </si>
  <si>
    <t xml:space="preserve"> 60152.737 </t>
  </si>
  <si>
    <t xml:space="preserve"> 60.8565 </t>
  </si>
  <si>
    <t xml:space="preserve">C:\Users\andre\Desktop\REACTIV CEFAS\Testosterone\Testosterone/20201117_Cefas_Test6-Run2/Plate 1/@7/G7_01.tif </t>
  </si>
  <si>
    <t xml:space="preserve"> 73173.9335 </t>
  </si>
  <si>
    <t xml:space="preserve"> 62.5782 </t>
  </si>
  <si>
    <t xml:space="preserve">C:\Users\andre\Desktop\REACTIV CEFAS\Testosterone\Testosterone/20201117_Cefas_Test6-Run2/Plate 1/@7/G7_02.tif </t>
  </si>
  <si>
    <t xml:space="preserve"> 79078.8948 </t>
  </si>
  <si>
    <t xml:space="preserve"> 59.5364 </t>
  </si>
  <si>
    <t xml:space="preserve">C:\Users\andre\Desktop\REACTIV CEFAS\Testosterone\Testosterone/20201117_Cefas_Test6-Run2/Plate 1/@7/G7_03.tif </t>
  </si>
  <si>
    <t xml:space="preserve"> 73022.5243 </t>
  </si>
  <si>
    <t xml:space="preserve"> 59.0649 </t>
  </si>
  <si>
    <t xml:space="preserve">C:\Users\andre\Desktop\REACTIV CEFAS\Testosterone\Testosterone/20201117_Cefas_Test6-Run2/Plate 1/@7/H7_01.tif </t>
  </si>
  <si>
    <t xml:space="preserve"> 104256.092 </t>
  </si>
  <si>
    <t xml:space="preserve"> 53.838 </t>
  </si>
  <si>
    <t xml:space="preserve">C:\Users\andre\Desktop\REACTIV CEFAS\Testosterone\Testosterone/20201117_Cefas_Test6-Run2/Plate 1/@7/H7_02.tif </t>
  </si>
  <si>
    <t xml:space="preserve"> 89180.0556 </t>
  </si>
  <si>
    <t xml:space="preserve"> 52.5768 </t>
  </si>
  <si>
    <t xml:space="preserve">C:\Users\andre\Desktop\REACTIV CEFAS\Testosterone\Testosterone/20201117_Cefas_Test6-Run2/Plate 1/@7/H7_03.tif </t>
  </si>
  <si>
    <t xml:space="preserve"> 89288.205 </t>
  </si>
  <si>
    <t xml:space="preserve"> 54.6105 </t>
  </si>
  <si>
    <t xml:space="preserve">C:\Users\andre\Desktop\REACTIV CEFAS\Testosterone\Testosterone/20201117_Cefas_Test6-Run2/Plate 1/@7/ </t>
  </si>
  <si>
    <t xml:space="preserve"> 56.6624 </t>
  </si>
  <si>
    <t xml:space="preserve"> 3.0301 </t>
  </si>
  <si>
    <t xml:space="preserve"> 4287507.5 </t>
  </si>
  <si>
    <t xml:space="preserve"> 665763.613 </t>
  </si>
  <si>
    <t>C:\Users\andre\Desktop\REACTIV CEFAS\Testosterone\Testosterone/20201117_Cefas_Test6-Run2/Plate 2/@10/A4_01- exclu.tif</t>
  </si>
  <si>
    <t xml:space="preserve">C:\Users\andre\Desktop\REACTIV CEFAS\Testosterone\Testosterone/20201117_Cefas_Test6-Run2/Plate 2/@10/A4_02.tif </t>
  </si>
  <si>
    <t xml:space="preserve"> 57881.598 </t>
  </si>
  <si>
    <t xml:space="preserve"> 41.7762 </t>
  </si>
  <si>
    <t xml:space="preserve">C:\Users\andre\Desktop\REACTIV CEFAS\Testosterone\Testosterone/20201117_Cefas_Test6-Run2/Plate 2/@10/A4_03.tif </t>
  </si>
  <si>
    <t xml:space="preserve"> 51608.9286 </t>
  </si>
  <si>
    <t xml:space="preserve"> 39.6798 </t>
  </si>
  <si>
    <t xml:space="preserve">C:\Users\andre\Desktop\REACTIV CEFAS\Testosterone\Testosterone/20201117_Cefas_Test6-Run2/Plate 2/@10/B4_01.tif </t>
  </si>
  <si>
    <t xml:space="preserve"> 27361.8167 </t>
  </si>
  <si>
    <t xml:space="preserve"> 34.8957 </t>
  </si>
  <si>
    <t xml:space="preserve">C:\Users\andre\Desktop\REACTIV CEFAS\Testosterone\Testosterone/20201117_Cefas_Test6-Run2/Plate 2/@10/B4_02.tif </t>
  </si>
  <si>
    <t xml:space="preserve"> 26604.7704 </t>
  </si>
  <si>
    <t xml:space="preserve"> 34.9634 </t>
  </si>
  <si>
    <t xml:space="preserve">C:\Users\andre\Desktop\REACTIV CEFAS\Testosterone\Testosterone/20201117_Cefas_Test6-Run2/Plate 2/@10/B4_03.tif </t>
  </si>
  <si>
    <t xml:space="preserve"> 35018.7994 </t>
  </si>
  <si>
    <t xml:space="preserve"> 37.5466 </t>
  </si>
  <si>
    <t>C:\Users\andre\Desktop\REACTIV CEFAS\Testosterone\Testosterone/20201117_Cefas_Test6-Run2/Plate 2/@10/C4_01- exclu.tif</t>
  </si>
  <si>
    <t>C:\Users\andre\Desktop\REACTIV CEFAS\Testosterone\Testosterone/20201117_Cefas_Test6-Run2/Plate 2/@10/C4_02- exclu.tif</t>
  </si>
  <si>
    <t>C:\Users\andre\Desktop\REACTIV CEFAS\Testosterone\Testosterone/20201117_Cefas_Test6-Run2/Plate 2/@10/C4_03- exclu.tif</t>
  </si>
  <si>
    <t xml:space="preserve">C:\Users\andre\Desktop\REACTIV CEFAS\Testosterone\Testosterone/20201117_Cefas_Test6-Run2/Plate 2/@10/D4_01.tif </t>
  </si>
  <si>
    <t xml:space="preserve"> 27340.1868 </t>
  </si>
  <si>
    <t xml:space="preserve"> 37.4074 </t>
  </si>
  <si>
    <t xml:space="preserve">C:\Users\andre\Desktop\REACTIV CEFAS\Testosterone\Testosterone/20201117_Cefas_Test6-Run2/Plate 2/@10/D4_02.tif </t>
  </si>
  <si>
    <t xml:space="preserve"> 16763.1683 </t>
  </si>
  <si>
    <t xml:space="preserve"> 37.5394 </t>
  </si>
  <si>
    <t xml:space="preserve">C:\Users\andre\Desktop\REACTIV CEFAS\Testosterone\Testosterone/20201117_Cefas_Test6-Run2/Plate 2/@10/D4_03.tif </t>
  </si>
  <si>
    <t xml:space="preserve"> 26431.7312 </t>
  </si>
  <si>
    <t xml:space="preserve"> 39.0008 </t>
  </si>
  <si>
    <t xml:space="preserve">C:\Users\andre\Desktop\REACTIV CEFAS\Testosterone\Testosterone/20201117_Cefas_Test6-Run2/Plate 2/@10/E4_01.tif </t>
  </si>
  <si>
    <t xml:space="preserve"> 25458.386 </t>
  </si>
  <si>
    <t xml:space="preserve"> 35.3042 </t>
  </si>
  <si>
    <t xml:space="preserve">C:\Users\andre\Desktop\REACTIV CEFAS\Testosterone\Testosterone/20201117_Cefas_Test6-Run2/Plate 2/@10/E4_02.tif </t>
  </si>
  <si>
    <t xml:space="preserve"> 17649.994 </t>
  </si>
  <si>
    <t xml:space="preserve"> 35.5846 </t>
  </si>
  <si>
    <t xml:space="preserve">C:\Users\andre\Desktop\REACTIV CEFAS\Testosterone\Testosterone/20201117_Cefas_Test6-Run2/Plate 2/@10/E4_03.tif </t>
  </si>
  <si>
    <t xml:space="preserve"> 12783.2677 </t>
  </si>
  <si>
    <t xml:space="preserve"> 33.088 </t>
  </si>
  <si>
    <t xml:space="preserve">C:\Users\andre\Desktop\REACTIV CEFAS\Testosterone\Testosterone/20201117_Cefas_Test6-Run2/Plate 2/@10/F4_01.tif </t>
  </si>
  <si>
    <t xml:space="preserve"> 34.8639 </t>
  </si>
  <si>
    <t xml:space="preserve">C:\Users\andre\Desktop\REACTIV CEFAS\Testosterone\Testosterone/20201117_Cefas_Test6-Run2/Plate 2/@10/F4_02.tif </t>
  </si>
  <si>
    <t xml:space="preserve"> 35170.2087 </t>
  </si>
  <si>
    <t xml:space="preserve"> 35.2128 </t>
  </si>
  <si>
    <t xml:space="preserve">C:\Users\andre\Desktop\REACTIV CEFAS\Testosterone\Testosterone/20201117_Cefas_Test6-Run2/Plate 2/@10/F4_03.tif </t>
  </si>
  <si>
    <t xml:space="preserve"> 40556.0524 </t>
  </si>
  <si>
    <t xml:space="preserve"> 35.2464 </t>
  </si>
  <si>
    <t xml:space="preserve">C:\Users\andre\Desktop\REACTIV CEFAS\Testosterone\Testosterone/20201117_Cefas_Test6-Run2/Plate 2/@10/G4_01.tif </t>
  </si>
  <si>
    <t xml:space="preserve"> 42416.2234 </t>
  </si>
  <si>
    <t xml:space="preserve"> 42.8552 </t>
  </si>
  <si>
    <t xml:space="preserve">C:\Users\andre\Desktop\REACTIV CEFAS\Testosterone\Testosterone/20201117_Cefas_Test6-Run2/Plate 2/@10/G4_02.tif </t>
  </si>
  <si>
    <t xml:space="preserve"> 43216.5295 </t>
  </si>
  <si>
    <t xml:space="preserve"> 38.5781 </t>
  </si>
  <si>
    <t xml:space="preserve">C:\Users\andre\Desktop\REACTIV CEFAS\Testosterone\Testosterone/20201117_Cefas_Test6-Run2/Plate 2/@10/G4_03.tif </t>
  </si>
  <si>
    <t xml:space="preserve"> 41.8487 </t>
  </si>
  <si>
    <t xml:space="preserve">C:\Users\andre\Desktop\REACTIV CEFAS\Testosterone\Testosterone/20201117_Cefas_Test6-Run2/Plate 2/@10/H4_01.tif </t>
  </si>
  <si>
    <t xml:space="preserve"> 36.9859 </t>
  </si>
  <si>
    <t xml:space="preserve">C:\Users\andre\Desktop\REACTIV CEFAS\Testosterone\Testosterone/20201117_Cefas_Test6-Run2/Plate 2/@10/H4_02.tif </t>
  </si>
  <si>
    <t xml:space="preserve"> 49381.0494 </t>
  </si>
  <si>
    <t xml:space="preserve"> 38.6811 </t>
  </si>
  <si>
    <t xml:space="preserve">C:\Users\andre\Desktop\REACTIV CEFAS\Testosterone\Testosterone/20201117_Cefas_Test6-Run2/Plate 2/@10/H4_03.tif </t>
  </si>
  <si>
    <t xml:space="preserve"> 49835.2772 </t>
  </si>
  <si>
    <t xml:space="preserve"> 37.5395 </t>
  </si>
  <si>
    <t xml:space="preserve">C:\Users\andre\Desktop\REACTIV CEFAS\Testosterone\Testosterone/20201117_Cefas_Test6-Run2/Plate 2/@10/ </t>
  </si>
  <si>
    <t xml:space="preserve"> 38.6734 </t>
  </si>
  <si>
    <t xml:space="preserve"> 5.7923 </t>
  </si>
  <si>
    <t xml:space="preserve"> 595031.748 </t>
  </si>
  <si>
    <t xml:space="preserve">C:\Users\andre\Desktop\REACTIV CEFAS\Testosterone\Testosterone/20201117_Cefas_Test6-Run2/Plate 2/@11/A5_01.tif </t>
  </si>
  <si>
    <t xml:space="preserve"> 49575.7185 </t>
  </si>
  <si>
    <t xml:space="preserve"> 44.9887 </t>
  </si>
  <si>
    <t>C:\Users\andre\Desktop\REACTIV CEFAS\Testosterone\Testosterone/20201117_Cefas_Test6-Run2/Plate 2/@11/A5_02- exclu.tif</t>
  </si>
  <si>
    <t xml:space="preserve">C:\Users\andre\Desktop\REACTIV CEFAS\Testosterone\Testosterone/20201117_Cefas_Test6-Run2/Plate 2/@11/A5_03.tif </t>
  </si>
  <si>
    <t xml:space="preserve"> 61731.7193 </t>
  </si>
  <si>
    <t xml:space="preserve"> 47.3612 </t>
  </si>
  <si>
    <t xml:space="preserve">C:\Users\andre\Desktop\REACTIV CEFAS\Testosterone\Testosterone/20201117_Cefas_Test6-Run2/Plate 2/@11/B5_01.tif </t>
  </si>
  <si>
    <t xml:space="preserve"> 57643.6692 </t>
  </si>
  <si>
    <t xml:space="preserve"> 43.6364 </t>
  </si>
  <si>
    <t>C:\Users\andre\Desktop\REACTIV CEFAS\Testosterone\Testosterone/20201117_Cefas_Test6-Run2/Plate 2/@11/B5_02- exclu.tif</t>
  </si>
  <si>
    <t xml:space="preserve">C:\Users\andre\Desktop\REACTIV CEFAS\Testosterone\Testosterone/20201117_Cefas_Test6-Run2/Plate 2/@11/B5_03.tif </t>
  </si>
  <si>
    <t xml:space="preserve"> 57730.1888 </t>
  </si>
  <si>
    <t xml:space="preserve"> 45.5185 </t>
  </si>
  <si>
    <t xml:space="preserve">C:\Users\andre\Desktop\REACTIV CEFAS\Testosterone\Testosterone/20201117_Cefas_Test6-Run2/Plate 2/@11/C5_01.tif </t>
  </si>
  <si>
    <t xml:space="preserve"> 39.4769 </t>
  </si>
  <si>
    <t xml:space="preserve">C:\Users\andre\Desktop\REACTIV CEFAS\Testosterone\Testosterone/20201117_Cefas_Test6-Run2/Plate 2/@11/C5_02.tif </t>
  </si>
  <si>
    <t xml:space="preserve"> 46590.793 </t>
  </si>
  <si>
    <t xml:space="preserve"> 40.8487 </t>
  </si>
  <si>
    <t xml:space="preserve">C:\Users\andre\Desktop\REACTIV CEFAS\Testosterone\Testosterone/20201117_Cefas_Test6-Run2/Plate 2/@11/C5_03.tif </t>
  </si>
  <si>
    <t xml:space="preserve"> 48970.0814 </t>
  </si>
  <si>
    <t xml:space="preserve"> 41.4139 </t>
  </si>
  <si>
    <t xml:space="preserve">C:\Users\andre\Desktop\REACTIV CEFAS\Testosterone\Testosterone/20201117_Cefas_Test6-Run2/Plate 2/@11/D5_01.tif </t>
  </si>
  <si>
    <t xml:space="preserve"> 49294.5299 </t>
  </si>
  <si>
    <t xml:space="preserve"> 43.1351 </t>
  </si>
  <si>
    <t>C:\Users\andre\Desktop\REACTIV CEFAS\Testosterone\Testosterone/20201117_Cefas_Test6-Run2/Plate 2/@11/D5_02- exclu.tif</t>
  </si>
  <si>
    <t xml:space="preserve">C:\Users\andre\Desktop\REACTIV CEFAS\Testosterone\Testosterone/20201117_Cefas_Test6-Run2/Plate 2/@11/D5_03.tif </t>
  </si>
  <si>
    <t xml:space="preserve"> 58314.1959 </t>
  </si>
  <si>
    <t xml:space="preserve"> 47.27 </t>
  </si>
  <si>
    <t xml:space="preserve">C:\Users\andre\Desktop\REACTIV CEFAS\Testosterone\Testosterone/20201117_Cefas_Test6-Run2/Plate 2/@11/E5_01.tif </t>
  </si>
  <si>
    <t xml:space="preserve"> 54074.7366 </t>
  </si>
  <si>
    <t xml:space="preserve"> 43.564 </t>
  </si>
  <si>
    <t xml:space="preserve">C:\Users\andre\Desktop\REACTIV CEFAS\Testosterone\Testosterone/20201117_Cefas_Test6-Run2/Plate 2/@11/E5_02.tif </t>
  </si>
  <si>
    <t xml:space="preserve"> 56259.3559 </t>
  </si>
  <si>
    <t xml:space="preserve"> 43.5948 </t>
  </si>
  <si>
    <t xml:space="preserve">C:\Users\andre\Desktop\REACTIV CEFAS\Testosterone\Testosterone/20201117_Cefas_Test6-Run2/Plate 2/@11/E5_03.tif </t>
  </si>
  <si>
    <t xml:space="preserve"> 61039.5626 </t>
  </si>
  <si>
    <t xml:space="preserve"> 43.8636 </t>
  </si>
  <si>
    <t>C:\Users\andre\Desktop\REACTIV CEFAS\Testosterone\Testosterone/20201117_Cefas_Test6-Run2/Plate 2/@11/F5_01- exclu.tif</t>
  </si>
  <si>
    <t xml:space="preserve">C:\Users\andre\Desktop\REACTIV CEFAS\Testosterone\Testosterone/20201117_Cefas_Test6-Run2/Plate 2/@11/F5_02.tif </t>
  </si>
  <si>
    <t xml:space="preserve"> 55091.3416 </t>
  </si>
  <si>
    <t xml:space="preserve"> 41.1182 </t>
  </si>
  <si>
    <t xml:space="preserve">C:\Users\andre\Desktop\REACTIV CEFAS\Testosterone\Testosterone/20201117_Cefas_Test6-Run2/Plate 2/@11/F5_03.tif </t>
  </si>
  <si>
    <t xml:space="preserve"> 61774.9791 </t>
  </si>
  <si>
    <t xml:space="preserve"> 43.3127 </t>
  </si>
  <si>
    <t xml:space="preserve">C:\Users\andre\Desktop\REACTIV CEFAS\Testosterone\Testosterone/20201117_Cefas_Test6-Run2/Plate 2/@11/G5_01.tif </t>
  </si>
  <si>
    <t xml:space="preserve"> 60866.5235 </t>
  </si>
  <si>
    <t xml:space="preserve"> 41.6848 </t>
  </si>
  <si>
    <t xml:space="preserve">C:\Users\andre\Desktop\REACTIV CEFAS\Testosterone\Testosterone/20201117_Cefas_Test6-Run2/Plate 2/@11/G5_02.tif </t>
  </si>
  <si>
    <t xml:space="preserve"> 57124.5517 </t>
  </si>
  <si>
    <t xml:space="preserve"> 38.4589 </t>
  </si>
  <si>
    <t xml:space="preserve">C:\Users\andre\Desktop\REACTIV CEFAS\Testosterone\Testosterone/20201117_Cefas_Test6-Run2/Plate 2/@11/G5_03.tif </t>
  </si>
  <si>
    <t xml:space="preserve"> 54009.8469 </t>
  </si>
  <si>
    <t xml:space="preserve"> 38.3781 </t>
  </si>
  <si>
    <t xml:space="preserve">C:\Users\andre\Desktop\REACTIV CEFAS\Testosterone\Testosterone/20201117_Cefas_Test6-Run2/Plate 2/@11/H5_01.tif </t>
  </si>
  <si>
    <t xml:space="preserve"> 62272.4666 </t>
  </si>
  <si>
    <t xml:space="preserve"> 40.3137 </t>
  </si>
  <si>
    <t xml:space="preserve">C:\Users\andre\Desktop\REACTIV CEFAS\Testosterone\Testosterone/20201117_Cefas_Test6-Run2/Plate 2/@11/H5_02.tif </t>
  </si>
  <si>
    <t xml:space="preserve"> 76396.7878 </t>
  </si>
  <si>
    <t xml:space="preserve"> 41.5348 </t>
  </si>
  <si>
    <t xml:space="preserve">C:\Users\andre\Desktop\REACTIV CEFAS\Testosterone\Testosterone/20201117_Cefas_Test6-Run2/Plate 2/@11/H5_03.tif </t>
  </si>
  <si>
    <t xml:space="preserve"> 70426.9369 </t>
  </si>
  <si>
    <t xml:space="preserve"> 39.5169 </t>
  </si>
  <si>
    <t xml:space="preserve">C:\Users\andre\Desktop\REACTIV CEFAS\Testosterone\Testosterone/20201117_Cefas_Test6-Run2/Plate 2/@11/ </t>
  </si>
  <si>
    <t xml:space="preserve"> 42.737 </t>
  </si>
  <si>
    <t xml:space="preserve"> 3.3003 </t>
  </si>
  <si>
    <t xml:space="preserve"> 2357553.08 </t>
  </si>
  <si>
    <t xml:space="preserve"> 595744.037 </t>
  </si>
  <si>
    <t xml:space="preserve">C:\Users\andre\Desktop\REACTIV CEFAS\Testosterone\Testosterone/20201117_Cefas_Test6-Run2/Plate 2/@12/A6_01.tif </t>
  </si>
  <si>
    <t xml:space="preserve"> 49.9237 </t>
  </si>
  <si>
    <t xml:space="preserve">C:\Users\andre\Desktop\REACTIV CEFAS\Testosterone\Testosterone/20201117_Cefas_Test6-Run2/Plate 2/@12/A6_02.tif </t>
  </si>
  <si>
    <t xml:space="preserve"> 71876.1399 </t>
  </si>
  <si>
    <t xml:space="preserve"> 55.734 </t>
  </si>
  <si>
    <t xml:space="preserve">C:\Users\andre\Desktop\REACTIV CEFAS\Testosterone\Testosterone/20201117_Cefas_Test6-Run2/Plate 2/@12/A6_03.tif </t>
  </si>
  <si>
    <t xml:space="preserve"> 66382.1466 </t>
  </si>
  <si>
    <t xml:space="preserve"> 57.2023 </t>
  </si>
  <si>
    <t xml:space="preserve">C:\Users\andre\Desktop\REACTIV CEFAS\Testosterone\Testosterone/20201117_Cefas_Test6-Run2/Plate 2/@12/B6_01.tif </t>
  </si>
  <si>
    <t xml:space="preserve"> 31666.1657 </t>
  </si>
  <si>
    <t xml:space="preserve"> 39.4419 </t>
  </si>
  <si>
    <t xml:space="preserve">C:\Users\andre\Desktop\REACTIV CEFAS\Testosterone\Testosterone/20201117_Cefas_Test6-Run2/Plate 2/@12/B6_02.tif </t>
  </si>
  <si>
    <t xml:space="preserve"> 23727.9944 </t>
  </si>
  <si>
    <t xml:space="preserve"> 35.9088 </t>
  </si>
  <si>
    <t xml:space="preserve">C:\Users\andre\Desktop\REACTIV CEFAS\Testosterone\Testosterone/20201117_Cefas_Test6-Run2/Plate 2/@12/B6_03.tif </t>
  </si>
  <si>
    <t xml:space="preserve"> 40.955 </t>
  </si>
  <si>
    <t xml:space="preserve">C:\Users\andre\Desktop\REACTIV CEFAS\Testosterone\Testosterone/20201117_Cefas_Test6-Run2/Plate 2/@12/C6_01.tif </t>
  </si>
  <si>
    <t xml:space="preserve"> 56345.8755 </t>
  </si>
  <si>
    <t xml:space="preserve"> 44.3919 </t>
  </si>
  <si>
    <t xml:space="preserve">C:\Users\andre\Desktop\REACTIV CEFAS\Testosterone\Testosterone/20201117_Cefas_Test6-Run2/Plate 2/@12/C6_02.tif </t>
  </si>
  <si>
    <t xml:space="preserve"> 44.6535 </t>
  </si>
  <si>
    <t xml:space="preserve">C:\Users\andre\Desktop\REACTIV CEFAS\Testosterone\Testosterone/20201117_Cefas_Test6-Run2/Plate 2/@12/C6_03.tif </t>
  </si>
  <si>
    <t xml:space="preserve"> 57946.4877 </t>
  </si>
  <si>
    <t xml:space="preserve"> 47.0157 </t>
  </si>
  <si>
    <t xml:space="preserve">C:\Users\andre\Desktop\REACTIV CEFAS\Testosterone\Testosterone/20201117_Cefas_Test6-Run2/Plate 2/@12/D6_01.tif </t>
  </si>
  <si>
    <t xml:space="preserve"> 58898.2031 </t>
  </si>
  <si>
    <t xml:space="preserve"> 41.0665 </t>
  </si>
  <si>
    <t xml:space="preserve">C:\Users\andre\Desktop\REACTIV CEFAS\Testosterone\Testosterone/20201117_Cefas_Test6-Run2/Plate 2/@12/D6_02.tif </t>
  </si>
  <si>
    <t xml:space="preserve"> 58227.6763 </t>
  </si>
  <si>
    <t xml:space="preserve"> 43.8882 </t>
  </si>
  <si>
    <t xml:space="preserve">C:\Users\andre\Desktop\REACTIV CEFAS\Testosterone\Testosterone/20201117_Cefas_Test6-Run2/Plate 2/@12/D6_03.tif </t>
  </si>
  <si>
    <t xml:space="preserve"> 58919.833 </t>
  </si>
  <si>
    <t xml:space="preserve"> 41.6314 </t>
  </si>
  <si>
    <t xml:space="preserve">C:\Users\andre\Desktop\REACTIV CEFAS\Testosterone\Testosterone/20201117_Cefas_Test6-Run2/Plate 2/@12/E6_01.tif </t>
  </si>
  <si>
    <t xml:space="preserve"> 55632.089 </t>
  </si>
  <si>
    <t xml:space="preserve"> 40.9949 </t>
  </si>
  <si>
    <t xml:space="preserve">C:\Users\andre\Desktop\REACTIV CEFAS\Testosterone\Testosterone/20201117_Cefas_Test6-Run2/Plate 2/@12/E6_02.tif </t>
  </si>
  <si>
    <t xml:space="preserve"> 52387.6048 </t>
  </si>
  <si>
    <t xml:space="preserve"> 41.9798 </t>
  </si>
  <si>
    <t xml:space="preserve">C:\Users\andre\Desktop\REACTIV CEFAS\Testosterone\Testosterone/20201117_Cefas_Test6-Run2/Plate 2/@12/E6_03.tif </t>
  </si>
  <si>
    <t xml:space="preserve"> 46.4374 </t>
  </si>
  <si>
    <t xml:space="preserve">C:\Users\andre\Desktop\REACTIV CEFAS\Testosterone\Testosterone/20201117_Cefas_Test6-Run2/Plate 2/@12/F6_01.tif </t>
  </si>
  <si>
    <t xml:space="preserve"> 59330.801 </t>
  </si>
  <si>
    <t xml:space="preserve"> 43.7197 </t>
  </si>
  <si>
    <t xml:space="preserve">C:\Users\andre\Desktop\REACTIV CEFAS\Testosterone\Testosterone/20201117_Cefas_Test6-Run2/Plate 2/@12/F6_02.tif </t>
  </si>
  <si>
    <t xml:space="preserve"> 61407.2709 </t>
  </si>
  <si>
    <t xml:space="preserve"> 44.1529 </t>
  </si>
  <si>
    <t xml:space="preserve">C:\Users\andre\Desktop\REACTIV CEFAS\Testosterone\Testosterone/20201117_Cefas_Test6-Run2/Plate 2/@12/F6_03.tif </t>
  </si>
  <si>
    <t xml:space="preserve"> 61580.31 </t>
  </si>
  <si>
    <t xml:space="preserve"> 46.2684 </t>
  </si>
  <si>
    <t xml:space="preserve">C:\Users\andre\Desktop\REACTIV CEFAS\Testosterone\Testosterone/20201117_Cefas_Test6-Run2/Plate 2/@12/G6_01.tif </t>
  </si>
  <si>
    <t xml:space="preserve"> 84010.5107 </t>
  </si>
  <si>
    <t xml:space="preserve"> 52.0108 </t>
  </si>
  <si>
    <t xml:space="preserve">C:\Users\andre\Desktop\REACTIV CEFAS\Testosterone\Testosterone/20201117_Cefas_Test6-Run2/Plate 2/@12/G6_02.tif </t>
  </si>
  <si>
    <t xml:space="preserve"> 73930.9798 </t>
  </si>
  <si>
    <t xml:space="preserve"> 52.0187 </t>
  </si>
  <si>
    <t xml:space="preserve">C:\Users\andre\Desktop\REACTIV CEFAS\Testosterone\Testosterone/20201117_Cefas_Test6-Run2/Plate 2/@12/G6_03.tif </t>
  </si>
  <si>
    <t xml:space="preserve"> 79879.2009 </t>
  </si>
  <si>
    <t xml:space="preserve"> 52.8703 </t>
  </si>
  <si>
    <t xml:space="preserve">C:\Users\andre\Desktop\REACTIV CEFAS\Testosterone\Testosterone/20201117_Cefas_Test6-Run2/Plate 2/@12/H6_01.tif </t>
  </si>
  <si>
    <t xml:space="preserve"> 57362.4806 </t>
  </si>
  <si>
    <t xml:space="preserve"> 40.7029 </t>
  </si>
  <si>
    <t xml:space="preserve">C:\Users\andre\Desktop\REACTIV CEFAS\Testosterone\Testosterone/20201117_Cefas_Test6-Run2/Plate 2/@12/H6_02.tif </t>
  </si>
  <si>
    <t xml:space="preserve"> 55069.7117 </t>
  </si>
  <si>
    <t xml:space="preserve"> 39.5236 </t>
  </si>
  <si>
    <t xml:space="preserve">C:\Users\andre\Desktop\REACTIV CEFAS\Testosterone\Testosterone/20201117_Cefas_Test6-Run2/Plate 2/@12/H6_03.tif </t>
  </si>
  <si>
    <t xml:space="preserve"> 51414.2595 </t>
  </si>
  <si>
    <t xml:space="preserve"> 39.9369 </t>
  </si>
  <si>
    <t xml:space="preserve">C:\Users\andre\Desktop\REACTIV CEFAS\Testosterone\Testosterone/20201117_Cefas_Test6-Run2/Plate 2/@12/ </t>
  </si>
  <si>
    <t xml:space="preserve"> 45.1012 </t>
  </si>
  <si>
    <t xml:space="preserve"> 5.5805 </t>
  </si>
  <si>
    <t xml:space="preserve"> 2701803.58 </t>
  </si>
  <si>
    <t xml:space="preserve"> 901687.759 </t>
  </si>
  <si>
    <t xml:space="preserve">C:\Users\andre\Desktop\REACTIV CEFAS\Testosterone\Testosterone/20201117_Cefas_Test6-Run2/Plate 2/@17/A8_01.tif </t>
  </si>
  <si>
    <t xml:space="preserve"> 38.0334 </t>
  </si>
  <si>
    <t xml:space="preserve">C:\Users\andre\Desktop\REACTIV CEFAS\Testosterone\Testosterone/20201117_Cefas_Test6-Run2/Plate 2/@17/A8_02.tif </t>
  </si>
  <si>
    <t xml:space="preserve"> 63224.182 </t>
  </si>
  <si>
    <t xml:space="preserve"> 38.7417 </t>
  </si>
  <si>
    <t xml:space="preserve">C:\Users\andre\Desktop\REACTIV CEFAS\Testosterone\Testosterone/20201117_Cefas_Test6-Run2/Plate 2/@17/A8_03.tif </t>
  </si>
  <si>
    <t xml:space="preserve"> 38.79 </t>
  </si>
  <si>
    <t xml:space="preserve">C:\Users\andre\Desktop\REACTIV CEFAS\Testosterone\Testosterone/20201117_Cefas_Test6-Run2/Plate 2/@17/B8_01.tif </t>
  </si>
  <si>
    <t xml:space="preserve"> 41399.6183 </t>
  </si>
  <si>
    <t xml:space="preserve"> 38.7759 </t>
  </si>
  <si>
    <t xml:space="preserve">C:\Users\andre\Desktop\REACTIV CEFAS\Testosterone\Testosterone/20201117_Cefas_Test6-Run2/Plate 2/@17/B8_02.tif </t>
  </si>
  <si>
    <t xml:space="preserve"> 44211.5046 </t>
  </si>
  <si>
    <t xml:space="preserve"> 41.5279 </t>
  </si>
  <si>
    <t xml:space="preserve">C:\Users\andre\Desktop\REACTIV CEFAS\Testosterone\Testosterone/20201117_Cefas_Test6-Run2/Plate 2/@17/B8_03.tif </t>
  </si>
  <si>
    <t xml:space="preserve"> 41075.1699 </t>
  </si>
  <si>
    <t xml:space="preserve"> 39.6988 </t>
  </si>
  <si>
    <t xml:space="preserve">C:\Users\andre\Desktop\REACTIV CEFAS\Testosterone\Testosterone/20201117_Cefas_Test6-Run2/Plate 2/@17/C8_01.tif </t>
  </si>
  <si>
    <t xml:space="preserve"> 51479.1492 </t>
  </si>
  <si>
    <t xml:space="preserve"> 38.4744 </t>
  </si>
  <si>
    <t xml:space="preserve">C:\Users\andre\Desktop\REACTIV CEFAS\Testosterone\Testosterone/20201117_Cefas_Test6-Run2/Plate 2/@17/C8_02.tif </t>
  </si>
  <si>
    <t xml:space="preserve"> 49683.868 </t>
  </si>
  <si>
    <t xml:space="preserve"> 38.135 </t>
  </si>
  <si>
    <t xml:space="preserve">C:\Users\andre\Desktop\REACTIV CEFAS\Testosterone\Testosterone/20201117_Cefas_Test6-Run2/Plate 2/@17/C8_03.tif </t>
  </si>
  <si>
    <t xml:space="preserve"> 63116.0325 </t>
  </si>
  <si>
    <t xml:space="preserve"> 40.5223 </t>
  </si>
  <si>
    <t>C:\Users\andre\Desktop\REACTIV CEFAS\Testosterone\Testosterone/20201117_Cefas_Test6-Run2/Plate 2/@17/D8_01- exclu.tif</t>
  </si>
  <si>
    <t>C:\Users\andre\Desktop\REACTIV CEFAS\Testosterone\Testosterone/20201117_Cefas_Test6-Run2/Plate 2/@17/D8_02- exclu.tif</t>
  </si>
  <si>
    <t>C:\Users\andre\Desktop\REACTIV CEFAS\Testosterone\Testosterone/20201117_Cefas_Test6-Run2/Plate 2/@17/D8_03- exclu.tif</t>
  </si>
  <si>
    <t xml:space="preserve">C:\Users\andre\Desktop\REACTIV CEFAS\Testosterone\Testosterone/20201117_Cefas_Test6-Run2/Plate 2/@17/E8_01.tif </t>
  </si>
  <si>
    <t xml:space="preserve"> 66273.9971 </t>
  </si>
  <si>
    <t xml:space="preserve"> 38.4912 </t>
  </si>
  <si>
    <t xml:space="preserve">C:\Users\andre\Desktop\REACTIV CEFAS\Testosterone\Testosterone/20201117_Cefas_Test6-Run2/Plate 2/@17/E8_02.tif </t>
  </si>
  <si>
    <t xml:space="preserve"> 50267.8751 </t>
  </si>
  <si>
    <t xml:space="preserve"> 36.1467 </t>
  </si>
  <si>
    <t xml:space="preserve">C:\Users\andre\Desktop\REACTIV CEFAS\Testosterone\Testosterone/20201117_Cefas_Test6-Run2/Plate 2/@17/E8_03.tif </t>
  </si>
  <si>
    <t xml:space="preserve"> 48407.7042 </t>
  </si>
  <si>
    <t xml:space="preserve"> 37.639 </t>
  </si>
  <si>
    <t xml:space="preserve">C:\Users\andre\Desktop\REACTIV CEFAS\Testosterone\Testosterone/20201117_Cefas_Test6-Run2/Plate 2/@17/F8_01.tif </t>
  </si>
  <si>
    <t xml:space="preserve"> 44.4332 </t>
  </si>
  <si>
    <t xml:space="preserve">C:\Users\andre\Desktop\REACTIV CEFAS\Testosterone\Testosterone/20201117_Cefas_Test6-Run2/Plate 2/@17/F8_02.tif </t>
  </si>
  <si>
    <t xml:space="preserve"> 63851.4489 </t>
  </si>
  <si>
    <t xml:space="preserve"> 43.3974 </t>
  </si>
  <si>
    <t xml:space="preserve">C:\Users\andre\Desktop\REACTIV CEFAS\Testosterone\Testosterone/20201117_Cefas_Test6-Run2/Plate 2/@17/F8_03.tif </t>
  </si>
  <si>
    <t xml:space="preserve"> 71746.3605 </t>
  </si>
  <si>
    <t xml:space="preserve"> 46.2463 </t>
  </si>
  <si>
    <t xml:space="preserve">C:\Users\andre\Desktop\REACTIV CEFAS\Testosterone\Testosterone/20201117_Cefas_Test6-Run2/Plate 2/@17/G8_01.tif </t>
  </si>
  <si>
    <t xml:space="preserve"> 32358.3224 </t>
  </si>
  <si>
    <t xml:space="preserve"> 37.1203 </t>
  </si>
  <si>
    <t>C:\Users\andre\Desktop\REACTIV CEFAS\Testosterone\Testosterone/20201117_Cefas_Test6-Run2/Plate 2/@17/G8_02- exclu.tif</t>
  </si>
  <si>
    <t>C:\Users\andre\Desktop\REACTIV CEFAS\Testosterone\Testosterone/20201117_Cefas_Test6-Run2/Plate 2/@17/G8_03- exclu.tif</t>
  </si>
  <si>
    <t xml:space="preserve">C:\Users\andre\Desktop\REACTIV CEFAS\Testosterone\Testosterone/20201117_Cefas_Test6-Run2/Plate 2/@17/H8_01.tif </t>
  </si>
  <si>
    <t xml:space="preserve"> 26864.3291 </t>
  </si>
  <si>
    <t xml:space="preserve"> 35.4026 </t>
  </si>
  <si>
    <t xml:space="preserve">C:\Users\andre\Desktop\REACTIV CEFAS\Testosterone\Testosterone/20201117_Cefas_Test6-Run2/Plate 2/@17/H8_02.tif </t>
  </si>
  <si>
    <t xml:space="preserve"> 29243.6175 </t>
  </si>
  <si>
    <t xml:space="preserve"> 35.4371 </t>
  </si>
  <si>
    <t xml:space="preserve">C:\Users\andre\Desktop\REACTIV CEFAS\Testosterone\Testosterone/20201117_Cefas_Test6-Run2/Plate 2/@17/H8_03.tif </t>
  </si>
  <si>
    <t xml:space="preserve"> 31795.9451 </t>
  </si>
  <si>
    <t xml:space="preserve"> 36.5068 </t>
  </si>
  <si>
    <t xml:space="preserve">C:\Users\andre\Desktop\REACTIV CEFAS\Testosterone\Testosterone/20201117_Cefas_Test6-Run2/Plate 2/@17/ </t>
  </si>
  <si>
    <t xml:space="preserve"> 39.2555 </t>
  </si>
  <si>
    <t xml:space="preserve"> 3.6266 </t>
  </si>
  <si>
    <t xml:space="preserve"> 1739696.83 </t>
  </si>
  <si>
    <t xml:space="preserve"> 824409.997 </t>
  </si>
  <si>
    <t xml:space="preserve">C:\Users\andre\Desktop\REACTIV CEFAS\Testosterone\Testosterone/20201117_Cefas_Test6-Run2/Plate 2/@18/A9_01.tif </t>
  </si>
  <si>
    <t xml:space="preserve"> 50159.7256 </t>
  </si>
  <si>
    <t xml:space="preserve"> 34.0185 </t>
  </si>
  <si>
    <t xml:space="preserve">C:\Users\andre\Desktop\REACTIV CEFAS\Testosterone\Testosterone/20201117_Cefas_Test6-Run2/Plate 2/@18/A9_02.tif </t>
  </si>
  <si>
    <t xml:space="preserve"> 46958.5012 </t>
  </si>
  <si>
    <t xml:space="preserve"> 34.3874 </t>
  </si>
  <si>
    <t xml:space="preserve">C:\Users\andre\Desktop\REACTIV CEFAS\Testosterone\Testosterone/20201117_Cefas_Test6-Run2/Plate 2/@18/A9_03.tif </t>
  </si>
  <si>
    <t xml:space="preserve"> 36.8985 </t>
  </si>
  <si>
    <t xml:space="preserve">C:\Users\andre\Desktop\REACTIV CEFAS\Testosterone\Testosterone/20201117_Cefas_Test6-Run2/Plate 2/@18/B9_01.tif </t>
  </si>
  <si>
    <t xml:space="preserve"> 52647.1635 </t>
  </si>
  <si>
    <t xml:space="preserve"> 42.82 </t>
  </si>
  <si>
    <t xml:space="preserve">C:\Users\andre\Desktop\REACTIV CEFAS\Testosterone\Testosterone/20201117_Cefas_Test6-Run2/Plate 2/@18/B9_02.tif </t>
  </si>
  <si>
    <t xml:space="preserve"> 54507.3345 </t>
  </si>
  <si>
    <t xml:space="preserve"> 43.0587 </t>
  </si>
  <si>
    <t xml:space="preserve">C:\Users\andre\Desktop\REACTIV CEFAS\Testosterone\Testosterone/20201117_Cefas_Test6-Run2/Plate 2/@18/B9_03.tif </t>
  </si>
  <si>
    <t xml:space="preserve"> 58487.2351 </t>
  </si>
  <si>
    <t xml:space="preserve"> 42.2337 </t>
  </si>
  <si>
    <t xml:space="preserve">C:\Users\andre\Desktop\REACTIV CEFAS\Testosterone\Testosterone/20201117_Cefas_Test6-Run2/Plate 2/@18/C9_01.tif </t>
  </si>
  <si>
    <t xml:space="preserve"> 34910.6499 </t>
  </si>
  <si>
    <t xml:space="preserve"> 37.5242 </t>
  </si>
  <si>
    <t xml:space="preserve">C:\Users\andre\Desktop\REACTIV CEFAS\Testosterone\Testosterone/20201117_Cefas_Test6-Run2/Plate 2/@18/C9_02.tif </t>
  </si>
  <si>
    <t xml:space="preserve"> 33764.2655 </t>
  </si>
  <si>
    <t xml:space="preserve"> 35.3652 </t>
  </si>
  <si>
    <t xml:space="preserve">C:\Users\andre\Desktop\REACTIV CEFAS\Testosterone\Testosterone/20201117_Cefas_Test6-Run2/Plate 2/@18/C9_03.tif </t>
  </si>
  <si>
    <t xml:space="preserve"> 31428.2369 </t>
  </si>
  <si>
    <t xml:space="preserve"> 35.3056 </t>
  </si>
  <si>
    <t xml:space="preserve">C:\Users\andre\Desktop\REACTIV CEFAS\Testosterone\Testosterone/20201117_Cefas_Test6-Run2/Plate 2/@18/D9_01.tif </t>
  </si>
  <si>
    <t xml:space="preserve"> 34564.5716 </t>
  </si>
  <si>
    <t xml:space="preserve"> 35.3792 </t>
  </si>
  <si>
    <t xml:space="preserve">C:\Users\andre\Desktop\REACTIV CEFAS\Testosterone\Testosterone/20201117_Cefas_Test6-Run2/Plate 2/@18/D9_02.tif </t>
  </si>
  <si>
    <t xml:space="preserve"> 36.943 </t>
  </si>
  <si>
    <t xml:space="preserve">C:\Users\andre\Desktop\REACTIV CEFAS\Testosterone\Testosterone/20201117_Cefas_Test6-Run2/Plate 2/@18/D9_03.tif </t>
  </si>
  <si>
    <t xml:space="preserve"> 27924.194 </t>
  </si>
  <si>
    <t xml:space="preserve"> 34.2688 </t>
  </si>
  <si>
    <t xml:space="preserve">C:\Users\andre\Desktop\REACTIV CEFAS\Testosterone\Testosterone/20201117_Cefas_Test6-Run2/Plate 2/@18/E9_01.tif </t>
  </si>
  <si>
    <t xml:space="preserve"> 62596.9151 </t>
  </si>
  <si>
    <t xml:space="preserve"> 44.3186 </t>
  </si>
  <si>
    <t xml:space="preserve">C:\Users\andre\Desktop\REACTIV CEFAS\Testosterone\Testosterone/20201117_Cefas_Test6-Run2/Plate 2/@18/E9_02.tif </t>
  </si>
  <si>
    <t xml:space="preserve"> 43.9673 </t>
  </si>
  <si>
    <t xml:space="preserve">C:\Users\andre\Desktop\REACTIV CEFAS\Testosterone\Testosterone/20201117_Cefas_Test6-Run2/Plate 2/@18/E9_03.tif </t>
  </si>
  <si>
    <t xml:space="preserve"> 44.0502 </t>
  </si>
  <si>
    <t xml:space="preserve">C:\Users\andre\Desktop\REACTIV CEFAS\Testosterone\Testosterone/20201117_Cefas_Test6-Run2/Plate 2/@18/F9_01.tif </t>
  </si>
  <si>
    <t xml:space="preserve"> 22300.4214 </t>
  </si>
  <si>
    <t xml:space="preserve"> 34.9505 </t>
  </si>
  <si>
    <t xml:space="preserve">C:\Users\andre\Desktop\REACTIV CEFAS\Testosterone\Testosterone/20201117_Cefas_Test6-Run2/Plate 2/@18/F9_02.tif </t>
  </si>
  <si>
    <t xml:space="preserve"> 27058.9982 </t>
  </si>
  <si>
    <t xml:space="preserve"> 34.263 </t>
  </si>
  <si>
    <t xml:space="preserve">C:\Users\andre\Desktop\REACTIV CEFAS\Testosterone\Testosterone/20201117_Cefas_Test6-Run2/Plate 2/@18/F9_03.tif </t>
  </si>
  <si>
    <t xml:space="preserve"> 21889.4534 </t>
  </si>
  <si>
    <t xml:space="preserve"> 34.0198 </t>
  </si>
  <si>
    <t xml:space="preserve">C:\Users\andre\Desktop\REACTIV CEFAS\Testosterone\Testosterone/20201117_Cefas_Test6-Run2/Plate 2/@18/G9_01.tif </t>
  </si>
  <si>
    <t xml:space="preserve"> 50722.1029 </t>
  </si>
  <si>
    <t xml:space="preserve"> 41.8644 </t>
  </si>
  <si>
    <t xml:space="preserve">C:\Users\andre\Desktop\REACTIV CEFAS\Testosterone\Testosterone/20201117_Cefas_Test6-Run2/Plate 2/@18/G9_02.tif </t>
  </si>
  <si>
    <t xml:space="preserve"> 54896.6726 </t>
  </si>
  <si>
    <t xml:space="preserve"> 41.0351 </t>
  </si>
  <si>
    <t>C:\Users\andre\Desktop\REACTIV CEFAS\Testosterone\Testosterone/20201117_Cefas_Test6-Run2/Plate 2/@18/G9_03- exclu.tif</t>
  </si>
  <si>
    <t xml:space="preserve">C:\Users\andre\Desktop\REACTIV CEFAS\Testosterone\Testosterone/20201117_Cefas_Test6-Run2/Plate 2/@18/H9_01.tif </t>
  </si>
  <si>
    <t xml:space="preserve"> 39.1851 </t>
  </si>
  <si>
    <t xml:space="preserve">C:\Users\andre\Desktop\REACTIV CEFAS\Testosterone\Testosterone/20201117_Cefas_Test6-Run2/Plate 2/@18/H9_02.tif </t>
  </si>
  <si>
    <t xml:space="preserve"> 50419.2844 </t>
  </si>
  <si>
    <t xml:space="preserve"> 40.601 </t>
  </si>
  <si>
    <t xml:space="preserve">C:\Users\andre\Desktop\REACTIV CEFAS\Testosterone\Testosterone/20201117_Cefas_Test6-Run2/Plate 2/@18/H9_03.tif </t>
  </si>
  <si>
    <t xml:space="preserve"> 48191.4052 </t>
  </si>
  <si>
    <t xml:space="preserve"> 38.645 </t>
  </si>
  <si>
    <t xml:space="preserve">C:\Users\andre\Desktop\REACTIV CEFAS\Testosterone\Testosterone/20201117_Cefas_Test6-Run2/Plate 2/@18/ </t>
  </si>
  <si>
    <t xml:space="preserve"> 38.6308 </t>
  </si>
  <si>
    <t xml:space="preserve"> 3.7528 </t>
  </si>
  <si>
    <t xml:space="preserve"> 1805420.33 </t>
  </si>
  <si>
    <t xml:space="preserve"> 687728.534 </t>
  </si>
  <si>
    <t xml:space="preserve">C:\Users\andre\Desktop\REACTIV CEFAS\Testosterone\Testosterone/20201117_Cefas_Test6-Run2/Plate 2/@19/A10_01.tif </t>
  </si>
  <si>
    <t xml:space="preserve"> 27426.7064 </t>
  </si>
  <si>
    <t xml:space="preserve"> 33.8233 </t>
  </si>
  <si>
    <t xml:space="preserve">C:\Users\andre\Desktop\REACTIV CEFAS\Testosterone\Testosterone/20201117_Cefas_Test6-Run2/Plate 2/@19/A10_02.tif </t>
  </si>
  <si>
    <t xml:space="preserve"> 29697.8453 </t>
  </si>
  <si>
    <t xml:space="preserve"> 36.8725 </t>
  </si>
  <si>
    <t xml:space="preserve">C:\Users\andre\Desktop\REACTIV CEFAS\Testosterone\Testosterone/20201117_Cefas_Test6-Run2/Plate 2/@19/A10_03.tif </t>
  </si>
  <si>
    <t xml:space="preserve"> 36684.3013 </t>
  </si>
  <si>
    <t xml:space="preserve"> 36.7877 </t>
  </si>
  <si>
    <t xml:space="preserve">C:\Users\andre\Desktop\REACTIV CEFAS\Testosterone\Testosterone/20201117_Cefas_Test6-Run2/Plate 2/@19/B10_01.tif </t>
  </si>
  <si>
    <t xml:space="preserve"> 8089.5806 </t>
  </si>
  <si>
    <t xml:space="preserve"> 33.0187 </t>
  </si>
  <si>
    <t xml:space="preserve">C:\Users\andre\Desktop\REACTIV CEFAS\Testosterone\Testosterone/20201117_Cefas_Test6-Run2/Plate 2/@19/B10_02.tif </t>
  </si>
  <si>
    <t xml:space="preserve"> 33.521 </t>
  </si>
  <si>
    <t xml:space="preserve">C:\Users\andre\Desktop\REACTIV CEFAS\Testosterone\Testosterone/20201117_Cefas_Test6-Run2/Plate 2/@19/B10_03.tif </t>
  </si>
  <si>
    <t xml:space="preserve"> 12675.1183 </t>
  </si>
  <si>
    <t xml:space="preserve"> 33.8908 </t>
  </si>
  <si>
    <t xml:space="preserve">C:\Users\andre\Desktop\REACTIV CEFAS\Testosterone\Testosterone/20201117_Cefas_Test6-Run2/Plate 2/@19/C10_01.tif </t>
  </si>
  <si>
    <t xml:space="preserve"> 45292.9994 </t>
  </si>
  <si>
    <t xml:space="preserve"> 40.3973 </t>
  </si>
  <si>
    <t xml:space="preserve">C:\Users\andre\Desktop\REACTIV CEFAS\Testosterone\Testosterone/20201117_Cefas_Test6-Run2/Plate 2/@19/C10_02.tif </t>
  </si>
  <si>
    <t xml:space="preserve"> 48948.4515 </t>
  </si>
  <si>
    <t xml:space="preserve"> 39.5183 </t>
  </si>
  <si>
    <t xml:space="preserve">C:\Users\andre\Desktop\REACTIV CEFAS\Testosterone\Testosterone/20201117_Cefas_Test6-Run2/Plate 2/@19/C10_03.tif </t>
  </si>
  <si>
    <t xml:space="preserve"> 45055.0705 </t>
  </si>
  <si>
    <t xml:space="preserve"> 44.9169 </t>
  </si>
  <si>
    <t xml:space="preserve">C:\Users\andre\Desktop\REACTIV CEFAS\Testosterone\Testosterone/20201117_Cefas_Test6-Run2/Plate 2/@19/D10_01.tif </t>
  </si>
  <si>
    <t xml:space="preserve"> 22105.7523 </t>
  </si>
  <si>
    <t xml:space="preserve"> 34.817 </t>
  </si>
  <si>
    <t xml:space="preserve">C:\Users\andre\Desktop\REACTIV CEFAS\Testosterone\Testosterone/20201117_Cefas_Test6-Run2/Plate 2/@19/D10_02.tif </t>
  </si>
  <si>
    <t xml:space="preserve"> 25544.9056 </t>
  </si>
  <si>
    <t xml:space="preserve"> 36.061 </t>
  </si>
  <si>
    <t xml:space="preserve">C:\Users\andre\Desktop\REACTIV CEFAS\Testosterone\Testosterone/20201117_Cefas_Test6-Run2/Plate 2/@19/D10_03.tif </t>
  </si>
  <si>
    <t xml:space="preserve"> 26366.8416 </t>
  </si>
  <si>
    <t xml:space="preserve"> 36.9352 </t>
  </si>
  <si>
    <t xml:space="preserve">C:\Users\andre\Desktop\REACTIV CEFAS\Testosterone\Testosterone/20201117_Cefas_Test6-Run2/Plate 2/@19/E10_01.tif </t>
  </si>
  <si>
    <t xml:space="preserve"> 77889.2506 </t>
  </si>
  <si>
    <t xml:space="preserve"> 47.1366 </t>
  </si>
  <si>
    <t xml:space="preserve">C:\Users\andre\Desktop\REACTIV CEFAS\Testosterone\Testosterone/20201117_Cefas_Test6-Run2/Plate 2/@19/E10_02.tif </t>
  </si>
  <si>
    <t xml:space="preserve"> 74882.6952 </t>
  </si>
  <si>
    <t xml:space="preserve"> 45.398 </t>
  </si>
  <si>
    <t xml:space="preserve">C:\Users\andre\Desktop\REACTIV CEFAS\Testosterone\Testosterone/20201117_Cefas_Test6-Run2/Plate 2/@19/E10_03.tif </t>
  </si>
  <si>
    <t xml:space="preserve"> 71032.574 </t>
  </si>
  <si>
    <t xml:space="preserve"> 47.7205 </t>
  </si>
  <si>
    <t xml:space="preserve">C:\Users\andre\Desktop\REACTIV CEFAS\Testosterone\Testosterone/20201117_Cefas_Test6-Run2/Plate 2/@19/F10_01.tif </t>
  </si>
  <si>
    <t xml:space="preserve"> 38695.8815 </t>
  </si>
  <si>
    <t xml:space="preserve"> 38.559 </t>
  </si>
  <si>
    <t xml:space="preserve">C:\Users\andre\Desktop\REACTIV CEFAS\Testosterone\Testosterone/20201117_Cefas_Test6-Run2/Plate 2/@19/F10_02.tif </t>
  </si>
  <si>
    <t xml:space="preserve"> 38652.6217 </t>
  </si>
  <si>
    <t xml:space="preserve"> 38.7375 </t>
  </si>
  <si>
    <t xml:space="preserve">C:\Users\andre\Desktop\REACTIV CEFAS\Testosterone\Testosterone/20201117_Cefas_Test6-Run2/Plate 2/@19/F10_03.tif </t>
  </si>
  <si>
    <t xml:space="preserve"> 39.768 </t>
  </si>
  <si>
    <t xml:space="preserve">C:\Users\andre\Desktop\REACTIV CEFAS\Testosterone\Testosterone/20201117_Cefas_Test6-Run2/Plate 2/@19/G10_01.tif </t>
  </si>
  <si>
    <t xml:space="preserve"> 13194.2357 </t>
  </si>
  <si>
    <t xml:space="preserve"> 34.0443 </t>
  </si>
  <si>
    <t xml:space="preserve">C:\Users\andre\Desktop\REACTIV CEFAS\Testosterone\Testosterone/20201117_Cefas_Test6-Run2/Plate 2/@19/G10_02.tif </t>
  </si>
  <si>
    <t xml:space="preserve"> 34.771 </t>
  </si>
  <si>
    <t xml:space="preserve">C:\Users\andre\Desktop\REACTIV CEFAS\Testosterone\Testosterone/20201117_Cefas_Test6-Run2/Plate 2/@19/G10_03.tif </t>
  </si>
  <si>
    <t xml:space="preserve"> 13886.3924 </t>
  </si>
  <si>
    <t xml:space="preserve"> 35.0607 </t>
  </si>
  <si>
    <t xml:space="preserve">C:\Users\andre\Desktop\REACTIV CEFAS\Testosterone\Testosterone/20201117_Cefas_Test6-Run2/Plate 2/@19/H10_01.tif </t>
  </si>
  <si>
    <t xml:space="preserve"> 38371.4331 </t>
  </si>
  <si>
    <t xml:space="preserve"> 37.4791 </t>
  </si>
  <si>
    <t xml:space="preserve">C:\Users\andre\Desktop\REACTIV CEFAS\Testosterone\Testosterone/20201117_Cefas_Test6-Run2/Plate 2/@19/H10_02.tif </t>
  </si>
  <si>
    <t xml:space="preserve"> 40988.6503 </t>
  </si>
  <si>
    <t xml:space="preserve"> 37.8016 </t>
  </si>
  <si>
    <t xml:space="preserve">C:\Users\andre\Desktop\REACTIV CEFAS\Testosterone\Testosterone/20201117_Cefas_Test6-Run2/Plate 2/@19/H10_03.tif </t>
  </si>
  <si>
    <t xml:space="preserve"> 38566.1021 </t>
  </si>
  <si>
    <t xml:space="preserve"> 37.9781 </t>
  </si>
  <si>
    <t xml:space="preserve">C:\Users\andre\Desktop\REACTIV CEFAS\Testosterone\Testosterone/20201117_Cefas_Test6-Run2/Plate 2/@19/ </t>
  </si>
  <si>
    <t xml:space="preserve"> 38.1256 </t>
  </si>
  <si>
    <t xml:space="preserve"> 4.2945 </t>
  </si>
  <si>
    <t xml:space="preserve"> 1408564.79 </t>
  </si>
  <si>
    <t xml:space="preserve"> 955615.776 </t>
  </si>
  <si>
    <t xml:space="preserve">C:\Users\andre\Desktop\REACTIV CEFAS\Testosterone\Testosterone/20201117_Cefas_Test6-Run2/Plate 2/@20/A11_01.tif </t>
  </si>
  <si>
    <t xml:space="preserve"> 45552.5581 </t>
  </si>
  <si>
    <t xml:space="preserve"> 39.1192 </t>
  </si>
  <si>
    <t xml:space="preserve">C:\Users\andre\Desktop\REACTIV CEFAS\Testosterone\Testosterone/20201117_Cefas_Test6-Run2/Plate 2/@20/A11_02.tif </t>
  </si>
  <si>
    <t xml:space="preserve"> 49554.0886 </t>
  </si>
  <si>
    <t xml:space="preserve"> 40.0973 </t>
  </si>
  <si>
    <t xml:space="preserve">C:\Users\andre\Desktop\REACTIV CEFAS\Testosterone\Testosterone/20201117_Cefas_Test6-Run2/Plate 2/@20/A11_03.tif </t>
  </si>
  <si>
    <t xml:space="preserve"> 55653.7189 </t>
  </si>
  <si>
    <t xml:space="preserve"> 44.1753 </t>
  </si>
  <si>
    <t xml:space="preserve">C:\Users\andre\Desktop\REACTIV CEFAS\Testosterone\Testosterone/20201117_Cefas_Test6-Run2/Plate 2/@20/B11_01.tif </t>
  </si>
  <si>
    <t xml:space="preserve"> 43346.3088 </t>
  </si>
  <si>
    <t xml:space="preserve"> 40.3383 </t>
  </si>
  <si>
    <t xml:space="preserve">C:\Users\andre\Desktop\REACTIV CEFAS\Testosterone\Testosterone/20201117_Cefas_Test6-Run2/Plate 2/@20/B11_02.tif </t>
  </si>
  <si>
    <t xml:space="preserve"> 48818.6722 </t>
  </si>
  <si>
    <t xml:space="preserve"> 41.6105 </t>
  </si>
  <si>
    <t xml:space="preserve">C:\Users\andre\Desktop\REACTIV CEFAS\Testosterone\Testosterone/20201117_Cefas_Test6-Run2/Plate 2/@20/B11_03.tif </t>
  </si>
  <si>
    <t xml:space="preserve"> 51738.708 </t>
  </si>
  <si>
    <t xml:space="preserve"> 41.5615 </t>
  </si>
  <si>
    <t xml:space="preserve">C:\Users\andre\Desktop\REACTIV CEFAS\Testosterone\Testosterone/20201117_Cefas_Test6-Run2/Plate 2/@20/C11_01.tif </t>
  </si>
  <si>
    <t xml:space="preserve"> 62553.6553 </t>
  </si>
  <si>
    <t xml:space="preserve"> 43.5225 </t>
  </si>
  <si>
    <t xml:space="preserve">C:\Users\andre\Desktop\REACTIV CEFAS\Testosterone\Testosterone/20201117_Cefas_Test6-Run2/Plate 2/@20/C11_02.tif </t>
  </si>
  <si>
    <t xml:space="preserve"> 46.2467 </t>
  </si>
  <si>
    <t xml:space="preserve">C:\Users\andre\Desktop\REACTIV CEFAS\Testosterone\Testosterone/20201117_Cefas_Test6-Run2/Plate 2/@20/C11_03.tif </t>
  </si>
  <si>
    <t xml:space="preserve"> 68804.6948 </t>
  </si>
  <si>
    <t xml:space="preserve"> 45.2053 </t>
  </si>
  <si>
    <t xml:space="preserve">C:\Users\andre\Desktop\REACTIV CEFAS\Testosterone\Testosterone/20201117_Cefas_Test6-Run2/Plate 2/@20/D11_01.tif </t>
  </si>
  <si>
    <t xml:space="preserve"> 58465.6052 </t>
  </si>
  <si>
    <t xml:space="preserve"> 42.3011 </t>
  </si>
  <si>
    <t xml:space="preserve">C:\Users\andre\Desktop\REACTIV CEFAS\Testosterone\Testosterone/20201117_Cefas_Test6-Run2/Plate 2/@20/D11_02.tif </t>
  </si>
  <si>
    <t xml:space="preserve"> 42.7263 </t>
  </si>
  <si>
    <t xml:space="preserve">C:\Users\andre\Desktop\REACTIV CEFAS\Testosterone\Testosterone/20201117_Cefas_Test6-Run2/Plate 2/@20/D11_03.tif </t>
  </si>
  <si>
    <t xml:space="preserve"> 54810.153 </t>
  </si>
  <si>
    <t xml:space="preserve"> 48.4333 </t>
  </si>
  <si>
    <t xml:space="preserve">C:\Users\andre\Desktop\REACTIV CEFAS\Testosterone\Testosterone/20201117_Cefas_Test6-Run2/Plate 2/@20/E11_01.tif </t>
  </si>
  <si>
    <t xml:space="preserve"> 35689.3261 </t>
  </si>
  <si>
    <t xml:space="preserve"> 42.5933 </t>
  </si>
  <si>
    <t xml:space="preserve">C:\Users\andre\Desktop\REACTIV CEFAS\Testosterone\Testosterone/20201117_Cefas_Test6-Run2/Plate 2/@20/E11_02.tif </t>
  </si>
  <si>
    <t xml:space="preserve"> 37744.1661 </t>
  </si>
  <si>
    <t xml:space="preserve"> 43.4779 </t>
  </si>
  <si>
    <t xml:space="preserve">C:\Users\andre\Desktop\REACTIV CEFAS\Testosterone\Testosterone/20201117_Cefas_Test6-Run2/Plate 2/@20/E11_03.tif </t>
  </si>
  <si>
    <t xml:space="preserve"> 43735.6469 </t>
  </si>
  <si>
    <t xml:space="preserve"> 42.6721 </t>
  </si>
  <si>
    <t xml:space="preserve">C:\Users\andre\Desktop\REACTIV CEFAS\Testosterone\Testosterone/20201117_Cefas_Test6-Run2/Plate 2/@20/F11_01.tif </t>
  </si>
  <si>
    <t xml:space="preserve"> 42.724 </t>
  </si>
  <si>
    <t xml:space="preserve">C:\Users\andre\Desktop\REACTIV CEFAS\Testosterone\Testosterone/20201117_Cefas_Test6-Run2/Plate 2/@20/F11_02.tif </t>
  </si>
  <si>
    <t xml:space="preserve"> 42654.1522 </t>
  </si>
  <si>
    <t xml:space="preserve"> 40.0213 </t>
  </si>
  <si>
    <t xml:space="preserve">C:\Users\andre\Desktop\REACTIV CEFAS\Testosterone\Testosterone/20201117_Cefas_Test6-Run2/Plate 2/@20/F11_03.tif </t>
  </si>
  <si>
    <t xml:space="preserve"> 42286.444 </t>
  </si>
  <si>
    <t xml:space="preserve"> 39.5417 </t>
  </si>
  <si>
    <t xml:space="preserve">C:\Users\andre\Desktop\REACTIV CEFAS\Testosterone\Testosterone/20201117_Cefas_Test6-Run2/Plate 2/@20/G11_01.tif </t>
  </si>
  <si>
    <t xml:space="preserve"> 46158.1951 </t>
  </si>
  <si>
    <t xml:space="preserve"> 39.7938 </t>
  </si>
  <si>
    <t xml:space="preserve">C:\Users\andre\Desktop\REACTIV CEFAS\Testosterone\Testosterone/20201117_Cefas_Test6-Run2/Plate 2/@20/G11_02.tif </t>
  </si>
  <si>
    <t xml:space="preserve"> 44.1301 </t>
  </si>
  <si>
    <t xml:space="preserve">C:\Users\andre\Desktop\REACTIV CEFAS\Testosterone\Testosterone/20201117_Cefas_Test6-Run2/Plate 2/@20/G11_03.tif </t>
  </si>
  <si>
    <t xml:space="preserve"> 47347.8393 </t>
  </si>
  <si>
    <t xml:space="preserve"> 42.863 </t>
  </si>
  <si>
    <t xml:space="preserve">C:\Users\andre\Desktop\REACTIV CEFAS\Testosterone\Testosterone/20201117_Cefas_Test6-Run2/Plate 2/@20/H11_01.tif </t>
  </si>
  <si>
    <t xml:space="preserve"> 34131.9737 </t>
  </si>
  <si>
    <t xml:space="preserve"> 38.6153 </t>
  </si>
  <si>
    <t xml:space="preserve">C:\Users\andre\Desktop\REACTIV CEFAS\Testosterone\Testosterone/20201117_Cefas_Test6-Run2/Plate 2/@20/H11_02.tif </t>
  </si>
  <si>
    <t xml:space="preserve"> 40.3109 </t>
  </si>
  <si>
    <t xml:space="preserve">C:\Users\andre\Desktop\REACTIV CEFAS\Testosterone\Testosterone/20201117_Cefas_Test6-Run2/Plate 2/@20/H11_03.tif </t>
  </si>
  <si>
    <t xml:space="preserve"> 35191.8386 </t>
  </si>
  <si>
    <t xml:space="preserve"> 40.8746 </t>
  </si>
  <si>
    <t xml:space="preserve">C:\Users\andre\Desktop\REACTIV CEFAS\Testosterone\Testosterone/20201117_Cefas_Test6-Run2/Plate 2/@20/ </t>
  </si>
  <si>
    <t xml:space="preserve"> 42.2065 </t>
  </si>
  <si>
    <t xml:space="preserve"> 2.3826 </t>
  </si>
  <si>
    <t xml:space="preserve"> 2077874.04 </t>
  </si>
  <si>
    <t xml:space="preserve"> 494583.936 </t>
  </si>
  <si>
    <t xml:space="preserve">C:\Users\andre\Desktop\REACTIV CEFAS\Testosterone\Testosterone/20201117_Cefas_Test6-Run2/Plate 2/@21/A12_01.tif </t>
  </si>
  <si>
    <t xml:space="preserve"> 60109.4772 </t>
  </si>
  <si>
    <t xml:space="preserve"> 41.4642 </t>
  </si>
  <si>
    <t xml:space="preserve">C:\Users\andre\Desktop\REACTIV CEFAS\Testosterone\Testosterone/20201117_Cefas_Test6-Run2/Plate 2/@21/A12_02.tif </t>
  </si>
  <si>
    <t xml:space="preserve"> 74277.0582 </t>
  </si>
  <si>
    <t xml:space="preserve"> 44.4685 </t>
  </si>
  <si>
    <t xml:space="preserve">C:\Users\andre\Desktop\REACTIV CEFAS\Testosterone\Testosterone/20201117_Cefas_Test6-Run2/Plate 2/@21/A12_03.tif </t>
  </si>
  <si>
    <t xml:space="preserve"> 68588.3959 </t>
  </si>
  <si>
    <t xml:space="preserve"> 40.217 </t>
  </si>
  <si>
    <t xml:space="preserve">C:\Users\andre\Desktop\REACTIV CEFAS\Testosterone\Testosterone/20201117_Cefas_Test6-Run2/Plate 2/@21/B12_01.tif </t>
  </si>
  <si>
    <t xml:space="preserve"> 69929.4493 </t>
  </si>
  <si>
    <t xml:space="preserve"> 45.6131 </t>
  </si>
  <si>
    <t xml:space="preserve">C:\Users\andre\Desktop\REACTIV CEFAS\Testosterone\Testosterone/20201117_Cefas_Test6-Run2/Plate 2/@21/B12_02.tif </t>
  </si>
  <si>
    <t xml:space="preserve"> 71292.1327 </t>
  </si>
  <si>
    <t xml:space="preserve"> 45.274 </t>
  </si>
  <si>
    <t xml:space="preserve">C:\Users\andre\Desktop\REACTIV CEFAS\Testosterone\Testosterone/20201117_Cefas_Test6-Run2/Plate 2/@21/B12_03.tif </t>
  </si>
  <si>
    <t xml:space="preserve"> 71573.3213 </t>
  </si>
  <si>
    <t xml:space="preserve"> 45.6842 </t>
  </si>
  <si>
    <t>C:\Users\andre\Desktop\REACTIV CEFAS\Testosterone\Testosterone/20201117_Cefas_Test6-Run2/Plate 2/@21/C12_01- exclu.tif</t>
  </si>
  <si>
    <t xml:space="preserve">C:\Users\andre\Desktop\REACTIV CEFAS\Testosterone\Testosterone/20201117_Cefas_Test6-Run2/Plate 2/@21/C12_02.tif </t>
  </si>
  <si>
    <t xml:space="preserve"> 31536.3864 </t>
  </si>
  <si>
    <t xml:space="preserve"> 38.7037 </t>
  </si>
  <si>
    <t xml:space="preserve">C:\Users\andre\Desktop\REACTIV CEFAS\Testosterone\Testosterone/20201117_Cefas_Test6-Run2/Plate 2/@21/C12_03.tif </t>
  </si>
  <si>
    <t xml:space="preserve"> 30563.0411 </t>
  </si>
  <si>
    <t xml:space="preserve"> 41.4098 </t>
  </si>
  <si>
    <t xml:space="preserve">C:\Users\andre\Desktop\REACTIV CEFAS\Testosterone\Testosterone/20201117_Cefas_Test6-Run2/Plate 2/@21/D12_01.tif </t>
  </si>
  <si>
    <t xml:space="preserve"> 32.1987 </t>
  </si>
  <si>
    <t xml:space="preserve">C:\Users\andre\Desktop\REACTIV CEFAS\Testosterone\Testosterone/20201117_Cefas_Test6-Run2/Plate 2/@21/D12_02.tif </t>
  </si>
  <si>
    <t xml:space="preserve"> 1968.3204 </t>
  </si>
  <si>
    <t xml:space="preserve"> 33.4286 </t>
  </si>
  <si>
    <t xml:space="preserve">C:\Users\andre\Desktop\REACTIV CEFAS\Testosterone\Testosterone/20201117_Cefas_Test6-Run2/Plate 2/@21/D12_03.tif </t>
  </si>
  <si>
    <t xml:space="preserve"> 31.873 </t>
  </si>
  <si>
    <t>C:\Users\andre\Desktop\REACTIV CEFAS\Testosterone\Testosterone/20201117_Cefas_Test6-Run2/Plate 2/@21/E12_01- exclu.tif</t>
  </si>
  <si>
    <t>C:\Users\andre\Desktop\REACTIV CEFAS\Testosterone\Testosterone/20201117_Cefas_Test6-Run2/Plate 2/@21/E12_02- exclu.tif</t>
  </si>
  <si>
    <t>C:\Users\andre\Desktop\REACTIV CEFAS\Testosterone\Testosterone/20201117_Cefas_Test6-Run2/Plate 2/@21/E12_03- exclu.tif</t>
  </si>
  <si>
    <t xml:space="preserve">C:\Users\andre\Desktop\REACTIV CEFAS\Testosterone\Testosterone/20201117_Cefas_Test6-Run2/Plate 2/@21/F12_01.tif </t>
  </si>
  <si>
    <t xml:space="preserve"> 55350.9004 </t>
  </si>
  <si>
    <t xml:space="preserve"> 39.3904 </t>
  </si>
  <si>
    <t xml:space="preserve">C:\Users\andre\Desktop\REACTIV CEFAS\Testosterone\Testosterone/20201117_Cefas_Test6-Run2/Plate 2/@21/F12_02.tif </t>
  </si>
  <si>
    <t xml:space="preserve"> 54269.4056 </t>
  </si>
  <si>
    <t xml:space="preserve"> 41.7425 </t>
  </si>
  <si>
    <t xml:space="preserve">C:\Users\andre\Desktop\REACTIV CEFAS\Testosterone\Testosterone/20201117_Cefas_Test6-Run2/Plate 2/@21/F12_03.tif </t>
  </si>
  <si>
    <t xml:space="preserve"> 71270.5028 </t>
  </si>
  <si>
    <t xml:space="preserve"> 44.1187 </t>
  </si>
  <si>
    <t xml:space="preserve">C:\Users\andre\Desktop\REACTIV CEFAS\Testosterone\Testosterone/20201117_Cefas_Test6-Run2/Plate 2/@21/G12_01.tif </t>
  </si>
  <si>
    <t xml:space="preserve"> 35602.8066 </t>
  </si>
  <si>
    <t xml:space="preserve"> 40.1197 </t>
  </si>
  <si>
    <t xml:space="preserve">C:\Users\andre\Desktop\REACTIV CEFAS\Testosterone\Testosterone/20201117_Cefas_Test6-Run2/Plate 2/@21/G12_02.tif </t>
  </si>
  <si>
    <t xml:space="preserve"> 42632.5223 </t>
  </si>
  <si>
    <t xml:space="preserve"> 47.2699 </t>
  </si>
  <si>
    <t xml:space="preserve">C:\Users\andre\Desktop\REACTIV CEFAS\Testosterone\Testosterone/20201117_Cefas_Test6-Run2/Plate 2/@21/G12_03.tif </t>
  </si>
  <si>
    <t xml:space="preserve"> 42308.0739 </t>
  </si>
  <si>
    <t xml:space="preserve"> 42.2751 </t>
  </si>
  <si>
    <t xml:space="preserve">C:\Users\andre\Desktop\REACTIV CEFAS\Testosterone\Testosterone/20201117_Cefas_Test6-Run2/Plate 2/@21/H12_01.tif </t>
  </si>
  <si>
    <t xml:space="preserve"> 41529.3977 </t>
  </si>
  <si>
    <t xml:space="preserve"> 39.012 </t>
  </si>
  <si>
    <t xml:space="preserve">C:\Users\andre\Desktop\REACTIV CEFAS\Testosterone\Testosterone/20201117_Cefas_Test6-Run2/Plate 2/@21/H12_02.tif </t>
  </si>
  <si>
    <t xml:space="preserve"> 49229.6402 </t>
  </si>
  <si>
    <t xml:space="preserve"> 41.0681 </t>
  </si>
  <si>
    <t xml:space="preserve">C:\Users\andre\Desktop\REACTIV CEFAS\Testosterone\Testosterone/20201117_Cefas_Test6-Run2/Plate 2/@21/H12_03.tif </t>
  </si>
  <si>
    <t xml:space="preserve"> 48450.964 </t>
  </si>
  <si>
    <t xml:space="preserve"> 40.4719 </t>
  </si>
  <si>
    <t xml:space="preserve">C:\Users\andre\Desktop\REACTIV CEFAS\Testosterone\Testosterone/20201117_Cefas_Test6-Run2/Plate 2/@21/ </t>
  </si>
  <si>
    <t xml:space="preserve"> 35.8232 </t>
  </si>
  <si>
    <t xml:space="preserve"> 14.3939 </t>
  </si>
  <si>
    <t xml:space="preserve"> 1675884.21 </t>
  </si>
  <si>
    <t xml:space="preserve"> 1180968.21 </t>
  </si>
  <si>
    <t xml:space="preserve">C:\Users\andre\Desktop\REACTIV CEFAS\Testosterone\Testosterone/20201117_Cefas_Test6-Run2/Plate 2/@8/A2_01.tif </t>
  </si>
  <si>
    <t xml:space="preserve"> 32.2484 </t>
  </si>
  <si>
    <t xml:space="preserve">C:\Users\andre\Desktop\REACTIV CEFAS\Testosterone\Testosterone/20201117_Cefas_Test6-Run2/Plate 2/@8/A2_02.tif </t>
  </si>
  <si>
    <t xml:space="preserve"> 4628.7975 </t>
  </si>
  <si>
    <t xml:space="preserve"> 36.8131 </t>
  </si>
  <si>
    <t xml:space="preserve">C:\Users\andre\Desktop\REACTIV CEFAS\Testosterone\Testosterone/20201117_Cefas_Test6-Run2/Plate 2/@8/A2_03.tif </t>
  </si>
  <si>
    <t xml:space="preserve"> 7678.6126 </t>
  </si>
  <si>
    <t xml:space="preserve"> 38.4085 </t>
  </si>
  <si>
    <t xml:space="preserve">C:\Users\andre\Desktop\REACTIV CEFAS\Testosterone\Testosterone/20201117_Cefas_Test6-Run2/Plate 2/@8/B2_01.tif </t>
  </si>
  <si>
    <t xml:space="preserve"> 389.3381 </t>
  </si>
  <si>
    <t xml:space="preserve"> 32.4444 </t>
  </si>
  <si>
    <t xml:space="preserve">C:\Users\andre\Desktop\REACTIV CEFAS\Testosterone\Testosterone/20201117_Cefas_Test6-Run2/Plate 2/@8/B2_02.tif </t>
  </si>
  <si>
    <t xml:space="preserve"> 35.1908 </t>
  </si>
  <si>
    <t xml:space="preserve">C:\Users\andre\Desktop\REACTIV CEFAS\Testosterone\Testosterone/20201117_Cefas_Test6-Run2/Plate 2/@8/B2_03.tif </t>
  </si>
  <si>
    <t xml:space="preserve"> 3612.1924 </t>
  </si>
  <si>
    <t xml:space="preserve"> 36.9401 </t>
  </si>
  <si>
    <t xml:space="preserve">C:\Users\andre\Desktop\REACTIV CEFAS\Testosterone\Testosterone/20201117_Cefas_Test6-Run2/Plate 2/@8/C2_01.tif </t>
  </si>
  <si>
    <t xml:space="preserve"> 6726.8972 </t>
  </si>
  <si>
    <t xml:space="preserve"> 33.4437 </t>
  </si>
  <si>
    <t xml:space="preserve">C:\Users\andre\Desktop\REACTIV CEFAS\Testosterone\Testosterone/20201117_Cefas_Test6-Run2/Plate 2/@8/C2_02.tif </t>
  </si>
  <si>
    <t xml:space="preserve"> 4434.1284 </t>
  </si>
  <si>
    <t xml:space="preserve"> 34.9951 </t>
  </si>
  <si>
    <t xml:space="preserve">C:\Users\andre\Desktop\REACTIV CEFAS\Testosterone\Testosterone/20201117_Cefas_Test6-Run2/Plate 2/@8/C2_03.tif </t>
  </si>
  <si>
    <t xml:space="preserve"> 6142.8901 </t>
  </si>
  <si>
    <t xml:space="preserve"> 34.162 </t>
  </si>
  <si>
    <t xml:space="preserve">C:\Users\andre\Desktop\REACTIV CEFAS\Testosterone\Testosterone/20201117_Cefas_Test6-Run2/Plate 2/@8/D2_01.tif </t>
  </si>
  <si>
    <t xml:space="preserve"> 1449.2029 </t>
  </si>
  <si>
    <t xml:space="preserve"> 33.5672 </t>
  </si>
  <si>
    <t xml:space="preserve">C:\Users\andre\Desktop\REACTIV CEFAS\Testosterone\Testosterone/20201117_Cefas_Test6-Run2/Plate 2/@8/D2_02.tif </t>
  </si>
  <si>
    <t xml:space="preserve">C:\Users\andre\Desktop\REACTIV CEFAS\Testosterone\Testosterone/20201117_Cefas_Test6-Run2/Plate 2/@8/D2_03.tif </t>
  </si>
  <si>
    <t xml:space="preserve"> 34.1786 </t>
  </si>
  <si>
    <t xml:space="preserve">C:\Users\andre\Desktop\REACTIV CEFAS\Testosterone\Testosterone/20201117_Cefas_Test6-Run2/Plate 2/@8/E2_01.tif </t>
  </si>
  <si>
    <t xml:space="preserve"> 4953.2459 </t>
  </si>
  <si>
    <t xml:space="preserve"> 35.4498 </t>
  </si>
  <si>
    <t xml:space="preserve">C:\Users\andre\Desktop\REACTIV CEFAS\Testosterone\Testosterone/20201117_Cefas_Test6-Run2/Plate 2/@8/E2_02.tif </t>
  </si>
  <si>
    <t xml:space="preserve"> 6315.9292 </t>
  </si>
  <si>
    <t xml:space="preserve"> 35.2671 </t>
  </si>
  <si>
    <t xml:space="preserve">C:\Users\andre\Desktop\REACTIV CEFAS\Testosterone\Testosterone/20201117_Cefas_Test6-Run2/Plate 2/@8/E2_03.tif </t>
  </si>
  <si>
    <t xml:space="preserve"> 33.6946 </t>
  </si>
  <si>
    <t xml:space="preserve">C:\Users\andre\Desktop\REACTIV CEFAS\Testosterone\Testosterone/20201117_Cefas_Test6-Run2/Plate 2/@8/F2_01.tif </t>
  </si>
  <si>
    <t xml:space="preserve"> 31.3972 </t>
  </si>
  <si>
    <t xml:space="preserve">C:\Users\andre\Desktop\REACTIV CEFAS\Testosterone\Testosterone/20201117_Cefas_Test6-Run2/Plate 2/@8/F2_02.tif </t>
  </si>
  <si>
    <t xml:space="preserve"> 9387.3743 </t>
  </si>
  <si>
    <t xml:space="preserve"> 40.7581 </t>
  </si>
  <si>
    <t xml:space="preserve">C:\Users\andre\Desktop\REACTIV CEFAS\Testosterone\Testosterone/20201117_Cefas_Test6-Run2/Plate 2/@8/F2_03.tif </t>
  </si>
  <si>
    <t xml:space="preserve"> 6640.3777 </t>
  </si>
  <si>
    <t xml:space="preserve"> 35.3127 </t>
  </si>
  <si>
    <t>C:\Users\andre\Desktop\REACTIV CEFAS\Testosterone\Testosterone/20201117_Cefas_Test6-Run2/Plate 2/@8/G2_01- exclu.tif</t>
  </si>
  <si>
    <t>C:\Users\andre\Desktop\REACTIV CEFAS\Testosterone\Testosterone/20201117_Cefas_Test6-Run2/Plate 2/@8/G2_02- exclu.tif</t>
  </si>
  <si>
    <t>C:\Users\andre\Desktop\REACTIV CEFAS\Testosterone\Testosterone/20201117_Cefas_Test6-Run2/Plate 2/@8/G2_03- exclu.tif</t>
  </si>
  <si>
    <t xml:space="preserve">C:\Users\andre\Desktop\REACTIV CEFAS\Testosterone\Testosterone/20201117_Cefas_Test6-Run2/Plate 2/@8/H2_01.tif </t>
  </si>
  <si>
    <t xml:space="preserve"> 37.1279 </t>
  </si>
  <si>
    <t xml:space="preserve">C:\Users\andre\Desktop\REACTIV CEFAS\Testosterone\Testosterone/20201117_Cefas_Test6-Run2/Plate 2/@8/H2_02.tif </t>
  </si>
  <si>
    <t xml:space="preserve"> 35.3694 </t>
  </si>
  <si>
    <t xml:space="preserve">C:\Users\andre\Desktop\REACTIV CEFAS\Testosterone\Testosterone/20201117_Cefas_Test6-Run2/Plate 2/@8/H2_03.tif </t>
  </si>
  <si>
    <t xml:space="preserve">C:\Users\andre\Desktop\REACTIV CEFAS\Testosterone\Testosterone/20201117_Cefas_Test6-Run2/Plate 2/@8/ </t>
  </si>
  <si>
    <t xml:space="preserve"> 31.7404 </t>
  </si>
  <si>
    <t xml:space="preserve"> 10.0532 </t>
  </si>
  <si>
    <t xml:space="preserve"> 125673.375 </t>
  </si>
  <si>
    <t xml:space="preserve"> 103346.093 </t>
  </si>
  <si>
    <t xml:space="preserve">C:\Users\andre\Desktop\REACTIV CEFAS\Testosterone\Testosterone/20201117_Cefas_Test6-Run2/Plate 2/@9/A3_01.tif </t>
  </si>
  <si>
    <t xml:space="preserve"> 18277.261 </t>
  </si>
  <si>
    <t xml:space="preserve"> 33.3669 </t>
  </si>
  <si>
    <t xml:space="preserve">C:\Users\andre\Desktop\REACTIV CEFAS\Testosterone\Testosterone/20201117_Cefas_Test6-Run2/Plate 2/@9/A3_02.tif </t>
  </si>
  <si>
    <t xml:space="preserve"> 11355.6947 </t>
  </si>
  <si>
    <t xml:space="preserve"> 32.76 </t>
  </si>
  <si>
    <t xml:space="preserve">C:\Users\andre\Desktop\REACTIV CEFAS\Testosterone\Testosterone/20201117_Cefas_Test6-Run2/Plate 2/@9/A3_03.tif </t>
  </si>
  <si>
    <t xml:space="preserve"> 24614.8201 </t>
  </si>
  <si>
    <t xml:space="preserve"> 34.1283 </t>
  </si>
  <si>
    <t xml:space="preserve">C:\Users\andre\Desktop\REACTIV CEFAS\Testosterone\Testosterone/20201117_Cefas_Test6-Run2/Plate 2/@9/B3_01.tif </t>
  </si>
  <si>
    <t xml:space="preserve"> 34.9252 </t>
  </si>
  <si>
    <t xml:space="preserve">C:\Users\andre\Desktop\REACTIV CEFAS\Testosterone\Testosterone/20201117_Cefas_Test6-Run2/Plate 2/@9/B3_02.tif </t>
  </si>
  <si>
    <t xml:space="preserve"> 36.1843 </t>
  </si>
  <si>
    <t xml:space="preserve">C:\Users\andre\Desktop\REACTIV CEFAS\Testosterone\Testosterone/20201117_Cefas_Test6-Run2/Plate 2/@9/B3_03.tif </t>
  </si>
  <si>
    <t xml:space="preserve"> 19466.9052 </t>
  </si>
  <si>
    <t xml:space="preserve"> 34.9222 </t>
  </si>
  <si>
    <t xml:space="preserve">C:\Users\andre\Desktop\REACTIV CEFAS\Testosterone\Testosterone/20201117_Cefas_Test6-Run2/Plate 2/@9/C3_01.tif </t>
  </si>
  <si>
    <t xml:space="preserve"> 37.5971 </t>
  </si>
  <si>
    <t xml:space="preserve">C:\Users\andre\Desktop\REACTIV CEFAS\Testosterone\Testosterone/20201117_Cefas_Test6-Run2/Plate 2/@9/C3_02.tif </t>
  </si>
  <si>
    <t xml:space="preserve"> 35.7697 </t>
  </si>
  <si>
    <t xml:space="preserve">C:\Users\andre\Desktop\REACTIV CEFAS\Testosterone\Testosterone/20201117_Cefas_Test6-Run2/Plate 2/@9/C3_03.tif </t>
  </si>
  <si>
    <t xml:space="preserve"> 34.6386 </t>
  </si>
  <si>
    <t xml:space="preserve">C:\Users\andre\Desktop\REACTIV CEFAS\Testosterone\Testosterone/20201117_Cefas_Test6-Run2/Plate 2/@9/D3_01.tif </t>
  </si>
  <si>
    <t xml:space="preserve"> 4542.2779 </t>
  </si>
  <si>
    <t xml:space="preserve"> 42.081 </t>
  </si>
  <si>
    <t xml:space="preserve">C:\Users\andre\Desktop\REACTIV CEFAS\Testosterone\Testosterone/20201117_Cefas_Test6-Run2/Plate 2/@9/D3_02.tif </t>
  </si>
  <si>
    <t xml:space="preserve"> 39.0281 </t>
  </si>
  <si>
    <t xml:space="preserve">C:\Users\andre\Desktop\REACTIV CEFAS\Testosterone\Testosterone/20201117_Cefas_Test6-Run2/Plate 2/@9/D3_03.tif </t>
  </si>
  <si>
    <t xml:space="preserve"> 35.7824 </t>
  </si>
  <si>
    <t xml:space="preserve">C:\Users\andre\Desktop\REACTIV CEFAS\Testosterone\Testosterone/20201117_Cefas_Test6-Run2/Plate 2/@9/E3_01.tif </t>
  </si>
  <si>
    <t xml:space="preserve"> 35.4811 </t>
  </si>
  <si>
    <t xml:space="preserve">C:\Users\andre\Desktop\REACTIV CEFAS\Testosterone\Testosterone/20201117_Cefas_Test6-Run2/Plate 2/@9/E3_02.tif </t>
  </si>
  <si>
    <t xml:space="preserve"> 7981.4311 </t>
  </si>
  <si>
    <t xml:space="preserve"> 39.2114 </t>
  </si>
  <si>
    <t xml:space="preserve">C:\Users\andre\Desktop\REACTIV CEFAS\Testosterone\Testosterone/20201117_Cefas_Test6-Run2/Plate 2/@9/E3_03.tif </t>
  </si>
  <si>
    <t xml:space="preserve"> 4845.0964 </t>
  </si>
  <si>
    <t xml:space="preserve"> 37.6027 </t>
  </si>
  <si>
    <t xml:space="preserve">C:\Users\andre\Desktop\REACTIV CEFAS\Testosterone\Testosterone/20201117_Cefas_Test6-Run2/Plate 2/@9/F3_01.tif </t>
  </si>
  <si>
    <t xml:space="preserve"> 30.3333 </t>
  </si>
  <si>
    <t xml:space="preserve">C:\Users\andre\Desktop\REACTIV CEFAS\Testosterone\Testosterone/20201117_Cefas_Test6-Run2/Plate 2/@9/F3_02.tif </t>
  </si>
  <si>
    <t xml:space="preserve"> 5623.7726 </t>
  </si>
  <si>
    <t xml:space="preserve"> 38.2038 </t>
  </si>
  <si>
    <t>C:\Users\andre\Desktop\REACTIV CEFAS\Testosterone\Testosterone/20201117_Cefas_Test6-Run2/Plate 2/@9/F3_03- exclu.tif</t>
  </si>
  <si>
    <t xml:space="preserve">C:\Users\andre\Desktop\REACTIV CEFAS\Testosterone\Testosterone/20201117_Cefas_Test6-Run2/Plate 2/@9/G3_01.tif </t>
  </si>
  <si>
    <t xml:space="preserve"> 33.4194 </t>
  </si>
  <si>
    <t xml:space="preserve">C:\Users\andre\Desktop\REACTIV CEFAS\Testosterone\Testosterone/20201117_Cefas_Test6-Run2/Plate 2/@9/G3_02.tif </t>
  </si>
  <si>
    <t xml:space="preserve"> 7289.2745 </t>
  </si>
  <si>
    <t xml:space="preserve"> 33.8724 </t>
  </si>
  <si>
    <t xml:space="preserve">C:\Users\andre\Desktop\REACTIV CEFAS\Testosterone\Testosterone/20201117_Cefas_Test6-Run2/Plate 2/@9/G3_03.tif </t>
  </si>
  <si>
    <t xml:space="preserve"> 6856.6766 </t>
  </si>
  <si>
    <t xml:space="preserve"> 34.7319 </t>
  </si>
  <si>
    <t xml:space="preserve">C:\Users\andre\Desktop\REACTIV CEFAS\Testosterone\Testosterone/20201117_Cefas_Test6-Run2/Plate 2/@9/H3_01.tif </t>
  </si>
  <si>
    <t xml:space="preserve"> 14383.8799 </t>
  </si>
  <si>
    <t xml:space="preserve"> 32.5459 </t>
  </si>
  <si>
    <t xml:space="preserve">C:\Users\andre\Desktop\REACTIV CEFAS\Testosterone\Testosterone/20201117_Cefas_Test6-Run2/Plate 2/@9/H3_02.tif </t>
  </si>
  <si>
    <t xml:space="preserve"> 24593.1902 </t>
  </si>
  <si>
    <t xml:space="preserve">C:\Users\andre\Desktop\REACTIV CEFAS\Testosterone\Testosterone/20201117_Cefas_Test6-Run2/Plate 2/@9/H3_03.tif </t>
  </si>
  <si>
    <t xml:space="preserve"> 15054.4067 </t>
  </si>
  <si>
    <t xml:space="preserve"> 37.6753 </t>
  </si>
  <si>
    <t xml:space="preserve">C:\Users\andre\Desktop\REACTIV CEFAS\Testosterone\Testosterone/20201117_Cefas_Test6-Run2/Plate 2/@9/ </t>
  </si>
  <si>
    <t xml:space="preserve"> 35.5428 </t>
  </si>
  <si>
    <t xml:space="preserve"> 2.7428 </t>
  </si>
  <si>
    <t xml:space="preserve"> 370685.958 </t>
  </si>
  <si>
    <t xml:space="preserve"> 279936.803 </t>
  </si>
  <si>
    <t>Testo-3,7µg/L + Testostérone</t>
  </si>
  <si>
    <t>Testo-11µg/L + Testostérone</t>
  </si>
  <si>
    <t>Testo-33µg/L + Testostérone</t>
  </si>
  <si>
    <t>Testo-100µg/L + Testostérone</t>
  </si>
  <si>
    <t>Testo-300µg/L + Testostérone</t>
  </si>
  <si>
    <t xml:space="preserve">C:\Users\andre\Desktop\REACTIV CEFAS\Testosterone\Testosterone/20201118_Cefas_Test6-Run3/Plate 1/@1/A10_01.tif </t>
  </si>
  <si>
    <t xml:space="preserve"> 5688.6623 </t>
  </si>
  <si>
    <t xml:space="preserve"> 38.9125 </t>
  </si>
  <si>
    <t xml:space="preserve">C:\Users\andre\Desktop\REACTIV CEFAS\Testosterone\Testosterone/20201118_Cefas_Test6-Run3/Plate 1/@1/A10_02.tif </t>
  </si>
  <si>
    <t xml:space="preserve"> 8478.9187 </t>
  </si>
  <si>
    <t xml:space="preserve"> 39.6837 </t>
  </si>
  <si>
    <t xml:space="preserve">C:\Users\andre\Desktop\REACTIV CEFAS\Testosterone\Testosterone/20201118_Cefas_Test6-Run3/Plate 1/@1/A10_03.tif </t>
  </si>
  <si>
    <t xml:space="preserve">C:\Users\andre\Desktop\REACTIV CEFAS\Testosterone\Testosterone/20201118_Cefas_Test6-Run3/Plate 1/@1/B10_01.tif </t>
  </si>
  <si>
    <t xml:space="preserve"> 34.7671 </t>
  </si>
  <si>
    <t xml:space="preserve">C:\Users\andre\Desktop\REACTIV CEFAS\Testosterone\Testosterone/20201118_Cefas_Test6-Run3/Plate 1/@1/B10_02.tif </t>
  </si>
  <si>
    <t xml:space="preserve"> 7008.0859 </t>
  </si>
  <si>
    <t xml:space="preserve"> 37.9537 </t>
  </si>
  <si>
    <t xml:space="preserve">C:\Users\andre\Desktop\REACTIV CEFAS\Testosterone\Testosterone/20201118_Cefas_Test6-Run3/Plate 1/@1/B10_03.tif </t>
  </si>
  <si>
    <t xml:space="preserve"> 9971.3814 </t>
  </si>
  <si>
    <t xml:space="preserve"> 37.2885 </t>
  </si>
  <si>
    <t xml:space="preserve">C:\Users\andre\Desktop\REACTIV CEFAS\Testosterone\Testosterone/20201118_Cefas_Test6-Run3/Plate 1/@1/C10_01.tif </t>
  </si>
  <si>
    <t xml:space="preserve"> 9041.296 </t>
  </si>
  <si>
    <t xml:space="preserve"> 37.7919 </t>
  </si>
  <si>
    <t>C:\Users\andre\Desktop\REACTIV CEFAS\Testosterone\Testosterone/20201118_Cefas_Test6-Run3/Plate 1/@1/C10_02- exclu.tif</t>
  </si>
  <si>
    <t xml:space="preserve">C:\Users\andre\Desktop\REACTIV CEFAS\Testosterone\Testosterone/20201118_Cefas_Test6-Run3/Plate 1/@1/C10_03.tif </t>
  </si>
  <si>
    <t xml:space="preserve"> 36.3556 </t>
  </si>
  <si>
    <t>C:\Users\andre\Desktop\REACTIV CEFAS\Testosterone\Testosterone/20201118_Cefas_Test6-Run3/Plate 1/@1/D10_01- exclu.tif</t>
  </si>
  <si>
    <t>C:\Users\andre\Desktop\REACTIV CEFAS\Testosterone\Testosterone/20201118_Cefas_Test6-Run3/Plate 1/@1/D10_02- exclu.tif</t>
  </si>
  <si>
    <t>C:\Users\andre\Desktop\REACTIV CEFAS\Testosterone\Testosterone/20201118_Cefas_Test6-Run3/Plate 1/@1/D10_03- exclu.tif</t>
  </si>
  <si>
    <t xml:space="preserve">C:\Users\andre\Desktop\REACTIV CEFAS\Testosterone\Testosterone/20201118_Cefas_Test6-Run3/Plate 1/@1/E10_01.tif </t>
  </si>
  <si>
    <t xml:space="preserve"> 32.1458 </t>
  </si>
  <si>
    <t xml:space="preserve">C:\Users\andre\Desktop\REACTIV CEFAS\Testosterone\Testosterone/20201118_Cefas_Test6-Run3/Plate 1/@1/E10_02.tif </t>
  </si>
  <si>
    <t xml:space="preserve"> 2206.2493 </t>
  </si>
  <si>
    <t xml:space="preserve"> 32.8529 </t>
  </si>
  <si>
    <t xml:space="preserve">C:\Users\andre\Desktop\REACTIV CEFAS\Testosterone\Testosterone/20201118_Cefas_Test6-Run3/Plate 1/@1/E10_03.tif </t>
  </si>
  <si>
    <t xml:space="preserve">C:\Users\andre\Desktop\REACTIV CEFAS\Testosterone\Testosterone/20201118_Cefas_Test6-Run3/Plate 1/@1/F10_01.tif </t>
  </si>
  <si>
    <t xml:space="preserve"> 865.1958 </t>
  </si>
  <si>
    <t xml:space="preserve"> 32.175 </t>
  </si>
  <si>
    <t>C:\Users\andre\Desktop\REACTIV CEFAS\Testosterone\Testosterone/20201118_Cefas_Test6-Run3/Plate 1/@1/F10_02- exclu.tif</t>
  </si>
  <si>
    <t xml:space="preserve">C:\Users\andre\Desktop\REACTIV CEFAS\Testosterone\Testosterone/20201118_Cefas_Test6-Run3/Plate 1/@1/F10_03.tif </t>
  </si>
  <si>
    <t xml:space="preserve">C:\Users\andre\Desktop\REACTIV CEFAS\Testosterone\Testosterone/20201118_Cefas_Test6-Run3/Plate 1/@1/G10_01.tif </t>
  </si>
  <si>
    <t xml:space="preserve"> 31.875 </t>
  </si>
  <si>
    <t xml:space="preserve">C:\Users\andre\Desktop\REACTIV CEFAS\Testosterone\Testosterone/20201118_Cefas_Test6-Run3/Plate 1/@1/G10_02.tif </t>
  </si>
  <si>
    <t xml:space="preserve"> 32.5091 </t>
  </si>
  <si>
    <t xml:space="preserve">C:\Users\andre\Desktop\REACTIV CEFAS\Testosterone\Testosterone/20201118_Cefas_Test6-Run3/Plate 1/@1/G10_03.tif </t>
  </si>
  <si>
    <t xml:space="preserve"> 2292.7688 </t>
  </si>
  <si>
    <t xml:space="preserve"> 33.3679 </t>
  </si>
  <si>
    <t xml:space="preserve">C:\Users\andre\Desktop\REACTIV CEFAS\Testosterone\Testosterone/20201118_Cefas_Test6-Run3/Plate 1/@1/H10_01.tif </t>
  </si>
  <si>
    <t xml:space="preserve"> 6510.5983 </t>
  </si>
  <si>
    <t xml:space="preserve"> 40.5282 </t>
  </si>
  <si>
    <t xml:space="preserve">C:\Users\andre\Desktop\REACTIV CEFAS\Testosterone\Testosterone/20201118_Cefas_Test6-Run3/Plate 1/@1/H10_02.tif </t>
  </si>
  <si>
    <t xml:space="preserve"> 6597.1179 </t>
  </si>
  <si>
    <t xml:space="preserve"> 41.1541 </t>
  </si>
  <si>
    <t xml:space="preserve">C:\Users\andre\Desktop\REACTIV CEFAS\Testosterone\Testosterone/20201118_Cefas_Test6-Run3/Plate 1/@1/H10_03.tif </t>
  </si>
  <si>
    <t xml:space="preserve">C:\Users\andre\Desktop\REACTIV CEFAS\Testosterone\Testosterone/20201118_Cefas_Test6-Run3/Plate 1/@1/ </t>
  </si>
  <si>
    <t xml:space="preserve"> 33.7548 </t>
  </si>
  <si>
    <t xml:space="preserve"> 15.0189 </t>
  </si>
  <si>
    <t xml:space="preserve"> 300158.204 </t>
  </si>
  <si>
    <t xml:space="preserve">C:\Users\andre\Desktop\REACTIV CEFAS\Testosterone\Testosterone/20201118_Cefas_Test6-Run3/Plate 1/@13/A8_01.tif </t>
  </si>
  <si>
    <t xml:space="preserve"> 33.7836 </t>
  </si>
  <si>
    <t xml:space="preserve">C:\Users\andre\Desktop\REACTIV CEFAS\Testosterone\Testosterone/20201118_Cefas_Test6-Run3/Plate 1/@13/A8_02.tif </t>
  </si>
  <si>
    <t xml:space="preserve"> 14427.1397 </t>
  </si>
  <si>
    <t xml:space="preserve"> 34.2804 </t>
  </si>
  <si>
    <t xml:space="preserve">C:\Users\andre\Desktop\REACTIV CEFAS\Testosterone\Testosterone/20201118_Cefas_Test6-Run3/Plate 1/@13/A8_03.tif </t>
  </si>
  <si>
    <t xml:space="preserve"> 33.3906 </t>
  </si>
  <si>
    <t xml:space="preserve">C:\Users\andre\Desktop\REACTIV CEFAS\Testosterone\Testosterone/20201118_Cefas_Test6-Run3/Plate 1/@13/B8_01.tif </t>
  </si>
  <si>
    <t xml:space="preserve"> 49943.4267 </t>
  </si>
  <si>
    <t xml:space="preserve"> 39.3114 </t>
  </si>
  <si>
    <t>C:\Users\andre\Desktop\REACTIV CEFAS\Testosterone\Testosterone/20201118_Cefas_Test6-Run3/Plate 1/@13/B8_02- exclu.tif</t>
  </si>
  <si>
    <t xml:space="preserve">C:\Users\andre\Desktop\REACTIV CEFAS\Testosterone\Testosterone/20201118_Cefas_Test6-Run3/Plate 1/@13/B8_03.tif </t>
  </si>
  <si>
    <t xml:space="preserve"> 37.261 </t>
  </si>
  <si>
    <t xml:space="preserve">C:\Users\andre\Desktop\REACTIV CEFAS\Testosterone\Testosterone/20201118_Cefas_Test6-Run3/Plate 1/@13/C8_01.tif </t>
  </si>
  <si>
    <t xml:space="preserve"> 33439.8171 </t>
  </si>
  <si>
    <t xml:space="preserve"> 37.7691 </t>
  </si>
  <si>
    <t xml:space="preserve">C:\Users\andre\Desktop\REACTIV CEFAS\Testosterone\Testosterone/20201118_Cefas_Test6-Run3/Plate 1/@13/C8_02.tif </t>
  </si>
  <si>
    <t xml:space="preserve"> 32033.8739 </t>
  </si>
  <si>
    <t xml:space="preserve"> 35.5334 </t>
  </si>
  <si>
    <t xml:space="preserve">C:\Users\andre\Desktop\REACTIV CEFAS\Testosterone\Testosterone/20201118_Cefas_Test6-Run3/Plate 1/@13/C8_03.tif </t>
  </si>
  <si>
    <t xml:space="preserve"> 43259.7893 </t>
  </si>
  <si>
    <t xml:space="preserve"> 38.153 </t>
  </si>
  <si>
    <t xml:space="preserve">C:\Users\andre\Desktop\REACTIV CEFAS\Testosterone\Testosterone/20201118_Cefas_Test6-Run3/Plate 1/@13/D8_01.tif </t>
  </si>
  <si>
    <t xml:space="preserve"> 76807.7558 </t>
  </si>
  <si>
    <t xml:space="preserve"> 47.4244 </t>
  </si>
  <si>
    <t xml:space="preserve">C:\Users\andre\Desktop\REACTIV CEFAS\Testosterone\Testosterone/20201118_Cefas_Test6-Run3/Plate 1/@13/D8_02.tif </t>
  </si>
  <si>
    <t xml:space="preserve"> 79511.4927 </t>
  </si>
  <si>
    <t xml:space="preserve"> 43.0297 </t>
  </si>
  <si>
    <t xml:space="preserve">C:\Users\andre\Desktop\REACTIV CEFAS\Testosterone\Testosterone/20201118_Cefas_Test6-Run3/Plate 1/@13/D8_03.tif </t>
  </si>
  <si>
    <t xml:space="preserve"> 72568.2965 </t>
  </si>
  <si>
    <t xml:space="preserve"> 43.1308 </t>
  </si>
  <si>
    <t xml:space="preserve">C:\Users\andre\Desktop\REACTIV CEFAS\Testosterone\Testosterone/20201118_Cefas_Test6-Run3/Plate 1/@13/E8_01.tif </t>
  </si>
  <si>
    <t xml:space="preserve"> 36.3581 </t>
  </si>
  <si>
    <t xml:space="preserve">C:\Users\andre\Desktop\REACTIV CEFAS\Testosterone\Testosterone/20201118_Cefas_Test6-Run3/Plate 1/@13/E8_02.tif </t>
  </si>
  <si>
    <t xml:space="preserve"> 35.7455 </t>
  </si>
  <si>
    <t xml:space="preserve">C:\Users\andre\Desktop\REACTIV CEFAS\Testosterone\Testosterone/20201118_Cefas_Test6-Run3/Plate 1/@13/E8_03.tif </t>
  </si>
  <si>
    <t xml:space="preserve"> 20570.0298 </t>
  </si>
  <si>
    <t xml:space="preserve"> 35.5657 </t>
  </si>
  <si>
    <t xml:space="preserve">C:\Users\andre\Desktop\REACTIV CEFAS\Testosterone\Testosterone/20201118_Cefas_Test6-Run3/Plate 1/@13/F8_01.tif </t>
  </si>
  <si>
    <t xml:space="preserve"> 38328.1733 </t>
  </si>
  <si>
    <t xml:space="preserve"> 36.7381 </t>
  </si>
  <si>
    <t xml:space="preserve">C:\Users\andre\Desktop\REACTIV CEFAS\Testosterone\Testosterone/20201118_Cefas_Test6-Run3/Plate 1/@13/F8_02.tif </t>
  </si>
  <si>
    <t xml:space="preserve"> 38.8743 </t>
  </si>
  <si>
    <t xml:space="preserve">C:\Users\andre\Desktop\REACTIV CEFAS\Testosterone\Testosterone/20201118_Cefas_Test6-Run3/Plate 1/@13/F8_03.tif </t>
  </si>
  <si>
    <t xml:space="preserve"> 36.1734 </t>
  </si>
  <si>
    <t xml:space="preserve">C:\Users\andre\Desktop\REACTIV CEFAS\Testosterone\Testosterone/20201118_Cefas_Test6-Run3/Plate 1/@13/G8_01.tif </t>
  </si>
  <si>
    <t xml:space="preserve"> 44319.6541 </t>
  </si>
  <si>
    <t xml:space="preserve"> 42.8145 </t>
  </si>
  <si>
    <t xml:space="preserve">C:\Users\andre\Desktop\REACTIV CEFAS\Testosterone\Testosterone/20201118_Cefas_Test6-Run3/Plate 1/@13/G8_02.tif </t>
  </si>
  <si>
    <t xml:space="preserve"> 36554.5219 </t>
  </si>
  <si>
    <t xml:space="preserve"> 39.4024 </t>
  </si>
  <si>
    <t xml:space="preserve">C:\Users\andre\Desktop\REACTIV CEFAS\Testosterone\Testosterone/20201118_Cefas_Test6-Run3/Plate 1/@13/G8_03.tif </t>
  </si>
  <si>
    <t xml:space="preserve"> 46461.0137 </t>
  </si>
  <si>
    <t xml:space="preserve"> 39.9413 </t>
  </si>
  <si>
    <t xml:space="preserve">C:\Users\andre\Desktop\REACTIV CEFAS\Testosterone\Testosterone/20201118_Cefas_Test6-Run3/Plate 1/@13/H8_01.tif </t>
  </si>
  <si>
    <t xml:space="preserve"> 79641.272 </t>
  </si>
  <si>
    <t xml:space="preserve"> 44.5459 </t>
  </si>
  <si>
    <t xml:space="preserve">C:\Users\andre\Desktop\REACTIV CEFAS\Testosterone\Testosterone/20201118_Cefas_Test6-Run3/Plate 1/@13/H8_02.tif </t>
  </si>
  <si>
    <t xml:space="preserve"> 72698.0758 </t>
  </si>
  <si>
    <t xml:space="preserve"> 43.7025 </t>
  </si>
  <si>
    <t xml:space="preserve">C:\Users\andre\Desktop\REACTIV CEFAS\Testosterone\Testosterone/20201118_Cefas_Test6-Run3/Plate 1/@13/H8_03.tif </t>
  </si>
  <si>
    <t xml:space="preserve"> 69842.9298 </t>
  </si>
  <si>
    <t xml:space="preserve"> 44.6216 </t>
  </si>
  <si>
    <t xml:space="preserve">C:\Users\andre\Desktop\REACTIV CEFAS\Testosterone\Testosterone/20201118_Cefas_Test6-Run3/Plate 1/@13/ </t>
  </si>
  <si>
    <t xml:space="preserve"> 38.9202 </t>
  </si>
  <si>
    <t xml:space="preserve"> 3.907 </t>
  </si>
  <si>
    <t xml:space="preserve"> 1749689.96 </t>
  </si>
  <si>
    <t xml:space="preserve"> 1038018.4 </t>
  </si>
  <si>
    <t xml:space="preserve">C:\Users\andre\Desktop\REACTIV CEFAS\Testosterone\Testosterone/20201118_Cefas_Test6-Run3/Plate 1/@14/A9_01.tif </t>
  </si>
  <si>
    <t xml:space="preserve"> 17779.7734 </t>
  </si>
  <si>
    <t xml:space="preserve"> 35.163 </t>
  </si>
  <si>
    <t xml:space="preserve">C:\Users\andre\Desktop\REACTIV CEFAS\Testosterone\Testosterone/20201118_Cefas_Test6-Run3/Plate 1/@14/A9_02.tif </t>
  </si>
  <si>
    <t xml:space="preserve"> 26474.991 </t>
  </si>
  <si>
    <t xml:space="preserve"> 34.0441 </t>
  </si>
  <si>
    <t xml:space="preserve">C:\Users\andre\Desktop\REACTIV CEFAS\Testosterone\Testosterone/20201118_Cefas_Test6-Run3/Plate 1/@14/A9_03.tif </t>
  </si>
  <si>
    <t xml:space="preserve"> 30390.002 </t>
  </si>
  <si>
    <t xml:space="preserve"> 35.0256 </t>
  </si>
  <si>
    <t xml:space="preserve">C:\Users\andre\Desktop\REACTIV CEFAS\Testosterone\Testosterone/20201118_Cefas_Test6-Run3/Plate 1/@14/B9_01.tif </t>
  </si>
  <si>
    <t xml:space="preserve"> 53274.4305 </t>
  </si>
  <si>
    <t xml:space="preserve"> 40.1052 </t>
  </si>
  <si>
    <t xml:space="preserve">C:\Users\andre\Desktop\REACTIV CEFAS\Testosterone\Testosterone/20201118_Cefas_Test6-Run3/Plate 1/@14/B9_02.tif </t>
  </si>
  <si>
    <t xml:space="preserve"> 63721.6696 </t>
  </si>
  <si>
    <t xml:space="preserve"> 41.9745 </t>
  </si>
  <si>
    <t xml:space="preserve">C:\Users\andre\Desktop\REACTIV CEFAS\Testosterone\Testosterone/20201118_Cefas_Test6-Run3/Plate 1/@14/B9_03.tif </t>
  </si>
  <si>
    <t xml:space="preserve"> 39.6276 </t>
  </si>
  <si>
    <t xml:space="preserve">C:\Users\andre\Desktop\REACTIV CEFAS\Testosterone\Testosterone/20201118_Cefas_Test6-Run3/Plate 1/@14/C9_01.tif </t>
  </si>
  <si>
    <t xml:space="preserve"> 54399.185 </t>
  </si>
  <si>
    <t xml:space="preserve"> 38.0414 </t>
  </si>
  <si>
    <t xml:space="preserve">C:\Users\andre\Desktop\REACTIV CEFAS\Testosterone\Testosterone/20201118_Cefas_Test6-Run3/Plate 1/@14/C9_02.tif </t>
  </si>
  <si>
    <t xml:space="preserve"> 53598.8789 </t>
  </si>
  <si>
    <t xml:space="preserve"> 39.9374 </t>
  </si>
  <si>
    <t xml:space="preserve">C:\Users\andre\Desktop\REACTIV CEFAS\Testosterone\Testosterone/20201118_Cefas_Test6-Run3/Plate 1/@14/C9_03.tif </t>
  </si>
  <si>
    <t xml:space="preserve"> 59720.1391 </t>
  </si>
  <si>
    <t xml:space="preserve"> 40.5592 </t>
  </si>
  <si>
    <t>C:\Users\andre\Desktop\REACTIV CEFAS\Testosterone\Testosterone/20201118_Cefas_Test6-Run3/Plate 1/@14/D9_01- exclu.tif</t>
  </si>
  <si>
    <t xml:space="preserve">C:\Users\andre\Desktop\REACTIV CEFAS\Testosterone\Testosterone/20201118_Cefas_Test6-Run3/Plate 1/@14/D9_02.tif </t>
  </si>
  <si>
    <t xml:space="preserve"> 87276.6248 </t>
  </si>
  <si>
    <t xml:space="preserve"> 47.1299 </t>
  </si>
  <si>
    <t xml:space="preserve">C:\Users\andre\Desktop\REACTIV CEFAS\Testosterone\Testosterone/20201118_Cefas_Test6-Run3/Plate 1/@14/D9_03.tif </t>
  </si>
  <si>
    <t xml:space="preserve"> 86346.5394 </t>
  </si>
  <si>
    <t xml:space="preserve"> 50.2229 </t>
  </si>
  <si>
    <t xml:space="preserve">C:\Users\andre\Desktop\REACTIV CEFAS\Testosterone\Testosterone/20201118_Cefas_Test6-Run3/Plate 1/@14/E9_01.tif </t>
  </si>
  <si>
    <t xml:space="preserve"> 66728.2249 </t>
  </si>
  <si>
    <t xml:space="preserve"> 41.2703 </t>
  </si>
  <si>
    <t xml:space="preserve">C:\Users\andre\Desktop\REACTIV CEFAS\Testosterone\Testosterone/20201118_Cefas_Test6-Run3/Plate 1/@14/E9_02.tif </t>
  </si>
  <si>
    <t xml:space="preserve"> 55913.2776 </t>
  </si>
  <si>
    <t xml:space="preserve"> 38.5698 </t>
  </si>
  <si>
    <t xml:space="preserve">C:\Users\andre\Desktop\REACTIV CEFAS\Testosterone\Testosterone/20201118_Cefas_Test6-Run3/Plate 1/@14/E9_03.tif </t>
  </si>
  <si>
    <t xml:space="preserve"> 39258.2588 </t>
  </si>
  <si>
    <t xml:space="preserve"> 39.1609 </t>
  </si>
  <si>
    <t xml:space="preserve">C:\Users\andre\Desktop\REACTIV CEFAS\Testosterone\Testosterone/20201118_Cefas_Test6-Run3/Plate 1/@14/F9_01.tif </t>
  </si>
  <si>
    <t xml:space="preserve"> 46006.7859 </t>
  </si>
  <si>
    <t xml:space="preserve"> 40.0846 </t>
  </si>
  <si>
    <t xml:space="preserve">C:\Users\andre\Desktop\REACTIV CEFAS\Testosterone\Testosterone/20201118_Cefas_Test6-Run3/Plate 1/@14/F9_02.tif </t>
  </si>
  <si>
    <t xml:space="preserve"> 53512.3593 </t>
  </si>
  <si>
    <t xml:space="preserve"> 39.2846 </t>
  </si>
  <si>
    <t xml:space="preserve">C:\Users\andre\Desktop\REACTIV CEFAS\Testosterone\Testosterone/20201118_Cefas_Test6-Run3/Plate 1/@14/F9_03.tif </t>
  </si>
  <si>
    <t xml:space="preserve"> 48580.7433 </t>
  </si>
  <si>
    <t xml:space="preserve"> 38.6055 </t>
  </si>
  <si>
    <t xml:space="preserve">C:\Users\andre\Desktop\REACTIV CEFAS\Testosterone\Testosterone/20201118_Cefas_Test6-Run3/Plate 1/@14/G9_01.tif </t>
  </si>
  <si>
    <t xml:space="preserve"> 39.4283 </t>
  </si>
  <si>
    <t xml:space="preserve">C:\Users\andre\Desktop\REACTIV CEFAS\Testosterone\Testosterone/20201118_Cefas_Test6-Run3/Plate 1/@14/G9_02.tif </t>
  </si>
  <si>
    <t xml:space="preserve"> 43000.2305 </t>
  </si>
  <si>
    <t xml:space="preserve"> 39.5065 </t>
  </si>
  <si>
    <t xml:space="preserve">C:\Users\andre\Desktop\REACTIV CEFAS\Testosterone\Testosterone/20201118_Cefas_Test6-Run3/Plate 1/@14/G9_03.tif </t>
  </si>
  <si>
    <t xml:space="preserve"> 46374.4941 </t>
  </si>
  <si>
    <t xml:space="preserve"> 38.847 </t>
  </si>
  <si>
    <t xml:space="preserve">C:\Users\andre\Desktop\REACTIV CEFAS\Testosterone\Testosterone/20201118_Cefas_Test6-Run3/Plate 1/@14/H9_01.tif </t>
  </si>
  <si>
    <t xml:space="preserve"> 13388.9048 </t>
  </si>
  <si>
    <t xml:space="preserve"> 33.7431 </t>
  </si>
  <si>
    <t xml:space="preserve">C:\Users\andre\Desktop\REACTIV CEFAS\Testosterone\Testosterone/20201118_Cefas_Test6-Run3/Plate 1/@14/H9_02.tif </t>
  </si>
  <si>
    <t xml:space="preserve"> 11117.7658 </t>
  </si>
  <si>
    <t xml:space="preserve"> 33.4319 </t>
  </si>
  <si>
    <t xml:space="preserve">C:\Users\andre\Desktop\REACTIV CEFAS\Testosterone\Testosterone/20201118_Cefas_Test6-Run3/Plate 1/@14/H9_03.tif </t>
  </si>
  <si>
    <t xml:space="preserve"> 10252.5701 </t>
  </si>
  <si>
    <t xml:space="preserve"> 33.846 </t>
  </si>
  <si>
    <t xml:space="preserve">C:\Users\andre\Desktop\REACTIV CEFAS\Testosterone\Testosterone/20201118_Cefas_Test6-Run3/Plate 1/@14/ </t>
  </si>
  <si>
    <t xml:space="preserve"> 39.5245 </t>
  </si>
  <si>
    <t xml:space="preserve"> 4.621 </t>
  </si>
  <si>
    <t xml:space="preserve"> 1960315.54 </t>
  </si>
  <si>
    <t xml:space="preserve"> 1089906.12 </t>
  </si>
  <si>
    <t xml:space="preserve">C:\Users\andre\Desktop\REACTIV CEFAS\Testosterone\Testosterone/20201118_Cefas_Test6-Run3/Plate 1/@15/A11_01.tif </t>
  </si>
  <si>
    <t xml:space="preserve"> 68977.734 </t>
  </si>
  <si>
    <t xml:space="preserve"> 47.4008 </t>
  </si>
  <si>
    <t xml:space="preserve">C:\Users\andre\Desktop\REACTIV CEFAS\Testosterone\Testosterone/20201118_Cefas_Test6-Run3/Plate 1/@15/A11_02.tif </t>
  </si>
  <si>
    <t xml:space="preserve"> 45.058 </t>
  </si>
  <si>
    <t xml:space="preserve">C:\Users\andre\Desktop\REACTIV CEFAS\Testosterone\Testosterone/20201118_Cefas_Test6-Run3/Plate 1/@15/A11_03.tif </t>
  </si>
  <si>
    <t xml:space="preserve"> 66663.3352 </t>
  </si>
  <si>
    <t xml:space="preserve"> 43.5571 </t>
  </si>
  <si>
    <t xml:space="preserve">C:\Users\andre\Desktop\REACTIV CEFAS\Testosterone\Testosterone/20201118_Cefas_Test6-Run3/Plate 1/@15/B11_01.tif </t>
  </si>
  <si>
    <t xml:space="preserve"> 96144.8816 </t>
  </si>
  <si>
    <t xml:space="preserve"> 53.1618 </t>
  </si>
  <si>
    <t xml:space="preserve">C:\Users\andre\Desktop\REACTIV CEFAS\Testosterone\Testosterone/20201118_Cefas_Test6-Run3/Plate 1/@15/B11_02.tif </t>
  </si>
  <si>
    <t xml:space="preserve"> 89223.3153 </t>
  </si>
  <si>
    <t xml:space="preserve"> 49.0895 </t>
  </si>
  <si>
    <t xml:space="preserve">C:\Users\andre\Desktop\REACTIV CEFAS\Testosterone\Testosterone/20201118_Cefas_Test6-Run3/Plate 1/@15/B11_03.tif </t>
  </si>
  <si>
    <t xml:space="preserve"> 86865.6568 </t>
  </si>
  <si>
    <t xml:space="preserve"> 53.2271 </t>
  </si>
  <si>
    <t xml:space="preserve">C:\Users\andre\Desktop\REACTIV CEFAS\Testosterone\Testosterone/20201118_Cefas_Test6-Run3/Plate 1/@15/C11_01.tif </t>
  </si>
  <si>
    <t xml:space="preserve"> 82453.1583 </t>
  </si>
  <si>
    <t xml:space="preserve"> 54.7361 </t>
  </si>
  <si>
    <t xml:space="preserve">C:\Users\andre\Desktop\REACTIV CEFAS\Testosterone\Testosterone/20201118_Cefas_Test6-Run3/Plate 1/@15/C11_02.tif </t>
  </si>
  <si>
    <t xml:space="preserve"> 88379.7495 </t>
  </si>
  <si>
    <t xml:space="preserve"> 57.8769 </t>
  </si>
  <si>
    <t xml:space="preserve">C:\Users\andre\Desktop\REACTIV CEFAS\Testosterone\Testosterone/20201118_Cefas_Test6-Run3/Plate 1/@15/C11_03.tif </t>
  </si>
  <si>
    <t xml:space="preserve"> 71897.7697 </t>
  </si>
  <si>
    <t xml:space="preserve"> 59.5704 </t>
  </si>
  <si>
    <t xml:space="preserve">C:\Users\andre\Desktop\REACTIV CEFAS\Testosterone\Testosterone/20201118_Cefas_Test6-Run3/Plate 1/@15/D11_01.tif </t>
  </si>
  <si>
    <t xml:space="preserve"> 77845.9908 </t>
  </si>
  <si>
    <t xml:space="preserve"> 45.8361 </t>
  </si>
  <si>
    <t xml:space="preserve">C:\Users\andre\Desktop\REACTIV CEFAS\Testosterone\Testosterone/20201118_Cefas_Test6-Run3/Plate 1/@15/D11_02.tif </t>
  </si>
  <si>
    <t xml:space="preserve"> 85892.3116 </t>
  </si>
  <si>
    <t xml:space="preserve"> 48.789 </t>
  </si>
  <si>
    <t xml:space="preserve">C:\Users\andre\Desktop\REACTIV CEFAS\Testosterone\Testosterone/20201118_Cefas_Test6-Run3/Plate 1/@15/D11_03.tif </t>
  </si>
  <si>
    <t xml:space="preserve"> 84356.5891 </t>
  </si>
  <si>
    <t xml:space="preserve"> 46.6246 </t>
  </si>
  <si>
    <t xml:space="preserve">C:\Users\andre\Desktop\REACTIV CEFAS\Testosterone\Testosterone/20201118_Cefas_Test6-Run3/Plate 1/@15/E11_01.tif </t>
  </si>
  <si>
    <t xml:space="preserve"> 50.2359 </t>
  </si>
  <si>
    <t>C:\Users\andre\Desktop\REACTIV CEFAS\Testosterone\Testosterone/20201118_Cefas_Test6-Run3/Plate 1/@15/E11_02- exclu.tif</t>
  </si>
  <si>
    <t>C:\Users\andre\Desktop\REACTIV CEFAS\Testosterone\Testosterone/20201118_Cefas_Test6-Run3/Plate 1/@15/E11_03- exclu.tif</t>
  </si>
  <si>
    <t xml:space="preserve">C:\Users\andre\Desktop\REACTIV CEFAS\Testosterone\Testosterone/20201118_Cefas_Test6-Run3/Plate 1/@15/F11_01.tif </t>
  </si>
  <si>
    <t xml:space="preserve"> 47.7843 </t>
  </si>
  <si>
    <t xml:space="preserve">C:\Users\andre\Desktop\REACTIV CEFAS\Testosterone\Testosterone/20201118_Cefas_Test6-Run3/Plate 1/@15/F11_02.tif </t>
  </si>
  <si>
    <t xml:space="preserve"> 53014.8717 </t>
  </si>
  <si>
    <t xml:space="preserve"> 49.6202 </t>
  </si>
  <si>
    <t xml:space="preserve">C:\Users\andre\Desktop\REACTIV CEFAS\Testosterone\Testosterone/20201118_Cefas_Test6-Run3/Plate 1/@15/F11_03.tif </t>
  </si>
  <si>
    <t xml:space="preserve"> 55004.822 </t>
  </si>
  <si>
    <t xml:space="preserve"> 46.8537 </t>
  </si>
  <si>
    <t xml:space="preserve">C:\Users\andre\Desktop\REACTIV CEFAS\Testosterone\Testosterone/20201118_Cefas_Test6-Run3/Plate 1/@15/G11_01.tif </t>
  </si>
  <si>
    <t xml:space="preserve"> 79900.8308 </t>
  </si>
  <si>
    <t xml:space="preserve"> 48.6781 </t>
  </si>
  <si>
    <t xml:space="preserve">C:\Users\andre\Desktop\REACTIV CEFAS\Testosterone\Testosterone/20201118_Cefas_Test6-Run3/Plate 1/@15/G11_02.tif </t>
  </si>
  <si>
    <t xml:space="preserve"> 79554.7524 </t>
  </si>
  <si>
    <t xml:space="preserve"> 49.4407 </t>
  </si>
  <si>
    <t>C:\Users\andre\Desktop\REACTIV CEFAS\Testosterone\Testosterone/20201118_Cefas_Test6-Run3/Plate 1/@15/G11_03- exclu.tif</t>
  </si>
  <si>
    <t xml:space="preserve">C:\Users\andre\Desktop\REACTIV CEFAS\Testosterone\Testosterone/20201118_Cefas_Test6-Run3/Plate 1/@15/H11_01.tif </t>
  </si>
  <si>
    <t xml:space="preserve"> 78970.7453 </t>
  </si>
  <si>
    <t xml:space="preserve"> 54.6242 </t>
  </si>
  <si>
    <t xml:space="preserve">C:\Users\andre\Desktop\REACTIV CEFAS\Testosterone\Testosterone/20201118_Cefas_Test6-Run3/Plate 1/@15/H11_02.tif </t>
  </si>
  <si>
    <t xml:space="preserve"> 78797.7061 </t>
  </si>
  <si>
    <t xml:space="preserve"> 54.1672 </t>
  </si>
  <si>
    <t xml:space="preserve">C:\Users\andre\Desktop\REACTIV CEFAS\Testosterone\Testosterone/20201118_Cefas_Test6-Run3/Plate 1/@15/H11_03.tif </t>
  </si>
  <si>
    <t xml:space="preserve"> 52.6299 </t>
  </si>
  <si>
    <t xml:space="preserve">C:\Users\andre\Desktop\REACTIV CEFAS\Testosterone\Testosterone/20201118_Cefas_Test6-Run3/Plate 1/@15/ </t>
  </si>
  <si>
    <t xml:space="preserve"> 49.6402 </t>
  </si>
  <si>
    <t xml:space="preserve"> 5.3336 </t>
  </si>
  <si>
    <t xml:space="preserve"> 3745286.62 </t>
  </si>
  <si>
    <t xml:space="preserve"> 1027248.28 </t>
  </si>
  <si>
    <t>C:\Users\andre\Desktop\REACTIV CEFAS\Testosterone\Testosterone/20201118_Cefas_Test6-Run3/Plate 1/@16/A12_01- exclu.tif</t>
  </si>
  <si>
    <t xml:space="preserve">C:\Users\andre\Desktop\REACTIV CEFAS\Testosterone\Testosterone/20201118_Cefas_Test6-Run3/Plate 1/@16/A12_02.tif </t>
  </si>
  <si>
    <t xml:space="preserve"> 35.7358 </t>
  </si>
  <si>
    <t>C:\Users\andre\Desktop\REACTIV CEFAS\Testosterone\Testosterone/20201118_Cefas_Test6-Run3/Plate 1/@16/A12_03- exclu.tif</t>
  </si>
  <si>
    <t xml:space="preserve">C:\Users\andre\Desktop\REACTIV CEFAS\Testosterone\Testosterone/20201118_Cefas_Test6-Run3/Plate 1/@16/B12_01.tif </t>
  </si>
  <si>
    <t xml:space="preserve"> 35.9909 </t>
  </si>
  <si>
    <t xml:space="preserve">C:\Users\andre\Desktop\REACTIV CEFAS\Testosterone\Testosterone/20201118_Cefas_Test6-Run3/Plate 1/@16/B12_02.tif </t>
  </si>
  <si>
    <t xml:space="preserve"> 35.7066 </t>
  </si>
  <si>
    <t xml:space="preserve">C:\Users\andre\Desktop\REACTIV CEFAS\Testosterone\Testosterone/20201118_Cefas_Test6-Run3/Plate 1/@16/B12_03.tif </t>
  </si>
  <si>
    <t xml:space="preserve"> 36.8179 </t>
  </si>
  <si>
    <t xml:space="preserve">C:\Users\andre\Desktop\REACTIV CEFAS\Testosterone\Testosterone/20201118_Cefas_Test6-Run3/Plate 1/@16/C12_01.tif </t>
  </si>
  <si>
    <t xml:space="preserve"> 3568.9326 </t>
  </si>
  <si>
    <t xml:space="preserve"> 33.6788 </t>
  </si>
  <si>
    <t xml:space="preserve">C:\Users\andre\Desktop\REACTIV CEFAS\Testosterone\Testosterone/20201118_Cefas_Test6-Run3/Plate 1/@16/C12_02.tif </t>
  </si>
  <si>
    <t xml:space="preserve"> 41.1016 </t>
  </si>
  <si>
    <t xml:space="preserve">C:\Users\andre\Desktop\REACTIV CEFAS\Testosterone\Testosterone/20201118_Cefas_Test6-Run3/Plate 1/@16/C12_03.tif </t>
  </si>
  <si>
    <t xml:space="preserve"> 31.9714 </t>
  </si>
  <si>
    <t xml:space="preserve">C:\Users\andre\Desktop\REACTIV CEFAS\Testosterone\Testosterone/20201118_Cefas_Test6-Run3/Plate 1/@16/D12_01.tif </t>
  </si>
  <si>
    <t xml:space="preserve"> 34.2971 </t>
  </si>
  <si>
    <t xml:space="preserve">C:\Users\andre\Desktop\REACTIV CEFAS\Testosterone\Testosterone/20201118_Cefas_Test6-Run3/Plate 1/@16/D12_02.tif </t>
  </si>
  <si>
    <t xml:space="preserve">C:\Users\andre\Desktop\REACTIV CEFAS\Testosterone\Testosterone/20201118_Cefas_Test6-Run3/Plate 1/@16/D12_03.tif </t>
  </si>
  <si>
    <t xml:space="preserve"> 3028.1852 </t>
  </si>
  <si>
    <t xml:space="preserve"> 33.6429 </t>
  </si>
  <si>
    <t xml:space="preserve">C:\Users\andre\Desktop\REACTIV CEFAS\Testosterone\Testosterone/20201118_Cefas_Test6-Run3/Plate 1/@16/E12_01.tif </t>
  </si>
  <si>
    <t xml:space="preserve"> 1254.5339 </t>
  </si>
  <si>
    <t xml:space="preserve"> 32.6379 </t>
  </si>
  <si>
    <t>C:\Users\andre\Desktop\REACTIV CEFAS\Testosterone\Testosterone/20201118_Cefas_Test6-Run3/Plate 1/@16/E12_02- exclu.tif</t>
  </si>
  <si>
    <t xml:space="preserve">C:\Users\andre\Desktop\REACTIV CEFAS\Testosterone\Testosterone/20201118_Cefas_Test6-Run3/Plate 1/@16/E12_03.tif </t>
  </si>
  <si>
    <t xml:space="preserve"> 31.0909 </t>
  </si>
  <si>
    <t xml:space="preserve">C:\Users\andre\Desktop\REACTIV CEFAS\Testosterone\Testosterone/20201118_Cefas_Test6-Run3/Plate 1/@16/F12_01.tif </t>
  </si>
  <si>
    <t xml:space="preserve"> 33.7927 </t>
  </si>
  <si>
    <t xml:space="preserve">C:\Users\andre\Desktop\REACTIV CEFAS\Testosterone\Testosterone/20201118_Cefas_Test6-Run3/Plate 1/@16/F12_02.tif </t>
  </si>
  <si>
    <t xml:space="preserve"> 4693.6871 </t>
  </si>
  <si>
    <t xml:space="preserve"> 38.447 </t>
  </si>
  <si>
    <t xml:space="preserve">C:\Users\andre\Desktop\REACTIV CEFAS\Testosterone\Testosterone/20201118_Cefas_Test6-Run3/Plate 1/@16/F12_03.tif </t>
  </si>
  <si>
    <t xml:space="preserve"> 3698.712 </t>
  </si>
  <si>
    <t xml:space="preserve"> 34.6784 </t>
  </si>
  <si>
    <t xml:space="preserve">C:\Users\andre\Desktop\REACTIV CEFAS\Testosterone\Testosterone/20201118_Cefas_Test6-Run3/Plate 1/@16/G12_01.tif </t>
  </si>
  <si>
    <t xml:space="preserve">C:\Users\andre\Desktop\REACTIV CEFAS\Testosterone\Testosterone/20201118_Cefas_Test6-Run3/Plate 1/@16/G12_02.tif </t>
  </si>
  <si>
    <t xml:space="preserve">C:\Users\andre\Desktop\REACTIV CEFAS\Testosterone\Testosterone/20201118_Cefas_Test6-Run3/Plate 1/@16/G12_03.tif </t>
  </si>
  <si>
    <t xml:space="preserve"> 36.0909 </t>
  </si>
  <si>
    <t xml:space="preserve">C:\Users\andre\Desktop\REACTIV CEFAS\Testosterone\Testosterone/20201118_Cefas_Test6-Run3/Plate 1/@16/H12_01.tif </t>
  </si>
  <si>
    <t xml:space="preserve"> 8868.2568 </t>
  </si>
  <si>
    <t xml:space="preserve"> 39.5439 </t>
  </si>
  <si>
    <t xml:space="preserve">C:\Users\andre\Desktop\REACTIV CEFAS\Testosterone\Testosterone/20201118_Cefas_Test6-Run3/Plate 1/@16/H12_02.tif </t>
  </si>
  <si>
    <t xml:space="preserve"> 34.375 </t>
  </si>
  <si>
    <t>C:\Users\andre\Desktop\REACTIV CEFAS\Testosterone\Testosterone/20201118_Cefas_Test6-Run3/Plate 1/@16/H12_03- exclu.tif</t>
  </si>
  <si>
    <t xml:space="preserve">C:\Users\andre\Desktop\REACTIV CEFAS\Testosterone\Testosterone/20201118_Cefas_Test6-Run3/Plate 1/@16/ </t>
  </si>
  <si>
    <t xml:space="preserve"> 31.3528 </t>
  </si>
  <si>
    <t xml:space="preserve"> 15.455 </t>
  </si>
  <si>
    <t xml:space="preserve"> 215029.917 </t>
  </si>
  <si>
    <t xml:space="preserve"> 275119.306 </t>
  </si>
  <si>
    <t xml:space="preserve">C:\Users\andre\Desktop\REACTIV CEFAS\Testosterone\Testosterone/20201118_Cefas_Test6-Run3/Plate 1/@2/A2_01.tif </t>
  </si>
  <si>
    <t xml:space="preserve"> 4325.9789 </t>
  </si>
  <si>
    <t xml:space="preserve"> 34.245 </t>
  </si>
  <si>
    <t xml:space="preserve">C:\Users\andre\Desktop\REACTIV CEFAS\Testosterone\Testosterone/20201118_Cefas_Test6-Run3/Plate 1/@2/A2_02.tif </t>
  </si>
  <si>
    <t xml:space="preserve"> 37.2103 </t>
  </si>
  <si>
    <t xml:space="preserve">C:\Users\andre\Desktop\REACTIV CEFAS\Testosterone\Testosterone/20201118_Cefas_Test6-Run3/Plate 1/@2/A2_03.tif </t>
  </si>
  <si>
    <t xml:space="preserve"> 5840.0715 </t>
  </si>
  <si>
    <t xml:space="preserve"> 38.7963 </t>
  </si>
  <si>
    <t xml:space="preserve">C:\Users\andre\Desktop\REACTIV CEFAS\Testosterone\Testosterone/20201118_Cefas_Test6-Run3/Plate 1/@2/B2_01.tif </t>
  </si>
  <si>
    <t xml:space="preserve"> 2465.808 </t>
  </si>
  <si>
    <t xml:space="preserve"> 34.6842 </t>
  </si>
  <si>
    <t xml:space="preserve">C:\Users\andre\Desktop\REACTIV CEFAS\Testosterone\Testosterone/20201118_Cefas_Test6-Run3/Plate 1/@2/B2_02.tif </t>
  </si>
  <si>
    <t xml:space="preserve">C:\Users\andre\Desktop\REACTIV CEFAS\Testosterone\Testosterone/20201118_Cefas_Test6-Run3/Plate 1/@2/B2_03.tif </t>
  </si>
  <si>
    <t xml:space="preserve"> 454.2278 </t>
  </si>
  <si>
    <t xml:space="preserve"> 32.3333 </t>
  </si>
  <si>
    <t xml:space="preserve">C:\Users\andre\Desktop\REACTIV CEFAS\Testosterone\Testosterone/20201118_Cefas_Test6-Run3/Plate 1/@2/C2_01.tif </t>
  </si>
  <si>
    <t xml:space="preserve"> 5796.8118 </t>
  </si>
  <si>
    <t xml:space="preserve"> 38.9515 </t>
  </si>
  <si>
    <t xml:space="preserve">C:\Users\andre\Desktop\REACTIV CEFAS\Testosterone\Testosterone/20201118_Cefas_Test6-Run3/Plate 1/@2/C2_02.tif </t>
  </si>
  <si>
    <t xml:space="preserve"> 39.5652 </t>
  </si>
  <si>
    <t xml:space="preserve">C:\Users\andre\Desktop\REACTIV CEFAS\Testosterone\Testosterone/20201118_Cefas_Test6-Run3/Plate 1/@2/C2_03.tif </t>
  </si>
  <si>
    <t xml:space="preserve"> 34.9713 </t>
  </si>
  <si>
    <t xml:space="preserve">C:\Users\andre\Desktop\REACTIV CEFAS\Testosterone\Testosterone/20201118_Cefas_Test6-Run3/Plate 1/@2/D2_01.tif </t>
  </si>
  <si>
    <t xml:space="preserve"> 34.7959 </t>
  </si>
  <si>
    <t xml:space="preserve">C:\Users\andre\Desktop\REACTIV CEFAS\Testosterone\Testosterone/20201118_Cefas_Test6-Run3/Plate 1/@2/D2_02.tif </t>
  </si>
  <si>
    <t xml:space="preserve"> 33.0958 </t>
  </si>
  <si>
    <t xml:space="preserve">C:\Users\andre\Desktop\REACTIV CEFAS\Testosterone\Testosterone/20201118_Cefas_Test6-Run3/Plate 1/@2/D2_03.tif </t>
  </si>
  <si>
    <t xml:space="preserve"> 7894.9115 </t>
  </si>
  <si>
    <t xml:space="preserve"> 36.2055 </t>
  </si>
  <si>
    <t xml:space="preserve">C:\Users\andre\Desktop\REACTIV CEFAS\Testosterone\Testosterone/20201118_Cefas_Test6-Run3/Plate 1/@2/E2_01.tif </t>
  </si>
  <si>
    <t xml:space="preserve"> 34.6438 </t>
  </si>
  <si>
    <t xml:space="preserve">C:\Users\andre\Desktop\REACTIV CEFAS\Testosterone\Testosterone/20201118_Cefas_Test6-Run3/Plate 1/@2/E2_02.tif </t>
  </si>
  <si>
    <t xml:space="preserve"> 35473.0272 </t>
  </si>
  <si>
    <t xml:space="preserve"> 35.8091 </t>
  </si>
  <si>
    <t xml:space="preserve">C:\Users\andre\Desktop\REACTIV CEFAS\Testosterone\Testosterone/20201118_Cefas_Test6-Run3/Plate 1/@2/E2_03.tif </t>
  </si>
  <si>
    <t xml:space="preserve"> 14665.0686 </t>
  </si>
  <si>
    <t xml:space="preserve"> 31.8879 </t>
  </si>
  <si>
    <t xml:space="preserve">C:\Users\andre\Desktop\REACTIV CEFAS\Testosterone\Testosterone/20201118_Cefas_Test6-Run3/Plate 1/@2/F2_01.tif </t>
  </si>
  <si>
    <t xml:space="preserve"> 13799.8728 </t>
  </si>
  <si>
    <t xml:space="preserve"> 43.3135 </t>
  </si>
  <si>
    <t xml:space="preserve">C:\Users\andre\Desktop\REACTIV CEFAS\Testosterone\Testosterone/20201118_Cefas_Test6-Run3/Plate 1/@2/F2_02.tif </t>
  </si>
  <si>
    <t xml:space="preserve"> 13713.3532 </t>
  </si>
  <si>
    <t xml:space="preserve"> 44.1877 </t>
  </si>
  <si>
    <t xml:space="preserve">C:\Users\andre\Desktop\REACTIV CEFAS\Testosterone\Testosterone/20201118_Cefas_Test6-Run3/Plate 1/@2/F2_03.tif </t>
  </si>
  <si>
    <t xml:space="preserve"> 11961.3317 </t>
  </si>
  <si>
    <t xml:space="preserve"> 45.4955 </t>
  </si>
  <si>
    <t xml:space="preserve">C:\Users\andre\Desktop\REACTIV CEFAS\Testosterone\Testosterone/20201118_Cefas_Test6-Run3/Plate 1/@2/G2_01.tif </t>
  </si>
  <si>
    <t xml:space="preserve"> 7938.1713 </t>
  </si>
  <si>
    <t xml:space="preserve"> 39.5858 </t>
  </si>
  <si>
    <t xml:space="preserve">C:\Users\andre\Desktop\REACTIV CEFAS\Testosterone\Testosterone/20201118_Cefas_Test6-Run3/Plate 1/@2/G2_02.tif </t>
  </si>
  <si>
    <t xml:space="preserve"> 38.8925 </t>
  </si>
  <si>
    <t xml:space="preserve">C:\Users\andre\Desktop\REACTIV CEFAS\Testosterone\Testosterone/20201118_Cefas_Test6-Run3/Plate 1/@2/G2_03.tif </t>
  </si>
  <si>
    <t xml:space="preserve"> 6662.0075 </t>
  </si>
  <si>
    <t xml:space="preserve"> 40.039 </t>
  </si>
  <si>
    <t xml:space="preserve">C:\Users\andre\Desktop\REACTIV CEFAS\Testosterone\Testosterone/20201118_Cefas_Test6-Run3/Plate 1/@2/H2_01.tif </t>
  </si>
  <si>
    <t xml:space="preserve"> 10879.837 </t>
  </si>
  <si>
    <t xml:space="preserve"> 43.2704 </t>
  </si>
  <si>
    <t xml:space="preserve">C:\Users\andre\Desktop\REACTIV CEFAS\Testosterone\Testosterone/20201118_Cefas_Test6-Run3/Plate 1/@2/H2_02.tif </t>
  </si>
  <si>
    <t xml:space="preserve"> 10663.5381 </t>
  </si>
  <si>
    <t xml:space="preserve"> 41.4016 </t>
  </si>
  <si>
    <t xml:space="preserve">C:\Users\andre\Desktop\REACTIV CEFAS\Testosterone\Testosterone/20201118_Cefas_Test6-Run3/Plate 1/@2/H2_03.tif </t>
  </si>
  <si>
    <t xml:space="preserve"> 6791.7869 </t>
  </si>
  <si>
    <t xml:space="preserve"> 47.3248 </t>
  </si>
  <si>
    <t xml:space="preserve">C:\Users\andre\Desktop\REACTIV CEFAS\Testosterone\Testosterone/20201118_Cefas_Test6-Run3/Plate 1/@2/ </t>
  </si>
  <si>
    <t xml:space="preserve"> 38.1961 </t>
  </si>
  <si>
    <t xml:space="preserve"> 4.2809 </t>
  </si>
  <si>
    <t xml:space="preserve"> 319024.75 </t>
  </si>
  <si>
    <t xml:space="preserve"> 268850.788 </t>
  </si>
  <si>
    <t xml:space="preserve">C:\Users\andre\Desktop\REACTIV CEFAS\Testosterone\Testosterone/20201118_Cefas_Test6-Run3/Plate 1/@3/A3_01.tif </t>
  </si>
  <si>
    <t xml:space="preserve"> 2119.7297 </t>
  </si>
  <si>
    <t xml:space="preserve"> 33.949 </t>
  </si>
  <si>
    <t xml:space="preserve">C:\Users\andre\Desktop\REACTIV CEFAS\Testosterone\Testosterone/20201118_Cefas_Test6-Run3/Plate 1/@3/A3_02.tif </t>
  </si>
  <si>
    <t xml:space="preserve">C:\Users\andre\Desktop\REACTIV CEFAS\Testosterone\Testosterone/20201118_Cefas_Test6-Run3/Plate 1/@3/A3_03.tif </t>
  </si>
  <si>
    <t xml:space="preserve"> 627.2669 </t>
  </si>
  <si>
    <t xml:space="preserve">C:\Users\andre\Desktop\REACTIV CEFAS\Testosterone\Testosterone/20201118_Cefas_Test6-Run3/Plate 1/@3/B3_01.tif </t>
  </si>
  <si>
    <t xml:space="preserve"> 12480.4492 </t>
  </si>
  <si>
    <t xml:space="preserve"> 39.2513 </t>
  </si>
  <si>
    <t xml:space="preserve">C:\Users\andre\Desktop\REACTIV CEFAS\Testosterone\Testosterone/20201118_Cefas_Test6-Run3/Plate 1/@3/B3_02.tif </t>
  </si>
  <si>
    <t xml:space="preserve"> 16049.3818 </t>
  </si>
  <si>
    <t xml:space="preserve"> 42.8194 </t>
  </si>
  <si>
    <t xml:space="preserve">C:\Users\andre\Desktop\REACTIV CEFAS\Testosterone\Testosterone/20201118_Cefas_Test6-Run3/Plate 1/@3/B3_03.tif </t>
  </si>
  <si>
    <t xml:space="preserve"> 16006.122 </t>
  </si>
  <si>
    <t xml:space="preserve"> 47.0676 </t>
  </si>
  <si>
    <t xml:space="preserve">C:\Users\andre\Desktop\REACTIV CEFAS\Testosterone\Testosterone/20201118_Cefas_Test6-Run3/Plate 1/@3/C3_01.tif </t>
  </si>
  <si>
    <t xml:space="preserve"> 37.9929 </t>
  </si>
  <si>
    <t xml:space="preserve">C:\Users\andre\Desktop\REACTIV CEFAS\Testosterone\Testosterone/20201118_Cefas_Test6-Run3/Plate 1/@3/C3_02.tif </t>
  </si>
  <si>
    <t xml:space="preserve"> 35.455 </t>
  </si>
  <si>
    <t xml:space="preserve">C:\Users\andre\Desktop\REACTIV CEFAS\Testosterone\Testosterone/20201118_Cefas_Test6-Run3/Plate 1/@3/C3_03.tif </t>
  </si>
  <si>
    <t xml:space="preserve"> 5061.3953 </t>
  </si>
  <si>
    <t xml:space="preserve"> 37.3504 </t>
  </si>
  <si>
    <t xml:space="preserve">C:\Users\andre\Desktop\REACTIV CEFAS\Testosterone\Testosterone/20201118_Cefas_Test6-Run3/Plate 1/@3/D3_01.tif </t>
  </si>
  <si>
    <t xml:space="preserve"> 37.1789 </t>
  </si>
  <si>
    <t>C:\Users\andre\Desktop\REACTIV CEFAS\Testosterone\Testosterone/20201118_Cefas_Test6-Run3/Plate 1/@3/D3_02- exclu.tif</t>
  </si>
  <si>
    <t>C:\Users\andre\Desktop\REACTIV CEFAS\Testosterone\Testosterone/20201118_Cefas_Test6-Run3/Plate 1/@3/D3_03- exclu.tif</t>
  </si>
  <si>
    <t xml:space="preserve">C:\Users\andre\Desktop\REACTIV CEFAS\Testosterone\Testosterone/20201118_Cefas_Test6-Run3/Plate 1/@3/E3_01.tif </t>
  </si>
  <si>
    <t xml:space="preserve"> 7397.424 </t>
  </si>
  <si>
    <t xml:space="preserve"> 42.2661 </t>
  </si>
  <si>
    <t xml:space="preserve">C:\Users\andre\Desktop\REACTIV CEFAS\Testosterone\Testosterone/20201118_Cefas_Test6-Run3/Plate 1/@3/E3_02.tif </t>
  </si>
  <si>
    <t xml:space="preserve"> 9798.3423 </t>
  </si>
  <si>
    <t xml:space="preserve"> 41.5806 </t>
  </si>
  <si>
    <t xml:space="preserve">C:\Users\andre\Desktop\REACTIV CEFAS\Testosterone\Testosterone/20201118_Cefas_Test6-Run3/Plate 1/@3/E3_03.tif </t>
  </si>
  <si>
    <t xml:space="preserve"> 11788.2926 </t>
  </si>
  <si>
    <t xml:space="preserve"> 41.2679 </t>
  </si>
  <si>
    <t xml:space="preserve">C:\Users\andre\Desktop\REACTIV CEFAS\Testosterone\Testosterone/20201118_Cefas_Test6-Run3/Plate 1/@3/F3_01.tif </t>
  </si>
  <si>
    <t xml:space="preserve"> 33.6531 </t>
  </si>
  <si>
    <t xml:space="preserve">C:\Users\andre\Desktop\REACTIV CEFAS\Testosterone\Testosterone/20201118_Cefas_Test6-Run3/Plate 1/@3/F3_02.tif </t>
  </si>
  <si>
    <t xml:space="preserve"> 3201.2244 </t>
  </si>
  <si>
    <t xml:space="preserve"> 34.9865 </t>
  </si>
  <si>
    <t xml:space="preserve">C:\Users\andre\Desktop\REACTIV CEFAS\Testosterone\Testosterone/20201118_Cefas_Test6-Run3/Plate 1/@3/F3_03.tif </t>
  </si>
  <si>
    <t xml:space="preserve"> 33.11 </t>
  </si>
  <si>
    <t xml:space="preserve">C:\Users\andre\Desktop\REACTIV CEFAS\Testosterone\Testosterone/20201118_Cefas_Test6-Run3/Plate 1/@3/G3_01.tif </t>
  </si>
  <si>
    <t xml:space="preserve"> 9560.4134 </t>
  </si>
  <si>
    <t xml:space="preserve"> 41.4095 </t>
  </si>
  <si>
    <t xml:space="preserve">C:\Users\andre\Desktop\REACTIV CEFAS\Testosterone\Testosterone/20201118_Cefas_Test6-Run3/Plate 1/@3/G3_02.tif </t>
  </si>
  <si>
    <t xml:space="preserve"> 41.9419 </t>
  </si>
  <si>
    <t xml:space="preserve">C:\Users\andre\Desktop\REACTIV CEFAS\Testosterone\Testosterone/20201118_Cefas_Test6-Run3/Plate 1/@3/G3_03.tif </t>
  </si>
  <si>
    <t xml:space="preserve"> 39.5732 </t>
  </si>
  <si>
    <t xml:space="preserve">C:\Users\andre\Desktop\REACTIV CEFAS\Testosterone\Testosterone/20201118_Cefas_Test6-Run3/Plate 1/@3/H3_01.tif </t>
  </si>
  <si>
    <t xml:space="preserve"> 3482.413 </t>
  </si>
  <si>
    <t xml:space="preserve"> 34.8882 </t>
  </si>
  <si>
    <t xml:space="preserve">C:\Users\andre\Desktop\REACTIV CEFAS\Testosterone\Testosterone/20201118_Cefas_Test6-Run3/Plate 1/@3/H3_02.tif </t>
  </si>
  <si>
    <t xml:space="preserve"> 4715.317 </t>
  </si>
  <si>
    <t xml:space="preserve"> 36.4128 </t>
  </si>
  <si>
    <t xml:space="preserve">C:\Users\andre\Desktop\REACTIV CEFAS\Testosterone\Testosterone/20201118_Cefas_Test6-Run3/Plate 1/@3/H3_03.tif </t>
  </si>
  <si>
    <t xml:space="preserve">C:\Users\andre\Desktop\REACTIV CEFAS\Testosterone\Testosterone/20201118_Cefas_Test6-Run3/Plate 1/@3/ </t>
  </si>
  <si>
    <t xml:space="preserve"> 34.6371 </t>
  </si>
  <si>
    <t xml:space="preserve"> 11.3424 </t>
  </si>
  <si>
    <t xml:space="preserve"> 243944.75 </t>
  </si>
  <si>
    <t xml:space="preserve"> 209807.607 </t>
  </si>
  <si>
    <t xml:space="preserve">C:\Users\andre\Desktop\REACTIV CEFAS\Testosterone\Testosterone/20201118_Cefas_Test6-Run3/Plate 1/@4/A4_01.tif </t>
  </si>
  <si>
    <t xml:space="preserve"> 31.2273 </t>
  </si>
  <si>
    <t xml:space="preserve">C:\Users\andre\Desktop\REACTIV CEFAS\Testosterone\Testosterone/20201118_Cefas_Test6-Run3/Plate 1/@4/A4_02.tif </t>
  </si>
  <si>
    <t xml:space="preserve"> 12047.8513 </t>
  </si>
  <si>
    <t xml:space="preserve"> 33.5081 </t>
  </si>
  <si>
    <t xml:space="preserve">C:\Users\andre\Desktop\REACTIV CEFAS\Testosterone\Testosterone/20201118_Cefas_Test6-Run3/Plate 1/@4/A4_03.tif </t>
  </si>
  <si>
    <t xml:space="preserve"> 31.4368 </t>
  </si>
  <si>
    <t xml:space="preserve">C:\Users\andre\Desktop\REACTIV CEFAS\Testosterone\Testosterone/20201118_Cefas_Test6-Run3/Plate 1/@4/B4_01.tif </t>
  </si>
  <si>
    <t xml:space="preserve"> 26821.0693 </t>
  </si>
  <si>
    <t xml:space="preserve"> 34.2944 </t>
  </si>
  <si>
    <t xml:space="preserve">C:\Users\andre\Desktop\REACTIV CEFAS\Testosterone\Testosterone/20201118_Cefas_Test6-Run3/Plate 1/@4/B4_02.tif </t>
  </si>
  <si>
    <t xml:space="preserve"> 34.3175 </t>
  </si>
  <si>
    <t xml:space="preserve">C:\Users\andre\Desktop\REACTIV CEFAS\Testosterone\Testosterone/20201118_Cefas_Test6-Run3/Plate 1/@4/B4_03.tif </t>
  </si>
  <si>
    <t xml:space="preserve"> 28053.9733 </t>
  </si>
  <si>
    <t xml:space="preserve"> 34.2891 </t>
  </si>
  <si>
    <t xml:space="preserve">C:\Users\andre\Desktop\REACTIV CEFAS\Testosterone\Testosterone/20201118_Cefas_Test6-Run3/Plate 1/@4/C4_01.tif </t>
  </si>
  <si>
    <t xml:space="preserve"> 16676.6488 </t>
  </si>
  <si>
    <t xml:space="preserve"> 34.546 </t>
  </si>
  <si>
    <t xml:space="preserve">C:\Users\andre\Desktop\REACTIV CEFAS\Testosterone\Testosterone/20201118_Cefas_Test6-Run3/Plate 1/@4/C4_02.tif </t>
  </si>
  <si>
    <t xml:space="preserve"> 12502.0791 </t>
  </si>
  <si>
    <t xml:space="preserve"> 33.1765 </t>
  </si>
  <si>
    <t xml:space="preserve">C:\Users\andre\Desktop\REACTIV CEFAS\Testosterone\Testosterone/20201118_Cefas_Test6-Run3/Plate 1/@4/C4_03.tif </t>
  </si>
  <si>
    <t xml:space="preserve"> 12069.4812 </t>
  </si>
  <si>
    <t xml:space="preserve"> 33.1846 </t>
  </si>
  <si>
    <t xml:space="preserve">C:\Users\andre\Desktop\REACTIV CEFAS\Testosterone\Testosterone/20201118_Cefas_Test6-Run3/Plate 1/@4/D4_01.tif </t>
  </si>
  <si>
    <t xml:space="preserve"> 33.3976 </t>
  </si>
  <si>
    <t xml:space="preserve">C:\Users\andre\Desktop\REACTIV CEFAS\Testosterone\Testosterone/20201118_Cefas_Test6-Run3/Plate 1/@4/D4_02.tif </t>
  </si>
  <si>
    <t xml:space="preserve"> 35.8626 </t>
  </si>
  <si>
    <t xml:space="preserve">C:\Users\andre\Desktop\REACTIV CEFAS\Testosterone\Testosterone/20201118_Cefas_Test6-Run3/Plate 1/@4/D4_03.tif </t>
  </si>
  <si>
    <t xml:space="preserve"> 23035.8378 </t>
  </si>
  <si>
    <t xml:space="preserve"> 34.7333 </t>
  </si>
  <si>
    <t xml:space="preserve">C:\Users\andre\Desktop\REACTIV CEFAS\Testosterone\Testosterone/20201118_Cefas_Test6-Run3/Plate 1/@4/E4_01.tif </t>
  </si>
  <si>
    <t xml:space="preserve"> 8370.7692 </t>
  </si>
  <si>
    <t xml:space="preserve"> 34.2972 </t>
  </si>
  <si>
    <t xml:space="preserve">C:\Users\andre\Desktop\REACTIV CEFAS\Testosterone\Testosterone/20201118_Cefas_Test6-Run3/Plate 1/@4/E4_02.tif </t>
  </si>
  <si>
    <t xml:space="preserve"> 16979.4673 </t>
  </si>
  <si>
    <t xml:space="preserve"> 34.4369 </t>
  </si>
  <si>
    <t xml:space="preserve">C:\Users\andre\Desktop\REACTIV CEFAS\Testosterone\Testosterone/20201118_Cefas_Test6-Run3/Plate 1/@4/E4_03.tif </t>
  </si>
  <si>
    <t xml:space="preserve"> 11463.8442 </t>
  </si>
  <si>
    <t xml:space="preserve"> 32.5528 </t>
  </si>
  <si>
    <t xml:space="preserve">C:\Users\andre\Desktop\REACTIV CEFAS\Testosterone\Testosterone/20201118_Cefas_Test6-Run3/Plate 1/@4/F4_01.tif </t>
  </si>
  <si>
    <t xml:space="preserve"> 32271.8028 </t>
  </si>
  <si>
    <t xml:space="preserve"> 35.0476 </t>
  </si>
  <si>
    <t xml:space="preserve">C:\Users\andre\Desktop\REACTIV CEFAS\Testosterone\Testosterone/20201118_Cefas_Test6-Run3/Plate 1/@4/F4_02.tif </t>
  </si>
  <si>
    <t xml:space="preserve"> 38176.764 </t>
  </si>
  <si>
    <t xml:space="preserve"> 35.647 </t>
  </si>
  <si>
    <t xml:space="preserve">C:\Users\andre\Desktop\REACTIV CEFAS\Testosterone\Testosterone/20201118_Cefas_Test6-Run3/Plate 1/@4/F4_03.tif </t>
  </si>
  <si>
    <t xml:space="preserve"> 17952.8125 </t>
  </si>
  <si>
    <t xml:space="preserve"> 33.0988 </t>
  </si>
  <si>
    <t xml:space="preserve">C:\Users\andre\Desktop\REACTIV CEFAS\Testosterone\Testosterone/20201118_Cefas_Test6-Run3/Plate 1/@4/G4_01.tif </t>
  </si>
  <si>
    <t xml:space="preserve"> 36.3605 </t>
  </si>
  <si>
    <t xml:space="preserve">C:\Users\andre\Desktop\REACTIV CEFAS\Testosterone\Testosterone/20201118_Cefas_Test6-Run3/Plate 1/@4/G4_02.tif </t>
  </si>
  <si>
    <t xml:space="preserve"> 56843.3631 </t>
  </si>
  <si>
    <t xml:space="preserve"> 38.7249 </t>
  </si>
  <si>
    <t xml:space="preserve">C:\Users\andre\Desktop\REACTIV CEFAS\Testosterone\Testosterone/20201118_Cefas_Test6-Run3/Plate 1/@4/G4_03.tif </t>
  </si>
  <si>
    <t xml:space="preserve"> 37.8343 </t>
  </si>
  <si>
    <t xml:space="preserve">C:\Users\andre\Desktop\REACTIV CEFAS\Testosterone\Testosterone/20201118_Cefas_Test6-Run3/Plate 1/@4/H4_01.tif </t>
  </si>
  <si>
    <t xml:space="preserve"> 34.0468 </t>
  </si>
  <si>
    <t xml:space="preserve">C:\Users\andre\Desktop\REACTIV CEFAS\Testosterone\Testosterone/20201118_Cefas_Test6-Run3/Plate 1/@4/H4_02.tif </t>
  </si>
  <si>
    <t xml:space="preserve"> 16957.8374 </t>
  </si>
  <si>
    <t xml:space="preserve"> 34.8431 </t>
  </si>
  <si>
    <t xml:space="preserve">C:\Users\andre\Desktop\REACTIV CEFAS\Testosterone\Testosterone/20201118_Cefas_Test6-Run3/Plate 1/@4/H4_03.tif </t>
  </si>
  <si>
    <t xml:space="preserve"> 6207.7798 </t>
  </si>
  <si>
    <t xml:space="preserve"> 33.1742 </t>
  </si>
  <si>
    <t xml:space="preserve">C:\Users\andre\Desktop\REACTIV CEFAS\Testosterone\Testosterone/20201118_Cefas_Test6-Run3/Plate 1/@4/ </t>
  </si>
  <si>
    <t xml:space="preserve"> 34.3349 </t>
  </si>
  <si>
    <t xml:space="preserve"> 1.733 </t>
  </si>
  <si>
    <t xml:space="preserve"> 817173.792 </t>
  </si>
  <si>
    <t xml:space="preserve"> 615437.833 </t>
  </si>
  <si>
    <t xml:space="preserve">C:\Users\andre\Desktop\REACTIV CEFAS\Testosterone\Testosterone/20201118_Cefas_Test6-Run3/Plate 1/@5/A5_01.tif </t>
  </si>
  <si>
    <t xml:space="preserve"> 34.0963 </t>
  </si>
  <si>
    <t xml:space="preserve">C:\Users\andre\Desktop\REACTIV CEFAS\Testosterone\Testosterone/20201118_Cefas_Test6-Run3/Plate 1/@5/A5_02.tif </t>
  </si>
  <si>
    <t xml:space="preserve"> 11031.2463 </t>
  </si>
  <si>
    <t xml:space="preserve"> 35.7765 </t>
  </si>
  <si>
    <t xml:space="preserve">C:\Users\andre\Desktop\REACTIV CEFAS\Testosterone\Testosterone/20201118_Cefas_Test6-Run3/Plate 1/@5/A5_03.tif </t>
  </si>
  <si>
    <t xml:space="preserve"> 15076.0366 </t>
  </si>
  <si>
    <t xml:space="preserve"> 33.6643 </t>
  </si>
  <si>
    <t xml:space="preserve">C:\Users\andre\Desktop\REACTIV CEFAS\Testosterone\Testosterone/20201118_Cefas_Test6-Run3/Plate 1/@5/B5_01.tif </t>
  </si>
  <si>
    <t xml:space="preserve"> 59438.9504 </t>
  </si>
  <si>
    <t xml:space="preserve"> 38.0073 </t>
  </si>
  <si>
    <t xml:space="preserve">C:\Users\andre\Desktop\REACTIV CEFAS\Testosterone\Testosterone/20201118_Cefas_Test6-Run3/Plate 1/@5/B5_02.tif </t>
  </si>
  <si>
    <t xml:space="preserve"> 52560.6439 </t>
  </si>
  <si>
    <t xml:space="preserve"> 41.8815 </t>
  </si>
  <si>
    <t xml:space="preserve">C:\Users\andre\Desktop\REACTIV CEFAS\Testosterone\Testosterone/20201118_Cefas_Test6-Run3/Plate 1/@5/B5_03.tif </t>
  </si>
  <si>
    <t xml:space="preserve"> 59547.0999 </t>
  </si>
  <si>
    <t xml:space="preserve"> 41.3985 </t>
  </si>
  <si>
    <t xml:space="preserve">C:\Users\andre\Desktop\REACTIV CEFAS\Testosterone\Testosterone/20201118_Cefas_Test6-Run3/Plate 1/@5/C5_01.tif </t>
  </si>
  <si>
    <t xml:space="preserve"> 40.3066 </t>
  </si>
  <si>
    <t xml:space="preserve">C:\Users\andre\Desktop\REACTIV CEFAS\Testosterone\Testosterone/20201118_Cefas_Test6-Run3/Plate 1/@5/C5_02.tif </t>
  </si>
  <si>
    <t xml:space="preserve"> 60022.9576 </t>
  </si>
  <si>
    <t xml:space="preserve"> 40.2948 </t>
  </si>
  <si>
    <t xml:space="preserve">C:\Users\andre\Desktop\REACTIV CEFAS\Testosterone\Testosterone/20201118_Cefas_Test6-Run3/Plate 1/@5/C5_03.tif </t>
  </si>
  <si>
    <t xml:space="preserve"> 39.7733 </t>
  </si>
  <si>
    <t xml:space="preserve">C:\Users\andre\Desktop\REACTIV CEFAS\Testosterone\Testosterone/20201118_Cefas_Test6-Run3/Plate 1/@5/D5_01.tif </t>
  </si>
  <si>
    <t xml:space="preserve"> 88747.4577 </t>
  </si>
  <si>
    <t xml:space="preserve"> 41.8484 </t>
  </si>
  <si>
    <t xml:space="preserve">C:\Users\andre\Desktop\REACTIV CEFAS\Testosterone\Testosterone/20201118_Cefas_Test6-Run3/Plate 1/@5/D5_02.tif </t>
  </si>
  <si>
    <t xml:space="preserve"> 87168.4754 </t>
  </si>
  <si>
    <t xml:space="preserve"> 47.0104 </t>
  </si>
  <si>
    <t xml:space="preserve">C:\Users\andre\Desktop\REACTIV CEFAS\Testosterone\Testosterone/20201118_Cefas_Test6-Run3/Plate 1/@5/D5_03.tif </t>
  </si>
  <si>
    <t xml:space="preserve"> 98156.4618 </t>
  </si>
  <si>
    <t xml:space="preserve"> 46.4667 </t>
  </si>
  <si>
    <t xml:space="preserve">C:\Users\andre\Desktop\REACTIV CEFAS\Testosterone\Testosterone/20201118_Cefas_Test6-Run3/Plate 1/@5/E5_01.tif </t>
  </si>
  <si>
    <t xml:space="preserve"> 37.7126 </t>
  </si>
  <si>
    <t xml:space="preserve">C:\Users\andre\Desktop\REACTIV CEFAS\Testosterone\Testosterone/20201118_Cefas_Test6-Run3/Plate 1/@5/E5_02.tif </t>
  </si>
  <si>
    <t xml:space="preserve"> 53339.3202 </t>
  </si>
  <si>
    <t xml:space="preserve"> 35.09 </t>
  </si>
  <si>
    <t xml:space="preserve">C:\Users\andre\Desktop\REACTIV CEFAS\Testosterone\Testosterone/20201118_Cefas_Test6-Run3/Plate 1/@5/E5_03.tif </t>
  </si>
  <si>
    <t xml:space="preserve"> 60433.9256 </t>
  </si>
  <si>
    <t xml:space="preserve"> 35.9012 </t>
  </si>
  <si>
    <t xml:space="preserve">C:\Users\andre\Desktop\REACTIV CEFAS\Testosterone\Testosterone/20201118_Cefas_Test6-Run3/Plate 1/@5/F5_01.tif </t>
  </si>
  <si>
    <t xml:space="preserve"> 49208.0103 </t>
  </si>
  <si>
    <t xml:space="preserve"> 38.1473 </t>
  </si>
  <si>
    <t xml:space="preserve">C:\Users\andre\Desktop\REACTIV CEFAS\Testosterone\Testosterone/20201118_Cefas_Test6-Run3/Plate 1/@5/F5_02.tif </t>
  </si>
  <si>
    <t xml:space="preserve"> 36511.2621 </t>
  </si>
  <si>
    <t xml:space="preserve"> 36.4295 </t>
  </si>
  <si>
    <t xml:space="preserve">C:\Users\andre\Desktop\REACTIV CEFAS\Testosterone\Testosterone/20201118_Cefas_Test6-Run3/Plate 1/@5/F5_03.tif </t>
  </si>
  <si>
    <t xml:space="preserve"> 36619.4116 </t>
  </si>
  <si>
    <t xml:space="preserve"> 36.251 </t>
  </si>
  <si>
    <t xml:space="preserve">C:\Users\andre\Desktop\REACTIV CEFAS\Testosterone\Testosterone/20201118_Cefas_Test6-Run3/Plate 1/@5/G5_01.tif </t>
  </si>
  <si>
    <t xml:space="preserve"> 43173.2697 </t>
  </si>
  <si>
    <t xml:space="preserve"> 35.8938 </t>
  </si>
  <si>
    <t xml:space="preserve">C:\Users\andre\Desktop\REACTIV CEFAS\Testosterone\Testosterone/20201118_Cefas_Test6-Run3/Plate 1/@5/G5_02.tif </t>
  </si>
  <si>
    <t xml:space="preserve"> 42589.2625 </t>
  </si>
  <si>
    <t xml:space="preserve"> 35.7491 </t>
  </si>
  <si>
    <t xml:space="preserve">C:\Users\andre\Desktop\REACTIV CEFAS\Testosterone\Testosterone/20201118_Cefas_Test6-Run3/Plate 1/@5/G5_03.tif </t>
  </si>
  <si>
    <t xml:space="preserve"> 54031.4768 </t>
  </si>
  <si>
    <t xml:space="preserve"> 38.2782 </t>
  </si>
  <si>
    <t xml:space="preserve">C:\Users\andre\Desktop\REACTIV CEFAS\Testosterone\Testosterone/20201118_Cefas_Test6-Run3/Plate 1/@5/H5_01.tif </t>
  </si>
  <si>
    <t xml:space="preserve"> 81955.6707 </t>
  </si>
  <si>
    <t xml:space="preserve"> 40.9963 </t>
  </si>
  <si>
    <t xml:space="preserve">C:\Users\andre\Desktop\REACTIV CEFAS\Testosterone\Testosterone/20201118_Cefas_Test6-Run3/Plate 1/@5/H5_02.tif </t>
  </si>
  <si>
    <t xml:space="preserve"> 84810.8168 </t>
  </si>
  <si>
    <t xml:space="preserve"> 43.0138 </t>
  </si>
  <si>
    <t xml:space="preserve">C:\Users\andre\Desktop\REACTIV CEFAS\Testosterone\Testosterone/20201118_Cefas_Test6-Run3/Plate 1/@5/H5_03.tif </t>
  </si>
  <si>
    <t xml:space="preserve"> 73822.8304 </t>
  </si>
  <si>
    <t xml:space="preserve"> 38.482 </t>
  </si>
  <si>
    <t xml:space="preserve">C:\Users\andre\Desktop\REACTIV CEFAS\Testosterone\Testosterone/20201118_Cefas_Test6-Run3/Plate 1/@5/ </t>
  </si>
  <si>
    <t xml:space="preserve"> 38.8529 </t>
  </si>
  <si>
    <t xml:space="preserve"> 3.563 </t>
  </si>
  <si>
    <t xml:space="preserve"> 2252440.79 </t>
  </si>
  <si>
    <t xml:space="preserve"> 1067687.28 </t>
  </si>
  <si>
    <t xml:space="preserve">C:\Users\andre\Desktop\REACTIV CEFAS\Testosterone\Testosterone/20201118_Cefas_Test6-Run3/Plate 1/@6/A6_01.tif </t>
  </si>
  <si>
    <t xml:space="preserve"> 59958.0679 </t>
  </si>
  <si>
    <t xml:space="preserve"> 46.2763 </t>
  </si>
  <si>
    <t xml:space="preserve">C:\Users\andre\Desktop\REACTIV CEFAS\Testosterone\Testosterone/20201118_Cefas_Test6-Run3/Plate 1/@6/A6_02.tif </t>
  </si>
  <si>
    <t xml:space="preserve"> 58833.3134 </t>
  </si>
  <si>
    <t xml:space="preserve"> 50.2114 </t>
  </si>
  <si>
    <t xml:space="preserve">C:\Users\andre\Desktop\REACTIV CEFAS\Testosterone\Testosterone/20201118_Cefas_Test6-Run3/Plate 1/@6/A6_03.tif </t>
  </si>
  <si>
    <t xml:space="preserve"> 64932.9437 </t>
  </si>
  <si>
    <t xml:space="preserve">C:\Users\andre\Desktop\REACTIV CEFAS\Testosterone\Testosterone/20201118_Cefas_Test6-Run3/Plate 1/@6/B6_01.tif </t>
  </si>
  <si>
    <t xml:space="preserve"> 74774.5457 </t>
  </si>
  <si>
    <t xml:space="preserve"> 45.7226 </t>
  </si>
  <si>
    <t xml:space="preserve">C:\Users\andre\Desktop\REACTIV CEFAS\Testosterone\Testosterone/20201118_Cefas_Test6-Run3/Plate 1/@6/B6_02.tif </t>
  </si>
  <si>
    <t xml:space="preserve"> 82755.9769 </t>
  </si>
  <si>
    <t xml:space="preserve"> 47.1576 </t>
  </si>
  <si>
    <t xml:space="preserve">C:\Users\andre\Desktop\REACTIV CEFAS\Testosterone\Testosterone/20201118_Cefas_Test6-Run3/Plate 1/@6/B6_03.tif </t>
  </si>
  <si>
    <t xml:space="preserve"> 79489.8628 </t>
  </si>
  <si>
    <t xml:space="preserve"> 47.2789 </t>
  </si>
  <si>
    <t xml:space="preserve">C:\Users\andre\Desktop\REACTIV CEFAS\Testosterone\Testosterone/20201118_Cefas_Test6-Run3/Plate 1/@6/C6_01.tif </t>
  </si>
  <si>
    <t xml:space="preserve"> 65538.5807 </t>
  </si>
  <si>
    <t xml:space="preserve"> 45.7782 </t>
  </si>
  <si>
    <t xml:space="preserve">C:\Users\andre\Desktop\REACTIV CEFAS\Testosterone\Testosterone/20201118_Cefas_Test6-Run3/Plate 1/@6/C6_02.tif </t>
  </si>
  <si>
    <t xml:space="preserve"> 65452.0611 </t>
  </si>
  <si>
    <t xml:space="preserve"> 45.7442 </t>
  </si>
  <si>
    <t xml:space="preserve">C:\Users\andre\Desktop\REACTIV CEFAS\Testosterone\Testosterone/20201118_Cefas_Test6-Run3/Plate 1/@6/C6_03.tif </t>
  </si>
  <si>
    <t xml:space="preserve"> 46.3746 </t>
  </si>
  <si>
    <t xml:space="preserve">C:\Users\andre\Desktop\REACTIV CEFAS\Testosterone\Testosterone/20201118_Cefas_Test6-Run3/Plate 1/@6/D6_01.tif </t>
  </si>
  <si>
    <t xml:space="preserve"> 41572.6575 </t>
  </si>
  <si>
    <t xml:space="preserve"> 34.3059 </t>
  </si>
  <si>
    <t xml:space="preserve">C:\Users\andre\Desktop\REACTIV CEFAS\Testosterone\Testosterone/20201118_Cefas_Test6-Run3/Plate 1/@6/D6_02.tif </t>
  </si>
  <si>
    <t xml:space="preserve"> 38090.2444 </t>
  </si>
  <si>
    <t xml:space="preserve"> 34.2379 </t>
  </si>
  <si>
    <t xml:space="preserve">C:\Users\andre\Desktop\REACTIV CEFAS\Testosterone\Testosterone/20201118_Cefas_Test6-Run3/Plate 1/@6/D6_03.tif </t>
  </si>
  <si>
    <t xml:space="preserve"> 34348.2727 </t>
  </si>
  <si>
    <t xml:space="preserve"> 33.1058 </t>
  </si>
  <si>
    <t xml:space="preserve">C:\Users\andre\Desktop\REACTIV CEFAS\Testosterone\Testosterone/20201118_Cefas_Test6-Run3/Plate 1/@6/E6_01.tif </t>
  </si>
  <si>
    <t xml:space="preserve"> 91580.9739 </t>
  </si>
  <si>
    <t xml:space="preserve"> 56.8878 </t>
  </si>
  <si>
    <t xml:space="preserve">C:\Users\andre\Desktop\REACTIV CEFAS\Testosterone\Testosterone/20201118_Cefas_Test6-Run3/Plate 1/@6/E6_02.tif </t>
  </si>
  <si>
    <t xml:space="preserve"> 85611.1229 </t>
  </si>
  <si>
    <t xml:space="preserve"> 55.9219 </t>
  </si>
  <si>
    <t xml:space="preserve">C:\Users\andre\Desktop\REACTIV CEFAS\Testosterone\Testosterone/20201118_Cefas_Test6-Run3/Plate 1/@6/E6_03.tif </t>
  </si>
  <si>
    <t xml:space="preserve"> 87557.8135 </t>
  </si>
  <si>
    <t xml:space="preserve"> 59.1566 </t>
  </si>
  <si>
    <t xml:space="preserve">C:\Users\andre\Desktop\REACTIV CEFAS\Testosterone\Testosterone/20201118_Cefas_Test6-Run3/Plate 1/@6/F6_01.tif </t>
  </si>
  <si>
    <t xml:space="preserve"> 82323.379 </t>
  </si>
  <si>
    <t xml:space="preserve"> 61.4616 </t>
  </si>
  <si>
    <t xml:space="preserve">C:\Users\andre\Desktop\REACTIV CEFAS\Testosterone\Testosterone/20201118_Cefas_Test6-Run3/Plate 1/@6/F6_02.tif </t>
  </si>
  <si>
    <t xml:space="preserve"> 82842.4964 </t>
  </si>
  <si>
    <t xml:space="preserve"> 57.0099 </t>
  </si>
  <si>
    <t xml:space="preserve">C:\Users\andre\Desktop\REACTIV CEFAS\Testosterone\Testosterone/20201118_Cefas_Test6-Run3/Plate 1/@6/F6_03.tif </t>
  </si>
  <si>
    <t xml:space="preserve"> 56.5611 </t>
  </si>
  <si>
    <t xml:space="preserve">C:\Users\andre\Desktop\REACTIV CEFAS\Testosterone\Testosterone/20201118_Cefas_Test6-Run3/Plate 1/@6/G6_01.tif </t>
  </si>
  <si>
    <t xml:space="preserve"> 50570.6936 </t>
  </si>
  <si>
    <t xml:space="preserve"> 38.3875 </t>
  </si>
  <si>
    <t xml:space="preserve">C:\Users\andre\Desktop\REACTIV CEFAS\Testosterone\Testosterone/20201118_Cefas_Test6-Run3/Plate 1/@6/G6_02.tif </t>
  </si>
  <si>
    <t xml:space="preserve"> 56929.8827 </t>
  </si>
  <si>
    <t xml:space="preserve"> 40.1687 </t>
  </si>
  <si>
    <t xml:space="preserve">C:\Users\andre\Desktop\REACTIV CEFAS\Testosterone\Testosterone/20201118_Cefas_Test6-Run3/Plate 1/@6/G6_03.tif </t>
  </si>
  <si>
    <t xml:space="preserve"> 39.3674 </t>
  </si>
  <si>
    <t xml:space="preserve">C:\Users\andre\Desktop\REACTIV CEFAS\Testosterone\Testosterone/20201118_Cefas_Test6-Run3/Plate 1/@6/H6_01.tif </t>
  </si>
  <si>
    <t xml:space="preserve"> 76461.6775 </t>
  </si>
  <si>
    <t xml:space="preserve"> 48.0379 </t>
  </si>
  <si>
    <t xml:space="preserve">C:\Users\andre\Desktop\REACTIV CEFAS\Testosterone\Testosterone/20201118_Cefas_Test6-Run3/Plate 1/@6/H6_02.tif </t>
  </si>
  <si>
    <t xml:space="preserve"> 78343.4783 </t>
  </si>
  <si>
    <t xml:space="preserve"> 49.0519 </t>
  </si>
  <si>
    <t xml:space="preserve">C:\Users\andre\Desktop\REACTIV CEFAS\Testosterone\Testosterone/20201118_Cefas_Test6-Run3/Plate 1/@6/H6_03.tif </t>
  </si>
  <si>
    <t xml:space="preserve"> 79165.4143 </t>
  </si>
  <si>
    <t xml:space="preserve"> 50.5044 </t>
  </si>
  <si>
    <t xml:space="preserve">C:\Users\andre\Desktop\REACTIV CEFAS\Testosterone\Testosterone/20201118_Cefas_Test6-Run3/Plate 1/@6/ </t>
  </si>
  <si>
    <t xml:space="preserve"> 47.3348 </t>
  </si>
  <si>
    <t xml:space="preserve"> 7.9484 </t>
  </si>
  <si>
    <t xml:space="preserve"> 3342932.71 </t>
  </si>
  <si>
    <t xml:space="preserve"> 1231422.4 </t>
  </si>
  <si>
    <t xml:space="preserve">C:\Users\andre\Desktop\REACTIV CEFAS\Testosterone\Testosterone/20201118_Cefas_Test6-Run3/Plate 1/@7/A7_01.tif </t>
  </si>
  <si>
    <t xml:space="preserve"> 69972.7091 </t>
  </si>
  <si>
    <t xml:space="preserve"> 53.8482 </t>
  </si>
  <si>
    <t xml:space="preserve">C:\Users\andre\Desktop\REACTIV CEFAS\Testosterone\Testosterone/20201118_Cefas_Test6-Run3/Plate 1/@7/A7_02.tif </t>
  </si>
  <si>
    <t xml:space="preserve"> 93614.184 </t>
  </si>
  <si>
    <t xml:space="preserve"> 52.6296 </t>
  </si>
  <si>
    <t xml:space="preserve">C:\Users\andre\Desktop\REACTIV CEFAS\Testosterone\Testosterone/20201118_Cefas_Test6-Run3/Plate 1/@7/A7_03.tif </t>
  </si>
  <si>
    <t xml:space="preserve"> 83361.6139 </t>
  </si>
  <si>
    <t xml:space="preserve"> 55.9442 </t>
  </si>
  <si>
    <t xml:space="preserve">C:\Users\andre\Desktop\REACTIV CEFAS\Testosterone\Testosterone/20201118_Cefas_Test6-Run3/Plate 1/@7/B7_01.tif </t>
  </si>
  <si>
    <t xml:space="preserve"> 75639.7415 </t>
  </si>
  <si>
    <t xml:space="preserve"> 55.9371 </t>
  </si>
  <si>
    <t>C:\Users\andre\Desktop\REACTIV CEFAS\Testosterone\Testosterone/20201118_Cefas_Test6-Run3/Plate 1/@7/B7_02- exclu.tif</t>
  </si>
  <si>
    <t xml:space="preserve">C:\Users\andre\Desktop\REACTIV CEFAS\Testosterone\Testosterone/20201118_Cefas_Test6-Run3/Plate 1/@7/B7_03.tif </t>
  </si>
  <si>
    <t xml:space="preserve"> 61948.0182 </t>
  </si>
  <si>
    <t xml:space="preserve"> 60.6264 </t>
  </si>
  <si>
    <t xml:space="preserve">C:\Users\andre\Desktop\REACTIV CEFAS\Testosterone\Testosterone/20201118_Cefas_Test6-Run3/Plate 1/@7/C7_01.tif </t>
  </si>
  <si>
    <t xml:space="preserve"> 46763.8322 </t>
  </si>
  <si>
    <t xml:space="preserve"> 51.5291 </t>
  </si>
  <si>
    <t xml:space="preserve">C:\Users\andre\Desktop\REACTIV CEFAS\Testosterone\Testosterone/20201118_Cefas_Test6-Run3/Plate 1/@7/C7_02.tif </t>
  </si>
  <si>
    <t xml:space="preserve"> 43584.2377 </t>
  </si>
  <si>
    <t xml:space="preserve"> 52.0328 </t>
  </si>
  <si>
    <t xml:space="preserve">C:\Users\andre\Desktop\REACTIV CEFAS\Testosterone\Testosterone/20201118_Cefas_Test6-Run3/Plate 1/@7/C7_03.tif </t>
  </si>
  <si>
    <t xml:space="preserve"> 44817.1417 </t>
  </si>
  <si>
    <t xml:space="preserve"> 52.7017 </t>
  </si>
  <si>
    <t xml:space="preserve">C:\Users\andre\Desktop\REACTIV CEFAS\Testosterone\Testosterone/20201118_Cefas_Test6-Run3/Plate 1/@7/D7_01.tif </t>
  </si>
  <si>
    <t xml:space="preserve"> 80073.8699 </t>
  </si>
  <si>
    <t xml:space="preserve"> 57.4938 </t>
  </si>
  <si>
    <t xml:space="preserve">C:\Users\andre\Desktop\REACTIV CEFAS\Testosterone\Testosterone/20201118_Cefas_Test6-Run3/Plate 1/@7/D7_02.tif </t>
  </si>
  <si>
    <t xml:space="preserve"> 57.2506 </t>
  </si>
  <si>
    <t xml:space="preserve">C:\Users\andre\Desktop\REACTIV CEFAS\Testosterone\Testosterone/20201118_Cefas_Test6-Run3/Plate 1/@7/D7_03.tif </t>
  </si>
  <si>
    <t xml:space="preserve"> 82366.6387 </t>
  </si>
  <si>
    <t xml:space="preserve"> 57.8887 </t>
  </si>
  <si>
    <t>C:\Users\andre\Desktop\REACTIV CEFAS\Testosterone\Testosterone/20201118_Cefas_Test6-Run3/Plate 1/@7/E7_01- exclu.tif</t>
  </si>
  <si>
    <t>C:\Users\andre\Desktop\REACTIV CEFAS\Testosterone\Testosterone/20201118_Cefas_Test6-Run3/Plate 1/@7/E7_02- exclu.tif</t>
  </si>
  <si>
    <t>C:\Users\andre\Desktop\REACTIV CEFAS\Testosterone\Testosterone/20201118_Cefas_Test6-Run3/Plate 1/@7/E7_03- exclu.tif</t>
  </si>
  <si>
    <t xml:space="preserve">C:\Users\andre\Desktop\REACTIV CEFAS\Testosterone\Testosterone/20201118_Cefas_Test6-Run3/Plate 1/@7/F7_01.tif </t>
  </si>
  <si>
    <t xml:space="preserve"> 69951.0792 </t>
  </si>
  <si>
    <t xml:space="preserve"> 53.4879 </t>
  </si>
  <si>
    <t xml:space="preserve">C:\Users\andre\Desktop\REACTIV CEFAS\Testosterone\Testosterone/20201118_Cefas_Test6-Run3/Plate 1/@7/F7_02.tif </t>
  </si>
  <si>
    <t xml:space="preserve"> 55480.6797 </t>
  </si>
  <si>
    <t xml:space="preserve"> 55.4476 </t>
  </si>
  <si>
    <t xml:space="preserve">C:\Users\andre\Desktop\REACTIV CEFAS\Testosterone\Testosterone/20201118_Cefas_Test6-Run3/Plate 1/@7/F7_03.tif </t>
  </si>
  <si>
    <t xml:space="preserve"> 56.3514 </t>
  </si>
  <si>
    <t xml:space="preserve">C:\Users\andre\Desktop\REACTIV CEFAS\Testosterone\Testosterone/20201118_Cefas_Test6-Run3/Plate 1/@7/G7_01.tif </t>
  </si>
  <si>
    <t xml:space="preserve"> 84421.4787 </t>
  </si>
  <si>
    <t xml:space="preserve"> 51.7963 </t>
  </si>
  <si>
    <t xml:space="preserve">C:\Users\andre\Desktop\REACTIV CEFAS\Testosterone\Testosterone/20201118_Cefas_Test6-Run3/Plate 1/@7/G7_02.tif </t>
  </si>
  <si>
    <t xml:space="preserve"> 87644.333 </t>
  </si>
  <si>
    <t xml:space="preserve"> 55.6273 </t>
  </si>
  <si>
    <t xml:space="preserve">C:\Users\andre\Desktop\REACTIV CEFAS\Testosterone\Testosterone/20201118_Cefas_Test6-Run3/Plate 1/@7/G7_03.tif </t>
  </si>
  <si>
    <t xml:space="preserve"> 54.5726 </t>
  </si>
  <si>
    <t xml:space="preserve">C:\Users\andre\Desktop\REACTIV CEFAS\Testosterone\Testosterone/20201118_Cefas_Test6-Run3/Plate 1/@7/H7_01.tif </t>
  </si>
  <si>
    <t xml:space="preserve"> 66490.2961 </t>
  </si>
  <si>
    <t xml:space="preserve"> 50.1675 </t>
  </si>
  <si>
    <t xml:space="preserve">C:\Users\andre\Desktop\REACTIV CEFAS\Testosterone\Testosterone/20201118_Cefas_Test6-Run3/Plate 1/@7/H7_02.tif </t>
  </si>
  <si>
    <t xml:space="preserve"> 62942.9934 </t>
  </si>
  <si>
    <t xml:space="preserve"> 49.6732 </t>
  </si>
  <si>
    <t xml:space="preserve">C:\Users\andre\Desktop\REACTIV CEFAS\Testosterone\Testosterone/20201118_Cefas_Test6-Run3/Plate 1/@7/H7_03.tif </t>
  </si>
  <si>
    <t xml:space="preserve"> 62705.0645 </t>
  </si>
  <si>
    <t xml:space="preserve"> 48.8917 </t>
  </si>
  <si>
    <t xml:space="preserve">C:\Users\andre\Desktop\REACTIV CEFAS\Testosterone\Testosterone/20201118_Cefas_Test6-Run3/Plate 1/@7/ </t>
  </si>
  <si>
    <t xml:space="preserve"> 55.3415 </t>
  </si>
  <si>
    <t xml:space="preserve"> 4.0827 </t>
  </si>
  <si>
    <t xml:space="preserve"> 3807723.96 </t>
  </si>
  <si>
    <t xml:space="preserve"> 866063.873 </t>
  </si>
  <si>
    <t xml:space="preserve">C:\Users\andre\Desktop\REACTIV CEFAS\Testosterone\Testosterone/20201118_Cefas_Test6-Run3/Plate 2/@10/A4_01.tif </t>
  </si>
  <si>
    <t xml:space="preserve"> 35.4043 </t>
  </si>
  <si>
    <t xml:space="preserve">C:\Users\andre\Desktop\REACTIV CEFAS\Testosterone\Testosterone/20201118_Cefas_Test6-Run3/Plate 2/@10/A4_02.tif </t>
  </si>
  <si>
    <t xml:space="preserve"> 11853.1823 </t>
  </si>
  <si>
    <t xml:space="preserve"> 37.4361 </t>
  </si>
  <si>
    <t>C:\Users\andre\Desktop\REACTIV CEFAS\Testosterone\Testosterone/20201118_Cefas_Test6-Run3/Plate 2/@10/A4_03- exclu.tif</t>
  </si>
  <si>
    <t xml:space="preserve">C:\Users\andre\Desktop\REACTIV CEFAS\Testosterone\Testosterone/20201118_Cefas_Test6-Run3/Plate 2/@10/B4_01.tif </t>
  </si>
  <si>
    <t xml:space="preserve"> 42.216 </t>
  </si>
  <si>
    <t xml:space="preserve">C:\Users\andre\Desktop\REACTIV CEFAS\Testosterone\Testosterone/20201118_Cefas_Test6-Run3/Plate 2/@10/B4_02.tif </t>
  </si>
  <si>
    <t xml:space="preserve"> 40.6673 </t>
  </si>
  <si>
    <t xml:space="preserve">C:\Users\andre\Desktop\REACTIV CEFAS\Testosterone\Testosterone/20201118_Cefas_Test6-Run3/Plate 2/@10/B4_03.tif </t>
  </si>
  <si>
    <t xml:space="preserve"> 54637.1138 </t>
  </si>
  <si>
    <t xml:space="preserve"> 39.2882 </t>
  </si>
  <si>
    <t xml:space="preserve">C:\Users\andre\Desktop\REACTIV CEFAS\Testosterone\Testosterone/20201118_Cefas_Test6-Run3/Plate 2/@10/C4_01.tif </t>
  </si>
  <si>
    <t xml:space="preserve"> 32.6358 </t>
  </si>
  <si>
    <t xml:space="preserve">C:\Users\andre\Desktop\REACTIV CEFAS\Testosterone\Testosterone/20201118_Cefas_Test6-Run3/Plate 2/@10/C4_02.tif </t>
  </si>
  <si>
    <t xml:space="preserve"> 10382.3494 </t>
  </si>
  <si>
    <t xml:space="preserve"> 32.8833 </t>
  </si>
  <si>
    <t xml:space="preserve">C:\Users\andre\Desktop\REACTIV CEFAS\Testosterone\Testosterone/20201118_Cefas_Test6-Run3/Plate 2/@10/C4_03.tif </t>
  </si>
  <si>
    <t xml:space="preserve"> 32.7604 </t>
  </si>
  <si>
    <t xml:space="preserve">C:\Users\andre\Desktop\REACTIV CEFAS\Testosterone\Testosterone/20201118_Cefas_Test6-Run3/Plate 2/@10/D4_01.tif </t>
  </si>
  <si>
    <t xml:space="preserve"> 24398.5211 </t>
  </si>
  <si>
    <t xml:space="preserve"> 34.352 </t>
  </si>
  <si>
    <t xml:space="preserve">C:\Users\andre\Desktop\REACTIV CEFAS\Testosterone\Testosterone/20201118_Cefas_Test6-Run3/Plate 2/@10/D4_02.tif </t>
  </si>
  <si>
    <t xml:space="preserve"> 19942.7628 </t>
  </si>
  <si>
    <t xml:space="preserve"> 34.2137 </t>
  </si>
  <si>
    <t xml:space="preserve">C:\Users\andre\Desktop\REACTIV CEFAS\Testosterone\Testosterone/20201118_Cefas_Test6-Run3/Plate 2/@10/D4_03.tif </t>
  </si>
  <si>
    <t xml:space="preserve"> 22776.279 </t>
  </si>
  <si>
    <t xml:space="preserve"> 34.2156 </t>
  </si>
  <si>
    <t xml:space="preserve">C:\Users\andre\Desktop\REACTIV CEFAS\Testosterone\Testosterone/20201118_Cefas_Test6-Run3/Plate 2/@10/E4_01.tif </t>
  </si>
  <si>
    <t xml:space="preserve"> 54377.5551 </t>
  </si>
  <si>
    <t xml:space="preserve"> 39.0446 </t>
  </si>
  <si>
    <t xml:space="preserve">C:\Users\andre\Desktop\REACTIV CEFAS\Testosterone\Testosterone/20201118_Cefas_Test6-Run3/Plate 2/@10/E4_02.tif </t>
  </si>
  <si>
    <t xml:space="preserve"> 53988.217 </t>
  </si>
  <si>
    <t xml:space="preserve"> 39.2596 </t>
  </si>
  <si>
    <t xml:space="preserve">C:\Users\andre\Desktop\REACTIV CEFAS\Testosterone\Testosterone/20201118_Cefas_Test6-Run3/Plate 2/@10/E4_03.tif </t>
  </si>
  <si>
    <t xml:space="preserve"> 38.9531 </t>
  </si>
  <si>
    <t xml:space="preserve">C:\Users\andre\Desktop\REACTIV CEFAS\Testosterone\Testosterone/20201118_Cefas_Test6-Run3/Plate 2/@10/F4_01.tif </t>
  </si>
  <si>
    <t xml:space="preserve"> 39.5827 </t>
  </si>
  <si>
    <t xml:space="preserve">C:\Users\andre\Desktop\REACTIV CEFAS\Testosterone\Testosterone/20201118_Cefas_Test6-Run3/Plate 2/@10/F4_02.tif </t>
  </si>
  <si>
    <t xml:space="preserve"> 43432.8284 </t>
  </si>
  <si>
    <t xml:space="preserve"> 38.1409 </t>
  </si>
  <si>
    <t xml:space="preserve">C:\Users\andre\Desktop\REACTIV CEFAS\Testosterone\Testosterone/20201118_Cefas_Test6-Run3/Plate 2/@10/F4_03.tif </t>
  </si>
  <si>
    <t xml:space="preserve"> 42567.6326 </t>
  </si>
  <si>
    <t xml:space="preserve"> 37.7754 </t>
  </si>
  <si>
    <t xml:space="preserve">C:\Users\andre\Desktop\REACTIV CEFAS\Testosterone\Testosterone/20201118_Cefas_Test6-Run3/Plate 2/@10/G4_01.tif </t>
  </si>
  <si>
    <t xml:space="preserve"> 42.1355 </t>
  </si>
  <si>
    <t xml:space="preserve">C:\Users\andre\Desktop\REACTIV CEFAS\Testosterone\Testosterone/20201118_Cefas_Test6-Run3/Plate 2/@10/G4_02.tif </t>
  </si>
  <si>
    <t xml:space="preserve"> 55112.9715 </t>
  </si>
  <si>
    <t xml:space="preserve"> 41.1715 </t>
  </si>
  <si>
    <t xml:space="preserve">C:\Users\andre\Desktop\REACTIV CEFAS\Testosterone\Testosterone/20201118_Cefas_Test6-Run3/Plate 2/@10/G4_03.tif </t>
  </si>
  <si>
    <t xml:space="preserve"> 58119.5269 </t>
  </si>
  <si>
    <t xml:space="preserve"> 42.4008 </t>
  </si>
  <si>
    <t xml:space="preserve">C:\Users\andre\Desktop\REACTIV CEFAS\Testosterone\Testosterone/20201118_Cefas_Test6-Run3/Plate 2/@10/H4_01.tif </t>
  </si>
  <si>
    <t xml:space="preserve"> 15941.2323 </t>
  </si>
  <si>
    <t xml:space="preserve"> 35.2836 </t>
  </si>
  <si>
    <t xml:space="preserve">C:\Users\andre\Desktop\REACTIV CEFAS\Testosterone\Testosterone/20201118_Cefas_Test6-Run3/Plate 2/@10/H4_02.tif </t>
  </si>
  <si>
    <t xml:space="preserve"> 8414.029 </t>
  </si>
  <si>
    <t xml:space="preserve"> 35.1825 </t>
  </si>
  <si>
    <t xml:space="preserve">C:\Users\andre\Desktop\REACTIV CEFAS\Testosterone\Testosterone/20201118_Cefas_Test6-Run3/Plate 2/@10/H4_03.tif </t>
  </si>
  <si>
    <t xml:space="preserve"> 8911.5166 </t>
  </si>
  <si>
    <t xml:space="preserve"> 33.1044 </t>
  </si>
  <si>
    <t xml:space="preserve">C:\Users\andre\Desktop\REACTIV CEFAS\Testosterone\Testosterone/20201118_Cefas_Test6-Run3/Plate 2/@10/ </t>
  </si>
  <si>
    <t xml:space="preserve"> 37.4842 </t>
  </si>
  <si>
    <t xml:space="preserve"> 3.3357 </t>
  </si>
  <si>
    <t xml:space="preserve"> 1317479.58 </t>
  </si>
  <si>
    <t xml:space="preserve"> 912179.865 </t>
  </si>
  <si>
    <t xml:space="preserve">C:\Users\andre\Desktop\REACTIV CEFAS\Testosterone\Testosterone/20201118_Cefas_Test6-Run3/Plate 2/@11/A5_01.tif </t>
  </si>
  <si>
    <t xml:space="preserve"> 45.4011 </t>
  </si>
  <si>
    <t xml:space="preserve">C:\Users\andre\Desktop\REACTIV CEFAS\Testosterone\Testosterone/20201118_Cefas_Test6-Run3/Plate 2/@11/A5_02.tif </t>
  </si>
  <si>
    <t xml:space="preserve"> 80917.4358 </t>
  </si>
  <si>
    <t xml:space="preserve"> 46.5854 </t>
  </si>
  <si>
    <t xml:space="preserve">C:\Users\andre\Desktop\REACTIV CEFAS\Testosterone\Testosterone/20201118_Cefas_Test6-Run3/Plate 2/@11/A5_03.tif </t>
  </si>
  <si>
    <t xml:space="preserve"> 81198.6244 </t>
  </si>
  <si>
    <t xml:space="preserve"> 48.6121 </t>
  </si>
  <si>
    <t xml:space="preserve">C:\Users\andre\Desktop\REACTIV CEFAS\Testosterone\Testosterone/20201118_Cefas_Test6-Run3/Plate 2/@11/B5_01.tif </t>
  </si>
  <si>
    <t xml:space="preserve"> 74839.4354 </t>
  </si>
  <si>
    <t xml:space="preserve"> 49.3139 </t>
  </si>
  <si>
    <t xml:space="preserve">C:\Users\andre\Desktop\REACTIV CEFAS\Testosterone\Testosterone/20201118_Cefas_Test6-Run3/Plate 2/@11/B5_02.tif </t>
  </si>
  <si>
    <t xml:space="preserve"> 79316.8236 </t>
  </si>
  <si>
    <t xml:space="preserve"> 48.9654 </t>
  </si>
  <si>
    <t xml:space="preserve">C:\Users\andre\Desktop\REACTIV CEFAS\Testosterone\Testosterone/20201118_Cefas_Test6-Run3/Plate 2/@11/B5_03.tif </t>
  </si>
  <si>
    <t xml:space="preserve"> 77694.5815 </t>
  </si>
  <si>
    <t xml:space="preserve"> 44.5707 </t>
  </si>
  <si>
    <t xml:space="preserve">C:\Users\andre\Desktop\REACTIV CEFAS\Testosterone\Testosterone/20201118_Cefas_Test6-Run3/Plate 2/@11/C5_01.tif </t>
  </si>
  <si>
    <t xml:space="preserve"> 63613.5201 </t>
  </si>
  <si>
    <t xml:space="preserve"> 44.8749 </t>
  </si>
  <si>
    <t xml:space="preserve">C:\Users\andre\Desktop\REACTIV CEFAS\Testosterone\Testosterone/20201118_Cefas_Test6-Run3/Plate 2/@11/C5_02.tif </t>
  </si>
  <si>
    <t xml:space="preserve"> 68328.8371 </t>
  </si>
  <si>
    <t xml:space="preserve"> 47.2672 </t>
  </si>
  <si>
    <t xml:space="preserve">C:\Users\andre\Desktop\REACTIV CEFAS\Testosterone\Testosterone/20201118_Cefas_Test6-Run3/Plate 2/@11/C5_03.tif </t>
  </si>
  <si>
    <t xml:space="preserve"> 75791.1508 </t>
  </si>
  <si>
    <t xml:space="preserve"> 45.7129 </t>
  </si>
  <si>
    <t xml:space="preserve">C:\Users\andre\Desktop\REACTIV CEFAS\Testosterone\Testosterone/20201118_Cefas_Test6-Run3/Plate 2/@11/D5_01.tif </t>
  </si>
  <si>
    <t xml:space="preserve"> 37809.0558 </t>
  </si>
  <si>
    <t xml:space="preserve"> 37.4005 </t>
  </si>
  <si>
    <t xml:space="preserve">C:\Users\andre\Desktop\REACTIV CEFAS\Testosterone\Testosterone/20201118_Cefas_Test6-Run3/Plate 2/@11/D5_02.tif </t>
  </si>
  <si>
    <t xml:space="preserve"> 40793.9813 </t>
  </si>
  <si>
    <t xml:space="preserve"> 38.0143 </t>
  </si>
  <si>
    <t xml:space="preserve">C:\Users\andre\Desktop\REACTIV CEFAS\Testosterone\Testosterone/20201118_Cefas_Test6-Run3/Plate 2/@11/D5_03.tif </t>
  </si>
  <si>
    <t xml:space="preserve"> 35126.9489 </t>
  </si>
  <si>
    <t xml:space="preserve"> 36.4255 </t>
  </si>
  <si>
    <t xml:space="preserve">C:\Users\andre\Desktop\REACTIV CEFAS\Testosterone\Testosterone/20201118_Cefas_Test6-Run3/Plate 2/@11/E5_01.tif </t>
  </si>
  <si>
    <t xml:space="preserve"> 78603.0371 </t>
  </si>
  <si>
    <t xml:space="preserve"> 45.8313 </t>
  </si>
  <si>
    <t xml:space="preserve">C:\Users\andre\Desktop\REACTIV CEFAS\Testosterone\Testosterone/20201118_Cefas_Test6-Run3/Plate 2/@11/E5_02.tif </t>
  </si>
  <si>
    <t xml:space="preserve"> 78711.1866 </t>
  </si>
  <si>
    <t xml:space="preserve"> 45.6807 </t>
  </si>
  <si>
    <t xml:space="preserve">C:\Users\andre\Desktop\REACTIV CEFAS\Testosterone\Testosterone/20201118_Cefas_Test6-Run3/Plate 2/@11/E5_03.tif </t>
  </si>
  <si>
    <t xml:space="preserve"> 81998.9305 </t>
  </si>
  <si>
    <t xml:space="preserve"> 50.9602 </t>
  </si>
  <si>
    <t xml:space="preserve">C:\Users\andre\Desktop\REACTIV CEFAS\Testosterone\Testosterone/20201118_Cefas_Test6-Run3/Plate 2/@11/F5_01.tif </t>
  </si>
  <si>
    <t xml:space="preserve"> 42.3879 </t>
  </si>
  <si>
    <t xml:space="preserve">C:\Users\andre\Desktop\REACTIV CEFAS\Testosterone\Testosterone/20201118_Cefas_Test6-Run3/Plate 2/@11/F5_02.tif </t>
  </si>
  <si>
    <t xml:space="preserve"> 61623.5698 </t>
  </si>
  <si>
    <t xml:space="preserve"> 40.5339 </t>
  </si>
  <si>
    <t xml:space="preserve">C:\Users\andre\Desktop\REACTIV CEFAS\Testosterone\Testosterone/20201118_Cefas_Test6-Run3/Plate 2/@11/F5_03.tif </t>
  </si>
  <si>
    <t xml:space="preserve"> 57146.1816 </t>
  </si>
  <si>
    <t xml:space="preserve"> 41.2998 </t>
  </si>
  <si>
    <t xml:space="preserve">C:\Users\andre\Desktop\REACTIV CEFAS\Testosterone\Testosterone/20201118_Cefas_Test6-Run3/Plate 2/@11/G5_01.tif </t>
  </si>
  <si>
    <t xml:space="preserve"> 75423.4426 </t>
  </si>
  <si>
    <t xml:space="preserve"> 38.6163 </t>
  </si>
  <si>
    <t xml:space="preserve">C:\Users\andre\Desktop\REACTIV CEFAS\Testosterone\Testosterone/20201118_Cefas_Test6-Run3/Plate 2/@11/G5_02.tif </t>
  </si>
  <si>
    <t xml:space="preserve"> 70513.4565 </t>
  </si>
  <si>
    <t xml:space="preserve"> 40.8534 </t>
  </si>
  <si>
    <t xml:space="preserve">C:\Users\andre\Desktop\REACTIV CEFAS\Testosterone\Testosterone/20201118_Cefas_Test6-Run3/Plate 2/@11/G5_03.tif </t>
  </si>
  <si>
    <t xml:space="preserve"> 63764.9294 </t>
  </si>
  <si>
    <t xml:space="preserve"> 43.1828 </t>
  </si>
  <si>
    <t xml:space="preserve">C:\Users\andre\Desktop\REACTIV CEFAS\Testosterone\Testosterone/20201118_Cefas_Test6-Run3/Plate 2/@11/H5_01.tif </t>
  </si>
  <si>
    <t xml:space="preserve"> 63916.3386 </t>
  </si>
  <si>
    <t xml:space="preserve"> 45.692 </t>
  </si>
  <si>
    <t xml:space="preserve">C:\Users\andre\Desktop\REACTIV CEFAS\Testosterone\Testosterone/20201118_Cefas_Test6-Run3/Plate 2/@11/H5_02.tif </t>
  </si>
  <si>
    <t xml:space="preserve"> 72460.147 </t>
  </si>
  <si>
    <t xml:space="preserve"> 46.3197 </t>
  </si>
  <si>
    <t xml:space="preserve">C:\Users\andre\Desktop\REACTIV CEFAS\Testosterone\Testosterone/20201118_Cefas_Test6-Run3/Plate 2/@11/H5_03.tif </t>
  </si>
  <si>
    <t xml:space="preserve"> 70102.4885 </t>
  </si>
  <si>
    <t xml:space="preserve"> 46.6865 </t>
  </si>
  <si>
    <t xml:space="preserve">C:\Users\andre\Desktop\REACTIV CEFAS\Testosterone\Testosterone/20201118_Cefas_Test6-Run3/Plate 2/@11/ </t>
  </si>
  <si>
    <t xml:space="preserve"> 44.2162 </t>
  </si>
  <si>
    <t xml:space="preserve"> 3.982 </t>
  </si>
  <si>
    <t xml:space="preserve"> 3036038.62 </t>
  </si>
  <si>
    <t xml:space="preserve"> 780214.482 </t>
  </si>
  <si>
    <t xml:space="preserve">C:\Users\andre\Desktop\REACTIV CEFAS\Testosterone\Testosterone/20201118_Cefas_Test6-Run3/Plate 2/@12/A6_01.tif </t>
  </si>
  <si>
    <t xml:space="preserve"> 78646.2969 </t>
  </si>
  <si>
    <t xml:space="preserve"> 52.6969 </t>
  </si>
  <si>
    <t xml:space="preserve">C:\Users\andre\Desktop\REACTIV CEFAS\Testosterone\Testosterone/20201118_Cefas_Test6-Run3/Plate 2/@12/A6_02.tif </t>
  </si>
  <si>
    <t xml:space="preserve"> 77954.1402 </t>
  </si>
  <si>
    <t xml:space="preserve"> 52.2492 </t>
  </si>
  <si>
    <t xml:space="preserve">C:\Users\andre\Desktop\REACTIV CEFAS\Testosterone\Testosterone/20201118_Cefas_Test6-Run3/Plate 2/@12/A6_03.tif </t>
  </si>
  <si>
    <t xml:space="preserve"> 77781.1011 </t>
  </si>
  <si>
    <t xml:space="preserve"> 53.0882 </t>
  </si>
  <si>
    <t xml:space="preserve">C:\Users\andre\Desktop\REACTIV CEFAS\Testosterone\Testosterone/20201118_Cefas_Test6-Run3/Plate 2/@12/B6_01.tif </t>
  </si>
  <si>
    <t xml:space="preserve"> 64046.118 </t>
  </si>
  <si>
    <t xml:space="preserve"> 45.1746 </t>
  </si>
  <si>
    <t xml:space="preserve">C:\Users\andre\Desktop\REACTIV CEFAS\Testosterone\Testosterone/20201118_Cefas_Test6-Run3/Plate 2/@12/B6_02.tif </t>
  </si>
  <si>
    <t xml:space="preserve"> 55588.8292 </t>
  </si>
  <si>
    <t xml:space="preserve"> 47.4825 </t>
  </si>
  <si>
    <t xml:space="preserve">C:\Users\andre\Desktop\REACTIV CEFAS\Testosterone\Testosterone/20201118_Cefas_Test6-Run3/Plate 2/@12/B6_03.tif </t>
  </si>
  <si>
    <t xml:space="preserve"> 62618.545 </t>
  </si>
  <si>
    <t xml:space="preserve"> 47.075 </t>
  </si>
  <si>
    <t xml:space="preserve">C:\Users\andre\Desktop\REACTIV CEFAS\Testosterone\Testosterone/20201118_Cefas_Test6-Run3/Plate 2/@12/C6_01.tif </t>
  </si>
  <si>
    <t xml:space="preserve"> 78732.8164 </t>
  </si>
  <si>
    <t xml:space="preserve"> 50.9901 </t>
  </si>
  <si>
    <t xml:space="preserve">C:\Users\andre\Desktop\REACTIV CEFAS\Testosterone\Testosterone/20201118_Cefas_Test6-Run3/Plate 2/@12/C6_02.tif </t>
  </si>
  <si>
    <t xml:space="preserve"> 84053.7705 </t>
  </si>
  <si>
    <t xml:space="preserve"> 50.5651 </t>
  </si>
  <si>
    <t xml:space="preserve">C:\Users\andre\Desktop\REACTIV CEFAS\Testosterone\Testosterone/20201118_Cefas_Test6-Run3/Plate 2/@12/C6_03.tif </t>
  </si>
  <si>
    <t xml:space="preserve"> 89050.2762 </t>
  </si>
  <si>
    <t xml:space="preserve"> 50.3981 </t>
  </si>
  <si>
    <t xml:space="preserve">C:\Users\andre\Desktop\REACTIV CEFAS\Testosterone\Testosterone/20201118_Cefas_Test6-Run3/Plate 2/@12/D6_01.tif </t>
  </si>
  <si>
    <t xml:space="preserve"> 45.367 </t>
  </si>
  <si>
    <t xml:space="preserve">C:\Users\andre\Desktop\REACTIV CEFAS\Testosterone\Testosterone/20201118_Cefas_Test6-Run3/Plate 2/@12/D6_02.tif </t>
  </si>
  <si>
    <t xml:space="preserve"> 53447.4696 </t>
  </si>
  <si>
    <t xml:space="preserve"> 48.2428 </t>
  </si>
  <si>
    <t xml:space="preserve">C:\Users\andre\Desktop\REACTIV CEFAS\Testosterone\Testosterone/20201118_Cefas_Test6-Run3/Plate 2/@12/D6_03.tif </t>
  </si>
  <si>
    <t xml:space="preserve"> 59222.6515 </t>
  </si>
  <si>
    <t xml:space="preserve"> 49.0256 </t>
  </si>
  <si>
    <t xml:space="preserve">C:\Users\andre\Desktop\REACTIV CEFAS\Testosterone\Testosterone/20201118_Cefas_Test6-Run3/Plate 2/@12/E6_01.tif </t>
  </si>
  <si>
    <t xml:space="preserve"> 47.2318 </t>
  </si>
  <si>
    <t xml:space="preserve">C:\Users\andre\Desktop\REACTIV CEFAS\Testosterone\Testosterone/20201118_Cefas_Test6-Run3/Plate 2/@12/E6_02.tif </t>
  </si>
  <si>
    <t xml:space="preserve"> 55783.4982 </t>
  </si>
  <si>
    <t xml:space="preserve"> 47.6363 </t>
  </si>
  <si>
    <t xml:space="preserve">C:\Users\andre\Desktop\REACTIV CEFAS\Testosterone\Testosterone/20201118_Cefas_Test6-Run3/Plate 2/@12/E6_03.tif </t>
  </si>
  <si>
    <t xml:space="preserve"> 46.461 </t>
  </si>
  <si>
    <t xml:space="preserve">C:\Users\andre\Desktop\REACTIV CEFAS\Testosterone\Testosterone/20201118_Cefas_Test6-Run3/Plate 2/@12/F6_01.tif </t>
  </si>
  <si>
    <t xml:space="preserve"> 65430.4313 </t>
  </si>
  <si>
    <t xml:space="preserve"> 45.1709 </t>
  </si>
  <si>
    <t xml:space="preserve">C:\Users\andre\Desktop\REACTIV CEFAS\Testosterone\Testosterone/20201118_Cefas_Test6-Run3/Plate 2/@12/F6_02.tif </t>
  </si>
  <si>
    <t xml:space="preserve"> 67247.3424 </t>
  </si>
  <si>
    <t xml:space="preserve"> 44.816 </t>
  </si>
  <si>
    <t xml:space="preserve">C:\Users\andre\Desktop\REACTIV CEFAS\Testosterone\Testosterone/20201118_Cefas_Test6-Run3/Plate 2/@12/F6_03.tif </t>
  </si>
  <si>
    <t xml:space="preserve"> 68350.467 </t>
  </si>
  <si>
    <t xml:space="preserve"> 45.0804 </t>
  </si>
  <si>
    <t xml:space="preserve">C:\Users\andre\Desktop\REACTIV CEFAS\Testosterone\Testosterone/20201118_Cefas_Test6-Run3/Plate 2/@12/G6_01.tif </t>
  </si>
  <si>
    <t xml:space="preserve"> 51089.8111 </t>
  </si>
  <si>
    <t xml:space="preserve"> 35.9979 </t>
  </si>
  <si>
    <t xml:space="preserve">C:\Users\andre\Desktop\REACTIV CEFAS\Testosterone\Testosterone/20201118_Cefas_Test6-Run3/Plate 2/@12/G6_02.tif </t>
  </si>
  <si>
    <t xml:space="preserve"> 36.0464 </t>
  </si>
  <si>
    <t xml:space="preserve">C:\Users\andre\Desktop\REACTIV CEFAS\Testosterone\Testosterone/20201118_Cefas_Test6-Run3/Plate 2/@12/G6_03.tif </t>
  </si>
  <si>
    <t xml:space="preserve"> 62964.6233 </t>
  </si>
  <si>
    <t xml:space="preserve"> 39.9481 </t>
  </si>
  <si>
    <t xml:space="preserve">C:\Users\andre\Desktop\REACTIV CEFAS\Testosterone\Testosterone/20201118_Cefas_Test6-Run3/Plate 2/@12/H6_01.tif </t>
  </si>
  <si>
    <t xml:space="preserve"> 48.5983 </t>
  </si>
  <si>
    <t xml:space="preserve">C:\Users\andre\Desktop\REACTIV CEFAS\Testosterone\Testosterone/20201118_Cefas_Test6-Run3/Plate 2/@12/H6_02.tif </t>
  </si>
  <si>
    <t xml:space="preserve"> 67615.0506 </t>
  </si>
  <si>
    <t xml:space="preserve"> 50.9581 </t>
  </si>
  <si>
    <t xml:space="preserve">C:\Users\andre\Desktop\REACTIV CEFAS\Testosterone\Testosterone/20201118_Cefas_Test6-Run3/Plate 2/@12/H6_03.tif </t>
  </si>
  <si>
    <t xml:space="preserve"> 68999.3639 </t>
  </si>
  <si>
    <t xml:space="preserve"> 52.4787 </t>
  </si>
  <si>
    <t xml:space="preserve">C:\Users\andre\Desktop\REACTIV CEFAS\Testosterone\Testosterone/20201118_Cefas_Test6-Run3/Plate 2/@12/ </t>
  </si>
  <si>
    <t xml:space="preserve"> 47.1991 </t>
  </si>
  <si>
    <t xml:space="preserve"> 4.6613 </t>
  </si>
  <si>
    <t xml:space="preserve"> 3111746.96 </t>
  </si>
  <si>
    <t xml:space="preserve"> 783078.257 </t>
  </si>
  <si>
    <t xml:space="preserve">C:\Users\andre\Desktop\REACTIV CEFAS\Testosterone\Testosterone/20201118_Cefas_Test6-Run3/Plate 2/@17/A8_01.tif </t>
  </si>
  <si>
    <t xml:space="preserve"> 32.0259 </t>
  </si>
  <si>
    <t xml:space="preserve">C:\Users\andre\Desktop\REACTIV CEFAS\Testosterone\Testosterone/20201118_Cefas_Test6-Run3/Plate 2/@17/A8_02.tif </t>
  </si>
  <si>
    <t xml:space="preserve"> 8284.2496 </t>
  </si>
  <si>
    <t xml:space="preserve"> 32.1828 </t>
  </si>
  <si>
    <t xml:space="preserve">C:\Users\andre\Desktop\REACTIV CEFAS\Testosterone\Testosterone/20201118_Cefas_Test6-Run3/Plate 2/@17/A8_03.tif </t>
  </si>
  <si>
    <t xml:space="preserve"> 31.9515 </t>
  </si>
  <si>
    <t xml:space="preserve">C:\Users\andre\Desktop\REACTIV CEFAS\Testosterone\Testosterone/20201118_Cefas_Test6-Run3/Plate 2/@17/B8_01.tif </t>
  </si>
  <si>
    <t xml:space="preserve"> 34.9049 </t>
  </si>
  <si>
    <t xml:space="preserve">C:\Users\andre\Desktop\REACTIV CEFAS\Testosterone\Testosterone/20201118_Cefas_Test6-Run3/Plate 2/@17/B8_02.tif </t>
  </si>
  <si>
    <t xml:space="preserve"> 20159.0618 </t>
  </si>
  <si>
    <t xml:space="preserve"> 35.2575 </t>
  </si>
  <si>
    <t xml:space="preserve">C:\Users\andre\Desktop\REACTIV CEFAS\Testosterone\Testosterone/20201118_Cefas_Test6-Run3/Plate 2/@17/B8_03.tif </t>
  </si>
  <si>
    <t xml:space="preserve"> 17260.6559 </t>
  </si>
  <si>
    <t xml:space="preserve"> 36.3045 </t>
  </si>
  <si>
    <t xml:space="preserve">C:\Users\andre\Desktop\REACTIV CEFAS\Testosterone\Testosterone/20201118_Cefas_Test6-Run3/Plate 2/@17/C8_01.tif </t>
  </si>
  <si>
    <t xml:space="preserve"> 64024.4881 </t>
  </si>
  <si>
    <t xml:space="preserve"> 38.9378 </t>
  </si>
  <si>
    <t xml:space="preserve">C:\Users\andre\Desktop\REACTIV CEFAS\Testosterone\Testosterone/20201118_Cefas_Test6-Run3/Plate 2/@17/C8_02.tif </t>
  </si>
  <si>
    <t xml:space="preserve"> 58530.4949 </t>
  </si>
  <si>
    <t xml:space="preserve"> 38.7683 </t>
  </si>
  <si>
    <t xml:space="preserve">C:\Users\andre\Desktop\REACTIV CEFAS\Testosterone\Testosterone/20201118_Cefas_Test6-Run3/Plate 2/@17/C8_03.tif </t>
  </si>
  <si>
    <t xml:space="preserve"> 39.6658 </t>
  </si>
  <si>
    <t>C:\Users\andre\Desktop\REACTIV CEFAS\Testosterone\Testosterone/20201118_Cefas_Test6-Run3/Plate 2/@17/D8_01- exclu.tif</t>
  </si>
  <si>
    <t>C:\Users\andre\Desktop\REACTIV CEFAS\Testosterone\Testosterone/20201118_Cefas_Test6-Run3/Plate 2/@17/D8_02- exclu.tif</t>
  </si>
  <si>
    <t>C:\Users\andre\Desktop\REACTIV CEFAS\Testosterone\Testosterone/20201118_Cefas_Test6-Run3/Plate 2/@17/D8_03- exclu.tif</t>
  </si>
  <si>
    <t xml:space="preserve">C:\Users\andre\Desktop\REACTIV CEFAS\Testosterone\Testosterone/20201118_Cefas_Test6-Run3/Plate 2/@17/E8_01.tif </t>
  </si>
  <si>
    <t xml:space="preserve"> 36251.7034 </t>
  </si>
  <si>
    <t xml:space="preserve"> 36.6706 </t>
  </si>
  <si>
    <t xml:space="preserve">C:\Users\andre\Desktop\REACTIV CEFAS\Testosterone\Testosterone/20201118_Cefas_Test6-Run3/Plate 2/@17/E8_02.tif </t>
  </si>
  <si>
    <t xml:space="preserve"> 35.5429 </t>
  </si>
  <si>
    <t xml:space="preserve">C:\Users\andre\Desktop\REACTIV CEFAS\Testosterone\Testosterone/20201118_Cefas_Test6-Run3/Plate 2/@17/E8_03.tif </t>
  </si>
  <si>
    <t xml:space="preserve"> 35.5139 </t>
  </si>
  <si>
    <t xml:space="preserve">C:\Users\andre\Desktop\REACTIV CEFAS\Testosterone\Testosterone/20201118_Cefas_Test6-Run3/Plate 2/@17/F8_01.tif </t>
  </si>
  <si>
    <t xml:space="preserve"> 54788.5231 </t>
  </si>
  <si>
    <t xml:space="preserve"> 38.0225 </t>
  </si>
  <si>
    <t xml:space="preserve">C:\Users\andre\Desktop\REACTIV CEFAS\Testosterone\Testosterone/20201118_Cefas_Test6-Run3/Plate 2/@17/F8_02.tif </t>
  </si>
  <si>
    <t xml:space="preserve"> 54593.854 </t>
  </si>
  <si>
    <t xml:space="preserve"> 40.6177 </t>
  </si>
  <si>
    <t xml:space="preserve">C:\Users\andre\Desktop\REACTIV CEFAS\Testosterone\Testosterone/20201118_Cefas_Test6-Run3/Plate 2/@17/F8_03.tif </t>
  </si>
  <si>
    <t xml:space="preserve"> 38.2423 </t>
  </si>
  <si>
    <t xml:space="preserve">C:\Users\andre\Desktop\REACTIV CEFAS\Testosterone\Testosterone/20201118_Cefas_Test6-Run3/Plate 2/@17/G8_01.tif </t>
  </si>
  <si>
    <t xml:space="preserve"> 37.1418 </t>
  </si>
  <si>
    <t xml:space="preserve">C:\Users\andre\Desktop\REACTIV CEFAS\Testosterone\Testosterone/20201118_Cefas_Test6-Run3/Plate 2/@17/G8_02.tif </t>
  </si>
  <si>
    <t xml:space="preserve"> 36.3935 </t>
  </si>
  <si>
    <t xml:space="preserve">C:\Users\andre\Desktop\REACTIV CEFAS\Testosterone\Testosterone/20201118_Cefas_Test6-Run3/Plate 2/@17/G8_03.tif </t>
  </si>
  <si>
    <t xml:space="preserve"> 5342.584 </t>
  </si>
  <si>
    <t xml:space="preserve"> 35.5749 </t>
  </si>
  <si>
    <t xml:space="preserve">C:\Users\andre\Desktop\REACTIV CEFAS\Testosterone\Testosterone/20201118_Cefas_Test6-Run3/Plate 2/@17/H8_01.tif </t>
  </si>
  <si>
    <t xml:space="preserve"> 3828.4913 </t>
  </si>
  <si>
    <t xml:space="preserve"> 32.9548 </t>
  </si>
  <si>
    <t xml:space="preserve">C:\Users\andre\Desktop\REACTIV CEFAS\Testosterone\Testosterone/20201118_Cefas_Test6-Run3/Plate 2/@17/H8_02.tif </t>
  </si>
  <si>
    <t xml:space="preserve"> 1687.1318 </t>
  </si>
  <si>
    <t xml:space="preserve"> 32.5256 </t>
  </si>
  <si>
    <t xml:space="preserve">C:\Users\andre\Desktop\REACTIV CEFAS\Testosterone\Testosterone/20201118_Cefas_Test6-Run3/Plate 2/@17/H8_03.tif </t>
  </si>
  <si>
    <t xml:space="preserve"> 31.3871 </t>
  </si>
  <si>
    <t xml:space="preserve">C:\Users\andre\Desktop\REACTIV CEFAS\Testosterone\Testosterone/20201118_Cefas_Test6-Run3/Plate 2/@17/ </t>
  </si>
  <si>
    <t xml:space="preserve"> 32.6078 </t>
  </si>
  <si>
    <t xml:space="preserve"> 10.396 </t>
  </si>
  <si>
    <t xml:space="preserve"> 867908.5 </t>
  </si>
  <si>
    <t xml:space="preserve"> 927249.663 </t>
  </si>
  <si>
    <t xml:space="preserve">C:\Users\andre\Desktop\REACTIV CEFAS\Testosterone\Testosterone/20201118_Cefas_Test6-Run3/Plate 2/@18/A9_01.tif </t>
  </si>
  <si>
    <t xml:space="preserve"> 33569.5965 </t>
  </si>
  <si>
    <t xml:space="preserve"> 34.7268 </t>
  </si>
  <si>
    <t>C:\Users\andre\Desktop\REACTIV CEFAS\Testosterone\Testosterone/20201118_Cefas_Test6-Run3/Plate 2/@18/A9_02- exclu.tif</t>
  </si>
  <si>
    <t xml:space="preserve">C:\Users\andre\Desktop\REACTIV CEFAS\Testosterone\Testosterone/20201118_Cefas_Test6-Run3/Plate 2/@18/A9_03.tif </t>
  </si>
  <si>
    <t xml:space="preserve"> 31514.7565 </t>
  </si>
  <si>
    <t xml:space="preserve"> 34.5402 </t>
  </si>
  <si>
    <t xml:space="preserve">C:\Users\andre\Desktop\REACTIV CEFAS\Testosterone\Testosterone/20201118_Cefas_Test6-Run3/Plate 2/@18/B9_01.tif </t>
  </si>
  <si>
    <t xml:space="preserve"> 74125.6489 </t>
  </si>
  <si>
    <t xml:space="preserve"> 42.445 </t>
  </si>
  <si>
    <t xml:space="preserve">C:\Users\andre\Desktop\REACTIV CEFAS\Testosterone\Testosterone/20201118_Cefas_Test6-Run3/Plate 2/@18/B9_02.tif </t>
  </si>
  <si>
    <t xml:space="preserve"> 74039.1293 </t>
  </si>
  <si>
    <t xml:space="preserve"> 40.6448 </t>
  </si>
  <si>
    <t xml:space="preserve">C:\Users\andre\Desktop\REACTIV CEFAS\Testosterone\Testosterone/20201118_Cefas_Test6-Run3/Plate 2/@18/B9_03.tif </t>
  </si>
  <si>
    <t xml:space="preserve"> 70621.606 </t>
  </si>
  <si>
    <t xml:space="preserve"> 41.2352 </t>
  </si>
  <si>
    <t xml:space="preserve">C:\Users\andre\Desktop\REACTIV CEFAS\Testosterone\Testosterone/20201118_Cefas_Test6-Run3/Plate 2/@18/C9_01.tif </t>
  </si>
  <si>
    <t xml:space="preserve"> 47975.1063 </t>
  </si>
  <si>
    <t xml:space="preserve"> 36.2236 </t>
  </si>
  <si>
    <t xml:space="preserve">C:\Users\andre\Desktop\REACTIV CEFAS\Testosterone\Testosterone/20201118_Cefas_Test6-Run3/Plate 2/@18/C9_02.tif </t>
  </si>
  <si>
    <t xml:space="preserve"> 46504.2735 </t>
  </si>
  <si>
    <t xml:space="preserve"> 35.0633 </t>
  </si>
  <si>
    <t xml:space="preserve">C:\Users\andre\Desktop\REACTIV CEFAS\Testosterone\Testosterone/20201118_Cefas_Test6-Run3/Plate 2/@18/C9_03.tif </t>
  </si>
  <si>
    <t xml:space="preserve"> 51284.4802 </t>
  </si>
  <si>
    <t xml:space="preserve"> 35.1092 </t>
  </si>
  <si>
    <t xml:space="preserve">C:\Users\andre\Desktop\REACTIV CEFAS\Testosterone\Testosterone/20201118_Cefas_Test6-Run3/Plate 2/@18/D9_01.tif </t>
  </si>
  <si>
    <t xml:space="preserve"> 34240.1232 </t>
  </si>
  <si>
    <t xml:space="preserve"> 34.6715 </t>
  </si>
  <si>
    <t xml:space="preserve">C:\Users\andre\Desktop\REACTIV CEFAS\Testosterone\Testosterone/20201118_Cefas_Test6-Run3/Plate 2/@18/D9_02.tif </t>
  </si>
  <si>
    <t xml:space="preserve">C:\Users\andre\Desktop\REACTIV CEFAS\Testosterone\Testosterone/20201118_Cefas_Test6-Run3/Plate 2/@18/D9_03.tif </t>
  </si>
  <si>
    <t xml:space="preserve"> 29957.4041 </t>
  </si>
  <si>
    <t xml:space="preserve"> 32.8484 </t>
  </si>
  <si>
    <t>C:\Users\andre\Desktop\REACTIV CEFAS\Testosterone\Testosterone/20201118_Cefas_Test6-Run3/Plate 2/@18/E9_01- exclu.tif</t>
  </si>
  <si>
    <t xml:space="preserve">C:\Users\andre\Desktop\REACTIV CEFAS\Testosterone\Testosterone/20201118_Cefas_Test6-Run3/Plate 2/@18/E9_02.tif </t>
  </si>
  <si>
    <t xml:space="preserve"> 36.6942 </t>
  </si>
  <si>
    <t>C:\Users\andre\Desktop\REACTIV CEFAS\Testosterone\Testosterone/20201118_Cefas_Test6-Run3/Plate 2/@18/E9_03- exclu.tif</t>
  </si>
  <si>
    <t xml:space="preserve">C:\Users\andre\Desktop\REACTIV CEFAS\Testosterone\Testosterone/20201118_Cefas_Test6-Run3/Plate 2/@18/F9_01.tif </t>
  </si>
  <si>
    <t xml:space="preserve"> 32.5426 </t>
  </si>
  <si>
    <t xml:space="preserve">C:\Users\andre\Desktop\REACTIV CEFAS\Testosterone\Testosterone/20201118_Cefas_Test6-Run3/Plate 2/@18/F9_02.tif </t>
  </si>
  <si>
    <t xml:space="preserve"> 1989.9503 </t>
  </si>
  <si>
    <t xml:space="preserve"> 32.087 </t>
  </si>
  <si>
    <t>C:\Users\andre\Desktop\REACTIV CEFAS\Testosterone\Testosterone/20201118_Cefas_Test6-Run3/Plate 2/@18/F9_03- exclu.tif</t>
  </si>
  <si>
    <t>C:\Users\andre\Desktop\REACTIV CEFAS\Testosterone\Testosterone/20201118_Cefas_Test6-Run3/Plate 2/@18/G9_01- exclu.tif</t>
  </si>
  <si>
    <t>C:\Users\andre\Desktop\REACTIV CEFAS\Testosterone\Testosterone/20201118_Cefas_Test6-Run3/Plate 2/@18/G9_02- exclu.tif</t>
  </si>
  <si>
    <t xml:space="preserve">C:\Users\andre\Desktop\REACTIV CEFAS\Testosterone\Testosterone/20201118_Cefas_Test6-Run3/Plate 2/@18/G9_03.tif </t>
  </si>
  <si>
    <t xml:space="preserve"> 33.4403 </t>
  </si>
  <si>
    <t xml:space="preserve">C:\Users\andre\Desktop\REACTIV CEFAS\Testosterone\Testosterone/20201118_Cefas_Test6-Run3/Plate 2/@18/H9_01.tif </t>
  </si>
  <si>
    <t xml:space="preserve"> 76331.8981 </t>
  </si>
  <si>
    <t xml:space="preserve"> 41.9932 </t>
  </si>
  <si>
    <t xml:space="preserve">C:\Users\andre\Desktop\REACTIV CEFAS\Testosterone\Testosterone/20201118_Cefas_Test6-Run3/Plate 2/@18/H9_02.tif </t>
  </si>
  <si>
    <t xml:space="preserve"> 67679.9403 </t>
  </si>
  <si>
    <t xml:space="preserve"> 38.6814 </t>
  </si>
  <si>
    <t xml:space="preserve">C:\Users\andre\Desktop\REACTIV CEFAS\Testosterone\Testosterone/20201118_Cefas_Test6-Run3/Plate 2/@18/H9_03.tif </t>
  </si>
  <si>
    <t xml:space="preserve"> 68199.0578 </t>
  </si>
  <si>
    <t xml:space="preserve">C:\Users\andre\Desktop\REACTIV CEFAS\Testosterone\Testosterone/20201118_Cefas_Test6-Run3/Plate 2/@18/ </t>
  </si>
  <si>
    <t xml:space="preserve"> 36.7756 </t>
  </si>
  <si>
    <t xml:space="preserve"> 3.9209 </t>
  </si>
  <si>
    <t xml:space="preserve"> 1412434.83 </t>
  </si>
  <si>
    <t xml:space="preserve"> 1029256.45 </t>
  </si>
  <si>
    <t>C:\Users\andre\Desktop\REACTIV CEFAS\Testosterone\Testosterone/20201118_Cefas_Test6-Run3/Plate 2/@19/A10_01- exclu.tif</t>
  </si>
  <si>
    <t xml:space="preserve">C:\Users\andre\Desktop\REACTIV CEFAS\Testosterone\Testosterone/20201118_Cefas_Test6-Run3/Plate 2/@19/A10_02.tif </t>
  </si>
  <si>
    <t xml:space="preserve"> 72416.8872 </t>
  </si>
  <si>
    <t xml:space="preserve"> 41.2614 </t>
  </si>
  <si>
    <t xml:space="preserve">C:\Users\andre\Desktop\REACTIV CEFAS\Testosterone\Testosterone/20201118_Cefas_Test6-Run3/Plate 2/@19/A10_03.tif </t>
  </si>
  <si>
    <t xml:space="preserve"> 56151.2065 </t>
  </si>
  <si>
    <t xml:space="preserve"> 36.2477 </t>
  </si>
  <si>
    <t xml:space="preserve">C:\Users\andre\Desktop\REACTIV CEFAS\Testosterone\Testosterone/20201118_Cefas_Test6-Run3/Plate 2/@19/B10_01.tif </t>
  </si>
  <si>
    <t xml:space="preserve"> 32.6792 </t>
  </si>
  <si>
    <t xml:space="preserve">C:\Users\andre\Desktop\REACTIV CEFAS\Testosterone\Testosterone/20201118_Cefas_Test6-Run3/Plate 2/@19/B10_02.tif </t>
  </si>
  <si>
    <t xml:space="preserve"> 33.7853 </t>
  </si>
  <si>
    <t xml:space="preserve">C:\Users\andre\Desktop\REACTIV CEFAS\Testosterone\Testosterone/20201118_Cefas_Test6-Run3/Plate 2/@19/B10_03.tif </t>
  </si>
  <si>
    <t xml:space="preserve"> 35.6942 </t>
  </si>
  <si>
    <t xml:space="preserve">C:\Users\andre\Desktop\REACTIV CEFAS\Testosterone\Testosterone/20201118_Cefas_Test6-Run3/Plate 2/@19/C10_01.tif </t>
  </si>
  <si>
    <t xml:space="preserve"> 72849.4851 </t>
  </si>
  <si>
    <t xml:space="preserve"> 51.948 </t>
  </si>
  <si>
    <t xml:space="preserve">C:\Users\andre\Desktop\REACTIV CEFAS\Testosterone\Testosterone/20201118_Cefas_Test6-Run3/Plate 2/@19/C10_02.tif </t>
  </si>
  <si>
    <t xml:space="preserve"> 65927.9188 </t>
  </si>
  <si>
    <t xml:space="preserve"> 49.8776 </t>
  </si>
  <si>
    <t xml:space="preserve">C:\Users\andre\Desktop\REACTIV CEFAS\Testosterone\Testosterone/20201118_Cefas_Test6-Run3/Plate 2/@19/C10_03.tif </t>
  </si>
  <si>
    <t xml:space="preserve"> 78559.7773 </t>
  </si>
  <si>
    <t xml:space="preserve"> 50.0647 </t>
  </si>
  <si>
    <t xml:space="preserve">C:\Users\andre\Desktop\REACTIV CEFAS\Testosterone\Testosterone/20201118_Cefas_Test6-Run3/Plate 2/@19/D10_01.tif </t>
  </si>
  <si>
    <t xml:space="preserve"> 10706.7978 </t>
  </si>
  <si>
    <t xml:space="preserve"> 35.0343 </t>
  </si>
  <si>
    <t xml:space="preserve">C:\Users\andre\Desktop\REACTIV CEFAS\Testosterone\Testosterone/20201118_Cefas_Test6-Run3/Plate 2/@19/D10_02.tif </t>
  </si>
  <si>
    <t xml:space="preserve"> 12523.709 </t>
  </si>
  <si>
    <t xml:space="preserve"> 34.7858 </t>
  </si>
  <si>
    <t xml:space="preserve">C:\Users\andre\Desktop\REACTIV CEFAS\Testosterone\Testosterone/20201118_Cefas_Test6-Run3/Plate 2/@19/D10_03.tif </t>
  </si>
  <si>
    <t xml:space="preserve"> 33.7786 </t>
  </si>
  <si>
    <t xml:space="preserve">C:\Users\andre\Desktop\REACTIV CEFAS\Testosterone\Testosterone/20201118_Cefas_Test6-Run3/Plate 2/@19/E10_01.tif </t>
  </si>
  <si>
    <t xml:space="preserve"> 79230.304 </t>
  </si>
  <si>
    <t xml:space="preserve"> 50.1936 </t>
  </si>
  <si>
    <t xml:space="preserve">C:\Users\andre\Desktop\REACTIV CEFAS\Testosterone\Testosterone/20201118_Cefas_Test6-Run3/Plate 2/@19/E10_02.tif </t>
  </si>
  <si>
    <t xml:space="preserve"> 65971.1786 </t>
  </si>
  <si>
    <t xml:space="preserve"> 50.2593 </t>
  </si>
  <si>
    <t xml:space="preserve">C:\Users\andre\Desktop\REACTIV CEFAS\Testosterone\Testosterone/20201118_Cefas_Test6-Run3/Plate 2/@19/E10_03.tif </t>
  </si>
  <si>
    <t xml:space="preserve"> 80636.2472 </t>
  </si>
  <si>
    <t xml:space="preserve"> 49.901 </t>
  </si>
  <si>
    <t xml:space="preserve">C:\Users\andre\Desktop\REACTIV CEFAS\Testosterone\Testosterone/20201118_Cefas_Test6-Run3/Plate 2/@19/F10_01.tif </t>
  </si>
  <si>
    <t xml:space="preserve"> 51219.5905 </t>
  </si>
  <si>
    <t xml:space="preserve"> 35.6068 </t>
  </si>
  <si>
    <t xml:space="preserve">C:\Users\andre\Desktop\REACTIV CEFAS\Testosterone\Testosterone/20201118_Cefas_Test6-Run3/Plate 2/@19/F10_02.tif </t>
  </si>
  <si>
    <t xml:space="preserve"> 47153.1703 </t>
  </si>
  <si>
    <t xml:space="preserve"> 34.794 </t>
  </si>
  <si>
    <t xml:space="preserve">C:\Users\andre\Desktop\REACTIV CEFAS\Testosterone\Testosterone/20201118_Cefas_Test6-Run3/Plate 2/@19/F10_03.tif </t>
  </si>
  <si>
    <t xml:space="preserve"> 51392.6296 </t>
  </si>
  <si>
    <t xml:space="preserve"> 34.4899 </t>
  </si>
  <si>
    <t xml:space="preserve">C:\Users\andre\Desktop\REACTIV CEFAS\Testosterone\Testosterone/20201118_Cefas_Test6-Run3/Plate 2/@19/G10_01.tif </t>
  </si>
  <si>
    <t xml:space="preserve"> 39.5164 </t>
  </si>
  <si>
    <t xml:space="preserve">C:\Users\andre\Desktop\REACTIV CEFAS\Testosterone\Testosterone/20201118_Cefas_Test6-Run3/Plate 2/@19/G10_02.tif </t>
  </si>
  <si>
    <t xml:space="preserve"> 44730.6221 </t>
  </si>
  <si>
    <t xml:space="preserve"> 37.1804 </t>
  </si>
  <si>
    <t xml:space="preserve">C:\Users\andre\Desktop\REACTIV CEFAS\Testosterone\Testosterone/20201118_Cefas_Test6-Run3/Plate 2/@19/G10_03.tif </t>
  </si>
  <si>
    <t xml:space="preserve"> 41767.3265 </t>
  </si>
  <si>
    <t xml:space="preserve"> 35.8949 </t>
  </si>
  <si>
    <t xml:space="preserve">C:\Users\andre\Desktop\REACTIV CEFAS\Testosterone\Testosterone/20201118_Cefas_Test6-Run3/Plate 2/@19/H10_01.tif </t>
  </si>
  <si>
    <t xml:space="preserve"> 41.4971 </t>
  </si>
  <si>
    <t xml:space="preserve">C:\Users\andre\Desktop\REACTIV CEFAS\Testosterone\Testosterone/20201118_Cefas_Test6-Run3/Plate 2/@19/H10_02.tif </t>
  </si>
  <si>
    <t xml:space="preserve"> 41.7379 </t>
  </si>
  <si>
    <t xml:space="preserve">C:\Users\andre\Desktop\REACTIV CEFAS\Testosterone\Testosterone/20201118_Cefas_Test6-Run3/Plate 2/@19/H10_03.tif </t>
  </si>
  <si>
    <t xml:space="preserve"> 81501.443 </t>
  </si>
  <si>
    <t xml:space="preserve"> 46.1075 </t>
  </si>
  <si>
    <t xml:space="preserve">C:\Users\andre\Desktop\REACTIV CEFAS\Testosterone\Testosterone/20201118_Cefas_Test6-Run3/Plate 2/@19/ </t>
  </si>
  <si>
    <t xml:space="preserve"> 40.723 </t>
  </si>
  <si>
    <t xml:space="preserve"> 6.6684 </t>
  </si>
  <si>
    <t xml:space="preserve"> 2136521.79 </t>
  </si>
  <si>
    <t xml:space="preserve"> 1370292.86 </t>
  </si>
  <si>
    <t xml:space="preserve">C:\Users\andre\Desktop\REACTIV CEFAS\Testosterone\Testosterone/20201118_Cefas_Test6-Run3/Plate 2/@20/A11_01.tif </t>
  </si>
  <si>
    <t xml:space="preserve"> 46.4418 </t>
  </si>
  <si>
    <t xml:space="preserve">C:\Users\andre\Desktop\REACTIV CEFAS\Testosterone\Testosterone/20201118_Cefas_Test6-Run3/Plate 2/@20/A11_02.tif </t>
  </si>
  <si>
    <t xml:space="preserve"> 50657.2132 </t>
  </si>
  <si>
    <t xml:space="preserve"> 49.8638 </t>
  </si>
  <si>
    <t xml:space="preserve">C:\Users\andre\Desktop\REACTIV CEFAS\Testosterone\Testosterone/20201118_Cefas_Test6-Run3/Plate 2/@20/A11_03.tif </t>
  </si>
  <si>
    <t xml:space="preserve"> 73282.083 </t>
  </si>
  <si>
    <t xml:space="preserve"> 48.9047 </t>
  </si>
  <si>
    <t xml:space="preserve">C:\Users\andre\Desktop\REACTIV CEFAS\Testosterone\Testosterone/20201118_Cefas_Test6-Run3/Plate 2/@20/B11_01.tif </t>
  </si>
  <si>
    <t xml:space="preserve"> 62856.4738 </t>
  </si>
  <si>
    <t xml:space="preserve"> 42.3224 </t>
  </si>
  <si>
    <t xml:space="preserve">C:\Users\andre\Desktop\REACTIV CEFAS\Testosterone\Testosterone/20201118_Cefas_Test6-Run3/Plate 2/@20/B11_02.tif </t>
  </si>
  <si>
    <t xml:space="preserve"> 60260.8864 </t>
  </si>
  <si>
    <t xml:space="preserve"> 41.4878 </t>
  </si>
  <si>
    <t xml:space="preserve">C:\Users\andre\Desktop\REACTIV CEFAS\Testosterone\Testosterone/20201118_Cefas_Test6-Run3/Plate 2/@20/B11_03.tif </t>
  </si>
  <si>
    <t xml:space="preserve"> 56951.5126 </t>
  </si>
  <si>
    <t xml:space="preserve"> 38.1238 </t>
  </si>
  <si>
    <t xml:space="preserve">C:\Users\andre\Desktop\REACTIV CEFAS\Testosterone\Testosterone/20201118_Cefas_Test6-Run3/Plate 2/@20/C11_01.tif </t>
  </si>
  <si>
    <t xml:space="preserve"> 38.0497 </t>
  </si>
  <si>
    <t xml:space="preserve">C:\Users\andre\Desktop\REACTIV CEFAS\Testosterone\Testosterone/20201118_Cefas_Test6-Run3/Plate 2/@20/C11_02.tif </t>
  </si>
  <si>
    <t xml:space="preserve"> 36.9465 </t>
  </si>
  <si>
    <t xml:space="preserve">C:\Users\andre\Desktop\REACTIV CEFAS\Testosterone\Testosterone/20201118_Cefas_Test6-Run3/Plate 2/@20/C11_03.tif </t>
  </si>
  <si>
    <t xml:space="preserve"> 58638.6443 </t>
  </si>
  <si>
    <t xml:space="preserve"> 40.5636 </t>
  </si>
  <si>
    <t xml:space="preserve">C:\Users\andre\Desktop\REACTIV CEFAS\Testosterone\Testosterone/20201118_Cefas_Test6-Run3/Plate 2/@20/D11_01.tif </t>
  </si>
  <si>
    <t xml:space="preserve"> 71443.542 </t>
  </si>
  <si>
    <t xml:space="preserve"> 43.2507 </t>
  </si>
  <si>
    <t xml:space="preserve">C:\Users\andre\Desktop\REACTIV CEFAS\Testosterone\Testosterone/20201118_Cefas_Test6-Run3/Plate 2/@20/D11_02.tif </t>
  </si>
  <si>
    <t xml:space="preserve"> 69583.371 </t>
  </si>
  <si>
    <t xml:space="preserve"> 49.0124 </t>
  </si>
  <si>
    <t xml:space="preserve">C:\Users\andre\Desktop\REACTIV CEFAS\Testosterone\Testosterone/20201118_Cefas_Test6-Run3/Plate 2/@20/D11_03.tif </t>
  </si>
  <si>
    <t xml:space="preserve"> 74623.1365 </t>
  </si>
  <si>
    <t xml:space="preserve"> 48.0043 </t>
  </si>
  <si>
    <t xml:space="preserve">C:\Users\andre\Desktop\REACTIV CEFAS\Testosterone\Testosterone/20201118_Cefas_Test6-Run3/Plate 2/@20/E11_01.tif </t>
  </si>
  <si>
    <t xml:space="preserve"> 78040.6598 </t>
  </si>
  <si>
    <t xml:space="preserve"> 46.0859 </t>
  </si>
  <si>
    <t xml:space="preserve">C:\Users\andre\Desktop\REACTIV CEFAS\Testosterone\Testosterone/20201118_Cefas_Test6-Run3/Plate 2/@20/E11_02.tif </t>
  </si>
  <si>
    <t xml:space="preserve"> 77651.3217 </t>
  </si>
  <si>
    <t xml:space="preserve"> 48.6766 </t>
  </si>
  <si>
    <t xml:space="preserve">C:\Users\andre\Desktop\REACTIV CEFAS\Testosterone\Testosterone/20201118_Cefas_Test6-Run3/Plate 2/@20/E11_03.tif </t>
  </si>
  <si>
    <t xml:space="preserve"> 47.4988 </t>
  </si>
  <si>
    <t xml:space="preserve">C:\Users\andre\Desktop\REACTIV CEFAS\Testosterone\Testosterone/20201118_Cefas_Test6-Run3/Plate 2/@20/F11_01.tif </t>
  </si>
  <si>
    <t xml:space="preserve"> 42113.4048 </t>
  </si>
  <si>
    <t xml:space="preserve"> 39.1284 </t>
  </si>
  <si>
    <t xml:space="preserve">C:\Users\andre\Desktop\REACTIV CEFAS\Testosterone\Testosterone/20201118_Cefas_Test6-Run3/Plate 2/@20/F11_02.tif </t>
  </si>
  <si>
    <t xml:space="preserve"> 37.3446 </t>
  </si>
  <si>
    <t xml:space="preserve">C:\Users\andre\Desktop\REACTIV CEFAS\Testosterone\Testosterone/20201118_Cefas_Test6-Run3/Plate 2/@20/F11_03.tif </t>
  </si>
  <si>
    <t xml:space="preserve"> 56973.1425 </t>
  </si>
  <si>
    <t xml:space="preserve"> 39.8246 </t>
  </si>
  <si>
    <t xml:space="preserve">C:\Users\andre\Desktop\REACTIV CEFAS\Testosterone\Testosterone/20201118_Cefas_Test6-Run3/Plate 2/@20/G11_01.tif </t>
  </si>
  <si>
    <t xml:space="preserve"> 25782.8344 </t>
  </si>
  <si>
    <t xml:space="preserve"> 40.5059 </t>
  </si>
  <si>
    <t>C:\Users\andre\Desktop\REACTIV CEFAS\Testosterone\Testosterone/20201118_Cefas_Test6-Run3/Plate 2/@20/G11_02- exclu.tif</t>
  </si>
  <si>
    <t>C:\Users\andre\Desktop\REACTIV CEFAS\Testosterone\Testosterone/20201118_Cefas_Test6-Run3/Plate 2/@20/G11_03- exclu.tif</t>
  </si>
  <si>
    <t>C:\Users\andre\Desktop\REACTIV CEFAS\Testosterone\Testosterone/20201118_Cefas_Test6-Run3/Plate 2/@20/H11_01- exclu.tif</t>
  </si>
  <si>
    <t xml:space="preserve">C:\Users\andre\Desktop\REACTIV CEFAS\Testosterone\Testosterone/20201118_Cefas_Test6-Run3/Plate 2/@20/H11_02.tif </t>
  </si>
  <si>
    <t xml:space="preserve"> 41.9386 </t>
  </si>
  <si>
    <t xml:space="preserve">C:\Users\andre\Desktop\REACTIV CEFAS\Testosterone\Testosterone/20201118_Cefas_Test6-Run3/Plate 2/@20/H11_03.tif </t>
  </si>
  <si>
    <t xml:space="preserve"> 52603.9037 </t>
  </si>
  <si>
    <t xml:space="preserve"> 39.9326 </t>
  </si>
  <si>
    <t xml:space="preserve">C:\Users\andre\Desktop\REACTIV CEFAS\Testosterone\Testosterone/20201118_Cefas_Test6-Run3/Plate 2/@20/ </t>
  </si>
  <si>
    <t xml:space="preserve"> 43.1126 </t>
  </si>
  <si>
    <t xml:space="preserve"> 4.1823 </t>
  </si>
  <si>
    <t xml:space="preserve"> 2481019.21 </t>
  </si>
  <si>
    <t xml:space="preserve"> 899698.505 </t>
  </si>
  <si>
    <t xml:space="preserve">C:\Users\andre\Desktop\REACTIV CEFAS\Testosterone\Testosterone/20201118_Cefas_Test6-Run3/Plate 2/@21/A12_01.tif </t>
  </si>
  <si>
    <t xml:space="preserve"> 42.7219 </t>
  </si>
  <si>
    <t xml:space="preserve">C:\Users\andre\Desktop\REACTIV CEFAS\Testosterone\Testosterone/20201118_Cefas_Test6-Run3/Plate 2/@21/A12_02.tif </t>
  </si>
  <si>
    <t xml:space="preserve"> 41832.2162 </t>
  </si>
  <si>
    <t xml:space="preserve"> 43.9281 </t>
  </si>
  <si>
    <t xml:space="preserve">C:\Users\andre\Desktop\REACTIV CEFAS\Testosterone\Testosterone/20201118_Cefas_Test6-Run3/Plate 2/@21/A12_03.tif </t>
  </si>
  <si>
    <t xml:space="preserve"> 43.3499 </t>
  </si>
  <si>
    <t xml:space="preserve">C:\Users\andre\Desktop\REACTIV CEFAS\Testosterone\Testosterone/20201118_Cefas_Test6-Run3/Plate 2/@21/B12_01.tif </t>
  </si>
  <si>
    <t xml:space="preserve"> 77283.6135 </t>
  </si>
  <si>
    <t xml:space="preserve"> 59.2457 </t>
  </si>
  <si>
    <t xml:space="preserve">C:\Users\andre\Desktop\REACTIV CEFAS\Testosterone\Testosterone/20201118_Cefas_Test6-Run3/Plate 2/@21/B12_02.tif </t>
  </si>
  <si>
    <t xml:space="preserve"> 61.4808 </t>
  </si>
  <si>
    <t xml:space="preserve">C:\Users\andre\Desktop\REACTIV CEFAS\Testosterone\Testosterone/20201118_Cefas_Test6-Run3/Plate 2/@21/B12_03.tif </t>
  </si>
  <si>
    <t xml:space="preserve"> 83750.952 </t>
  </si>
  <si>
    <t xml:space="preserve"> 57.1552 </t>
  </si>
  <si>
    <t xml:space="preserve">C:\Users\andre\Desktop\REACTIV CEFAS\Testosterone\Testosterone/20201118_Cefas_Test6-Run3/Plate 2/@21/C12_01.tif </t>
  </si>
  <si>
    <t xml:space="preserve"> 52.7049 </t>
  </si>
  <si>
    <t xml:space="preserve">C:\Users\andre\Desktop\REACTIV CEFAS\Testosterone\Testosterone/20201118_Cefas_Test6-Run3/Plate 2/@21/C12_02.tif </t>
  </si>
  <si>
    <t xml:space="preserve"> 55523.9395 </t>
  </si>
  <si>
    <t xml:space="preserve"> 58.3716 </t>
  </si>
  <si>
    <t xml:space="preserve">C:\Users\andre\Desktop\REACTIV CEFAS\Testosterone\Testosterone/20201118_Cefas_Test6-Run3/Plate 2/@21/C12_03.tif </t>
  </si>
  <si>
    <t xml:space="preserve"> 51.0195 </t>
  </si>
  <si>
    <t xml:space="preserve">C:\Users\andre\Desktop\REACTIV CEFAS\Testosterone\Testosterone/20201118_Cefas_Test6-Run3/Plate 2/@21/D12_01.tif </t>
  </si>
  <si>
    <t xml:space="preserve"> 58963.0928 </t>
  </si>
  <si>
    <t xml:space="preserve"> 43.8716 </t>
  </si>
  <si>
    <t xml:space="preserve">C:\Users\andre\Desktop\REACTIV CEFAS\Testosterone\Testosterone/20201118_Cefas_Test6-Run3/Plate 2/@21/D12_02.tif </t>
  </si>
  <si>
    <t xml:space="preserve"> 65062.723 </t>
  </si>
  <si>
    <t xml:space="preserve"> 47.8926 </t>
  </si>
  <si>
    <t xml:space="preserve">C:\Users\andre\Desktop\REACTIV CEFAS\Testosterone\Testosterone/20201118_Cefas_Test6-Run3/Plate 2/@21/D12_03.tif </t>
  </si>
  <si>
    <t xml:space="preserve"> 62575.2852 </t>
  </si>
  <si>
    <t xml:space="preserve"> 47.514 </t>
  </si>
  <si>
    <t xml:space="preserve">C:\Users\andre\Desktop\REACTIV CEFAS\Testosterone\Testosterone/20201118_Cefas_Test6-Run3/Plate 2/@21/E12_01.tif </t>
  </si>
  <si>
    <t xml:space="preserve"> 28789.3898 </t>
  </si>
  <si>
    <t xml:space="preserve"> 35.3103 </t>
  </si>
  <si>
    <t xml:space="preserve">C:\Users\andre\Desktop\REACTIV CEFAS\Testosterone\Testosterone/20201118_Cefas_Test6-Run3/Plate 2/@21/E12_02.tif </t>
  </si>
  <si>
    <t xml:space="preserve"> 41637.5472 </t>
  </si>
  <si>
    <t xml:space="preserve"> 35.8431 </t>
  </si>
  <si>
    <t>C:\Users\andre\Desktop\REACTIV CEFAS\Testosterone\Testosterone/20201118_Cefas_Test6-Run3/Plate 2/@21/E12_03- exclu.tif</t>
  </si>
  <si>
    <t xml:space="preserve">C:\Users\andre\Desktop\REACTIV CEFAS\Testosterone\Testosterone/20201118_Cefas_Test6-Run3/Plate 2/@21/F12_01.tif </t>
  </si>
  <si>
    <t xml:space="preserve"> 68545.1361 </t>
  </si>
  <si>
    <t xml:space="preserve"> 52.1335 </t>
  </si>
  <si>
    <t xml:space="preserve">C:\Users\andre\Desktop\REACTIV CEFAS\Testosterone\Testosterone/20201118_Cefas_Test6-Run3/Plate 2/@21/F12_02.tif </t>
  </si>
  <si>
    <t xml:space="preserve"> 64803.1643 </t>
  </si>
  <si>
    <t xml:space="preserve"> 48.6933 </t>
  </si>
  <si>
    <t xml:space="preserve">C:\Users\andre\Desktop\REACTIV CEFAS\Testosterone\Testosterone/20201118_Cefas_Test6-Run3/Plate 2/@21/F12_03.tif </t>
  </si>
  <si>
    <t xml:space="preserve"> 47.8701 </t>
  </si>
  <si>
    <t xml:space="preserve">C:\Users\andre\Desktop\REACTIV CEFAS\Testosterone\Testosterone/20201118_Cefas_Test6-Run3/Plate 2/@21/G12_01.tif </t>
  </si>
  <si>
    <t xml:space="preserve"> 45.4411 </t>
  </si>
  <si>
    <t xml:space="preserve">C:\Users\andre\Desktop\REACTIV CEFAS\Testosterone\Testosterone/20201118_Cefas_Test6-Run3/Plate 2/@21/G12_02.tif </t>
  </si>
  <si>
    <t xml:space="preserve"> 74947.5849 </t>
  </si>
  <si>
    <t xml:space="preserve"> 47.475 </t>
  </si>
  <si>
    <t xml:space="preserve">C:\Users\andre\Desktop\REACTIV CEFAS\Testosterone\Testosterone/20201118_Cefas_Test6-Run3/Plate 2/@21/G12_03.tif </t>
  </si>
  <si>
    <t xml:space="preserve"> 44.4281 </t>
  </si>
  <si>
    <t xml:space="preserve">C:\Users\andre\Desktop\REACTIV CEFAS\Testosterone\Testosterone/20201118_Cefas_Test6-Run3/Plate 2/@21/H12_01.tif </t>
  </si>
  <si>
    <t xml:space="preserve"> 47.112 </t>
  </si>
  <si>
    <t xml:space="preserve">C:\Users\andre\Desktop\REACTIV CEFAS\Testosterone\Testosterone/20201118_Cefas_Test6-Run3/Plate 2/@21/H12_02.tif </t>
  </si>
  <si>
    <t xml:space="preserve"> 56302.6157 </t>
  </si>
  <si>
    <t xml:space="preserve"> 45.6135 </t>
  </si>
  <si>
    <t xml:space="preserve">C:\Users\andre\Desktop\REACTIV CEFAS\Testosterone\Testosterone/20201118_Cefas_Test6-Run3/Plate 2/@21/H12_03.tif </t>
  </si>
  <si>
    <t xml:space="preserve"> 57189.4414 </t>
  </si>
  <si>
    <t xml:space="preserve"> 45.8896 </t>
  </si>
  <si>
    <t xml:space="preserve">C:\Users\andre\Desktop\REACTIV CEFAS\Testosterone\Testosterone/20201118_Cefas_Test6-Run3/Plate 2/@21/ </t>
  </si>
  <si>
    <t xml:space="preserve"> 47.6224 </t>
  </si>
  <si>
    <t xml:space="preserve"> 6.8215 </t>
  </si>
  <si>
    <t xml:space="preserve"> 2822710.25 </t>
  </si>
  <si>
    <t xml:space="preserve"> 1057879.93 </t>
  </si>
  <si>
    <t xml:space="preserve">C:\Users\andre\Desktop\REACTIV CEFAS\Testosterone\Testosterone/20201118_Cefas_Test6-Run3/Plate 2/@8/A2_01.tif </t>
  </si>
  <si>
    <t xml:space="preserve"> 39.6796 </t>
  </si>
  <si>
    <t xml:space="preserve">C:\Users\andre\Desktop\REACTIV CEFAS\Testosterone\Testosterone/20201118_Cefas_Test6-Run3/Plate 2/@8/A2_02.tif </t>
  </si>
  <si>
    <t xml:space="preserve"> 36.1899 </t>
  </si>
  <si>
    <t xml:space="preserve">C:\Users\andre\Desktop\REACTIV CEFAS\Testosterone\Testosterone/20201118_Cefas_Test6-Run3/Plate 2/@8/A2_03.tif </t>
  </si>
  <si>
    <t xml:space="preserve"> 12112.741 </t>
  </si>
  <si>
    <t xml:space="preserve"> 37.05 </t>
  </si>
  <si>
    <t xml:space="preserve">C:\Users\andre\Desktop\REACTIV CEFAS\Testosterone\Testosterone/20201118_Cefas_Test6-Run3/Plate 2/@8/B2_01.tif </t>
  </si>
  <si>
    <t xml:space="preserve"> 34.069 </t>
  </si>
  <si>
    <t xml:space="preserve">C:\Users\andre\Desktop\REACTIV CEFAS\Testosterone\Testosterone/20201118_Cefas_Test6-Run3/Plate 2/@8/B2_02.tif </t>
  </si>
  <si>
    <t xml:space="preserve"> 33.0132 </t>
  </si>
  <si>
    <t xml:space="preserve">C:\Users\andre\Desktop\REACTIV CEFAS\Testosterone\Testosterone/20201118_Cefas_Test6-Run3/Plate 2/@8/B2_03.tif </t>
  </si>
  <si>
    <t xml:space="preserve"> 36.0076 </t>
  </si>
  <si>
    <t xml:space="preserve">C:\Users\andre\Desktop\REACTIV CEFAS\Testosterone\Testosterone/20201118_Cefas_Test6-Run3/Plate 2/@8/C2_01.tif </t>
  </si>
  <si>
    <t xml:space="preserve"> 35.8012 </t>
  </si>
  <si>
    <t xml:space="preserve">C:\Users\andre\Desktop\REACTIV CEFAS\Testosterone\Testosterone/20201118_Cefas_Test6-Run3/Plate 2/@8/C2_02.tif </t>
  </si>
  <si>
    <t xml:space="preserve"> 5537.253 </t>
  </si>
  <si>
    <t xml:space="preserve"> 34.5195 </t>
  </si>
  <si>
    <t xml:space="preserve">C:\Users\andre\Desktop\REACTIV CEFAS\Testosterone\Testosterone/20201118_Cefas_Test6-Run3/Plate 2/@8/C2_03.tif </t>
  </si>
  <si>
    <t xml:space="preserve"> 3244.4842 </t>
  </si>
  <si>
    <t xml:space="preserve"> 34.9 </t>
  </si>
  <si>
    <t xml:space="preserve">C:\Users\andre\Desktop\REACTIV CEFAS\Testosterone\Testosterone/20201118_Cefas_Test6-Run3/Plate 2/@8/D2_01.tif </t>
  </si>
  <si>
    <t xml:space="preserve">C:\Users\andre\Desktop\REACTIV CEFAS\Testosterone\Testosterone/20201118_Cefas_Test6-Run3/Plate 2/@8/D2_02.tif </t>
  </si>
  <si>
    <t xml:space="preserve"> 30.9167 </t>
  </si>
  <si>
    <t xml:space="preserve">C:\Users\andre\Desktop\REACTIV CEFAS\Testosterone\Testosterone/20201118_Cefas_Test6-Run3/Plate 2/@8/D2_03.tif </t>
  </si>
  <si>
    <t xml:space="preserve"> 3114.7048 </t>
  </si>
  <si>
    <t xml:space="preserve"> 34.9722 </t>
  </si>
  <si>
    <t xml:space="preserve">C:\Users\andre\Desktop\REACTIV CEFAS\Testosterone\Testosterone/20201118_Cefas_Test6-Run3/Plate 2/@8/E2_01.tif </t>
  </si>
  <si>
    <t xml:space="preserve"> 3785.2316 </t>
  </si>
  <si>
    <t xml:space="preserve"> 34.4514 </t>
  </si>
  <si>
    <t xml:space="preserve">C:\Users\andre\Desktop\REACTIV CEFAS\Testosterone\Testosterone/20201118_Cefas_Test6-Run3/Plate 2/@8/E2_02.tif </t>
  </si>
  <si>
    <t xml:space="preserve"> 34.5172 </t>
  </si>
  <si>
    <t xml:space="preserve">C:\Users\andre\Desktop\REACTIV CEFAS\Testosterone\Testosterone/20201118_Cefas_Test6-Run3/Plate 2/@8/E2_03.tif </t>
  </si>
  <si>
    <t xml:space="preserve"> 6186.1499 </t>
  </si>
  <si>
    <t xml:space="preserve"> 35.014 </t>
  </si>
  <si>
    <t xml:space="preserve">C:\Users\andre\Desktop\REACTIV CEFAS\Testosterone\Testosterone/20201118_Cefas_Test6-Run3/Plate 2/@8/F2_01.tif </t>
  </si>
  <si>
    <t xml:space="preserve"> 5472.3633 </t>
  </si>
  <si>
    <t xml:space="preserve"> 40.7115 </t>
  </si>
  <si>
    <t xml:space="preserve">C:\Users\andre\Desktop\REACTIV CEFAS\Testosterone\Testosterone/20201118_Cefas_Test6-Run3/Plate 2/@8/F2_02.tif </t>
  </si>
  <si>
    <t xml:space="preserve">C:\Users\andre\Desktop\REACTIV CEFAS\Testosterone\Testosterone/20201118_Cefas_Test6-Run3/Plate 2/@8/F2_03.tif </t>
  </si>
  <si>
    <t xml:space="preserve"> 39.5176 </t>
  </si>
  <si>
    <t xml:space="preserve">C:\Users\andre\Desktop\REACTIV CEFAS\Testosterone\Testosterone/20201118_Cefas_Test6-Run3/Plate 2/@8/G2_01.tif </t>
  </si>
  <si>
    <t xml:space="preserve"> 35.0292 </t>
  </si>
  <si>
    <t xml:space="preserve">C:\Users\andre\Desktop\REACTIV CEFAS\Testosterone\Testosterone/20201118_Cefas_Test6-Run3/Plate 2/@8/G2_02.tif </t>
  </si>
  <si>
    <t xml:space="preserve"> 34.7177 </t>
  </si>
  <si>
    <t xml:space="preserve">C:\Users\andre\Desktop\REACTIV CEFAS\Testosterone\Testosterone/20201118_Cefas_Test6-Run3/Plate 2/@8/G2_03.tif </t>
  </si>
  <si>
    <t xml:space="preserve"> 37.3839 </t>
  </si>
  <si>
    <t xml:space="preserve">C:\Users\andre\Desktop\REACTIV CEFAS\Testosterone\Testosterone/20201118_Cefas_Test6-Run3/Plate 2/@8/H2_01.tif </t>
  </si>
  <si>
    <t xml:space="preserve"> 5191.1747 </t>
  </si>
  <si>
    <t xml:space="preserve"> 36.3875 </t>
  </si>
  <si>
    <t xml:space="preserve">C:\Users\andre\Desktop\REACTIV CEFAS\Testosterone\Testosterone/20201118_Cefas_Test6-Run3/Plate 2/@8/H2_02.tif </t>
  </si>
  <si>
    <t xml:space="preserve">C:\Users\andre\Desktop\REACTIV CEFAS\Testosterone\Testosterone/20201118_Cefas_Test6-Run3/Plate 2/@8/H2_03.tif </t>
  </si>
  <si>
    <t xml:space="preserve"> 7786.7621 </t>
  </si>
  <si>
    <t xml:space="preserve">C:\Users\andre\Desktop\REACTIV CEFAS\Testosterone\Testosterone/20201118_Cefas_Test6-Run3/Plate 2/@8/ </t>
  </si>
  <si>
    <t xml:space="preserve"> 35.3687 </t>
  </si>
  <si>
    <t xml:space="preserve"> 2.5099 </t>
  </si>
  <si>
    <t xml:space="preserve"> 175067.875 </t>
  </si>
  <si>
    <t xml:space="preserve"> 140989.226 </t>
  </si>
  <si>
    <t xml:space="preserve">C:\Users\andre\Desktop\REACTIV CEFAS\Testosterone\Testosterone/20201118_Cefas_Test6-Run3/Plate 2/@9/A3_01.tif </t>
  </si>
  <si>
    <t xml:space="preserve"> 23165.6171 </t>
  </si>
  <si>
    <t xml:space="preserve"> 36.5042 </t>
  </si>
  <si>
    <t xml:space="preserve">C:\Users\andre\Desktop\REACTIV CEFAS\Testosterone\Testosterone/20201118_Cefas_Test6-Run3/Plate 2/@9/A3_02.tif </t>
  </si>
  <si>
    <t xml:space="preserve"> 28464.9413 </t>
  </si>
  <si>
    <t xml:space="preserve"> 35.5175 </t>
  </si>
  <si>
    <t xml:space="preserve">C:\Users\andre\Desktop\REACTIV CEFAS\Testosterone\Testosterone/20201118_Cefas_Test6-Run3/Plate 2/@9/A3_03.tif </t>
  </si>
  <si>
    <t xml:space="preserve"> 29416.6567 </t>
  </si>
  <si>
    <t xml:space="preserve"> 35.7941 </t>
  </si>
  <si>
    <t xml:space="preserve">C:\Users\andre\Desktop\REACTIV CEFAS\Testosterone\Testosterone/20201118_Cefas_Test6-Run3/Plate 2/@9/B3_01.tif </t>
  </si>
  <si>
    <t xml:space="preserve"> 34.6542 </t>
  </si>
  <si>
    <t xml:space="preserve">C:\Users\andre\Desktop\REACTIV CEFAS\Testosterone\Testosterone/20201118_Cefas_Test6-Run3/Plate 2/@9/B3_02.tif </t>
  </si>
  <si>
    <t xml:space="preserve"> 2314.3987 </t>
  </si>
  <si>
    <t xml:space="preserve"> 32.4299 </t>
  </si>
  <si>
    <t xml:space="preserve">C:\Users\andre\Desktop\REACTIV CEFAS\Testosterone\Testosterone/20201118_Cefas_Test6-Run3/Plate 2/@9/B3_03.tif </t>
  </si>
  <si>
    <t xml:space="preserve"> 2249.509 </t>
  </si>
  <si>
    <t xml:space="preserve"> 32.1058 </t>
  </si>
  <si>
    <t xml:space="preserve">C:\Users\andre\Desktop\REACTIV CEFAS\Testosterone\Testosterone/20201118_Cefas_Test6-Run3/Plate 2/@9/C3_01.tif </t>
  </si>
  <si>
    <t xml:space="preserve"> 33.9709 </t>
  </si>
  <si>
    <t xml:space="preserve">C:\Users\andre\Desktop\REACTIV CEFAS\Testosterone\Testosterone/20201118_Cefas_Test6-Run3/Plate 2/@9/C3_02.tif </t>
  </si>
  <si>
    <t xml:space="preserve"> 13042.8265 </t>
  </si>
  <si>
    <t xml:space="preserve"> 36.9851 </t>
  </si>
  <si>
    <t xml:space="preserve">C:\Users\andre\Desktop\REACTIV CEFAS\Testosterone\Testosterone/20201118_Cefas_Test6-Run3/Plate 2/@9/C3_03.tif </t>
  </si>
  <si>
    <t xml:space="preserve"> 8695.2176 </t>
  </si>
  <si>
    <t xml:space="preserve"> 37.6866 </t>
  </si>
  <si>
    <t xml:space="preserve">C:\Users\andre\Desktop\REACTIV CEFAS\Testosterone\Testosterone/20201118_Cefas_Test6-Run3/Plate 2/@9/D3_01.tif </t>
  </si>
  <si>
    <t xml:space="preserve"> 3958.2707 </t>
  </si>
  <si>
    <t xml:space="preserve"> 35.8415 </t>
  </si>
  <si>
    <t xml:space="preserve">C:\Users\andre\Desktop\REACTIV CEFAS\Testosterone\Testosterone/20201118_Cefas_Test6-Run3/Plate 2/@9/D3_02.tif </t>
  </si>
  <si>
    <t xml:space="preserve"> 36.2846 </t>
  </si>
  <si>
    <t xml:space="preserve">C:\Users\andre\Desktop\REACTIV CEFAS\Testosterone\Testosterone/20201118_Cefas_Test6-Run3/Plate 2/@9/D3_03.tif </t>
  </si>
  <si>
    <t xml:space="preserve"> 39.6477 </t>
  </si>
  <si>
    <t xml:space="preserve">C:\Users\andre\Desktop\REACTIV CEFAS\Testosterone\Testosterone/20201118_Cefas_Test6-Run3/Plate 2/@9/E3_01.tif </t>
  </si>
  <si>
    <t xml:space="preserve"> 6467.3385 </t>
  </si>
  <si>
    <t xml:space="preserve"> 37.8729 </t>
  </si>
  <si>
    <t xml:space="preserve">C:\Users\andre\Desktop\REACTIV CEFAS\Testosterone\Testosterone/20201118_Cefas_Test6-Run3/Plate 2/@9/E3_02.tif </t>
  </si>
  <si>
    <t xml:space="preserve"> 35.9527 </t>
  </si>
  <si>
    <t xml:space="preserve">C:\Users\andre\Desktop\REACTIV CEFAS\Testosterone\Testosterone/20201118_Cefas_Test6-Run3/Plate 2/@9/E3_03.tif </t>
  </si>
  <si>
    <t xml:space="preserve"> 8003.061 </t>
  </si>
  <si>
    <t xml:space="preserve"> 38.4162 </t>
  </si>
  <si>
    <t>C:\Users\andre\Desktop\REACTIV CEFAS\Testosterone\Testosterone/20201118_Cefas_Test6-Run3/Plate 2/@9/F3_01- exclu.tif</t>
  </si>
  <si>
    <t xml:space="preserve">C:\Users\andre\Desktop\REACTIV CEFAS\Testosterone\Testosterone/20201118_Cefas_Test6-Run3/Plate 2/@9/F3_02.tif </t>
  </si>
  <si>
    <t xml:space="preserve"> 8587.0682 </t>
  </si>
  <si>
    <t xml:space="preserve"> 34.2267 </t>
  </si>
  <si>
    <t xml:space="preserve">C:\Users\andre\Desktop\REACTIV CEFAS\Testosterone\Testosterone/20201118_Cefas_Test6-Run3/Plate 2/@9/F3_03.tif </t>
  </si>
  <si>
    <t xml:space="preserve"> 40.5179 </t>
  </si>
  <si>
    <t xml:space="preserve">C:\Users\andre\Desktop\REACTIV CEFAS\Testosterone\Testosterone/20201118_Cefas_Test6-Run3/Plate 2/@9/G3_01.tif </t>
  </si>
  <si>
    <t xml:space="preserve"> 10230.9402 </t>
  </si>
  <si>
    <t xml:space="preserve"> 34.9091 </t>
  </si>
  <si>
    <t xml:space="preserve">C:\Users\andre\Desktop\REACTIV CEFAS\Testosterone\Testosterone/20201118_Cefas_Test6-Run3/Plate 2/@9/G3_02.tif </t>
  </si>
  <si>
    <t xml:space="preserve"> 34.5455 </t>
  </si>
  <si>
    <t xml:space="preserve">C:\Users\andre\Desktop\REACTIV CEFAS\Testosterone\Testosterone/20201118_Cefas_Test6-Run3/Plate 2/@9/G3_03.tif </t>
  </si>
  <si>
    <t xml:space="preserve"> 32.3267 </t>
  </si>
  <si>
    <t xml:space="preserve">C:\Users\andre\Desktop\REACTIV CEFAS\Testosterone\Testosterone/20201118_Cefas_Test6-Run3/Plate 2/@9/H3_01.tif </t>
  </si>
  <si>
    <t xml:space="preserve"> 25371.8664 </t>
  </si>
  <si>
    <t xml:space="preserve"> 34.9778 </t>
  </si>
  <si>
    <t xml:space="preserve">C:\Users\andre\Desktop\REACTIV CEFAS\Testosterone\Testosterone/20201118_Cefas_Test6-Run3/Plate 2/@9/H3_02.tif </t>
  </si>
  <si>
    <t xml:space="preserve"> 19185.7165 </t>
  </si>
  <si>
    <t xml:space="preserve"> 34.2999 </t>
  </si>
  <si>
    <t xml:space="preserve">C:\Users\andre\Desktop\REACTIV CEFAS\Testosterone\Testosterone/20201118_Cefas_Test6-Run3/Plate 2/@9/H3_03.tif </t>
  </si>
  <si>
    <t xml:space="preserve"> 28637.9805 </t>
  </si>
  <si>
    <t xml:space="preserve"> 39.2878 </t>
  </si>
  <si>
    <t xml:space="preserve">C:\Users\andre\Desktop\REACTIV CEFAS\Testosterone\Testosterone/20201118_Cefas_Test6-Run3/Plate 2/@9/ </t>
  </si>
  <si>
    <t xml:space="preserve"> 36.1449 </t>
  </si>
  <si>
    <t xml:space="preserve"> 2.6434 </t>
  </si>
  <si>
    <t xml:space="preserve"> 435009.542 </t>
  </si>
  <si>
    <t xml:space="preserve"> 326456.113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</si>
</sst>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43">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7" borderId="16" xfId="0" applyFill="1" applyBorder="1" applyAlignment="1">
      <alignment horizontal="center"/>
    </xf>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0" fontId="0" fillId="0" borderId="5"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164" fontId="7" fillId="12" borderId="6" xfId="0" applyNumberFormat="1" applyFont="1" applyFill="1" applyBorder="1" applyAlignment="1">
      <alignment horizontal="lef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164" fontId="0" fillId="7" borderId="3" xfId="0" applyNumberFormat="1" applyFill="1" applyBorder="1" applyAlignment="1">
      <alignment horizontal="center"/>
    </xf>
    <xf numFmtId="164" fontId="0" fillId="7" borderId="17"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0" fillId="0" borderId="0" xfId="0" applyNumberFormat="1" applyFont="1"/>
    <xf numFmtId="0" fontId="3" fillId="0" borderId="22" xfId="0" applyNumberFormat="1" applyFont="1" applyFill="1" applyBorder="1" applyAlignment="1">
      <alignment horizontal="center" vertical="center"/>
    </xf>
    <xf numFmtId="0" fontId="4" fillId="0" borderId="0" xfId="0" applyFont="1"/>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0" fontId="7" fillId="12" borderId="5"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164" fontId="7" fillId="12" borderId="5"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externalLink" Target="externalLinks/externalLink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pivotCacheDefinition" Target="pivotCache/pivotCacheDefinition4.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3.xml"/><Relationship Id="rId28" Type="http://schemas.openxmlformats.org/officeDocument/2006/relationships/calcChain" Target="calcChain.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2.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'R1'!$AD$48:$BA$48</c:f>
                <c:numCache>
                  <c:formatCode>General</c:formatCode>
                  <c:ptCount val="24"/>
                  <c:pt idx="0">
                    <c:v>0</c:v>
                  </c:pt>
                  <c:pt idx="1">
                    <c:v>0.24954716600746679</c:v>
                  </c:pt>
                  <c:pt idx="2">
                    <c:v>0.45312558055857671</c:v>
                  </c:pt>
                  <c:pt idx="3">
                    <c:v>4.1102807042711111E-2</c:v>
                  </c:pt>
                  <c:pt idx="4">
                    <c:v>0.50648143251155797</c:v>
                  </c:pt>
                  <c:pt idx="5">
                    <c:v>0.43975938489858163</c:v>
                  </c:pt>
                  <c:pt idx="6">
                    <c:v>0.55258809769186634</c:v>
                  </c:pt>
                  <c:pt idx="7">
                    <c:v>0.5338188501256248</c:v>
                  </c:pt>
                  <c:pt idx="8">
                    <c:v>0.68160357381937864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plus>
            <c:minus>
              <c:numRef>
                <c:f>'R1'!$AD$48:$BA$48</c:f>
                <c:numCache>
                  <c:formatCode>General</c:formatCode>
                  <c:ptCount val="24"/>
                  <c:pt idx="0">
                    <c:v>0</c:v>
                  </c:pt>
                  <c:pt idx="1">
                    <c:v>0.24954716600746679</c:v>
                  </c:pt>
                  <c:pt idx="2">
                    <c:v>0.45312558055857671</c:v>
                  </c:pt>
                  <c:pt idx="3">
                    <c:v>4.1102807042711111E-2</c:v>
                  </c:pt>
                  <c:pt idx="4">
                    <c:v>0.50648143251155797</c:v>
                  </c:pt>
                  <c:pt idx="5">
                    <c:v>0.43975938489858163</c:v>
                  </c:pt>
                  <c:pt idx="6">
                    <c:v>0.55258809769186634</c:v>
                  </c:pt>
                  <c:pt idx="7">
                    <c:v>0.5338188501256248</c:v>
                  </c:pt>
                  <c:pt idx="8">
                    <c:v>0.68160357381937864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'R1'!$B$52:$BA$52</c:f>
              <c:strCache>
                <c:ptCount val="52"/>
                <c:pt idx="0">
                  <c:v>Témoin solvant</c:v>
                </c:pt>
                <c:pt idx="1">
                  <c:v>EE2-33,8ng/L</c:v>
                </c:pt>
                <c:pt idx="2">
                  <c:v>EE2-50,6ng/L</c:v>
                </c:pt>
                <c:pt idx="3">
                  <c:v>EE2-76ng/L</c:v>
                </c:pt>
                <c:pt idx="4">
                  <c:v>EE2-114ng/L</c:v>
                </c:pt>
                <c:pt idx="5">
                  <c:v>EE2-170,9ng/L</c:v>
                </c:pt>
                <c:pt idx="6">
                  <c:v>EE2-488ng/L</c:v>
                </c:pt>
                <c:pt idx="7">
                  <c:v>Testo-3.7µg/L</c:v>
                </c:pt>
                <c:pt idx="8">
                  <c:v>Testo-11µg/L</c:v>
                </c:pt>
                <c:pt idx="9">
                  <c:v>Testo-33µg/L</c:v>
                </c:pt>
                <c:pt idx="10">
                  <c:v>Testo-100µg/L</c:v>
                </c:pt>
                <c:pt idx="11">
                  <c:v>Testo-300µg/L</c:v>
                </c:pt>
                <c:pt idx="12">
                  <c:v> </c:v>
                </c:pt>
                <c:pt idx="13">
                  <c:v> </c:v>
                </c:pt>
                <c:pt idx="14">
                  <c:v> </c:v>
                </c:pt>
                <c:pt idx="15">
                  <c:v> </c:v>
                </c:pt>
                <c:pt idx="16">
                  <c:v> </c:v>
                </c:pt>
                <c:pt idx="17">
                  <c:v> </c:v>
                </c:pt>
                <c:pt idx="18">
                  <c:v> </c:v>
                </c:pt>
                <c:pt idx="19">
                  <c:v> </c:v>
                </c:pt>
                <c:pt idx="20">
                  <c:v> </c:v>
                </c:pt>
                <c:pt idx="21">
                  <c:v> </c:v>
                </c:pt>
                <c:pt idx="22">
                  <c:v> </c:v>
                </c:pt>
                <c:pt idx="23">
                  <c:v> </c:v>
                </c:pt>
                <c:pt idx="24">
                  <c:v> </c:v>
                </c:pt>
                <c:pt idx="25">
                  <c:v> </c:v>
                </c:pt>
                <c:pt idx="26">
                  <c:v> </c:v>
                </c:pt>
                <c:pt idx="27">
                  <c:v> </c:v>
                </c:pt>
                <c:pt idx="29">
                  <c:v>Testo -30µg/L</c:v>
                </c:pt>
                <c:pt idx="30">
                  <c:v>Testo 30µg/L + EE2 -64ng/L</c:v>
                </c:pt>
                <c:pt idx="31">
                  <c:v>Testo 30µg/L + FAD-10mg/L</c:v>
                </c:pt>
                <c:pt idx="32">
                  <c:v>Testo-3,7µg/L + Testostérone</c:v>
                </c:pt>
                <c:pt idx="33">
                  <c:v>Testo-11µg/L + Testostérone</c:v>
                </c:pt>
                <c:pt idx="34">
                  <c:v>Testo-33µg/L + Testostérone</c:v>
                </c:pt>
                <c:pt idx="35">
                  <c:v>Testo-100µg/L + Testostérone</c:v>
                </c:pt>
                <c:pt idx="36">
                  <c:v>Testo-300µg/L + Testostérone</c:v>
                </c:pt>
                <c:pt idx="37">
                  <c:v>0-00 + Testostérone</c:v>
                </c:pt>
                <c:pt idx="38">
                  <c:v>0-00 + Testostérone</c:v>
                </c:pt>
                <c:pt idx="39">
                  <c:v>0-00 + Testostérone</c:v>
                </c:pt>
                <c:pt idx="40">
                  <c:v>0-00 + Testostérone</c:v>
                </c:pt>
                <c:pt idx="41">
                  <c:v>0-00 + Testostérone</c:v>
                </c:pt>
                <c:pt idx="42">
                  <c:v>0-00 + Testostérone</c:v>
                </c:pt>
                <c:pt idx="43">
                  <c:v>0-00 + Testostérone</c:v>
                </c:pt>
                <c:pt idx="44">
                  <c:v>0-00 + Testostérone</c:v>
                </c:pt>
                <c:pt idx="45">
                  <c:v>0-00 + Testostérone</c:v>
                </c:pt>
                <c:pt idx="46">
                  <c:v>0-00 + Testostérone</c:v>
                </c:pt>
                <c:pt idx="47">
                  <c:v>0-00 + Testostérone</c:v>
                </c:pt>
                <c:pt idx="48">
                  <c:v>0-00 + Testostérone</c:v>
                </c:pt>
                <c:pt idx="49">
                  <c:v>0-00 + Testostérone</c:v>
                </c:pt>
                <c:pt idx="50">
                  <c:v>0-00 + Testostérone</c:v>
                </c:pt>
                <c:pt idx="51">
                  <c:v>0-00 + Testostérone</c:v>
                </c:pt>
              </c:strCache>
            </c:strRef>
          </c:cat>
          <c:val>
            <c:numRef>
              <c:f>'R1'!$B$53:$BA$53</c:f>
              <c:numCache>
                <c:formatCode>0.0000</c:formatCode>
                <c:ptCount val="52"/>
                <c:pt idx="0">
                  <c:v>0.28711179742097781</c:v>
                </c:pt>
                <c:pt idx="1">
                  <c:v>0.27885507671434989</c:v>
                </c:pt>
                <c:pt idx="2">
                  <c:v>0.29579698899899443</c:v>
                </c:pt>
                <c:pt idx="3">
                  <c:v>1.589627535074531</c:v>
                </c:pt>
                <c:pt idx="4">
                  <c:v>3.3475787057035342</c:v>
                </c:pt>
                <c:pt idx="5">
                  <c:v>3.8854558950719187</c:v>
                </c:pt>
                <c:pt idx="6">
                  <c:v>5.9796625195592217</c:v>
                </c:pt>
                <c:pt idx="7">
                  <c:v>0.43039397179146738</c:v>
                </c:pt>
                <c:pt idx="8">
                  <c:v>0.73604910919976696</c:v>
                </c:pt>
                <c:pt idx="9">
                  <c:v>1.4927067791379698</c:v>
                </c:pt>
                <c:pt idx="10">
                  <c:v>2.7022891028855716</c:v>
                </c:pt>
                <c:pt idx="11">
                  <c:v>3.573141482618833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9">
                  <c:v>0.99999999999999989</c:v>
                </c:pt>
                <c:pt idx="30">
                  <c:v>4.9194636556095812</c:v>
                </c:pt>
                <c:pt idx="31">
                  <c:v>0.15808032301624825</c:v>
                </c:pt>
                <c:pt idx="32">
                  <c:v>1.683718993642384</c:v>
                </c:pt>
                <c:pt idx="33">
                  <c:v>2.6470625144600248</c:v>
                </c:pt>
                <c:pt idx="34">
                  <c:v>1.6174808578599391</c:v>
                </c:pt>
                <c:pt idx="35">
                  <c:v>1.6155421898078735</c:v>
                </c:pt>
                <c:pt idx="36">
                  <c:v>2.7962542955268646</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'R2'!$B$54:$AN$54</c:f>
                <c:numCache>
                  <c:formatCode>General</c:formatCode>
                  <c:ptCount val="39"/>
                  <c:pt idx="0">
                    <c:v>2.1169799562375139E-2</c:v>
                  </c:pt>
                  <c:pt idx="1">
                    <c:v>2.586095440943182E-2</c:v>
                  </c:pt>
                  <c:pt idx="2">
                    <c:v>1.8968644821349492E-2</c:v>
                  </c:pt>
                  <c:pt idx="3">
                    <c:v>3.8335221496451286E-2</c:v>
                  </c:pt>
                  <c:pt idx="4">
                    <c:v>9.7154849242037503E-2</c:v>
                  </c:pt>
                  <c:pt idx="5">
                    <c:v>0.21740639123390113</c:v>
                  </c:pt>
                  <c:pt idx="6">
                    <c:v>0.12386837897172352</c:v>
                  </c:pt>
                  <c:pt idx="7">
                    <c:v>1.9979077561044108E-2</c:v>
                  </c:pt>
                  <c:pt idx="8">
                    <c:v>6.4313544938616324E-2</c:v>
                  </c:pt>
                  <c:pt idx="9">
                    <c:v>0.1493017946989382</c:v>
                  </c:pt>
                  <c:pt idx="10">
                    <c:v>6.6993903758781351E-2</c:v>
                  </c:pt>
                  <c:pt idx="11">
                    <c:v>0.2247420214998658</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9">
                    <c:v>0.19126297881440404</c:v>
                  </c:pt>
                  <c:pt idx="30">
                    <c:v>0.29525546825469384</c:v>
                  </c:pt>
                  <c:pt idx="31">
                    <c:v>2.4464900314738414E-2</c:v>
                  </c:pt>
                  <c:pt idx="32">
                    <c:v>0.17699415060689389</c:v>
                  </c:pt>
                  <c:pt idx="33">
                    <c:v>0.17130358872837842</c:v>
                  </c:pt>
                  <c:pt idx="34">
                    <c:v>0.24164949875630967</c:v>
                  </c:pt>
                  <c:pt idx="35">
                    <c:v>0.11549843380769437</c:v>
                  </c:pt>
                  <c:pt idx="36">
                    <c:v>0.27764913290131571</c:v>
                  </c:pt>
                  <c:pt idx="37">
                    <c:v>0</c:v>
                  </c:pt>
                  <c:pt idx="38">
                    <c:v>0</c:v>
                  </c:pt>
                </c:numCache>
              </c:numRef>
            </c:plus>
            <c:minus>
              <c:numRef>
                <c:f>'R1'!$AD$48:$BA$48</c:f>
                <c:numCache>
                  <c:formatCode>General</c:formatCode>
                  <c:ptCount val="24"/>
                  <c:pt idx="0">
                    <c:v>0</c:v>
                  </c:pt>
                  <c:pt idx="1">
                    <c:v>0.24954716600746679</c:v>
                  </c:pt>
                  <c:pt idx="2">
                    <c:v>0.45312558055857671</c:v>
                  </c:pt>
                  <c:pt idx="3">
                    <c:v>4.1102807042711111E-2</c:v>
                  </c:pt>
                  <c:pt idx="4">
                    <c:v>0.50648143251155797</c:v>
                  </c:pt>
                  <c:pt idx="5">
                    <c:v>0.43975938489858163</c:v>
                  </c:pt>
                  <c:pt idx="6">
                    <c:v>0.55258809769186634</c:v>
                  </c:pt>
                  <c:pt idx="7">
                    <c:v>0.5338188501256248</c:v>
                  </c:pt>
                  <c:pt idx="8">
                    <c:v>0.68160357381937864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'R2'!$B$52:$BA$52</c:f>
              <c:strCache>
                <c:ptCount val="52"/>
                <c:pt idx="0">
                  <c:v>Témoin solvant</c:v>
                </c:pt>
                <c:pt idx="1">
                  <c:v>EE2-33,8ng/L</c:v>
                </c:pt>
                <c:pt idx="2">
                  <c:v>EE2-50,6ng/L</c:v>
                </c:pt>
                <c:pt idx="3">
                  <c:v>EE2-76ng/L</c:v>
                </c:pt>
                <c:pt idx="4">
                  <c:v>EE2-114ng/L</c:v>
                </c:pt>
                <c:pt idx="5">
                  <c:v>EE2-170,9ng/L</c:v>
                </c:pt>
                <c:pt idx="6">
                  <c:v>EE2-488ng/L</c:v>
                </c:pt>
                <c:pt idx="7">
                  <c:v>Testo-3.7µg/L</c:v>
                </c:pt>
                <c:pt idx="8">
                  <c:v>Testo-11µg/L</c:v>
                </c:pt>
                <c:pt idx="9">
                  <c:v>Testo-33µg/L</c:v>
                </c:pt>
                <c:pt idx="10">
                  <c:v>Testo-100µg/L</c:v>
                </c:pt>
                <c:pt idx="11">
                  <c:v>Testo-300µg/L</c:v>
                </c:pt>
                <c:pt idx="12">
                  <c:v> </c:v>
                </c:pt>
                <c:pt idx="13">
                  <c:v> </c:v>
                </c:pt>
                <c:pt idx="14">
                  <c:v> </c:v>
                </c:pt>
                <c:pt idx="15">
                  <c:v> </c:v>
                </c:pt>
                <c:pt idx="16">
                  <c:v> </c:v>
                </c:pt>
                <c:pt idx="17">
                  <c:v> </c:v>
                </c:pt>
                <c:pt idx="18">
                  <c:v> </c:v>
                </c:pt>
                <c:pt idx="19">
                  <c:v> </c:v>
                </c:pt>
                <c:pt idx="20">
                  <c:v> </c:v>
                </c:pt>
                <c:pt idx="21">
                  <c:v> </c:v>
                </c:pt>
                <c:pt idx="22">
                  <c:v> </c:v>
                </c:pt>
                <c:pt idx="23">
                  <c:v> </c:v>
                </c:pt>
                <c:pt idx="24">
                  <c:v> </c:v>
                </c:pt>
                <c:pt idx="25">
                  <c:v> </c:v>
                </c:pt>
                <c:pt idx="26">
                  <c:v> </c:v>
                </c:pt>
                <c:pt idx="27">
                  <c:v> </c:v>
                </c:pt>
                <c:pt idx="29">
                  <c:v>Testo -30µg/L</c:v>
                </c:pt>
                <c:pt idx="30">
                  <c:v>Testo 30µg/L + EE2 -64ng/L</c:v>
                </c:pt>
                <c:pt idx="31">
                  <c:v>Testo 30µg/L + FAD-10mg/L</c:v>
                </c:pt>
                <c:pt idx="32">
                  <c:v>Testo-3,7µg/L + Testostérone</c:v>
                </c:pt>
                <c:pt idx="33">
                  <c:v>Testo-11µg/L + Testostérone</c:v>
                </c:pt>
                <c:pt idx="34">
                  <c:v>Testo-33µg/L + Testostérone</c:v>
                </c:pt>
                <c:pt idx="35">
                  <c:v>Testo-100µg/L + Testostérone</c:v>
                </c:pt>
                <c:pt idx="36">
                  <c:v>Testo-300µg/L + Testostérone</c:v>
                </c:pt>
                <c:pt idx="37">
                  <c:v>0-00 + Testostérone</c:v>
                </c:pt>
                <c:pt idx="38">
                  <c:v>0-00 + Testostérone</c:v>
                </c:pt>
                <c:pt idx="39">
                  <c:v>0-00 + Testostérone</c:v>
                </c:pt>
                <c:pt idx="40">
                  <c:v>0-00 + Testostérone</c:v>
                </c:pt>
                <c:pt idx="41">
                  <c:v>0-00 + Testostérone</c:v>
                </c:pt>
                <c:pt idx="42">
                  <c:v>0-00 + Testostérone</c:v>
                </c:pt>
                <c:pt idx="43">
                  <c:v>0-00 + Testostérone</c:v>
                </c:pt>
                <c:pt idx="44">
                  <c:v>0-00 + Testostérone</c:v>
                </c:pt>
                <c:pt idx="45">
                  <c:v>0-00 + Testostérone</c:v>
                </c:pt>
                <c:pt idx="46">
                  <c:v>0-00 + Testostérone</c:v>
                </c:pt>
                <c:pt idx="47">
                  <c:v>0-00 + Testostérone</c:v>
                </c:pt>
                <c:pt idx="48">
                  <c:v>0-00 + Testostérone</c:v>
                </c:pt>
                <c:pt idx="49">
                  <c:v>0-00 + Testostérone</c:v>
                </c:pt>
                <c:pt idx="50">
                  <c:v>0-00 + Testostérone</c:v>
                </c:pt>
                <c:pt idx="51">
                  <c:v>0-00 + Testostérone</c:v>
                </c:pt>
              </c:strCache>
            </c:strRef>
          </c:cat>
          <c:val>
            <c:numRef>
              <c:f>'R2'!$B$53:$BA$53</c:f>
              <c:numCache>
                <c:formatCode>0.0000</c:formatCode>
                <c:ptCount val="52"/>
                <c:pt idx="0">
                  <c:v>7.5471003775064799E-2</c:v>
                </c:pt>
                <c:pt idx="1">
                  <c:v>0.10244642144926765</c:v>
                </c:pt>
                <c:pt idx="2">
                  <c:v>7.5997429226482019E-2</c:v>
                </c:pt>
                <c:pt idx="3">
                  <c:v>0.11780963085220983</c:v>
                </c:pt>
                <c:pt idx="4">
                  <c:v>0.17216828052045899</c:v>
                </c:pt>
                <c:pt idx="5">
                  <c:v>1.9334980295205682</c:v>
                </c:pt>
                <c:pt idx="6">
                  <c:v>3.0003535676119482</c:v>
                </c:pt>
                <c:pt idx="7">
                  <c:v>9.8597575794589692E-2</c:v>
                </c:pt>
                <c:pt idx="8">
                  <c:v>0.256520856304297</c:v>
                </c:pt>
                <c:pt idx="9">
                  <c:v>0.95499759640289472</c:v>
                </c:pt>
                <c:pt idx="10">
                  <c:v>1.6765316040284564</c:v>
                </c:pt>
                <c:pt idx="11">
                  <c:v>1.8560649748129903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9">
                  <c:v>1</c:v>
                </c:pt>
                <c:pt idx="30">
                  <c:v>2.3858498407246445</c:v>
                </c:pt>
                <c:pt idx="31">
                  <c:v>0.11768570181683487</c:v>
                </c:pt>
                <c:pt idx="32">
                  <c:v>1.3255070480267939</c:v>
                </c:pt>
                <c:pt idx="33">
                  <c:v>1.24252325283867</c:v>
                </c:pt>
                <c:pt idx="34">
                  <c:v>0.96764538721270466</c:v>
                </c:pt>
                <c:pt idx="35">
                  <c:v>1.4274424886402981</c:v>
                </c:pt>
                <c:pt idx="36">
                  <c:v>1.3284612754626006</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'R3'!$B$54:$AN$54</c:f>
                <c:numCache>
                  <c:formatCode>General</c:formatCode>
                  <c:ptCount val="39"/>
                  <c:pt idx="0">
                    <c:v>2.2142319573996351E-2</c:v>
                  </c:pt>
                  <c:pt idx="1">
                    <c:v>4.387046739915447E-2</c:v>
                  </c:pt>
                  <c:pt idx="2">
                    <c:v>3.8596027025372022E-2</c:v>
                  </c:pt>
                  <c:pt idx="3">
                    <c:v>0.11615731318052896</c:v>
                  </c:pt>
                  <c:pt idx="4">
                    <c:v>0.20495952479425708</c:v>
                  </c:pt>
                  <c:pt idx="5">
                    <c:v>0.24156726860485694</c:v>
                  </c:pt>
                  <c:pt idx="6">
                    <c:v>0.17873635590995918</c:v>
                  </c:pt>
                  <c:pt idx="7">
                    <c:v>2.3751787247188801E-2</c:v>
                  </c:pt>
                  <c:pt idx="8">
                    <c:v>6.1085092895461386E-2</c:v>
                  </c:pt>
                  <c:pt idx="9">
                    <c:v>0.17976152542757656</c:v>
                  </c:pt>
                  <c:pt idx="10">
                    <c:v>0.14875066297730005</c:v>
                  </c:pt>
                  <c:pt idx="11">
                    <c:v>0.14928856233416871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9">
                    <c:v>0.14277818838509165</c:v>
                  </c:pt>
                  <c:pt idx="30">
                    <c:v>0.13861377042072751</c:v>
                  </c:pt>
                  <c:pt idx="31">
                    <c:v>1.6005590546447613E-2</c:v>
                  </c:pt>
                  <c:pt idx="32">
                    <c:v>0.1968190220913659</c:v>
                  </c:pt>
                  <c:pt idx="33">
                    <c:v>0.1978501119120103</c:v>
                  </c:pt>
                  <c:pt idx="34">
                    <c:v>0.26600012331261796</c:v>
                  </c:pt>
                  <c:pt idx="35">
                    <c:v>0.1675023390117566</c:v>
                  </c:pt>
                  <c:pt idx="36">
                    <c:v>0.20300555218945457</c:v>
                  </c:pt>
                  <c:pt idx="37">
                    <c:v>0</c:v>
                  </c:pt>
                  <c:pt idx="38">
                    <c:v>0</c:v>
                  </c:pt>
                </c:numCache>
              </c:numRef>
            </c:plus>
            <c:minus>
              <c:numRef>
                <c:f>'R1'!$AD$48:$BA$48</c:f>
                <c:numCache>
                  <c:formatCode>General</c:formatCode>
                  <c:ptCount val="24"/>
                  <c:pt idx="0">
                    <c:v>0</c:v>
                  </c:pt>
                  <c:pt idx="1">
                    <c:v>0.24954716600746679</c:v>
                  </c:pt>
                  <c:pt idx="2">
                    <c:v>0.45312558055857671</c:v>
                  </c:pt>
                  <c:pt idx="3">
                    <c:v>4.1102807042711111E-2</c:v>
                  </c:pt>
                  <c:pt idx="4">
                    <c:v>0.50648143251155797</c:v>
                  </c:pt>
                  <c:pt idx="5">
                    <c:v>0.43975938489858163</c:v>
                  </c:pt>
                  <c:pt idx="6">
                    <c:v>0.55258809769186634</c:v>
                  </c:pt>
                  <c:pt idx="7">
                    <c:v>0.5338188501256248</c:v>
                  </c:pt>
                  <c:pt idx="8">
                    <c:v>0.68160357381937864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'R3'!$B$52:$BA$52</c:f>
              <c:strCache>
                <c:ptCount val="52"/>
                <c:pt idx="0">
                  <c:v>Témoin solvant</c:v>
                </c:pt>
                <c:pt idx="1">
                  <c:v>EE2-33,8ng/L</c:v>
                </c:pt>
                <c:pt idx="2">
                  <c:v>EE2-50,6ng/L</c:v>
                </c:pt>
                <c:pt idx="3">
                  <c:v>EE2-76ng/L</c:v>
                </c:pt>
                <c:pt idx="4">
                  <c:v>EE2-114ng/L</c:v>
                </c:pt>
                <c:pt idx="5">
                  <c:v>EE2-170,9ng/L</c:v>
                </c:pt>
                <c:pt idx="6">
                  <c:v>EE2-488ng/L</c:v>
                </c:pt>
                <c:pt idx="7">
                  <c:v>Testo-3.7µg/L</c:v>
                </c:pt>
                <c:pt idx="8">
                  <c:v>Testo-11µg/L</c:v>
                </c:pt>
                <c:pt idx="9">
                  <c:v>Testo-33µg/L</c:v>
                </c:pt>
                <c:pt idx="10">
                  <c:v>Testo-100µg/L</c:v>
                </c:pt>
                <c:pt idx="11">
                  <c:v>Testo-300µg/L</c:v>
                </c:pt>
                <c:pt idx="12">
                  <c:v> </c:v>
                </c:pt>
                <c:pt idx="13">
                  <c:v> </c:v>
                </c:pt>
                <c:pt idx="14">
                  <c:v> </c:v>
                </c:pt>
                <c:pt idx="15">
                  <c:v> </c:v>
                </c:pt>
                <c:pt idx="16">
                  <c:v> </c:v>
                </c:pt>
                <c:pt idx="17">
                  <c:v> </c:v>
                </c:pt>
                <c:pt idx="18">
                  <c:v> </c:v>
                </c:pt>
                <c:pt idx="19">
                  <c:v> </c:v>
                </c:pt>
                <c:pt idx="20">
                  <c:v> </c:v>
                </c:pt>
                <c:pt idx="21">
                  <c:v> </c:v>
                </c:pt>
                <c:pt idx="22">
                  <c:v> </c:v>
                </c:pt>
                <c:pt idx="23">
                  <c:v> </c:v>
                </c:pt>
                <c:pt idx="24">
                  <c:v> </c:v>
                </c:pt>
                <c:pt idx="25">
                  <c:v> </c:v>
                </c:pt>
                <c:pt idx="26">
                  <c:v> </c:v>
                </c:pt>
                <c:pt idx="27">
                  <c:v> </c:v>
                </c:pt>
                <c:pt idx="29">
                  <c:v>Testo -30µg/L</c:v>
                </c:pt>
                <c:pt idx="30">
                  <c:v>Testo 30µg/L + EE2 -64ng/L</c:v>
                </c:pt>
                <c:pt idx="31">
                  <c:v>Testo 30µg/L + FAD-10mg/L</c:v>
                </c:pt>
                <c:pt idx="32">
                  <c:v>Testo-3,7µg/L + Testostérone</c:v>
                </c:pt>
                <c:pt idx="33">
                  <c:v>Testo-11µg/L + Testostérone</c:v>
                </c:pt>
                <c:pt idx="34">
                  <c:v>Testo-33µg/L + Testostérone</c:v>
                </c:pt>
                <c:pt idx="35">
                  <c:v>Testo-100µg/L + Testostérone</c:v>
                </c:pt>
                <c:pt idx="36">
                  <c:v>Testo-300µg/L + Testostérone</c:v>
                </c:pt>
                <c:pt idx="37">
                  <c:v>0-00 + Testostérone</c:v>
                </c:pt>
                <c:pt idx="38">
                  <c:v>0-00 + Testostérone</c:v>
                </c:pt>
                <c:pt idx="39">
                  <c:v>0-00 + Testostérone</c:v>
                </c:pt>
                <c:pt idx="40">
                  <c:v>0-00 + Testostérone</c:v>
                </c:pt>
                <c:pt idx="41">
                  <c:v>0-00 + Testostérone</c:v>
                </c:pt>
                <c:pt idx="42">
                  <c:v>0-00 + Testostérone</c:v>
                </c:pt>
                <c:pt idx="43">
                  <c:v>0-00 + Testostérone</c:v>
                </c:pt>
                <c:pt idx="44">
                  <c:v>0-00 + Testostérone</c:v>
                </c:pt>
                <c:pt idx="45">
                  <c:v>0-00 + Testostérone</c:v>
                </c:pt>
                <c:pt idx="46">
                  <c:v>0-00 + Testostérone</c:v>
                </c:pt>
                <c:pt idx="47">
                  <c:v>0-00 + Testostérone</c:v>
                </c:pt>
                <c:pt idx="48">
                  <c:v>0-00 + Testostérone</c:v>
                </c:pt>
                <c:pt idx="49">
                  <c:v>0-00 + Testostérone</c:v>
                </c:pt>
                <c:pt idx="50">
                  <c:v>0-00 + Testostérone</c:v>
                </c:pt>
                <c:pt idx="51">
                  <c:v>0-00 + Testostérone</c:v>
                </c:pt>
              </c:strCache>
            </c:strRef>
          </c:cat>
          <c:val>
            <c:numRef>
              <c:f>'R3'!$B$53:$BA$53</c:f>
              <c:numCache>
                <c:formatCode>0.0000</c:formatCode>
                <c:ptCount val="52"/>
                <c:pt idx="0">
                  <c:v>7.5028694826113101E-2</c:v>
                </c:pt>
                <c:pt idx="1">
                  <c:v>0.17045229160096434</c:v>
                </c:pt>
                <c:pt idx="2">
                  <c:v>0.13354081291877376</c:v>
                </c:pt>
                <c:pt idx="3">
                  <c:v>0.43660921425636201</c:v>
                </c:pt>
                <c:pt idx="4">
                  <c:v>1.2034605297396945</c:v>
                </c:pt>
                <c:pt idx="5">
                  <c:v>1.7861013629921652</c:v>
                </c:pt>
                <c:pt idx="6">
                  <c:v>2.0321641136260289</c:v>
                </c:pt>
                <c:pt idx="7">
                  <c:v>9.353732109957355E-2</c:v>
                </c:pt>
                <c:pt idx="8">
                  <c:v>0.22515455014958363</c:v>
                </c:pt>
                <c:pt idx="9">
                  <c:v>0.70170777174377497</c:v>
                </c:pt>
                <c:pt idx="10">
                  <c:v>1.6221303864991379</c:v>
                </c:pt>
                <c:pt idx="11">
                  <c:v>1.6625807243176183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9">
                  <c:v>1</c:v>
                </c:pt>
                <c:pt idx="30">
                  <c:v>2.0800810164388492</c:v>
                </c:pt>
                <c:pt idx="31">
                  <c:v>7.3942649847199518E-2</c:v>
                </c:pt>
                <c:pt idx="32">
                  <c:v>0.52985588064456624</c:v>
                </c:pt>
                <c:pt idx="33">
                  <c:v>0.74848630555983708</c:v>
                </c:pt>
                <c:pt idx="34">
                  <c:v>1.1424702361232815</c:v>
                </c:pt>
                <c:pt idx="35">
                  <c:v>1.321709846020179</c:v>
                </c:pt>
                <c:pt idx="36">
                  <c:v>1.5129728123695665</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9F7A9F3A-D393-43B6-A046-97B6380B759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75DFBDC6-FEFE-4F9B-8D0D-ED47210037B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B42008D1-5B24-45ED-89A0-23DBF5A8611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487830D3-FB63-4680-AAE8-917A8D8A7C4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F08F0290-47FA-41F4-B504-7D0F44BAEF3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EF7F37D3-FFDE-417B-BBE3-861DEF4F686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B95C8056-184C-4DDB-9B06-8DB76855564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E930BBB6-0629-4FC3-AD10-8997F7765E6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41312599-FF1E-41B6-BC9A-4818EF6EDA0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D56F69E0-0FE5-4893-B733-814AD623B28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18BBCB37-BCFE-4F9F-B013-9A7063852AA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88061B64-8B50-4919-987B-C31C3D30141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4922BE71-815B-4945-8A78-5FE571BEABC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CD02EF87-0537-4BB4-BBB0-B7F576F65FE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F5FC6AC9-171F-4E02-8F08-3E9CFC394D0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7D7E72C8-5706-4D57-B0E0-B2BF77C0DFA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71C974B4-8B13-4A3C-86F4-5FF18018099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A607F4EE-A30B-4587-9DE9-C268CC6A47E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927D6FD5-E4E4-4EE0-B30E-B2F89080790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BB2EC14E-412B-4493-8A6A-EF2AF9BC09F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1"/>
              <c:tx>
                <c:rich>
                  <a:bodyPr/>
                  <a:lstStyle/>
                  <a:p>
                    <a:fld id="{8892CE18-58C0-41A1-8127-0F6394938D6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033C-4530-84A9-991A3866ABD4}"/>
                </c:ext>
              </c:extLst>
            </c:dLbl>
            <c:dLbl>
              <c:idx val="22"/>
              <c:tx>
                <c:rich>
                  <a:bodyPr/>
                  <a:lstStyle/>
                  <a:p>
                    <a:fld id="{19A752F9-CBCC-4621-8C2B-510802FBEA8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033C-4530-84A9-991A3866ABD4}"/>
                </c:ext>
              </c:extLst>
            </c:dLbl>
            <c:dLbl>
              <c:idx val="23"/>
              <c:tx>
                <c:rich>
                  <a:bodyPr/>
                  <a:lstStyle/>
                  <a:p>
                    <a:fld id="{60CC0D66-4356-4C44-9D32-36B3FB6F384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A435-467A-9CEB-6115478B7183}"/>
                </c:ext>
              </c:extLst>
            </c:dLbl>
            <c:dLbl>
              <c:idx val="24"/>
              <c:tx>
                <c:rich>
                  <a:bodyPr/>
                  <a:lstStyle/>
                  <a:p>
                    <a:fld id="{6AEEEECA-EF46-4DBD-B686-BA55A3B1248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A435-467A-9CEB-6115478B7183}"/>
                </c:ext>
              </c:extLst>
            </c:dLbl>
            <c:dLbl>
              <c:idx val="25"/>
              <c:tx>
                <c:rich>
                  <a:bodyPr/>
                  <a:lstStyle/>
                  <a:p>
                    <a:fld id="{86693C2B-7628-42D3-AD65-B0C3B5F70DE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A435-467A-9CEB-6115478B7183}"/>
                </c:ext>
              </c:extLst>
            </c:dLbl>
            <c:dLbl>
              <c:idx val="26"/>
              <c:tx>
                <c:rich>
                  <a:bodyPr/>
                  <a:lstStyle/>
                  <a:p>
                    <a:fld id="{8E229E6B-D793-4736-BCEE-1155BCDCE4B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A435-467A-9CEB-6115478B7183}"/>
                </c:ext>
              </c:extLst>
            </c:dLbl>
            <c:dLbl>
              <c:idx val="27"/>
              <c:tx>
                <c:rich>
                  <a:bodyPr/>
                  <a:lstStyle/>
                  <a:p>
                    <a:fld id="{DA10A30F-870B-45A5-BE31-D464E5790B8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A435-467A-9CEB-6115478B7183}"/>
                </c:ext>
              </c:extLst>
            </c:dLbl>
            <c:dLbl>
              <c:idx val="28"/>
              <c:tx>
                <c:rich>
                  <a:bodyPr/>
                  <a:lstStyle/>
                  <a:p>
                    <a:fld id="{653E14B0-46BE-4901-913E-5BBB4264E3D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A435-467A-9CEB-6115478B7183}"/>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dLbl>
              <c:idx val="30"/>
              <c:tx>
                <c:rich>
                  <a:bodyPr/>
                  <a:lstStyle/>
                  <a:p>
                    <a:fld id="{A079282A-6748-445A-932C-3B9555CB0F8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A435-467A-9CEB-6115478B7183}"/>
                </c:ext>
              </c:extLst>
            </c:dLbl>
            <c:dLbl>
              <c:idx val="31"/>
              <c:tx>
                <c:rich>
                  <a:bodyPr/>
                  <a:lstStyle/>
                  <a:p>
                    <a:fld id="{3066FC3F-D1BA-4D2B-8E91-B85569B25EA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A435-467A-9CEB-6115478B7183}"/>
                </c:ext>
              </c:extLst>
            </c:dLbl>
            <c:dLbl>
              <c:idx val="32"/>
              <c:tx>
                <c:rich>
                  <a:bodyPr/>
                  <a:lstStyle/>
                  <a:p>
                    <a:fld id="{61A77438-1C3D-41D6-B1CD-B1E52188689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A435-467A-9CEB-6115478B7183}"/>
                </c:ext>
              </c:extLst>
            </c:dLbl>
            <c:dLbl>
              <c:idx val="33"/>
              <c:tx>
                <c:rich>
                  <a:bodyPr/>
                  <a:lstStyle/>
                  <a:p>
                    <a:fld id="{42D9B5DC-E7DB-4E05-9983-399A17EAD09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A435-467A-9CEB-6115478B7183}"/>
                </c:ext>
              </c:extLst>
            </c:dLbl>
            <c:dLbl>
              <c:idx val="34"/>
              <c:tx>
                <c:rich>
                  <a:bodyPr/>
                  <a:lstStyle/>
                  <a:p>
                    <a:fld id="{FBDF3A12-5AE7-4042-9AA6-0FD8F37B426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A435-467A-9CEB-6115478B7183}"/>
                </c:ext>
              </c:extLst>
            </c:dLbl>
            <c:dLbl>
              <c:idx val="35"/>
              <c:tx>
                <c:rich>
                  <a:bodyPr/>
                  <a:lstStyle/>
                  <a:p>
                    <a:fld id="{63061946-C024-40EC-ABCE-95F2E60868E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A435-467A-9CEB-6115478B7183}"/>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values'!$B$76:$AK$76</c:f>
                <c:numCache>
                  <c:formatCode>General</c:formatCode>
                  <c:ptCount val="36"/>
                  <c:pt idx="0">
                    <c:v>3.0531433013272886E-2</c:v>
                  </c:pt>
                  <c:pt idx="1">
                    <c:v>3.5091235742612872E-2</c:v>
                  </c:pt>
                  <c:pt idx="2">
                    <c:v>3.7338504550749524E-2</c:v>
                  </c:pt>
                  <c:pt idx="3">
                    <c:v>0.21548591497448694</c:v>
                  </c:pt>
                  <c:pt idx="4">
                    <c:v>0.29958333091716993</c:v>
                  </c:pt>
                  <c:pt idx="5">
                    <c:v>0.32325339651262858</c:v>
                  </c:pt>
                  <c:pt idx="6">
                    <c:v>0.37534791373759713</c:v>
                  </c:pt>
                  <c:pt idx="7">
                    <c:v>5.0961343249965381E-2</c:v>
                  </c:pt>
                  <c:pt idx="8">
                    <c:v>8.7099704942541836E-2</c:v>
                  </c:pt>
                  <c:pt idx="9">
                    <c:v>0.15673511786343813</c:v>
                  </c:pt>
                  <c:pt idx="10">
                    <c:v>0.24008552372766029</c:v>
                  </c:pt>
                  <c:pt idx="11">
                    <c:v>0.23588198202731017</c:v>
                  </c:pt>
                  <c:pt idx="13">
                    <c:v>0.11132092883161762</c:v>
                  </c:pt>
                  <c:pt idx="14">
                    <c:v>0.31942541168901378</c:v>
                  </c:pt>
                  <c:pt idx="15">
                    <c:v>1.7590552408504653E-2</c:v>
                  </c:pt>
                  <c:pt idx="16">
                    <c:v>0.22035816842392178</c:v>
                  </c:pt>
                  <c:pt idx="17">
                    <c:v>0.23385893828883572</c:v>
                  </c:pt>
                  <c:pt idx="18">
                    <c:v>0.21761855717392248</c:v>
                  </c:pt>
                  <c:pt idx="19">
                    <c:v>0.18371432813303504</c:v>
                  </c:pt>
                  <c:pt idx="20">
                    <c:v>0.27181882611721109</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plus>
            <c:minus>
              <c:numRef>
                <c:f>'pooled normalised values'!$B$76:$AK$76</c:f>
                <c:numCache>
                  <c:formatCode>General</c:formatCode>
                  <c:ptCount val="36"/>
                  <c:pt idx="0">
                    <c:v>3.0531433013272886E-2</c:v>
                  </c:pt>
                  <c:pt idx="1">
                    <c:v>3.5091235742612872E-2</c:v>
                  </c:pt>
                  <c:pt idx="2">
                    <c:v>3.7338504550749524E-2</c:v>
                  </c:pt>
                  <c:pt idx="3">
                    <c:v>0.21548591497448694</c:v>
                  </c:pt>
                  <c:pt idx="4">
                    <c:v>0.29958333091716993</c:v>
                  </c:pt>
                  <c:pt idx="5">
                    <c:v>0.32325339651262858</c:v>
                  </c:pt>
                  <c:pt idx="6">
                    <c:v>0.37534791373759713</c:v>
                  </c:pt>
                  <c:pt idx="7">
                    <c:v>5.0961343249965381E-2</c:v>
                  </c:pt>
                  <c:pt idx="8">
                    <c:v>8.7099704942541836E-2</c:v>
                  </c:pt>
                  <c:pt idx="9">
                    <c:v>0.15673511786343813</c:v>
                  </c:pt>
                  <c:pt idx="10">
                    <c:v>0.24008552372766029</c:v>
                  </c:pt>
                  <c:pt idx="11">
                    <c:v>0.23588198202731017</c:v>
                  </c:pt>
                  <c:pt idx="13">
                    <c:v>0.11132092883161762</c:v>
                  </c:pt>
                  <c:pt idx="14">
                    <c:v>0.31942541168901378</c:v>
                  </c:pt>
                  <c:pt idx="15">
                    <c:v>1.7590552408504653E-2</c:v>
                  </c:pt>
                  <c:pt idx="16">
                    <c:v>0.22035816842392178</c:v>
                  </c:pt>
                  <c:pt idx="17">
                    <c:v>0.23385893828883572</c:v>
                  </c:pt>
                  <c:pt idx="18">
                    <c:v>0.21761855717392248</c:v>
                  </c:pt>
                  <c:pt idx="19">
                    <c:v>0.18371432813303504</c:v>
                  </c:pt>
                  <c:pt idx="20">
                    <c:v>0.27181882611721109</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minus>
          </c:errBars>
          <c:cat>
            <c:strRef>
              <c:f>'pooled normalised values'!$B$74:$AK$74</c:f>
              <c:strCache>
                <c:ptCount val="36"/>
                <c:pt idx="0">
                  <c:v>Témoin solvant</c:v>
                </c:pt>
                <c:pt idx="1">
                  <c:v>EE2-33,8ng/L</c:v>
                </c:pt>
                <c:pt idx="2">
                  <c:v>EE2-50,6ng/L</c:v>
                </c:pt>
                <c:pt idx="3">
                  <c:v>EE2-76ng/L</c:v>
                </c:pt>
                <c:pt idx="4">
                  <c:v>EE2-114ng/L</c:v>
                </c:pt>
                <c:pt idx="5">
                  <c:v>EE2-170,9ng/L</c:v>
                </c:pt>
                <c:pt idx="6">
                  <c:v>EE2-488ng/L</c:v>
                </c:pt>
                <c:pt idx="7">
                  <c:v>Testo-3.7µg/L</c:v>
                </c:pt>
                <c:pt idx="8">
                  <c:v>Testo-11µg/L</c:v>
                </c:pt>
                <c:pt idx="9">
                  <c:v>Testo-33µg/L</c:v>
                </c:pt>
                <c:pt idx="10">
                  <c:v>Testo-100µg/L</c:v>
                </c:pt>
                <c:pt idx="11">
                  <c:v>Testo-300µg/L</c:v>
                </c:pt>
                <c:pt idx="13">
                  <c:v>Testo -30µg/L</c:v>
                </c:pt>
                <c:pt idx="14">
                  <c:v>Testo 30µg/L + EE2 -64ng/L</c:v>
                </c:pt>
                <c:pt idx="15">
                  <c:v>Testo 30µg/L + FAD-10mg/L</c:v>
                </c:pt>
                <c:pt idx="16">
                  <c:v>Testo-3,7µg/L + Testostérone</c:v>
                </c:pt>
                <c:pt idx="17">
                  <c:v>Testo-11µg/L + Testostérone</c:v>
                </c:pt>
                <c:pt idx="18">
                  <c:v>Testo-33µg/L + Testostérone</c:v>
                </c:pt>
                <c:pt idx="19">
                  <c:v>Testo-100µg/L + Testostérone</c:v>
                </c:pt>
                <c:pt idx="20">
                  <c:v>Testo-300µg/L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'pooled normalised values'!$B$75:$AK$75</c:f>
              <c:numCache>
                <c:formatCode>0.0000</c:formatCode>
                <c:ptCount val="36"/>
                <c:pt idx="0">
                  <c:v>0.15229055770800312</c:v>
                </c:pt>
                <c:pt idx="1">
                  <c:v>0.18330585545241077</c:v>
                </c:pt>
                <c:pt idx="2">
                  <c:v>0.1684450770480834</c:v>
                </c:pt>
                <c:pt idx="3">
                  <c:v>0.74063310480924405</c:v>
                </c:pt>
                <c:pt idx="4">
                  <c:v>1.5744025053212292</c:v>
                </c:pt>
                <c:pt idx="5">
                  <c:v>2.5009767443674882</c:v>
                </c:pt>
                <c:pt idx="6">
                  <c:v>3.7419685866413728</c:v>
                </c:pt>
                <c:pt idx="7">
                  <c:v>0.21224492929088931</c:v>
                </c:pt>
                <c:pt idx="8">
                  <c:v>0.40590817188454914</c:v>
                </c:pt>
                <c:pt idx="9">
                  <c:v>1.0539260687771403</c:v>
                </c:pt>
                <c:pt idx="10">
                  <c:v>2.0003170311377221</c:v>
                </c:pt>
                <c:pt idx="11">
                  <c:v>2.3113546074511606</c:v>
                </c:pt>
                <c:pt idx="13">
                  <c:v>1.0000000000000002</c:v>
                </c:pt>
                <c:pt idx="14">
                  <c:v>3.1284648375910251</c:v>
                </c:pt>
                <c:pt idx="15">
                  <c:v>0.11656955822676086</c:v>
                </c:pt>
                <c:pt idx="16">
                  <c:v>1.2026042022653904</c:v>
                </c:pt>
                <c:pt idx="17">
                  <c:v>1.5460240242861774</c:v>
                </c:pt>
                <c:pt idx="18">
                  <c:v>1.2425321603986419</c:v>
                </c:pt>
                <c:pt idx="19">
                  <c:v>1.4548981748227832</c:v>
                </c:pt>
                <c:pt idx="20">
                  <c:v>1.8625814316310367</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5="http://schemas.microsoft.com/office/drawing/2012/chart" uri="{02D57815-91ED-43cb-92C2-25804820EDAC}">
              <c15:datalabelsRange>
                <c15:f>'pooled normalised values'!$B$83:$AK$83</c15:f>
                <c15:dlblRangeCache>
                  <c:ptCount val="36"/>
                  <c:pt idx="1">
                    <c:v>NS</c:v>
                  </c:pt>
                  <c:pt idx="2">
                    <c:v>NS</c:v>
                  </c:pt>
                  <c:pt idx="3">
                    <c:v>NS</c:v>
                  </c:pt>
                  <c:pt idx="4">
                    <c:v>**</c:v>
                  </c:pt>
                  <c:pt idx="5">
                    <c:v>***</c:v>
                  </c:pt>
                  <c:pt idx="6">
                    <c:v>***</c:v>
                  </c:pt>
                  <c:pt idx="7">
                    <c:v>NS</c:v>
                  </c:pt>
                  <c:pt idx="8">
                    <c:v>NS</c:v>
                  </c:pt>
                  <c:pt idx="9">
                    <c:v>***</c:v>
                  </c:pt>
                  <c:pt idx="10">
                    <c:v>***</c:v>
                  </c:pt>
                  <c:pt idx="11">
                    <c:v>***</c:v>
                  </c:pt>
                  <c:pt idx="13">
                    <c:v>***</c:v>
                  </c:pt>
                  <c:pt idx="14">
                    <c:v>***</c:v>
                  </c:pt>
                  <c:pt idx="15">
                    <c:v>***</c:v>
                  </c:pt>
                  <c:pt idx="16">
                    <c:v>NS</c:v>
                  </c:pt>
                  <c:pt idx="17">
                    <c:v>NS</c:v>
                  </c:pt>
                  <c:pt idx="18">
                    <c:v>NS</c:v>
                  </c:pt>
                  <c:pt idx="19">
                    <c:v>NS</c:v>
                  </c:pt>
                  <c:pt idx="20">
                    <c:v>*</c:v>
                  </c:pt>
                  <c:pt idx="21">
                    <c:v>#VALEUR!</c:v>
                  </c:pt>
                  <c:pt idx="22">
                    <c:v>#VALEUR!</c:v>
                  </c:pt>
                  <c:pt idx="23">
                    <c:v>#VALEUR!</c:v>
                  </c:pt>
                  <c:pt idx="24">
                    <c:v>#VALEUR!</c:v>
                  </c:pt>
                  <c:pt idx="25">
                    <c:v>#VALEUR!</c:v>
                  </c:pt>
                  <c:pt idx="26">
                    <c:v>#VALEUR!</c:v>
                  </c:pt>
                  <c:pt idx="27">
                    <c:v>#VALEUR!</c:v>
                  </c:pt>
                  <c:pt idx="28">
                    <c:v>#VALEUR!</c:v>
                  </c:pt>
                  <c:pt idx="29">
                    <c:v>#VALEUR!</c:v>
                  </c:pt>
                  <c:pt idx="30">
                    <c:v>#VALEUR!</c:v>
                  </c:pt>
                  <c:pt idx="31">
                    <c:v>#VALEUR!</c:v>
                  </c:pt>
                  <c:pt idx="32">
                    <c:v>#VALEUR!</c:v>
                  </c:pt>
                  <c:pt idx="33">
                    <c:v>#VALEUR!</c:v>
                  </c:pt>
                  <c:pt idx="34">
                    <c:v>#VALEUR!</c:v>
                  </c:pt>
                  <c:pt idx="35">
                    <c:v>#NOM?</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Testo-3,7µg/L : 0%</c:v>
                  </c:pt>
                  <c:pt idx="1">
                    <c:v>Testo-11µg/L : 0%</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Testo-3,7µg/L : 0%</c:v>
                  </c:pt>
                  <c:pt idx="1">
                    <c:v>Testo-11µg/L : 0%</c:v>
                  </c:pt>
                  <c:pt idx="2">
                    <c:v>Testo-33µg/L : 0%</c:v>
                  </c:pt>
                  <c:pt idx="3">
                    <c:v>Testo-100µg/L : 0%</c:v>
                  </c:pt>
                  <c:pt idx="4">
                    <c:v>#NOMBRE!</c:v>
                  </c:pt>
                  <c:pt idx="5">
                    <c:v>#VALEUR!</c:v>
                  </c:pt>
                  <c:pt idx="6">
                    <c:v>#VALEUR!</c:v>
                  </c:pt>
                  <c:pt idx="7">
                    <c:v>#VALEUR!</c:v>
                  </c:pt>
                  <c:pt idx="8">
                    <c:v>#VALEUR!</c:v>
                  </c:pt>
                  <c:pt idx="9">
                    <c:v>#VALEUR!</c:v>
                  </c:pt>
                  <c:pt idx="10">
                    <c:v>#VALEUR!</c:v>
                  </c:pt>
                  <c:pt idx="11">
                    <c:v>#VALEUR!</c:v>
                  </c:pt>
                  <c:pt idx="12">
                    <c:v>#VALEUR!</c:v>
                  </c:pt>
                  <c:pt idx="13">
                    <c:v>#VALEUR!</c:v>
                  </c:pt>
                  <c:pt idx="14">
                    <c:v>#VALEUR!</c:v>
                  </c:pt>
                  <c:pt idx="15">
                    <c:v>#VALEUR!</c:v>
                  </c:pt>
                  <c:pt idx="16">
                    <c:v>#VALEUR!</c:v>
                  </c:pt>
                  <c:pt idx="17">
                    <c:v>#VALEUR!</c:v>
                  </c:pt>
                  <c:pt idx="18">
                    <c:v>#VALEUR!</c:v>
                  </c:pt>
                  <c:pt idx="19">
                    <c:v>#VALEUR!</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Testo-3,7µg/L : 0%</c:v>
                  </c:pt>
                  <c:pt idx="1">
                    <c:v>Testo-11µg/L : 0%</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Testo-3,7µg/L : 0%</c:v>
                  </c:pt>
                  <c:pt idx="1">
                    <c:v>Testo-11µg/L : 0%</c:v>
                  </c:pt>
                  <c:pt idx="2">
                    <c:v>Testo-33µg/L : 0%</c:v>
                  </c:pt>
                  <c:pt idx="3">
                    <c:v>Testo-100µg/L : 0%</c:v>
                  </c:pt>
                  <c:pt idx="4">
                    <c:v>#NOMBRE!</c:v>
                  </c:pt>
                  <c:pt idx="5">
                    <c:v>#VALEUR!</c:v>
                  </c:pt>
                  <c:pt idx="6">
                    <c:v>#VALEUR!</c:v>
                  </c:pt>
                  <c:pt idx="7">
                    <c:v>#VALEUR!</c:v>
                  </c:pt>
                  <c:pt idx="8">
                    <c:v>#VALEUR!</c:v>
                  </c:pt>
                  <c:pt idx="9">
                    <c:v>#VALEUR!</c:v>
                  </c:pt>
                  <c:pt idx="10">
                    <c:v>#VALEUR!</c:v>
                  </c:pt>
                  <c:pt idx="11">
                    <c:v>#VALEUR!</c:v>
                  </c:pt>
                  <c:pt idx="12">
                    <c:v>#VALEUR!</c:v>
                  </c:pt>
                  <c:pt idx="13">
                    <c:v>#VALEUR!</c:v>
                  </c:pt>
                  <c:pt idx="14">
                    <c:v>#VALEUR!</c:v>
                  </c:pt>
                  <c:pt idx="15">
                    <c:v>#VALEUR!</c:v>
                  </c:pt>
                  <c:pt idx="16">
                    <c:v>#VALEUR!</c:v>
                  </c:pt>
                  <c:pt idx="17">
                    <c:v>#VALEUR!</c:v>
                  </c:pt>
                  <c:pt idx="18">
                    <c:v>#VALEUR!</c:v>
                  </c:pt>
                  <c:pt idx="19">
                    <c:v>#VALEUR!</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Testo-11µg/L</c:v>
                </c:pt>
                <c:pt idx="2">
                  <c:v>Testo-33µg/L</c:v>
                </c:pt>
                <c:pt idx="3">
                  <c:v>Testo-100µg/L</c:v>
                </c:pt>
                <c:pt idx="4">
                  <c:v>Testo-300µg/L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Testo-11µg/L</c:v>
                </c:pt>
                <c:pt idx="2">
                  <c:v>Testo-33µg/L</c:v>
                </c:pt>
                <c:pt idx="3">
                  <c:v>Testo-100µg/L</c:v>
                </c:pt>
                <c:pt idx="4">
                  <c:v>Testo-300µg/L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Testo-11µg/L</c:v>
                </c:pt>
                <c:pt idx="2">
                  <c:v>Testo-33µg/L</c:v>
                </c:pt>
                <c:pt idx="3">
                  <c:v>Testo-100µg/L</c:v>
                </c:pt>
                <c:pt idx="4">
                  <c:v>Testo-300µg/L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CED10039-9954-4371-9277-51D2CAA1364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F9CB78EF-B8F8-46EA-BA64-19D9BF7BD88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E28D4761-E4C6-449E-99C9-D2B98410E3A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34D66085-8EAE-48EE-B55F-AE4CD86320B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2A08EB0D-3C9A-4E0D-85C9-DFA3A1094AA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B0179D05-88E0-4AE0-BC1E-C91B4312BBF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E8D5E195-EA4F-49A8-B819-EA5F562F395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B4964EDE-3617-4B44-9116-6CDCCBD1350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71C22975-1DA0-4959-8A5D-5B1761DDDCD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3ADCA196-270E-4DE2-AD7F-23A7681C141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E8EDE861-2824-4DDF-AF50-7318D2FCB87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3D8CEDCA-340E-4A56-B3AD-89F0BA2049F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79438BCF-9E35-4164-97F5-05A0325ECB0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23409FD9-3D60-46D7-A746-B91FE9C0086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8.7099704942541836E-2</c:v>
                  </c:pt>
                  <c:pt idx="2">
                    <c:v>0.15673511786343813</c:v>
                  </c:pt>
                  <c:pt idx="3">
                    <c:v>0.24008552372766029</c:v>
                  </c:pt>
                  <c:pt idx="4">
                    <c:v>0.23588198202731017</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8.7099704942541836E-2</c:v>
                  </c:pt>
                  <c:pt idx="2">
                    <c:v>0.15673511786343813</c:v>
                  </c:pt>
                  <c:pt idx="3">
                    <c:v>0.24008552372766029</c:v>
                  </c:pt>
                  <c:pt idx="4">
                    <c:v>0.23588198202731017</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Testo-11µg/L</c:v>
                </c:pt>
                <c:pt idx="2">
                  <c:v>Testo-33µg/L</c:v>
                </c:pt>
                <c:pt idx="3">
                  <c:v>Testo-100µg/L</c:v>
                </c:pt>
                <c:pt idx="4">
                  <c:v>Testo-300µg/L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0.40590817188454914</c:v>
                </c:pt>
                <c:pt idx="2">
                  <c:v>1.0539260687771403</c:v>
                </c:pt>
                <c:pt idx="3">
                  <c:v>2.0003170311377221</c:v>
                </c:pt>
                <c:pt idx="4">
                  <c:v>2.3113546074511606</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0.15229055770800312</c:v>
                </c:pt>
                <c:pt idx="1">
                  <c:v>0.15229055770800312</c:v>
                </c:pt>
                <c:pt idx="2">
                  <c:v>0.15229055770800312</c:v>
                </c:pt>
                <c:pt idx="3">
                  <c:v>0.15229055770800312</c:v>
                </c:pt>
                <c:pt idx="4">
                  <c:v>0.15229055770800312</c:v>
                </c:pt>
                <c:pt idx="5">
                  <c:v>0.15229055770800312</c:v>
                </c:pt>
                <c:pt idx="6">
                  <c:v>0.15229055770800312</c:v>
                </c:pt>
                <c:pt idx="7">
                  <c:v>0.15229055770800312</c:v>
                </c:pt>
                <c:pt idx="8">
                  <c:v>0.15229055770800312</c:v>
                </c:pt>
                <c:pt idx="9">
                  <c:v>0.15229055770800312</c:v>
                </c:pt>
                <c:pt idx="10">
                  <c:v>0.15229055770800312</c:v>
                </c:pt>
                <c:pt idx="11">
                  <c:v>0.15229055770800312</c:v>
                </c:pt>
                <c:pt idx="12">
                  <c:v>0.15229055770800312</c:v>
                </c:pt>
                <c:pt idx="13">
                  <c:v>0.15229055770800312</c:v>
                </c:pt>
                <c:pt idx="14">
                  <c:v>0.15229055770800312</c:v>
                </c:pt>
                <c:pt idx="15">
                  <c:v>0.15229055770800312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Testo-3,7µg/L + Testostérone</c:v>
                </c:pt>
                <c:pt idx="2">
                  <c:v>Testo-11µg/L + Testostérone</c:v>
                </c:pt>
                <c:pt idx="3">
                  <c:v>Testo-33µg/L + Testostérone</c:v>
                </c:pt>
                <c:pt idx="4">
                  <c:v>Testo-100µg/L + Testostérone</c:v>
                </c:pt>
                <c:pt idx="5">
                  <c:v>Testo-300µg/L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CHG'!$U$8:$AJ$8</c:f>
              <c:numCache>
                <c:formatCode>General</c:formatCode>
                <c:ptCount val="16"/>
                <c:pt idx="0">
                  <c:v>0.11656955822676086</c:v>
                </c:pt>
                <c:pt idx="1">
                  <c:v>0.11656955822676086</c:v>
                </c:pt>
                <c:pt idx="2">
                  <c:v>0.11656955822676086</c:v>
                </c:pt>
                <c:pt idx="3">
                  <c:v>0.11656955822676086</c:v>
                </c:pt>
                <c:pt idx="4">
                  <c:v>0.11656955822676086</c:v>
                </c:pt>
                <c:pt idx="5">
                  <c:v>0.11656955822676086</c:v>
                </c:pt>
                <c:pt idx="6">
                  <c:v>0.11656955822676086</c:v>
                </c:pt>
                <c:pt idx="7">
                  <c:v>0.11656955822676086</c:v>
                </c:pt>
                <c:pt idx="8">
                  <c:v>0.11656955822676086</c:v>
                </c:pt>
                <c:pt idx="9">
                  <c:v>0.11656955822676086</c:v>
                </c:pt>
                <c:pt idx="10">
                  <c:v>0.11656955822676086</c:v>
                </c:pt>
                <c:pt idx="11">
                  <c:v>0.11656955822676086</c:v>
                </c:pt>
                <c:pt idx="12">
                  <c:v>0.11656955822676086</c:v>
                </c:pt>
                <c:pt idx="13">
                  <c:v>0.11656955822676086</c:v>
                </c:pt>
                <c:pt idx="14">
                  <c:v>0.11656955822676086</c:v>
                </c:pt>
                <c:pt idx="15">
                  <c:v>0.11656955822676086</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Testo-3,7µg/L + Testostérone</c:v>
                </c:pt>
                <c:pt idx="2">
                  <c:v>Testo-11µg/L + Testostérone</c:v>
                </c:pt>
                <c:pt idx="3">
                  <c:v>Testo-33µg/L + Testostérone</c:v>
                </c:pt>
                <c:pt idx="4">
                  <c:v>Testo-100µg/L + Testostérone</c:v>
                </c:pt>
                <c:pt idx="5">
                  <c:v>Testo-300µg/L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CHG'!$U$9:$AJ$9</c:f>
              <c:numCache>
                <c:formatCode>General</c:formatCode>
                <c:ptCount val="16"/>
                <c:pt idx="0">
                  <c:v>3.0118952793642642</c:v>
                </c:pt>
                <c:pt idx="1">
                  <c:v>3.0118952793642642</c:v>
                </c:pt>
                <c:pt idx="2">
                  <c:v>3.0118952793642642</c:v>
                </c:pt>
                <c:pt idx="3">
                  <c:v>3.0118952793642642</c:v>
                </c:pt>
                <c:pt idx="4">
                  <c:v>3.0118952793642642</c:v>
                </c:pt>
                <c:pt idx="5">
                  <c:v>3.0118952793642642</c:v>
                </c:pt>
                <c:pt idx="6">
                  <c:v>3.0118952793642642</c:v>
                </c:pt>
                <c:pt idx="7">
                  <c:v>3.0118952793642642</c:v>
                </c:pt>
                <c:pt idx="8">
                  <c:v>3.0118952793642642</c:v>
                </c:pt>
                <c:pt idx="9">
                  <c:v>3.0118952793642642</c:v>
                </c:pt>
                <c:pt idx="10">
                  <c:v>3.0118952793642642</c:v>
                </c:pt>
                <c:pt idx="11">
                  <c:v>3.0118952793642642</c:v>
                </c:pt>
                <c:pt idx="12">
                  <c:v>3.0118952793642642</c:v>
                </c:pt>
                <c:pt idx="13">
                  <c:v>3.0118952793642642</c:v>
                </c:pt>
                <c:pt idx="14">
                  <c:v>3.0118952793642642</c:v>
                </c:pt>
                <c:pt idx="15">
                  <c:v>3.0118952793642642</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Testo-3,7µg/L + Testostérone</c:v>
                </c:pt>
                <c:pt idx="2">
                  <c:v>Testo-11µg/L + Testostérone</c:v>
                </c:pt>
                <c:pt idx="3">
                  <c:v>Testo-33µg/L + Testostérone</c:v>
                </c:pt>
                <c:pt idx="4">
                  <c:v>Testo-100µg/L + Testostérone</c:v>
                </c:pt>
                <c:pt idx="5">
                  <c:v>Testo-300µg/L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CHG'!$U$10:$AJ$10</c:f>
              <c:numCache>
                <c:formatCode>General</c:formatCode>
                <c:ptCount val="16"/>
                <c:pt idx="0">
                  <c:v>-0.51189527936426416</c:v>
                </c:pt>
                <c:pt idx="1">
                  <c:v>-0.51189527936426416</c:v>
                </c:pt>
                <c:pt idx="2">
                  <c:v>-0.51189527936426416</c:v>
                </c:pt>
                <c:pt idx="3">
                  <c:v>-0.51189527936426416</c:v>
                </c:pt>
                <c:pt idx="4">
                  <c:v>-0.51189527936426416</c:v>
                </c:pt>
                <c:pt idx="5">
                  <c:v>-0.51189527936426416</c:v>
                </c:pt>
                <c:pt idx="6">
                  <c:v>-0.51189527936426416</c:v>
                </c:pt>
                <c:pt idx="7">
                  <c:v>-0.51189527936426416</c:v>
                </c:pt>
                <c:pt idx="8">
                  <c:v>-0.51189527936426416</c:v>
                </c:pt>
                <c:pt idx="9">
                  <c:v>-0.51189527936426416</c:v>
                </c:pt>
                <c:pt idx="10">
                  <c:v>-0.51189527936426416</c:v>
                </c:pt>
                <c:pt idx="11">
                  <c:v>-0.51189527936426416</c:v>
                </c:pt>
                <c:pt idx="12">
                  <c:v>-0.51189527936426416</c:v>
                </c:pt>
                <c:pt idx="13">
                  <c:v>-0.51189527936426416</c:v>
                </c:pt>
                <c:pt idx="14">
                  <c:v>-0.51189527936426416</c:v>
                </c:pt>
                <c:pt idx="15">
                  <c:v>-0.51189527936426416</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4ED88024-4746-4984-BA46-E670B5C5569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FFD0FCFE-2677-4E30-A6D6-DC5CB4DDC53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BCFBE016-3028-4ADD-BFDA-ADBD2922ADD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F241B534-0289-481A-9D79-A808C0FD1E2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2DE74ACE-E35C-4F73-9C7D-ED3CE402C68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AA1039EF-28B3-4A0E-BD3D-70B6878566B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CCD09348-61E2-4FB0-99CD-5F79DCF0BE1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3348EF33-47D0-407B-B5BE-AABCCBB8A4A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03EDCBBE-D11B-44E7-9B82-17B9E9FE652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38750AD8-9B5D-4BA7-B701-17B4B126751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632199D7-2FD0-4496-99E1-CFC91A43456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78E6F2B2-77B7-4365-970A-3AAD2ECED51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351A1152-FD0A-4716-80B8-80B3E08149E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E94862E2-3E2A-42DB-8532-7B5296E5CF8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0.22035816842392178</c:v>
                  </c:pt>
                  <c:pt idx="2">
                    <c:v>0.23385893828883572</c:v>
                  </c:pt>
                  <c:pt idx="3">
                    <c:v>0.21761855717392248</c:v>
                  </c:pt>
                  <c:pt idx="4">
                    <c:v>0.18371432813303504</c:v>
                  </c:pt>
                  <c:pt idx="5">
                    <c:v>0.27181882611721109</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0.22035816842392178</c:v>
                  </c:pt>
                  <c:pt idx="2">
                    <c:v>0.23385893828883572</c:v>
                  </c:pt>
                  <c:pt idx="3">
                    <c:v>0.21761855717392248</c:v>
                  </c:pt>
                  <c:pt idx="4">
                    <c:v>0.18371432813303504</c:v>
                  </c:pt>
                  <c:pt idx="5">
                    <c:v>0.27181882611721109</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Testo-3,7µg/L + Testostérone</c:v>
                </c:pt>
                <c:pt idx="2">
                  <c:v>Testo-11µg/L + Testostérone</c:v>
                </c:pt>
                <c:pt idx="3">
                  <c:v>Testo-33µg/L + Testostérone</c:v>
                </c:pt>
                <c:pt idx="4">
                  <c:v>Testo-100µg/L + Testostérone</c:v>
                </c:pt>
                <c:pt idx="5">
                  <c:v>Testo-300µg/L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CHG'!$U$3:$AJ$3</c:f>
              <c:numCache>
                <c:formatCode>General</c:formatCode>
                <c:ptCount val="16"/>
                <c:pt idx="1">
                  <c:v>1.2026042022653904</c:v>
                </c:pt>
                <c:pt idx="2">
                  <c:v>1.5460240242861774</c:v>
                </c:pt>
                <c:pt idx="3">
                  <c:v>1.2425321603986419</c:v>
                </c:pt>
                <c:pt idx="4">
                  <c:v>1.4548981748227832</c:v>
                </c:pt>
                <c:pt idx="5">
                  <c:v>1.8625814316310367</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c:v>
                  </c:pt>
                  <c:pt idx="6">
                    <c:v>#VALEUR!</c:v>
                  </c:pt>
                  <c:pt idx="7">
                    <c:v>#VALEUR!</c:v>
                  </c:pt>
                  <c:pt idx="8">
                    <c:v>#VALEUR!</c:v>
                  </c:pt>
                  <c:pt idx="9">
                    <c:v>#VALEUR!</c:v>
                  </c:pt>
                  <c:pt idx="10">
                    <c:v>#VALEUR!</c:v>
                  </c:pt>
                  <c:pt idx="11">
                    <c:v>#VALEUR!</c:v>
                  </c:pt>
                  <c:pt idx="12">
                    <c:v>#VALEUR!</c:v>
                  </c:pt>
                  <c:pt idx="13">
                    <c:v>#VALEUR!</c:v>
                  </c:pt>
                  <c:pt idx="14">
                    <c:v>#VALEUR!</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Testo-3,7µg/L + Testostérone</c:v>
                </c:pt>
                <c:pt idx="2">
                  <c:v>Testo-11µg/L + Testostérone</c:v>
                </c:pt>
                <c:pt idx="3">
                  <c:v>Testo-33µg/L + Testostérone</c:v>
                </c:pt>
                <c:pt idx="4">
                  <c:v>Testo-100µg/L + Testostérone</c:v>
                </c:pt>
                <c:pt idx="5">
                  <c:v>Testo-300µg/L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Testo-11µg/L</c:v>
                </c:pt>
                <c:pt idx="2">
                  <c:v>Testo-33µg/L</c:v>
                </c:pt>
                <c:pt idx="3">
                  <c:v>Testo-100µg/L</c:v>
                </c:pt>
                <c:pt idx="4">
                  <c:v>Testo-300µg/L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Testo-11µg/L</c:v>
                </c:pt>
                <c:pt idx="2">
                  <c:v>Testo-33µg/L</c:v>
                </c:pt>
                <c:pt idx="3">
                  <c:v>Testo-100µg/L</c:v>
                </c:pt>
                <c:pt idx="4">
                  <c:v>Testo-300µg/L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Testo-11µg/L</c:v>
                </c:pt>
                <c:pt idx="2">
                  <c:v>Testo-33µg/L</c:v>
                </c:pt>
                <c:pt idx="3">
                  <c:v>Testo-100µg/L</c:v>
                </c:pt>
                <c:pt idx="4">
                  <c:v>Testo-300µg/L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4955CA95-779D-4B52-B7A7-B5DE4CFC84C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B2F8E9B4-830C-4BAA-B5B0-54692350DC2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658C0030-BC80-482A-9A7C-BF4AA632CA5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1683DE6F-6BDB-4AFF-BEAB-D37D116AA54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F7A30EB4-EA5D-4B4B-832C-FC370A194FC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5A0937C2-CF07-4097-BAB3-1827155A3CC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F5A7B5AA-EFA0-4EDB-B987-12046AB66F7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2D43B7B8-7DE8-4A17-8F47-4E970BBD32D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4B7BE3A5-C0D8-4E87-8997-2119365BD66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C7B373DC-4EFF-4F4B-B3F2-4BED28DCFFC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F21F5608-E94E-4AD8-AE39-2D76F1C2ADB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1DE05ADA-4405-4943-B1C8-9E73704E73C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54791561-3ABC-4AD2-AC4F-068E2E238B2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2A172CCB-B8ED-43AF-8707-39C1E5061F7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8.7099704942541836E-2</c:v>
                  </c:pt>
                  <c:pt idx="2">
                    <c:v>0.15673511786343813</c:v>
                  </c:pt>
                  <c:pt idx="3">
                    <c:v>0.24008552372766029</c:v>
                  </c:pt>
                  <c:pt idx="4">
                    <c:v>0.23588198202731017</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8.7099704942541836E-2</c:v>
                  </c:pt>
                  <c:pt idx="2">
                    <c:v>0.15673511786343813</c:v>
                  </c:pt>
                  <c:pt idx="3">
                    <c:v>0.24008552372766029</c:v>
                  </c:pt>
                  <c:pt idx="4">
                    <c:v>0.23588198202731017</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Testo-11µg/L</c:v>
                </c:pt>
                <c:pt idx="2">
                  <c:v>Testo-33µg/L</c:v>
                </c:pt>
                <c:pt idx="3">
                  <c:v>Testo-100µg/L</c:v>
                </c:pt>
                <c:pt idx="4">
                  <c:v>Testo-300µg/L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0.40590817188454914</c:v>
                </c:pt>
                <c:pt idx="2">
                  <c:v>1.0539260687771403</c:v>
                </c:pt>
                <c:pt idx="3">
                  <c:v>2.0003170311377221</c:v>
                </c:pt>
                <c:pt idx="4">
                  <c:v>2.3113546074511606</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0.15229055770800312</c:v>
                </c:pt>
                <c:pt idx="1">
                  <c:v>0.15229055770800312</c:v>
                </c:pt>
                <c:pt idx="2">
                  <c:v>0.15229055770800312</c:v>
                </c:pt>
                <c:pt idx="3">
                  <c:v>0.15229055770800312</c:v>
                </c:pt>
                <c:pt idx="4">
                  <c:v>0.15229055770800312</c:v>
                </c:pt>
                <c:pt idx="5">
                  <c:v>0.15229055770800312</c:v>
                </c:pt>
                <c:pt idx="6">
                  <c:v>0.15229055770800312</c:v>
                </c:pt>
                <c:pt idx="7">
                  <c:v>0.15229055770800312</c:v>
                </c:pt>
                <c:pt idx="8">
                  <c:v>0.15229055770800312</c:v>
                </c:pt>
                <c:pt idx="9">
                  <c:v>0.15229055770800312</c:v>
                </c:pt>
                <c:pt idx="10">
                  <c:v>0.15229055770800312</c:v>
                </c:pt>
                <c:pt idx="11">
                  <c:v>0.15229055770800312</c:v>
                </c:pt>
                <c:pt idx="12">
                  <c:v>0.15229055770800312</c:v>
                </c:pt>
                <c:pt idx="13">
                  <c:v>0.15229055770800312</c:v>
                </c:pt>
                <c:pt idx="14">
                  <c:v>0.15229055770800312</c:v>
                </c:pt>
                <c:pt idx="15">
                  <c:v>0.15229055770800312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Testo-3,7µg/L + Testostérone</c:v>
                </c:pt>
                <c:pt idx="2">
                  <c:v>Testo-11µg/L + Testostérone</c:v>
                </c:pt>
                <c:pt idx="3">
                  <c:v>Testo-33µg/L + Testostérone</c:v>
                </c:pt>
                <c:pt idx="4">
                  <c:v>Testo-100µg/L + Testostérone</c:v>
                </c:pt>
                <c:pt idx="5">
                  <c:v>Testo-300µg/L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CHG'!$U$8:$AJ$8</c:f>
              <c:numCache>
                <c:formatCode>General</c:formatCode>
                <c:ptCount val="16"/>
                <c:pt idx="0">
                  <c:v>0.11656955822676086</c:v>
                </c:pt>
                <c:pt idx="1">
                  <c:v>0.11656955822676086</c:v>
                </c:pt>
                <c:pt idx="2">
                  <c:v>0.11656955822676086</c:v>
                </c:pt>
                <c:pt idx="3">
                  <c:v>0.11656955822676086</c:v>
                </c:pt>
                <c:pt idx="4">
                  <c:v>0.11656955822676086</c:v>
                </c:pt>
                <c:pt idx="5">
                  <c:v>0.11656955822676086</c:v>
                </c:pt>
                <c:pt idx="6">
                  <c:v>0.11656955822676086</c:v>
                </c:pt>
                <c:pt idx="7">
                  <c:v>0.11656955822676086</c:v>
                </c:pt>
                <c:pt idx="8">
                  <c:v>0.11656955822676086</c:v>
                </c:pt>
                <c:pt idx="9">
                  <c:v>0.11656955822676086</c:v>
                </c:pt>
                <c:pt idx="10">
                  <c:v>0.11656955822676086</c:v>
                </c:pt>
                <c:pt idx="11">
                  <c:v>0.11656955822676086</c:v>
                </c:pt>
                <c:pt idx="12">
                  <c:v>0.11656955822676086</c:v>
                </c:pt>
                <c:pt idx="13">
                  <c:v>0.11656955822676086</c:v>
                </c:pt>
                <c:pt idx="14">
                  <c:v>0.11656955822676086</c:v>
                </c:pt>
                <c:pt idx="15">
                  <c:v>0.11656955822676086</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Testo-3,7µg/L + Testostérone</c:v>
                </c:pt>
                <c:pt idx="2">
                  <c:v>Testo-11µg/L + Testostérone</c:v>
                </c:pt>
                <c:pt idx="3">
                  <c:v>Testo-33µg/L + Testostérone</c:v>
                </c:pt>
                <c:pt idx="4">
                  <c:v>Testo-100µg/L + Testostérone</c:v>
                </c:pt>
                <c:pt idx="5">
                  <c:v>Testo-300µg/L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CHG'!$U$9:$AJ$9</c:f>
              <c:numCache>
                <c:formatCode>General</c:formatCode>
                <c:ptCount val="16"/>
                <c:pt idx="0">
                  <c:v>3.0118952793642642</c:v>
                </c:pt>
                <c:pt idx="1">
                  <c:v>3.0118952793642642</c:v>
                </c:pt>
                <c:pt idx="2">
                  <c:v>3.0118952793642642</c:v>
                </c:pt>
                <c:pt idx="3">
                  <c:v>3.0118952793642642</c:v>
                </c:pt>
                <c:pt idx="4">
                  <c:v>3.0118952793642642</c:v>
                </c:pt>
                <c:pt idx="5">
                  <c:v>3.0118952793642642</c:v>
                </c:pt>
                <c:pt idx="6">
                  <c:v>3.0118952793642642</c:v>
                </c:pt>
                <c:pt idx="7">
                  <c:v>3.0118952793642642</c:v>
                </c:pt>
                <c:pt idx="8">
                  <c:v>3.0118952793642642</c:v>
                </c:pt>
                <c:pt idx="9">
                  <c:v>3.0118952793642642</c:v>
                </c:pt>
                <c:pt idx="10">
                  <c:v>3.0118952793642642</c:v>
                </c:pt>
                <c:pt idx="11">
                  <c:v>3.0118952793642642</c:v>
                </c:pt>
                <c:pt idx="12">
                  <c:v>3.0118952793642642</c:v>
                </c:pt>
                <c:pt idx="13">
                  <c:v>3.0118952793642642</c:v>
                </c:pt>
                <c:pt idx="14">
                  <c:v>3.0118952793642642</c:v>
                </c:pt>
                <c:pt idx="15">
                  <c:v>3.0118952793642642</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Testo-3,7µg/L + Testostérone</c:v>
                </c:pt>
                <c:pt idx="2">
                  <c:v>Testo-11µg/L + Testostérone</c:v>
                </c:pt>
                <c:pt idx="3">
                  <c:v>Testo-33µg/L + Testostérone</c:v>
                </c:pt>
                <c:pt idx="4">
                  <c:v>Testo-100µg/L + Testostérone</c:v>
                </c:pt>
                <c:pt idx="5">
                  <c:v>Testo-300µg/L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CHG'!$U$10:$AJ$10</c:f>
              <c:numCache>
                <c:formatCode>General</c:formatCode>
                <c:ptCount val="16"/>
                <c:pt idx="0">
                  <c:v>-0.51189527936426416</c:v>
                </c:pt>
                <c:pt idx="1">
                  <c:v>-0.51189527936426416</c:v>
                </c:pt>
                <c:pt idx="2">
                  <c:v>-0.51189527936426416</c:v>
                </c:pt>
                <c:pt idx="3">
                  <c:v>-0.51189527936426416</c:v>
                </c:pt>
                <c:pt idx="4">
                  <c:v>-0.51189527936426416</c:v>
                </c:pt>
                <c:pt idx="5">
                  <c:v>-0.51189527936426416</c:v>
                </c:pt>
                <c:pt idx="6">
                  <c:v>-0.51189527936426416</c:v>
                </c:pt>
                <c:pt idx="7">
                  <c:v>-0.51189527936426416</c:v>
                </c:pt>
                <c:pt idx="8">
                  <c:v>-0.51189527936426416</c:v>
                </c:pt>
                <c:pt idx="9">
                  <c:v>-0.51189527936426416</c:v>
                </c:pt>
                <c:pt idx="10">
                  <c:v>-0.51189527936426416</c:v>
                </c:pt>
                <c:pt idx="11">
                  <c:v>-0.51189527936426416</c:v>
                </c:pt>
                <c:pt idx="12">
                  <c:v>-0.51189527936426416</c:v>
                </c:pt>
                <c:pt idx="13">
                  <c:v>-0.51189527936426416</c:v>
                </c:pt>
                <c:pt idx="14">
                  <c:v>-0.51189527936426416</c:v>
                </c:pt>
                <c:pt idx="15">
                  <c:v>-0.51189527936426416</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CACC48FF-A1D3-4663-82B8-98435249941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94084B76-97AF-4AF7-9C91-2D60D114CC8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67165769-788C-442D-ABC4-23854F1B182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41AE332C-898B-43B1-B634-54680940ADA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539A09D1-FDAC-4F2A-B6E3-CAB719BBEF5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AA9A484D-1E5A-433D-BFD8-CE90FDCA9D3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D9FA6EE7-9C50-4B1B-B00A-DF5C82C6BB0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A32C2F79-E3DD-49AC-852C-09BBC55C574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B049E0A6-BF51-4D0D-986D-69DCC595E55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72D86057-667B-401A-899D-A46700F146C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EBCE9B42-A6C6-4E2B-967C-D65DC7E7B67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69AC9E01-1869-4976-840C-0EBF62D2D9D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05DCD1EE-63B8-4BDD-9020-94E77C41B69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3E23999E-5FC8-4A0D-9A18-6D3465B25DF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0.22035816842392178</c:v>
                  </c:pt>
                  <c:pt idx="2">
                    <c:v>0.23385893828883572</c:v>
                  </c:pt>
                  <c:pt idx="3">
                    <c:v>0.21761855717392248</c:v>
                  </c:pt>
                  <c:pt idx="4">
                    <c:v>0.18371432813303504</c:v>
                  </c:pt>
                  <c:pt idx="5">
                    <c:v>0.27181882611721109</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0.22035816842392178</c:v>
                  </c:pt>
                  <c:pt idx="2">
                    <c:v>0.23385893828883572</c:v>
                  </c:pt>
                  <c:pt idx="3">
                    <c:v>0.21761855717392248</c:v>
                  </c:pt>
                  <c:pt idx="4">
                    <c:v>0.18371432813303504</c:v>
                  </c:pt>
                  <c:pt idx="5">
                    <c:v>0.27181882611721109</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Testo-3,7µg/L + Testostérone</c:v>
                </c:pt>
                <c:pt idx="2">
                  <c:v>Testo-11µg/L + Testostérone</c:v>
                </c:pt>
                <c:pt idx="3">
                  <c:v>Testo-33µg/L + Testostérone</c:v>
                </c:pt>
                <c:pt idx="4">
                  <c:v>Testo-100µg/L + Testostérone</c:v>
                </c:pt>
                <c:pt idx="5">
                  <c:v>Testo-300µg/L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CHG'!$U$3:$AJ$3</c:f>
              <c:numCache>
                <c:formatCode>General</c:formatCode>
                <c:ptCount val="16"/>
                <c:pt idx="1">
                  <c:v>1.2026042022653904</c:v>
                </c:pt>
                <c:pt idx="2">
                  <c:v>1.5460240242861774</c:v>
                </c:pt>
                <c:pt idx="3">
                  <c:v>1.2425321603986419</c:v>
                </c:pt>
                <c:pt idx="4">
                  <c:v>1.4548981748227832</c:v>
                </c:pt>
                <c:pt idx="5">
                  <c:v>1.8625814316310367</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c:v>
                  </c:pt>
                  <c:pt idx="6">
                    <c:v>#VALEUR!</c:v>
                  </c:pt>
                  <c:pt idx="7">
                    <c:v>#VALEUR!</c:v>
                  </c:pt>
                  <c:pt idx="8">
                    <c:v>#VALEUR!</c:v>
                  </c:pt>
                  <c:pt idx="9">
                    <c:v>#VALEUR!</c:v>
                  </c:pt>
                  <c:pt idx="10">
                    <c:v>#VALEUR!</c:v>
                  </c:pt>
                  <c:pt idx="11">
                    <c:v>#VALEUR!</c:v>
                  </c:pt>
                  <c:pt idx="12">
                    <c:v>#VALEUR!</c:v>
                  </c:pt>
                  <c:pt idx="13">
                    <c:v>#VALEUR!</c:v>
                  </c:pt>
                  <c:pt idx="14">
                    <c:v>#VALEUR!</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Testo-3,7µg/L + Testostérone</c:v>
                </c:pt>
                <c:pt idx="2">
                  <c:v>Testo-11µg/L + Testostérone</c:v>
                </c:pt>
                <c:pt idx="3">
                  <c:v>Testo-33µg/L + Testostérone</c:v>
                </c:pt>
                <c:pt idx="4">
                  <c:v>Testo-100µg/L + Testostérone</c:v>
                </c:pt>
                <c:pt idx="5">
                  <c:v>Testo-300µg/L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Testo-11µg/L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Testo-11µg/L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Testo-11µg/L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64CD6F0B-D3B7-48BE-BE74-2B0773C65D7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FF31E59F-01F8-4C5E-859A-F5A89DB442C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8.7099704942541836E-2</c:v>
                  </c:pt>
                </c:numCache>
              </c:numRef>
            </c:plus>
            <c:minus>
              <c:numRef>
                <c:f>'Graph format rapport CHG 1éch'!$E$4:$G$4</c:f>
                <c:numCache>
                  <c:formatCode>General</c:formatCode>
                  <c:ptCount val="3"/>
                  <c:pt idx="1">
                    <c:v>8.7099704942541836E-2</c:v>
                  </c:pt>
                </c:numCache>
              </c:numRef>
            </c:minus>
          </c:errBars>
          <c:cat>
            <c:strRef>
              <c:f>'Graph format rapport CHG 1éch'!$E$2:$G$2</c:f>
              <c:strCache>
                <c:ptCount val="2"/>
                <c:pt idx="1">
                  <c:v>Testo-11µg/L</c:v>
                </c:pt>
              </c:strCache>
            </c:strRef>
          </c:cat>
          <c:val>
            <c:numRef>
              <c:f>'Graph format rapport CHG 1éch'!$E$3:$G$3</c:f>
              <c:numCache>
                <c:formatCode>General</c:formatCode>
                <c:ptCount val="3"/>
                <c:pt idx="1">
                  <c:v>0.40590817188454914</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0.15229055770800312</c:v>
                </c:pt>
                <c:pt idx="1">
                  <c:v>0.15229055770800312</c:v>
                </c:pt>
                <c:pt idx="2">
                  <c:v>0.15229055770800312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Testo-3,7µg/L + Testostérone</c:v>
                </c:pt>
              </c:strCache>
            </c:strRef>
          </c:cat>
          <c:val>
            <c:numRef>
              <c:f>'Graph format rapport CHG 1éch'!$H$8:$J$8</c:f>
              <c:numCache>
                <c:formatCode>General</c:formatCode>
                <c:ptCount val="3"/>
                <c:pt idx="0">
                  <c:v>0.11656955822676086</c:v>
                </c:pt>
                <c:pt idx="1">
                  <c:v>0.11656955822676086</c:v>
                </c:pt>
                <c:pt idx="2">
                  <c:v>0.11656955822676086</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Testo-3,7µg/L + Testostérone</c:v>
                </c:pt>
              </c:strCache>
            </c:strRef>
          </c:cat>
          <c:val>
            <c:numRef>
              <c:f>'Graph format rapport CHG 1éch'!$H$9:$J$9</c:f>
              <c:numCache>
                <c:formatCode>General</c:formatCode>
                <c:ptCount val="3"/>
                <c:pt idx="0">
                  <c:v>3.0118952793642642</c:v>
                </c:pt>
                <c:pt idx="1">
                  <c:v>3.0118952793642642</c:v>
                </c:pt>
                <c:pt idx="2">
                  <c:v>3.0118952793642642</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Testo-3,7µg/L + Testostérone</c:v>
                </c:pt>
              </c:strCache>
            </c:strRef>
          </c:cat>
          <c:val>
            <c:numRef>
              <c:f>'Graph format rapport CHG 1éch'!$H$10:$J$10</c:f>
              <c:numCache>
                <c:formatCode>General</c:formatCode>
                <c:ptCount val="3"/>
                <c:pt idx="0">
                  <c:v>-0.51189527936426416</c:v>
                </c:pt>
                <c:pt idx="1">
                  <c:v>-0.51189527936426416</c:v>
                </c:pt>
                <c:pt idx="2">
                  <c:v>-0.51189527936426416</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D768474E-FA1C-4FDE-A7C6-6D2CB41586F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CFB574A1-908F-46F7-994A-87C41C0D3B9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0.22035816842392178</c:v>
                  </c:pt>
                </c:numCache>
              </c:numRef>
            </c:plus>
            <c:minus>
              <c:numRef>
                <c:f>'Graph format rapport CHG 1éch'!$H$4:$J$4</c:f>
                <c:numCache>
                  <c:formatCode>General</c:formatCode>
                  <c:ptCount val="3"/>
                  <c:pt idx="1">
                    <c:v>0.22035816842392178</c:v>
                  </c:pt>
                </c:numCache>
              </c:numRef>
            </c:minus>
          </c:errBars>
          <c:cat>
            <c:strRef>
              <c:f>'Graph format rapport CHG 1éch'!$H$2:$J$2</c:f>
              <c:strCache>
                <c:ptCount val="2"/>
                <c:pt idx="1">
                  <c:v>Testo-3,7µg/L + Testostérone</c:v>
                </c:pt>
              </c:strCache>
            </c:strRef>
          </c:cat>
          <c:val>
            <c:numRef>
              <c:f>'Graph format rapport CHG 1éch'!$H$3:$J$3</c:f>
              <c:numCache>
                <c:formatCode>General</c:formatCode>
                <c:ptCount val="3"/>
                <c:pt idx="1">
                  <c:v>1.2026042022653904</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Testo-3,7µg/L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Testo-11µg/L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Testo-11µg/L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Testo-11µg/L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40064928-60C3-4F0B-B912-6D1B42271FF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4C3D4DC2-50EA-4B80-91D5-45BC0E31118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8.7099704942541836E-2</c:v>
                  </c:pt>
                </c:numCache>
              </c:numRef>
            </c:plus>
            <c:minus>
              <c:numRef>
                <c:f>'Graph format rapport CHG 1éch'!$E$4:$G$4</c:f>
                <c:numCache>
                  <c:formatCode>General</c:formatCode>
                  <c:ptCount val="3"/>
                  <c:pt idx="1">
                    <c:v>8.7099704942541836E-2</c:v>
                  </c:pt>
                </c:numCache>
              </c:numRef>
            </c:minus>
          </c:errBars>
          <c:cat>
            <c:strRef>
              <c:f>'Graph format rapport CHG 1éch'!$E$2:$G$2</c:f>
              <c:strCache>
                <c:ptCount val="2"/>
                <c:pt idx="1">
                  <c:v>Testo-11µg/L</c:v>
                </c:pt>
              </c:strCache>
            </c:strRef>
          </c:cat>
          <c:val>
            <c:numRef>
              <c:f>'Graph format rapport CHG 1éch'!$E$3:$G$3</c:f>
              <c:numCache>
                <c:formatCode>General</c:formatCode>
                <c:ptCount val="3"/>
                <c:pt idx="1">
                  <c:v>0.40590817188454914</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0.15229055770800312</c:v>
                </c:pt>
                <c:pt idx="1">
                  <c:v>0.15229055770800312</c:v>
                </c:pt>
                <c:pt idx="2">
                  <c:v>0.15229055770800312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Testo-3,7µg/L + Testostérone</c:v>
                </c:pt>
              </c:strCache>
            </c:strRef>
          </c:cat>
          <c:val>
            <c:numRef>
              <c:f>'Graph format rapport CHG 1éch'!$H$8:$J$8</c:f>
              <c:numCache>
                <c:formatCode>General</c:formatCode>
                <c:ptCount val="3"/>
                <c:pt idx="0">
                  <c:v>0.11656955822676086</c:v>
                </c:pt>
                <c:pt idx="1">
                  <c:v>0.11656955822676086</c:v>
                </c:pt>
                <c:pt idx="2">
                  <c:v>0.11656955822676086</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Testo-3,7µg/L + Testostérone</c:v>
                </c:pt>
              </c:strCache>
            </c:strRef>
          </c:cat>
          <c:val>
            <c:numRef>
              <c:f>'Graph format rapport CHG 1éch'!$H$9:$J$9</c:f>
              <c:numCache>
                <c:formatCode>General</c:formatCode>
                <c:ptCount val="3"/>
                <c:pt idx="0">
                  <c:v>3.0118952793642642</c:v>
                </c:pt>
                <c:pt idx="1">
                  <c:v>3.0118952793642642</c:v>
                </c:pt>
                <c:pt idx="2">
                  <c:v>3.0118952793642642</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Testo-3,7µg/L + Testostérone</c:v>
                </c:pt>
              </c:strCache>
            </c:strRef>
          </c:cat>
          <c:val>
            <c:numRef>
              <c:f>'Graph format rapport CHG 1éch'!$H$10:$J$10</c:f>
              <c:numCache>
                <c:formatCode>General</c:formatCode>
                <c:ptCount val="3"/>
                <c:pt idx="0">
                  <c:v>-0.51189527936426416</c:v>
                </c:pt>
                <c:pt idx="1">
                  <c:v>-0.51189527936426416</c:v>
                </c:pt>
                <c:pt idx="2">
                  <c:v>-0.51189527936426416</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3DBD6CBA-780A-4557-A495-1D7B6ECA0EB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297E0669-55B0-4DFD-942D-C16101EE790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0.22035816842392178</c:v>
                  </c:pt>
                </c:numCache>
              </c:numRef>
            </c:plus>
            <c:minus>
              <c:numRef>
                <c:f>'Graph format rapport CHG 1éch'!$H$4:$J$4</c:f>
                <c:numCache>
                  <c:formatCode>General</c:formatCode>
                  <c:ptCount val="3"/>
                  <c:pt idx="1">
                    <c:v>0.22035816842392178</c:v>
                  </c:pt>
                </c:numCache>
              </c:numRef>
            </c:minus>
          </c:errBars>
          <c:cat>
            <c:strRef>
              <c:f>'Graph format rapport CHG 1éch'!$H$2:$J$2</c:f>
              <c:strCache>
                <c:ptCount val="2"/>
                <c:pt idx="1">
                  <c:v>Testo-3,7µg/L + Testostérone</c:v>
                </c:pt>
              </c:strCache>
            </c:strRef>
          </c:cat>
          <c:val>
            <c:numRef>
              <c:f>'Graph format rapport CHG 1éch'!$H$3:$J$3</c:f>
              <c:numCache>
                <c:formatCode>General</c:formatCode>
                <c:ptCount val="3"/>
                <c:pt idx="1">
                  <c:v>1.2026042022653904</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Testo-3,7µg/L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11"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11"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75"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76"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2683" cy="6051860"/>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6875" cy="6040855"/>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382676" y="10062696"/>
          <a:ext cx="8425736" cy="1074705"/>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546152" y="3836226"/>
          <a:ext cx="8425736" cy="1070169"/>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754287" y="10062696"/>
          <a:ext cx="8425736" cy="1074705"/>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917763" y="3836226"/>
          <a:ext cx="8425736" cy="1070169"/>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s>
    <definedNames>
      <definedName name="DP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669611689817" createdVersion="5" refreshedVersion="7" minRefreshableVersion="3" recordCount="1556" xr:uid="{00000000-000A-0000-FFFF-FFFF0C000000}">
  <cacheSource type="worksheet">
    <worksheetSource name="Tableau4"/>
  </cacheSource>
  <cacheFields count="10">
    <cacheField name="Nom groupe" numFmtId="0">
      <sharedItems containsBlank="1" count="23">
        <s v="1"/>
        <s v=""/>
        <s v="13"/>
        <s v="14"/>
        <s v="15"/>
        <s v="16"/>
        <s v="2"/>
        <s v="3"/>
        <s v="4"/>
        <s v="5"/>
        <s v="6"/>
        <s v="7"/>
        <s v="10"/>
        <s v="11"/>
        <s v="12"/>
        <s v="17"/>
        <s v="18"/>
        <s v="19"/>
        <s v="20"/>
        <s v="21"/>
        <s v="8"/>
        <s v="9"/>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5"/>
    </cacheField>
    <cacheField name=" " numFmtId="0">
      <sharedItems containsBlank="1" count="24">
        <s v=" "/>
        <m/>
        <s v=" SD mean fluo "/>
        <s v=" 3.4538 "/>
        <s v=" 3.3678 "/>
        <s v=" 2.9528 "/>
        <s v=" 3.8636 "/>
        <s v=" 7.6125 "/>
        <s v=" 10.7565 "/>
        <s v=" 7.1955 "/>
        <s v=" 3.3163 "/>
        <s v=" 3.1456 "/>
        <s v=" 7.1074 "/>
        <s v=" 3.8432 "/>
        <s v=" 2.7457 "/>
        <s v=" 5.4604 "/>
        <s v=" 3.8745 "/>
        <s v=" 2.6191 "/>
        <s v=" 5.0274 "/>
        <s v=" 4.5586 "/>
        <s v=" 5.0782 "/>
        <s v=" 15.6326 "/>
        <s v=" 10.0642 "/>
        <s v=" 7.6418 "/>
      </sharedItems>
    </cacheField>
    <cacheField name=" total fluorescence" numFmtId="0">
      <sharedItems containsBlank="1" containsMixedTypes="1" containsNumber="1" containsInteger="1" minValue="0" maxValue="5420992"/>
    </cacheField>
    <cacheField name="         " numFmtId="0">
      <sharedItems containsBlank="1"/>
    </cacheField>
    <cacheField name="nbre de larves" numFmtId="0">
      <sharedItems containsBlank="1" containsMixedTypes="1" containsNumber="1" containsInteger="1" minValue="21"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669611805555" createdVersion="5" refreshedVersion="7" minRefreshableVersion="3" recordCount="1530" xr:uid="{00000000-000A-0000-FFFF-FFFF10000000}">
  <cacheSource type="worksheet">
    <worksheetSource name="Tableau46"/>
  </cacheSource>
  <cacheFields count="10">
    <cacheField name="Nom groupe" numFmtId="0">
      <sharedItems count="22">
        <s v="1"/>
        <s v=""/>
        <s v="13"/>
        <s v="14"/>
        <s v="15"/>
        <s v="16"/>
        <s v="2"/>
        <s v="3"/>
        <s v="4"/>
        <s v="5"/>
        <s v="6"/>
        <s v="7"/>
        <s v="10"/>
        <s v="11"/>
        <s v="12"/>
        <s v="17"/>
        <s v="18"/>
        <s v="19"/>
        <s v="20"/>
        <s v="21"/>
        <s v="8"/>
        <s v="9"/>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2"/>
    </cacheField>
    <cacheField name=" " numFmtId="0">
      <sharedItems containsBlank="1" count="24">
        <s v=" "/>
        <m/>
        <s v=" SD mean fluo "/>
        <s v=" 16.0025 "/>
        <s v=" 3.9433 "/>
        <s v=" 5.0494 "/>
        <s v=" 5.3066 "/>
        <s v=" 8.3269 "/>
        <s v=" 14.3091 "/>
        <s v=" 12.3743 "/>
        <s v=" 12.3707 "/>
        <s v=" 15.9608 "/>
        <s v=" 2.6848 "/>
        <s v=" 3.0301 "/>
        <s v=" 5.7923 "/>
        <s v=" 3.3003 "/>
        <s v=" 5.5805 "/>
        <s v=" 3.6266 "/>
        <s v=" 3.7528 "/>
        <s v=" 4.2945 "/>
        <s v=" 2.3826 "/>
        <s v=" 14.3939 "/>
        <s v=" 10.0532 "/>
        <s v=" 2.7428 "/>
      </sharedItems>
    </cacheField>
    <cacheField name=" total fluorescence" numFmtId="0">
      <sharedItems containsBlank="1" containsMixedTypes="1" containsNumber="1" containsInteger="1" minValue="0" maxValue="5676766"/>
    </cacheField>
    <cacheField name="         " numFmtId="0">
      <sharedItems containsBlank="1"/>
    </cacheField>
    <cacheField name="nbre de larves" numFmtId="0">
      <sharedItems containsBlank="1" containsMixedTypes="1" containsNumber="1" containsInteger="1" minValue="17"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66961203704" createdVersion="5" refreshedVersion="7" minRefreshableVersion="3" recordCount="1710" xr:uid="{00000000-000A-0000-FFFF-FFFF14000000}">
  <cacheSource type="worksheet">
    <worksheetSource name="Tableau467"/>
  </cacheSource>
  <cacheFields count="10">
    <cacheField name="Nom groupe" numFmtId="0">
      <sharedItems count="22">
        <s v="1"/>
        <s v=""/>
        <s v="13"/>
        <s v="14"/>
        <s v="15"/>
        <s v="16"/>
        <s v="2"/>
        <s v="3"/>
        <s v="4"/>
        <s v="5"/>
        <s v="6"/>
        <s v="7"/>
        <s v="10"/>
        <s v="11"/>
        <s v="12"/>
        <s v="17"/>
        <s v="18"/>
        <s v="19"/>
        <s v="20"/>
        <s v="21"/>
        <s v="8"/>
        <s v="9"/>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9"/>
    </cacheField>
    <cacheField name=" " numFmtId="0">
      <sharedItems containsBlank="1" count="24">
        <s v=" "/>
        <m/>
        <s v=" SD mean fluo "/>
        <s v=" 15.0189 "/>
        <s v=" 3.907 "/>
        <s v=" 4.621 "/>
        <s v=" 5.3336 "/>
        <s v=" 15.455 "/>
        <s v=" 4.2809 "/>
        <s v=" 11.3424 "/>
        <s v=" 1.733 "/>
        <s v=" 3.563 "/>
        <s v=" 7.9484 "/>
        <s v=" 4.0827 "/>
        <s v=" 3.3357 "/>
        <s v=" 3.982 "/>
        <s v=" 4.6613 "/>
        <s v=" 10.396 "/>
        <s v=" 3.9209 "/>
        <s v=" 6.6684 "/>
        <s v=" 4.1823 "/>
        <s v=" 6.8215 "/>
        <s v=" 2.5099 "/>
        <s v=" 2.6434 "/>
      </sharedItems>
    </cacheField>
    <cacheField name=" total fluorescence" numFmtId="0">
      <sharedItems containsBlank="1" containsMixedTypes="1" containsNumber="1" containsInteger="1" minValue="0" maxValue="5209841"/>
    </cacheField>
    <cacheField name="         " numFmtId="0">
      <sharedItems containsBlank="1"/>
    </cacheField>
    <cacheField name="nbre de larves" numFmtId="0">
      <sharedItems containsBlank="1" containsMixedTypes="1" containsNumber="1" containsInteger="1" minValue="20"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669612384256" createdVersion="6" refreshedVersion="7" minRefreshableVersion="3" recordCount="52" xr:uid="{8DEF666A-6C7D-4C16-AD6D-82242760D5D9}">
  <cacheSource type="worksheet">
    <worksheetSource name="liste_groupe"/>
  </cacheSource>
  <cacheFields count="6">
    <cacheField name="Nom sur le graphique" numFmtId="0">
      <sharedItems count="23">
        <s v="Témoin solvant"/>
        <s v="EE2-22,5ng/L"/>
        <s v="EE2-33,8ng/L"/>
        <s v="EE2-50,6ng/L"/>
        <s v="EE2-76ng/L"/>
        <s v="EE2-114ng/L"/>
        <s v="EE2-170,9ng/L"/>
        <s v="EE2-488ng/L"/>
        <s v="Testo-3.7µg/L"/>
        <s v="Testo-11µg/L"/>
        <s v="Testo-33µg/L"/>
        <s v="Testo-100µg/L"/>
        <s v="Testo-300µg/L"/>
        <s v=" "/>
        <s v="Testo -30µg/L"/>
        <s v="Testo 30µg/L + EE2 -64ng/L"/>
        <s v="Testo 30µg/L + FAD-10mg/L"/>
        <s v="Testo-3,7µg/L + Testostérone"/>
        <s v="Testo-11µg/L + Testostérone"/>
        <s v="Testo-33µg/L + Testostérone"/>
        <s v="Testo-100µg/L + Testostérone"/>
        <s v="Testo-300µg/L + Testostérone"/>
        <s v="0-00 + Testostérone"/>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C:\Users\andre\Desktop\REACTIV CEFAS\Testosterone\Testosterone/20201116_Cefas_Test6-Run1/Plate 1/@1/A10_01.tif "/>
    <s v=" 9473.8938 "/>
    <s v=" 38.9132 "/>
    <x v="0"/>
    <n v="368660"/>
    <m/>
    <m/>
    <m/>
  </r>
  <r>
    <x v="0"/>
    <x v="0"/>
    <s v="C:\Users\andre\Desktop\REACTIV CEFAS\Testosterone\Testosterone/20201116_Cefas_Test6-Run1/Plate 1/@1/A10_02.tif "/>
    <s v=" 2746.9966 "/>
    <s v=" 38.8819 "/>
    <x v="0"/>
    <n v="106808"/>
    <m/>
    <m/>
    <m/>
  </r>
  <r>
    <x v="0"/>
    <x v="0"/>
    <s v="C:\Users\andre\Desktop\REACTIV CEFAS\Testosterone\Testosterone/20201116_Cefas_Test6-Run1/Plate 1/@1/A10_03.tif "/>
    <s v=" 4563.9078 "/>
    <s v=" 33.7488 "/>
    <x v="0"/>
    <n v="154026"/>
    <m/>
    <m/>
    <m/>
  </r>
  <r>
    <x v="0"/>
    <x v="1"/>
    <s v="C:\Users\andre\Desktop\REACTIV CEFAS\Testosterone\Testosterone/20201116_Cefas_Test6-Run1/Plate 1/@1/B10_01.tif "/>
    <s v=" 3741.9718 "/>
    <s v=" 39.4566 "/>
    <x v="0"/>
    <n v="147646"/>
    <m/>
    <m/>
    <m/>
  </r>
  <r>
    <x v="0"/>
    <x v="1"/>
    <s v="C:\Users\andre\Desktop\REACTIV CEFAS\Testosterone\Testosterone/20201116_Cefas_Test6-Run1/Plate 1/@1/B10_02.tif "/>
    <s v=" 5818.4417 "/>
    <s v=" 39.7286 "/>
    <x v="0"/>
    <n v="231159"/>
    <m/>
    <m/>
    <m/>
  </r>
  <r>
    <x v="0"/>
    <x v="1"/>
    <s v="C:\Users\andre\Desktop\REACTIV CEFAS\Testosterone\Testosterone/20201116_Cefas_Test6-Run1/Plate 1/@1/B10_03.tif "/>
    <s v=" 7246.0147 "/>
    <s v=" 37.4627 "/>
    <x v="0"/>
    <n v="271455"/>
    <m/>
    <m/>
    <m/>
  </r>
  <r>
    <x v="0"/>
    <x v="2"/>
    <s v="C:\Users\andre\Desktop\REACTIV CEFAS\Testosterone\Testosterone/20201116_Cefas_Test6-Run1/Plate 1/@1/C10_01.tif "/>
    <s v=" 14297.3603 "/>
    <s v=" 43.6263 "/>
    <x v="0"/>
    <n v="623741"/>
    <m/>
    <m/>
    <m/>
  </r>
  <r>
    <x v="0"/>
    <x v="2"/>
    <s v="C:\Users\andre\Desktop\REACTIV CEFAS\Testosterone\Testosterone/20201116_Cefas_Test6-Run1/Plate 1/@1/C10_02.tif "/>
    <s v=" 11398.9545 "/>
    <s v=" 42.8577 "/>
    <x v="0"/>
    <n v="488533"/>
    <m/>
    <m/>
    <m/>
  </r>
  <r>
    <x v="0"/>
    <x v="2"/>
    <s v="C:\Users\andre\Desktop\REACTIV CEFAS\Testosterone\Testosterone/20201116_Cefas_Test6-Run1/Plate 1/@1/C10_03.tif "/>
    <s v=" 3893.381 "/>
    <s v=" 37.2444 "/>
    <x v="0"/>
    <n v="145007"/>
    <m/>
    <m/>
    <m/>
  </r>
  <r>
    <x v="0"/>
    <x v="3"/>
    <s v="C:\Users\andre\Desktop\REACTIV CEFAS\Testosterone\Testosterone/20201116_Cefas_Test6-Run1/Plate 1/@1/D10_01.tif "/>
    <s v=" 10166.0505 "/>
    <s v=" 41.4787 "/>
    <x v="0"/>
    <n v="421675"/>
    <m/>
    <m/>
    <m/>
  </r>
  <r>
    <x v="0"/>
    <x v="3"/>
    <s v="C:\Users\andre\Desktop\REACTIV CEFAS\Testosterone\Testosterone/20201116_Cefas_Test6-Run1/Plate 1/@1/D10_02.tif "/>
    <s v=" 5083.0252 "/>
    <s v=" 40.0809 "/>
    <x v="0"/>
    <n v="203732"/>
    <m/>
    <m/>
    <m/>
  </r>
  <r>
    <x v="0"/>
    <x v="3"/>
    <s v="C:\Users\andre\Desktop\REACTIV CEFAS\Testosterone\Testosterone/20201116_Cefas_Test6-Run1/Plate 1/@1/D10_03.tif "/>
    <s v=" 497.4876 "/>
    <s v=" 31.3043 "/>
    <x v="0"/>
    <n v="15574"/>
    <m/>
    <m/>
    <m/>
  </r>
  <r>
    <x v="0"/>
    <x v="4"/>
    <s v="C:\Users\andre\Desktop\REACTIV CEFAS\Testosterone\Testosterone/20201116_Cefas_Test6-Run1/Plate 1/@1/E10_01.tif "/>
    <s v=" 7332.5343 "/>
    <s v=" 37.8643 "/>
    <x v="0"/>
    <n v="277641"/>
    <m/>
    <m/>
    <m/>
  </r>
  <r>
    <x v="0"/>
    <x v="4"/>
    <s v="C:\Users\andre\Desktop\REACTIV CEFAS\Testosterone\Testosterone/20201116_Cefas_Test6-Run1/Plate 1/@1/E10_02.tif "/>
    <s v=" 7072.9755 "/>
    <s v=" 34.7034 "/>
    <x v="0"/>
    <n v="245456"/>
    <m/>
    <m/>
    <m/>
  </r>
  <r>
    <x v="0"/>
    <x v="4"/>
    <s v="C:\Users\andre\Desktop\REACTIV CEFAS\Testosterone\Testosterone/20201116_Cefas_Test6-Run1/Plate 1/@1/E10_03.tif "/>
    <s v=" 10295.8298 "/>
    <s v=" 35.7563 "/>
    <x v="0"/>
    <n v="368141"/>
    <m/>
    <m/>
    <m/>
  </r>
  <r>
    <x v="0"/>
    <x v="5"/>
    <s v="C:\Users\andre\Desktop\REACTIV CEFAS\Testosterone\Testosterone/20201116_Cefas_Test6-Run1/Plate 1/@1/F10_01.tif "/>
    <s v=" 4996.5057 "/>
    <s v=" 36.4719 "/>
    <x v="0"/>
    <n v="182232"/>
    <m/>
    <m/>
    <m/>
  </r>
  <r>
    <x v="0"/>
    <x v="5"/>
    <s v="C:\Users\andre\Desktop\REACTIV CEFAS\Testosterone\Testosterone/20201116_Cefas_Test6-Run1/Plate 1/@1/F10_02.tif "/>
    <s v=" 2898.4059 "/>
    <s v=" 35.7388 "/>
    <x v="0"/>
    <n v="103586"/>
    <m/>
    <m/>
    <m/>
  </r>
  <r>
    <x v="0"/>
    <x v="5"/>
    <s v="C:\Users\andre\Desktop\REACTIV CEFAS\Testosterone\Testosterone/20201116_Cefas_Test6-Run1/Plate 1/@1/F10_03.tif "/>
    <s v=" 2660.477 "/>
    <s v=" 33.5854 "/>
    <x v="0"/>
    <n v="89353"/>
    <m/>
    <m/>
    <m/>
  </r>
  <r>
    <x v="0"/>
    <x v="6"/>
    <s v="C:\Users\andre\Desktop\REACTIV CEFAS\Testosterone\Testosterone/20201116_Cefas_Test6-Run1/Plate 1/@1/G10_01.tif "/>
    <s v=" 4412.4985 "/>
    <s v=" 37.0343 "/>
    <x v="0"/>
    <n v="163414"/>
    <m/>
    <m/>
    <m/>
  </r>
  <r>
    <x v="0"/>
    <x v="6"/>
    <s v="C:\Users\andre\Desktop\REACTIV CEFAS\Testosterone\Testosterone/20201116_Cefas_Test6-Run1/Plate 1/@1/G10_02.tif "/>
    <s v=" 3655.4522 "/>
    <s v=" 40.3609 "/>
    <x v="0"/>
    <n v="147538"/>
    <m/>
    <m/>
    <m/>
  </r>
  <r>
    <x v="0"/>
    <x v="6"/>
    <s v="C:\Users\andre\Desktop\REACTIV CEFAS\Testosterone\Testosterone/20201116_Cefas_Test6-Run1/Plate 1/@1/G10_03.tif "/>
    <s v=" 43.2598 "/>
    <n v="30"/>
    <x v="0"/>
    <n v="1298"/>
    <m/>
    <m/>
    <m/>
  </r>
  <r>
    <x v="0"/>
    <x v="7"/>
    <s v="C:\Users\andre\Desktop\REACTIV CEFAS\Testosterone\Testosterone/20201116_Cefas_Test6-Run1/Plate 1/@1/H10_01.tif "/>
    <s v=" 1124.7545 "/>
    <s v=" 32.8269 "/>
    <x v="0"/>
    <n v="36922"/>
    <m/>
    <m/>
    <m/>
  </r>
  <r>
    <x v="0"/>
    <x v="7"/>
    <s v="C:\Users\andre\Desktop\REACTIV CEFAS\Testosterone\Testosterone/20201116_Cefas_Test6-Run1/Plate 1/@1/H10_02.tif "/>
    <s v=" 3071.445 "/>
    <s v=" 36.2113 "/>
    <x v="0"/>
    <n v="111221"/>
    <m/>
    <m/>
    <m/>
  </r>
  <r>
    <x v="0"/>
    <x v="7"/>
    <s v="C:\Users\andre\Desktop\REACTIV CEFAS\Testosterone\Testosterone/20201116_Cefas_Test6-Run1/Plate 1/@1/H10_03.tif "/>
    <s v=" 2876.776 "/>
    <s v=" 35.1429 "/>
    <x v="0"/>
    <n v="101098"/>
    <m/>
    <m/>
    <m/>
  </r>
  <r>
    <x v="1"/>
    <x v="8"/>
    <s v=" "/>
    <m/>
    <m/>
    <x v="1"/>
    <m/>
    <m/>
    <m/>
    <m/>
  </r>
  <r>
    <x v="1"/>
    <x v="8"/>
    <s v="group "/>
    <s v=" "/>
    <s v=" mean of mean fluo "/>
    <x v="2"/>
    <s v=" mean of total fluo "/>
    <s v=" SD total fluo "/>
    <s v=" n fluorescent "/>
    <s v=" n total"/>
  </r>
  <r>
    <x v="0"/>
    <x v="9"/>
    <s v="C:\Users\andre\Desktop\REACTIV CEFAS\Testosterone\Testosterone/20201116_Cefas_Test6-Run1/Plate 1/@1/ "/>
    <s v=" "/>
    <s v=" 37.1034 "/>
    <x v="3"/>
    <s v=" 208579.833 "/>
    <s v=" 153416.88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C:\Users\andre\Desktop\REACTIV CEFAS\Testosterone\Testosterone/20201116_Cefas_Test6-Run1/Plate 1/@13/A8_01.tif "/>
    <s v=" 54658.7437 "/>
    <s v=" 36.9577 "/>
    <x v="0"/>
    <n v="2020059"/>
    <m/>
    <m/>
    <m/>
  </r>
  <r>
    <x v="2"/>
    <x v="0"/>
    <s v="C:\Users\andre\Desktop\REACTIV CEFAS\Testosterone\Testosterone/20201116_Cefas_Test6-Run1/Plate 1/@13/A8_02.tif "/>
    <s v=" 38782.4011 "/>
    <s v=" 34.9927 "/>
    <x v="0"/>
    <n v="1357103"/>
    <m/>
    <m/>
    <m/>
  </r>
  <r>
    <x v="2"/>
    <x v="0"/>
    <s v="C:\Users\andre\Desktop\REACTIV CEFAS\Testosterone\Testosterone/20201116_Cefas_Test6-Run1/Plate 1/@13/A8_03.tif "/>
    <s v=" 47758.8073 "/>
    <s v=" 35.5077 "/>
    <x v="0"/>
    <n v="1695805"/>
    <m/>
    <m/>
    <m/>
  </r>
  <r>
    <x v="2"/>
    <x v="1"/>
    <s v="C:\Users\andre\Desktop\REACTIV CEFAS\Testosterone\Testosterone/20201116_Cefas_Test6-Run1/Plate 1/@13/B8_01.tif "/>
    <s v=" 994.9752 "/>
    <s v=" 31.6957 "/>
    <x v="0"/>
    <n v="31536"/>
    <m/>
    <m/>
    <m/>
  </r>
  <r>
    <x v="2"/>
    <x v="1"/>
    <s v="C:\Users\andre\Desktop\REACTIV CEFAS\Testosterone\Testosterone/20201116_Cefas_Test6-Run1/Plate 1/@13/B8_02.tif "/>
    <s v=" 1427.573 "/>
    <s v=" 31.1061 "/>
    <x v="0"/>
    <n v="44406"/>
    <m/>
    <m/>
    <m/>
  </r>
  <r>
    <x v="2"/>
    <x v="1"/>
    <s v="C:\Users\andre\Desktop\REACTIV CEFAS\Testosterone\Testosterone/20201116_Cefas_Test6-Run1/Plate 1/@13/B8_03.tif "/>
    <s v=" 4455.7583 "/>
    <s v=" 31.7184 "/>
    <x v="0"/>
    <n v="141330"/>
    <m/>
    <m/>
    <m/>
  </r>
  <r>
    <x v="2"/>
    <x v="2"/>
    <s v="C:\Users\andre\Desktop\REACTIV CEFAS\Testosterone\Testosterone/20201116_Cefas_Test6-Run1/Plate 1/@13/C8_01.tif "/>
    <s v=" 47196.4301 "/>
    <s v=" 36.9418 "/>
    <x v="0"/>
    <n v="1743521"/>
    <m/>
    <m/>
    <m/>
  </r>
  <r>
    <x v="2"/>
    <x v="2"/>
    <s v="C:\Users\andre\Desktop\REACTIV CEFAS\Testosterone\Testosterone/20201116_Cefas_Test6-Run1/Plate 1/@13/C8_02.tif "/>
    <s v=" 34045.4541 "/>
    <s v=" 34.6499 "/>
    <x v="0"/>
    <n v="1179673"/>
    <m/>
    <m/>
    <m/>
  </r>
  <r>
    <x v="2"/>
    <x v="2"/>
    <s v="C:\Users\andre\Desktop\REACTIV CEFAS\Testosterone\Testosterone/20201116_Cefas_Test6-Run1/Plate 1/@13/C8_03.tif "/>
    <s v=" 41983.6255 "/>
    <s v=" 36.1783 "/>
    <x v="0"/>
    <n v="1518894"/>
    <m/>
    <m/>
    <m/>
  </r>
  <r>
    <x v="2"/>
    <x v="3"/>
    <s v="C:\Users\andre\Desktop\REACTIV CEFAS\Testosterone\Testosterone/20201116_Cefas_Test6-Run1/Plate 1/@13/D8_01.tif "/>
    <s v=" 24528.3005 "/>
    <s v=" 33.0467 "/>
    <x v="0"/>
    <n v="810580"/>
    <m/>
    <m/>
    <m/>
  </r>
  <r>
    <x v="2"/>
    <x v="3"/>
    <s v="C:\Users\andre\Desktop\REACTIV CEFAS\Testosterone\Testosterone/20201116_Cefas_Test6-Run1/Plate 1/@13/D8_02- exclu.tif"/>
    <m/>
    <m/>
    <x v="1"/>
    <m/>
    <m/>
    <m/>
    <m/>
  </r>
  <r>
    <x v="2"/>
    <x v="3"/>
    <s v="C:\Users\andre\Desktop\REACTIV CEFAS\Testosterone\Testosterone/20201116_Cefas_Test6-Run1/Plate 1/@13/D8_03.tif "/>
    <s v=" 37679.2764 "/>
    <s v=" 34.7365 "/>
    <x v="0"/>
    <n v="1308847"/>
    <m/>
    <m/>
    <m/>
  </r>
  <r>
    <x v="2"/>
    <x v="4"/>
    <s v="C:\Users\andre\Desktop\REACTIV CEFAS\Testosterone\Testosterone/20201116_Cefas_Test6-Run1/Plate 1/@13/E8_01.tif "/>
    <s v=" 14340.6201 "/>
    <s v=" 34.0332 "/>
    <x v="0"/>
    <n v="488057"/>
    <m/>
    <m/>
    <m/>
  </r>
  <r>
    <x v="2"/>
    <x v="4"/>
    <s v="C:\Users\andre\Desktop\REACTIV CEFAS\Testosterone\Testosterone/20201116_Cefas_Test6-Run1/Plate 1/@13/E8_02.tif "/>
    <s v=" 9300.8547 "/>
    <s v=" 32.8163 "/>
    <x v="0"/>
    <n v="305219"/>
    <m/>
    <m/>
    <m/>
  </r>
  <r>
    <x v="2"/>
    <x v="4"/>
    <s v="C:\Users\andre\Desktop\REACTIV CEFAS\Testosterone\Testosterone/20201116_Cefas_Test6-Run1/Plate 1/@13/E8_03.tif "/>
    <s v=" 6683.6374 "/>
    <s v=" 32.7217 "/>
    <x v="0"/>
    <n v="218700"/>
    <m/>
    <m/>
    <m/>
  </r>
  <r>
    <x v="2"/>
    <x v="5"/>
    <s v="C:\Users\andre\Desktop\REACTIV CEFAS\Testosterone\Testosterone/20201116_Cefas_Test6-Run1/Plate 1/@13/F8_01.tif "/>
    <s v=" 57405.7403 "/>
    <s v=" 39.8425 "/>
    <x v="0"/>
    <n v="2287188"/>
    <m/>
    <m/>
    <m/>
  </r>
  <r>
    <x v="2"/>
    <x v="5"/>
    <s v="C:\Users\andre\Desktop\REACTIV CEFAS\Testosterone\Testosterone/20201116_Cefas_Test6-Run1/Plate 1/@13/F8_02.tif "/>
    <s v=" 42978.6006 "/>
    <s v=" 37.4459 "/>
    <x v="0"/>
    <n v="1609372"/>
    <m/>
    <m/>
    <m/>
  </r>
  <r>
    <x v="2"/>
    <x v="5"/>
    <s v="C:\Users\andre\Desktop\REACTIV CEFAS\Testosterone\Testosterone/20201116_Cefas_Test6-Run1/Plate 1/@13/F8_03.tif "/>
    <s v=" 56194.4662 "/>
    <s v=" 40.0481 "/>
    <x v="0"/>
    <n v="2250482"/>
    <m/>
    <m/>
    <m/>
  </r>
  <r>
    <x v="2"/>
    <x v="6"/>
    <s v="C:\Users\andre\Desktop\REACTIV CEFAS\Testosterone\Testosterone/20201116_Cefas_Test6-Run1/Plate 1/@13/G8_01.tif "/>
    <s v=" 129.7794 "/>
    <s v=" 31.3333 "/>
    <x v="0"/>
    <n v="4066"/>
    <m/>
    <m/>
    <m/>
  </r>
  <r>
    <x v="2"/>
    <x v="6"/>
    <s v="C:\Users\andre\Desktop\REACTIV CEFAS\Testosterone\Testosterone/20201116_Cefas_Test6-Run1/Plate 1/@13/G8_02.tif "/>
    <s v=" 1838.541 "/>
    <s v=" 34.6 "/>
    <x v="0"/>
    <n v="63614"/>
    <m/>
    <m/>
    <m/>
  </r>
  <r>
    <x v="2"/>
    <x v="6"/>
    <s v="C:\Users\andre\Desktop\REACTIV CEFAS\Testosterone\Testosterone/20201116_Cefas_Test6-Run1/Plate 1/@13/G8_03.tif "/>
    <s v=" 216.2989 "/>
    <s v=" 31.4 "/>
    <x v="0"/>
    <n v="6792"/>
    <m/>
    <m/>
    <m/>
  </r>
  <r>
    <x v="2"/>
    <x v="7"/>
    <s v="C:\Users\andre\Desktop\REACTIV CEFAS\Testosterone\Testosterone/20201116_Cefas_Test6-Run1/Plate 1/@13/H8_01.tif "/>
    <s v=" 13670.0934 "/>
    <s v=" 35.4589 "/>
    <x v="0"/>
    <n v="484726"/>
    <m/>
    <m/>
    <m/>
  </r>
  <r>
    <x v="2"/>
    <x v="7"/>
    <s v="C:\Users\andre\Desktop\REACTIV CEFAS\Testosterone\Testosterone/20201116_Cefas_Test6-Run1/Plate 1/@13/H8_02- exclu.tif"/>
    <m/>
    <m/>
    <x v="1"/>
    <m/>
    <m/>
    <m/>
    <m/>
  </r>
  <r>
    <x v="2"/>
    <x v="7"/>
    <s v="C:\Users\andre\Desktop\REACTIV CEFAS\Testosterone\Testosterone/20201116_Cefas_Test6-Run1/Plate 1/@13/H8_03- exclu.tif"/>
    <m/>
    <m/>
    <x v="1"/>
    <m/>
    <m/>
    <m/>
    <m/>
  </r>
  <r>
    <x v="1"/>
    <x v="8"/>
    <s v=" "/>
    <m/>
    <m/>
    <x v="1"/>
    <m/>
    <m/>
    <m/>
    <m/>
  </r>
  <r>
    <x v="1"/>
    <x v="8"/>
    <s v="group "/>
    <s v=" "/>
    <s v=" mean of mean fluo "/>
    <x v="2"/>
    <s v=" mean of total fluo "/>
    <s v=" SD total fluo "/>
    <s v=" n fluorescent "/>
    <s v=" n total"/>
  </r>
  <r>
    <x v="2"/>
    <x v="9"/>
    <s v="C:\Users\andre\Desktop\REACTIV CEFAS\Testosterone\Testosterone/20201116_Cefas_Test6-Run1/Plate 1/@13/ "/>
    <s v=" "/>
    <s v=" 35.253 "/>
    <x v="4"/>
    <s v=" 899741.375 "/>
    <s v=" 764905.49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C:\Users\andre\Desktop\REACTIV CEFAS\Testosterone\Testosterone/20201116_Cefas_Test6-Run1/Plate 1/@14/A9_01.tif "/>
    <s v=" 2422.5482 "/>
    <s v=" 34.5179 "/>
    <x v="0"/>
    <n v="83621"/>
    <m/>
    <m/>
    <m/>
  </r>
  <r>
    <x v="3"/>
    <x v="0"/>
    <s v="C:\Users\andre\Desktop\REACTIV CEFAS\Testosterone\Testosterone/20201116_Cefas_Test6-Run1/Plate 1/@14/A9_02.tif "/>
    <s v=" 3049.8151 "/>
    <s v=" 39.5887 "/>
    <x v="0"/>
    <n v="120738"/>
    <m/>
    <m/>
    <m/>
  </r>
  <r>
    <x v="3"/>
    <x v="0"/>
    <s v="C:\Users\andre\Desktop\REACTIV CEFAS\Testosterone\Testosterone/20201116_Cefas_Test6-Run1/Plate 1/@14/A9_03.tif "/>
    <s v=" 151.4093 "/>
    <s v=" 30.8571 "/>
    <x v="0"/>
    <n v="4672"/>
    <m/>
    <m/>
    <m/>
  </r>
  <r>
    <x v="3"/>
    <x v="1"/>
    <s v="C:\Users\andre\Desktop\REACTIV CEFAS\Testosterone\Testosterone/20201116_Cefas_Test6-Run1/Plate 1/@14/B9_01.tif "/>
    <s v=" 3049.8151 "/>
    <s v=" 33.7589 "/>
    <x v="0"/>
    <n v="102958"/>
    <m/>
    <m/>
    <m/>
  </r>
  <r>
    <x v="3"/>
    <x v="1"/>
    <s v="C:\Users\andre\Desktop\REACTIV CEFAS\Testosterone\Testosterone/20201116_Cefas_Test6-Run1/Plate 1/@14/B9_02.tif "/>
    <s v=" 1384.3133 "/>
    <s v=" 31.4531 "/>
    <x v="0"/>
    <n v="43541"/>
    <m/>
    <m/>
    <m/>
  </r>
  <r>
    <x v="3"/>
    <x v="1"/>
    <s v="C:\Users\andre\Desktop\REACTIV CEFAS\Testosterone\Testosterone/20201116_Cefas_Test6-Run1/Plate 1/@14/B9_03.tif "/>
    <s v=" 1730.3916 "/>
    <s v=" 32.25 "/>
    <x v="0"/>
    <n v="55805"/>
    <m/>
    <m/>
    <m/>
  </r>
  <r>
    <x v="3"/>
    <x v="2"/>
    <s v="C:\Users\andre\Desktop\REACTIV CEFAS\Testosterone\Testosterone/20201116_Cefas_Test6-Run1/Plate 1/@14/C9_01.tif "/>
    <s v=" 44060.0954 "/>
    <s v=" 38.1816 "/>
    <x v="0"/>
    <n v="1682287"/>
    <m/>
    <m/>
    <m/>
  </r>
  <r>
    <x v="3"/>
    <x v="2"/>
    <s v="C:\Users\andre\Desktop\REACTIV CEFAS\Testosterone\Testosterone/20201116_Cefas_Test6-Run1/Plate 1/@14/C9_02.tif "/>
    <s v=" 45509.2983 "/>
    <s v=" 38.9187 "/>
    <x v="0"/>
    <n v="1771164"/>
    <m/>
    <m/>
    <m/>
  </r>
  <r>
    <x v="3"/>
    <x v="2"/>
    <s v="C:\Users\andre\Desktop\REACTIV CEFAS\Testosterone\Testosterone/20201116_Cefas_Test6-Run1/Plate 1/@14/C9_03.tif "/>
    <s v=" 46547.5332 "/>
    <s v=" 40.0316 "/>
    <x v="0"/>
    <n v="1863372"/>
    <m/>
    <m/>
    <m/>
  </r>
  <r>
    <x v="3"/>
    <x v="3"/>
    <s v="C:\Users\andre\Desktop\REACTIV CEFAS\Testosterone\Testosterone/20201116_Cefas_Test6-Run1/Plate 1/@14/D9_01- exclu.tif"/>
    <m/>
    <m/>
    <x v="1"/>
    <m/>
    <m/>
    <m/>
    <m/>
  </r>
  <r>
    <x v="3"/>
    <x v="3"/>
    <s v="C:\Users\andre\Desktop\REACTIV CEFAS\Testosterone\Testosterone/20201116_Cefas_Test6-Run1/Plate 1/@14/D9_02- exclu.tif"/>
    <m/>
    <m/>
    <x v="1"/>
    <m/>
    <m/>
    <m/>
    <m/>
  </r>
  <r>
    <x v="3"/>
    <x v="3"/>
    <s v="C:\Users\andre\Desktop\REACTIV CEFAS\Testosterone\Testosterone/20201116_Cefas_Test6-Run1/Plate 1/@14/D9_03- exclu.tif"/>
    <m/>
    <m/>
    <x v="1"/>
    <m/>
    <m/>
    <m/>
    <m/>
  </r>
  <r>
    <x v="3"/>
    <x v="4"/>
    <s v="C:\Users\andre\Desktop\REACTIV CEFAS\Testosterone\Testosterone/20201116_Cefas_Test6-Run1/Plate 1/@14/E9_01.tif "/>
    <s v=" 16114.2715 "/>
    <s v=" 32.5732 "/>
    <x v="0"/>
    <n v="524893"/>
    <m/>
    <m/>
    <m/>
  </r>
  <r>
    <x v="3"/>
    <x v="4"/>
    <s v="C:\Users\andre\Desktop\REACTIV CEFAS\Testosterone\Testosterone/20201116_Cefas_Test6-Run1/Plate 1/@14/E9_02.tif "/>
    <s v=" 8760.1073 "/>
    <s v=" 31.6691 "/>
    <x v="0"/>
    <n v="277425"/>
    <m/>
    <m/>
    <m/>
  </r>
  <r>
    <x v="3"/>
    <x v="4"/>
    <s v="C:\Users\andre\Desktop\REACTIV CEFAS\Testosterone\Testosterone/20201116_Cefas_Test6-Run1/Plate 1/@14/E9_03.tif "/>
    <s v=" 10447.2391 "/>
    <s v=" 31.9379 "/>
    <x v="0"/>
    <n v="333663"/>
    <m/>
    <m/>
    <m/>
  </r>
  <r>
    <x v="3"/>
    <x v="5"/>
    <s v="C:\Users\andre\Desktop\REACTIV CEFAS\Testosterone\Testosterone/20201116_Cefas_Test6-Run1/Plate 1/@14/F9_01.tif "/>
    <s v=" 13324.0151 "/>
    <s v=" 33.2451 "/>
    <x v="0"/>
    <n v="442959"/>
    <m/>
    <m/>
    <m/>
  </r>
  <r>
    <x v="3"/>
    <x v="5"/>
    <s v="C:\Users\andre\Desktop\REACTIV CEFAS\Testosterone\Testosterone/20201116_Cefas_Test6-Run1/Plate 1/@14/F9_02.tif "/>
    <s v=" 15184.186 "/>
    <s v=" 33.584 "/>
    <x v="0"/>
    <n v="509946"/>
    <m/>
    <m/>
    <m/>
  </r>
  <r>
    <x v="3"/>
    <x v="5"/>
    <s v="C:\Users\andre\Desktop\REACTIV CEFAS\Testosterone\Testosterone/20201116_Cefas_Test6-Run1/Plate 1/@14/F9_03.tif "/>
    <s v=" 18861.2681 "/>
    <s v=" 33.836 "/>
    <x v="0"/>
    <n v="638190"/>
    <m/>
    <m/>
    <m/>
  </r>
  <r>
    <x v="3"/>
    <x v="6"/>
    <s v="C:\Users\andre\Desktop\REACTIV CEFAS\Testosterone\Testosterone/20201116_Cefas_Test6-Run1/Plate 1/@14/G9_01.tif "/>
    <s v=" 6575.488 "/>
    <s v=" 36.1447 "/>
    <x v="0"/>
    <n v="237669"/>
    <m/>
    <m/>
    <m/>
  </r>
  <r>
    <x v="3"/>
    <x v="6"/>
    <s v="C:\Users\andre\Desktop\REACTIV CEFAS\Testosterone\Testosterone/20201116_Cefas_Test6-Run1/Plate 1/@14/G9_02.tif "/>
    <s v=" 4109.68 "/>
    <s v=" 34.9895 "/>
    <x v="0"/>
    <n v="143796"/>
    <m/>
    <m/>
    <m/>
  </r>
  <r>
    <x v="3"/>
    <x v="6"/>
    <s v="C:\Users\andre\Desktop\REACTIV CEFAS\Testosterone\Testosterone/20201116_Cefas_Test6-Run1/Plate 1/@14/G9_03.tif "/>
    <s v=" 4758.5768 "/>
    <s v=" 36.7727 "/>
    <x v="0"/>
    <n v="174986"/>
    <m/>
    <m/>
    <m/>
  </r>
  <r>
    <x v="3"/>
    <x v="7"/>
    <s v="C:\Users\andre\Desktop\REACTIV CEFAS\Testosterone\Testosterone/20201116_Cefas_Test6-Run1/Plate 1/@14/H9_01.tif "/>
    <s v=" 18969.4176 "/>
    <s v=" 32.7241 "/>
    <x v="0"/>
    <n v="620756"/>
    <m/>
    <m/>
    <m/>
  </r>
  <r>
    <x v="3"/>
    <x v="7"/>
    <s v="C:\Users\andre\Desktop\REACTIV CEFAS\Testosterone\Testosterone/20201116_Cefas_Test6-Run1/Plate 1/@14/H9_02.tif "/>
    <s v=" 26280.322 "/>
    <s v=" 33.8543 "/>
    <x v="0"/>
    <n v="889702"/>
    <m/>
    <m/>
    <m/>
  </r>
  <r>
    <x v="3"/>
    <x v="7"/>
    <s v="C:\Users\andre\Desktop\REACTIV CEFAS\Testosterone\Testosterone/20201116_Cefas_Test6-Run1/Plate 1/@14/H9_03.tif "/>
    <s v=" 17065.9869 "/>
    <s v=" 33.4081 "/>
    <x v="0"/>
    <n v="570142"/>
    <m/>
    <m/>
    <m/>
  </r>
  <r>
    <x v="1"/>
    <x v="8"/>
    <s v=" "/>
    <m/>
    <m/>
    <x v="1"/>
    <m/>
    <m/>
    <m/>
    <m/>
  </r>
  <r>
    <x v="1"/>
    <x v="8"/>
    <s v="group "/>
    <s v=" "/>
    <s v=" mean of mean fluo "/>
    <x v="2"/>
    <s v=" mean of total fluo "/>
    <s v=" SD total fluo "/>
    <s v=" n fluorescent "/>
    <s v=" n total"/>
  </r>
  <r>
    <x v="3"/>
    <x v="9"/>
    <s v="C:\Users\andre\Desktop\REACTIV CEFAS\Testosterone\Testosterone/20201116_Cefas_Test6-Run1/Plate 1/@14/ "/>
    <s v=" "/>
    <s v=" 34.8573 "/>
    <x v="5"/>
    <s v=" 513082.708 "/>
    <s v=" 544247.10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C:\Users\andre\Desktop\REACTIV CEFAS\Testosterone\Testosterone/20201116_Cefas_Test6-Run1/Plate 1/@15/A11_01.tif "/>
    <s v=" 99648.9246 "/>
    <s v=" 51.2633 "/>
    <x v="0"/>
    <n v="5108332"/>
    <m/>
    <m/>
    <m/>
  </r>
  <r>
    <x v="4"/>
    <x v="0"/>
    <s v="C:\Users\andre\Desktop\REACTIV CEFAS\Testosterone\Testosterone/20201116_Cefas_Test6-Run1/Plate 1/@15/A11_02.tif "/>
    <s v=" 100254.562 "/>
    <s v=" 50.2412 "/>
    <x v="0"/>
    <n v="5036910"/>
    <m/>
    <m/>
    <m/>
  </r>
  <r>
    <x v="4"/>
    <x v="0"/>
    <s v="C:\Users\andre\Desktop\REACTIV CEFAS\Testosterone\Testosterone/20201116_Cefas_Test6-Run1/Plate 1/@15/A11_03.tif "/>
    <s v=" 95517.6147 "/>
    <s v=" 54.0562 "/>
    <x v="0"/>
    <n v="5163315"/>
    <m/>
    <m/>
    <m/>
  </r>
  <r>
    <x v="4"/>
    <x v="1"/>
    <s v="C:\Users\andre\Desktop\REACTIV CEFAS\Testosterone\Testosterone/20201116_Cefas_Test6-Run1/Plate 1/@15/B11_01.tif "/>
    <s v=" 82907.3861 "/>
    <s v=" 52.2507 "/>
    <x v="0"/>
    <n v="4331970"/>
    <m/>
    <m/>
    <m/>
  </r>
  <r>
    <x v="4"/>
    <x v="1"/>
    <s v="C:\Users\andre\Desktop\REACTIV CEFAS\Testosterone\Testosterone/20201116_Cefas_Test6-Run1/Plate 1/@15/B11_02.tif "/>
    <s v=" 79273.5638 "/>
    <s v=" 49.949 "/>
    <x v="0"/>
    <n v="3959633"/>
    <m/>
    <m/>
    <m/>
  </r>
  <r>
    <x v="4"/>
    <x v="1"/>
    <s v="C:\Users\andre\Desktop\REACTIV CEFAS\Testosterone\Testosterone/20201116_Cefas_Test6-Run1/Plate 1/@15/B11_03.tif "/>
    <s v=" 83058.7954 "/>
    <s v=" 49.032 "/>
    <x v="0"/>
    <n v="4072541"/>
    <m/>
    <m/>
    <m/>
  </r>
  <r>
    <x v="4"/>
    <x v="2"/>
    <s v="C:\Users\andre\Desktop\REACTIV CEFAS\Testosterone\Testosterone/20201116_Cefas_Test6-Run1/Plate 1/@15/C11_01.tif "/>
    <s v=" 76829.3857 "/>
    <s v=" 49.2123 "/>
    <x v="0"/>
    <n v="3780949"/>
    <m/>
    <m/>
    <m/>
  </r>
  <r>
    <x v="4"/>
    <x v="2"/>
    <s v="C:\Users\andre\Desktop\REACTIV CEFAS\Testosterone\Testosterone/20201116_Cefas_Test6-Run1/Plate 1/@15/C11_02.tif "/>
    <s v=" 78213.699 "/>
    <s v=" 50.9051 "/>
    <x v="0"/>
    <n v="3981480"/>
    <m/>
    <m/>
    <m/>
  </r>
  <r>
    <x v="4"/>
    <x v="2"/>
    <s v="C:\Users\andre\Desktop\REACTIV CEFAS\Testosterone\Testosterone/20201116_Cefas_Test6-Run1/Plate 1/@15/C11_03.tif "/>
    <s v=" 79944.0905 "/>
    <s v=" 51.7018 "/>
    <x v="0"/>
    <n v="4133257"/>
    <m/>
    <m/>
    <m/>
  </r>
  <r>
    <x v="4"/>
    <x v="3"/>
    <s v="C:\Users\andre\Desktop\REACTIV CEFAS\Testosterone\Testosterone/20201116_Cefas_Test6-Run1/Plate 1/@15/D11_01.tif "/>
    <s v=" 74168.9087 "/>
    <s v=" 45.5894 "/>
    <x v="0"/>
    <n v="3381315"/>
    <m/>
    <m/>
    <m/>
  </r>
  <r>
    <x v="4"/>
    <x v="3"/>
    <s v="C:\Users\andre\Desktop\REACTIV CEFAS\Testosterone\Testosterone/20201116_Cefas_Test6-Run1/Plate 1/@15/D11_02.tif "/>
    <s v=" 73736.3108 "/>
    <s v=" 44.2077 "/>
    <x v="0"/>
    <n v="3259712"/>
    <m/>
    <m/>
    <m/>
  </r>
  <r>
    <x v="4"/>
    <x v="3"/>
    <s v="C:\Users\andre\Desktop\REACTIV CEFAS\Testosterone\Testosterone/20201116_Cefas_Test6-Run1/Plate 1/@15/D11_03.tif "/>
    <s v=" 81003.9554 "/>
    <s v=" 47.2475 "/>
    <x v="0"/>
    <n v="3827237"/>
    <m/>
    <m/>
    <m/>
  </r>
  <r>
    <x v="4"/>
    <x v="4"/>
    <s v="C:\Users\andre\Desktop\REACTIV CEFAS\Testosterone\Testosterone/20201116_Cefas_Test6-Run1/Plate 1/@15/E11_01.tif "/>
    <s v=" 47412.729 "/>
    <s v=" 42.927 "/>
    <x v="0"/>
    <n v="2035287"/>
    <m/>
    <m/>
    <m/>
  </r>
  <r>
    <x v="4"/>
    <x v="4"/>
    <s v="C:\Users\andre\Desktop\REACTIV CEFAS\Testosterone\Testosterone/20201116_Cefas_Test6-Run1/Plate 1/@15/E11_02.tif "/>
    <s v=" 41010.2802 "/>
    <s v=" 41.6108 "/>
    <x v="0"/>
    <n v="1706469"/>
    <m/>
    <m/>
    <m/>
  </r>
  <r>
    <x v="4"/>
    <x v="4"/>
    <s v="C:\Users\andre\Desktop\REACTIV CEFAS\Testosterone\Testosterone/20201116_Cefas_Test6-Run1/Plate 1/@15/E11_03.tif "/>
    <s v=" 43043.4903 "/>
    <s v=" 43.8065 "/>
    <x v="0"/>
    <n v="1885586"/>
    <m/>
    <m/>
    <m/>
  </r>
  <r>
    <x v="4"/>
    <x v="5"/>
    <s v="C:\Users\andre\Desktop\REACTIV CEFAS\Testosterone\Testosterone/20201116_Cefas_Test6-Run1/Plate 1/@15/F11_01.tif "/>
    <s v=" 64846.4241 "/>
    <s v=" 45.6044 "/>
    <x v="0"/>
    <n v="2957282"/>
    <m/>
    <m/>
    <m/>
  </r>
  <r>
    <x v="4"/>
    <x v="5"/>
    <s v="C:\Users\andre\Desktop\REACTIV CEFAS\Testosterone\Testosterone/20201116_Cefas_Test6-Run1/Plate 1/@15/F11_02.tif "/>
    <s v=" 60606.9648 "/>
    <s v=" 51.2434 "/>
    <x v="0"/>
    <n v="3105707"/>
    <m/>
    <m/>
    <m/>
  </r>
  <r>
    <x v="4"/>
    <x v="5"/>
    <s v="C:\Users\andre\Desktop\REACTIV CEFAS\Testosterone\Testosterone/20201116_Cefas_Test6-Run1/Plate 1/@15/F11_03.tif "/>
    <s v=" 60542.0751 "/>
    <s v=" 48.1168 "/>
    <x v="0"/>
    <n v="2913093"/>
    <m/>
    <m/>
    <m/>
  </r>
  <r>
    <x v="4"/>
    <x v="6"/>
    <s v="C:\Users\andre\Desktop\REACTIV CEFAS\Testosterone\Testosterone/20201116_Cefas_Test6-Run1/Plate 1/@15/G11_01.tif "/>
    <s v=" 74731.2859 "/>
    <s v=" 45.2104 "/>
    <x v="0"/>
    <n v="3378633"/>
    <m/>
    <m/>
    <m/>
  </r>
  <r>
    <x v="4"/>
    <x v="6"/>
    <s v="C:\Users\andre\Desktop\REACTIV CEFAS\Testosterone\Testosterone/20201116_Cefas_Test6-Run1/Plate 1/@15/G11_02.tif "/>
    <s v=" 76937.5352 "/>
    <s v=" 48.8336 "/>
    <x v="0"/>
    <n v="3757134"/>
    <m/>
    <m/>
    <m/>
  </r>
  <r>
    <x v="4"/>
    <x v="6"/>
    <s v="C:\Users\andre\Desktop\REACTIV CEFAS\Testosterone\Testosterone/20201116_Cefas_Test6-Run1/Plate 1/@15/G11_03.tif "/>
    <s v=" 77975.7701 "/>
    <s v=" 49.6419 "/>
    <x v="0"/>
    <n v="3870864"/>
    <m/>
    <m/>
    <m/>
  </r>
  <r>
    <x v="4"/>
    <x v="7"/>
    <s v="C:\Users\andre\Desktop\REACTIV CEFAS\Testosterone\Testosterone/20201116_Cefas_Test6-Run1/Plate 1/@15/H11_01.tif "/>
    <s v=" 81328.4038 "/>
    <s v=" 41.8516 "/>
    <x v="0"/>
    <n v="3403723"/>
    <m/>
    <m/>
    <m/>
  </r>
  <r>
    <x v="4"/>
    <x v="7"/>
    <s v="C:\Users\andre\Desktop\REACTIV CEFAS\Testosterone\Testosterone/20201116_Cefas_Test6-Run1/Plate 1/@15/H11_02.tif "/>
    <s v=" 90737.408 "/>
    <s v=" 41.2737 "/>
    <x v="0"/>
    <n v="3745065"/>
    <m/>
    <m/>
    <m/>
  </r>
  <r>
    <x v="4"/>
    <x v="7"/>
    <s v="C:\Users\andre\Desktop\REACTIV CEFAS\Testosterone\Testosterone/20201116_Cefas_Test6-Run1/Plate 1/@15/H11_03.tif "/>
    <s v=" 71119.0935 "/>
    <s v=" 41.8656 "/>
    <x v="0"/>
    <n v="2977442"/>
    <m/>
    <m/>
    <m/>
  </r>
  <r>
    <x v="1"/>
    <x v="8"/>
    <s v=" "/>
    <m/>
    <m/>
    <x v="1"/>
    <m/>
    <m/>
    <m/>
    <m/>
  </r>
  <r>
    <x v="1"/>
    <x v="8"/>
    <s v="group "/>
    <s v=" "/>
    <s v=" mean of mean fluo "/>
    <x v="2"/>
    <s v=" mean of total fluo "/>
    <s v=" SD total fluo "/>
    <s v=" n fluorescent "/>
    <s v=" n total"/>
  </r>
  <r>
    <x v="4"/>
    <x v="9"/>
    <s v="C:\Users\andre\Desktop\REACTIV CEFAS\Testosterone\Testosterone/20201116_Cefas_Test6-Run1/Plate 1/@15/ "/>
    <s v=" "/>
    <s v=" 47.4017 "/>
    <x v="6"/>
    <s v=" 3573872.33 "/>
    <s v=" 909613.12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C:\Users\andre\Desktop\REACTIV CEFAS\Testosterone\Testosterone/20201116_Cefas_Test6-Run1/Plate 1/@16/A12_01.tif "/>
    <s v=" 1146.3844 "/>
    <s v=" 33.8868 "/>
    <x v="0"/>
    <n v="38847"/>
    <m/>
    <m/>
    <m/>
  </r>
  <r>
    <x v="5"/>
    <x v="0"/>
    <s v="C:\Users\andre\Desktop\REACTIV CEFAS\Testosterone\Testosterone/20201116_Cefas_Test6-Run1/Plate 1/@16/A12_02.tif "/>
    <s v=" 2098.0998 "/>
    <s v=" 34.6804 "/>
    <x v="0"/>
    <n v="72763"/>
    <m/>
    <m/>
    <m/>
  </r>
  <r>
    <x v="5"/>
    <x v="0"/>
    <s v="C:\Users\andre\Desktop\REACTIV CEFAS\Testosterone\Testosterone/20201116_Cefas_Test6-Run1/Plate 1/@16/A12_03.tif "/>
    <s v=" 1211.2741 "/>
    <s v=" 32.1429 "/>
    <x v="0"/>
    <n v="38934"/>
    <m/>
    <m/>
    <m/>
  </r>
  <r>
    <x v="5"/>
    <x v="1"/>
    <s v="C:\Users\andre\Desktop\REACTIV CEFAS\Testosterone\Testosterone/20201116_Cefas_Test6-Run1/Plate 1/@16/B12_01.tif "/>
    <s v=" 2898.4059 "/>
    <s v=" 36.7388 "/>
    <x v="0"/>
    <n v="106484"/>
    <m/>
    <m/>
    <m/>
  </r>
  <r>
    <x v="5"/>
    <x v="1"/>
    <s v="C:\Users\andre\Desktop\REACTIV CEFAS\Testosterone\Testosterone/20201116_Cefas_Test6-Run1/Plate 1/@16/B12_02.tif "/>
    <s v=" 2054.84 "/>
    <s v=" 34.7158 "/>
    <x v="0"/>
    <n v="71335"/>
    <m/>
    <m/>
    <m/>
  </r>
  <r>
    <x v="5"/>
    <x v="1"/>
    <s v="C:\Users\andre\Desktop\REACTIV CEFAS\Testosterone\Testosterone/20201116_Cefas_Test6-Run1/Plate 1/@16/B12_03.tif "/>
    <s v=" 6078.0004 "/>
    <s v=" 36.4199 "/>
    <x v="0"/>
    <n v="221360"/>
    <m/>
    <m/>
    <m/>
  </r>
  <r>
    <x v="5"/>
    <x v="2"/>
    <s v="C:\Users\andre\Desktop\REACTIV CEFAS\Testosterone\Testosterone/20201116_Cefas_Test6-Run1/Plate 1/@16/C12_01.tif "/>
    <s v=" 1276.1638 "/>
    <s v=" 34.6271 "/>
    <x v="0"/>
    <n v="44190"/>
    <m/>
    <m/>
    <m/>
  </r>
  <r>
    <x v="5"/>
    <x v="2"/>
    <s v="C:\Users\andre\Desktop\REACTIV CEFAS\Testosterone\Testosterone/20201116_Cefas_Test6-Run1/Plate 1/@16/C12_02- exclu.tif"/>
    <m/>
    <m/>
    <x v="1"/>
    <m/>
    <m/>
    <m/>
    <m/>
  </r>
  <r>
    <x v="5"/>
    <x v="2"/>
    <s v="C:\Users\andre\Desktop\REACTIV CEFAS\Testosterone\Testosterone/20201116_Cefas_Test6-Run1/Plate 1/@16/C12_03.tif "/>
    <s v=" 3633.8223 "/>
    <s v=" 36.131 "/>
    <x v="0"/>
    <n v="131293"/>
    <m/>
    <m/>
    <m/>
  </r>
  <r>
    <x v="5"/>
    <x v="3"/>
    <s v="C:\Users\andre\Desktop\REACTIV CEFAS\Testosterone\Testosterone/20201116_Cefas_Test6-Run1/Plate 1/@16/D12_01.tif "/>
    <s v=" 2855.1461 "/>
    <s v=" 36.8636 "/>
    <x v="0"/>
    <n v="105251"/>
    <m/>
    <m/>
    <m/>
  </r>
  <r>
    <x v="5"/>
    <x v="3"/>
    <s v="C:\Users\andre\Desktop\REACTIV CEFAS\Testosterone\Testosterone/20201116_Cefas_Test6-Run1/Plate 1/@16/D12_02.tif "/>
    <s v=" 1557.3524 "/>
    <s v=" 33.625 "/>
    <x v="0"/>
    <n v="52366"/>
    <m/>
    <m/>
    <m/>
  </r>
  <r>
    <x v="5"/>
    <x v="3"/>
    <s v="C:\Users\andre\Desktop\REACTIV CEFAS\Testosterone\Testosterone/20201116_Cefas_Test6-Run1/Plate 1/@16/D12_03.tif "/>
    <s v=" 237.9288 "/>
    <s v=" 31.2727 "/>
    <x v="0"/>
    <n v="7441"/>
    <m/>
    <m/>
    <m/>
  </r>
  <r>
    <x v="5"/>
    <x v="4"/>
    <s v="C:\Users\andre\Desktop\REACTIV CEFAS\Testosterone\Testosterone/20201116_Cefas_Test6-Run1/Plate 1/@16/E12_01.tif "/>
    <s v=" 2444.1781 "/>
    <s v=" 31.0265 "/>
    <x v="0"/>
    <n v="75834"/>
    <m/>
    <m/>
    <m/>
  </r>
  <r>
    <x v="5"/>
    <x v="4"/>
    <s v="C:\Users\andre\Desktop\REACTIV CEFAS\Testosterone\Testosterone/20201116_Cefas_Test6-Run1/Plate 1/@16/E12_02.tif "/>
    <s v=" 9646.933 "/>
    <s v=" 36.704 "/>
    <x v="0"/>
    <n v="354081"/>
    <m/>
    <m/>
    <m/>
  </r>
  <r>
    <x v="5"/>
    <x v="4"/>
    <s v="C:\Users\andre\Desktop\REACTIV CEFAS\Testosterone\Testosterone/20201116_Cefas_Test6-Run1/Plate 1/@16/E12_03.tif "/>
    <s v=" 9949.7515 "/>
    <s v=" 40.5152 "/>
    <x v="0"/>
    <n v="403116"/>
    <m/>
    <m/>
    <m/>
  </r>
  <r>
    <x v="5"/>
    <x v="5"/>
    <s v="C:\Users\andre\Desktop\REACTIV CEFAS\Testosterone\Testosterone/20201116_Cefas_Test6-Run1/Plate 1/@16/F12_01.tif "/>
    <s v=" 1405.9432 "/>
    <s v=" 32.9385 "/>
    <x v="0"/>
    <n v="46310"/>
    <m/>
    <m/>
    <m/>
  </r>
  <r>
    <x v="5"/>
    <x v="5"/>
    <s v="C:\Users\andre\Desktop\REACTIV CEFAS\Testosterone\Testosterone/20201116_Cefas_Test6-Run1/Plate 1/@16/F12_02.tif "/>
    <s v=" 1535.7225 "/>
    <s v=" 32.6056 "/>
    <x v="0"/>
    <n v="50073"/>
    <m/>
    <m/>
    <m/>
  </r>
  <r>
    <x v="5"/>
    <x v="5"/>
    <s v="C:\Users\andre\Desktop\REACTIV CEFAS\Testosterone\Testosterone/20201116_Cefas_Test6-Run1/Plate 1/@16/F12_03.tif "/>
    <n v="0"/>
    <n v="0"/>
    <x v="0"/>
    <n v="0"/>
    <m/>
    <m/>
    <m/>
  </r>
  <r>
    <x v="5"/>
    <x v="6"/>
    <s v="C:\Users\andre\Desktop\REACTIV CEFAS\Testosterone\Testosterone/20201116_Cefas_Test6-Run1/Plate 1/@16/G12_01.tif "/>
    <s v=" 4412.4985 "/>
    <s v=" 41.4657 "/>
    <x v="0"/>
    <n v="182967"/>
    <m/>
    <m/>
    <m/>
  </r>
  <r>
    <x v="5"/>
    <x v="6"/>
    <s v="C:\Users\andre\Desktop\REACTIV CEFAS\Testosterone\Testosterone/20201116_Cefas_Test6-Run1/Plate 1/@16/G12_02.tif "/>
    <s v=" 584.0072 "/>
    <s v=" 31.8519 "/>
    <x v="0"/>
    <n v="18602"/>
    <m/>
    <m/>
    <m/>
  </r>
  <r>
    <x v="5"/>
    <x v="6"/>
    <s v="C:\Users\andre\Desktop\REACTIV CEFAS\Testosterone\Testosterone/20201116_Cefas_Test6-Run1/Plate 1/@16/G12_03.tif "/>
    <s v=" 1643.872 "/>
    <s v=" 32.8684 "/>
    <x v="0"/>
    <n v="54031"/>
    <m/>
    <m/>
    <m/>
  </r>
  <r>
    <x v="5"/>
    <x v="7"/>
    <s v="C:\Users\andre\Desktop\REACTIV CEFAS\Testosterone\Testosterone/20201116_Cefas_Test6-Run1/Plate 1/@16/H12_01.tif "/>
    <s v=" 7483.9435 "/>
    <s v=" 37.3728 "/>
    <x v="0"/>
    <n v="279696"/>
    <m/>
    <m/>
    <m/>
  </r>
  <r>
    <x v="5"/>
    <x v="7"/>
    <s v="C:\Users\andre\Desktop\REACTIV CEFAS\Testosterone\Testosterone/20201116_Cefas_Test6-Run1/Plate 1/@16/H12_02.tif "/>
    <s v=" 5775.1819 "/>
    <s v=" 37.1873 "/>
    <x v="0"/>
    <n v="214763"/>
    <m/>
    <m/>
    <m/>
  </r>
  <r>
    <x v="5"/>
    <x v="7"/>
    <s v="C:\Users\andre\Desktop\REACTIV CEFAS\Testosterone\Testosterone/20201116_Cefas_Test6-Run1/Plate 1/@16/H12_03.tif "/>
    <s v=" 2941.6657 "/>
    <s v=" 33.5588 "/>
    <x v="0"/>
    <n v="98719"/>
    <m/>
    <m/>
    <m/>
  </r>
  <r>
    <x v="1"/>
    <x v="8"/>
    <s v=" "/>
    <m/>
    <m/>
    <x v="1"/>
    <m/>
    <m/>
    <m/>
    <m/>
  </r>
  <r>
    <x v="1"/>
    <x v="8"/>
    <s v="group "/>
    <s v=" "/>
    <s v=" mean of mean fluo "/>
    <x v="2"/>
    <s v=" mean of total fluo "/>
    <s v=" SD total fluo "/>
    <s v=" n fluorescent "/>
    <s v=" n total"/>
  </r>
  <r>
    <x v="5"/>
    <x v="9"/>
    <s v="C:\Users\andre\Desktop\REACTIV CEFAS\Testosterone\Testosterone/20201116_Cefas_Test6-Run1/Plate 1/@16/ "/>
    <s v=" "/>
    <s v=" 33.415 "/>
    <x v="7"/>
    <s v=" 114020.083 "/>
    <s v=" 108055.155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C:\Users\andre\Desktop\REACTIV CEFAS\Testosterone\Testosterone/20201116_Cefas_Test6-Run1/Plate 1/@2/A2_01.tif "/>
    <s v=" 7419.0539 "/>
    <s v=" 36.3907 "/>
    <x v="0"/>
    <n v="269984"/>
    <m/>
    <m/>
    <m/>
  </r>
  <r>
    <x v="6"/>
    <x v="0"/>
    <s v="C:\Users\andre\Desktop\REACTIV CEFAS\Testosterone\Testosterone/20201116_Cefas_Test6-Run1/Plate 1/@2/A2_02.tif "/>
    <s v=" 10079.5309 "/>
    <s v=" 36.7146 "/>
    <x v="0"/>
    <n v="370066"/>
    <m/>
    <m/>
    <m/>
  </r>
  <r>
    <x v="6"/>
    <x v="0"/>
    <s v="C:\Users\andre\Desktop\REACTIV CEFAS\Testosterone\Testosterone/20201116_Cefas_Test6-Run1/Plate 1/@2/A2_03.tif "/>
    <s v=" 3179.5945 "/>
    <s v=" 33.898 "/>
    <x v="0"/>
    <n v="107782"/>
    <m/>
    <m/>
    <m/>
  </r>
  <r>
    <x v="6"/>
    <x v="1"/>
    <s v="C:\Users\andre\Desktop\REACTIV CEFAS\Testosterone\Testosterone/20201116_Cefas_Test6-Run1/Plate 1/@2/B2_01.tif "/>
    <s v=" 21.6299 "/>
    <n v="30"/>
    <x v="0"/>
    <n v="649"/>
    <m/>
    <m/>
    <m/>
  </r>
  <r>
    <x v="6"/>
    <x v="1"/>
    <s v="C:\Users\andre\Desktop\REACTIV CEFAS\Testosterone\Testosterone/20201116_Cefas_Test6-Run1/Plate 1/@2/B2_02.tif "/>
    <s v=" 86.5196 "/>
    <s v=" 31.25 "/>
    <x v="0"/>
    <n v="2704"/>
    <m/>
    <m/>
    <m/>
  </r>
  <r>
    <x v="6"/>
    <x v="1"/>
    <s v="C:\Users\andre\Desktop\REACTIV CEFAS\Testosterone\Testosterone/20201116_Cefas_Test6-Run1/Plate 1/@2/B2_03.tif "/>
    <s v=" 3395.8935 "/>
    <s v=" 33.4968 "/>
    <x v="0"/>
    <n v="113752"/>
    <m/>
    <m/>
    <m/>
  </r>
  <r>
    <x v="6"/>
    <x v="2"/>
    <s v="C:\Users\andre\Desktop\REACTIV CEFAS\Testosterone\Testosterone/20201116_Cefas_Test6-Run1/Plate 1/@2/C2_01.tif "/>
    <s v=" 5320.9541 "/>
    <s v=" 36.378 "/>
    <x v="0"/>
    <n v="193566"/>
    <m/>
    <m/>
    <m/>
  </r>
  <r>
    <x v="6"/>
    <x v="2"/>
    <s v="C:\Users\andre\Desktop\REACTIV CEFAS\Testosterone\Testosterone/20201116_Cefas_Test6-Run1/Plate 1/@2/C2_02.tif "/>
    <s v=" 2898.4059 "/>
    <s v=" 34.8582 "/>
    <x v="0"/>
    <n v="101033"/>
    <m/>
    <m/>
    <m/>
  </r>
  <r>
    <x v="6"/>
    <x v="2"/>
    <s v="C:\Users\andre\Desktop\REACTIV CEFAS\Testosterone\Testosterone/20201116_Cefas_Test6-Run1/Plate 1/@2/C2_03.tif "/>
    <s v=" 4888.3562 "/>
    <s v=" 36.9956 "/>
    <x v="0"/>
    <n v="180848"/>
    <m/>
    <m/>
    <m/>
  </r>
  <r>
    <x v="6"/>
    <x v="3"/>
    <s v="C:\Users\andre\Desktop\REACTIV CEFAS\Testosterone\Testosterone/20201116_Cefas_Test6-Run1/Plate 1/@2/D2_01.tif "/>
    <s v=" 5904.9612 "/>
    <s v=" 40.8132 "/>
    <x v="0"/>
    <n v="241000"/>
    <m/>
    <m/>
    <m/>
  </r>
  <r>
    <x v="6"/>
    <x v="3"/>
    <s v="C:\Users\andre\Desktop\REACTIV CEFAS\Testosterone\Testosterone/20201116_Cefas_Test6-Run1/Plate 1/@2/D2_02.tif "/>
    <s v=" 4044.7903 "/>
    <s v=" 37.1497 "/>
    <x v="0"/>
    <n v="150263"/>
    <m/>
    <m/>
    <m/>
  </r>
  <r>
    <x v="6"/>
    <x v="3"/>
    <s v="C:\Users\andre\Desktop\REACTIV CEFAS\Testosterone\Testosterone/20201116_Cefas_Test6-Run1/Plate 1/@2/D2_03.tif "/>
    <s v=" 3266.1141 "/>
    <s v=" 37.1589 "/>
    <x v="0"/>
    <n v="121365"/>
    <m/>
    <m/>
    <m/>
  </r>
  <r>
    <x v="6"/>
    <x v="4"/>
    <s v="C:\Users\andre\Desktop\REACTIV CEFAS\Testosterone\Testosterone/20201116_Cefas_Test6-Run1/Plate 1/@2/E2_01- exclu.tif"/>
    <m/>
    <m/>
    <x v="1"/>
    <m/>
    <m/>
    <m/>
    <m/>
  </r>
  <r>
    <x v="6"/>
    <x v="4"/>
    <s v="C:\Users\andre\Desktop\REACTIV CEFAS\Testosterone\Testosterone/20201116_Cefas_Test6-Run1/Plate 1/@2/E2_02- exclu.tif"/>
    <m/>
    <m/>
    <x v="1"/>
    <m/>
    <m/>
    <m/>
    <m/>
  </r>
  <r>
    <x v="6"/>
    <x v="4"/>
    <s v="C:\Users\andre\Desktop\REACTIV CEFAS\Testosterone\Testosterone/20201116_Cefas_Test6-Run1/Plate 1/@2/E2_03- exclu.tif"/>
    <m/>
    <m/>
    <x v="1"/>
    <m/>
    <m/>
    <m/>
    <m/>
  </r>
  <r>
    <x v="6"/>
    <x v="5"/>
    <s v="C:\Users\andre\Desktop\REACTIV CEFAS\Testosterone\Testosterone/20201116_Cefas_Test6-Run1/Plate 1/@2/F2_01.tif "/>
    <s v=" 15335.5953 "/>
    <s v=" 38.0409 "/>
    <x v="0"/>
    <n v="583380"/>
    <m/>
    <m/>
    <m/>
  </r>
  <r>
    <x v="6"/>
    <x v="5"/>
    <s v="C:\Users\andre\Desktop\REACTIV CEFAS\Testosterone\Testosterone/20201116_Cefas_Test6-Run1/Plate 1/@2/F2_02.tif "/>
    <s v=" 11182.6555 "/>
    <s v=" 38.8414 "/>
    <x v="0"/>
    <n v="434350"/>
    <m/>
    <m/>
    <m/>
  </r>
  <r>
    <x v="6"/>
    <x v="5"/>
    <s v="C:\Users\andre\Desktop\REACTIV CEFAS\Testosterone\Testosterone/20201116_Cefas_Test6-Run1/Plate 1/@2/F2_03.tif "/>
    <s v=" 16633.389 "/>
    <s v=" 37.6931 "/>
    <x v="0"/>
    <n v="626964"/>
    <m/>
    <m/>
    <m/>
  </r>
  <r>
    <x v="6"/>
    <x v="6"/>
    <s v="C:\Users\andre\Desktop\REACTIV CEFAS\Testosterone\Testosterone/20201116_Cefas_Test6-Run1/Plate 1/@2/G2_01.tif "/>
    <s v=" 7029.7158 "/>
    <s v=" 36.3231 "/>
    <x v="0"/>
    <n v="255341"/>
    <m/>
    <m/>
    <m/>
  </r>
  <r>
    <x v="6"/>
    <x v="6"/>
    <s v="C:\Users\andre\Desktop\REACTIV CEFAS\Testosterone\Testosterone/20201116_Cefas_Test6-Run1/Plate 1/@2/G2_02.tif "/>
    <s v=" 4736.9469 "/>
    <s v=" 38.6712 "/>
    <x v="0"/>
    <n v="183184"/>
    <m/>
    <m/>
    <m/>
  </r>
  <r>
    <x v="6"/>
    <x v="6"/>
    <s v="C:\Users\andre\Desktop\REACTIV CEFAS\Testosterone\Testosterone/20201116_Cefas_Test6-Run1/Plate 1/@2/G2_03.tif "/>
    <s v=" 3093.0749 "/>
    <s v=" 37.5105 "/>
    <x v="0"/>
    <n v="116023"/>
    <m/>
    <m/>
    <m/>
  </r>
  <r>
    <x v="6"/>
    <x v="7"/>
    <s v="C:\Users\andre\Desktop\REACTIV CEFAS\Testosterone\Testosterone/20201116_Cefas_Test6-Run1/Plate 1/@2/H2_01.tif "/>
    <s v=" 3287.744 "/>
    <s v=" 34.4474 "/>
    <x v="0"/>
    <n v="113254"/>
    <m/>
    <m/>
    <m/>
  </r>
  <r>
    <x v="6"/>
    <x v="7"/>
    <s v="C:\Users\andre\Desktop\REACTIV CEFAS\Testosterone\Testosterone/20201116_Cefas_Test6-Run1/Plate 1/@2/H2_02.tif "/>
    <n v="0"/>
    <n v="0"/>
    <x v="0"/>
    <n v="0"/>
    <m/>
    <m/>
    <m/>
  </r>
  <r>
    <x v="6"/>
    <x v="7"/>
    <s v="C:\Users\andre\Desktop\REACTIV CEFAS\Testosterone\Testosterone/20201116_Cefas_Test6-Run1/Plate 1/@2/H2_03.tif "/>
    <s v=" 2768.6265 "/>
    <s v=" 32.0391 "/>
    <x v="0"/>
    <n v="88704"/>
    <m/>
    <m/>
    <m/>
  </r>
  <r>
    <x v="1"/>
    <x v="8"/>
    <s v=" "/>
    <m/>
    <m/>
    <x v="1"/>
    <m/>
    <m/>
    <m/>
    <m/>
  </r>
  <r>
    <x v="1"/>
    <x v="8"/>
    <s v="group "/>
    <s v=" "/>
    <s v=" mean of mean fluo "/>
    <x v="2"/>
    <s v=" mean of total fluo "/>
    <s v=" SD total fluo "/>
    <s v=" n fluorescent "/>
    <s v=" n total"/>
  </r>
  <r>
    <x v="6"/>
    <x v="9"/>
    <s v="C:\Users\andre\Desktop\REACTIV CEFAS\Testosterone\Testosterone/20201116_Cefas_Test6-Run1/Plate 1/@2/ "/>
    <s v=" "/>
    <s v=" 33.4716 "/>
    <x v="8"/>
    <s v=" 208391.458 "/>
    <s v=" 174745.777 "/>
    <n v="22"/>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C:\Users\andre\Desktop\REACTIV CEFAS\Testosterone\Testosterone/20201116_Cefas_Test6-Run1/Plate 1/@3/A3_01.tif "/>
    <s v=" 8651.9579 "/>
    <s v=" 34.8525 "/>
    <x v="0"/>
    <n v="301542"/>
    <m/>
    <m/>
    <m/>
  </r>
  <r>
    <x v="7"/>
    <x v="0"/>
    <s v="C:\Users\andre\Desktop\REACTIV CEFAS\Testosterone\Testosterone/20201116_Cefas_Test6-Run1/Plate 1/@3/A3_02.tif "/>
    <s v=" 3677.0821 "/>
    <s v=" 32.8706 "/>
    <x v="0"/>
    <n v="120868"/>
    <m/>
    <m/>
    <m/>
  </r>
  <r>
    <x v="7"/>
    <x v="0"/>
    <s v="C:\Users\andre\Desktop\REACTIV CEFAS\Testosterone\Testosterone/20201116_Cefas_Test6-Run1/Plate 1/@3/A3_03.tif "/>
    <s v=" 1038.2349 "/>
    <s v=" 31.1875 "/>
    <x v="0"/>
    <n v="32380"/>
    <m/>
    <m/>
    <m/>
  </r>
  <r>
    <x v="7"/>
    <x v="1"/>
    <s v="C:\Users\andre\Desktop\REACTIV CEFAS\Testosterone\Testosterone/20201116_Cefas_Test6-Run1/Plate 1/@3/B3_01.tif "/>
    <s v=" 3266.1141 "/>
    <s v=" 33.5033 "/>
    <x v="0"/>
    <n v="109426"/>
    <m/>
    <m/>
    <m/>
  </r>
  <r>
    <x v="7"/>
    <x v="1"/>
    <s v="C:\Users\andre\Desktop\REACTIV CEFAS\Testosterone\Testosterone/20201116_Cefas_Test6-Run1/Plate 1/@3/B3_02- exclu.tif"/>
    <m/>
    <m/>
    <x v="1"/>
    <m/>
    <m/>
    <m/>
    <m/>
  </r>
  <r>
    <x v="7"/>
    <x v="1"/>
    <s v="C:\Users\andre\Desktop\REACTIV CEFAS\Testosterone\Testosterone/20201116_Cefas_Test6-Run1/Plate 1/@3/B3_03.tif "/>
    <s v=" 2595.5874 "/>
    <s v=" 33.4083 "/>
    <x v="0"/>
    <n v="86714"/>
    <m/>
    <m/>
    <m/>
  </r>
  <r>
    <x v="7"/>
    <x v="2"/>
    <s v="C:\Users\andre\Desktop\REACTIV CEFAS\Testosterone\Testosterone/20201116_Cefas_Test6-Run1/Plate 1/@3/C3_01.tif "/>
    <s v=" 8630.328 "/>
    <s v=" 37.3333 "/>
    <x v="0"/>
    <n v="322199"/>
    <m/>
    <m/>
    <m/>
  </r>
  <r>
    <x v="7"/>
    <x v="2"/>
    <s v="C:\Users\andre\Desktop\REACTIV CEFAS\Testosterone\Testosterone/20201116_Cefas_Test6-Run1/Plate 1/@3/C3_02.tif "/>
    <s v=" 4607.1676 "/>
    <s v=" 37.4742 "/>
    <x v="0"/>
    <n v="172650"/>
    <m/>
    <m/>
    <m/>
  </r>
  <r>
    <x v="7"/>
    <x v="2"/>
    <s v="C:\Users\andre\Desktop\REACTIV CEFAS\Testosterone\Testosterone/20201116_Cefas_Test6-Run1/Plate 1/@3/C3_03.tif "/>
    <s v=" 3093.0749 "/>
    <s v=" 34.9371 "/>
    <x v="0"/>
    <n v="108063"/>
    <m/>
    <m/>
    <m/>
  </r>
  <r>
    <x v="7"/>
    <x v="3"/>
    <s v="C:\Users\andre\Desktop\REACTIV CEFAS\Testosterone\Testosterone/20201116_Cefas_Test6-Run1/Plate 1/@3/D3_01.tif "/>
    <s v=" 6229.4097 "/>
    <s v=" 35.1181 "/>
    <x v="0"/>
    <n v="218765"/>
    <m/>
    <m/>
    <m/>
  </r>
  <r>
    <x v="7"/>
    <x v="3"/>
    <s v="C:\Users\andre\Desktop\REACTIV CEFAS\Testosterone\Testosterone/20201116_Cefas_Test6-Run1/Plate 1/@3/D3_02.tif "/>
    <s v=" 1557.3524 "/>
    <s v=" 31.5833 "/>
    <x v="0"/>
    <n v="49186"/>
    <m/>
    <m/>
    <m/>
  </r>
  <r>
    <x v="7"/>
    <x v="3"/>
    <s v="C:\Users\andre\Desktop\REACTIV CEFAS\Testosterone\Testosterone/20201116_Cefas_Test6-Run1/Plate 1/@3/D3_03.tif "/>
    <s v=" 9452.264 "/>
    <s v=" 34.0114 "/>
    <x v="0"/>
    <n v="321485"/>
    <m/>
    <m/>
    <m/>
  </r>
  <r>
    <x v="7"/>
    <x v="4"/>
    <s v="C:\Users\andre\Desktop\REACTIV CEFAS\Testosterone\Testosterone/20201116_Cefas_Test6-Run1/Plate 1/@3/E3_01.tif "/>
    <s v=" 4109.68 "/>
    <s v=" 32.7632 "/>
    <x v="0"/>
    <n v="134646"/>
    <m/>
    <m/>
    <m/>
  </r>
  <r>
    <x v="7"/>
    <x v="4"/>
    <s v="C:\Users\andre\Desktop\REACTIV CEFAS\Testosterone\Testosterone/20201116_Cefas_Test6-Run1/Plate 1/@3/E3_02.tif "/>
    <s v=" 3309.3739 "/>
    <s v=" 33.3072 "/>
    <x v="0"/>
    <n v="110226"/>
    <m/>
    <m/>
    <m/>
  </r>
  <r>
    <x v="7"/>
    <x v="4"/>
    <s v="C:\Users\andre\Desktop\REACTIV CEFAS\Testosterone\Testosterone/20201116_Cefas_Test6-Run1/Plate 1/@3/E3_03.tif "/>
    <s v=" 3525.6728 "/>
    <n v="35"/>
    <x v="0"/>
    <n v="123399"/>
    <m/>
    <m/>
    <m/>
  </r>
  <r>
    <x v="7"/>
    <x v="5"/>
    <s v="C:\Users\andre\Desktop\REACTIV CEFAS\Testosterone\Testosterone/20201116_Cefas_Test6-Run1/Plate 1/@3/F3_01.tif "/>
    <s v=" 4520.648 "/>
    <s v=" 37.0335 "/>
    <x v="0"/>
    <n v="167415"/>
    <m/>
    <m/>
    <m/>
  </r>
  <r>
    <x v="7"/>
    <x v="5"/>
    <s v="C:\Users\andre\Desktop\REACTIV CEFAS\Testosterone\Testosterone/20201116_Cefas_Test6-Run1/Plate 1/@3/F3_02.tif "/>
    <s v=" 2984.9255 "/>
    <s v=" 31.587 "/>
    <x v="0"/>
    <n v="94285"/>
    <m/>
    <m/>
    <m/>
  </r>
  <r>
    <x v="7"/>
    <x v="5"/>
    <s v="C:\Users\andre\Desktop\REACTIV CEFAS\Testosterone\Testosterone/20201116_Cefas_Test6-Run1/Plate 1/@3/F3_03.tif "/>
    <s v=" 3287.744 "/>
    <s v=" 37.4079 "/>
    <x v="0"/>
    <n v="122988"/>
    <m/>
    <m/>
    <m/>
  </r>
  <r>
    <x v="7"/>
    <x v="6"/>
    <s v="C:\Users\andre\Desktop\REACTIV CEFAS\Testosterone\Testosterone/20201116_Cefas_Test6-Run1/Plate 1/@3/G3_01.tif "/>
    <s v=" 22559.9801 "/>
    <s v=" 33.0786 "/>
    <x v="0"/>
    <n v="746253"/>
    <m/>
    <m/>
    <m/>
  </r>
  <r>
    <x v="7"/>
    <x v="6"/>
    <s v="C:\Users\andre\Desktop\REACTIV CEFAS\Testosterone\Testosterone/20201116_Cefas_Test6-Run1/Plate 1/@3/G3_02.tif "/>
    <s v=" 34889.02 "/>
    <s v=" 34.7328 "/>
    <x v="0"/>
    <n v="1211793"/>
    <m/>
    <m/>
    <m/>
  </r>
  <r>
    <x v="7"/>
    <x v="6"/>
    <s v="C:\Users\andre\Desktop\REACTIV CEFAS\Testosterone\Testosterone/20201116_Cefas_Test6-Run1/Plate 1/@3/G3_03.tif "/>
    <s v=" 1341.0535 "/>
    <s v=" 30.9355 "/>
    <x v="0"/>
    <n v="41486"/>
    <m/>
    <m/>
    <m/>
  </r>
  <r>
    <x v="7"/>
    <x v="7"/>
    <s v="C:\Users\andre\Desktop\REACTIV CEFAS\Testosterone\Testosterone/20201116_Cefas_Test6-Run1/Plate 1/@3/H3_01.tif "/>
    <s v=" 3460.7831 "/>
    <s v=" 31.6438 "/>
    <x v="0"/>
    <n v="109512"/>
    <m/>
    <m/>
    <m/>
  </r>
  <r>
    <x v="7"/>
    <x v="7"/>
    <s v="C:\Users\andre\Desktop\REACTIV CEFAS\Testosterone\Testosterone/20201116_Cefas_Test6-Run1/Plate 1/@3/H3_02.tif "/>
    <s v=" 3720.3419 "/>
    <s v=" 31.7791 "/>
    <x v="0"/>
    <n v="118229"/>
    <m/>
    <m/>
    <m/>
  </r>
  <r>
    <x v="7"/>
    <x v="7"/>
    <s v="C:\Users\andre\Desktop\REACTIV CEFAS\Testosterone\Testosterone/20201116_Cefas_Test6-Run1/Plate 1/@3/H3_03.tif "/>
    <s v=" 7224.3848 "/>
    <s v=" 32.6347 "/>
    <x v="0"/>
    <n v="235766"/>
    <m/>
    <m/>
    <m/>
  </r>
  <r>
    <x v="1"/>
    <x v="8"/>
    <s v=" "/>
    <m/>
    <m/>
    <x v="1"/>
    <m/>
    <m/>
    <m/>
    <m/>
  </r>
  <r>
    <x v="1"/>
    <x v="8"/>
    <s v="group "/>
    <s v=" "/>
    <s v=" mean of mean fluo "/>
    <x v="2"/>
    <s v=" mean of total fluo "/>
    <s v=" SD total fluo "/>
    <s v=" n fluorescent "/>
    <s v=" n total"/>
  </r>
  <r>
    <x v="7"/>
    <x v="9"/>
    <s v="C:\Users\andre\Desktop\REACTIV CEFAS\Testosterone\Testosterone/20201116_Cefas_Test6-Run1/Plate 1/@3/ "/>
    <s v=" "/>
    <s v=" 32.4243 "/>
    <x v="9"/>
    <s v=" 210803.167 "/>
    <s v=" 260822.988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C:\Users\andre\Desktop\REACTIV CEFAS\Testosterone\Testosterone/20201116_Cefas_Test6-Run1/Plate 1/@4/A4_01.tif "/>
    <s v=" 20245.5814 "/>
    <s v=" 34.969 "/>
    <x v="0"/>
    <n v="707968"/>
    <m/>
    <m/>
    <m/>
  </r>
  <r>
    <x v="8"/>
    <x v="0"/>
    <s v="C:\Users\andre\Desktop\REACTIV CEFAS\Testosterone\Testosterone/20201116_Cefas_Test6-Run1/Plate 1/@4/A4_02.tif "/>
    <s v=" 9452.264 "/>
    <s v=" 40.5149 "/>
    <x v="0"/>
    <n v="382957"/>
    <m/>
    <m/>
    <m/>
  </r>
  <r>
    <x v="8"/>
    <x v="0"/>
    <s v="C:\Users\andre\Desktop\REACTIV CEFAS\Testosterone\Testosterone/20201116_Cefas_Test6-Run1/Plate 1/@4/A4_03.tif "/>
    <s v=" 18125.8517 "/>
    <s v=" 35.0823 "/>
    <x v="0"/>
    <n v="635897"/>
    <m/>
    <m/>
    <m/>
  </r>
  <r>
    <x v="8"/>
    <x v="1"/>
    <s v="C:\Users\andre\Desktop\REACTIV CEFAS\Testosterone\Testosterone/20201116_Cefas_Test6-Run1/Plate 1/@4/B4_01.tif "/>
    <s v=" 54442.4448 "/>
    <s v=" 39.4358 "/>
    <x v="0"/>
    <n v="2146983"/>
    <m/>
    <m/>
    <m/>
  </r>
  <r>
    <x v="8"/>
    <x v="1"/>
    <s v="C:\Users\andre\Desktop\REACTIV CEFAS\Testosterone\Testosterone/20201116_Cefas_Test6-Run1/Plate 1/@4/B4_02.tif "/>
    <s v=" 37527.8672 "/>
    <s v=" 40.717 "/>
    <x v="0"/>
    <n v="1528022"/>
    <m/>
    <m/>
    <m/>
  </r>
  <r>
    <x v="8"/>
    <x v="1"/>
    <s v="C:\Users\andre\Desktop\REACTIV CEFAS\Testosterone\Testosterone/20201116_Cefas_Test6-Run1/Plate 1/@4/B4_03- exclu.tif"/>
    <m/>
    <m/>
    <x v="1"/>
    <m/>
    <m/>
    <m/>
    <m/>
  </r>
  <r>
    <x v="8"/>
    <x v="2"/>
    <s v="C:\Users\andre\Desktop\REACTIV CEFAS\Testosterone\Testosterone/20201116_Cefas_Test6-Run1/Plate 1/@4/C4_01.tif "/>
    <s v=" 10490.4989 "/>
    <s v=" 33.1773 "/>
    <x v="0"/>
    <n v="348047"/>
    <m/>
    <m/>
    <m/>
  </r>
  <r>
    <x v="8"/>
    <x v="2"/>
    <s v="C:\Users\andre\Desktop\REACTIV CEFAS\Testosterone\Testosterone/20201116_Cefas_Test6-Run1/Plate 1/@4/C4_02.tif "/>
    <s v=" 2595.5874 "/>
    <s v=" 31.6833 "/>
    <x v="0"/>
    <n v="82237"/>
    <m/>
    <m/>
    <m/>
  </r>
  <r>
    <x v="8"/>
    <x v="2"/>
    <s v="C:\Users\andre\Desktop\REACTIV CEFAS\Testosterone\Testosterone/20201116_Cefas_Test6-Run1/Plate 1/@4/C4_03.tif "/>
    <s v=" 12653.4884 "/>
    <s v=" 33.1658 "/>
    <x v="0"/>
    <n v="419663"/>
    <m/>
    <m/>
    <m/>
  </r>
  <r>
    <x v="8"/>
    <x v="3"/>
    <s v="C:\Users\andre\Desktop\REACTIV CEFAS\Testosterone\Testosterone/20201116_Cefas_Test6-Run1/Plate 1/@4/D4_01.tif "/>
    <s v=" 65235.7622 "/>
    <s v=" 40.4015 "/>
    <x v="0"/>
    <n v="2635624"/>
    <m/>
    <m/>
    <m/>
  </r>
  <r>
    <x v="8"/>
    <x v="3"/>
    <s v="C:\Users\andre\Desktop\REACTIV CEFAS\Testosterone\Testosterone/20201116_Cefas_Test6-Run1/Plate 1/@4/D4_02.tif "/>
    <s v=" 66922.894 "/>
    <s v=" 39.914 "/>
    <x v="0"/>
    <n v="2671162"/>
    <m/>
    <m/>
    <m/>
  </r>
  <r>
    <x v="8"/>
    <x v="3"/>
    <s v="C:\Users\andre\Desktop\REACTIV CEFAS\Testosterone\Testosterone/20201116_Cefas_Test6-Run1/Plate 1/@4/D4_03.tif "/>
    <s v=" 66641.7054 "/>
    <s v=" 41.5748 "/>
    <x v="0"/>
    <n v="2770616"/>
    <m/>
    <m/>
    <m/>
  </r>
  <r>
    <x v="8"/>
    <x v="4"/>
    <s v="C:\Users\andre\Desktop\REACTIV CEFAS\Testosterone\Testosterone/20201116_Cefas_Test6-Run1/Plate 1/@4/E4_01.tif "/>
    <s v=" 8543.8084 "/>
    <s v=" 31.9215 "/>
    <x v="0"/>
    <n v="272731"/>
    <m/>
    <m/>
    <m/>
  </r>
  <r>
    <x v="8"/>
    <x v="4"/>
    <s v="C:\Users\andre\Desktop\REACTIV CEFAS\Testosterone\Testosterone/20201116_Cefas_Test6-Run1/Plate 1/@4/E4_02.tif "/>
    <s v=" 4131.3099 "/>
    <s v=" 31.911 "/>
    <x v="0"/>
    <n v="131834"/>
    <m/>
    <m/>
    <m/>
  </r>
  <r>
    <x v="8"/>
    <x v="4"/>
    <s v="C:\Users\andre\Desktop\REACTIV CEFAS\Testosterone\Testosterone/20201116_Cefas_Test6-Run1/Plate 1/@4/E4_03.tif "/>
    <s v=" 6359.189 "/>
    <s v=" 38.8027 "/>
    <x v="0"/>
    <n v="246754"/>
    <m/>
    <m/>
    <m/>
  </r>
  <r>
    <x v="8"/>
    <x v="5"/>
    <s v="C:\Users\andre\Desktop\REACTIV CEFAS\Testosterone\Testosterone/20201116_Cefas_Test6-Run1/Plate 1/@4/F4_01.tif "/>
    <s v=" 64.8897 "/>
    <n v="33"/>
    <x v="0"/>
    <n v="2141"/>
    <m/>
    <m/>
    <m/>
  </r>
  <r>
    <x v="8"/>
    <x v="5"/>
    <s v="C:\Users\andre\Desktop\REACTIV CEFAS\Testosterone\Testosterone/20201116_Cefas_Test6-Run1/Plate 1/@4/F4_02.tif "/>
    <s v=" 3374.2636 "/>
    <s v=" 35.4487 "/>
    <x v="0"/>
    <n v="119613"/>
    <m/>
    <m/>
    <m/>
  </r>
  <r>
    <x v="8"/>
    <x v="5"/>
    <s v="C:\Users\andre\Desktop\REACTIV CEFAS\Testosterone\Testosterone/20201116_Cefas_Test6-Run1/Plate 1/@4/F4_03.tif "/>
    <s v=" 6770.157 "/>
    <s v=" 39.2875 "/>
    <x v="0"/>
    <n v="265983"/>
    <m/>
    <m/>
    <m/>
  </r>
  <r>
    <x v="8"/>
    <x v="6"/>
    <s v="C:\Users\andre\Desktop\REACTIV CEFAS\Testosterone\Testosterone/20201116_Cefas_Test6-Run1/Plate 1/@4/G4_01.tif "/>
    <s v=" 38479.5825 "/>
    <s v=" 34.5346 "/>
    <x v="0"/>
    <n v="1328876"/>
    <m/>
    <m/>
    <m/>
  </r>
  <r>
    <x v="8"/>
    <x v="6"/>
    <s v="C:\Users\andre\Desktop\REACTIV CEFAS\Testosterone\Testosterone/20201116_Cefas_Test6-Run1/Plate 1/@4/G4_02.tif "/>
    <s v=" 32769.2904 "/>
    <s v=" 34.3465 "/>
    <x v="0"/>
    <n v="1125512"/>
    <m/>
    <m/>
    <m/>
  </r>
  <r>
    <x v="8"/>
    <x v="6"/>
    <s v="C:\Users\andre\Desktop\REACTIV CEFAS\Testosterone\Testosterone/20201116_Cefas_Test6-Run1/Plate 1/@4/G4_03.tif "/>
    <s v=" 37052.0095 "/>
    <s v=" 33.7782 "/>
    <x v="0"/>
    <n v="1251549"/>
    <m/>
    <m/>
    <m/>
  </r>
  <r>
    <x v="8"/>
    <x v="7"/>
    <s v="C:\Users\andre\Desktop\REACTIV CEFAS\Testosterone\Testosterone/20201116_Cefas_Test6-Run1/Plate 1/@4/H4_01.tif "/>
    <s v=" 65127.6127 "/>
    <s v=" 38.4756 "/>
    <x v="0"/>
    <n v="2505823"/>
    <m/>
    <m/>
    <m/>
  </r>
  <r>
    <x v="8"/>
    <x v="7"/>
    <s v="C:\Users\andre\Desktop\REACTIV CEFAS\Testosterone\Testosterone/20201116_Cefas_Test6-Run1/Plate 1/@4/H4_02.tif "/>
    <s v=" 62185.9471 "/>
    <s v=" 38.408 "/>
    <x v="0"/>
    <n v="2388438"/>
    <m/>
    <m/>
    <m/>
  </r>
  <r>
    <x v="8"/>
    <x v="7"/>
    <s v="C:\Users\andre\Desktop\REACTIV CEFAS\Testosterone\Testosterone/20201116_Cefas_Test6-Run1/Plate 1/@4/H4_03.tif "/>
    <s v=" 53360.95 "/>
    <s v=" 35.7921 "/>
    <x v="0"/>
    <n v="1909898"/>
    <m/>
    <m/>
    <m/>
  </r>
  <r>
    <x v="1"/>
    <x v="8"/>
    <s v=" "/>
    <m/>
    <m/>
    <x v="1"/>
    <m/>
    <m/>
    <m/>
    <m/>
  </r>
  <r>
    <x v="1"/>
    <x v="8"/>
    <s v="group "/>
    <s v=" "/>
    <s v=" mean of mean fluo "/>
    <x v="2"/>
    <s v=" mean of total fluo "/>
    <s v=" SD total fluo "/>
    <s v=" n fluorescent "/>
    <s v=" n total"/>
  </r>
  <r>
    <x v="8"/>
    <x v="9"/>
    <s v="C:\Users\andre\Desktop\REACTIV CEFAS\Testosterone\Testosterone/20201116_Cefas_Test6-Run1/Plate 1/@4/ "/>
    <s v=" "/>
    <s v=" 36.5336 "/>
    <x v="10"/>
    <s v=" 1156559.38 "/>
    <s v=" 977012.75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C:\Users\andre\Desktop\REACTIV CEFAS\Testosterone\Testosterone/20201116_Cefas_Test6-Run1/Plate 1/@5/A5_01.tif "/>
    <s v=" 76937.5352 "/>
    <s v=" 41.0869 "/>
    <x v="0"/>
    <n v="3161123"/>
    <m/>
    <m/>
    <m/>
  </r>
  <r>
    <x v="9"/>
    <x v="0"/>
    <s v="C:\Users\andre\Desktop\REACTIV CEFAS\Testosterone\Testosterone/20201116_Cefas_Test6-Run1/Plate 1/@5/A5_02.tif "/>
    <s v=" 68436.9866 "/>
    <s v=" 34.3056 "/>
    <x v="0"/>
    <n v="2347774"/>
    <m/>
    <m/>
    <m/>
  </r>
  <r>
    <x v="9"/>
    <x v="0"/>
    <s v="C:\Users\andre\Desktop\REACTIV CEFAS\Testosterone\Testosterone/20201116_Cefas_Test6-Run1/Plate 1/@5/A5_03.tif "/>
    <s v=" 73952.6097 "/>
    <s v=" 40.7672 "/>
    <x v="0"/>
    <n v="3014840"/>
    <m/>
    <m/>
    <m/>
  </r>
  <r>
    <x v="9"/>
    <x v="1"/>
    <s v="C:\Users\andre\Desktop\REACTIV CEFAS\Testosterone\Testosterone/20201116_Cefas_Test6-Run1/Plate 1/@5/B5_01.tif "/>
    <s v=" 37376.4579 "/>
    <s v=" 38.4977 "/>
    <x v="0"/>
    <n v="1438907"/>
    <m/>
    <m/>
    <m/>
  </r>
  <r>
    <x v="9"/>
    <x v="1"/>
    <s v="C:\Users\andre\Desktop\REACTIV CEFAS\Testosterone\Testosterone/20201116_Cefas_Test6-Run1/Plate 1/@5/B5_02.tif "/>
    <s v=" 39214.999 "/>
    <s v=" 38.6674 "/>
    <x v="0"/>
    <n v="1516342"/>
    <m/>
    <m/>
    <m/>
  </r>
  <r>
    <x v="9"/>
    <x v="1"/>
    <s v="C:\Users\andre\Desktop\REACTIV CEFAS\Testosterone\Testosterone/20201116_Cefas_Test6-Run1/Plate 1/@5/B5_03.tif "/>
    <s v=" 44081.7253 "/>
    <s v=" 43.5751 "/>
    <x v="0"/>
    <n v="1920864"/>
    <m/>
    <m/>
    <m/>
  </r>
  <r>
    <x v="9"/>
    <x v="2"/>
    <s v="C:\Users\andre\Desktop\REACTIV CEFAS\Testosterone\Testosterone/20201116_Cefas_Test6-Run1/Plate 1/@5/C5_01.tif "/>
    <s v=" 70491.8266 "/>
    <s v=" 40.7389 "/>
    <x v="0"/>
    <n v="2871758"/>
    <m/>
    <m/>
    <m/>
  </r>
  <r>
    <x v="9"/>
    <x v="2"/>
    <s v="C:\Users\andre\Desktop\REACTIV CEFAS\Testosterone\Testosterone/20201116_Cefas_Test6-Run1/Plate 1/@5/C5_02.tif "/>
    <s v=" 70729.7554 "/>
    <s v=" 41.4128 "/>
    <x v="0"/>
    <n v="2929120"/>
    <m/>
    <m/>
    <m/>
  </r>
  <r>
    <x v="9"/>
    <x v="2"/>
    <s v="C:\Users\andre\Desktop\REACTIV CEFAS\Testosterone\Testosterone/20201116_Cefas_Test6-Run1/Plate 1/@5/C5_03.tif "/>
    <s v=" 69453.5917 "/>
    <s v=" 41.0972 "/>
    <x v="0"/>
    <n v="2854346"/>
    <m/>
    <m/>
    <m/>
  </r>
  <r>
    <x v="9"/>
    <x v="3"/>
    <s v="C:\Users\andre\Desktop\REACTIV CEFAS\Testosterone\Testosterone/20201116_Cefas_Test6-Run1/Plate 1/@5/D5_01.tif "/>
    <s v=" 56713.5837 "/>
    <s v=" 39.7616 "/>
    <x v="0"/>
    <n v="2255025"/>
    <m/>
    <m/>
    <m/>
  </r>
  <r>
    <x v="9"/>
    <x v="3"/>
    <s v="C:\Users\andre\Desktop\REACTIV CEFAS\Testosterone\Testosterone/20201116_Cefas_Test6-Run1/Plate 1/@5/D5_02.tif "/>
    <s v=" 54572.2241 "/>
    <s v=" 38.4308 "/>
    <x v="0"/>
    <n v="2097256"/>
    <m/>
    <m/>
    <m/>
  </r>
  <r>
    <x v="9"/>
    <x v="3"/>
    <s v="C:\Users\andre\Desktop\REACTIV CEFAS\Testosterone\Testosterone/20201116_Cefas_Test6-Run1/Plate 1/@5/D5_03.tif "/>
    <s v=" 58790.0536 "/>
    <s v=" 39.94 "/>
    <x v="0"/>
    <n v="2348076"/>
    <m/>
    <m/>
    <m/>
  </r>
  <r>
    <x v="9"/>
    <x v="4"/>
    <s v="C:\Users\andre\Desktop\REACTIV CEFAS\Testosterone\Testosterone/20201116_Cefas_Test6-Run1/Plate 1/@5/E5_01.tif "/>
    <s v=" 58400.7155 "/>
    <s v=" 47.9378 "/>
    <x v="0"/>
    <n v="2799601"/>
    <m/>
    <m/>
    <m/>
  </r>
  <r>
    <x v="9"/>
    <x v="4"/>
    <s v="C:\Users\andre\Desktop\REACTIV CEFAS\Testosterone\Testosterone/20201116_Cefas_Test6-Run1/Plate 1/@5/E5_02.tif "/>
    <s v=" 68047.6485 "/>
    <s v=" 47.5842 "/>
    <x v="0"/>
    <n v="3237995"/>
    <m/>
    <m/>
    <m/>
  </r>
  <r>
    <x v="9"/>
    <x v="4"/>
    <s v="C:\Users\andre\Desktop\REACTIV CEFAS\Testosterone\Testosterone/20201116_Cefas_Test6-Run1/Plate 1/@5/E5_03.tif "/>
    <s v=" 64543.6056 "/>
    <s v=" 46.7983 "/>
    <x v="0"/>
    <n v="3020528"/>
    <m/>
    <m/>
    <m/>
  </r>
  <r>
    <x v="9"/>
    <x v="5"/>
    <s v="C:\Users\andre\Desktop\REACTIV CEFAS\Testosterone\Testosterone/20201116_Cefas_Test6-Run1/Plate 1/@5/F5_01.tif "/>
    <s v=" 38933.8103 "/>
    <s v=" 37.5089 "/>
    <x v="0"/>
    <n v="1460364"/>
    <m/>
    <m/>
    <m/>
  </r>
  <r>
    <x v="9"/>
    <x v="5"/>
    <s v="C:\Users\andre\Desktop\REACTIV CEFAS\Testosterone\Testosterone/20201116_Cefas_Test6-Run1/Plate 1/@5/F5_02.tif "/>
    <s v=" 39452.9278 "/>
    <s v=" 41.0099 "/>
    <x v="0"/>
    <n v="1617959"/>
    <m/>
    <m/>
    <m/>
  </r>
  <r>
    <x v="9"/>
    <x v="5"/>
    <s v="C:\Users\andre\Desktop\REACTIV CEFAS\Testosterone\Testosterone/20201116_Cefas_Test6-Run1/Plate 1/@5/F5_03.tif "/>
    <s v=" 34002.1944 "/>
    <s v=" 39.1972 "/>
    <x v="0"/>
    <n v="1332791"/>
    <m/>
    <m/>
    <m/>
  </r>
  <r>
    <x v="9"/>
    <x v="6"/>
    <s v="C:\Users\andre\Desktop\REACTIV CEFAS\Testosterone\Testosterone/20201116_Cefas_Test6-Run1/Plate 1/@5/G5_01.tif "/>
    <s v=" 67701.5702 "/>
    <s v=" 41.3486 "/>
    <x v="0"/>
    <n v="2799363"/>
    <m/>
    <m/>
    <m/>
  </r>
  <r>
    <x v="9"/>
    <x v="6"/>
    <s v="C:\Users\andre\Desktop\REACTIV CEFAS\Testosterone\Testosterone/20201116_Cefas_Test6-Run1/Plate 1/@5/G5_02.tif "/>
    <s v=" 68242.3176 "/>
    <s v=" 41.6406 "/>
    <x v="0"/>
    <n v="2841649"/>
    <m/>
    <m/>
    <m/>
  </r>
  <r>
    <x v="9"/>
    <x v="6"/>
    <s v="C:\Users\andre\Desktop\REACTIV CEFAS\Testosterone\Testosterone/20201116_Cefas_Test6-Run1/Plate 1/@5/G5_03.tif "/>
    <s v=" 61234.2317 "/>
    <s v=" 41.3539 "/>
    <x v="0"/>
    <n v="2532277"/>
    <m/>
    <m/>
    <m/>
  </r>
  <r>
    <x v="9"/>
    <x v="7"/>
    <s v="C:\Users\andre\Desktop\REACTIV CEFAS\Testosterone\Testosterone/20201116_Cefas_Test6-Run1/Plate 1/@5/H5_01.tif "/>
    <s v=" 71075.8338 "/>
    <s v=" 41.8561 "/>
    <x v="0"/>
    <n v="2974954"/>
    <m/>
    <m/>
    <m/>
  </r>
  <r>
    <x v="9"/>
    <x v="7"/>
    <s v="C:\Users\andre\Desktop\REACTIV CEFAS\Testosterone\Testosterone/20201116_Cefas_Test6-Run1/Plate 1/@5/H5_02.tif "/>
    <s v=" 65019.4633 "/>
    <s v=" 42.345 "/>
    <x v="0"/>
    <n v="2753248"/>
    <m/>
    <m/>
    <m/>
  </r>
  <r>
    <x v="9"/>
    <x v="7"/>
    <s v="C:\Users\andre\Desktop\REACTIV CEFAS\Testosterone\Testosterone/20201116_Cefas_Test6-Run1/Plate 1/@5/H5_03.tif "/>
    <s v=" 59482.2102 "/>
    <s v=" 37.6633 "/>
    <x v="0"/>
    <n v="2240295"/>
    <m/>
    <m/>
    <m/>
  </r>
  <r>
    <x v="1"/>
    <x v="8"/>
    <s v=" "/>
    <m/>
    <m/>
    <x v="1"/>
    <m/>
    <m/>
    <m/>
    <m/>
  </r>
  <r>
    <x v="1"/>
    <x v="8"/>
    <s v="group "/>
    <s v=" "/>
    <s v=" mean of mean fluo "/>
    <x v="2"/>
    <s v=" mean of total fluo "/>
    <s v=" SD total fluo "/>
    <s v=" n fluorescent "/>
    <s v=" n total"/>
  </r>
  <r>
    <x v="9"/>
    <x v="9"/>
    <s v="C:\Users\andre\Desktop\REACTIV CEFAS\Testosterone\Testosterone/20201116_Cefas_Test6-Run1/Plate 1/@5/ "/>
    <s v=" "/>
    <s v=" 41.0219 "/>
    <x v="11"/>
    <s v=" 2431935.62 "/>
    <s v=" 605315.05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C:\Users\andre\Desktop\REACTIV CEFAS\Testosterone\Testosterone/20201116_Cefas_Test6-Run1/Plate 1/@6/A6_01.tif "/>
    <s v=" 65279.022 "/>
    <s v=" 47.0971 "/>
    <x v="0"/>
    <n v="3074452"/>
    <m/>
    <m/>
    <m/>
  </r>
  <r>
    <x v="10"/>
    <x v="0"/>
    <s v="C:\Users\andre\Desktop\REACTIV CEFAS\Testosterone\Testosterone/20201116_Cefas_Test6-Run1/Plate 1/@6/A6_02.tif "/>
    <s v=" 67593.4207 "/>
    <s v=" 48.3126 "/>
    <x v="0"/>
    <n v="3265617"/>
    <m/>
    <m/>
    <m/>
  </r>
  <r>
    <x v="10"/>
    <x v="0"/>
    <s v="C:\Users\andre\Desktop\REACTIV CEFAS\Testosterone\Testosterone/20201116_Cefas_Test6-Run1/Plate 1/@6/A6_03.tif "/>
    <s v=" 59633.6195 "/>
    <s v=" 47.4868 "/>
    <x v="0"/>
    <n v="2831807"/>
    <m/>
    <m/>
    <m/>
  </r>
  <r>
    <x v="10"/>
    <x v="1"/>
    <s v="C:\Users\andre\Desktop\REACTIV CEFAS\Testosterone\Testosterone/20201116_Cefas_Test6-Run1/Plate 1/@6/B6_01.tif "/>
    <s v=" 8651.9579 "/>
    <s v=" 33.135 "/>
    <x v="0"/>
    <n v="286683"/>
    <m/>
    <m/>
    <m/>
  </r>
  <r>
    <x v="10"/>
    <x v="1"/>
    <s v="C:\Users\andre\Desktop\REACTIV CEFAS\Testosterone\Testosterone/20201116_Cefas_Test6-Run1/Plate 1/@6/B6_02.tif "/>
    <s v=" 14189.2109 "/>
    <s v=" 38.8613 "/>
    <x v="0"/>
    <n v="551411"/>
    <m/>
    <m/>
    <m/>
  </r>
  <r>
    <x v="10"/>
    <x v="1"/>
    <s v="C:\Users\andre\Desktop\REACTIV CEFAS\Testosterone\Testosterone/20201116_Cefas_Test6-Run1/Plate 1/@6/B6_03.tif "/>
    <s v=" 13972.9119 "/>
    <s v=" 38.356 "/>
    <x v="0"/>
    <n v="535946"/>
    <m/>
    <m/>
    <m/>
  </r>
  <r>
    <x v="10"/>
    <x v="2"/>
    <s v="C:\Users\andre\Desktop\REACTIV CEFAS\Testosterone\Testosterone/20201116_Cefas_Test6-Run1/Plate 1/@6/C6_01.tif "/>
    <s v=" 60628.5946 "/>
    <s v=" 52.7039 "/>
    <x v="0"/>
    <n v="3195363"/>
    <m/>
    <m/>
    <m/>
  </r>
  <r>
    <x v="10"/>
    <x v="2"/>
    <s v="C:\Users\andre\Desktop\REACTIV CEFAS\Testosterone\Testosterone/20201116_Cefas_Test6-Run1/Plate 1/@6/C6_02- exclu.tif"/>
    <m/>
    <m/>
    <x v="1"/>
    <m/>
    <m/>
    <m/>
    <m/>
  </r>
  <r>
    <x v="10"/>
    <x v="2"/>
    <s v="C:\Users\andre\Desktop\REACTIV CEFAS\Testosterone\Testosterone/20201116_Cefas_Test6-Run1/Plate 1/@6/C6_03.tif "/>
    <s v=" 63202.5521 "/>
    <s v=" 49.9493 "/>
    <x v="0"/>
    <n v="3156926"/>
    <m/>
    <m/>
    <m/>
  </r>
  <r>
    <x v="10"/>
    <x v="3"/>
    <s v="C:\Users\andre\Desktop\REACTIV CEFAS\Testosterone\Testosterone/20201116_Cefas_Test6-Run1/Plate 1/@6/D6_01.tif "/>
    <s v=" 81176.9945 "/>
    <s v=" 48.016 "/>
    <x v="0"/>
    <n v="3897794"/>
    <m/>
    <m/>
    <m/>
  </r>
  <r>
    <x v="10"/>
    <x v="3"/>
    <s v="C:\Users\andre\Desktop\REACTIV CEFAS\Testosterone\Testosterone/20201116_Cefas_Test6-Run1/Plate 1/@6/D6_02.tif "/>
    <s v=" 82885.7562 "/>
    <s v=" 51.3578 "/>
    <x v="0"/>
    <n v="4256828"/>
    <m/>
    <m/>
    <m/>
  </r>
  <r>
    <x v="10"/>
    <x v="3"/>
    <s v="C:\Users\andre\Desktop\REACTIV CEFAS\Testosterone\Testosterone/20201116_Cefas_Test6-Run1/Plate 1/@6/D6_03.tif "/>
    <s v=" 75380.1828 "/>
    <s v=" 47.6494 "/>
    <x v="0"/>
    <n v="3591817"/>
    <m/>
    <m/>
    <m/>
  </r>
  <r>
    <x v="10"/>
    <x v="4"/>
    <s v="C:\Users\andre\Desktop\REACTIV CEFAS\Testosterone\Testosterone/20201116_Cefas_Test6-Run1/Plate 1/@6/E6_01.tif "/>
    <s v=" 92640.8387 "/>
    <s v=" 50.4982 "/>
    <x v="0"/>
    <n v="4678200"/>
    <m/>
    <m/>
    <m/>
  </r>
  <r>
    <x v="10"/>
    <x v="4"/>
    <s v="C:\Users\andre\Desktop\REACTIV CEFAS\Testosterone\Testosterone/20201116_Cefas_Test6-Run1/Plate 1/@6/E6_02.tif "/>
    <s v=" 99865.2235 "/>
    <s v=" 50.3405 "/>
    <x v="0"/>
    <n v="5027263"/>
    <m/>
    <m/>
    <m/>
  </r>
  <r>
    <x v="10"/>
    <x v="4"/>
    <s v="C:\Users\andre\Desktop\REACTIV CEFAS\Testosterone\Testosterone/20201116_Cefas_Test6-Run1/Plate 1/@6/E6_03.tif "/>
    <s v=" 88574.4185 "/>
    <s v=" 48.6369 "/>
    <x v="0"/>
    <n v="4307983"/>
    <m/>
    <m/>
    <m/>
  </r>
  <r>
    <x v="10"/>
    <x v="5"/>
    <s v="C:\Users\andre\Desktop\REACTIV CEFAS\Testosterone\Testosterone/20201116_Cefas_Test6-Run1/Plate 1/@6/F6_01.tif "/>
    <s v=" 73433.4923 "/>
    <s v=" 44.8872 "/>
    <x v="0"/>
    <n v="3296223"/>
    <m/>
    <m/>
    <m/>
  </r>
  <r>
    <x v="10"/>
    <x v="5"/>
    <s v="C:\Users\andre\Desktop\REACTIV CEFAS\Testosterone\Testosterone/20201116_Cefas_Test6-Run1/Plate 1/@6/F6_02.tif "/>
    <s v=" 69150.7731 "/>
    <s v=" 41.9697 "/>
    <x v="0"/>
    <n v="2902234"/>
    <m/>
    <m/>
    <m/>
  </r>
  <r>
    <x v="10"/>
    <x v="5"/>
    <s v="C:\Users\andre\Desktop\REACTIV CEFAS\Testosterone\Testosterone/20201116_Cefas_Test6-Run1/Plate 1/@6/F6_03.tif "/>
    <s v=" 69020.9938 "/>
    <s v=" 41.4698 "/>
    <x v="0"/>
    <n v="2862284"/>
    <m/>
    <m/>
    <m/>
  </r>
  <r>
    <x v="10"/>
    <x v="6"/>
    <s v="C:\Users\andre\Desktop\REACTIV CEFAS\Testosterone\Testosterone/20201116_Cefas_Test6-Run1/Plate 1/@6/G6_01- exclu.tif"/>
    <m/>
    <m/>
    <x v="1"/>
    <m/>
    <m/>
    <m/>
    <m/>
  </r>
  <r>
    <x v="10"/>
    <x v="6"/>
    <s v="C:\Users\andre\Desktop\REACTIV CEFAS\Testosterone\Testosterone/20201116_Cefas_Test6-Run1/Plate 1/@6/G6_02- exclu.tif"/>
    <m/>
    <m/>
    <x v="1"/>
    <m/>
    <m/>
    <m/>
    <m/>
  </r>
  <r>
    <x v="10"/>
    <x v="6"/>
    <s v="C:\Users\andre\Desktop\REACTIV CEFAS\Testosterone\Testosterone/20201116_Cefas_Test6-Run1/Plate 1/@6/G6_03- exclu.tif"/>
    <m/>
    <m/>
    <x v="1"/>
    <m/>
    <m/>
    <m/>
    <m/>
  </r>
  <r>
    <x v="10"/>
    <x v="7"/>
    <s v="C:\Users\andre\Desktop\REACTIV CEFAS\Testosterone\Testosterone/20201116_Cefas_Test6-Run1/Plate 1/@6/H6_01.tif "/>
    <s v=" 39323.1484 "/>
    <s v=" 38.2525 "/>
    <x v="0"/>
    <n v="1504208"/>
    <m/>
    <m/>
    <m/>
  </r>
  <r>
    <x v="10"/>
    <x v="7"/>
    <s v="C:\Users\andre\Desktop\REACTIV CEFAS\Testosterone\Testosterone/20201116_Cefas_Test6-Run1/Plate 1/@6/H6_02.tif "/>
    <s v=" 48083.2558 "/>
    <s v=" 37.9613 "/>
    <x v="0"/>
    <n v="1825304"/>
    <m/>
    <m/>
    <m/>
  </r>
  <r>
    <x v="10"/>
    <x v="7"/>
    <s v="C:\Users\andre\Desktop\REACTIV CEFAS\Testosterone\Testosterone/20201116_Cefas_Test6-Run1/Plate 1/@6/H6_03.tif "/>
    <s v=" 24960.8984 "/>
    <s v=" 42.1464 "/>
    <x v="0"/>
    <n v="1052013"/>
    <m/>
    <m/>
    <m/>
  </r>
  <r>
    <x v="1"/>
    <x v="8"/>
    <s v=" "/>
    <m/>
    <m/>
    <x v="1"/>
    <m/>
    <m/>
    <m/>
    <m/>
  </r>
  <r>
    <x v="1"/>
    <x v="8"/>
    <s v="group "/>
    <s v=" "/>
    <s v=" mean of mean fluo "/>
    <x v="2"/>
    <s v=" mean of total fluo "/>
    <s v=" SD total fluo "/>
    <s v=" n fluorescent "/>
    <s v=" n total"/>
  </r>
  <r>
    <x v="10"/>
    <x v="9"/>
    <s v="C:\Users\andre\Desktop\REACTIV CEFAS\Testosterone\Testosterone/20201116_Cefas_Test6-Run1/Plate 1/@6/ "/>
    <s v=" "/>
    <s v=" 43.5561 "/>
    <x v="12"/>
    <s v=" 2409464.88 "/>
    <s v=" 1595160.5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C:\Users\andre\Desktop\REACTIV CEFAS\Testosterone\Testosterone/20201116_Cefas_Test6-Run1/Plate 1/@7/A7_01.tif "/>
    <s v=" 76872.6455 "/>
    <s v=" 58.3655 "/>
    <x v="0"/>
    <n v="4486711"/>
    <m/>
    <m/>
    <m/>
  </r>
  <r>
    <x v="11"/>
    <x v="0"/>
    <s v="C:\Users\andre\Desktop\REACTIV CEFAS\Testosterone\Testosterone/20201116_Cefas_Test6-Run1/Plate 1/@7/A7_02.tif "/>
    <s v=" 73563.2716 "/>
    <s v=" 51.4699 "/>
    <x v="0"/>
    <n v="3786291"/>
    <m/>
    <m/>
    <m/>
  </r>
  <r>
    <x v="11"/>
    <x v="0"/>
    <s v="C:\Users\andre\Desktop\REACTIV CEFAS\Testosterone\Testosterone/20201116_Cefas_Test6-Run1/Plate 1/@7/A7_03.tif "/>
    <s v=" 79662.9019 "/>
    <s v=" 52.3649 "/>
    <x v="0"/>
    <n v="4171541"/>
    <m/>
    <m/>
    <m/>
  </r>
  <r>
    <x v="11"/>
    <x v="1"/>
    <s v="C:\Users\andre\Desktop\REACTIV CEFAS\Testosterone\Testosterone/20201116_Cefas_Test6-Run1/Plate 1/@7/B7_01.tif "/>
    <s v=" 64911.3138 "/>
    <s v=" 53.7048 "/>
    <x v="0"/>
    <n v="3486047"/>
    <m/>
    <m/>
    <m/>
  </r>
  <r>
    <x v="11"/>
    <x v="1"/>
    <s v="C:\Users\andre\Desktop\REACTIV CEFAS\Testosterone\Testosterone/20201116_Cefas_Test6-Run1/Plate 1/@7/B7_02.tif "/>
    <s v=" 67831.3496 "/>
    <s v=" 53.6489 "/>
    <x v="0"/>
    <n v="3639078"/>
    <m/>
    <m/>
    <m/>
  </r>
  <r>
    <x v="11"/>
    <x v="1"/>
    <s v="C:\Users\andre\Desktop\REACTIV CEFAS\Testosterone\Testosterone/20201116_Cefas_Test6-Run1/Plate 1/@7/B7_03.tif "/>
    <s v=" 72438.5171 "/>
    <s v=" 57.0911 "/>
    <x v="0"/>
    <n v="4135593"/>
    <m/>
    <m/>
    <m/>
  </r>
  <r>
    <x v="11"/>
    <x v="2"/>
    <s v="C:\Users\andre\Desktop\REACTIV CEFAS\Testosterone\Testosterone/20201116_Cefas_Test6-Run1/Plate 1/@7/C7_01.tif "/>
    <s v=" 84551.2581 "/>
    <s v=" 62.3154 "/>
    <x v="0"/>
    <n v="5268848"/>
    <m/>
    <m/>
    <m/>
  </r>
  <r>
    <x v="11"/>
    <x v="2"/>
    <s v="C:\Users\andre\Desktop\REACTIV CEFAS\Testosterone\Testosterone/20201116_Cefas_Test6-Run1/Plate 1/@7/C7_02.tif "/>
    <s v=" 90110.141 "/>
    <s v=" 59.2712 "/>
    <x v="0"/>
    <n v="5340940"/>
    <m/>
    <m/>
    <m/>
  </r>
  <r>
    <x v="11"/>
    <x v="2"/>
    <s v="C:\Users\andre\Desktop\REACTIV CEFAS\Testosterone\Testosterone/20201116_Cefas_Test6-Run1/Plate 1/@7/C7_03.tif "/>
    <s v=" 85438.0838 "/>
    <s v=" 58.2729 "/>
    <x v="0"/>
    <n v="4978726"/>
    <m/>
    <m/>
    <m/>
  </r>
  <r>
    <x v="11"/>
    <x v="3"/>
    <s v="C:\Users\andre\Desktop\REACTIV CEFAS\Testosterone\Testosterone/20201116_Cefas_Test6-Run1/Plate 1/@7/D7_01.tif "/>
    <s v=" 73130.6737 "/>
    <s v=" 55.0834 "/>
    <x v="0"/>
    <n v="4028287"/>
    <m/>
    <m/>
    <m/>
  </r>
  <r>
    <x v="11"/>
    <x v="3"/>
    <s v="C:\Users\andre\Desktop\REACTIV CEFAS\Testosterone\Testosterone/20201116_Cefas_Test6-Run1/Plate 1/@7/D7_02.tif "/>
    <s v=" 72481.7769 "/>
    <s v=" 61.5936 "/>
    <x v="0"/>
    <n v="4464410"/>
    <m/>
    <m/>
    <m/>
  </r>
  <r>
    <x v="11"/>
    <x v="3"/>
    <s v="C:\Users\andre\Desktop\REACTIV CEFAS\Testosterone\Testosterone/20201116_Cefas_Test6-Run1/Plate 1/@7/D7_03.tif "/>
    <s v=" 70318.7874 "/>
    <s v=" 61.2931 "/>
    <x v="0"/>
    <n v="4310059"/>
    <m/>
    <m/>
    <m/>
  </r>
  <r>
    <x v="11"/>
    <x v="4"/>
    <s v="C:\Users\andre\Desktop\REACTIV CEFAS\Testosterone\Testosterone/20201116_Cefas_Test6-Run1/Plate 1/@7/E7_01- exclu.tif"/>
    <m/>
    <m/>
    <x v="1"/>
    <m/>
    <m/>
    <m/>
    <m/>
  </r>
  <r>
    <x v="11"/>
    <x v="4"/>
    <s v="C:\Users\andre\Desktop\REACTIV CEFAS\Testosterone\Testosterone/20201116_Cefas_Test6-Run1/Plate 1/@7/E7_02.tif "/>
    <s v=" 76267.0085 "/>
    <s v=" 58.6653 "/>
    <x v="0"/>
    <n v="4474230"/>
    <m/>
    <m/>
    <m/>
  </r>
  <r>
    <x v="11"/>
    <x v="4"/>
    <s v="C:\Users\andre\Desktop\REACTIV CEFAS\Testosterone\Testosterone/20201116_Cefas_Test6-Run1/Plate 1/@7/E7_03.tif "/>
    <s v=" 64240.787 "/>
    <s v=" 61.8593 "/>
    <x v="0"/>
    <n v="3973888"/>
    <m/>
    <m/>
    <m/>
  </r>
  <r>
    <x v="11"/>
    <x v="5"/>
    <s v="C:\Users\andre\Desktop\REACTIV CEFAS\Testosterone\Testosterone/20201116_Cefas_Test6-Run1/Plate 1/@7/F7_01.tif "/>
    <s v=" 79208.6741 "/>
    <s v=" 52.3815 "/>
    <x v="0"/>
    <n v="4149068"/>
    <m/>
    <m/>
    <m/>
  </r>
  <r>
    <x v="11"/>
    <x v="5"/>
    <s v="C:\Users\andre\Desktop\REACTIV CEFAS\Testosterone\Testosterone/20201116_Cefas_Test6-Run1/Plate 1/@7/F7_02.tif "/>
    <s v=" 69669.8906 "/>
    <s v=" 53.9618 "/>
    <x v="0"/>
    <n v="3759514"/>
    <m/>
    <m/>
    <m/>
  </r>
  <r>
    <x v="11"/>
    <x v="5"/>
    <s v="C:\Users\andre\Desktop\REACTIV CEFAS\Testosterone\Testosterone/20201116_Cefas_Test6-Run1/Plate 1/@7/F7_03.tif "/>
    <s v=" 77175.464 "/>
    <s v=" 53.9986 "/>
    <x v="0"/>
    <n v="4167367"/>
    <m/>
    <m/>
    <m/>
  </r>
  <r>
    <x v="11"/>
    <x v="6"/>
    <s v="C:\Users\andre\Desktop\REACTIV CEFAS\Testosterone\Testosterone/20201116_Cefas_Test6-Run1/Plate 1/@7/G7_01.tif "/>
    <s v=" 88833.9772 "/>
    <s v=" 54.5103 "/>
    <x v="0"/>
    <n v="4842371"/>
    <m/>
    <m/>
    <m/>
  </r>
  <r>
    <x v="11"/>
    <x v="6"/>
    <s v="C:\Users\andre\Desktop\REACTIV CEFAS\Testosterone\Testosterone/20201116_Cefas_Test6-Run1/Plate 1/@7/G7_02.tif "/>
    <s v=" 92727.3583 "/>
    <s v=" 58.4616 "/>
    <x v="0"/>
    <n v="5420992"/>
    <m/>
    <m/>
    <m/>
  </r>
  <r>
    <x v="11"/>
    <x v="6"/>
    <s v="C:\Users\andre\Desktop\REACTIV CEFAS\Testosterone\Testosterone/20201116_Cefas_Test6-Run1/Plate 1/@7/G7_03.tif "/>
    <s v=" 92316.3903 "/>
    <s v=" 58.6354 "/>
    <x v="0"/>
    <n v="5413011"/>
    <m/>
    <m/>
    <m/>
  </r>
  <r>
    <x v="11"/>
    <x v="7"/>
    <s v="C:\Users\andre\Desktop\REACTIV CEFAS\Testosterone\Testosterone/20201116_Cefas_Test6-Run1/Plate 1/@7/H7_01.tif "/>
    <s v=" 81068.8451 "/>
    <s v=" 51.5229 "/>
    <x v="0"/>
    <n v="4176906"/>
    <m/>
    <m/>
    <m/>
  </r>
  <r>
    <x v="11"/>
    <x v="7"/>
    <s v="C:\Users\andre\Desktop\REACTIV CEFAS\Testosterone\Testosterone/20201116_Cefas_Test6-Run1/Plate 1/@7/H7_02.tif "/>
    <s v=" 79944.0905 "/>
    <s v=" 49.0087 "/>
    <x v="0"/>
    <n v="3917953"/>
    <m/>
    <m/>
    <m/>
  </r>
  <r>
    <x v="11"/>
    <x v="7"/>
    <s v="C:\Users\andre\Desktop\REACTIV CEFAS\Testosterone\Testosterone/20201116_Cefas_Test6-Run1/Plate 1/@7/H7_03.tif "/>
    <s v=" 68934.4742 "/>
    <s v=" 52.8337 "/>
    <x v="0"/>
    <n v="3642063"/>
    <m/>
    <m/>
    <m/>
  </r>
  <r>
    <x v="1"/>
    <x v="8"/>
    <s v=" "/>
    <m/>
    <m/>
    <x v="1"/>
    <m/>
    <m/>
    <m/>
    <m/>
  </r>
  <r>
    <x v="1"/>
    <x v="8"/>
    <s v="group "/>
    <s v=" "/>
    <s v=" mean of mean fluo "/>
    <x v="2"/>
    <s v=" mean of total fluo "/>
    <s v=" SD total fluo "/>
    <s v=" n fluorescent "/>
    <s v=" n total"/>
  </r>
  <r>
    <x v="11"/>
    <x v="9"/>
    <s v="C:\Users\andre\Desktop\REACTIV CEFAS\Testosterone\Testosterone/20201116_Cefas_Test6-Run1/Plate 1/@7/ "/>
    <s v=" "/>
    <s v=" 56.2702 "/>
    <x v="13"/>
    <s v=" 4269810.62 "/>
    <s v=" 701246.65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C:\Users\andre\Desktop\REACTIV CEFAS\Testosterone\Testosterone/20201116_Cefas_Test6-Run1/Plate 2/@10/A4_01.tif "/>
    <s v=" 22127.3822 "/>
    <s v=" 34.7967 "/>
    <x v="0"/>
    <n v="769959"/>
    <m/>
    <m/>
    <m/>
  </r>
  <r>
    <x v="12"/>
    <x v="0"/>
    <s v="C:\Users\andre\Desktop\REACTIV CEFAS\Testosterone\Testosterone/20201116_Cefas_Test6-Run1/Plate 2/@10/A4_02.tif "/>
    <s v=" 16914.5776 "/>
    <s v=" 33.2033 "/>
    <x v="0"/>
    <n v="561620"/>
    <m/>
    <m/>
    <m/>
  </r>
  <r>
    <x v="12"/>
    <x v="0"/>
    <s v="C:\Users\andre\Desktop\REACTIV CEFAS\Testosterone\Testosterone/20201116_Cefas_Test6-Run1/Plate 2/@10/A4_03.tif "/>
    <s v=" 18363.7805 "/>
    <s v=" 34.3027 "/>
    <x v="0"/>
    <n v="629927"/>
    <m/>
    <m/>
    <m/>
  </r>
  <r>
    <x v="12"/>
    <x v="1"/>
    <s v="C:\Users\andre\Desktop\REACTIV CEFAS\Testosterone\Testosterone/20201116_Cefas_Test6-Run1/Plate 2/@10/B4_01.tif "/>
    <s v=" 23425.1759 "/>
    <s v=" 35.8227 "/>
    <x v="0"/>
    <n v="839153"/>
    <m/>
    <m/>
    <m/>
  </r>
  <r>
    <x v="12"/>
    <x v="1"/>
    <s v="C:\Users\andre\Desktop\REACTIV CEFAS\Testosterone\Testosterone/20201116_Cefas_Test6-Run1/Plate 2/@10/B4_02.tif "/>
    <s v=" 28573.0908 "/>
    <s v=" 35.9871 "/>
    <x v="0"/>
    <n v="1028264"/>
    <m/>
    <m/>
    <m/>
  </r>
  <r>
    <x v="12"/>
    <x v="1"/>
    <s v="C:\Users\andre\Desktop\REACTIV CEFAS\Testosterone\Testosterone/20201116_Cefas_Test6-Run1/Plate 2/@10/B4_03.tif "/>
    <s v=" 15487.0046 "/>
    <s v=" 34.9204 "/>
    <x v="0"/>
    <n v="540812"/>
    <m/>
    <m/>
    <m/>
  </r>
  <r>
    <x v="12"/>
    <x v="2"/>
    <s v="C:\Users\andre\Desktop\REACTIV CEFAS\Testosterone\Testosterone/20201116_Cefas_Test6-Run1/Plate 2/@10/C4_01.tif "/>
    <s v=" 25393.4963 "/>
    <s v=" 33.4659 "/>
    <x v="0"/>
    <n v="849817"/>
    <m/>
    <m/>
    <m/>
  </r>
  <r>
    <x v="12"/>
    <x v="2"/>
    <s v="C:\Users\andre\Desktop\REACTIV CEFAS\Testosterone\Testosterone/20201116_Cefas_Test6-Run1/Plate 2/@10/C4_02.tif "/>
    <s v=" 41010.2802 "/>
    <s v=" 35.9731 "/>
    <x v="0"/>
    <n v="1475267"/>
    <m/>
    <m/>
    <m/>
  </r>
  <r>
    <x v="12"/>
    <x v="2"/>
    <s v="C:\Users\andre\Desktop\REACTIV CEFAS\Testosterone\Testosterone/20201116_Cefas_Test6-Run1/Plate 2/@10/C4_03.tif "/>
    <s v=" 28897.5392 "/>
    <s v=" 34.6639 "/>
    <x v="0"/>
    <n v="1001702"/>
    <m/>
    <m/>
    <m/>
  </r>
  <r>
    <x v="12"/>
    <x v="3"/>
    <s v="C:\Users\andre\Desktop\REACTIV CEFAS\Testosterone\Testosterone/20201116_Cefas_Test6-Run1/Plate 2/@10/D4_01.tif "/>
    <s v=" 44276.3943 "/>
    <s v=" 38.9126 "/>
    <x v="0"/>
    <n v="1722908"/>
    <m/>
    <m/>
    <m/>
  </r>
  <r>
    <x v="12"/>
    <x v="3"/>
    <s v="C:\Users\andre\Desktop\REACTIV CEFAS\Testosterone\Testosterone/20201116_Cefas_Test6-Run1/Plate 2/@10/D4_02.tif "/>
    <s v=" 39734.1164 "/>
    <s v=" 39.0381 "/>
    <x v="0"/>
    <n v="1551145"/>
    <m/>
    <m/>
    <m/>
  </r>
  <r>
    <x v="12"/>
    <x v="3"/>
    <s v="C:\Users\andre\Desktop\REACTIV CEFAS\Testosterone\Testosterone/20201116_Cefas_Test6-Run1/Plate 2/@10/D4_03.tif "/>
    <s v=" 46785.4621 "/>
    <s v=" 41.5885 "/>
    <x v="0"/>
    <n v="1945739"/>
    <m/>
    <m/>
    <m/>
  </r>
  <r>
    <x v="12"/>
    <x v="4"/>
    <s v="C:\Users\andre\Desktop\REACTIV CEFAS\Testosterone\Testosterone/20201116_Cefas_Test6-Run1/Plate 2/@10/E4_01.tif "/>
    <s v=" 50678.8431 "/>
    <s v=" 38.9168 "/>
    <x v="0"/>
    <n v="1972257"/>
    <m/>
    <m/>
    <m/>
  </r>
  <r>
    <x v="12"/>
    <x v="4"/>
    <s v="C:\Users\andre\Desktop\REACTIV CEFAS\Testosterone\Testosterone/20201116_Cefas_Test6-Run1/Plate 2/@10/E4_02.tif "/>
    <s v=" 48299.5547 "/>
    <s v=" 36.6516 "/>
    <x v="0"/>
    <n v="1770255"/>
    <m/>
    <m/>
    <m/>
  </r>
  <r>
    <x v="12"/>
    <x v="4"/>
    <s v="C:\Users\andre\Desktop\REACTIV CEFAS\Testosterone\Testosterone/20201116_Cefas_Test6-Run1/Plate 2/@10/E4_03.tif "/>
    <s v=" 52149.676 "/>
    <s v=" 38.0207 "/>
    <x v="0"/>
    <n v="1982769"/>
    <m/>
    <m/>
    <m/>
  </r>
  <r>
    <x v="12"/>
    <x v="5"/>
    <s v="C:\Users\andre\Desktop\REACTIV CEFAS\Testosterone\Testosterone/20201116_Cefas_Test6-Run1/Plate 2/@10/F4_01.tif "/>
    <s v=" 4650.4273 "/>
    <s v=" 33.293 "/>
    <x v="0"/>
    <n v="154827"/>
    <m/>
    <m/>
    <m/>
  </r>
  <r>
    <x v="12"/>
    <x v="5"/>
    <s v="C:\Users\andre\Desktop\REACTIV CEFAS\Testosterone\Testosterone/20201116_Cefas_Test6-Run1/Plate 2/@10/F4_02.tif "/>
    <s v=" 11009.6164 "/>
    <s v=" 36.1749 "/>
    <x v="0"/>
    <n v="398271"/>
    <m/>
    <m/>
    <m/>
  </r>
  <r>
    <x v="12"/>
    <x v="5"/>
    <s v="C:\Users\andre\Desktop\REACTIV CEFAS\Testosterone\Testosterone/20201116_Cefas_Test6-Run1/Plate 2/@10/F4_03.tif "/>
    <s v=" 7765.1322 "/>
    <s v=" 33.8774 "/>
    <x v="0"/>
    <n v="263063"/>
    <m/>
    <m/>
    <m/>
  </r>
  <r>
    <x v="12"/>
    <x v="6"/>
    <s v="C:\Users\andre\Desktop\REACTIV CEFAS\Testosterone\Testosterone/20201116_Cefas_Test6-Run1/Plate 2/@10/G4_01.tif "/>
    <s v=" 10166.0505 "/>
    <s v=" 34.7553 "/>
    <x v="0"/>
    <n v="353324"/>
    <m/>
    <m/>
    <m/>
  </r>
  <r>
    <x v="12"/>
    <x v="6"/>
    <s v="C:\Users\andre\Desktop\REACTIV CEFAS\Testosterone\Testosterone/20201116_Cefas_Test6-Run1/Plate 2/@10/G4_02.tif "/>
    <s v=" 3850.1212 "/>
    <s v=" 31.382 "/>
    <x v="0"/>
    <n v="120825"/>
    <m/>
    <m/>
    <m/>
  </r>
  <r>
    <x v="12"/>
    <x v="6"/>
    <s v="C:\Users\andre\Desktop\REACTIV CEFAS\Testosterone\Testosterone/20201116_Cefas_Test6-Run1/Plate 2/@10/G4_03.tif "/>
    <s v=" 1297.7937 "/>
    <s v=" 31.3667 "/>
    <x v="0"/>
    <n v="40707"/>
    <m/>
    <m/>
    <m/>
  </r>
  <r>
    <x v="12"/>
    <x v="7"/>
    <s v="C:\Users\andre\Desktop\REACTIV CEFAS\Testosterone\Testosterone/20201116_Cefas_Test6-Run1/Plate 2/@10/H4_01.tif "/>
    <s v=" 48169.7753 "/>
    <s v=" 39.5599 "/>
    <x v="0"/>
    <n v="1905594"/>
    <m/>
    <m/>
    <m/>
  </r>
  <r>
    <x v="12"/>
    <x v="7"/>
    <s v="C:\Users\andre\Desktop\REACTIV CEFAS\Testosterone\Testosterone/20201116_Cefas_Test6-Run1/Plate 2/@10/H4_02.tif "/>
    <s v=" 48277.9248 "/>
    <s v=" 39.6263 "/>
    <x v="0"/>
    <n v="1913078"/>
    <m/>
    <m/>
    <m/>
  </r>
  <r>
    <x v="12"/>
    <x v="7"/>
    <s v="C:\Users\andre\Desktop\REACTIV CEFAS\Testosterone\Testosterone/20201116_Cefas_Test6-Run1/Plate 2/@10/H4_03.tif "/>
    <s v=" 57578.7795 "/>
    <s v=" 38.811 "/>
    <x v="0"/>
    <n v="2234693"/>
    <m/>
    <m/>
    <m/>
  </r>
  <r>
    <x v="1"/>
    <x v="8"/>
    <s v=" "/>
    <m/>
    <m/>
    <x v="1"/>
    <m/>
    <m/>
    <m/>
    <m/>
  </r>
  <r>
    <x v="1"/>
    <x v="8"/>
    <s v="group "/>
    <s v=" "/>
    <s v=" mean of mean fluo "/>
    <x v="2"/>
    <s v=" mean of total fluo "/>
    <s v=" SD total fluo "/>
    <s v=" n fluorescent "/>
    <s v=" n total"/>
  </r>
  <r>
    <x v="12"/>
    <x v="9"/>
    <s v="C:\Users\andre\Desktop\REACTIV CEFAS\Testosterone\Testosterone/20201116_Cefas_Test6-Run1/Plate 2/@10/ "/>
    <s v=" "/>
    <s v=" 36.0463 "/>
    <x v="14"/>
    <s v=" 1084415.67 "/>
    <s v=" 717220.13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C:\Users\andre\Desktop\REACTIV CEFAS\Testosterone\Testosterone/20201116_Cefas_Test6-Run1/Plate 2/@11/A5_01.tif "/>
    <s v=" 59417.3205 "/>
    <s v=" 38.7809 "/>
    <x v="0"/>
    <n v="2304254"/>
    <m/>
    <m/>
    <m/>
  </r>
  <r>
    <x v="13"/>
    <x v="0"/>
    <s v="C:\Users\andre\Desktop\REACTIV CEFAS\Testosterone\Testosterone/20201116_Cefas_Test6-Run1/Plate 2/@11/A5_02.tif "/>
    <s v=" 56713.5837 "/>
    <s v=" 37.8749 "/>
    <x v="0"/>
    <n v="2148022"/>
    <m/>
    <m/>
    <m/>
  </r>
  <r>
    <x v="13"/>
    <x v="0"/>
    <s v="C:\Users\andre\Desktop\REACTIV CEFAS\Testosterone\Testosterone/20201116_Cefas_Test6-Run1/Plate 2/@11/A5_03.tif "/>
    <s v=" 56367.5054 "/>
    <s v=" 37.5388 "/>
    <x v="0"/>
    <n v="2115966"/>
    <m/>
    <m/>
    <m/>
  </r>
  <r>
    <x v="13"/>
    <x v="1"/>
    <s v="C:\Users\andre\Desktop\REACTIV CEFAS\Testosterone\Testosterone/20201116_Cefas_Test6-Run1/Plate 2/@11/B5_01.tif "/>
    <s v=" 13064.4564 "/>
    <s v=" 34.4735 "/>
    <x v="0"/>
    <n v="450378"/>
    <m/>
    <m/>
    <m/>
  </r>
  <r>
    <x v="13"/>
    <x v="1"/>
    <s v="C:\Users\andre\Desktop\REACTIV CEFAS\Testosterone\Testosterone/20201116_Cefas_Test6-Run1/Plate 2/@11/B5_02.tif "/>
    <s v=" 12285.7801 "/>
    <s v=" 33.213 "/>
    <x v="0"/>
    <n v="408048"/>
    <m/>
    <m/>
    <m/>
  </r>
  <r>
    <x v="13"/>
    <x v="1"/>
    <s v="C:\Users\andre\Desktop\REACTIV CEFAS\Testosterone\Testosterone/20201116_Cefas_Test6-Run1/Plate 2/@11/B5_03.tif "/>
    <s v=" 12091.1111 "/>
    <s v=" 33.2665 "/>
    <x v="0"/>
    <n v="402230"/>
    <m/>
    <m/>
    <m/>
  </r>
  <r>
    <x v="13"/>
    <x v="2"/>
    <s v="C:\Users\andre\Desktop\REACTIV CEFAS\Testosterone\Testosterone/20201116_Cefas_Test6-Run1/Plate 2/@11/C5_01.tif "/>
    <s v=" 60715.1142 "/>
    <s v=" 36.0285 "/>
    <x v="0"/>
    <n v="2187475"/>
    <m/>
    <m/>
    <m/>
  </r>
  <r>
    <x v="13"/>
    <x v="2"/>
    <s v="C:\Users\andre\Desktop\REACTIV CEFAS\Testosterone\Testosterone/20201116_Cefas_Test6-Run1/Plate 2/@11/C5_02.tif "/>
    <s v=" 58854.9433 "/>
    <s v=" 36.4579 "/>
    <x v="0"/>
    <n v="2145729"/>
    <m/>
    <m/>
    <m/>
  </r>
  <r>
    <x v="13"/>
    <x v="2"/>
    <s v="C:\Users\andre\Desktop\REACTIV CEFAS\Testosterone\Testosterone/20201116_Cefas_Test6-Run1/Plate 2/@11/C5_03.tif "/>
    <s v=" 65798.1395 "/>
    <s v=" 37.8153 "/>
    <x v="0"/>
    <n v="2488173"/>
    <m/>
    <m/>
    <m/>
  </r>
  <r>
    <x v="13"/>
    <x v="3"/>
    <s v="C:\Users\andre\Desktop\REACTIV CEFAS\Testosterone\Testosterone/20201116_Cefas_Test6-Run1/Plate 2/@11/D5_01.tif "/>
    <s v=" 75207.1436 "/>
    <s v=" 45.2824 "/>
    <x v="0"/>
    <n v="3405562"/>
    <m/>
    <m/>
    <m/>
  </r>
  <r>
    <x v="13"/>
    <x v="3"/>
    <s v="C:\Users\andre\Desktop\REACTIV CEFAS\Testosterone\Testosterone/20201116_Cefas_Test6-Run1/Plate 2/@11/D5_02.tif "/>
    <s v=" 74817.8055 "/>
    <s v=" 51.0382 "/>
    <x v="0"/>
    <n v="3818563"/>
    <m/>
    <m/>
    <m/>
  </r>
  <r>
    <x v="13"/>
    <x v="3"/>
    <s v="C:\Users\andre\Desktop\REACTIV CEFAS\Testosterone\Testosterone/20201116_Cefas_Test6-Run1/Plate 2/@11/D5_03.tif "/>
    <s v=" 77002.4249 "/>
    <s v=" 50.2691 "/>
    <x v="0"/>
    <n v="3870843"/>
    <m/>
    <m/>
    <m/>
  </r>
  <r>
    <x v="13"/>
    <x v="4"/>
    <s v="C:\Users\andre\Desktop\REACTIV CEFAS\Testosterone\Testosterone/20201116_Cefas_Test6-Run1/Plate 2/@11/E5_01.tif "/>
    <s v=" 35775.8457 "/>
    <s v=" 34.893 "/>
    <x v="0"/>
    <n v="1248326"/>
    <m/>
    <m/>
    <m/>
  </r>
  <r>
    <x v="13"/>
    <x v="4"/>
    <s v="C:\Users\andre\Desktop\REACTIV CEFAS\Testosterone\Testosterone/20201116_Cefas_Test6-Run1/Plate 2/@11/E5_02.tif "/>
    <s v=" 39409.668 "/>
    <s v=" 34.6021 "/>
    <x v="0"/>
    <n v="1363657"/>
    <m/>
    <m/>
    <m/>
  </r>
  <r>
    <x v="13"/>
    <x v="4"/>
    <s v="C:\Users\andre\Desktop\REACTIV CEFAS\Testosterone\Testosterone/20201116_Cefas_Test6-Run1/Plate 2/@11/E5_03.tif "/>
    <s v=" 40880.5008 "/>
    <s v=" 35.3709 "/>
    <x v="0"/>
    <n v="1445980"/>
    <m/>
    <m/>
    <m/>
  </r>
  <r>
    <x v="13"/>
    <x v="5"/>
    <s v="C:\Users\andre\Desktop\REACTIV CEFAS\Testosterone\Testosterone/20201116_Cefas_Test6-Run1/Plate 2/@11/F5_01.tif "/>
    <s v=" 83686.0623 "/>
    <s v=" 46.7493 "/>
    <x v="0"/>
    <n v="3912264"/>
    <m/>
    <m/>
    <m/>
  </r>
  <r>
    <x v="13"/>
    <x v="5"/>
    <s v="C:\Users\andre\Desktop\REACTIV CEFAS\Testosterone\Testosterone/20201116_Cefas_Test6-Run1/Plate 2/@11/F5_02.tif "/>
    <s v=" 83729.3221 "/>
    <s v=" 46.4231 "/>
    <x v="0"/>
    <n v="3886979"/>
    <m/>
    <m/>
    <m/>
  </r>
  <r>
    <x v="13"/>
    <x v="5"/>
    <s v="C:\Users\andre\Desktop\REACTIV CEFAS\Testosterone\Testosterone/20201116_Cefas_Test6-Run1/Plate 2/@11/F5_03.tif "/>
    <s v=" 83513.0232 "/>
    <s v=" 46.4574 "/>
    <x v="0"/>
    <n v="3879797"/>
    <m/>
    <m/>
    <m/>
  </r>
  <r>
    <x v="13"/>
    <x v="6"/>
    <s v="C:\Users\andre\Desktop\REACTIV CEFAS\Testosterone\Testosterone/20201116_Cefas_Test6-Run1/Plate 2/@11/G5_01.tif "/>
    <s v=" 4499.0181 "/>
    <s v=" 40.5577 "/>
    <x v="0"/>
    <n v="182470"/>
    <m/>
    <m/>
    <m/>
  </r>
  <r>
    <x v="13"/>
    <x v="6"/>
    <s v="C:\Users\andre\Desktop\REACTIV CEFAS\Testosterone\Testosterone/20201116_Cefas_Test6-Run1/Plate 2/@11/G5_02- exclu.tif"/>
    <m/>
    <m/>
    <x v="1"/>
    <m/>
    <m/>
    <m/>
    <m/>
  </r>
  <r>
    <x v="13"/>
    <x v="6"/>
    <s v="C:\Users\andre\Desktop\REACTIV CEFAS\Testosterone\Testosterone/20201116_Cefas_Test6-Run1/Plate 2/@11/G5_03- exclu.tif"/>
    <m/>
    <m/>
    <x v="1"/>
    <m/>
    <m/>
    <m/>
    <m/>
  </r>
  <r>
    <x v="13"/>
    <x v="7"/>
    <s v="C:\Users\andre\Desktop\REACTIV CEFAS\Testosterone\Testosterone/20201116_Cefas_Test6-Run1/Plate 2/@11/H5_01.tif "/>
    <s v=" 42199.9244 "/>
    <s v=" 36.0097 "/>
    <x v="0"/>
    <n v="1519608"/>
    <m/>
    <m/>
    <m/>
  </r>
  <r>
    <x v="13"/>
    <x v="7"/>
    <s v="C:\Users\andre\Desktop\REACTIV CEFAS\Testosterone\Testosterone/20201116_Cefas_Test6-Run1/Plate 2/@11/H5_02.tif "/>
    <s v=" 50981.6616 "/>
    <s v=" 39.2367 "/>
    <x v="0"/>
    <n v="2000354"/>
    <m/>
    <m/>
    <m/>
  </r>
  <r>
    <x v="13"/>
    <x v="7"/>
    <s v="C:\Users\andre\Desktop\REACTIV CEFAS\Testosterone\Testosterone/20201116_Cefas_Test6-Run1/Plate 2/@11/H5_03.tif "/>
    <s v=" 43995.2057 "/>
    <s v=" 35.5934 "/>
    <x v="0"/>
    <n v="1565939"/>
    <m/>
    <m/>
    <m/>
  </r>
  <r>
    <x v="1"/>
    <x v="8"/>
    <s v=" "/>
    <m/>
    <m/>
    <x v="1"/>
    <m/>
    <m/>
    <m/>
    <m/>
  </r>
  <r>
    <x v="1"/>
    <x v="8"/>
    <s v="group "/>
    <s v=" "/>
    <s v=" mean of mean fluo "/>
    <x v="2"/>
    <s v=" mean of total fluo "/>
    <s v=" SD total fluo "/>
    <s v=" n fluorescent "/>
    <s v=" n total"/>
  </r>
  <r>
    <x v="13"/>
    <x v="9"/>
    <s v="C:\Users\andre\Desktop\REACTIV CEFAS\Testosterone\Testosterone/20201116_Cefas_Test6-Run1/Plate 2/@11/ "/>
    <s v=" "/>
    <s v=" 39.156 "/>
    <x v="15"/>
    <s v=" 1978133.21 "/>
    <s v=" 1282271.0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C:\Users\andre\Desktop\REACTIV CEFAS\Testosterone\Testosterone/20201116_Cefas_Test6-Run1/Plate 2/@12/A6_01.tif "/>
    <s v=" 32401.5822 "/>
    <s v=" 36.723 "/>
    <x v="0"/>
    <n v="1189882"/>
    <m/>
    <m/>
    <m/>
  </r>
  <r>
    <x v="14"/>
    <x v="0"/>
    <s v="C:\Users\andre\Desktop\REACTIV CEFAS\Testosterone\Testosterone/20201116_Cefas_Test6-Run1/Plate 2/@12/A6_02.tif "/>
    <s v=" 38393.063 "/>
    <s v=" 37.191 "/>
    <x v="0"/>
    <n v="1427876"/>
    <m/>
    <m/>
    <m/>
  </r>
  <r>
    <x v="14"/>
    <x v="0"/>
    <s v="C:\Users\andre\Desktop\REACTIV CEFAS\Testosterone\Testosterone/20201116_Cefas_Test6-Run1/Plate 2/@12/A6_03.tif "/>
    <s v=" 44579.2128 "/>
    <s v=" 38.7166 "/>
    <x v="0"/>
    <n v="1725957"/>
    <m/>
    <m/>
    <m/>
  </r>
  <r>
    <x v="14"/>
    <x v="1"/>
    <s v="C:\Users\andre\Desktop\REACTIV CEFAS\Testosterone\Testosterone/20201116_Cefas_Test6-Run1/Plate 2/@12/B6_01- exclu.tif"/>
    <m/>
    <m/>
    <x v="1"/>
    <m/>
    <m/>
    <m/>
    <m/>
  </r>
  <r>
    <x v="14"/>
    <x v="1"/>
    <s v="C:\Users\andre\Desktop\REACTIV CEFAS\Testosterone\Testosterone/20201116_Cefas_Test6-Run1/Plate 2/@12/B6_02.tif "/>
    <s v=" 63635.15 "/>
    <s v=" 43.0666 "/>
    <x v="0"/>
    <n v="2740551"/>
    <m/>
    <m/>
    <m/>
  </r>
  <r>
    <x v="14"/>
    <x v="1"/>
    <s v="C:\Users\andre\Desktop\REACTIV CEFAS\Testosterone\Testosterone/20201116_Cefas_Test6-Run1/Plate 2/@12/B6_03- exclu.tif"/>
    <m/>
    <m/>
    <x v="1"/>
    <m/>
    <m/>
    <m/>
    <m/>
  </r>
  <r>
    <x v="14"/>
    <x v="2"/>
    <s v="C:\Users\andre\Desktop\REACTIV CEFAS\Testosterone\Testosterone/20201116_Cefas_Test6-Run1/Plate 2/@12/C6_01- exclu.tif"/>
    <m/>
    <m/>
    <x v="1"/>
    <m/>
    <m/>
    <m/>
    <m/>
  </r>
  <r>
    <x v="14"/>
    <x v="2"/>
    <s v="C:\Users\andre\Desktop\REACTIV CEFAS\Testosterone\Testosterone/20201116_Cefas_Test6-Run1/Plate 2/@12/C6_02- exclu.tif"/>
    <m/>
    <m/>
    <x v="1"/>
    <m/>
    <m/>
    <m/>
    <m/>
  </r>
  <r>
    <x v="14"/>
    <x v="2"/>
    <s v="C:\Users\andre\Desktop\REACTIV CEFAS\Testosterone\Testosterone/20201116_Cefas_Test6-Run1/Plate 2/@12/C6_03- exclu.tif"/>
    <m/>
    <m/>
    <x v="1"/>
    <m/>
    <m/>
    <m/>
    <m/>
  </r>
  <r>
    <x v="14"/>
    <x v="3"/>
    <s v="C:\Users\andre\Desktop\REACTIV CEFAS\Testosterone\Testosterone/20201116_Cefas_Test6-Run1/Plate 2/@12/D6_01.tif "/>
    <s v=" 66901.2641 "/>
    <s v=" 44.2548 "/>
    <x v="0"/>
    <n v="2960700"/>
    <m/>
    <m/>
    <m/>
  </r>
  <r>
    <x v="14"/>
    <x v="3"/>
    <s v="C:\Users\andre\Desktop\REACTIV CEFAS\Testosterone\Testosterone/20201116_Cefas_Test6-Run1/Plate 2/@12/D6_02.tif "/>
    <s v=" 70708.1255 "/>
    <s v=" 44.8715 "/>
    <x v="0"/>
    <n v="3172781"/>
    <m/>
    <m/>
    <m/>
  </r>
  <r>
    <x v="14"/>
    <x v="3"/>
    <s v="C:\Users\andre\Desktop\REACTIV CEFAS\Testosterone\Testosterone/20201116_Cefas_Test6-Run1/Plate 2/@12/D6_03.tif "/>
    <s v=" 64738.2746 "/>
    <s v=" 46.2192 "/>
    <x v="0"/>
    <n v="2992150"/>
    <m/>
    <m/>
    <m/>
  </r>
  <r>
    <x v="14"/>
    <x v="4"/>
    <s v="C:\Users\andre\Desktop\REACTIV CEFAS\Testosterone\Testosterone/20201116_Cefas_Test6-Run1/Plate 2/@12/E6_01.tif "/>
    <s v=" 35040.4293 "/>
    <s v=" 40.2679 "/>
    <x v="0"/>
    <n v="1411005"/>
    <m/>
    <m/>
    <m/>
  </r>
  <r>
    <x v="14"/>
    <x v="4"/>
    <s v="C:\Users\andre\Desktop\REACTIV CEFAS\Testosterone\Testosterone/20201116_Cefas_Test6-Run1/Plate 2/@12/E6_02.tif "/>
    <s v=" 39625.967 "/>
    <s v=" 42.5246 "/>
    <x v="0"/>
    <n v="1685077"/>
    <m/>
    <m/>
    <m/>
  </r>
  <r>
    <x v="14"/>
    <x v="4"/>
    <s v="C:\Users\andre\Desktop\REACTIV CEFAS\Testosterone\Testosterone/20201116_Cefas_Test6-Run1/Plate 2/@12/E6_03.tif "/>
    <s v=" 38349.8032 "/>
    <s v=" 42.6808 "/>
    <x v="0"/>
    <n v="1636799"/>
    <m/>
    <m/>
    <m/>
  </r>
  <r>
    <x v="14"/>
    <x v="5"/>
    <s v="C:\Users\andre\Desktop\REACTIV CEFAS\Testosterone\Testosterone/20201116_Cefas_Test6-Run1/Plate 2/@12/F6_01.tif "/>
    <s v=" 76786.1259 "/>
    <s v=" 42.9186 "/>
    <x v="0"/>
    <n v="3295552"/>
    <m/>
    <m/>
    <m/>
  </r>
  <r>
    <x v="14"/>
    <x v="5"/>
    <s v="C:\Users\andre\Desktop\REACTIV CEFAS\Testosterone\Testosterone/20201116_Cefas_Test6-Run1/Plate 2/@12/F6_02.tif "/>
    <s v=" 73087.414 "/>
    <s v=" 44.8659 "/>
    <x v="0"/>
    <n v="3279135"/>
    <m/>
    <m/>
    <m/>
  </r>
  <r>
    <x v="14"/>
    <x v="5"/>
    <s v="C:\Users\andre\Desktop\REACTIV CEFAS\Testosterone\Testosterone/20201116_Cefas_Test6-Run1/Plate 2/@12/F6_03.tif "/>
    <s v=" 73520.0118 "/>
    <s v=" 48.406 "/>
    <x v="0"/>
    <n v="3558810"/>
    <m/>
    <m/>
    <m/>
  </r>
  <r>
    <x v="14"/>
    <x v="6"/>
    <s v="C:\Users\andre\Desktop\REACTIV CEFAS\Testosterone\Testosterone/20201116_Cefas_Test6-Run1/Plate 2/@12/G6_01.tif "/>
    <s v=" 49186.3804 "/>
    <s v=" 42.8562 "/>
    <x v="0"/>
    <n v="2107941"/>
    <m/>
    <m/>
    <m/>
  </r>
  <r>
    <x v="14"/>
    <x v="6"/>
    <s v="C:\Users\andre\Desktop\REACTIV CEFAS\Testosterone\Testosterone/20201116_Cefas_Test6-Run1/Plate 2/@12/G6_02.tif "/>
    <s v=" 56756.8435 "/>
    <s v=" 45.3476 "/>
    <x v="0"/>
    <n v="2573784"/>
    <m/>
    <m/>
    <m/>
  </r>
  <r>
    <x v="14"/>
    <x v="6"/>
    <s v="C:\Users\andre\Desktop\REACTIV CEFAS\Testosterone\Testosterone/20201116_Cefas_Test6-Run1/Plate 2/@12/G6_03.tif "/>
    <s v=" 55978.1673 "/>
    <s v=" 45.6549 "/>
    <x v="0"/>
    <n v="2555680"/>
    <m/>
    <m/>
    <m/>
  </r>
  <r>
    <x v="14"/>
    <x v="7"/>
    <s v="C:\Users\andre\Desktop\REACTIV CEFAS\Testosterone\Testosterone/20201116_Cefas_Test6-Run1/Plate 2/@12/H6_01.tif "/>
    <s v=" 77802.731 "/>
    <s v=" 41.8827 "/>
    <x v="0"/>
    <n v="3258587"/>
    <m/>
    <m/>
    <m/>
  </r>
  <r>
    <x v="14"/>
    <x v="7"/>
    <s v="C:\Users\andre\Desktop\REACTIV CEFAS\Testosterone\Testosterone/20201116_Cefas_Test6-Run1/Plate 2/@12/H6_02.tif "/>
    <s v=" 83923.9912 "/>
    <s v=" 45.3768 "/>
    <x v="0"/>
    <n v="3808203"/>
    <m/>
    <m/>
    <m/>
  </r>
  <r>
    <x v="14"/>
    <x v="7"/>
    <s v="C:\Users\andre\Desktop\REACTIV CEFAS\Testosterone\Testosterone/20201116_Cefas_Test6-Run1/Plate 2/@12/H6_03.tif "/>
    <s v=" 84118.6602 "/>
    <s v=" 43.3942 "/>
    <x v="0"/>
    <n v="3650261"/>
    <m/>
    <m/>
    <m/>
  </r>
  <r>
    <x v="1"/>
    <x v="8"/>
    <s v=" "/>
    <m/>
    <m/>
    <x v="1"/>
    <m/>
    <m/>
    <m/>
    <m/>
  </r>
  <r>
    <x v="1"/>
    <x v="8"/>
    <s v="group "/>
    <s v=" "/>
    <s v=" mean of mean fluo "/>
    <x v="2"/>
    <s v=" mean of total fluo "/>
    <s v=" SD total fluo "/>
    <s v=" n fluorescent "/>
    <s v=" n total"/>
  </r>
  <r>
    <x v="14"/>
    <x v="9"/>
    <s v="C:\Users\andre\Desktop\REACTIV CEFAS\Testosterone\Testosterone/20201116_Cefas_Test6-Run1/Plate 2/@12/ "/>
    <s v=" "/>
    <s v=" 43.0504 "/>
    <x v="16"/>
    <s v=" 2392916.12 "/>
    <s v=" 931215.19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C:\Users\andre\Desktop\REACTIV CEFAS\Testosterone\Testosterone/20201116_Cefas_Test6-Run1/Plate 2/@17/A8_01.tif "/>
    <s v=" 64111.0077 "/>
    <s v=" 38.8428 "/>
    <x v="0"/>
    <n v="2490250"/>
    <m/>
    <m/>
    <m/>
  </r>
  <r>
    <x v="15"/>
    <x v="0"/>
    <s v="C:\Users\andre\Desktop\REACTIV CEFAS\Testosterone\Testosterone/20201116_Cefas_Test6-Run1/Plate 2/@17/A8_02.tif "/>
    <s v=" 58011.3774 "/>
    <s v=" 39.1342 "/>
    <x v="0"/>
    <n v="2270230"/>
    <m/>
    <m/>
    <m/>
  </r>
  <r>
    <x v="15"/>
    <x v="0"/>
    <s v="C:\Users\andre\Desktop\REACTIV CEFAS\Testosterone\Testosterone/20201116_Cefas_Test6-Run1/Plate 2/@17/A8_03.tif "/>
    <s v=" 69302.1824 "/>
    <s v=" 40.9766 "/>
    <x v="0"/>
    <n v="2839767"/>
    <m/>
    <m/>
    <m/>
  </r>
  <r>
    <x v="15"/>
    <x v="1"/>
    <s v="C:\Users\andre\Desktop\REACTIV CEFAS\Testosterone\Testosterone/20201116_Cefas_Test6-Run1/Plate 2/@17/B8_01.tif "/>
    <s v=" 68307.2072 "/>
    <s v=" 41.4037 "/>
    <x v="0"/>
    <n v="2828174"/>
    <m/>
    <m/>
    <m/>
  </r>
  <r>
    <x v="15"/>
    <x v="1"/>
    <s v="C:\Users\andre\Desktop\REACTIV CEFAS\Testosterone\Testosterone/20201116_Cefas_Test6-Run1/Plate 2/@17/B8_02.tif "/>
    <s v=" 68826.3247 "/>
    <s v=" 39.9239 "/>
    <x v="0"/>
    <n v="2747819"/>
    <m/>
    <m/>
    <m/>
  </r>
  <r>
    <x v="15"/>
    <x v="1"/>
    <s v="C:\Users\andre\Desktop\REACTIV CEFAS\Testosterone\Testosterone/20201116_Cefas_Test6-Run1/Plate 2/@17/B8_03.tif "/>
    <s v=" 64868.054 "/>
    <s v=" 40.9697 "/>
    <x v="0"/>
    <n v="2657622"/>
    <m/>
    <m/>
    <m/>
  </r>
  <r>
    <x v="15"/>
    <x v="2"/>
    <s v="C:\Users\andre\Desktop\REACTIV CEFAS\Testosterone\Testosterone/20201116_Cefas_Test6-Run1/Plate 2/@17/C8_01.tif "/>
    <s v=" 13583.5738 "/>
    <s v=" 37.0446 "/>
    <x v="0"/>
    <n v="503198"/>
    <m/>
    <m/>
    <m/>
  </r>
  <r>
    <x v="15"/>
    <x v="2"/>
    <s v="C:\Users\andre\Desktop\REACTIV CEFAS\Testosterone\Testosterone/20201116_Cefas_Test6-Run1/Plate 2/@17/C8_02.tif "/>
    <s v=" 15703.3035 "/>
    <s v=" 39.6336 "/>
    <x v="0"/>
    <n v="622379"/>
    <m/>
    <m/>
    <m/>
  </r>
  <r>
    <x v="15"/>
    <x v="2"/>
    <s v="C:\Users\andre\Desktop\REACTIV CEFAS\Testosterone\Testosterone/20201116_Cefas_Test6-Run1/Plate 2/@17/C8_03.tif "/>
    <s v=" 16027.7519 "/>
    <s v=" 38.8381 "/>
    <x v="0"/>
    <n v="622487"/>
    <m/>
    <m/>
    <m/>
  </r>
  <r>
    <x v="15"/>
    <x v="3"/>
    <s v="C:\Users\andre\Desktop\REACTIV CEFAS\Testosterone\Testosterone/20201116_Cefas_Test6-Run1/Plate 2/@17/D8_01.tif "/>
    <s v=" 53166.281 "/>
    <s v=" 37.0008 "/>
    <x v="0"/>
    <n v="1967196"/>
    <m/>
    <m/>
    <m/>
  </r>
  <r>
    <x v="15"/>
    <x v="3"/>
    <s v="C:\Users\andre\Desktop\REACTIV CEFAS\Testosterone\Testosterone/20201116_Cefas_Test6-Run1/Plate 2/@17/D8_02.tif "/>
    <s v=" 53469.0995 "/>
    <s v=" 37.968 "/>
    <x v="0"/>
    <n v="2030117"/>
    <m/>
    <m/>
    <m/>
  </r>
  <r>
    <x v="15"/>
    <x v="3"/>
    <s v="C:\Users\andre\Desktop\REACTIV CEFAS\Testosterone\Testosterone/20201116_Cefas_Test6-Run1/Plate 2/@17/D8_03.tif "/>
    <s v=" 52495.7543 "/>
    <s v=" 37.5286 "/>
    <x v="0"/>
    <n v="1970094"/>
    <m/>
    <m/>
    <m/>
  </r>
  <r>
    <x v="15"/>
    <x v="4"/>
    <s v="C:\Users\andre\Desktop\REACTIV CEFAS\Testosterone\Testosterone/20201116_Cefas_Test6-Run1/Plate 2/@17/E8_01.tif "/>
    <s v=" 3287.744 "/>
    <s v=" 34.7434 "/>
    <x v="0"/>
    <n v="114227"/>
    <m/>
    <m/>
    <m/>
  </r>
  <r>
    <x v="15"/>
    <x v="4"/>
    <s v="C:\Users\andre\Desktop\REACTIV CEFAS\Testosterone\Testosterone/20201116_Cefas_Test6-Run1/Plate 2/@17/E8_02.tif "/>
    <s v=" 3871.7511 "/>
    <s v=" 33.5251 "/>
    <x v="0"/>
    <n v="129801"/>
    <m/>
    <m/>
    <m/>
  </r>
  <r>
    <x v="15"/>
    <x v="4"/>
    <s v="C:\Users\andre\Desktop\REACTIV CEFAS\Testosterone\Testosterone/20201116_Cefas_Test6-Run1/Plate 2/@17/E8_03.tif "/>
    <s v=" 3374.2636 "/>
    <s v=" 35.0641 "/>
    <x v="0"/>
    <n v="118316"/>
    <m/>
    <m/>
    <m/>
  </r>
  <r>
    <x v="15"/>
    <x v="5"/>
    <s v="C:\Users\andre\Desktop\REACTIV CEFAS\Testosterone\Testosterone/20201116_Cefas_Test6-Run1/Plate 2/@17/F8_01.tif "/>
    <s v=" 10685.1679 "/>
    <s v=" 32.7085 "/>
    <x v="0"/>
    <n v="349496"/>
    <m/>
    <m/>
    <m/>
  </r>
  <r>
    <x v="15"/>
    <x v="5"/>
    <s v="C:\Users\andre\Desktop\REACTIV CEFAS\Testosterone\Testosterone/20201116_Cefas_Test6-Run1/Plate 2/@17/F8_02.tif "/>
    <s v=" 18320.5208 "/>
    <s v=" 34.1724 "/>
    <x v="0"/>
    <n v="626056"/>
    <m/>
    <m/>
    <m/>
  </r>
  <r>
    <x v="15"/>
    <x v="5"/>
    <s v="C:\Users\andre\Desktop\REACTIV CEFAS\Testosterone\Testosterone/20201116_Cefas_Test6-Run1/Plate 2/@17/F8_03.tif "/>
    <s v=" 7613.7229 "/>
    <s v=" 33.483 "/>
    <x v="0"/>
    <n v="254930"/>
    <m/>
    <m/>
    <m/>
  </r>
  <r>
    <x v="15"/>
    <x v="6"/>
    <s v="C:\Users\andre\Desktop\REACTIV CEFAS\Testosterone\Testosterone/20201116_Cefas_Test6-Run1/Plate 2/@17/G8_01.tif "/>
    <s v=" 14859.7376 "/>
    <s v=" 37.5531 "/>
    <x v="0"/>
    <n v="558030"/>
    <m/>
    <m/>
    <m/>
  </r>
  <r>
    <x v="15"/>
    <x v="6"/>
    <s v="C:\Users\andre\Desktop\REACTIV CEFAS\Testosterone\Testosterone/20201116_Cefas_Test6-Run1/Plate 2/@17/G8_02.tif "/>
    <s v=" 9214.3351 "/>
    <s v=" 34.5751 "/>
    <x v="0"/>
    <n v="318587"/>
    <m/>
    <m/>
    <m/>
  </r>
  <r>
    <x v="15"/>
    <x v="6"/>
    <s v="C:\Users\andre\Desktop\REACTIV CEFAS\Testosterone\Testosterone/20201116_Cefas_Test6-Run1/Plate 2/@17/G8_03.tif "/>
    <s v=" 12891.4172 "/>
    <s v=" 35.0789 "/>
    <x v="0"/>
    <n v="452216"/>
    <m/>
    <m/>
    <m/>
  </r>
  <r>
    <x v="15"/>
    <x v="7"/>
    <s v="C:\Users\andre\Desktop\REACTIV CEFAS\Testosterone\Testosterone/20201116_Cefas_Test6-Run1/Plate 2/@17/H8_01.tif "/>
    <s v=" 31233.5678 "/>
    <s v=" 36.5436 "/>
    <x v="0"/>
    <n v="1141388"/>
    <m/>
    <m/>
    <m/>
  </r>
  <r>
    <x v="15"/>
    <x v="7"/>
    <s v="C:\Users\andre\Desktop\REACTIV CEFAS\Testosterone\Testosterone/20201116_Cefas_Test6-Run1/Plate 2/@17/H8_02.tif "/>
    <s v=" 29070.5784 "/>
    <s v=" 35.6324 "/>
    <x v="0"/>
    <n v="1035856"/>
    <m/>
    <m/>
    <m/>
  </r>
  <r>
    <x v="15"/>
    <x v="7"/>
    <s v="C:\Users\andre\Desktop\REACTIV CEFAS\Testosterone\Testosterone/20201116_Cefas_Test6-Run1/Plate 2/@17/H8_03.tif "/>
    <s v=" 20634.9195 "/>
    <s v=" 34.3166 "/>
    <x v="0"/>
    <n v="708119"/>
    <m/>
    <m/>
    <m/>
  </r>
  <r>
    <x v="1"/>
    <x v="8"/>
    <s v=" "/>
    <m/>
    <m/>
    <x v="1"/>
    <m/>
    <m/>
    <m/>
    <m/>
  </r>
  <r>
    <x v="1"/>
    <x v="8"/>
    <s v="group "/>
    <s v=" "/>
    <s v=" mean of mean fluo "/>
    <x v="2"/>
    <s v=" mean of total fluo "/>
    <s v=" SD total fluo "/>
    <s v=" n fluorescent "/>
    <s v=" n total"/>
  </r>
  <r>
    <x v="15"/>
    <x v="9"/>
    <s v="C:\Users\andre\Desktop\REACTIV CEFAS\Testosterone\Testosterone/20201116_Cefas_Test6-Run1/Plate 2/@17/ "/>
    <s v=" "/>
    <s v=" 36.9442 "/>
    <x v="17"/>
    <s v=" 1223181.46 "/>
    <s v=" 1003073.0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C:\Users\andre\Desktop\REACTIV CEFAS\Testosterone\Testosterone/20201116_Cefas_Test6-Run1/Plate 2/@18/A9_01.tif "/>
    <s v=" 67571.7908 "/>
    <s v=" 40.6761 "/>
    <x v="0"/>
    <n v="2748554"/>
    <m/>
    <m/>
    <m/>
  </r>
  <r>
    <x v="16"/>
    <x v="0"/>
    <s v="C:\Users\andre\Desktop\REACTIV CEFAS\Testosterone\Testosterone/20201116_Cefas_Test6-Run1/Plate 2/@18/A9_02.tif "/>
    <s v=" 54528.9644 "/>
    <s v=" 37.4189 "/>
    <x v="0"/>
    <n v="2040413"/>
    <m/>
    <m/>
    <m/>
  </r>
  <r>
    <x v="16"/>
    <x v="0"/>
    <s v="C:\Users\andre\Desktop\REACTIV CEFAS\Testosterone\Testosterone/20201116_Cefas_Test6-Run1/Plate 2/@18/A9_03.tif "/>
    <s v=" 55891.6477 "/>
    <s v=" 35.7384 "/>
    <x v="0"/>
    <n v="1997478"/>
    <m/>
    <m/>
    <m/>
  </r>
  <r>
    <x v="16"/>
    <x v="1"/>
    <s v="C:\Users\andre\Desktop\REACTIV CEFAS\Testosterone\Testosterone/20201116_Cefas_Test6-Run1/Plate 2/@18/B9_01.tif "/>
    <s v=" 34305.0129 "/>
    <s v=" 34.2364 "/>
    <x v="0"/>
    <n v="1174482"/>
    <m/>
    <m/>
    <m/>
  </r>
  <r>
    <x v="16"/>
    <x v="1"/>
    <s v="C:\Users\andre\Desktop\REACTIV CEFAS\Testosterone\Testosterone/20201116_Cefas_Test6-Run1/Plate 2/@18/B9_02.tif "/>
    <s v=" 46936.8713 "/>
    <s v=" 35.8908 "/>
    <x v="0"/>
    <n v="1684601"/>
    <m/>
    <m/>
    <m/>
  </r>
  <r>
    <x v="16"/>
    <x v="1"/>
    <s v="C:\Users\andre\Desktop\REACTIV CEFAS\Testosterone\Testosterone/20201116_Cefas_Test6-Run1/Plate 2/@18/B9_03.tif "/>
    <s v=" 33980.5645 "/>
    <s v=" 33.5143 "/>
    <x v="0"/>
    <n v="1138836"/>
    <m/>
    <m/>
    <m/>
  </r>
  <r>
    <x v="16"/>
    <x v="2"/>
    <s v="C:\Users\andre\Desktop\REACTIV CEFAS\Testosterone\Testosterone/20201116_Cefas_Test6-Run1/Plate 2/@18/C9_01.tif "/>
    <s v=" 53425.8397 "/>
    <s v=" 40.517 "/>
    <x v="0"/>
    <n v="2164655"/>
    <m/>
    <m/>
    <m/>
  </r>
  <r>
    <x v="16"/>
    <x v="2"/>
    <s v="C:\Users\andre\Desktop\REACTIV CEFAS\Testosterone\Testosterone/20201116_Cefas_Test6-Run1/Plate 2/@18/C9_02.tif "/>
    <s v=" 45877.0065 "/>
    <s v=" 38.1924 "/>
    <x v="0"/>
    <n v="1752151"/>
    <m/>
    <m/>
    <m/>
  </r>
  <r>
    <x v="16"/>
    <x v="2"/>
    <s v="C:\Users\andre\Desktop\REACTIV CEFAS\Testosterone\Testosterone/20201116_Cefas_Test6-Run1/Plate 2/@18/C9_03.tif "/>
    <s v=" 49056.601 "/>
    <s v=" 40.9656 "/>
    <x v="0"/>
    <n v="2009634"/>
    <m/>
    <m/>
    <m/>
  </r>
  <r>
    <x v="16"/>
    <x v="3"/>
    <s v="C:\Users\andre\Desktop\REACTIV CEFAS\Testosterone\Testosterone/20201116_Cefas_Test6-Run1/Plate 2/@18/D9_01.tif "/>
    <s v=" 62899.7336 "/>
    <s v=" 43.8841 "/>
    <x v="0"/>
    <n v="2760299"/>
    <m/>
    <m/>
    <m/>
  </r>
  <r>
    <x v="16"/>
    <x v="3"/>
    <s v="C:\Users\andre\Desktop\REACTIV CEFAS\Testosterone\Testosterone/20201116_Cefas_Test6-Run1/Plate 2/@18/D9_02.tif "/>
    <s v=" 68610.0258 "/>
    <s v=" 43.3367 "/>
    <x v="0"/>
    <n v="2973332"/>
    <m/>
    <m/>
    <m/>
  </r>
  <r>
    <x v="16"/>
    <x v="3"/>
    <s v="C:\Users\andre\Desktop\REACTIV CEFAS\Testosterone\Testosterone/20201116_Cefas_Test6-Run1/Plate 2/@18/D9_03.tif "/>
    <s v=" 71227.243 "/>
    <s v=" 42.5342 "/>
    <x v="0"/>
    <n v="3029591"/>
    <m/>
    <m/>
    <m/>
  </r>
  <r>
    <x v="16"/>
    <x v="4"/>
    <s v="C:\Users\andre\Desktop\REACTIV CEFAS\Testosterone\Testosterone/20201116_Cefas_Test6-Run1/Plate 2/@18/E9_01.tif "/>
    <s v=" 55437.4199 "/>
    <s v=" 45.8498 "/>
    <x v="0"/>
    <n v="2541794"/>
    <m/>
    <m/>
    <m/>
  </r>
  <r>
    <x v="16"/>
    <x v="4"/>
    <s v="C:\Users\andre\Desktop\REACTIV CEFAS\Testosterone\Testosterone/20201116_Cefas_Test6-Run1/Plate 2/@18/E9_02.tif "/>
    <s v=" 59049.6123 "/>
    <s v=" 46.0451 "/>
    <x v="0"/>
    <n v="2718943"/>
    <m/>
    <m/>
    <m/>
  </r>
  <r>
    <x v="16"/>
    <x v="4"/>
    <s v="C:\Users\andre\Desktop\REACTIV CEFAS\Testosterone\Testosterone/20201116_Cefas_Test6-Run1/Plate 2/@18/E9_03.tif "/>
    <s v=" 56497.2848 "/>
    <s v=" 46.8832 "/>
    <x v="0"/>
    <n v="2648775"/>
    <m/>
    <m/>
    <m/>
  </r>
  <r>
    <x v="16"/>
    <x v="5"/>
    <s v="C:\Users\andre\Desktop\REACTIV CEFAS\Testosterone\Testosterone/20201116_Cefas_Test6-Run1/Plate 2/@18/F9_01.tif "/>
    <s v=" 58984.7227 "/>
    <s v=" 46.2772 "/>
    <x v="0"/>
    <n v="2729649"/>
    <m/>
    <m/>
    <m/>
  </r>
  <r>
    <x v="16"/>
    <x v="5"/>
    <s v="C:\Users\andre\Desktop\REACTIV CEFAS\Testosterone\Testosterone/20201116_Cefas_Test6-Run1/Plate 2/@18/F9_02.tif "/>
    <s v=" 64111.0077 "/>
    <s v=" 46.8441 "/>
    <x v="0"/>
    <n v="3003224"/>
    <m/>
    <m/>
    <m/>
  </r>
  <r>
    <x v="16"/>
    <x v="5"/>
    <s v="C:\Users\andre\Desktop\REACTIV CEFAS\Testosterone\Testosterone/20201116_Cefas_Test6-Run1/Plate 2/@18/F9_03.tif "/>
    <s v=" 54355.9252 "/>
    <s v=" 44.5897 "/>
    <x v="0"/>
    <n v="2423716"/>
    <m/>
    <m/>
    <m/>
  </r>
  <r>
    <x v="16"/>
    <x v="6"/>
    <s v="C:\Users\andre\Desktop\REACTIV CEFAS\Testosterone\Testosterone/20201116_Cefas_Test6-Run1/Plate 2/@18/G9_01.tif "/>
    <s v=" 39171.7392 "/>
    <s v=" 35.7294 "/>
    <x v="0"/>
    <n v="1399584"/>
    <m/>
    <m/>
    <m/>
  </r>
  <r>
    <x v="16"/>
    <x v="6"/>
    <s v="C:\Users\andre\Desktop\REACTIV CEFAS\Testosterone\Testosterone/20201116_Cefas_Test6-Run1/Plate 2/@18/G9_02.tif "/>
    <s v=" 30952.3792 "/>
    <s v=" 35.6548 "/>
    <x v="0"/>
    <n v="1103600"/>
    <m/>
    <m/>
    <m/>
  </r>
  <r>
    <x v="16"/>
    <x v="6"/>
    <s v="C:\Users\andre\Desktop\REACTIV CEFAS\Testosterone\Testosterone/20201116_Cefas_Test6-Run1/Plate 2/@18/G9_03.tif "/>
    <s v=" 33526.3367 "/>
    <s v=" 36.3865 "/>
    <x v="0"/>
    <n v="1219904"/>
    <m/>
    <m/>
    <m/>
  </r>
  <r>
    <x v="16"/>
    <x v="7"/>
    <s v="C:\Users\andre\Desktop\REACTIV CEFAS\Testosterone\Testosterone/20201116_Cefas_Test6-Run1/Plate 2/@18/H9_01.tif "/>
    <s v=" 2141.3596 "/>
    <s v=" 31.1919 "/>
    <x v="0"/>
    <n v="66793"/>
    <m/>
    <m/>
    <m/>
  </r>
  <r>
    <x v="16"/>
    <x v="7"/>
    <s v="C:\Users\andre\Desktop\REACTIV CEFAS\Testosterone\Testosterone/20201116_Cefas_Test6-Run1/Plate 2/@18/H9_02.tif "/>
    <s v=" 9452.264 "/>
    <s v=" 33.3684 "/>
    <x v="0"/>
    <n v="315407"/>
    <m/>
    <m/>
    <m/>
  </r>
  <r>
    <x v="16"/>
    <x v="7"/>
    <s v="C:\Users\andre\Desktop\REACTIV CEFAS\Testosterone\Testosterone/20201116_Cefas_Test6-Run1/Plate 2/@18/H9_03.tif "/>
    <s v=" 14838.1077 "/>
    <s v=" 34.1851 "/>
    <x v="0"/>
    <n v="507243"/>
    <m/>
    <m/>
    <m/>
  </r>
  <r>
    <x v="1"/>
    <x v="8"/>
    <s v=" "/>
    <m/>
    <m/>
    <x v="1"/>
    <m/>
    <m/>
    <m/>
    <m/>
  </r>
  <r>
    <x v="1"/>
    <x v="8"/>
    <s v="group "/>
    <s v=" "/>
    <s v=" mean of mean fluo "/>
    <x v="2"/>
    <s v=" mean of total fluo "/>
    <s v=" SD total fluo "/>
    <s v=" n fluorescent "/>
    <s v=" n total"/>
  </r>
  <r>
    <x v="16"/>
    <x v="9"/>
    <s v="C:\Users\andre\Desktop\REACTIV CEFAS\Testosterone\Testosterone/20201116_Cefas_Test6-Run1/Plate 2/@18/ "/>
    <s v=" "/>
    <s v=" 39.5796 "/>
    <x v="18"/>
    <s v=" 1923027.42 "/>
    <s v=" 888139.65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C:\Users\andre\Desktop\REACTIV CEFAS\Testosterone\Testosterone/20201116_Cefas_Test6-Run1/Plate 2/@19/A10_01.tif "/>
    <s v=" 35754.2158 "/>
    <s v=" 37.7925 "/>
    <x v="0"/>
    <n v="1351241"/>
    <m/>
    <m/>
    <m/>
  </r>
  <r>
    <x v="17"/>
    <x v="0"/>
    <s v="C:\Users\andre\Desktop\REACTIV CEFAS\Testosterone\Testosterone/20201116_Cefas_Test6-Run1/Plate 2/@19/A10_02.tif "/>
    <s v=" 41096.7998 "/>
    <s v=" 36.9126 "/>
    <x v="0"/>
    <n v="1516991"/>
    <m/>
    <m/>
    <m/>
  </r>
  <r>
    <x v="17"/>
    <x v="0"/>
    <s v="C:\Users\andre\Desktop\REACTIV CEFAS\Testosterone\Testosterone/20201116_Cefas_Test6-Run1/Plate 2/@19/A10_03.tif "/>
    <s v=" 29373.3969 "/>
    <s v=" 35.0029 "/>
    <x v="0"/>
    <n v="1028155"/>
    <m/>
    <m/>
    <m/>
  </r>
  <r>
    <x v="17"/>
    <x v="1"/>
    <s v="C:\Users\andre\Desktop\REACTIV CEFAS\Testosterone\Testosterone/20201116_Cefas_Test6-Run1/Plate 2/@19/B10_01.tif "/>
    <s v=" 50527.4339 "/>
    <s v=" 39.9062 "/>
    <x v="0"/>
    <n v="2016360"/>
    <m/>
    <m/>
    <m/>
  </r>
  <r>
    <x v="17"/>
    <x v="1"/>
    <s v="C:\Users\andre\Desktop\REACTIV CEFAS\Testosterone\Testosterone/20201116_Cefas_Test6-Run1/Plate 2/@19/B10_02.tif "/>
    <s v=" 50289.505 "/>
    <s v=" 41.3252 "/>
    <x v="0"/>
    <n v="2078222"/>
    <m/>
    <m/>
    <m/>
  </r>
  <r>
    <x v="17"/>
    <x v="1"/>
    <s v="C:\Users\andre\Desktop\REACTIV CEFAS\Testosterone\Testosterone/20201116_Cefas_Test6-Run1/Plate 2/@19/B10_03.tif "/>
    <s v=" 52214.5656 "/>
    <s v=" 40.464 "/>
    <x v="0"/>
    <n v="2112808"/>
    <m/>
    <m/>
    <m/>
  </r>
  <r>
    <x v="17"/>
    <x v="2"/>
    <s v="C:\Users\andre\Desktop\REACTIV CEFAS\Testosterone\Testosterone/20201116_Cefas_Test6-Run1/Plate 2/@19/C10_01- exclu.tif"/>
    <m/>
    <m/>
    <x v="1"/>
    <m/>
    <m/>
    <m/>
    <m/>
  </r>
  <r>
    <x v="17"/>
    <x v="2"/>
    <s v="C:\Users\andre\Desktop\REACTIV CEFAS\Testosterone\Testosterone/20201116_Cefas_Test6-Run1/Plate 2/@19/C10_02- exclu.tif"/>
    <m/>
    <m/>
    <x v="1"/>
    <m/>
    <m/>
    <m/>
    <m/>
  </r>
  <r>
    <x v="17"/>
    <x v="2"/>
    <s v="C:\Users\andre\Desktop\REACTIV CEFAS\Testosterone\Testosterone/20201116_Cefas_Test6-Run1/Plate 2/@19/C10_03.tif "/>
    <s v=" 2162.9895 "/>
    <s v=" 36.17 "/>
    <x v="0"/>
    <n v="78235"/>
    <m/>
    <m/>
    <m/>
  </r>
  <r>
    <x v="17"/>
    <x v="3"/>
    <s v="C:\Users\andre\Desktop\REACTIV CEFAS\Testosterone\Testosterone/20201116_Cefas_Test6-Run1/Plate 2/@19/D10_01.tif "/>
    <s v=" 1860.1709 "/>
    <s v=" 31.1395 "/>
    <x v="0"/>
    <n v="57925"/>
    <m/>
    <m/>
    <m/>
  </r>
  <r>
    <x v="17"/>
    <x v="3"/>
    <s v="C:\Users\andre\Desktop\REACTIV CEFAS\Testosterone\Testosterone/20201116_Cefas_Test6-Run1/Plate 2/@19/D10_02.tif "/>
    <s v=" 13994.5418 "/>
    <s v=" 37.9815 "/>
    <x v="0"/>
    <n v="531533"/>
    <m/>
    <m/>
    <m/>
  </r>
  <r>
    <x v="17"/>
    <x v="3"/>
    <s v="C:\Users\andre\Desktop\REACTIV CEFAS\Testosterone\Testosterone/20201116_Cefas_Test6-Run1/Plate 2/@19/D10_03.tif "/>
    <s v=" 12826.5275 "/>
    <s v=" 41.9865 "/>
    <x v="0"/>
    <n v="538541"/>
    <m/>
    <m/>
    <m/>
  </r>
  <r>
    <x v="17"/>
    <x v="4"/>
    <s v="C:\Users\andre\Desktop\REACTIV CEFAS\Testosterone\Testosterone/20201116_Cefas_Test6-Run1/Plate 2/@19/E10_01.tif "/>
    <s v=" 48321.1846 "/>
    <s v=" 37.9185 "/>
    <x v="0"/>
    <n v="1832268"/>
    <m/>
    <m/>
    <m/>
  </r>
  <r>
    <x v="17"/>
    <x v="4"/>
    <s v="C:\Users\andre\Desktop\REACTIV CEFAS\Testosterone\Testosterone/20201116_Cefas_Test6-Run1/Plate 2/@19/E10_02- exclu.tif"/>
    <m/>
    <m/>
    <x v="1"/>
    <m/>
    <m/>
    <m/>
    <m/>
  </r>
  <r>
    <x v="17"/>
    <x v="4"/>
    <s v="C:\Users\andre\Desktop\REACTIV CEFAS\Testosterone\Testosterone/20201116_Cefas_Test6-Run1/Plate 2/@19/E10_03- exclu.tif"/>
    <m/>
    <m/>
    <x v="1"/>
    <m/>
    <m/>
    <m/>
    <m/>
  </r>
  <r>
    <x v="17"/>
    <x v="5"/>
    <s v="C:\Users\andre\Desktop\REACTIV CEFAS\Testosterone\Testosterone/20201116_Cefas_Test6-Run1/Plate 2/@19/F10_01.tif "/>
    <s v=" 2509.0678 "/>
    <s v=" 32.9397 "/>
    <x v="0"/>
    <n v="82648"/>
    <m/>
    <m/>
    <m/>
  </r>
  <r>
    <x v="17"/>
    <x v="5"/>
    <s v="C:\Users\andre\Desktop\REACTIV CEFAS\Testosterone\Testosterone/20201116_Cefas_Test6-Run1/Plate 2/@19/F10_02.tif "/>
    <s v=" 173.0392 "/>
    <s v=" 32.25 "/>
    <x v="0"/>
    <n v="5581"/>
    <m/>
    <m/>
    <m/>
  </r>
  <r>
    <x v="17"/>
    <x v="5"/>
    <s v="C:\Users\andre\Desktop\REACTIV CEFAS\Testosterone\Testosterone/20201116_Cefas_Test6-Run1/Plate 2/@19/F10_03.tif "/>
    <s v=" 930.0855 "/>
    <s v=" 32.3953 "/>
    <x v="0"/>
    <n v="30130"/>
    <m/>
    <m/>
    <m/>
  </r>
  <r>
    <x v="17"/>
    <x v="6"/>
    <s v="C:\Users\andre\Desktop\REACTIV CEFAS\Testosterone\Testosterone/20201116_Cefas_Test6-Run1/Plate 2/@19/G10_01.tif "/>
    <s v=" 71681.4708 "/>
    <s v=" 47.4798 "/>
    <x v="0"/>
    <n v="3403421"/>
    <m/>
    <m/>
    <m/>
  </r>
  <r>
    <x v="17"/>
    <x v="6"/>
    <s v="C:\Users\andre\Desktop\REACTIV CEFAS\Testosterone\Testosterone/20201116_Cefas_Test6-Run1/Plate 2/@19/G10_02.tif "/>
    <s v=" 69518.4813 "/>
    <s v=" 44.8979 "/>
    <x v="0"/>
    <n v="3121237"/>
    <m/>
    <m/>
    <m/>
  </r>
  <r>
    <x v="17"/>
    <x v="6"/>
    <s v="C:\Users\andre\Desktop\REACTIV CEFAS\Testosterone\Testosterone/20201116_Cefas_Test6-Run1/Plate 2/@19/G10_03.tif "/>
    <s v=" 70491.8266 "/>
    <s v=" 44.4099 "/>
    <x v="0"/>
    <n v="3130538"/>
    <m/>
    <m/>
    <m/>
  </r>
  <r>
    <x v="17"/>
    <x v="7"/>
    <s v="C:\Users\andre\Desktop\REACTIV CEFAS\Testosterone\Testosterone/20201116_Cefas_Test6-Run1/Plate 2/@19/H10_01.tif "/>
    <s v=" 15357.2252 "/>
    <s v=" 36.5563 "/>
    <x v="0"/>
    <n v="561404"/>
    <m/>
    <m/>
    <m/>
  </r>
  <r>
    <x v="17"/>
    <x v="7"/>
    <s v="C:\Users\andre\Desktop\REACTIV CEFAS\Testosterone\Testosterone/20201116_Cefas_Test6-Run1/Plate 2/@19/H10_02.tif "/>
    <s v=" 12891.4172 "/>
    <s v=" 36.6829 "/>
    <x v="0"/>
    <n v="472894"/>
    <m/>
    <m/>
    <m/>
  </r>
  <r>
    <x v="17"/>
    <x v="7"/>
    <s v="C:\Users\andre\Desktop\REACTIV CEFAS\Testosterone\Testosterone/20201116_Cefas_Test6-Run1/Plate 2/@19/H10_03.tif "/>
    <s v=" 11896.442 "/>
    <s v=" 36.1727 "/>
    <x v="0"/>
    <n v="430327"/>
    <m/>
    <m/>
    <m/>
  </r>
  <r>
    <x v="1"/>
    <x v="8"/>
    <s v=" "/>
    <m/>
    <m/>
    <x v="1"/>
    <m/>
    <m/>
    <m/>
    <m/>
  </r>
  <r>
    <x v="1"/>
    <x v="8"/>
    <s v="group "/>
    <s v=" "/>
    <s v=" mean of mean fluo "/>
    <x v="2"/>
    <s v=" mean of total fluo "/>
    <s v=" SD total fluo "/>
    <s v=" n fluorescent "/>
    <s v=" n total"/>
  </r>
  <r>
    <x v="17"/>
    <x v="9"/>
    <s v="C:\Users\andre\Desktop\REACTIV CEFAS\Testosterone\Testosterone/20201116_Cefas_Test6-Run1/Plate 2/@19/ "/>
    <s v=" "/>
    <s v=" 37.4945 "/>
    <x v="19"/>
    <n v="1137490"/>
    <s v=" 1081895.0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C:\Users\andre\Desktop\REACTIV CEFAS\Testosterone\Testosterone/20201116_Cefas_Test6-Run1/Plate 2/@20/A11_01.tif "/>
    <s v=" 55545.5694 "/>
    <s v=" 39.5027 "/>
    <x v="0"/>
    <n v="2194201"/>
    <m/>
    <m/>
    <m/>
  </r>
  <r>
    <x v="18"/>
    <x v="0"/>
    <s v="C:\Users\andre\Desktop\REACTIV CEFAS\Testosterone\Testosterone/20201116_Cefas_Test6-Run1/Plate 2/@20/A11_02.tif "/>
    <s v=" 59049.6123 "/>
    <s v=" 41.0308 "/>
    <x v="0"/>
    <n v="2422851"/>
    <m/>
    <m/>
    <m/>
  </r>
  <r>
    <x v="18"/>
    <x v="0"/>
    <s v="C:\Users\andre\Desktop\REACTIV CEFAS\Testosterone\Testosterone/20201116_Cefas_Test6-Run1/Plate 2/@20/A11_03.tif "/>
    <s v=" 62034.5378 "/>
    <s v=" 42.978 "/>
    <x v="0"/>
    <n v="2666122"/>
    <m/>
    <m/>
    <m/>
  </r>
  <r>
    <x v="18"/>
    <x v="1"/>
    <s v="C:\Users\andre\Desktop\REACTIV CEFAS\Testosterone\Testosterone/20201116_Cefas_Test6-Run1/Plate 2/@20/B11_01.tif "/>
    <s v=" 2963.2956 "/>
    <s v=" 31.7372 "/>
    <x v="0"/>
    <n v="94047"/>
    <m/>
    <m/>
    <m/>
  </r>
  <r>
    <x v="18"/>
    <x v="1"/>
    <s v="C:\Users\andre\Desktop\REACTIV CEFAS\Testosterone\Testosterone/20201116_Cefas_Test6-Run1/Plate 2/@20/B11_02.tif "/>
    <s v=" 1881.8008 "/>
    <s v=" 31.6207 "/>
    <x v="0"/>
    <n v="59504"/>
    <m/>
    <m/>
    <m/>
  </r>
  <r>
    <x v="18"/>
    <x v="1"/>
    <s v="C:\Users\andre\Desktop\REACTIV CEFAS\Testosterone\Testosterone/20201116_Cefas_Test6-Run1/Plate 2/@20/B11_03.tif "/>
    <s v=" 3417.5234 "/>
    <s v=" 32.3797 "/>
    <x v="0"/>
    <n v="110659"/>
    <m/>
    <m/>
    <m/>
  </r>
  <r>
    <x v="18"/>
    <x v="2"/>
    <s v="C:\Users\andre\Desktop\REACTIV CEFAS\Testosterone\Testosterone/20201116_Cefas_Test6-Run1/Plate 2/@20/C11_01.tif "/>
    <s v=" 60996.3029 "/>
    <s v=" 44.0266 "/>
    <x v="0"/>
    <n v="2685460"/>
    <m/>
    <m/>
    <m/>
  </r>
  <r>
    <x v="18"/>
    <x v="2"/>
    <s v="C:\Users\andre\Desktop\REACTIV CEFAS\Testosterone\Testosterone/20201116_Cefas_Test6-Run1/Plate 2/@20/C11_02.tif "/>
    <s v=" 60369.0359 "/>
    <s v=" 40.297 "/>
    <x v="0"/>
    <n v="2432693"/>
    <m/>
    <m/>
    <m/>
  </r>
  <r>
    <x v="18"/>
    <x v="2"/>
    <s v="C:\Users\andre\Desktop\REACTIV CEFAS\Testosterone\Testosterone/20201116_Cefas_Test6-Run1/Plate 2/@20/C11_03.tif "/>
    <s v=" 60282.5163 "/>
    <s v=" 41.9107 "/>
    <x v="0"/>
    <n v="2526480"/>
    <m/>
    <m/>
    <m/>
  </r>
  <r>
    <x v="18"/>
    <x v="3"/>
    <s v="C:\Users\andre\Desktop\REACTIV CEFAS\Testosterone\Testosterone/20201116_Cefas_Test6-Run1/Plate 2/@20/D11_01.tif "/>
    <s v=" 12350.6698 "/>
    <s v=" 32.7566 "/>
    <x v="0"/>
    <n v="404566"/>
    <m/>
    <m/>
    <m/>
  </r>
  <r>
    <x v="18"/>
    <x v="3"/>
    <s v="C:\Users\andre\Desktop\REACTIV CEFAS\Testosterone\Testosterone/20201116_Cefas_Test6-Run1/Plate 2/@20/D11_02.tif "/>
    <s v=" 8824.997 "/>
    <s v=" 32.5809 "/>
    <x v="0"/>
    <n v="287526"/>
    <m/>
    <m/>
    <m/>
  </r>
  <r>
    <x v="18"/>
    <x v="3"/>
    <s v="C:\Users\andre\Desktop\REACTIV CEFAS\Testosterone\Testosterone/20201116_Cefas_Test6-Run1/Plate 2/@20/D11_03.tif "/>
    <s v=" 20072.5422 "/>
    <s v=" 33.4784 "/>
    <x v="0"/>
    <n v="671998"/>
    <m/>
    <m/>
    <m/>
  </r>
  <r>
    <x v="18"/>
    <x v="4"/>
    <s v="C:\Users\andre\Desktop\REACTIV CEFAS\Testosterone\Testosterone/20201116_Cefas_Test6-Run1/Plate 2/@20/E11_01.tif "/>
    <s v=" 1578.9823 "/>
    <s v=" 32.7671 "/>
    <x v="0"/>
    <n v="51739"/>
    <m/>
    <m/>
    <m/>
  </r>
  <r>
    <x v="18"/>
    <x v="4"/>
    <s v="C:\Users\andre\Desktop\REACTIV CEFAS\Testosterone\Testosterone/20201116_Cefas_Test6-Run1/Plate 2/@20/E11_02.tif "/>
    <s v=" 7873.2816 "/>
    <s v=" 40.4505 "/>
    <x v="0"/>
    <n v="318479"/>
    <m/>
    <m/>
    <m/>
  </r>
  <r>
    <x v="18"/>
    <x v="4"/>
    <s v="C:\Users\andre\Desktop\REACTIV CEFAS\Testosterone\Testosterone/20201116_Cefas_Test6-Run1/Plate 2/@20/E11_03.tif "/>
    <s v=" 5126.285 "/>
    <s v=" 42.4135 "/>
    <x v="0"/>
    <n v="217424"/>
    <m/>
    <m/>
    <m/>
  </r>
  <r>
    <x v="18"/>
    <x v="5"/>
    <s v="C:\Users\andre\Desktop\REACTIV CEFAS\Testosterone\Testosterone/20201116_Cefas_Test6-Run1/Plate 2/@20/F11_01.tif "/>
    <s v=" 8240.9899 "/>
    <s v=" 41.0682 "/>
    <x v="0"/>
    <n v="338443"/>
    <m/>
    <m/>
    <m/>
  </r>
  <r>
    <x v="18"/>
    <x v="5"/>
    <s v="C:\Users\andre\Desktop\REACTIV CEFAS\Testosterone\Testosterone/20201116_Cefas_Test6-Run1/Plate 2/@20/F11_02- exclu.tif"/>
    <m/>
    <m/>
    <x v="1"/>
    <m/>
    <m/>
    <m/>
    <m/>
  </r>
  <r>
    <x v="18"/>
    <x v="5"/>
    <s v="C:\Users\andre\Desktop\REACTIV CEFAS\Testosterone\Testosterone/20201116_Cefas_Test6-Run1/Plate 2/@20/F11_03- exclu.tif"/>
    <m/>
    <m/>
    <x v="1"/>
    <m/>
    <m/>
    <m/>
    <m/>
  </r>
  <r>
    <x v="18"/>
    <x v="6"/>
    <s v="C:\Users\andre\Desktop\REACTIV CEFAS\Testosterone\Testosterone/20201116_Cefas_Test6-Run1/Plate 2/@20/G11_01.tif "/>
    <s v=" 20007.6525 "/>
    <s v=" 39.0984 "/>
    <x v="0"/>
    <n v="782267"/>
    <m/>
    <m/>
    <m/>
  </r>
  <r>
    <x v="18"/>
    <x v="6"/>
    <s v="C:\Users\andre\Desktop\REACTIV CEFAS\Testosterone\Testosterone/20201116_Cefas_Test6-Run1/Plate 2/@20/G11_02.tif "/>
    <s v=" 25761.2045 "/>
    <s v=" 36.5726 "/>
    <x v="0"/>
    <n v="942155"/>
    <m/>
    <m/>
    <m/>
  </r>
  <r>
    <x v="18"/>
    <x v="6"/>
    <s v="C:\Users\andre\Desktop\REACTIV CEFAS\Testosterone\Testosterone/20201116_Cefas_Test6-Run1/Plate 2/@20/G11_03.tif "/>
    <s v=" 25847.7241 "/>
    <s v=" 39.9598 "/>
    <x v="0"/>
    <n v="1032871"/>
    <m/>
    <m/>
    <m/>
  </r>
  <r>
    <x v="18"/>
    <x v="7"/>
    <s v="C:\Users\andre\Desktop\REACTIV CEFAS\Testosterone\Testosterone/20201116_Cefas_Test6-Run1/Plate 2/@20/H11_01- exclu.tif"/>
    <m/>
    <m/>
    <x v="1"/>
    <m/>
    <m/>
    <m/>
    <m/>
  </r>
  <r>
    <x v="18"/>
    <x v="7"/>
    <s v="C:\Users\andre\Desktop\REACTIV CEFAS\Testosterone\Testosterone/20201116_Cefas_Test6-Run1/Plate 2/@20/H11_02.tif "/>
    <s v=" 57297.5909 "/>
    <s v=" 39.9302 "/>
    <x v="0"/>
    <n v="2287902"/>
    <m/>
    <m/>
    <m/>
  </r>
  <r>
    <x v="18"/>
    <x v="7"/>
    <s v="C:\Users\andre\Desktop\REACTIV CEFAS\Testosterone\Testosterone/20201116_Cefas_Test6-Run1/Plate 2/@20/H11_03.tif "/>
    <s v=" 66014.4384 "/>
    <s v=" 38.5718 "/>
    <x v="0"/>
    <n v="2546293"/>
    <m/>
    <m/>
    <m/>
  </r>
  <r>
    <x v="1"/>
    <x v="8"/>
    <s v=" "/>
    <m/>
    <m/>
    <x v="1"/>
    <m/>
    <m/>
    <m/>
    <m/>
  </r>
  <r>
    <x v="1"/>
    <x v="8"/>
    <s v="group "/>
    <s v=" "/>
    <s v=" mean of mean fluo "/>
    <x v="2"/>
    <s v=" mean of total fluo "/>
    <s v=" SD total fluo "/>
    <s v=" n fluorescent "/>
    <s v=" n total"/>
  </r>
  <r>
    <x v="18"/>
    <x v="9"/>
    <s v="C:\Users\andre\Desktop\REACTIV CEFAS\Testosterone\Testosterone/20201116_Cefas_Test6-Run1/Plate 2/@20/ "/>
    <s v=" "/>
    <s v=" 38.4759 "/>
    <x v="20"/>
    <s v=" 1115512.38 "/>
    <s v=" 1014699.9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C:\Users\andre\Desktop\REACTIV CEFAS\Testosterone\Testosterone/20201116_Cefas_Test6-Run1/Plate 2/@21/A12_01- exclu.tif"/>
    <m/>
    <m/>
    <x v="1"/>
    <m/>
    <m/>
    <m/>
    <m/>
  </r>
  <r>
    <x v="19"/>
    <x v="0"/>
    <s v="C:\Users\andre\Desktop\REACTIV CEFAS\Testosterone\Testosterone/20201116_Cefas_Test6-Run1/Plate 2/@21/A12_02.tif "/>
    <s v=" 69669.8906 "/>
    <s v=" 51.7063 "/>
    <x v="0"/>
    <n v="3602372"/>
    <m/>
    <m/>
    <m/>
  </r>
  <r>
    <x v="19"/>
    <x v="0"/>
    <s v="C:\Users\andre\Desktop\REACTIV CEFAS\Testosterone\Testosterone/20201116_Cefas_Test6-Run1/Plate 2/@21/A12_03.tif "/>
    <s v=" 75726.2611 "/>
    <s v=" 53.1157 "/>
    <x v="0"/>
    <n v="4022252"/>
    <m/>
    <m/>
    <m/>
  </r>
  <r>
    <x v="19"/>
    <x v="1"/>
    <s v="C:\Users\andre\Desktop\REACTIV CEFAS\Testosterone\Testosterone/20201116_Cefas_Test6-Run1/Plate 2/@21/B12_01- exclu.tif"/>
    <m/>
    <m/>
    <x v="1"/>
    <m/>
    <m/>
    <m/>
    <m/>
  </r>
  <r>
    <x v="19"/>
    <x v="1"/>
    <s v="C:\Users\andre\Desktop\REACTIV CEFAS\Testosterone\Testosterone/20201116_Cefas_Test6-Run1/Plate 2/@21/B12_02- exclu.tif"/>
    <m/>
    <m/>
    <x v="1"/>
    <m/>
    <m/>
    <m/>
    <m/>
  </r>
  <r>
    <x v="19"/>
    <x v="1"/>
    <s v="C:\Users\andre\Desktop\REACTIV CEFAS\Testosterone\Testosterone/20201116_Cefas_Test6-Run1/Plate 2/@21/B12_03- exclu.tif"/>
    <m/>
    <m/>
    <x v="1"/>
    <m/>
    <m/>
    <m/>
    <m/>
  </r>
  <r>
    <x v="19"/>
    <x v="2"/>
    <s v="C:\Users\andre\Desktop\REACTIV CEFAS\Testosterone\Testosterone/20201116_Cefas_Test6-Run1/Plate 2/@21/C12_01.tif "/>
    <s v=" 65711.6199 "/>
    <s v=" 47.6725 "/>
    <x v="0"/>
    <n v="3132636"/>
    <m/>
    <m/>
    <m/>
  </r>
  <r>
    <x v="19"/>
    <x v="2"/>
    <s v="C:\Users\andre\Desktop\REACTIV CEFAS\Testosterone\Testosterone/20201116_Cefas_Test6-Run1/Plate 2/@21/C12_02.tif "/>
    <s v=" 66598.4456 "/>
    <s v=" 49.6645 "/>
    <x v="0"/>
    <n v="3307579"/>
    <m/>
    <m/>
    <m/>
  </r>
  <r>
    <x v="19"/>
    <x v="2"/>
    <s v="C:\Users\andre\Desktop\REACTIV CEFAS\Testosterone\Testosterone/20201116_Cefas_Test6-Run1/Plate 2/@21/C12_03.tif "/>
    <s v=" 75336.923 "/>
    <s v=" 52.621 "/>
    <x v="0"/>
    <n v="3964305"/>
    <m/>
    <m/>
    <m/>
  </r>
  <r>
    <x v="19"/>
    <x v="3"/>
    <s v="C:\Users\andre\Desktop\REACTIV CEFAS\Testosterone\Testosterone/20201116_Cefas_Test6-Run1/Plate 2/@21/D12_01.tif "/>
    <s v=" 46655.6827 "/>
    <s v=" 47.6249 "/>
    <x v="0"/>
    <n v="2221974"/>
    <m/>
    <m/>
    <m/>
  </r>
  <r>
    <x v="19"/>
    <x v="3"/>
    <s v="C:\Users\andre\Desktop\REACTIV CEFAS\Testosterone\Testosterone/20201116_Cefas_Test6-Run1/Plate 2/@21/D12_02.tif "/>
    <s v=" 52776.9429 "/>
    <s v=" 46.3549 "/>
    <x v="0"/>
    <n v="2446471"/>
    <m/>
    <m/>
    <m/>
  </r>
  <r>
    <x v="19"/>
    <x v="3"/>
    <s v="C:\Users\andre\Desktop\REACTIV CEFAS\Testosterone\Testosterone/20201116_Cefas_Test6-Run1/Plate 2/@21/D12_03.tif "/>
    <s v=" 52841.8326 "/>
    <s v=" 45.1858 "/>
    <x v="0"/>
    <n v="2387702"/>
    <m/>
    <m/>
    <m/>
  </r>
  <r>
    <x v="19"/>
    <x v="4"/>
    <s v="C:\Users\andre\Desktop\REACTIV CEFAS\Testosterone\Testosterone/20201116_Cefas_Test6-Run1/Plate 2/@21/E12_01.tif "/>
    <s v=" 33915.6748 "/>
    <s v=" 36.6282 "/>
    <x v="0"/>
    <n v="1242270"/>
    <m/>
    <m/>
    <m/>
  </r>
  <r>
    <x v="19"/>
    <x v="4"/>
    <s v="C:\Users\andre\Desktop\REACTIV CEFAS\Testosterone\Testosterone/20201116_Cefas_Test6-Run1/Plate 2/@21/E12_02.tif "/>
    <s v=" 25847.7241 "/>
    <s v=" 36.6778 "/>
    <x v="0"/>
    <n v="948038"/>
    <m/>
    <m/>
    <m/>
  </r>
  <r>
    <x v="19"/>
    <x v="4"/>
    <s v="C:\Users\andre\Desktop\REACTIV CEFAS\Testosterone\Testosterone/20201116_Cefas_Test6-Run1/Plate 2/@21/E12_03.tif "/>
    <s v=" 25263.7169 "/>
    <s v=" 35.607 "/>
    <x v="0"/>
    <n v="899566"/>
    <m/>
    <m/>
    <m/>
  </r>
  <r>
    <x v="19"/>
    <x v="5"/>
    <s v="C:\Users\andre\Desktop\REACTIV CEFAS\Testosterone\Testosterone/20201116_Cefas_Test6-Run1/Plate 2/@21/F12_01.tif "/>
    <s v=" 44514.3231 "/>
    <s v=" 38.8401 "/>
    <x v="0"/>
    <n v="1728942"/>
    <m/>
    <m/>
    <m/>
  </r>
  <r>
    <x v="19"/>
    <x v="5"/>
    <s v="C:\Users\andre\Desktop\REACTIV CEFAS\Testosterone\Testosterone/20201116_Cefas_Test6-Run1/Plate 2/@21/F12_02.tif "/>
    <s v=" 43843.7964 "/>
    <s v=" 39.6404 "/>
    <x v="0"/>
    <n v="1737984"/>
    <m/>
    <m/>
    <m/>
  </r>
  <r>
    <x v="19"/>
    <x v="5"/>
    <s v="C:\Users\andre\Desktop\REACTIV CEFAS\Testosterone\Testosterone/20201116_Cefas_Test6-Run1/Plate 2/@21/F12_03.tif "/>
    <s v=" 34802.5005 "/>
    <s v=" 35.5693 "/>
    <x v="0"/>
    <n v="1237900"/>
    <m/>
    <m/>
    <m/>
  </r>
  <r>
    <x v="19"/>
    <x v="6"/>
    <s v="C:\Users\andre\Desktop\REACTIV CEFAS\Testosterone\Testosterone/20201116_Cefas_Test6-Run1/Plate 2/@21/G12_01.tif "/>
    <s v=" 41161.6895 "/>
    <s v=" 42.7961 "/>
    <x v="0"/>
    <n v="1761560"/>
    <m/>
    <m/>
    <m/>
  </r>
  <r>
    <x v="19"/>
    <x v="6"/>
    <s v="C:\Users\andre\Desktop\REACTIV CEFAS\Testosterone\Testosterone/20201116_Cefas_Test6-Run1/Plate 2/@21/G12_02.tif "/>
    <s v=" 43627.4975 "/>
    <s v=" 42.0055 "/>
    <x v="0"/>
    <n v="1832593"/>
    <m/>
    <m/>
    <m/>
  </r>
  <r>
    <x v="19"/>
    <x v="6"/>
    <s v="C:\Users\andre\Desktop\REACTIV CEFAS\Testosterone\Testosterone/20201116_Cefas_Test6-Run1/Plate 2/@21/G12_03.tif "/>
    <s v=" 48624.0031 "/>
    <s v=" 42.488 "/>
    <x v="0"/>
    <n v="2065936"/>
    <m/>
    <m/>
    <m/>
  </r>
  <r>
    <x v="19"/>
    <x v="7"/>
    <s v="C:\Users\andre\Desktop\REACTIV CEFAS\Testosterone\Testosterone/20201116_Cefas_Test6-Run1/Plate 2/@21/H12_01.tif "/>
    <s v=" 1189.6442 "/>
    <s v=" 33.1455 "/>
    <x v="0"/>
    <n v="39431"/>
    <m/>
    <m/>
    <m/>
  </r>
  <r>
    <x v="19"/>
    <x v="7"/>
    <s v="C:\Users\andre\Desktop\REACTIV CEFAS\Testosterone\Testosterone/20201116_Cefas_Test6-Run1/Plate 2/@21/H12_02.tif "/>
    <s v=" 4131.3099 "/>
    <s v=" 37.0262 "/>
    <x v="0"/>
    <n v="152967"/>
    <m/>
    <m/>
    <m/>
  </r>
  <r>
    <x v="19"/>
    <x v="7"/>
    <s v="C:\Users\andre\Desktop\REACTIV CEFAS\Testosterone\Testosterone/20201116_Cefas_Test6-Run1/Plate 2/@21/H12_03.tif "/>
    <s v=" 2984.9255 "/>
    <s v=" 38.4783 "/>
    <x v="0"/>
    <n v="114855"/>
    <m/>
    <m/>
    <m/>
  </r>
  <r>
    <x v="1"/>
    <x v="8"/>
    <s v=" "/>
    <m/>
    <m/>
    <x v="1"/>
    <m/>
    <m/>
    <m/>
    <m/>
  </r>
  <r>
    <x v="1"/>
    <x v="8"/>
    <s v="group "/>
    <s v=" "/>
    <s v=" mean of mean fluo "/>
    <x v="2"/>
    <s v=" mean of total fluo "/>
    <s v=" SD total fluo "/>
    <s v=" n fluorescent "/>
    <s v=" n total"/>
  </r>
  <r>
    <x v="19"/>
    <x v="9"/>
    <s v="C:\Users\andre\Desktop\REACTIV CEFAS\Testosterone\Testosterone/20201116_Cefas_Test6-Run1/Plate 2/@21/ "/>
    <s v=" "/>
    <s v=" 37.5688 "/>
    <x v="21"/>
    <s v=" 1757497.38 "/>
    <s v=" 1331632.04 "/>
    <n v="21"/>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C:\Users\andre\Desktop\REACTIV CEFAS\Testosterone\Testosterone/20201116_Cefas_Test6-Run1/Plate 2/@8/A2_01.tif "/>
    <s v=" 1838.541 "/>
    <s v=" 33.5882 "/>
    <x v="0"/>
    <n v="61753"/>
    <m/>
    <m/>
    <m/>
  </r>
  <r>
    <x v="20"/>
    <x v="0"/>
    <s v="C:\Users\andre\Desktop\REACTIV CEFAS\Testosterone\Testosterone/20201116_Cefas_Test6-Run1/Plate 2/@8/A2_02.tif "/>
    <s v=" 2400.9183 "/>
    <s v=" 33.4054 "/>
    <x v="0"/>
    <n v="80204"/>
    <m/>
    <m/>
    <m/>
  </r>
  <r>
    <x v="20"/>
    <x v="0"/>
    <s v="C:\Users\andre\Desktop\REACTIV CEFAS\Testosterone\Testosterone/20201116_Cefas_Test6-Run1/Plate 2/@8/A2_03.tif "/>
    <s v=" 2357.6585 "/>
    <s v=" 33.1101 "/>
    <x v="0"/>
    <n v="78062"/>
    <m/>
    <m/>
    <m/>
  </r>
  <r>
    <x v="20"/>
    <x v="1"/>
    <s v="C:\Users\andre\Desktop\REACTIV CEFAS\Testosterone\Testosterone/20201116_Cefas_Test6-Run1/Plate 2/@8/B2_01.tif "/>
    <s v=" 7548.8332 "/>
    <s v=" 42.6963 "/>
    <x v="0"/>
    <n v="322307"/>
    <m/>
    <m/>
    <m/>
  </r>
  <r>
    <x v="20"/>
    <x v="1"/>
    <s v="C:\Users\andre\Desktop\REACTIV CEFAS\Testosterone\Testosterone/20201116_Cefas_Test6-Run1/Plate 2/@8/B2_02- exclu.tif"/>
    <m/>
    <m/>
    <x v="1"/>
    <m/>
    <m/>
    <m/>
    <m/>
  </r>
  <r>
    <x v="20"/>
    <x v="1"/>
    <s v="C:\Users\andre\Desktop\REACTIV CEFAS\Testosterone\Testosterone/20201116_Cefas_Test6-Run1/Plate 2/@8/B2_03.tif "/>
    <s v=" 12588.5987 "/>
    <s v=" 48.5309 "/>
    <x v="0"/>
    <n v="610936"/>
    <m/>
    <m/>
    <m/>
  </r>
  <r>
    <x v="20"/>
    <x v="2"/>
    <s v="C:\Users\andre\Desktop\REACTIV CEFAS\Testosterone\Testosterone/20201116_Cefas_Test6-Run1/Plate 2/@8/C2_01.tif "/>
    <s v=" 4088.0501 "/>
    <s v=" 39.0053 "/>
    <x v="0"/>
    <n v="159456"/>
    <m/>
    <m/>
    <m/>
  </r>
  <r>
    <x v="20"/>
    <x v="2"/>
    <s v="C:\Users\andre\Desktop\REACTIV CEFAS\Testosterone\Testosterone/20201116_Cefas_Test6-Run1/Plate 2/@8/C2_02.tif "/>
    <s v=" 7159.4951 "/>
    <s v=" 41.3565 "/>
    <x v="0"/>
    <n v="296092"/>
    <m/>
    <m/>
    <m/>
  </r>
  <r>
    <x v="20"/>
    <x v="2"/>
    <s v="C:\Users\andre\Desktop\REACTIV CEFAS\Testosterone\Testosterone/20201116_Cefas_Test6-Run1/Plate 2/@8/C2_03.tif "/>
    <s v=" 6813.4168 "/>
    <s v=" 42.6095 "/>
    <x v="0"/>
    <n v="290316"/>
    <m/>
    <m/>
    <m/>
  </r>
  <r>
    <x v="20"/>
    <x v="3"/>
    <s v="C:\Users\andre\Desktop\REACTIV CEFAS\Testosterone\Testosterone/20201116_Cefas_Test6-Run1/Plate 2/@8/D2_01- exclu.tif"/>
    <m/>
    <m/>
    <x v="1"/>
    <m/>
    <m/>
    <m/>
    <m/>
  </r>
  <r>
    <x v="20"/>
    <x v="3"/>
    <s v="C:\Users\andre\Desktop\REACTIV CEFAS\Testosterone\Testosterone/20201116_Cefas_Test6-Run1/Plate 2/@8/D2_02- exclu.tif"/>
    <m/>
    <m/>
    <x v="1"/>
    <m/>
    <m/>
    <m/>
    <m/>
  </r>
  <r>
    <x v="20"/>
    <x v="3"/>
    <s v="C:\Users\andre\Desktop\REACTIV CEFAS\Testosterone\Testosterone/20201116_Cefas_Test6-Run1/Plate 2/@8/D2_03.tif "/>
    <s v=" 14859.7376 "/>
    <s v=" 46.6608 "/>
    <x v="0"/>
    <n v="693368"/>
    <m/>
    <m/>
    <m/>
  </r>
  <r>
    <x v="20"/>
    <x v="4"/>
    <s v="C:\Users\andre\Desktop\REACTIV CEFAS\Testosterone\Testosterone/20201116_Cefas_Test6-Run1/Plate 2/@8/E2_01.tif "/>
    <s v=" 11074.506 "/>
    <s v=" 43.6016 "/>
    <x v="0"/>
    <n v="482866"/>
    <m/>
    <m/>
    <m/>
  </r>
  <r>
    <x v="20"/>
    <x v="4"/>
    <s v="C:\Users\andre\Desktop\REACTIV CEFAS\Testosterone\Testosterone/20201116_Cefas_Test6-Run1/Plate 2/@8/E2_02- exclu.tif"/>
    <m/>
    <m/>
    <x v="1"/>
    <m/>
    <m/>
    <m/>
    <m/>
  </r>
  <r>
    <x v="20"/>
    <x v="4"/>
    <s v="C:\Users\andre\Desktop\REACTIV CEFAS\Testosterone\Testosterone/20201116_Cefas_Test6-Run1/Plate 2/@8/E2_03- exclu.tif"/>
    <m/>
    <m/>
    <x v="1"/>
    <m/>
    <m/>
    <m/>
    <m/>
  </r>
  <r>
    <x v="20"/>
    <x v="5"/>
    <s v="C:\Users\andre\Desktop\REACTIV CEFAS\Testosterone\Testosterone/20201116_Cefas_Test6-Run1/Plate 2/@8/F2_01.tif "/>
    <s v=" 7159.4951 "/>
    <s v=" 40.1269 "/>
    <x v="0"/>
    <n v="287288"/>
    <m/>
    <m/>
    <m/>
  </r>
  <r>
    <x v="20"/>
    <x v="5"/>
    <s v="C:\Users\andre\Desktop\REACTIV CEFAS\Testosterone\Testosterone/20201116_Cefas_Test6-Run1/Plate 2/@8/F2_02.tif "/>
    <s v=" 9062.9258 "/>
    <s v=" 40.8616 "/>
    <x v="0"/>
    <n v="370325"/>
    <m/>
    <m/>
    <m/>
  </r>
  <r>
    <x v="20"/>
    <x v="5"/>
    <s v="C:\Users\andre\Desktop\REACTIV CEFAS\Testosterone\Testosterone/20201116_Cefas_Test6-Run1/Plate 2/@8/F2_03.tif "/>
    <s v=" 9473.8938 "/>
    <s v=" 40.8813 "/>
    <x v="0"/>
    <n v="387305"/>
    <m/>
    <m/>
    <m/>
  </r>
  <r>
    <x v="20"/>
    <x v="6"/>
    <s v="C:\Users\andre\Desktop\REACTIV CEFAS\Testosterone\Testosterone/20201116_Cefas_Test6-Run1/Plate 2/@8/G2_01.tif "/>
    <s v=" 5256.0644 "/>
    <s v=" 39.5021 "/>
    <x v="0"/>
    <n v="207625"/>
    <m/>
    <m/>
    <m/>
  </r>
  <r>
    <x v="20"/>
    <x v="6"/>
    <s v="C:\Users\andre\Desktop\REACTIV CEFAS\Testosterone\Testosterone/20201116_Cefas_Test6-Run1/Plate 2/@8/G2_02.tif "/>
    <s v=" 5234.4345 "/>
    <s v=" 40.2562 "/>
    <x v="0"/>
    <n v="210718"/>
    <m/>
    <m/>
    <m/>
  </r>
  <r>
    <x v="20"/>
    <x v="6"/>
    <s v="C:\Users\andre\Desktop\REACTIV CEFAS\Testosterone\Testosterone/20201116_Cefas_Test6-Run1/Plate 2/@8/G2_03.tif "/>
    <n v="0"/>
    <n v="0"/>
    <x v="0"/>
    <n v="0"/>
    <m/>
    <m/>
    <m/>
  </r>
  <r>
    <x v="20"/>
    <x v="7"/>
    <s v="C:\Users\andre\Desktop\REACTIV CEFAS\Testosterone\Testosterone/20201116_Cefas_Test6-Run1/Plate 2/@8/H2_01.tif "/>
    <s v=" 2682.1069 "/>
    <s v=" 33.4516 "/>
    <x v="0"/>
    <n v="89721"/>
    <m/>
    <m/>
    <m/>
  </r>
  <r>
    <x v="20"/>
    <x v="7"/>
    <s v="C:\Users\andre\Desktop\REACTIV CEFAS\Testosterone\Testosterone/20201116_Cefas_Test6-Run1/Plate 2/@8/H2_02.tif "/>
    <s v=" 821.936 "/>
    <s v=" 32.6316 "/>
    <x v="0"/>
    <n v="26821"/>
    <m/>
    <m/>
    <m/>
  </r>
  <r>
    <x v="20"/>
    <x v="7"/>
    <s v="C:\Users\andre\Desktop\REACTIV CEFAS\Testosterone\Testosterone/20201116_Cefas_Test6-Run1/Plate 2/@8/H2_03.tif "/>
    <s v=" 908.4556 "/>
    <s v=" 32.8571 "/>
    <x v="0"/>
    <n v="29849"/>
    <m/>
    <m/>
    <m/>
  </r>
  <r>
    <x v="1"/>
    <x v="8"/>
    <s v=" "/>
    <m/>
    <m/>
    <x v="1"/>
    <m/>
    <m/>
    <m/>
    <m/>
  </r>
  <r>
    <x v="1"/>
    <x v="8"/>
    <s v="group "/>
    <s v=" "/>
    <s v=" mean of mean fluo "/>
    <x v="2"/>
    <s v=" mean of total fluo "/>
    <s v=" SD total fluo "/>
    <s v=" n fluorescent "/>
    <s v=" n total"/>
  </r>
  <r>
    <x v="20"/>
    <x v="9"/>
    <s v="C:\Users\andre\Desktop\REACTIV CEFAS\Testosterone\Testosterone/20201116_Cefas_Test6-Run1/Plate 2/@8/ "/>
    <s v=" "/>
    <s v=" 39.2334 "/>
    <x v="22"/>
    <s v=" 328630.167 "/>
    <s v=" 250561.915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C:\Users\andre\Desktop\REACTIV CEFAS\Testosterone\Testosterone/20201116_Cefas_Test6-Run1/Plate 2/@9/A3_01.tif "/>
    <s v=" 33050.479 "/>
    <s v=" 35.8017 "/>
    <x v="0"/>
    <n v="1183263"/>
    <m/>
    <m/>
    <m/>
  </r>
  <r>
    <x v="21"/>
    <x v="0"/>
    <s v="C:\Users\andre\Desktop\REACTIV CEFAS\Testosterone\Testosterone/20201116_Cefas_Test6-Run1/Plate 2/@9/A3_02.tif "/>
    <s v=" 28875.9093 "/>
    <s v=" 34.8839 "/>
    <x v="0"/>
    <n v="1007304"/>
    <m/>
    <m/>
    <m/>
  </r>
  <r>
    <x v="21"/>
    <x v="0"/>
    <s v="C:\Users\andre\Desktop\REACTIV CEFAS\Testosterone\Testosterone/20201116_Cefas_Test6-Run1/Plate 2/@9/A3_03.tif "/>
    <s v=" 24874.3788 "/>
    <s v=" 34.0487 "/>
    <x v="0"/>
    <n v="846940"/>
    <m/>
    <m/>
    <m/>
  </r>
  <r>
    <x v="21"/>
    <x v="1"/>
    <s v="C:\Users\andre\Desktop\REACTIV CEFAS\Testosterone\Testosterone/20201116_Cefas_Test6-Run1/Plate 2/@9/B3_01.tif "/>
    <s v=" 5818.4417 "/>
    <s v=" 36.5874 "/>
    <x v="0"/>
    <n v="212881"/>
    <m/>
    <m/>
    <m/>
  </r>
  <r>
    <x v="21"/>
    <x v="1"/>
    <s v="C:\Users\andre\Desktop\REACTIV CEFAS\Testosterone\Testosterone/20201116_Cefas_Test6-Run1/Plate 2/@9/B3_02.tif "/>
    <s v=" 8457.2888 "/>
    <s v=" 36.5575 "/>
    <x v="0"/>
    <n v="309178"/>
    <m/>
    <m/>
    <m/>
  </r>
  <r>
    <x v="21"/>
    <x v="1"/>
    <s v="C:\Users\andre\Desktop\REACTIV CEFAS\Testosterone\Testosterone/20201116_Cefas_Test6-Run1/Plate 2/@9/B3_03.tif "/>
    <s v=" 6251.0395 "/>
    <s v=" 35.4567 "/>
    <x v="0"/>
    <n v="221642"/>
    <m/>
    <m/>
    <m/>
  </r>
  <r>
    <x v="21"/>
    <x v="2"/>
    <s v="C:\Users\andre\Desktop\REACTIV CEFAS\Testosterone\Testosterone/20201116_Cefas_Test6-Run1/Plate 2/@9/C3_01.tif "/>
    <s v=" 10187.6804 "/>
    <s v=" 39.414 "/>
    <x v="0"/>
    <n v="401537"/>
    <m/>
    <m/>
    <m/>
  </r>
  <r>
    <x v="21"/>
    <x v="2"/>
    <s v="C:\Users\andre\Desktop\REACTIV CEFAS\Testosterone\Testosterone/20201116_Cefas_Test6-Run1/Plate 2/@9/C3_02.tif "/>
    <s v=" 7570.4631 "/>
    <s v=" 39.5571 "/>
    <x v="0"/>
    <n v="299466"/>
    <m/>
    <m/>
    <m/>
  </r>
  <r>
    <x v="21"/>
    <x v="2"/>
    <s v="C:\Users\andre\Desktop\REACTIV CEFAS\Testosterone\Testosterone/20201116_Cefas_Test6-Run1/Plate 2/@9/C3_03.tif "/>
    <s v=" 2920.0358 "/>
    <s v=" 32.5111 "/>
    <x v="0"/>
    <n v="94934"/>
    <m/>
    <m/>
    <m/>
  </r>
  <r>
    <x v="21"/>
    <x v="3"/>
    <s v="C:\Users\andre\Desktop\REACTIV CEFAS\Testosterone\Testosterone/20201116_Cefas_Test6-Run1/Plate 2/@9/D3_01.tif "/>
    <s v=" 12026.2214 "/>
    <s v=" 35.8831 "/>
    <x v="0"/>
    <n v="431538"/>
    <m/>
    <m/>
    <m/>
  </r>
  <r>
    <x v="21"/>
    <x v="3"/>
    <s v="C:\Users\andre\Desktop\REACTIV CEFAS\Testosterone\Testosterone/20201116_Cefas_Test6-Run1/Plate 2/@9/D3_02.tif "/>
    <s v=" 14578.549 "/>
    <s v=" 34.6944 "/>
    <x v="0"/>
    <n v="505793"/>
    <m/>
    <m/>
    <m/>
  </r>
  <r>
    <x v="21"/>
    <x v="3"/>
    <s v="C:\Users\andre\Desktop\REACTIV CEFAS\Testosterone\Testosterone/20201116_Cefas_Test6-Run1/Plate 2/@9/D3_03.tif "/>
    <s v=" 13518.6841 "/>
    <s v=" 33.384 "/>
    <x v="0"/>
    <n v="451308"/>
    <m/>
    <m/>
    <m/>
  </r>
  <r>
    <x v="21"/>
    <x v="4"/>
    <s v="C:\Users\andre\Desktop\REACTIV CEFAS\Testosterone\Testosterone/20201116_Cefas_Test6-Run1/Plate 2/@9/E3_01.tif "/>
    <s v=" 13410.5347 "/>
    <s v=" 34.95 "/>
    <x v="0"/>
    <n v="468698"/>
    <m/>
    <m/>
    <m/>
  </r>
  <r>
    <x v="21"/>
    <x v="4"/>
    <s v="C:\Users\andre\Desktop\REACTIV CEFAS\Testosterone\Testosterone/20201116_Cefas_Test6-Run1/Plate 2/@9/E3_02.tif "/>
    <s v=" 11485.474 "/>
    <s v=" 34.7495 "/>
    <x v="0"/>
    <n v="399115"/>
    <m/>
    <m/>
    <m/>
  </r>
  <r>
    <x v="21"/>
    <x v="4"/>
    <s v="C:\Users\andre\Desktop\REACTIV CEFAS\Testosterone\Testosterone/20201116_Cefas_Test6-Run1/Plate 2/@9/E3_03.tif "/>
    <s v=" 8500.5486 "/>
    <s v=" 33.1705 "/>
    <x v="0"/>
    <n v="281967"/>
    <m/>
    <m/>
    <m/>
  </r>
  <r>
    <x v="21"/>
    <x v="5"/>
    <s v="C:\Users\andre\Desktop\REACTIV CEFAS\Testosterone\Testosterone/20201116_Cefas_Test6-Run1/Plate 2/@9/F3_01.tif "/>
    <s v=" 34975.5396 "/>
    <s v=" 34.5009 "/>
    <x v="0"/>
    <n v="1206689"/>
    <m/>
    <m/>
    <m/>
  </r>
  <r>
    <x v="21"/>
    <x v="5"/>
    <s v="C:\Users\andre\Desktop\REACTIV CEFAS\Testosterone\Testosterone/20201116_Cefas_Test6-Run1/Plate 2/@9/F3_02.tif "/>
    <s v=" 43043.4903 "/>
    <s v=" 36.0477 "/>
    <x v="0"/>
    <n v="1551620"/>
    <m/>
    <m/>
    <m/>
  </r>
  <r>
    <x v="21"/>
    <x v="5"/>
    <s v="C:\Users\andre\Desktop\REACTIV CEFAS\Testosterone\Testosterone/20201116_Cefas_Test6-Run1/Plate 2/@9/F3_03- exclu.tif"/>
    <m/>
    <m/>
    <x v="1"/>
    <m/>
    <m/>
    <m/>
    <m/>
  </r>
  <r>
    <x v="21"/>
    <x v="6"/>
    <s v="C:\Users\andre\Desktop\REACTIV CEFAS\Testosterone\Testosterone/20201116_Cefas_Test6-Run1/Plate 2/@9/G3_01.tif "/>
    <s v=" 4801.8366 "/>
    <s v=" 37.6171 "/>
    <x v="0"/>
    <n v="180631"/>
    <m/>
    <m/>
    <m/>
  </r>
  <r>
    <x v="21"/>
    <x v="6"/>
    <s v="C:\Users\andre\Desktop\REACTIV CEFAS\Testosterone\Testosterone/20201116_Cefas_Test6-Run1/Plate 2/@9/G3_02- exclu.tif"/>
    <m/>
    <m/>
    <x v="1"/>
    <m/>
    <m/>
    <m/>
    <m/>
  </r>
  <r>
    <x v="21"/>
    <x v="6"/>
    <s v="C:\Users\andre\Desktop\REACTIV CEFAS\Testosterone\Testosterone/20201116_Cefas_Test6-Run1/Plate 2/@9/G3_03- exclu.tif"/>
    <m/>
    <m/>
    <x v="1"/>
    <m/>
    <m/>
    <m/>
    <m/>
  </r>
  <r>
    <x v="21"/>
    <x v="7"/>
    <s v="C:\Users\andre\Desktop\REACTIV CEFAS\Testosterone\Testosterone/20201116_Cefas_Test6-Run1/Plate 2/@9/H3_01.tif "/>
    <s v=" 7743.5023 "/>
    <s v=" 38.081 "/>
    <x v="0"/>
    <n v="294880"/>
    <m/>
    <m/>
    <m/>
  </r>
  <r>
    <x v="21"/>
    <x v="7"/>
    <s v="C:\Users\andre\Desktop\REACTIV CEFAS\Testosterone\Testosterone/20201116_Cefas_Test6-Run1/Plate 2/@9/H3_02.tif "/>
    <s v=" 8219.36 "/>
    <s v=" 36.6395 "/>
    <x v="0"/>
    <n v="301153"/>
    <m/>
    <m/>
    <m/>
  </r>
  <r>
    <x v="21"/>
    <x v="7"/>
    <s v="C:\Users\andre\Desktop\REACTIV CEFAS\Testosterone\Testosterone/20201116_Cefas_Test6-Run1/Plate 2/@9/H3_03.tif "/>
    <s v=" 10750.0576 "/>
    <s v=" 41.1509 "/>
    <x v="0"/>
    <n v="442375"/>
    <m/>
    <m/>
    <m/>
  </r>
  <r>
    <x v="1"/>
    <x v="8"/>
    <s v=" "/>
    <m/>
    <m/>
    <x v="1"/>
    <m/>
    <m/>
    <m/>
    <m/>
  </r>
  <r>
    <x v="1"/>
    <x v="8"/>
    <s v="group "/>
    <s v=" "/>
    <s v=" mean of mean fluo "/>
    <x v="2"/>
    <s v=" mean of total fluo "/>
    <s v=" SD total fluo "/>
    <s v=" n fluorescent "/>
    <s v=" n total"/>
  </r>
  <r>
    <x v="21"/>
    <x v="9"/>
    <s v="C:\Users\andre\Desktop\REACTIV CEFAS\Testosterone\Testosterone/20201116_Cefas_Test6-Run1/Plate 2/@9/ "/>
    <s v=" "/>
    <s v=" 34.5114 "/>
    <x v="23"/>
    <s v=" 480796.458 "/>
    <s v=" 390674.532 "/>
    <n v="23"/>
    <n v="24"/>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C:\Users\andre\Desktop\REACTIV CEFAS\Testosterone\Testosterone/20201117_Cefas_Test6-Run2/Plate 1/@1/A10_01.tif "/>
    <s v=" 43.2598 "/>
    <s v=" 30.5 "/>
    <x v="0"/>
    <n v="1319"/>
    <m/>
    <m/>
    <m/>
  </r>
  <r>
    <x v="0"/>
    <x v="0"/>
    <s v="C:\Users\andre\Desktop\REACTIV CEFAS\Testosterone\Testosterone/20201117_Cefas_Test6-Run2/Plate 1/@1/A10_02.tif "/>
    <s v=" 1319.4236 "/>
    <s v=" 34.2459 "/>
    <x v="0"/>
    <n v="45185"/>
    <m/>
    <m/>
    <m/>
  </r>
  <r>
    <x v="0"/>
    <x v="0"/>
    <s v="C:\Users\andre\Desktop\REACTIV CEFAS\Testosterone\Testosterone/20201117_Cefas_Test6-Run2/Plate 1/@1/A10_03.tif "/>
    <n v="0"/>
    <n v="0"/>
    <x v="0"/>
    <n v="0"/>
    <m/>
    <m/>
    <m/>
  </r>
  <r>
    <x v="0"/>
    <x v="1"/>
    <s v="C:\Users\andre\Desktop\REACTIV CEFAS\Testosterone\Testosterone/20201117_Cefas_Test6-Run2/Plate 1/@1/B10_01.tif "/>
    <s v=" 670.5267 "/>
    <s v=" 33.1935 "/>
    <x v="0"/>
    <n v="22257"/>
    <m/>
    <m/>
    <m/>
  </r>
  <r>
    <x v="0"/>
    <x v="1"/>
    <s v="C:\Users\andre\Desktop\REACTIV CEFAS\Testosterone\Testosterone/20201117_Cefas_Test6-Run2/Plate 1/@1/B10_02.tif "/>
    <n v="0"/>
    <n v="0"/>
    <x v="0"/>
    <n v="0"/>
    <m/>
    <m/>
    <m/>
  </r>
  <r>
    <x v="0"/>
    <x v="1"/>
    <s v="C:\Users\andre\Desktop\REACTIV CEFAS\Testosterone\Testosterone/20201117_Cefas_Test6-Run2/Plate 1/@1/B10_03.tif "/>
    <s v=" 9928.1216 "/>
    <s v=" 42.427 "/>
    <x v="0"/>
    <n v="421221"/>
    <m/>
    <m/>
    <m/>
  </r>
  <r>
    <x v="0"/>
    <x v="2"/>
    <s v="C:\Users\andre\Desktop\REACTIV CEFAS\Testosterone\Testosterone/20201117_Cefas_Test6-Run2/Plate 1/@1/C10_01.tif "/>
    <s v=" 194.6691 "/>
    <s v=" 34.1111 "/>
    <x v="0"/>
    <n v="6640"/>
    <m/>
    <m/>
    <m/>
  </r>
  <r>
    <x v="0"/>
    <x v="2"/>
    <s v="C:\Users\andre\Desktop\REACTIV CEFAS\Testosterone\Testosterone/20201117_Cefas_Test6-Run2/Plate 1/@1/C10_02.tif "/>
    <s v=" 475.8577 "/>
    <s v=" 32.9091 "/>
    <x v="0"/>
    <n v="15660"/>
    <m/>
    <m/>
    <m/>
  </r>
  <r>
    <x v="0"/>
    <x v="2"/>
    <s v="C:\Users\andre\Desktop\REACTIV CEFAS\Testosterone\Testosterone/20201117_Cefas_Test6-Run2/Plate 1/@1/C10_03.tif "/>
    <s v=" 6683.6374 "/>
    <s v=" 38.0906 "/>
    <x v="0"/>
    <n v="254584"/>
    <m/>
    <m/>
    <m/>
  </r>
  <r>
    <x v="0"/>
    <x v="3"/>
    <s v="C:\Users\andre\Desktop\REACTIV CEFAS\Testosterone\Testosterone/20201117_Cefas_Test6-Run2/Plate 1/@1/D10_01.tif "/>
    <s v=" 4672.0572 "/>
    <s v=" 34.7917 "/>
    <x v="0"/>
    <n v="162549"/>
    <m/>
    <m/>
    <m/>
  </r>
  <r>
    <x v="0"/>
    <x v="3"/>
    <s v="C:\Users\andre\Desktop\REACTIV CEFAS\Testosterone\Testosterone/20201117_Cefas_Test6-Run2/Plate 1/@1/D10_02.tif "/>
    <s v=" 4217.8295 "/>
    <s v=" 34.0513 "/>
    <x v="0"/>
    <n v="143623"/>
    <m/>
    <m/>
    <m/>
  </r>
  <r>
    <x v="0"/>
    <x v="3"/>
    <s v="C:\Users\andre\Desktop\REACTIV CEFAS\Testosterone\Testosterone/20201117_Cefas_Test6-Run2/Plate 1/@1/D10_03.tif "/>
    <s v=" 4931.616 "/>
    <s v=" 36.9211 "/>
    <x v="0"/>
    <n v="182080"/>
    <m/>
    <m/>
    <m/>
  </r>
  <r>
    <x v="0"/>
    <x v="4"/>
    <s v="C:\Users\andre\Desktop\REACTIV CEFAS\Testosterone\Testosterone/20201117_Cefas_Test6-Run2/Plate 1/@1/E10_01.tif "/>
    <s v=" 3655.4522 "/>
    <s v=" 39.2959 "/>
    <x v="0"/>
    <n v="143644"/>
    <m/>
    <m/>
    <m/>
  </r>
  <r>
    <x v="0"/>
    <x v="4"/>
    <s v="C:\Users\andre\Desktop\REACTIV CEFAS\Testosterone\Testosterone/20201117_Cefas_Test6-Run2/Plate 1/@1/E10_02.tif "/>
    <s v=" 3677.0821 "/>
    <s v=" 36.8529 "/>
    <x v="0"/>
    <n v="135511"/>
    <m/>
    <m/>
    <m/>
  </r>
  <r>
    <x v="0"/>
    <x v="4"/>
    <s v="C:\Users\andre\Desktop\REACTIV CEFAS\Testosterone\Testosterone/20201117_Cefas_Test6-Run2/Plate 1/@1/E10_03.tif "/>
    <s v=" 2379.2884 "/>
    <s v=" 33.5455 "/>
    <x v="0"/>
    <n v="79814"/>
    <m/>
    <m/>
    <m/>
  </r>
  <r>
    <x v="0"/>
    <x v="5"/>
    <s v="C:\Users\andre\Desktop\REACTIV CEFAS\Testosterone\Testosterone/20201117_Cefas_Test6-Run2/Plate 1/@1/F10_01.tif "/>
    <s v=" 21.6299 "/>
    <n v="30"/>
    <x v="0"/>
    <n v="649"/>
    <m/>
    <m/>
    <m/>
  </r>
  <r>
    <x v="0"/>
    <x v="5"/>
    <s v="C:\Users\andre\Desktop\REACTIV CEFAS\Testosterone\Testosterone/20201117_Cefas_Test6-Run2/Plate 1/@1/F10_02.tif "/>
    <n v="0"/>
    <n v="0"/>
    <x v="0"/>
    <n v="0"/>
    <m/>
    <m/>
    <m/>
  </r>
  <r>
    <x v="0"/>
    <x v="5"/>
    <s v="C:\Users\andre\Desktop\REACTIV CEFAS\Testosterone\Testosterone/20201117_Cefas_Test6-Run2/Plate 1/@1/F10_03.tif "/>
    <s v=" 64.8897 "/>
    <s v=" 30.6667 "/>
    <x v="0"/>
    <n v="1990"/>
    <m/>
    <m/>
    <m/>
  </r>
  <r>
    <x v="0"/>
    <x v="6"/>
    <s v="C:\Users\andre\Desktop\REACTIV CEFAS\Testosterone\Testosterone/20201117_Cefas_Test6-Run2/Plate 1/@1/G10_01.tif "/>
    <s v=" 3655.4522 "/>
    <s v=" 39.5799 "/>
    <x v="0"/>
    <n v="144682"/>
    <m/>
    <m/>
    <m/>
  </r>
  <r>
    <x v="0"/>
    <x v="6"/>
    <s v="C:\Users\andre\Desktop\REACTIV CEFAS\Testosterone\Testosterone/20201117_Cefas_Test6-Run2/Plate 1/@1/G10_02.tif "/>
    <s v=" 7721.8724 "/>
    <s v=" 39.395 "/>
    <x v="0"/>
    <n v="304203"/>
    <m/>
    <m/>
    <m/>
  </r>
  <r>
    <x v="0"/>
    <x v="6"/>
    <s v="C:\Users\andre\Desktop\REACTIV CEFAS\Testosterone\Testosterone/20201117_Cefas_Test6-Run2/Plate 1/@1/G10_03.tif "/>
    <s v=" 6251.0395 "/>
    <s v=" 38.6263 "/>
    <x v="0"/>
    <n v="241455"/>
    <m/>
    <m/>
    <m/>
  </r>
  <r>
    <x v="0"/>
    <x v="7"/>
    <s v="C:\Users\andre\Desktop\REACTIV CEFAS\Testosterone\Testosterone/20201117_Cefas_Test6-Run2/Plate 1/@1/H10_01- exclu.tif"/>
    <m/>
    <m/>
    <x v="1"/>
    <m/>
    <m/>
    <m/>
    <m/>
  </r>
  <r>
    <x v="0"/>
    <x v="7"/>
    <s v="C:\Users\andre\Desktop\REACTIV CEFAS\Testosterone\Testosterone/20201117_Cefas_Test6-Run2/Plate 1/@1/H10_02- exclu.tif"/>
    <m/>
    <m/>
    <x v="1"/>
    <m/>
    <m/>
    <m/>
    <m/>
  </r>
  <r>
    <x v="0"/>
    <x v="7"/>
    <s v="C:\Users\andre\Desktop\REACTIV CEFAS\Testosterone\Testosterone/20201117_Cefas_Test6-Run2/Plate 1/@1/H10_03- exclu.tif"/>
    <m/>
    <m/>
    <x v="1"/>
    <m/>
    <m/>
    <m/>
    <m/>
  </r>
  <r>
    <x v="1"/>
    <x v="8"/>
    <s v=" "/>
    <m/>
    <m/>
    <x v="1"/>
    <m/>
    <m/>
    <m/>
    <m/>
  </r>
  <r>
    <x v="1"/>
    <x v="8"/>
    <s v="group "/>
    <s v=" "/>
    <s v=" mean of mean fluo "/>
    <x v="2"/>
    <s v=" mean of total fluo "/>
    <s v=" SD total fluo "/>
    <s v=" n fluorescent "/>
    <s v=" n total"/>
  </r>
  <r>
    <x v="0"/>
    <x v="9"/>
    <s v="C:\Users\andre\Desktop\REACTIV CEFAS\Testosterone\Testosterone/20201117_Cefas_Test6-Run2/Plate 1/@1/ "/>
    <s v=" "/>
    <s v=" 26.6335 "/>
    <x v="3"/>
    <s v=" 96127.75 "/>
    <s v=" 118071.906 "/>
    <n v="18"/>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C:\Users\andre\Desktop\REACTIV CEFAS\Testosterone\Testosterone/20201117_Cefas_Test6-Run2/Plate 1/@13/A8_01.tif "/>
    <s v=" 28162.1228 "/>
    <s v=" 35.7427 "/>
    <x v="0"/>
    <n v="1006590"/>
    <m/>
    <m/>
    <m/>
  </r>
  <r>
    <x v="2"/>
    <x v="0"/>
    <s v="C:\Users\andre\Desktop\REACTIV CEFAS\Testosterone\Testosterone/20201117_Cefas_Test6-Run2/Plate 1/@13/A8_02.tif "/>
    <s v=" 31947.3544 "/>
    <s v=" 35.4028 "/>
    <x v="0"/>
    <n v="1131027"/>
    <m/>
    <m/>
    <m/>
  </r>
  <r>
    <x v="2"/>
    <x v="0"/>
    <s v="C:\Users\andre\Desktop\REACTIV CEFAS\Testosterone\Testosterone/20201117_Cefas_Test6-Run2/Plate 1/@13/A8_03.tif "/>
    <s v=" 31752.6853 "/>
    <s v=" 35.6199 "/>
    <x v="0"/>
    <n v="1131027"/>
    <m/>
    <m/>
    <m/>
  </r>
  <r>
    <x v="2"/>
    <x v="1"/>
    <s v="C:\Users\andre\Desktop\REACTIV CEFAS\Testosterone\Testosterone/20201117_Cefas_Test6-Run2/Plate 1/@13/B8_01.tif "/>
    <s v=" 62056.1677 "/>
    <s v=" 40.4333 "/>
    <x v="0"/>
    <n v="2509133"/>
    <m/>
    <m/>
    <m/>
  </r>
  <r>
    <x v="2"/>
    <x v="1"/>
    <s v="C:\Users\andre\Desktop\REACTIV CEFAS\Testosterone\Testosterone/20201117_Cefas_Test6-Run2/Plate 1/@13/B8_02.tif "/>
    <s v=" 71551.6914 "/>
    <s v=" 41.7288 "/>
    <x v="0"/>
    <n v="2985769"/>
    <m/>
    <m/>
    <m/>
  </r>
  <r>
    <x v="2"/>
    <x v="1"/>
    <s v="C:\Users\andre\Desktop\REACTIV CEFAS\Testosterone\Testosterone/20201117_Cefas_Test6-Run2/Plate 1/@13/B8_03.tif "/>
    <s v=" 62640.1748 "/>
    <s v=" 41.0915 "/>
    <x v="0"/>
    <n v="2573979"/>
    <m/>
    <m/>
    <m/>
  </r>
  <r>
    <x v="2"/>
    <x v="2"/>
    <s v="C:\Users\andre\Desktop\REACTIV CEFAS\Testosterone\Testosterone/20201117_Cefas_Test6-Run2/Plate 1/@13/C8_01.tif "/>
    <s v=" 16135.9014 "/>
    <s v=" 34.5965 "/>
    <x v="0"/>
    <n v="558246"/>
    <m/>
    <m/>
    <m/>
  </r>
  <r>
    <x v="2"/>
    <x v="2"/>
    <s v="C:\Users\andre\Desktop\REACTIV CEFAS\Testosterone\Testosterone/20201117_Cefas_Test6-Run2/Plate 1/@13/C8_02.tif "/>
    <s v=" 6986.456 "/>
    <s v=" 32.0836 "/>
    <x v="0"/>
    <n v="224151"/>
    <m/>
    <m/>
    <m/>
  </r>
  <r>
    <x v="2"/>
    <x v="2"/>
    <s v="C:\Users\andre\Desktop\REACTIV CEFAS\Testosterone\Testosterone/20201117_Cefas_Test6-Run2/Plate 1/@13/C8_03.tif "/>
    <s v=" 12610.2286 "/>
    <s v=" 33.8988 "/>
    <x v="0"/>
    <n v="427472"/>
    <m/>
    <m/>
    <m/>
  </r>
  <r>
    <x v="2"/>
    <x v="3"/>
    <s v="C:\Users\andre\Desktop\REACTIV CEFAS\Testosterone\Testosterone/20201117_Cefas_Test6-Run2/Plate 1/@13/D8_01.tif "/>
    <s v=" 30281.8525 "/>
    <s v=" 35.1586 "/>
    <x v="0"/>
    <n v="1064667"/>
    <m/>
    <m/>
    <m/>
  </r>
  <r>
    <x v="2"/>
    <x v="3"/>
    <s v="C:\Users\andre\Desktop\REACTIV CEFAS\Testosterone\Testosterone/20201117_Cefas_Test6-Run2/Plate 1/@13/D8_02.tif "/>
    <s v=" 38717.5114 "/>
    <s v=" 35.8877 "/>
    <x v="0"/>
    <n v="1389483"/>
    <m/>
    <m/>
    <m/>
  </r>
  <r>
    <x v="2"/>
    <x v="3"/>
    <s v="C:\Users\andre\Desktop\REACTIV CEFAS\Testosterone\Testosterone/20201117_Cefas_Test6-Run2/Plate 1/@13/D8_03.tif "/>
    <s v=" 29654.5855 "/>
    <s v=" 34.9555 "/>
    <x v="0"/>
    <n v="1036591"/>
    <m/>
    <m/>
    <m/>
  </r>
  <r>
    <x v="2"/>
    <x v="4"/>
    <s v="C:\Users\andre\Desktop\REACTIV CEFAS\Testosterone\Testosterone/20201117_Cefas_Test6-Run2/Plate 1/@13/E8_01.tif "/>
    <s v=" 46244.7147 "/>
    <s v=" 39.5776 "/>
    <x v="0"/>
    <n v="1830257"/>
    <m/>
    <m/>
    <m/>
  </r>
  <r>
    <x v="2"/>
    <x v="4"/>
    <s v="C:\Users\andre\Desktop\REACTIV CEFAS\Testosterone\Testosterone/20201117_Cefas_Test6-Run2/Plate 1/@13/E8_02.tif "/>
    <s v=" 63829.819 "/>
    <s v=" 43.0661 "/>
    <x v="0"/>
    <n v="2748900"/>
    <m/>
    <m/>
    <m/>
  </r>
  <r>
    <x v="2"/>
    <x v="4"/>
    <s v="C:\Users\andre\Desktop\REACTIV CEFAS\Testosterone\Testosterone/20201117_Cefas_Test6-Run2/Plate 1/@13/E8_03.tif "/>
    <s v=" 63548.6304 "/>
    <s v=" 42.0218 "/>
    <x v="0"/>
    <n v="2670427"/>
    <m/>
    <m/>
    <m/>
  </r>
  <r>
    <x v="2"/>
    <x v="5"/>
    <s v="C:\Users\andre\Desktop\REACTIV CEFAS\Testosterone\Testosterone/20201117_Cefas_Test6-Run2/Plate 1/@13/F8_01.tif "/>
    <s v=" 66187.4776 "/>
    <s v=" 44.6853 "/>
    <x v="0"/>
    <n v="2957607"/>
    <m/>
    <m/>
    <m/>
  </r>
  <r>
    <x v="2"/>
    <x v="5"/>
    <s v="C:\Users\andre\Desktop\REACTIV CEFAS\Testosterone\Testosterone/20201117_Cefas_Test6-Run2/Plate 1/@13/F8_02.tif "/>
    <s v=" 62207.577 "/>
    <s v=" 42.9503 "/>
    <x v="0"/>
    <n v="2671833"/>
    <m/>
    <m/>
    <m/>
  </r>
  <r>
    <x v="2"/>
    <x v="5"/>
    <s v="C:\Users\andre\Desktop\REACTIV CEFAS\Testosterone\Testosterone/20201117_Cefas_Test6-Run2/Plate 1/@13/F8_03.tif "/>
    <s v=" 60001.3277 "/>
    <s v=" 40.8983 "/>
    <x v="0"/>
    <n v="2453955"/>
    <m/>
    <m/>
    <m/>
  </r>
  <r>
    <x v="2"/>
    <x v="6"/>
    <s v="C:\Users\andre\Desktop\REACTIV CEFAS\Testosterone\Testosterone/20201117_Cefas_Test6-Run2/Plate 1/@13/G8_01.tif "/>
    <s v=" 32704.4007 "/>
    <s v=" 36.6806 "/>
    <x v="0"/>
    <n v="1199616"/>
    <m/>
    <m/>
    <m/>
  </r>
  <r>
    <x v="2"/>
    <x v="6"/>
    <s v="C:\Users\andre\Desktop\REACTIV CEFAS\Testosterone\Testosterone/20201117_Cefas_Test6-Run2/Plate 1/@13/G8_02.tif "/>
    <s v=" 40815.6112 "/>
    <s v=" 36.9565 "/>
    <x v="0"/>
    <n v="1508404"/>
    <m/>
    <m/>
    <m/>
  </r>
  <r>
    <x v="2"/>
    <x v="6"/>
    <s v="C:\Users\andre\Desktop\REACTIV CEFAS\Testosterone\Testosterone/20201117_Cefas_Test6-Run2/Plate 1/@13/G8_03.tif "/>
    <s v=" 27578.1157 "/>
    <s v=" 36.28 "/>
    <x v="0"/>
    <n v="1000534"/>
    <m/>
    <m/>
    <m/>
  </r>
  <r>
    <x v="2"/>
    <x v="7"/>
    <s v="C:\Users\andre\Desktop\REACTIV CEFAS\Testosterone\Testosterone/20201117_Cefas_Test6-Run2/Plate 1/@13/H8_01.tif "/>
    <s v=" 4780.2067 "/>
    <s v=" 31.4027 "/>
    <x v="0"/>
    <n v="150111"/>
    <m/>
    <m/>
    <m/>
  </r>
  <r>
    <x v="2"/>
    <x v="7"/>
    <s v="C:\Users\andre\Desktop\REACTIV CEFAS\Testosterone\Testosterone/20201117_Cefas_Test6-Run2/Plate 1/@13/H8_02.tif "/>
    <s v=" 7851.6518 "/>
    <s v=" 32.1763 "/>
    <x v="0"/>
    <n v="252637"/>
    <m/>
    <m/>
    <m/>
  </r>
  <r>
    <x v="2"/>
    <x v="7"/>
    <s v="C:\Users\andre\Desktop\REACTIV CEFAS\Testosterone\Testosterone/20201117_Cefas_Test6-Run2/Plate 1/@13/H8_03.tif "/>
    <s v=" 4607.1676 "/>
    <s v=" 32.3897 "/>
    <x v="0"/>
    <n v="149225"/>
    <m/>
    <m/>
    <m/>
  </r>
  <r>
    <x v="1"/>
    <x v="8"/>
    <s v=" "/>
    <m/>
    <m/>
    <x v="1"/>
    <m/>
    <m/>
    <m/>
    <m/>
  </r>
  <r>
    <x v="1"/>
    <x v="8"/>
    <s v="group "/>
    <s v=" "/>
    <s v=" mean of mean fluo "/>
    <x v="2"/>
    <s v=" mean of total fluo "/>
    <s v=" SD total fluo "/>
    <s v=" n fluorescent "/>
    <s v=" n total"/>
  </r>
  <r>
    <x v="2"/>
    <x v="9"/>
    <s v="C:\Users\andre\Desktop\REACTIV CEFAS\Testosterone\Testosterone/20201117_Cefas_Test6-Run2/Plate 1/@13/ "/>
    <s v=" "/>
    <s v=" 37.3202 "/>
    <x v="4"/>
    <s v=" 1484651.71 "/>
    <s v=" 977127.38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C:\Users\andre\Desktop\REACTIV CEFAS\Testosterone\Testosterone/20201117_Cefas_Test6-Run2/Plate 1/@14/A9_01- exclu.tif"/>
    <m/>
    <m/>
    <x v="1"/>
    <m/>
    <m/>
    <m/>
    <m/>
  </r>
  <r>
    <x v="3"/>
    <x v="0"/>
    <s v="C:\Users\andre\Desktop\REACTIV CEFAS\Testosterone\Testosterone/20201117_Cefas_Test6-Run2/Plate 1/@14/A9_02- exclu.tif"/>
    <m/>
    <m/>
    <x v="1"/>
    <m/>
    <m/>
    <m/>
    <m/>
  </r>
  <r>
    <x v="3"/>
    <x v="0"/>
    <s v="C:\Users\andre\Desktop\REACTIV CEFAS\Testosterone\Testosterone/20201117_Cefas_Test6-Run2/Plate 1/@14/A9_03- exclu.tif"/>
    <m/>
    <m/>
    <x v="1"/>
    <m/>
    <m/>
    <m/>
    <m/>
  </r>
  <r>
    <x v="3"/>
    <x v="1"/>
    <s v="C:\Users\andre\Desktop\REACTIV CEFAS\Testosterone\Testosterone/20201117_Cefas_Test6-Run2/Plate 1/@14/B9_01.tif "/>
    <s v=" 65473.691 "/>
    <s v=" 41.8427 "/>
    <x v="0"/>
    <n v="2739599"/>
    <m/>
    <m/>
    <m/>
  </r>
  <r>
    <x v="3"/>
    <x v="1"/>
    <s v="C:\Users\andre\Desktop\REACTIV CEFAS\Testosterone\Testosterone/20201117_Cefas_Test6-Run2/Plate 1/@14/B9_02.tif "/>
    <s v=" 65279.022 "/>
    <s v=" 41.9433 "/>
    <x v="0"/>
    <n v="2738020"/>
    <m/>
    <m/>
    <m/>
  </r>
  <r>
    <x v="3"/>
    <x v="1"/>
    <s v="C:\Users\andre\Desktop\REACTIV CEFAS\Testosterone\Testosterone/20201117_Cefas_Test6-Run2/Plate 1/@14/B9_03.tif "/>
    <s v=" 69799.67 "/>
    <s v=" 42.5931 "/>
    <x v="0"/>
    <n v="2972986"/>
    <m/>
    <m/>
    <m/>
  </r>
  <r>
    <x v="3"/>
    <x v="2"/>
    <s v="C:\Users\andre\Desktop\REACTIV CEFAS\Testosterone\Testosterone/20201117_Cefas_Test6-Run2/Plate 1/@14/C9_01.tif "/>
    <s v=" 44687.3623 "/>
    <s v=" 37.4593 "/>
    <x v="0"/>
    <n v="1673959"/>
    <m/>
    <m/>
    <m/>
  </r>
  <r>
    <x v="3"/>
    <x v="2"/>
    <s v="C:\Users\andre\Desktop\REACTIV CEFAS\Testosterone\Testosterone/20201117_Cefas_Test6-Run2/Plate 1/@14/C9_02.tif "/>
    <s v=" 40253.2339 "/>
    <s v=" 36.3853 "/>
    <x v="0"/>
    <n v="1464625"/>
    <m/>
    <m/>
    <m/>
  </r>
  <r>
    <x v="3"/>
    <x v="2"/>
    <s v="C:\Users\andre\Desktop\REACTIV CEFAS\Testosterone\Testosterone/20201117_Cefas_Test6-Run2/Plate 1/@14/C9_03.tif "/>
    <s v=" 49965.0566 "/>
    <s v=" 38.1784 "/>
    <x v="0"/>
    <n v="1907584"/>
    <m/>
    <m/>
    <m/>
  </r>
  <r>
    <x v="3"/>
    <x v="3"/>
    <s v="C:\Users\andre\Desktop\REACTIV CEFAS\Testosterone\Testosterone/20201117_Cefas_Test6-Run2/Plate 1/@14/D9_01.tif "/>
    <s v=" 65884.659 "/>
    <s v=" 48.4875 "/>
    <x v="0"/>
    <n v="3194584"/>
    <m/>
    <m/>
    <m/>
  </r>
  <r>
    <x v="3"/>
    <x v="3"/>
    <s v="C:\Users\andre\Desktop\REACTIV CEFAS\Testosterone\Testosterone/20201117_Cefas_Test6-Run2/Plate 1/@14/D9_02.tif "/>
    <s v=" 74190.5386 "/>
    <s v=" 44.9469 "/>
    <x v="0"/>
    <n v="3334638"/>
    <m/>
    <m/>
    <m/>
  </r>
  <r>
    <x v="3"/>
    <x v="3"/>
    <s v="C:\Users\andre\Desktop\REACTIV CEFAS\Testosterone\Testosterone/20201117_Cefas_Test6-Run2/Plate 1/@14/D9_03.tif "/>
    <s v=" 70080.8586 "/>
    <s v=" 49.0164 "/>
    <x v="0"/>
    <n v="3435108"/>
    <m/>
    <m/>
    <m/>
  </r>
  <r>
    <x v="3"/>
    <x v="4"/>
    <s v="C:\Users\andre\Desktop\REACTIV CEFAS\Testosterone\Testosterone/20201117_Cefas_Test6-Run2/Plate 1/@14/E9_01.tif "/>
    <s v=" 2271.1389 "/>
    <s v=" 31.8952 "/>
    <x v="0"/>
    <n v="72439"/>
    <m/>
    <m/>
    <m/>
  </r>
  <r>
    <x v="3"/>
    <x v="4"/>
    <s v="C:\Users\andre\Desktop\REACTIV CEFAS\Testosterone\Testosterone/20201117_Cefas_Test6-Run2/Plate 1/@14/E9_02.tif "/>
    <s v=" 6164.52 "/>
    <s v=" 33.786 "/>
    <x v="0"/>
    <n v="208274"/>
    <m/>
    <m/>
    <m/>
  </r>
  <r>
    <x v="3"/>
    <x v="4"/>
    <s v="C:\Users\andre\Desktop\REACTIV CEFAS\Testosterone\Testosterone/20201117_Cefas_Test6-Run2/Plate 1/@14/E9_03.tif "/>
    <s v=" 605.637 "/>
    <s v=" 32.3214 "/>
    <x v="0"/>
    <n v="19575"/>
    <m/>
    <m/>
    <m/>
  </r>
  <r>
    <x v="3"/>
    <x v="5"/>
    <s v="C:\Users\andre\Desktop\REACTIV CEFAS\Testosterone\Testosterone/20201117_Cefas_Test6-Run2/Plate 1/@14/F9_01.tif "/>
    <s v=" 30433.2617 "/>
    <s v=" 34.9666 "/>
    <x v="0"/>
    <n v="1064148"/>
    <m/>
    <m/>
    <m/>
  </r>
  <r>
    <x v="3"/>
    <x v="5"/>
    <s v="C:\Users\andre\Desktop\REACTIV CEFAS\Testosterone\Testosterone/20201117_Cefas_Test6-Run2/Plate 1/@14/F9_02.tif "/>
    <s v=" 23814.514 "/>
    <s v=" 35.3497 "/>
    <x v="0"/>
    <n v="841835"/>
    <m/>
    <m/>
    <m/>
  </r>
  <r>
    <x v="3"/>
    <x v="5"/>
    <s v="C:\Users\andre\Desktop\REACTIV CEFAS\Testosterone\Testosterone/20201117_Cefas_Test6-Run2/Plate 1/@14/F9_03.tif "/>
    <s v=" 23317.0264 "/>
    <s v=" 32.8275 "/>
    <x v="0"/>
    <n v="765439"/>
    <m/>
    <m/>
    <m/>
  </r>
  <r>
    <x v="3"/>
    <x v="6"/>
    <s v="C:\Users\andre\Desktop\REACTIV CEFAS\Testosterone\Testosterone/20201117_Cefas_Test6-Run2/Plate 1/@14/G9_01.tif "/>
    <s v=" 8651.9579 "/>
    <s v=" 33.79 "/>
    <x v="0"/>
    <n v="292350"/>
    <m/>
    <m/>
    <m/>
  </r>
  <r>
    <x v="3"/>
    <x v="6"/>
    <s v="C:\Users\andre\Desktop\REACTIV CEFAS\Testosterone\Testosterone/20201117_Cefas_Test6-Run2/Plate 1/@14/G9_02.tif "/>
    <s v=" 5212.8046 "/>
    <s v=" 32.5726 "/>
    <x v="0"/>
    <n v="169795"/>
    <m/>
    <m/>
    <m/>
  </r>
  <r>
    <x v="3"/>
    <x v="6"/>
    <s v="C:\Users\andre\Desktop\REACTIV CEFAS\Testosterone\Testosterone/20201117_Cefas_Test6-Run2/Plate 1/@14/G9_03.tif "/>
    <s v=" 8673.5877 "/>
    <s v=" 33.9701 "/>
    <x v="0"/>
    <n v="294642"/>
    <m/>
    <m/>
    <m/>
  </r>
  <r>
    <x v="3"/>
    <x v="7"/>
    <s v="C:\Users\andre\Desktop\REACTIV CEFAS\Testosterone\Testosterone/20201117_Cefas_Test6-Run2/Plate 1/@14/H9_01.tif "/>
    <s v=" 20656.5494 "/>
    <s v=" 34.7864 "/>
    <x v="0"/>
    <n v="718567"/>
    <m/>
    <m/>
    <m/>
  </r>
  <r>
    <x v="3"/>
    <x v="7"/>
    <s v="C:\Users\andre\Desktop\REACTIV CEFAS\Testosterone\Testosterone/20201117_Cefas_Test6-Run2/Plate 1/@14/H9_02.tif "/>
    <s v=" 24701.3397 "/>
    <s v=" 35.4475 "/>
    <x v="0"/>
    <n v="875600"/>
    <m/>
    <m/>
    <m/>
  </r>
  <r>
    <x v="3"/>
    <x v="7"/>
    <s v="C:\Users\andre\Desktop\REACTIV CEFAS\Testosterone\Testosterone/20201117_Cefas_Test6-Run2/Plate 1/@14/H9_03.tif "/>
    <s v=" 30022.2937 "/>
    <s v=" 36.286 "/>
    <x v="0"/>
    <n v="1089390"/>
    <m/>
    <m/>
    <m/>
  </r>
  <r>
    <x v="1"/>
    <x v="8"/>
    <s v=" "/>
    <m/>
    <m/>
    <x v="1"/>
    <m/>
    <m/>
    <m/>
    <m/>
  </r>
  <r>
    <x v="1"/>
    <x v="8"/>
    <s v="group "/>
    <s v=" "/>
    <s v=" mean of mean fluo "/>
    <x v="2"/>
    <s v=" mean of total fluo "/>
    <s v=" SD total fluo "/>
    <s v=" n fluorescent "/>
    <s v=" n total"/>
  </r>
  <r>
    <x v="3"/>
    <x v="9"/>
    <s v="C:\Users\andre\Desktop\REACTIV CEFAS\Testosterone\Testosterone/20201117_Cefas_Test6-Run2/Plate 1/@14/ "/>
    <s v=" "/>
    <s v=" 38.0158 "/>
    <x v="5"/>
    <s v=" 1502746.92 "/>
    <s v=" 1134745.1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C:\Users\andre\Desktop\REACTIV CEFAS\Testosterone\Testosterone/20201117_Cefas_Test6-Run2/Plate 1/@15/A11_01.tif "/>
    <s v=" 94111.6715 "/>
    <s v=" 50.7378 "/>
    <x v="0"/>
    <n v="4775016"/>
    <m/>
    <m/>
    <m/>
  </r>
  <r>
    <x v="4"/>
    <x v="0"/>
    <s v="C:\Users\andre\Desktop\REACTIV CEFAS\Testosterone\Testosterone/20201117_Cefas_Test6-Run2/Plate 1/@15/A11_02.tif "/>
    <s v=" 88985.3865 "/>
    <s v=" 45.1728 "/>
    <x v="0"/>
    <n v="4019721"/>
    <m/>
    <m/>
    <m/>
  </r>
  <r>
    <x v="4"/>
    <x v="0"/>
    <s v="C:\Users\andre\Desktop\REACTIV CEFAS\Testosterone\Testosterone/20201117_Cefas_Test6-Run2/Plate 1/@15/A11_03.tif "/>
    <s v=" 78776.0762 "/>
    <s v=" 52.0695 "/>
    <x v="0"/>
    <n v="4101828"/>
    <m/>
    <m/>
    <m/>
  </r>
  <r>
    <x v="4"/>
    <x v="1"/>
    <s v="C:\Users\andre\Desktop\REACTIV CEFAS\Testosterone\Testosterone/20201117_Cefas_Test6-Run2/Plate 1/@15/B11_01.tif "/>
    <s v=" 54053.1067 "/>
    <s v=" 44.0656 "/>
    <x v="0"/>
    <n v="2381884"/>
    <m/>
    <m/>
    <m/>
  </r>
  <r>
    <x v="4"/>
    <x v="1"/>
    <s v="C:\Users\andre\Desktop\REACTIV CEFAS\Testosterone\Testosterone/20201117_Cefas_Test6-Run2/Plate 1/@15/B11_02.tif "/>
    <s v=" 52344.345 "/>
    <s v=" 45.3826 "/>
    <x v="0"/>
    <n v="2375525"/>
    <m/>
    <m/>
    <m/>
  </r>
  <r>
    <x v="4"/>
    <x v="1"/>
    <s v="C:\Users\andre\Desktop\REACTIV CEFAS\Testosterone\Testosterone/20201117_Cefas_Test6-Run2/Plate 1/@15/B11_03.tif "/>
    <s v=" 53166.281 "/>
    <s v=" 46.6851 "/>
    <x v="0"/>
    <n v="2482074"/>
    <m/>
    <m/>
    <m/>
  </r>
  <r>
    <x v="4"/>
    <x v="2"/>
    <s v="C:\Users\andre\Desktop\REACTIV CEFAS\Testosterone\Testosterone/20201117_Cefas_Test6-Run2/Plate 1/@15/C11_01.tif "/>
    <s v=" 40296.4937 "/>
    <s v=" 40.2979 "/>
    <x v="0"/>
    <n v="1623864"/>
    <m/>
    <m/>
    <m/>
  </r>
  <r>
    <x v="4"/>
    <x v="2"/>
    <s v="C:\Users\andre\Desktop\REACTIV CEFAS\Testosterone\Testosterone/20201117_Cefas_Test6-Run2/Plate 1/@15/C11_02- exclu.tif"/>
    <m/>
    <m/>
    <x v="1"/>
    <m/>
    <m/>
    <m/>
    <m/>
  </r>
  <r>
    <x v="4"/>
    <x v="2"/>
    <s v="C:\Users\andre\Desktop\REACTIV CEFAS\Testosterone\Testosterone/20201117_Cefas_Test6-Run2/Plate 1/@15/C11_03- exclu.tif"/>
    <m/>
    <m/>
    <x v="1"/>
    <m/>
    <m/>
    <m/>
    <m/>
  </r>
  <r>
    <x v="4"/>
    <x v="3"/>
    <s v="C:\Users\andre\Desktop\REACTIV CEFAS\Testosterone\Testosterone/20201117_Cefas_Test6-Run2/Plate 1/@15/D11_01.tif "/>
    <s v=" 57470.63 "/>
    <s v=" 50.9364 "/>
    <x v="0"/>
    <n v="2927347"/>
    <m/>
    <m/>
    <m/>
  </r>
  <r>
    <x v="4"/>
    <x v="3"/>
    <s v="C:\Users\andre\Desktop\REACTIV CEFAS\Testosterone\Testosterone/20201117_Cefas_Test6-Run2/Plate 1/@15/D11_02.tif "/>
    <s v=" 54226.1458 "/>
    <s v=" 44.3797 "/>
    <x v="0"/>
    <n v="2406542"/>
    <m/>
    <m/>
    <m/>
  </r>
  <r>
    <x v="4"/>
    <x v="3"/>
    <s v="C:\Users\andre\Desktop\REACTIV CEFAS\Testosterone\Testosterone/20201117_Cefas_Test6-Run2/Plate 1/@15/D11_03.tif "/>
    <s v=" 62878.1037 "/>
    <s v=" 44.0791 "/>
    <x v="0"/>
    <n v="2771611"/>
    <m/>
    <m/>
    <m/>
  </r>
  <r>
    <x v="4"/>
    <x v="4"/>
    <s v="C:\Users\andre\Desktop\REACTIV CEFAS\Testosterone\Testosterone/20201117_Cefas_Test6-Run2/Plate 1/@15/E11_01.tif "/>
    <s v=" 93852.1128 "/>
    <s v=" 56.575 "/>
    <x v="0"/>
    <n v="5309685"/>
    <m/>
    <m/>
    <m/>
  </r>
  <r>
    <x v="4"/>
    <x v="4"/>
    <s v="C:\Users\andre\Desktop\REACTIV CEFAS\Testosterone\Testosterone/20201117_Cefas_Test6-Run2/Plate 1/@15/E11_02.tif "/>
    <s v=" 98848.6185 "/>
    <s v=" 53.0672 "/>
    <x v="0"/>
    <n v="5245617"/>
    <m/>
    <m/>
    <m/>
  </r>
  <r>
    <x v="4"/>
    <x v="4"/>
    <s v="C:\Users\andre\Desktop\REACTIV CEFAS\Testosterone\Testosterone/20201117_Cefas_Test6-Run2/Plate 1/@15/E11_03.tif "/>
    <s v=" 100362.711 "/>
    <s v=" 56.5625 "/>
    <x v="0"/>
    <n v="5676766"/>
    <m/>
    <m/>
    <m/>
  </r>
  <r>
    <x v="4"/>
    <x v="5"/>
    <s v="C:\Users\andre\Desktop\REACTIV CEFAS\Testosterone\Testosterone/20201117_Cefas_Test6-Run2/Plate 1/@15/F11_01.tif "/>
    <s v=" 79727.7916 "/>
    <s v=" 53.1039 "/>
    <x v="0"/>
    <n v="4233857"/>
    <m/>
    <m/>
    <m/>
  </r>
  <r>
    <x v="4"/>
    <x v="5"/>
    <s v="C:\Users\andre\Desktop\REACTIV CEFAS\Testosterone\Testosterone/20201117_Cefas_Test6-Run2/Plate 1/@15/F11_02.tif "/>
    <s v=" 81047.2152 "/>
    <s v=" 55.6864 "/>
    <x v="0"/>
    <n v="4513229"/>
    <m/>
    <m/>
    <m/>
  </r>
  <r>
    <x v="4"/>
    <x v="5"/>
    <s v="C:\Users\andre\Desktop\REACTIV CEFAS\Testosterone\Testosterone/20201117_Cefas_Test6-Run2/Plate 1/@15/F11_03.tif "/>
    <s v=" 84443.1086 "/>
    <s v=" 48.3135 "/>
    <x v="0"/>
    <n v="4079744"/>
    <m/>
    <m/>
    <m/>
  </r>
  <r>
    <x v="4"/>
    <x v="6"/>
    <s v="C:\Users\andre\Desktop\REACTIV CEFAS\Testosterone\Testosterone/20201117_Cefas_Test6-Run2/Plate 1/@15/G11_01.tif "/>
    <s v=" 82042.1903 "/>
    <s v=" 41.1819 "/>
    <x v="0"/>
    <n v="3378654"/>
    <m/>
    <m/>
    <m/>
  </r>
  <r>
    <x v="4"/>
    <x v="6"/>
    <s v="C:\Users\andre\Desktop\REACTIV CEFAS\Testosterone\Testosterone/20201117_Cefas_Test6-Run2/Plate 1/@15/G11_02.tif "/>
    <s v=" 82799.2366 "/>
    <s v=" 43.7244 "/>
    <x v="0"/>
    <n v="3620347"/>
    <m/>
    <m/>
    <m/>
  </r>
  <r>
    <x v="4"/>
    <x v="6"/>
    <s v="C:\Users\andre\Desktop\REACTIV CEFAS\Testosterone\Testosterone/20201117_Cefas_Test6-Run2/Plate 1/@15/G11_03.tif "/>
    <s v=" 66338.8868 "/>
    <s v=" 43.0619 "/>
    <x v="0"/>
    <n v="2856682"/>
    <m/>
    <m/>
    <m/>
  </r>
  <r>
    <x v="4"/>
    <x v="7"/>
    <s v="C:\Users\andre\Desktop\REACTIV CEFAS\Testosterone\Testosterone/20201117_Cefas_Test6-Run2/Plate 1/@15/H11_01.tif "/>
    <s v=" 75034.1045 "/>
    <s v=" 49.8818 "/>
    <x v="0"/>
    <n v="3742837"/>
    <m/>
    <m/>
    <m/>
  </r>
  <r>
    <x v="4"/>
    <x v="7"/>
    <s v="C:\Users\andre\Desktop\REACTIV CEFAS\Testosterone\Testosterone/20201117_Cefas_Test6-Run2/Plate 1/@15/H11_02.tif "/>
    <s v=" 82388.2686 "/>
    <s v=" 49.4214 "/>
    <x v="0"/>
    <n v="4071741"/>
    <m/>
    <m/>
    <m/>
  </r>
  <r>
    <x v="4"/>
    <x v="7"/>
    <s v="C:\Users\andre\Desktop\REACTIV CEFAS\Testosterone\Testosterone/20201117_Cefas_Test6-Run2/Plate 1/@15/H11_03.tif "/>
    <s v=" 72611.5563 "/>
    <s v=" 48.3324 "/>
    <x v="0"/>
    <n v="3509494"/>
    <m/>
    <m/>
    <m/>
  </r>
  <r>
    <x v="1"/>
    <x v="8"/>
    <s v=" "/>
    <m/>
    <m/>
    <x v="1"/>
    <m/>
    <m/>
    <m/>
    <m/>
  </r>
  <r>
    <x v="1"/>
    <x v="8"/>
    <s v="group "/>
    <s v=" "/>
    <s v=" mean of mean fluo "/>
    <x v="2"/>
    <s v=" mean of total fluo "/>
    <s v=" SD total fluo "/>
    <s v=" n fluorescent "/>
    <s v=" n total"/>
  </r>
  <r>
    <x v="4"/>
    <x v="9"/>
    <s v="C:\Users\andre\Desktop\REACTIV CEFAS\Testosterone\Testosterone/20201117_Cefas_Test6-Run2/Plate 1/@15/ "/>
    <s v=" "/>
    <s v=" 47.5661 "/>
    <x v="6"/>
    <s v=" 3492183.46 "/>
    <s v=" 1155670.2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C:\Users\andre\Desktop\REACTIV CEFAS\Testosterone\Testosterone/20201117_Cefas_Test6-Run2/Plate 1/@16/A12_01.tif "/>
    <s v=" 129.7794 "/>
    <s v=" 31.6667 "/>
    <x v="0"/>
    <n v="4110"/>
    <m/>
    <m/>
    <m/>
  </r>
  <r>
    <x v="5"/>
    <x v="0"/>
    <s v="C:\Users\andre\Desktop\REACTIV CEFAS\Testosterone\Testosterone/20201117_Cefas_Test6-Run2/Plate 1/@16/A12_02.tif "/>
    <s v=" 8954.7764 "/>
    <s v=" 38.5652 "/>
    <x v="0"/>
    <n v="345343"/>
    <m/>
    <m/>
    <m/>
  </r>
  <r>
    <x v="5"/>
    <x v="0"/>
    <s v="C:\Users\andre\Desktop\REACTIV CEFAS\Testosterone\Testosterone/20201117_Cefas_Test6-Run2/Plate 1/@16/A12_03.tif "/>
    <s v=" 7310.9044 "/>
    <s v=" 35.8609 "/>
    <x v="0"/>
    <n v="262176"/>
    <m/>
    <m/>
    <m/>
  </r>
  <r>
    <x v="5"/>
    <x v="1"/>
    <s v="C:\Users\andre\Desktop\REACTIV CEFAS\Testosterone\Testosterone/20201117_Cefas_Test6-Run2/Plate 1/@16/B12_01.tif "/>
    <s v=" 1881.8008 "/>
    <s v=" 36.1839 "/>
    <x v="0"/>
    <n v="68091"/>
    <m/>
    <m/>
    <m/>
  </r>
  <r>
    <x v="5"/>
    <x v="1"/>
    <s v="C:\Users\andre\Desktop\REACTIV CEFAS\Testosterone\Testosterone/20201117_Cefas_Test6-Run2/Plate 1/@16/B12_02.tif "/>
    <s v=" 5731.9221 "/>
    <s v=" 42.9057 "/>
    <x v="0"/>
    <n v="245932"/>
    <m/>
    <m/>
    <m/>
  </r>
  <r>
    <x v="5"/>
    <x v="1"/>
    <s v="C:\Users\andre\Desktop\REACTIV CEFAS\Testosterone\Testosterone/20201117_Cefas_Test6-Run2/Plate 1/@16/B12_03.tif "/>
    <s v=" 8889.8867 "/>
    <s v=" 46.292 "/>
    <x v="0"/>
    <n v="411530"/>
    <m/>
    <m/>
    <m/>
  </r>
  <r>
    <x v="5"/>
    <x v="2"/>
    <s v="C:\Users\andre\Desktop\REACTIV CEFAS\Testosterone\Testosterone/20201117_Cefas_Test6-Run2/Plate 1/@16/C12_01.tif "/>
    <s v=" 1427.573 "/>
    <s v=" 33.0758 "/>
    <x v="0"/>
    <n v="47218"/>
    <m/>
    <m/>
    <m/>
  </r>
  <r>
    <x v="5"/>
    <x v="2"/>
    <s v="C:\Users\andre\Desktop\REACTIV CEFAS\Testosterone\Testosterone/20201117_Cefas_Test6-Run2/Plate 1/@16/C12_02.tif "/>
    <s v=" 9214.3351 "/>
    <s v=" 39.6596 "/>
    <x v="0"/>
    <n v="365437"/>
    <m/>
    <m/>
    <m/>
  </r>
  <r>
    <x v="5"/>
    <x v="2"/>
    <s v="C:\Users\andre\Desktop\REACTIV CEFAS\Testosterone\Testosterone/20201117_Cefas_Test6-Run2/Plate 1/@16/C12_03.tif "/>
    <s v=" 6445.7086 "/>
    <s v=" 38.0839 "/>
    <x v="0"/>
    <n v="245478"/>
    <m/>
    <m/>
    <m/>
  </r>
  <r>
    <x v="5"/>
    <x v="3"/>
    <s v="C:\Users\andre\Desktop\REACTIV CEFAS\Testosterone\Testosterone/20201117_Cefas_Test6-Run2/Plate 1/@16/D12_01.tif "/>
    <s v=" 367.7082 "/>
    <s v=" 31.3529 "/>
    <x v="0"/>
    <n v="11529"/>
    <m/>
    <m/>
    <m/>
  </r>
  <r>
    <x v="5"/>
    <x v="3"/>
    <s v="C:\Users\andre\Desktop\REACTIV CEFAS\Testosterone\Testosterone/20201117_Cefas_Test6-Run2/Plate 1/@16/D12_02.tif "/>
    <s v=" 259.5587 "/>
    <s v=" 31.5 "/>
    <x v="0"/>
    <n v="8176"/>
    <m/>
    <m/>
    <m/>
  </r>
  <r>
    <x v="5"/>
    <x v="3"/>
    <s v="C:\Users\andre\Desktop\REACTIV CEFAS\Testosterone\Testosterone/20201117_Cefas_Test6-Run2/Plate 1/@16/D12_03.tif "/>
    <s v=" 1773.6514 "/>
    <s v=" 33.4512 "/>
    <x v="0"/>
    <n v="59331"/>
    <m/>
    <m/>
    <m/>
  </r>
  <r>
    <x v="5"/>
    <x v="4"/>
    <s v="C:\Users\andre\Desktop\REACTIV CEFAS\Testosterone\Testosterone/20201117_Cefas_Test6-Run2/Plate 1/@16/E12_01.tif "/>
    <s v=" 21.6299 "/>
    <n v="30"/>
    <x v="0"/>
    <n v="649"/>
    <m/>
    <m/>
    <m/>
  </r>
  <r>
    <x v="5"/>
    <x v="4"/>
    <s v="C:\Users\andre\Desktop\REACTIV CEFAS\Testosterone\Testosterone/20201117_Cefas_Test6-Run2/Plate 1/@16/E12_02.tif "/>
    <n v="0"/>
    <n v="0"/>
    <x v="0"/>
    <n v="0"/>
    <m/>
    <m/>
    <m/>
  </r>
  <r>
    <x v="5"/>
    <x v="4"/>
    <s v="C:\Users\andre\Desktop\REACTIV CEFAS\Testosterone\Testosterone/20201117_Cefas_Test6-Run2/Plate 1/@16/E12_03.tif "/>
    <s v=" 3504.0429 "/>
    <s v=" 37.642 "/>
    <x v="0"/>
    <n v="131899"/>
    <m/>
    <m/>
    <m/>
  </r>
  <r>
    <x v="5"/>
    <x v="5"/>
    <s v="C:\Users\andre\Desktop\REACTIV CEFAS\Testosterone\Testosterone/20201117_Cefas_Test6-Run2/Plate 1/@16/F12_01.tif "/>
    <s v=" 10490.4989 "/>
    <s v=" 39.0536 "/>
    <x v="0"/>
    <n v="409692"/>
    <m/>
    <m/>
    <m/>
  </r>
  <r>
    <x v="5"/>
    <x v="5"/>
    <s v="C:\Users\andre\Desktop\REACTIV CEFAS\Testosterone\Testosterone/20201117_Cefas_Test6-Run2/Plate 1/@16/F12_02.tif "/>
    <s v=" 6705.2673 "/>
    <s v=" 39.1 "/>
    <x v="0"/>
    <n v="262176"/>
    <m/>
    <m/>
    <m/>
  </r>
  <r>
    <x v="5"/>
    <x v="5"/>
    <s v="C:\Users\andre\Desktop\REACTIV CEFAS\Testosterone\Testosterone/20201117_Cefas_Test6-Run2/Plate 1/@16/F12_03.tif "/>
    <s v=" 8154.4703 "/>
    <s v=" 38.1459 "/>
    <x v="0"/>
    <n v="311060"/>
    <m/>
    <m/>
    <m/>
  </r>
  <r>
    <x v="5"/>
    <x v="6"/>
    <s v="C:\Users\andre\Desktop\REACTIV CEFAS\Testosterone\Testosterone/20201117_Cefas_Test6-Run2/Plate 1/@16/G12_01.tif "/>
    <s v=" 5256.0644 "/>
    <s v=" 37.0412 "/>
    <x v="0"/>
    <n v="194691"/>
    <m/>
    <m/>
    <m/>
  </r>
  <r>
    <x v="5"/>
    <x v="6"/>
    <s v="C:\Users\andre\Desktop\REACTIV CEFAS\Testosterone\Testosterone/20201117_Cefas_Test6-Run2/Plate 1/@16/G12_02.tif "/>
    <s v=" 4390.8686 "/>
    <s v=" 35.069 "/>
    <x v="0"/>
    <n v="153983"/>
    <m/>
    <m/>
    <m/>
  </r>
  <r>
    <x v="5"/>
    <x v="6"/>
    <s v="C:\Users\andre\Desktop\REACTIV CEFAS\Testosterone\Testosterone/20201117_Cefas_Test6-Run2/Plate 1/@16/G12_03.tif "/>
    <s v=" 2033.2101 "/>
    <s v=" 33.4574 "/>
    <x v="0"/>
    <n v="68026"/>
    <m/>
    <m/>
    <m/>
  </r>
  <r>
    <x v="5"/>
    <x v="7"/>
    <s v="C:\Users\andre\Desktop\REACTIV CEFAS\Testosterone\Testosterone/20201117_Cefas_Test6-Run2/Plate 1/@16/H12_01.tif "/>
    <s v=" 6294.2993 "/>
    <s v=" 36.4536 "/>
    <x v="0"/>
    <n v="229450"/>
    <m/>
    <m/>
    <m/>
  </r>
  <r>
    <x v="5"/>
    <x v="7"/>
    <s v="C:\Users\andre\Desktop\REACTIV CEFAS\Testosterone\Testosterone/20201117_Cefas_Test6-Run2/Plate 1/@16/H12_02.tif "/>
    <s v=" 3071.445 "/>
    <s v=" 36.831 "/>
    <x v="0"/>
    <n v="113124"/>
    <m/>
    <m/>
    <m/>
  </r>
  <r>
    <x v="5"/>
    <x v="7"/>
    <s v="C:\Users\andre\Desktop\REACTIV CEFAS\Testosterone\Testosterone/20201117_Cefas_Test6-Run2/Plate 1/@16/H12_03.tif "/>
    <s v=" 4390.8686 "/>
    <s v=" 36.9754 "/>
    <x v="0"/>
    <n v="162354"/>
    <m/>
    <m/>
    <m/>
  </r>
  <r>
    <x v="1"/>
    <x v="8"/>
    <s v=" "/>
    <m/>
    <m/>
    <x v="1"/>
    <m/>
    <m/>
    <m/>
    <m/>
  </r>
  <r>
    <x v="1"/>
    <x v="8"/>
    <s v="group "/>
    <s v=" "/>
    <s v=" mean of mean fluo "/>
    <x v="2"/>
    <s v=" mean of total fluo "/>
    <s v=" SD total fluo "/>
    <s v=" n fluorescent "/>
    <s v=" n total"/>
  </r>
  <r>
    <x v="5"/>
    <x v="9"/>
    <s v="C:\Users\andre\Desktop\REACTIV CEFAS\Testosterone\Testosterone/20201117_Cefas_Test6-Run2/Plate 1/@16/ "/>
    <s v=" "/>
    <s v=" 34.932 "/>
    <x v="7"/>
    <s v=" 171310.625 "/>
    <s v=" 136205.397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C:\Users\andre\Desktop\REACTIV CEFAS\Testosterone\Testosterone/20201117_Cefas_Test6-Run2/Plate 1/@2/A2_01- exclu.tif"/>
    <m/>
    <m/>
    <x v="1"/>
    <m/>
    <m/>
    <m/>
    <m/>
  </r>
  <r>
    <x v="6"/>
    <x v="0"/>
    <s v="C:\Users\andre\Desktop\REACTIV CEFAS\Testosterone\Testosterone/20201117_Cefas_Test6-Run2/Plate 1/@2/A2_02- exclu.tif"/>
    <m/>
    <m/>
    <x v="1"/>
    <m/>
    <m/>
    <m/>
    <m/>
  </r>
  <r>
    <x v="6"/>
    <x v="0"/>
    <s v="C:\Users\andre\Desktop\REACTIV CEFAS\Testosterone\Testosterone/20201117_Cefas_Test6-Run2/Plate 1/@2/A2_03- exclu.tif"/>
    <m/>
    <m/>
    <x v="1"/>
    <m/>
    <m/>
    <m/>
    <m/>
  </r>
  <r>
    <x v="6"/>
    <x v="1"/>
    <s v="C:\Users\andre\Desktop\REACTIV CEFAS\Testosterone\Testosterone/20201117_Cefas_Test6-Run2/Plate 1/@2/B2_01.tif "/>
    <s v=" 4369.2387 "/>
    <s v=" 40.5248 "/>
    <x v="0"/>
    <n v="177062"/>
    <m/>
    <m/>
    <m/>
  </r>
  <r>
    <x v="6"/>
    <x v="1"/>
    <s v="C:\Users\andre\Desktop\REACTIV CEFAS\Testosterone\Testosterone/20201117_Cefas_Test6-Run2/Plate 1/@2/B2_02.tif "/>
    <s v=" 3460.7831 "/>
    <s v=" 34.8188 "/>
    <x v="0"/>
    <n v="120500"/>
    <m/>
    <m/>
    <m/>
  </r>
  <r>
    <x v="6"/>
    <x v="1"/>
    <s v="C:\Users\andre\Desktop\REACTIV CEFAS\Testosterone\Testosterone/20201117_Cefas_Test6-Run2/Plate 1/@2/B2_03.tif "/>
    <s v=" 3157.9646 "/>
    <s v=" 36.2877 "/>
    <x v="0"/>
    <n v="114595"/>
    <m/>
    <m/>
    <m/>
  </r>
  <r>
    <x v="6"/>
    <x v="2"/>
    <s v="C:\Users\andre\Desktop\REACTIV CEFAS\Testosterone\Testosterone/20201117_Cefas_Test6-Run2/Plate 1/@2/C2_01.tif "/>
    <s v=" 8716.8475 "/>
    <s v=" 40.3474 "/>
    <x v="0"/>
    <n v="351702"/>
    <m/>
    <m/>
    <m/>
  </r>
  <r>
    <x v="6"/>
    <x v="2"/>
    <s v="C:\Users\andre\Desktop\REACTIV CEFAS\Testosterone\Testosterone/20201117_Cefas_Test6-Run2/Plate 1/@2/C2_02.tif "/>
    <s v=" 3136.3347 "/>
    <s v=" 32.3793 "/>
    <x v="0"/>
    <n v="101552"/>
    <m/>
    <m/>
    <m/>
  </r>
  <r>
    <x v="6"/>
    <x v="2"/>
    <s v="C:\Users\andre\Desktop\REACTIV CEFAS\Testosterone\Testosterone/20201117_Cefas_Test6-Run2/Plate 1/@2/C2_03.tif "/>
    <s v=" 5104.6551 "/>
    <s v=" 36.1017 "/>
    <x v="0"/>
    <n v="184287"/>
    <m/>
    <m/>
    <m/>
  </r>
  <r>
    <x v="6"/>
    <x v="3"/>
    <s v="C:\Users\andre\Desktop\REACTIV CEFAS\Testosterone\Testosterone/20201117_Cefas_Test6-Run2/Plate 1/@2/D2_01.tif "/>
    <s v=" 7700.2425 "/>
    <s v=" 37.1292 "/>
    <x v="0"/>
    <n v="285904"/>
    <m/>
    <m/>
    <m/>
  </r>
  <r>
    <x v="6"/>
    <x v="3"/>
    <s v="C:\Users\andre\Desktop\REACTIV CEFAS\Testosterone\Testosterone/20201117_Cefas_Test6-Run2/Plate 1/@2/D2_02.tif "/>
    <s v=" 6078.0004 "/>
    <s v=" 37.2527 "/>
    <x v="0"/>
    <n v="226422"/>
    <m/>
    <m/>
    <m/>
  </r>
  <r>
    <x v="6"/>
    <x v="3"/>
    <s v="C:\Users\andre\Desktop\REACTIV CEFAS\Testosterone\Testosterone/20201117_Cefas_Test6-Run2/Plate 1/@2/D2_03.tif "/>
    <s v=" 1124.7545 "/>
    <s v=" 33.0192 "/>
    <x v="0"/>
    <n v="37139"/>
    <m/>
    <m/>
    <m/>
  </r>
  <r>
    <x v="6"/>
    <x v="4"/>
    <s v="C:\Users\andre\Desktop\REACTIV CEFAS\Testosterone\Testosterone/20201117_Cefas_Test6-Run2/Plate 1/@2/E2_01.tif "/>
    <s v=" 14470.3995 "/>
    <s v=" 41.7175 "/>
    <x v="0"/>
    <n v="603669"/>
    <m/>
    <m/>
    <m/>
  </r>
  <r>
    <x v="6"/>
    <x v="4"/>
    <s v="C:\Users\andre\Desktop\REACTIV CEFAS\Testosterone\Testosterone/20201117_Cefas_Test6-Run2/Plate 1/@2/E2_02.tif "/>
    <s v=" 216.2989 "/>
    <s v=" 33.6 "/>
    <x v="0"/>
    <n v="7268"/>
    <m/>
    <m/>
    <m/>
  </r>
  <r>
    <x v="6"/>
    <x v="4"/>
    <s v="C:\Users\andre\Desktop\REACTIV CEFAS\Testosterone\Testosterone/20201117_Cefas_Test6-Run2/Plate 1/@2/E2_03- exclu.tif"/>
    <m/>
    <m/>
    <x v="1"/>
    <m/>
    <m/>
    <m/>
    <m/>
  </r>
  <r>
    <x v="6"/>
    <x v="5"/>
    <s v="C:\Users\andre\Desktop\REACTIV CEFAS\Testosterone\Testosterone/20201117_Cefas_Test6-Run2/Plate 1/@2/F2_01.tif "/>
    <n v="0"/>
    <n v="0"/>
    <x v="0"/>
    <n v="0"/>
    <m/>
    <m/>
    <m/>
  </r>
  <r>
    <x v="6"/>
    <x v="5"/>
    <s v="C:\Users\andre\Desktop\REACTIV CEFAS\Testosterone\Testosterone/20201117_Cefas_Test6-Run2/Plate 1/@2/F2_02- exclu.tif"/>
    <m/>
    <m/>
    <x v="1"/>
    <m/>
    <m/>
    <m/>
    <m/>
  </r>
  <r>
    <x v="6"/>
    <x v="5"/>
    <s v="C:\Users\andre\Desktop\REACTIV CEFAS\Testosterone\Testosterone/20201117_Cefas_Test6-Run2/Plate 1/@2/F2_03- exclu.tif"/>
    <m/>
    <m/>
    <x v="1"/>
    <m/>
    <m/>
    <m/>
    <m/>
  </r>
  <r>
    <x v="6"/>
    <x v="6"/>
    <s v="C:\Users\andre\Desktop\REACTIV CEFAS\Testosterone\Testosterone/20201117_Cefas_Test6-Run2/Plate 1/@2/G2_01- exclu.tif"/>
    <m/>
    <m/>
    <x v="1"/>
    <m/>
    <m/>
    <m/>
    <m/>
  </r>
  <r>
    <x v="6"/>
    <x v="6"/>
    <s v="C:\Users\andre\Desktop\REACTIV CEFAS\Testosterone\Testosterone/20201117_Cefas_Test6-Run2/Plate 1/@2/G2_02.tif "/>
    <s v=" 3417.5234 "/>
    <s v=" 36.6456 "/>
    <x v="0"/>
    <n v="125237"/>
    <m/>
    <m/>
    <m/>
  </r>
  <r>
    <x v="6"/>
    <x v="6"/>
    <s v="C:\Users\andre\Desktop\REACTIV CEFAS\Testosterone\Testosterone/20201117_Cefas_Test6-Run2/Plate 1/@2/G2_03.tif "/>
    <n v="0"/>
    <n v="0"/>
    <x v="0"/>
    <n v="0"/>
    <m/>
    <m/>
    <m/>
  </r>
  <r>
    <x v="6"/>
    <x v="7"/>
    <s v="C:\Users\andre\Desktop\REACTIV CEFAS\Testosterone\Testosterone/20201117_Cefas_Test6-Run2/Plate 1/@2/H2_01.tif "/>
    <s v=" 4088.0501 "/>
    <s v=" 36.1429 "/>
    <x v="0"/>
    <n v="147754"/>
    <m/>
    <m/>
    <m/>
  </r>
  <r>
    <x v="6"/>
    <x v="7"/>
    <s v="C:\Users\andre\Desktop\REACTIV CEFAS\Testosterone\Testosterone/20201117_Cefas_Test6-Run2/Plate 1/@2/H2_02.tif "/>
    <s v=" 3871.7511 "/>
    <s v=" 37.6983 "/>
    <x v="0"/>
    <n v="145959"/>
    <m/>
    <m/>
    <m/>
  </r>
  <r>
    <x v="6"/>
    <x v="7"/>
    <s v="C:\Users\andre\Desktop\REACTIV CEFAS\Testosterone\Testosterone/20201117_Cefas_Test6-Run2/Plate 1/@2/H2_03.tif "/>
    <s v=" 3763.6017 "/>
    <s v=" 35.7471 "/>
    <x v="0"/>
    <n v="134538"/>
    <m/>
    <m/>
    <m/>
  </r>
  <r>
    <x v="1"/>
    <x v="8"/>
    <s v=" "/>
    <m/>
    <m/>
    <x v="1"/>
    <m/>
    <m/>
    <m/>
    <m/>
  </r>
  <r>
    <x v="1"/>
    <x v="8"/>
    <s v="group "/>
    <s v=" "/>
    <s v=" mean of mean fluo "/>
    <x v="2"/>
    <s v=" mean of total fluo "/>
    <s v=" SD total fluo "/>
    <s v=" n fluorescent "/>
    <s v=" n total"/>
  </r>
  <r>
    <x v="6"/>
    <x v="9"/>
    <s v="C:\Users\andre\Desktop\REACTIV CEFAS\Testosterone\Testosterone/20201117_Cefas_Test6-Run2/Plate 1/@2/ "/>
    <s v=" "/>
    <s v=" 33.5932 "/>
    <x v="8"/>
    <s v=" 219280.333 "/>
    <s v=" 257252.564 "/>
    <n v="21"/>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C:\Users\andre\Desktop\REACTIV CEFAS\Testosterone\Testosterone/20201117_Cefas_Test6-Run2/Plate 1/@3/A3_01.tif "/>
    <s v=" 6813.4168 "/>
    <s v=" 39.5619 "/>
    <x v="0"/>
    <n v="269552"/>
    <m/>
    <m/>
    <m/>
  </r>
  <r>
    <x v="7"/>
    <x v="0"/>
    <s v="C:\Users\andre\Desktop\REACTIV CEFAS\Testosterone\Testosterone/20201117_Cefas_Test6-Run2/Plate 1/@3/A3_02.tif "/>
    <s v=" 692.1566 "/>
    <s v=" 32.7812 "/>
    <x v="0"/>
    <n v="22690"/>
    <m/>
    <m/>
    <m/>
  </r>
  <r>
    <x v="7"/>
    <x v="0"/>
    <s v="C:\Users\andre\Desktop\REACTIV CEFAS\Testosterone\Testosterone/20201117_Cefas_Test6-Run2/Plate 1/@3/A3_03.tif "/>
    <s v=" 605.637 "/>
    <s v=" 32.3214 "/>
    <x v="0"/>
    <n v="19575"/>
    <m/>
    <m/>
    <m/>
  </r>
  <r>
    <x v="7"/>
    <x v="1"/>
    <s v="C:\Users\andre\Desktop\REACTIV CEFAS\Testosterone\Testosterone/20201117_Cefas_Test6-Run2/Plate 1/@3/B3_01.tif "/>
    <s v=" 1038.2349 "/>
    <s v=" 34.4167 "/>
    <x v="0"/>
    <n v="35733"/>
    <m/>
    <m/>
    <m/>
  </r>
  <r>
    <x v="7"/>
    <x v="1"/>
    <s v="C:\Users\andre\Desktop\REACTIV CEFAS\Testosterone\Testosterone/20201117_Cefas_Test6-Run2/Plate 1/@3/B3_02.tif "/>
    <s v=" 605.637 "/>
    <s v=" 33.25 "/>
    <x v="0"/>
    <n v="20137"/>
    <m/>
    <m/>
    <m/>
  </r>
  <r>
    <x v="7"/>
    <x v="1"/>
    <s v="C:\Users\andre\Desktop\REACTIV CEFAS\Testosterone\Testosterone/20201117_Cefas_Test6-Run2/Plate 1/@3/B3_03- exclu.tif"/>
    <m/>
    <m/>
    <x v="1"/>
    <m/>
    <m/>
    <m/>
    <m/>
  </r>
  <r>
    <x v="7"/>
    <x v="2"/>
    <s v="C:\Users\andre\Desktop\REACTIV CEFAS\Testosterone\Testosterone/20201117_Cefas_Test6-Run2/Plate 1/@3/C3_01.tif "/>
    <s v=" 6121.2602 "/>
    <s v=" 38.0813 "/>
    <x v="0"/>
    <n v="233105"/>
    <m/>
    <m/>
    <m/>
  </r>
  <r>
    <x v="7"/>
    <x v="2"/>
    <s v="C:\Users\andre\Desktop\REACTIV CEFAS\Testosterone\Testosterone/20201117_Cefas_Test6-Run2/Plate 1/@3/C3_02- exclu.tif"/>
    <m/>
    <m/>
    <x v="1"/>
    <m/>
    <m/>
    <m/>
    <m/>
  </r>
  <r>
    <x v="7"/>
    <x v="2"/>
    <s v="C:\Users\andre\Desktop\REACTIV CEFAS\Testosterone\Testosterone/20201117_Cefas_Test6-Run2/Plate 1/@3/C3_03- exclu.tif"/>
    <m/>
    <m/>
    <x v="1"/>
    <m/>
    <m/>
    <m/>
    <m/>
  </r>
  <r>
    <x v="7"/>
    <x v="3"/>
    <s v="C:\Users\andre\Desktop\REACTIV CEFAS\Testosterone\Testosterone/20201117_Cefas_Test6-Run2/Plate 1/@3/D3_01.tif "/>
    <s v=" 584.0072 "/>
    <s v=" 31.2222 "/>
    <x v="0"/>
    <n v="18234"/>
    <m/>
    <m/>
    <m/>
  </r>
  <r>
    <x v="7"/>
    <x v="3"/>
    <s v="C:\Users\andre\Desktop\REACTIV CEFAS\Testosterone\Testosterone/20201117_Cefas_Test6-Run2/Plate 1/@3/D3_02.tif "/>
    <s v=" 1773.6514 "/>
    <n v="32"/>
    <x v="0"/>
    <n v="56757"/>
    <m/>
    <m/>
    <m/>
  </r>
  <r>
    <x v="7"/>
    <x v="3"/>
    <s v="C:\Users\andre\Desktop\REACTIV CEFAS\Testosterone\Testosterone/20201117_Cefas_Test6-Run2/Plate 1/@3/D3_03.tif "/>
    <s v=" 2984.9255 "/>
    <s v=" 33.0362 "/>
    <x v="0"/>
    <n v="98611"/>
    <m/>
    <m/>
    <m/>
  </r>
  <r>
    <x v="7"/>
    <x v="4"/>
    <s v="C:\Users\andre\Desktop\REACTIV CEFAS\Testosterone\Testosterone/20201117_Cefas_Test6-Run2/Plate 1/@3/E3_01.tif "/>
    <s v=" 5320.9541 "/>
    <s v=" 40.8171 "/>
    <x v="0"/>
    <n v="217186"/>
    <m/>
    <m/>
    <m/>
  </r>
  <r>
    <x v="7"/>
    <x v="4"/>
    <s v="C:\Users\andre\Desktop\REACTIV CEFAS\Testosterone\Testosterone/20201117_Cefas_Test6-Run2/Plate 1/@3/E3_02.tif "/>
    <s v=" 4390.8686 "/>
    <s v=" 37.7931 "/>
    <x v="0"/>
    <n v="165945"/>
    <m/>
    <m/>
    <m/>
  </r>
  <r>
    <x v="7"/>
    <x v="4"/>
    <s v="C:\Users\andre\Desktop\REACTIV CEFAS\Testosterone\Testosterone/20201117_Cefas_Test6-Run2/Plate 1/@3/E3_03.tif "/>
    <s v=" 5169.5448 "/>
    <s v=" 36.5272 "/>
    <x v="0"/>
    <n v="188829"/>
    <m/>
    <m/>
    <m/>
  </r>
  <r>
    <x v="7"/>
    <x v="5"/>
    <s v="C:\Users\andre\Desktop\REACTIV CEFAS\Testosterone\Testosterone/20201117_Cefas_Test6-Run2/Plate 1/@3/F3_01.tif "/>
    <n v="0"/>
    <n v="0"/>
    <x v="0"/>
    <n v="0"/>
    <m/>
    <m/>
    <m/>
  </r>
  <r>
    <x v="7"/>
    <x v="5"/>
    <s v="C:\Users\andre\Desktop\REACTIV CEFAS\Testosterone\Testosterone/20201117_Cefas_Test6-Run2/Plate 1/@3/F3_02.tif "/>
    <s v=" 5991.4808 "/>
    <s v=" 36.1227 "/>
    <x v="0"/>
    <n v="216429"/>
    <m/>
    <m/>
    <m/>
  </r>
  <r>
    <x v="7"/>
    <x v="5"/>
    <s v="C:\Users\andre\Desktop\REACTIV CEFAS\Testosterone\Testosterone/20201117_Cefas_Test6-Run2/Plate 1/@3/F3_03.tif "/>
    <s v=" 3547.3027 "/>
    <s v=" 39.1768 "/>
    <x v="0"/>
    <n v="138972"/>
    <m/>
    <m/>
    <m/>
  </r>
  <r>
    <x v="7"/>
    <x v="6"/>
    <s v="C:\Users\andre\Desktop\REACTIV CEFAS\Testosterone\Testosterone/20201117_Cefas_Test6-Run2/Plate 1/@3/G3_01.tif "/>
    <s v=" 43.2598 "/>
    <n v="32"/>
    <x v="0"/>
    <n v="1384"/>
    <m/>
    <m/>
    <m/>
  </r>
  <r>
    <x v="7"/>
    <x v="6"/>
    <s v="C:\Users\andre\Desktop\REACTIV CEFAS\Testosterone\Testosterone/20201117_Cefas_Test6-Run2/Plate 1/@3/G3_02.tif "/>
    <s v=" 5861.7014 "/>
    <s v=" 36.3358 "/>
    <x v="0"/>
    <n v="212990"/>
    <m/>
    <m/>
    <m/>
  </r>
  <r>
    <x v="7"/>
    <x v="6"/>
    <s v="C:\Users\andre\Desktop\REACTIV CEFAS\Testosterone\Testosterone/20201117_Cefas_Test6-Run2/Plate 1/@3/G3_03.tif "/>
    <s v=" 6013.1107 "/>
    <s v=" 36.4317 "/>
    <x v="0"/>
    <n v="219068"/>
    <m/>
    <m/>
    <m/>
  </r>
  <r>
    <x v="7"/>
    <x v="7"/>
    <s v="C:\Users\andre\Desktop\REACTIV CEFAS\Testosterone\Testosterone/20201117_Cefas_Test6-Run2/Plate 1/@3/H3_01.tif "/>
    <n v="0"/>
    <n v="0"/>
    <x v="0"/>
    <n v="0"/>
    <m/>
    <m/>
    <m/>
  </r>
  <r>
    <x v="7"/>
    <x v="7"/>
    <s v="C:\Users\andre\Desktop\REACTIV CEFAS\Testosterone\Testosterone/20201117_Cefas_Test6-Run2/Plate 1/@3/H3_02.tif "/>
    <s v=" 216.2989 "/>
    <s v=" 32.6 "/>
    <x v="0"/>
    <n v="7051"/>
    <m/>
    <m/>
    <m/>
  </r>
  <r>
    <x v="7"/>
    <x v="7"/>
    <s v="C:\Users\andre\Desktop\REACTIV CEFAS\Testosterone\Testosterone/20201117_Cefas_Test6-Run2/Plate 1/@3/H3_03.tif "/>
    <s v=" 584.0072 "/>
    <s v=" 31.9259 "/>
    <x v="0"/>
    <n v="18645"/>
    <m/>
    <m/>
    <m/>
  </r>
  <r>
    <x v="1"/>
    <x v="8"/>
    <s v=" "/>
    <m/>
    <m/>
    <x v="1"/>
    <m/>
    <m/>
    <m/>
    <m/>
  </r>
  <r>
    <x v="1"/>
    <x v="8"/>
    <s v="group "/>
    <s v=" "/>
    <s v=" mean of mean fluo "/>
    <x v="2"/>
    <s v=" mean of total fluo "/>
    <s v=" SD total fluo "/>
    <s v=" n fluorescent "/>
    <s v=" n total"/>
  </r>
  <r>
    <x v="7"/>
    <x v="9"/>
    <s v="C:\Users\andre\Desktop\REACTIV CEFAS\Testosterone\Testosterone/20201117_Cefas_Test6-Run2/Plate 1/@3/ "/>
    <s v=" "/>
    <s v=" 30.8566 "/>
    <x v="9"/>
    <s v=" 110473.833 "/>
    <s v=" 125021.735 "/>
    <n v="21"/>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C:\Users\andre\Desktop\REACTIV CEFAS\Testosterone\Testosterone/20201117_Cefas_Test6-Run2/Plate 1/@4/A4_01.tif "/>
    <s v=" 108.1495 "/>
    <s v=" 31.2 "/>
    <x v="0"/>
    <n v="3374"/>
    <m/>
    <m/>
    <m/>
  </r>
  <r>
    <x v="8"/>
    <x v="0"/>
    <s v="C:\Users\andre\Desktop\REACTIV CEFAS\Testosterone\Testosterone/20201117_Cefas_Test6-Run2/Plate 1/@4/A4_02.tif "/>
    <s v=" 1146.3844 "/>
    <s v=" 34.566 "/>
    <x v="0"/>
    <n v="39626"/>
    <m/>
    <m/>
    <m/>
  </r>
  <r>
    <x v="8"/>
    <x v="0"/>
    <s v="C:\Users\andre\Desktop\REACTIV CEFAS\Testosterone\Testosterone/20201117_Cefas_Test6-Run2/Plate 1/@4/A4_03- exclu.tif"/>
    <m/>
    <m/>
    <x v="1"/>
    <m/>
    <m/>
    <m/>
    <m/>
  </r>
  <r>
    <x v="8"/>
    <x v="1"/>
    <s v="C:\Users\andre\Desktop\REACTIV CEFAS\Testosterone\Testosterone/20201117_Cefas_Test6-Run2/Plate 1/@4/B4_01.tif "/>
    <s v=" 2184.6194 "/>
    <s v=" 33.6733 "/>
    <x v="0"/>
    <n v="73563"/>
    <m/>
    <m/>
    <m/>
  </r>
  <r>
    <x v="8"/>
    <x v="1"/>
    <s v="C:\Users\andre\Desktop\REACTIV CEFAS\Testosterone\Testosterone/20201117_Cefas_Test6-Run2/Plate 1/@4/B4_02.tif "/>
    <s v=" 1362.6834 "/>
    <s v=" 32.8413 "/>
    <x v="0"/>
    <n v="44752"/>
    <m/>
    <m/>
    <m/>
  </r>
  <r>
    <x v="8"/>
    <x v="1"/>
    <s v="C:\Users\andre\Desktop\REACTIV CEFAS\Testosterone\Testosterone/20201117_Cefas_Test6-Run2/Plate 1/@4/B4_03.tif "/>
    <s v=" 3136.3347 "/>
    <s v=" 35.3793 "/>
    <x v="0"/>
    <n v="110961"/>
    <m/>
    <m/>
    <m/>
  </r>
  <r>
    <x v="8"/>
    <x v="2"/>
    <s v="C:\Users\andre\Desktop\REACTIV CEFAS\Testosterone\Testosterone/20201117_Cefas_Test6-Run2/Plate 1/@4/C4_01- exclu.tif"/>
    <m/>
    <m/>
    <x v="1"/>
    <m/>
    <m/>
    <m/>
    <m/>
  </r>
  <r>
    <x v="8"/>
    <x v="2"/>
    <s v="C:\Users\andre\Desktop\REACTIV CEFAS\Testosterone\Testosterone/20201117_Cefas_Test6-Run2/Plate 1/@4/C4_02- exclu.tif"/>
    <m/>
    <m/>
    <x v="1"/>
    <m/>
    <m/>
    <m/>
    <m/>
  </r>
  <r>
    <x v="8"/>
    <x v="2"/>
    <s v="C:\Users\andre\Desktop\REACTIV CEFAS\Testosterone\Testosterone/20201117_Cefas_Test6-Run2/Plate 1/@4/C4_03- exclu.tif"/>
    <m/>
    <m/>
    <x v="1"/>
    <m/>
    <m/>
    <m/>
    <m/>
  </r>
  <r>
    <x v="8"/>
    <x v="3"/>
    <s v="C:\Users\andre\Desktop\REACTIV CEFAS\Testosterone\Testosterone/20201117_Cefas_Test6-Run2/Plate 1/@4/D4_01.tif "/>
    <s v=" 173.0392 "/>
    <s v=" 30.75 "/>
    <x v="0"/>
    <n v="5321"/>
    <m/>
    <m/>
    <m/>
  </r>
  <r>
    <x v="8"/>
    <x v="3"/>
    <s v="C:\Users\andre\Desktop\REACTIV CEFAS\Testosterone\Testosterone/20201117_Cefas_Test6-Run2/Plate 1/@4/D4_02.tif "/>
    <s v=" 4780.2067 "/>
    <s v=" 33.8778 "/>
    <x v="0"/>
    <n v="161943"/>
    <m/>
    <m/>
    <m/>
  </r>
  <r>
    <x v="8"/>
    <x v="3"/>
    <s v="C:\Users\andre\Desktop\REACTIV CEFAS\Testosterone\Testosterone/20201117_Cefas_Test6-Run2/Plate 1/@4/D4_03.tif "/>
    <s v=" 4109.68 "/>
    <s v=" 35.1158 "/>
    <x v="0"/>
    <n v="144315"/>
    <m/>
    <m/>
    <m/>
  </r>
  <r>
    <x v="8"/>
    <x v="4"/>
    <s v="C:\Users\andre\Desktop\REACTIV CEFAS\Testosterone\Testosterone/20201117_Cefas_Test6-Run2/Plate 1/@4/E4_01.tif "/>
    <s v=" 5256.0644 "/>
    <s v=" 37.214 "/>
    <x v="0"/>
    <n v="195599"/>
    <m/>
    <m/>
    <m/>
  </r>
  <r>
    <x v="8"/>
    <x v="4"/>
    <s v="C:\Users\andre\Desktop\REACTIV CEFAS\Testosterone\Testosterone/20201117_Cefas_Test6-Run2/Plate 1/@4/E4_02.tif "/>
    <s v=" 302.8185 "/>
    <s v=" 31.3571 "/>
    <x v="0"/>
    <n v="9496"/>
    <m/>
    <m/>
    <m/>
  </r>
  <r>
    <x v="8"/>
    <x v="4"/>
    <s v="C:\Users\andre\Desktop\REACTIV CEFAS\Testosterone\Testosterone/20201117_Cefas_Test6-Run2/Plate 1/@4/E4_03.tif "/>
    <s v=" 5364.2139 "/>
    <s v=" 40.3226 "/>
    <x v="0"/>
    <n v="216299"/>
    <m/>
    <m/>
    <m/>
  </r>
  <r>
    <x v="8"/>
    <x v="5"/>
    <s v="C:\Users\andre\Desktop\REACTIV CEFAS\Testosterone\Testosterone/20201117_Cefas_Test6-Run2/Plate 1/@4/F4_01.tif "/>
    <s v=" 5948.221 "/>
    <s v=" 39.2364 "/>
    <x v="0"/>
    <n v="233387"/>
    <m/>
    <m/>
    <m/>
  </r>
  <r>
    <x v="8"/>
    <x v="5"/>
    <s v="C:\Users\andre\Desktop\REACTIV CEFAS\Testosterone\Testosterone/20201117_Cefas_Test6-Run2/Plate 1/@4/F4_02.tif "/>
    <s v=" 4239.4593 "/>
    <s v=" 37.7806 "/>
    <x v="0"/>
    <n v="160169"/>
    <m/>
    <m/>
    <m/>
  </r>
  <r>
    <x v="8"/>
    <x v="5"/>
    <s v="C:\Users\andre\Desktop\REACTIV CEFAS\Testosterone\Testosterone/20201117_Cefas_Test6-Run2/Plate 1/@4/F4_03.tif "/>
    <s v=" 4174.5697 "/>
    <s v=" 36.9275 "/>
    <x v="0"/>
    <n v="154156"/>
    <m/>
    <m/>
    <m/>
  </r>
  <r>
    <x v="8"/>
    <x v="6"/>
    <s v="C:\Users\andre\Desktop\REACTIV CEFAS\Testosterone\Testosterone/20201117_Cefas_Test6-Run2/Plate 1/@4/G4_01.tif "/>
    <s v=" 12026.2214 "/>
    <s v=" 41.3094 "/>
    <x v="0"/>
    <n v="496795"/>
    <m/>
    <m/>
    <m/>
  </r>
  <r>
    <x v="8"/>
    <x v="6"/>
    <s v="C:\Users\andre\Desktop\REACTIV CEFAS\Testosterone\Testosterone/20201117_Cefas_Test6-Run2/Plate 1/@4/G4_02.tif "/>
    <s v=" 13064.4564 "/>
    <s v=" 34.8642 "/>
    <x v="0"/>
    <n v="455482"/>
    <m/>
    <m/>
    <m/>
  </r>
  <r>
    <x v="8"/>
    <x v="6"/>
    <s v="C:\Users\andre\Desktop\REACTIV CEFAS\Testosterone\Testosterone/20201117_Cefas_Test6-Run2/Plate 1/@4/G4_03- exclu.tif"/>
    <m/>
    <m/>
    <x v="1"/>
    <m/>
    <m/>
    <m/>
    <m/>
  </r>
  <r>
    <x v="8"/>
    <x v="7"/>
    <s v="C:\Users\andre\Desktop\REACTIV CEFAS\Testosterone\Testosterone/20201117_Cefas_Test6-Run2/Plate 1/@4/H4_01.tif "/>
    <s v=" 4023.1604 "/>
    <s v=" 35.4946 "/>
    <x v="0"/>
    <n v="142801"/>
    <m/>
    <m/>
    <m/>
  </r>
  <r>
    <x v="8"/>
    <x v="7"/>
    <s v="C:\Users\andre\Desktop\REACTIV CEFAS\Testosterone\Testosterone/20201117_Cefas_Test6-Run2/Plate 1/@4/H4_02.tif "/>
    <s v=" 2509.0678 "/>
    <s v=" 38.1379 "/>
    <x v="0"/>
    <n v="95691"/>
    <m/>
    <m/>
    <m/>
  </r>
  <r>
    <x v="8"/>
    <x v="7"/>
    <s v="C:\Users\andre\Desktop\REACTIV CEFAS\Testosterone\Testosterone/20201117_Cefas_Test6-Run2/Plate 1/@4/H4_03.tif "/>
    <s v=" 9279.2248 "/>
    <s v=" 38.7902 "/>
    <x v="0"/>
    <n v="359943"/>
    <m/>
    <m/>
    <m/>
  </r>
  <r>
    <x v="1"/>
    <x v="8"/>
    <s v=" "/>
    <m/>
    <m/>
    <x v="1"/>
    <m/>
    <m/>
    <m/>
    <m/>
  </r>
  <r>
    <x v="1"/>
    <x v="8"/>
    <s v="group "/>
    <s v=" "/>
    <s v=" mean of mean fluo "/>
    <x v="2"/>
    <s v=" mean of total fluo "/>
    <s v=" SD total fluo "/>
    <s v=" n fluorescent "/>
    <s v=" n total"/>
  </r>
  <r>
    <x v="8"/>
    <x v="9"/>
    <s v="C:\Users\andre\Desktop\REACTIV CEFAS\Testosterone\Testosterone/20201117_Cefas_Test6-Run2/Plate 1/@4/ "/>
    <s v=" "/>
    <s v=" 34.3947 "/>
    <x v="10"/>
    <s v=" 205544.333 "/>
    <s v=" 255013.901 "/>
    <n v="22"/>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C:\Users\andre\Desktop\REACTIV CEFAS\Testosterone\Testosterone/20201117_Cefas_Test6-Run2/Plate 1/@5/A5_01.tif "/>
    <s v=" 43.2598 "/>
    <s v=" 31.5 "/>
    <x v="0"/>
    <n v="1363"/>
    <m/>
    <m/>
    <m/>
  </r>
  <r>
    <x v="9"/>
    <x v="0"/>
    <s v="C:\Users\andre\Desktop\REACTIV CEFAS\Testosterone\Testosterone/20201117_Cefas_Test6-Run2/Plate 1/@5/A5_02.tif "/>
    <n v="0"/>
    <n v="0"/>
    <x v="0"/>
    <n v="0"/>
    <m/>
    <m/>
    <m/>
  </r>
  <r>
    <x v="9"/>
    <x v="0"/>
    <s v="C:\Users\andre\Desktop\REACTIV CEFAS\Testosterone\Testosterone/20201117_Cefas_Test6-Run2/Plate 1/@5/A5_03- exclu.tif"/>
    <m/>
    <m/>
    <x v="1"/>
    <m/>
    <m/>
    <m/>
    <m/>
  </r>
  <r>
    <x v="9"/>
    <x v="1"/>
    <s v="C:\Users\andre\Desktop\REACTIV CEFAS\Testosterone\Testosterone/20201117_Cefas_Test6-Run2/Plate 1/@5/B5_01.tif "/>
    <s v=" 25523.2757 "/>
    <s v=" 33.15 "/>
    <x v="0"/>
    <n v="846097"/>
    <m/>
    <m/>
    <m/>
  </r>
  <r>
    <x v="9"/>
    <x v="1"/>
    <s v="C:\Users\andre\Desktop\REACTIV CEFAS\Testosterone\Testosterone/20201117_Cefas_Test6-Run2/Plate 1/@5/B5_02.tif "/>
    <s v=" 39128.4794 "/>
    <s v=" 35.4024 "/>
    <x v="0"/>
    <n v="1385243"/>
    <m/>
    <m/>
    <m/>
  </r>
  <r>
    <x v="9"/>
    <x v="1"/>
    <s v="C:\Users\andre\Desktop\REACTIV CEFAS\Testosterone\Testosterone/20201117_Cefas_Test6-Run2/Plate 1/@5/B5_03.tif "/>
    <s v=" 34845.7602 "/>
    <s v=" 34.509 "/>
    <x v="0"/>
    <n v="1202492"/>
    <m/>
    <m/>
    <m/>
  </r>
  <r>
    <x v="9"/>
    <x v="2"/>
    <s v="C:\Users\andre\Desktop\REACTIV CEFAS\Testosterone\Testosterone/20201117_Cefas_Test6-Run2/Plate 1/@5/C5_01.tif "/>
    <s v=" 2011.5802 "/>
    <s v=" 34.129 "/>
    <x v="0"/>
    <n v="68653"/>
    <m/>
    <m/>
    <m/>
  </r>
  <r>
    <x v="9"/>
    <x v="2"/>
    <s v="C:\Users\andre\Desktop\REACTIV CEFAS\Testosterone\Testosterone/20201117_Cefas_Test6-Run2/Plate 1/@5/C5_02.tif "/>
    <s v=" 692.1566 "/>
    <s v=" 31.4688 "/>
    <x v="0"/>
    <n v="21781"/>
    <m/>
    <m/>
    <m/>
  </r>
  <r>
    <x v="9"/>
    <x v="2"/>
    <s v="C:\Users\andre\Desktop\REACTIV CEFAS\Testosterone\Testosterone/20201117_Cefas_Test6-Run2/Plate 1/@5/C5_03.tif "/>
    <n v="0"/>
    <n v="0"/>
    <x v="0"/>
    <n v="0"/>
    <m/>
    <m/>
    <m/>
  </r>
  <r>
    <x v="9"/>
    <x v="3"/>
    <s v="C:\Users\andre\Desktop\REACTIV CEFAS\Testosterone\Testosterone/20201117_Cefas_Test6-Run2/Plate 1/@5/D5_01.tif "/>
    <n v="0"/>
    <n v="0"/>
    <x v="0"/>
    <n v="0"/>
    <m/>
    <m/>
    <m/>
  </r>
  <r>
    <x v="9"/>
    <x v="3"/>
    <s v="C:\Users\andre\Desktop\REACTIV CEFAS\Testosterone\Testosterone/20201117_Cefas_Test6-Run2/Plate 1/@5/D5_02- exclu.tif"/>
    <m/>
    <m/>
    <x v="1"/>
    <m/>
    <m/>
    <m/>
    <m/>
  </r>
  <r>
    <x v="9"/>
    <x v="3"/>
    <s v="C:\Users\andre\Desktop\REACTIV CEFAS\Testosterone\Testosterone/20201117_Cefas_Test6-Run2/Plate 1/@5/D5_03.tif "/>
    <n v="0"/>
    <n v="0"/>
    <x v="0"/>
    <n v="0"/>
    <m/>
    <m/>
    <m/>
  </r>
  <r>
    <x v="9"/>
    <x v="4"/>
    <s v="C:\Users\andre\Desktop\REACTIV CEFAS\Testosterone\Testosterone/20201117_Cefas_Test6-Run2/Plate 1/@5/E5_01.tif "/>
    <s v=" 30995.639 "/>
    <s v=" 31.529 "/>
    <x v="0"/>
    <n v="977260"/>
    <m/>
    <m/>
    <m/>
  </r>
  <r>
    <x v="9"/>
    <x v="4"/>
    <s v="C:\Users\andre\Desktop\REACTIV CEFAS\Testosterone\Testosterone/20201117_Cefas_Test6-Run2/Plate 1/@5/E5_02.tif "/>
    <s v=" 3525.6728 "/>
    <s v=" 31.3926 "/>
    <x v="0"/>
    <n v="110680"/>
    <m/>
    <m/>
    <m/>
  </r>
  <r>
    <x v="9"/>
    <x v="4"/>
    <s v="C:\Users\andre\Desktop\REACTIV CEFAS\Testosterone\Testosterone/20201117_Cefas_Test6-Run2/Plate 1/@5/E5_03.tif "/>
    <s v=" 14275.7305 "/>
    <s v=" 31.4091 "/>
    <x v="0"/>
    <n v="448388"/>
    <m/>
    <m/>
    <m/>
  </r>
  <r>
    <x v="9"/>
    <x v="5"/>
    <s v="C:\Users\andre\Desktop\REACTIV CEFAS\Testosterone\Testosterone/20201117_Cefas_Test6-Run2/Plate 1/@5/F5_01.tif "/>
    <n v="0"/>
    <n v="0"/>
    <x v="0"/>
    <n v="0"/>
    <m/>
    <m/>
    <m/>
  </r>
  <r>
    <x v="9"/>
    <x v="5"/>
    <s v="C:\Users\andre\Desktop\REACTIV CEFAS\Testosterone\Testosterone/20201117_Cefas_Test6-Run2/Plate 1/@5/F5_02.tif "/>
    <s v=" 713.7865 "/>
    <s v=" 31.1515 "/>
    <x v="0"/>
    <n v="22236"/>
    <m/>
    <m/>
    <m/>
  </r>
  <r>
    <x v="9"/>
    <x v="5"/>
    <s v="C:\Users\andre\Desktop\REACTIV CEFAS\Testosterone\Testosterone/20201117_Cefas_Test6-Run2/Plate 1/@5/F5_03.tif "/>
    <n v="0"/>
    <n v="0"/>
    <x v="0"/>
    <n v="0"/>
    <m/>
    <m/>
    <m/>
  </r>
  <r>
    <x v="9"/>
    <x v="6"/>
    <s v="C:\Users\andre\Desktop\REACTIV CEFAS\Testosterone\Testosterone/20201117_Cefas_Test6-Run2/Plate 1/@5/G5_01.tif "/>
    <s v=" 6424.0787 "/>
    <s v=" 40.3232 "/>
    <x v="0"/>
    <n v="259040"/>
    <m/>
    <m/>
    <m/>
  </r>
  <r>
    <x v="9"/>
    <x v="6"/>
    <s v="C:\Users\andre\Desktop\REACTIV CEFAS\Testosterone\Testosterone/20201117_Cefas_Test6-Run2/Plate 1/@5/G5_02.tif "/>
    <s v=" 3915.0109 "/>
    <s v=" 36.9116 "/>
    <x v="0"/>
    <n v="144509"/>
    <m/>
    <m/>
    <m/>
  </r>
  <r>
    <x v="9"/>
    <x v="6"/>
    <s v="C:\Users\andre\Desktop\REACTIV CEFAS\Testosterone\Testosterone/20201117_Cefas_Test6-Run2/Plate 1/@5/G5_03.tif "/>
    <s v=" 3741.9718 "/>
    <s v=" 35.4682 "/>
    <x v="0"/>
    <n v="132721"/>
    <m/>
    <m/>
    <m/>
  </r>
  <r>
    <x v="9"/>
    <x v="7"/>
    <s v="C:\Users\andre\Desktop\REACTIV CEFAS\Testosterone\Testosterone/20201117_Cefas_Test6-Run2/Plate 1/@5/H5_01.tif "/>
    <s v=" 2725.3667 "/>
    <s v=" 33.3095 "/>
    <x v="0"/>
    <n v="90781"/>
    <m/>
    <m/>
    <m/>
  </r>
  <r>
    <x v="9"/>
    <x v="7"/>
    <s v="C:\Users\andre\Desktop\REACTIV CEFAS\Testosterone\Testosterone/20201117_Cefas_Test6-Run2/Plate 1/@5/H5_02.tif "/>
    <s v=" 5602.1427 "/>
    <s v=" 39.1506 "/>
    <x v="0"/>
    <n v="219327"/>
    <m/>
    <m/>
    <m/>
  </r>
  <r>
    <x v="9"/>
    <x v="7"/>
    <s v="C:\Users\andre\Desktop\REACTIV CEFAS\Testosterone\Testosterone/20201117_Cefas_Test6-Run2/Plate 1/@5/H5_03.tif "/>
    <s v=" 2444.1781 "/>
    <s v=" 34.2035 "/>
    <x v="0"/>
    <n v="83600"/>
    <m/>
    <m/>
    <m/>
  </r>
  <r>
    <x v="1"/>
    <x v="8"/>
    <s v=" "/>
    <m/>
    <m/>
    <x v="1"/>
    <m/>
    <m/>
    <m/>
    <m/>
  </r>
  <r>
    <x v="1"/>
    <x v="8"/>
    <s v="group "/>
    <s v=" "/>
    <s v=" mean of mean fluo "/>
    <x v="2"/>
    <s v=" mean of total fluo "/>
    <s v=" SD total fluo "/>
    <s v=" n fluorescent "/>
    <s v=" n total"/>
  </r>
  <r>
    <x v="9"/>
    <x v="9"/>
    <s v="C:\Users\andre\Desktop\REACTIV CEFAS\Testosterone\Testosterone/20201117_Cefas_Test6-Run2/Plate 1/@5/ "/>
    <s v=" "/>
    <s v=" 24.0956 "/>
    <x v="11"/>
    <s v=" 251220.417 "/>
    <s v=" 412272.07 "/>
    <n v="17"/>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C:\Users\andre\Desktop\REACTIV CEFAS\Testosterone\Testosterone/20201117_Cefas_Test6-Run2/Plate 1/@6/A6_01.tif "/>
    <s v=" 51154.7008 "/>
    <s v=" 41.814 "/>
    <x v="0"/>
    <n v="2138980"/>
    <m/>
    <m/>
    <m/>
  </r>
  <r>
    <x v="10"/>
    <x v="0"/>
    <s v="C:\Users\andre\Desktop\REACTIV CEFAS\Testosterone\Testosterone/20201117_Cefas_Test6-Run2/Plate 1/@6/A6_02.tif "/>
    <s v=" 48861.932 "/>
    <s v=" 44.9637 "/>
    <x v="0"/>
    <n v="2197013"/>
    <m/>
    <m/>
    <m/>
  </r>
  <r>
    <x v="10"/>
    <x v="0"/>
    <s v="C:\Users\andre\Desktop\REACTIV CEFAS\Testosterone\Testosterone/20201117_Cefas_Test6-Run2/Plate 1/@6/A6_03.tif "/>
    <s v=" 66036.0683 "/>
    <s v=" 42.0606 "/>
    <x v="0"/>
    <n v="2777516"/>
    <m/>
    <m/>
    <m/>
  </r>
  <r>
    <x v="10"/>
    <x v="1"/>
    <s v="C:\Users\andre\Desktop\REACTIV CEFAS\Testosterone\Testosterone/20201117_Cefas_Test6-Run2/Plate 1/@6/B6_01.tif "/>
    <s v=" 50938.4019 "/>
    <s v=" 46.118 "/>
    <x v="0"/>
    <n v="2349180"/>
    <m/>
    <m/>
    <m/>
  </r>
  <r>
    <x v="10"/>
    <x v="1"/>
    <s v="C:\Users\andre\Desktop\REACTIV CEFAS\Testosterone\Testosterone/20201117_Cefas_Test6-Run2/Plate 1/@6/B6_02.tif "/>
    <s v=" 53620.5088 "/>
    <s v=" 42.1436 "/>
    <x v="0"/>
    <n v="2259762"/>
    <m/>
    <m/>
    <m/>
  </r>
  <r>
    <x v="10"/>
    <x v="1"/>
    <s v="C:\Users\andre\Desktop\REACTIV CEFAS\Testosterone\Testosterone/20201117_Cefas_Test6-Run2/Plate 1/@6/B6_03.tif "/>
    <s v=" 46742.2023 "/>
    <s v=" 46.0639 "/>
    <x v="0"/>
    <n v="2153126"/>
    <m/>
    <m/>
    <m/>
  </r>
  <r>
    <x v="10"/>
    <x v="2"/>
    <s v="C:\Users\andre\Desktop\REACTIV CEFAS\Testosterone\Testosterone/20201117_Cefas_Test6-Run2/Plate 1/@6/C6_01.tif "/>
    <s v=" 61126.0822 "/>
    <s v=" 46.3857 "/>
    <x v="0"/>
    <n v="2835376"/>
    <m/>
    <m/>
    <m/>
  </r>
  <r>
    <x v="10"/>
    <x v="2"/>
    <s v="C:\Users\andre\Desktop\REACTIV CEFAS\Testosterone\Testosterone/20201117_Cefas_Test6-Run2/Plate 1/@6/C6_02.tif "/>
    <s v=" 58681.9041 "/>
    <s v=" 49.2525 "/>
    <x v="0"/>
    <n v="2890230"/>
    <m/>
    <m/>
    <m/>
  </r>
  <r>
    <x v="10"/>
    <x v="2"/>
    <s v="C:\Users\andre\Desktop\REACTIV CEFAS\Testosterone\Testosterone/20201117_Cefas_Test6-Run2/Plate 1/@6/C6_03.tif "/>
    <s v=" 61991.278 "/>
    <s v=" 48.1553 "/>
    <x v="0"/>
    <n v="2985207"/>
    <m/>
    <m/>
    <m/>
  </r>
  <r>
    <x v="10"/>
    <x v="3"/>
    <s v="C:\Users\andre\Desktop\REACTIV CEFAS\Testosterone\Testosterone/20201117_Cefas_Test6-Run2/Plate 1/@6/D6_01- exclu.tif"/>
    <m/>
    <m/>
    <x v="1"/>
    <m/>
    <m/>
    <m/>
    <m/>
  </r>
  <r>
    <x v="10"/>
    <x v="3"/>
    <s v="C:\Users\andre\Desktop\REACTIV CEFAS\Testosterone\Testosterone/20201117_Cefas_Test6-Run2/Plate 1/@6/D6_02- exclu.tif"/>
    <m/>
    <m/>
    <x v="1"/>
    <m/>
    <m/>
    <m/>
    <m/>
  </r>
  <r>
    <x v="10"/>
    <x v="3"/>
    <s v="C:\Users\andre\Desktop\REACTIV CEFAS\Testosterone\Testosterone/20201117_Cefas_Test6-Run2/Plate 1/@6/D6_03- exclu.tif"/>
    <m/>
    <m/>
    <x v="1"/>
    <m/>
    <m/>
    <m/>
    <m/>
  </r>
  <r>
    <x v="10"/>
    <x v="4"/>
    <s v="C:\Users\andre\Desktop\REACTIV CEFAS\Testosterone\Testosterone/20201117_Cefas_Test6-Run2/Plate 1/@6/E6_01.tif "/>
    <s v=" 99194.6968 "/>
    <s v=" 50.1742 "/>
    <x v="0"/>
    <n v="4977017"/>
    <m/>
    <m/>
    <m/>
  </r>
  <r>
    <x v="10"/>
    <x v="4"/>
    <s v="C:\Users\andre\Desktop\REACTIV CEFAS\Testosterone\Testosterone/20201117_Cefas_Test6-Run2/Plate 1/@6/E6_02.tif "/>
    <s v=" 98653.9494 "/>
    <s v=" 47.4389 "/>
    <x v="0"/>
    <n v="4680039"/>
    <m/>
    <m/>
    <m/>
  </r>
  <r>
    <x v="10"/>
    <x v="4"/>
    <s v="C:\Users\andre\Desktop\REACTIV CEFAS\Testosterone\Testosterone/20201117_Cefas_Test6-Run2/Plate 1/@6/E6_03.tif "/>
    <s v=" 92727.3583 "/>
    <s v=" 45.7331 "/>
    <x v="0"/>
    <n v="4240714"/>
    <m/>
    <m/>
    <m/>
  </r>
  <r>
    <x v="10"/>
    <x v="5"/>
    <s v="C:\Users\andre\Desktop\REACTIV CEFAS\Testosterone\Testosterone/20201117_Cefas_Test6-Run2/Plate 1/@6/F6_01.tif "/>
    <s v=" 49143.1206 "/>
    <s v=" 43.5066 "/>
    <x v="0"/>
    <n v="2138050"/>
    <m/>
    <m/>
    <m/>
  </r>
  <r>
    <x v="10"/>
    <x v="5"/>
    <s v="C:\Users\andre\Desktop\REACTIV CEFAS\Testosterone\Testosterone/20201117_Cefas_Test6-Run2/Plate 1/@6/F6_02.tif "/>
    <s v=" 47023.3909 "/>
    <s v=" 45.4742 "/>
    <x v="0"/>
    <n v="2138353"/>
    <m/>
    <m/>
    <m/>
  </r>
  <r>
    <x v="10"/>
    <x v="5"/>
    <s v="C:\Users\andre\Desktop\REACTIV CEFAS\Testosterone\Testosterone/20201117_Cefas_Test6-Run2/Plate 1/@6/F6_03.tif "/>
    <s v=" 49792.0174 "/>
    <s v=" 49.2024 "/>
    <x v="0"/>
    <n v="2449888"/>
    <m/>
    <m/>
    <m/>
  </r>
  <r>
    <x v="10"/>
    <x v="6"/>
    <s v="C:\Users\andre\Desktop\REACTIV CEFAS\Testosterone\Testosterone/20201117_Cefas_Test6-Run2/Plate 1/@6/G6_01.tif "/>
    <s v=" 68090.9083 "/>
    <s v=" 43.0492 "/>
    <x v="0"/>
    <n v="2931262"/>
    <m/>
    <m/>
    <m/>
  </r>
  <r>
    <x v="10"/>
    <x v="6"/>
    <s v="C:\Users\andre\Desktop\REACTIV CEFAS\Testosterone\Testosterone/20201117_Cefas_Test6-Run2/Plate 1/@6/G6_02.tif "/>
    <s v=" 59417.3205 "/>
    <s v=" 45.5941 "/>
    <x v="0"/>
    <n v="2709079"/>
    <m/>
    <m/>
    <m/>
  </r>
  <r>
    <x v="10"/>
    <x v="6"/>
    <s v="C:\Users\andre\Desktop\REACTIV CEFAS\Testosterone\Testosterone/20201117_Cefas_Test6-Run2/Plate 1/@6/G6_03.tif "/>
    <s v=" 54918.3025 "/>
    <s v=" 42.0654 "/>
    <x v="0"/>
    <n v="2310159"/>
    <m/>
    <m/>
    <m/>
  </r>
  <r>
    <x v="10"/>
    <x v="7"/>
    <s v="C:\Users\andre\Desktop\REACTIV CEFAS\Testosterone\Testosterone/20201117_Cefas_Test6-Run2/Plate 1/@6/H6_01.tif "/>
    <s v=" 67506.9011 "/>
    <s v=" 43.2634 "/>
    <x v="0"/>
    <n v="2920577"/>
    <m/>
    <m/>
    <m/>
  </r>
  <r>
    <x v="10"/>
    <x v="7"/>
    <s v="C:\Users\andre\Desktop\REACTIV CEFAS\Testosterone\Testosterone/20201117_Cefas_Test6-Run2/Plate 1/@6/H6_02.tif "/>
    <s v=" 62726.6944 "/>
    <s v=" 40.13 "/>
    <x v="0"/>
    <n v="2517222"/>
    <m/>
    <m/>
    <m/>
  </r>
  <r>
    <x v="10"/>
    <x v="7"/>
    <s v="C:\Users\andre\Desktop\REACTIV CEFAS\Testosterone\Testosterone/20201117_Cefas_Test6-Run2/Plate 1/@6/H6_03.tif "/>
    <s v=" 56691.9538 "/>
    <s v=" 44.2068 "/>
    <x v="0"/>
    <n v="2506169"/>
    <m/>
    <m/>
    <m/>
  </r>
  <r>
    <x v="1"/>
    <x v="8"/>
    <s v=" "/>
    <m/>
    <m/>
    <x v="1"/>
    <m/>
    <m/>
    <m/>
    <m/>
  </r>
  <r>
    <x v="1"/>
    <x v="8"/>
    <s v="group "/>
    <s v=" "/>
    <s v=" mean of mean fluo "/>
    <x v="2"/>
    <s v=" mean of total fluo "/>
    <s v=" SD total fluo "/>
    <s v=" n fluorescent "/>
    <s v=" n total"/>
  </r>
  <r>
    <x v="10"/>
    <x v="9"/>
    <s v="C:\Users\andre\Desktop\REACTIV CEFAS\Testosterone\Testosterone/20201117_Cefas_Test6-Run2/Plate 1/@6/ "/>
    <s v=" "/>
    <s v=" 44.8068 "/>
    <x v="12"/>
    <s v=" 2605293.71 "/>
    <s v=" 953547.29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C:\Users\andre\Desktop\REACTIV CEFAS\Testosterone\Testosterone/20201117_Cefas_Test6-Run2/Plate 1/@7/A7_01.tif "/>
    <s v=" 80701.1369 "/>
    <s v=" 58.9461 "/>
    <x v="0"/>
    <n v="4757019"/>
    <m/>
    <m/>
    <m/>
  </r>
  <r>
    <x v="11"/>
    <x v="0"/>
    <s v="C:\Users\andre\Desktop\REACTIV CEFAS\Testosterone\Testosterone/20201117_Cefas_Test6-Run2/Plate 1/@7/A7_02.tif "/>
    <s v=" 92035.2016 "/>
    <s v=" 52.6531 "/>
    <x v="0"/>
    <n v="4845940"/>
    <m/>
    <m/>
    <m/>
  </r>
  <r>
    <x v="11"/>
    <x v="0"/>
    <s v="C:\Users\andre\Desktop\REACTIV CEFAS\Testosterone\Testosterone/20201117_Cefas_Test6-Run2/Plate 1/@7/A7_03.tif "/>
    <s v=" 89309.8349 "/>
    <s v=" 57.2662 "/>
    <x v="0"/>
    <n v="5114432"/>
    <m/>
    <m/>
    <m/>
  </r>
  <r>
    <x v="11"/>
    <x v="1"/>
    <s v="C:\Users\andre\Desktop\REACTIV CEFAS\Testosterone\Testosterone/20201117_Cefas_Test6-Run2/Plate 1/@7/B7_01.tif "/>
    <s v=" 68004.3887 "/>
    <s v=" 53.833 "/>
    <x v="0"/>
    <n v="3660881"/>
    <m/>
    <m/>
    <m/>
  </r>
  <r>
    <x v="11"/>
    <x v="1"/>
    <s v="C:\Users\andre\Desktop\REACTIV CEFAS\Testosterone\Testosterone/20201117_Cefas_Test6-Run2/Plate 1/@7/B7_02.tif "/>
    <s v=" 67377.1218 "/>
    <s v=" 54.2421 "/>
    <x v="0"/>
    <n v="3654674"/>
    <m/>
    <m/>
    <m/>
  </r>
  <r>
    <x v="11"/>
    <x v="1"/>
    <s v="C:\Users\andre\Desktop\REACTIV CEFAS\Testosterone\Testosterone/20201117_Cefas_Test6-Run2/Plate 1/@7/B7_03.tif "/>
    <s v=" 67160.8228 "/>
    <s v=" 53.9233 "/>
    <x v="0"/>
    <n v="3621537"/>
    <m/>
    <m/>
    <m/>
  </r>
  <r>
    <x v="11"/>
    <x v="2"/>
    <s v="C:\Users\andre\Desktop\REACTIV CEFAS\Testosterone\Testosterone/20201117_Cefas_Test6-Run2/Plate 1/@7/C7_01.tif "/>
    <s v=" 91191.6358 "/>
    <s v=" 53.6708 "/>
    <x v="0"/>
    <n v="4894326"/>
    <m/>
    <m/>
    <m/>
  </r>
  <r>
    <x v="11"/>
    <x v="2"/>
    <s v="C:\Users\andre\Desktop\REACTIV CEFAS\Testosterone\Testosterone/20201117_Cefas_Test6-Run2/Plate 1/@7/C7_02.tif "/>
    <s v=" 77997.4 "/>
    <s v=" 55.8747 "/>
    <x v="0"/>
    <n v="4358078"/>
    <m/>
    <m/>
    <m/>
  </r>
  <r>
    <x v="11"/>
    <x v="2"/>
    <s v="C:\Users\andre\Desktop\REACTIV CEFAS\Testosterone\Testosterone/20201117_Cefas_Test6-Run2/Plate 1/@7/C7_03.tif "/>
    <s v=" 81739.3718 "/>
    <s v=" 55.7997 "/>
    <x v="0"/>
    <n v="4561031"/>
    <m/>
    <m/>
    <m/>
  </r>
  <r>
    <x v="11"/>
    <x v="3"/>
    <s v="C:\Users\andre\Desktop\REACTIV CEFAS\Testosterone\Testosterone/20201117_Cefas_Test6-Run2/Plate 1/@7/D7_01.tif "/>
    <s v=" 78429.9979 "/>
    <s v=" 55.2722 "/>
    <x v="0"/>
    <n v="4334999"/>
    <m/>
    <m/>
    <m/>
  </r>
  <r>
    <x v="11"/>
    <x v="3"/>
    <s v="C:\Users\andre\Desktop\REACTIV CEFAS\Testosterone\Testosterone/20201117_Cefas_Test6-Run2/Plate 1/@7/D7_02.tif "/>
    <s v=" 80549.7276 "/>
    <s v=" 57.1321 "/>
    <x v="0"/>
    <n v="4601976"/>
    <m/>
    <m/>
    <m/>
  </r>
  <r>
    <x v="11"/>
    <x v="3"/>
    <s v="C:\Users\andre\Desktop\REACTIV CEFAS\Testosterone\Testosterone/20201117_Cefas_Test6-Run2/Plate 1/@7/D7_03.tif "/>
    <s v=" 78148.8093 "/>
    <s v=" 54.6028 "/>
    <x v="0"/>
    <n v="4267146"/>
    <m/>
    <m/>
    <m/>
  </r>
  <r>
    <x v="11"/>
    <x v="4"/>
    <s v="C:\Users\andre\Desktop\REACTIV CEFAS\Testosterone\Testosterone/20201117_Cefas_Test6-Run2/Plate 1/@7/E7_01- exclu.tif"/>
    <m/>
    <m/>
    <x v="1"/>
    <m/>
    <m/>
    <m/>
    <m/>
  </r>
  <r>
    <x v="11"/>
    <x v="4"/>
    <s v="C:\Users\andre\Desktop\REACTIV CEFAS\Testosterone\Testosterone/20201117_Cefas_Test6-Run2/Plate 1/@7/E7_02.tif "/>
    <s v=" 65841.3993 "/>
    <s v=" 59.1659 "/>
    <x v="0"/>
    <n v="3895566"/>
    <m/>
    <m/>
    <m/>
  </r>
  <r>
    <x v="11"/>
    <x v="4"/>
    <s v="C:\Users\andre\Desktop\REACTIV CEFAS\Testosterone\Testosterone/20201117_Cefas_Test6-Run2/Plate 1/@7/E7_03- exclu.tif"/>
    <m/>
    <m/>
    <x v="1"/>
    <m/>
    <m/>
    <m/>
    <m/>
  </r>
  <r>
    <x v="11"/>
    <x v="5"/>
    <s v="C:\Users\andre\Desktop\REACTIV CEFAS\Testosterone\Testosterone/20201117_Cefas_Test6-Run2/Plate 1/@7/F7_01.tif "/>
    <s v=" 71205.6131 "/>
    <s v=" 60.2846 "/>
    <x v="0"/>
    <n v="4292604"/>
    <m/>
    <m/>
    <m/>
  </r>
  <r>
    <x v="11"/>
    <x v="5"/>
    <s v="C:\Users\andre\Desktop\REACTIV CEFAS\Testosterone\Testosterone/20201117_Cefas_Test6-Run2/Plate 1/@7/F7_02.tif "/>
    <s v=" 59633.6195 "/>
    <s v=" 62.5481 "/>
    <x v="0"/>
    <n v="3729967"/>
    <m/>
    <m/>
    <m/>
  </r>
  <r>
    <x v="11"/>
    <x v="5"/>
    <s v="C:\Users\andre\Desktop\REACTIV CEFAS\Testosterone\Testosterone/20201117_Cefas_Test6-Run2/Plate 1/@7/F7_03.tif "/>
    <s v=" 60152.737 "/>
    <s v=" 60.8565 "/>
    <x v="0"/>
    <n v="3660687"/>
    <m/>
    <m/>
    <m/>
  </r>
  <r>
    <x v="11"/>
    <x v="6"/>
    <s v="C:\Users\andre\Desktop\REACTIV CEFAS\Testosterone\Testosterone/20201117_Cefas_Test6-Run2/Plate 1/@7/G7_01.tif "/>
    <s v=" 73173.9335 "/>
    <s v=" 62.5782 "/>
    <x v="0"/>
    <n v="4579092"/>
    <m/>
    <m/>
    <m/>
  </r>
  <r>
    <x v="11"/>
    <x v="6"/>
    <s v="C:\Users\andre\Desktop\REACTIV CEFAS\Testosterone\Testosterone/20201117_Cefas_Test6-Run2/Plate 1/@7/G7_02.tif "/>
    <s v=" 79078.8948 "/>
    <s v=" 59.5364 "/>
    <x v="0"/>
    <n v="4708071"/>
    <m/>
    <m/>
    <m/>
  </r>
  <r>
    <x v="11"/>
    <x v="6"/>
    <s v="C:\Users\andre\Desktop\REACTIV CEFAS\Testosterone\Testosterone/20201117_Cefas_Test6-Run2/Plate 1/@7/G7_03.tif "/>
    <s v=" 73022.5243 "/>
    <s v=" 59.0649 "/>
    <x v="0"/>
    <n v="4313066"/>
    <m/>
    <m/>
    <m/>
  </r>
  <r>
    <x v="11"/>
    <x v="7"/>
    <s v="C:\Users\andre\Desktop\REACTIV CEFAS\Testosterone\Testosterone/20201117_Cefas_Test6-Run2/Plate 1/@7/H7_01.tif "/>
    <s v=" 104256.092 "/>
    <s v=" 53.838 "/>
    <x v="0"/>
    <n v="5612936"/>
    <m/>
    <m/>
    <m/>
  </r>
  <r>
    <x v="11"/>
    <x v="7"/>
    <s v="C:\Users\andre\Desktop\REACTIV CEFAS\Testosterone\Testosterone/20201117_Cefas_Test6-Run2/Plate 1/@7/H7_02.tif "/>
    <s v=" 89180.0556 "/>
    <s v=" 52.5768 "/>
    <x v="0"/>
    <n v="4688799"/>
    <m/>
    <m/>
    <m/>
  </r>
  <r>
    <x v="11"/>
    <x v="7"/>
    <s v="C:\Users\andre\Desktop\REACTIV CEFAS\Testosterone\Testosterone/20201117_Cefas_Test6-Run2/Plate 1/@7/H7_03.tif "/>
    <s v=" 89288.205 "/>
    <s v=" 54.6105 "/>
    <x v="0"/>
    <n v="4876070"/>
    <m/>
    <m/>
    <m/>
  </r>
  <r>
    <x v="1"/>
    <x v="8"/>
    <s v=" "/>
    <m/>
    <m/>
    <x v="1"/>
    <m/>
    <m/>
    <m/>
    <m/>
  </r>
  <r>
    <x v="1"/>
    <x v="8"/>
    <s v="group "/>
    <s v=" "/>
    <s v=" mean of mean fluo "/>
    <x v="2"/>
    <s v=" mean of total fluo "/>
    <s v=" SD total fluo "/>
    <s v=" n fluorescent "/>
    <s v=" n total"/>
  </r>
  <r>
    <x v="11"/>
    <x v="9"/>
    <s v="C:\Users\andre\Desktop\REACTIV CEFAS\Testosterone\Testosterone/20201117_Cefas_Test6-Run2/Plate 1/@7/ "/>
    <s v=" "/>
    <s v=" 56.6624 "/>
    <x v="13"/>
    <s v=" 4287507.5 "/>
    <s v=" 665763.61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C:\Users\andre\Desktop\REACTIV CEFAS\Testosterone\Testosterone/20201117_Cefas_Test6-Run2/Plate 2/@10/A4_01- exclu.tif"/>
    <m/>
    <m/>
    <x v="1"/>
    <m/>
    <m/>
    <m/>
    <m/>
  </r>
  <r>
    <x v="12"/>
    <x v="0"/>
    <s v="C:\Users\andre\Desktop\REACTIV CEFAS\Testosterone\Testosterone/20201117_Cefas_Test6-Run2/Plate 2/@10/A4_02.tif "/>
    <s v=" 57881.598 "/>
    <s v=" 41.7762 "/>
    <x v="0"/>
    <n v="2418071"/>
    <m/>
    <m/>
    <m/>
  </r>
  <r>
    <x v="12"/>
    <x v="0"/>
    <s v="C:\Users\andre\Desktop\REACTIV CEFAS\Testosterone\Testosterone/20201117_Cefas_Test6-Run2/Plate 2/@10/A4_03.tif "/>
    <s v=" 51608.9286 "/>
    <s v=" 39.6798 "/>
    <x v="0"/>
    <n v="2047832"/>
    <m/>
    <m/>
    <m/>
  </r>
  <r>
    <x v="12"/>
    <x v="1"/>
    <s v="C:\Users\andre\Desktop\REACTIV CEFAS\Testosterone\Testosterone/20201117_Cefas_Test6-Run2/Plate 2/@10/B4_01.tif "/>
    <s v=" 27361.8167 "/>
    <s v=" 34.8957 "/>
    <x v="0"/>
    <n v="954808"/>
    <m/>
    <m/>
    <m/>
  </r>
  <r>
    <x v="12"/>
    <x v="1"/>
    <s v="C:\Users\andre\Desktop\REACTIV CEFAS\Testosterone\Testosterone/20201117_Cefas_Test6-Run2/Plate 2/@10/B4_02.tif "/>
    <s v=" 26604.7704 "/>
    <s v=" 34.9634 "/>
    <x v="0"/>
    <n v="930194"/>
    <m/>
    <m/>
    <m/>
  </r>
  <r>
    <x v="12"/>
    <x v="1"/>
    <s v="C:\Users\andre\Desktop\REACTIV CEFAS\Testosterone\Testosterone/20201117_Cefas_Test6-Run2/Plate 2/@10/B4_03.tif "/>
    <s v=" 35018.7994 "/>
    <s v=" 37.5466 "/>
    <x v="0"/>
    <n v="1314838"/>
    <m/>
    <m/>
    <m/>
  </r>
  <r>
    <x v="12"/>
    <x v="2"/>
    <s v="C:\Users\andre\Desktop\REACTIV CEFAS\Testosterone\Testosterone/20201117_Cefas_Test6-Run2/Plate 2/@10/C4_01- exclu.tif"/>
    <m/>
    <m/>
    <x v="1"/>
    <m/>
    <m/>
    <m/>
    <m/>
  </r>
  <r>
    <x v="12"/>
    <x v="2"/>
    <s v="C:\Users\andre\Desktop\REACTIV CEFAS\Testosterone\Testosterone/20201117_Cefas_Test6-Run2/Plate 2/@10/C4_02- exclu.tif"/>
    <m/>
    <m/>
    <x v="1"/>
    <m/>
    <m/>
    <m/>
    <m/>
  </r>
  <r>
    <x v="12"/>
    <x v="2"/>
    <s v="C:\Users\andre\Desktop\REACTIV CEFAS\Testosterone\Testosterone/20201117_Cefas_Test6-Run2/Plate 2/@10/C4_03- exclu.tif"/>
    <m/>
    <m/>
    <x v="1"/>
    <m/>
    <m/>
    <m/>
    <m/>
  </r>
  <r>
    <x v="12"/>
    <x v="3"/>
    <s v="C:\Users\andre\Desktop\REACTIV CEFAS\Testosterone\Testosterone/20201117_Cefas_Test6-Run2/Plate 2/@10/D4_01.tif "/>
    <s v=" 27340.1868 "/>
    <s v=" 37.4074 "/>
    <x v="0"/>
    <n v="1022726"/>
    <m/>
    <m/>
    <m/>
  </r>
  <r>
    <x v="12"/>
    <x v="3"/>
    <s v="C:\Users\andre\Desktop\REACTIV CEFAS\Testosterone\Testosterone/20201117_Cefas_Test6-Run2/Plate 2/@10/D4_02.tif "/>
    <s v=" 16763.1683 "/>
    <s v=" 37.5394 "/>
    <x v="0"/>
    <n v="629279"/>
    <m/>
    <m/>
    <m/>
  </r>
  <r>
    <x v="12"/>
    <x v="3"/>
    <s v="C:\Users\andre\Desktop\REACTIV CEFAS\Testosterone\Testosterone/20201117_Cefas_Test6-Run2/Plate 2/@10/D4_03.tif "/>
    <s v=" 26431.7312 "/>
    <s v=" 39.0008 "/>
    <x v="0"/>
    <n v="1030859"/>
    <m/>
    <m/>
    <m/>
  </r>
  <r>
    <x v="12"/>
    <x v="4"/>
    <s v="C:\Users\andre\Desktop\REACTIV CEFAS\Testosterone\Testosterone/20201117_Cefas_Test6-Run2/Plate 2/@10/E4_01.tif "/>
    <s v=" 25458.386 "/>
    <s v=" 35.3042 "/>
    <x v="0"/>
    <n v="898787"/>
    <m/>
    <m/>
    <m/>
  </r>
  <r>
    <x v="12"/>
    <x v="4"/>
    <s v="C:\Users\andre\Desktop\REACTIV CEFAS\Testosterone\Testosterone/20201117_Cefas_Test6-Run2/Plate 2/@10/E4_02.tif "/>
    <s v=" 17649.994 "/>
    <s v=" 35.5846 "/>
    <x v="0"/>
    <n v="628067"/>
    <m/>
    <m/>
    <m/>
  </r>
  <r>
    <x v="12"/>
    <x v="4"/>
    <s v="C:\Users\andre\Desktop\REACTIV CEFAS\Testosterone\Testosterone/20201117_Cefas_Test6-Run2/Plate 2/@10/E4_03.tif "/>
    <s v=" 12783.2677 "/>
    <s v=" 33.088 "/>
    <x v="0"/>
    <n v="422973"/>
    <m/>
    <m/>
    <m/>
  </r>
  <r>
    <x v="12"/>
    <x v="5"/>
    <s v="C:\Users\andre\Desktop\REACTIV CEFAS\Testosterone\Testosterone/20201117_Cefas_Test6-Run2/Plate 2/@10/F4_01.tif "/>
    <s v=" 31947.3544 "/>
    <s v=" 34.8639 "/>
    <x v="0"/>
    <n v="1113810"/>
    <m/>
    <m/>
    <m/>
  </r>
  <r>
    <x v="12"/>
    <x v="5"/>
    <s v="C:\Users\andre\Desktop\REACTIV CEFAS\Testosterone\Testosterone/20201117_Cefas_Test6-Run2/Plate 2/@10/F4_02.tif "/>
    <s v=" 35170.2087 "/>
    <s v=" 35.2128 "/>
    <x v="0"/>
    <n v="1238441"/>
    <m/>
    <m/>
    <m/>
  </r>
  <r>
    <x v="12"/>
    <x v="5"/>
    <s v="C:\Users\andre\Desktop\REACTIV CEFAS\Testosterone\Testosterone/20201117_Cefas_Test6-Run2/Plate 2/@10/F4_03.tif "/>
    <s v=" 40556.0524 "/>
    <s v=" 35.2464 "/>
    <x v="0"/>
    <n v="1429455"/>
    <m/>
    <m/>
    <m/>
  </r>
  <r>
    <x v="12"/>
    <x v="6"/>
    <s v="C:\Users\andre\Desktop\REACTIV CEFAS\Testosterone\Testosterone/20201117_Cefas_Test6-Run2/Plate 2/@10/G4_01.tif "/>
    <s v=" 42416.2234 "/>
    <s v=" 42.8552 "/>
    <x v="0"/>
    <n v="1817755"/>
    <m/>
    <m/>
    <m/>
  </r>
  <r>
    <x v="12"/>
    <x v="6"/>
    <s v="C:\Users\andre\Desktop\REACTIV CEFAS\Testosterone\Testosterone/20201117_Cefas_Test6-Run2/Plate 2/@10/G4_02.tif "/>
    <s v=" 43216.5295 "/>
    <s v=" 38.5781 "/>
    <x v="0"/>
    <n v="1667211"/>
    <m/>
    <m/>
    <m/>
  </r>
  <r>
    <x v="12"/>
    <x v="6"/>
    <s v="C:\Users\andre\Desktop\REACTIV CEFAS\Testosterone\Testosterone/20201117_Cefas_Test6-Run2/Plate 2/@10/G4_03.tif "/>
    <s v=" 47023.3909 "/>
    <s v=" 41.8487 "/>
    <x v="0"/>
    <n v="1967866"/>
    <m/>
    <m/>
    <m/>
  </r>
  <r>
    <x v="12"/>
    <x v="7"/>
    <s v="C:\Users\andre\Desktop\REACTIV CEFAS\Testosterone\Testosterone/20201117_Cefas_Test6-Run2/Plate 2/@10/H4_01.tif "/>
    <s v=" 44514.3231 "/>
    <s v=" 36.9859 "/>
    <x v="0"/>
    <n v="1646403"/>
    <m/>
    <m/>
    <m/>
  </r>
  <r>
    <x v="12"/>
    <x v="7"/>
    <s v="C:\Users\andre\Desktop\REACTIV CEFAS\Testosterone\Testosterone/20201117_Cefas_Test6-Run2/Plate 2/@10/H4_02.tif "/>
    <s v=" 49381.0494 "/>
    <s v=" 38.6811 "/>
    <x v="0"/>
    <n v="1910114"/>
    <m/>
    <m/>
    <m/>
  </r>
  <r>
    <x v="12"/>
    <x v="7"/>
    <s v="C:\Users\andre\Desktop\REACTIV CEFAS\Testosterone\Testosterone/20201117_Cefas_Test6-Run2/Plate 2/@10/H4_03.tif "/>
    <s v=" 49835.2772 "/>
    <s v=" 37.5395 "/>
    <x v="0"/>
    <n v="1870791"/>
    <m/>
    <m/>
    <m/>
  </r>
  <r>
    <x v="1"/>
    <x v="8"/>
    <s v=" "/>
    <m/>
    <m/>
    <x v="1"/>
    <m/>
    <m/>
    <m/>
    <m/>
  </r>
  <r>
    <x v="1"/>
    <x v="8"/>
    <s v="group "/>
    <s v=" "/>
    <s v=" mean of mean fluo "/>
    <x v="2"/>
    <s v=" mean of total fluo "/>
    <s v=" SD total fluo "/>
    <s v=" n fluorescent "/>
    <s v=" n total"/>
  </r>
  <r>
    <x v="12"/>
    <x v="9"/>
    <s v="C:\Users\andre\Desktop\REACTIV CEFAS\Testosterone\Testosterone/20201117_Cefas_Test6-Run2/Plate 2/@10/ "/>
    <s v=" "/>
    <s v=" 38.6734 "/>
    <x v="14"/>
    <n v="1244056"/>
    <s v=" 595031.74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C:\Users\andre\Desktop\REACTIV CEFAS\Testosterone\Testosterone/20201117_Cefas_Test6-Run2/Plate 2/@11/A5_01.tif "/>
    <s v=" 49575.7185 "/>
    <s v=" 44.9887 "/>
    <x v="0"/>
    <n v="2230345"/>
    <m/>
    <m/>
    <m/>
  </r>
  <r>
    <x v="13"/>
    <x v="0"/>
    <s v="C:\Users\andre\Desktop\REACTIV CEFAS\Testosterone\Testosterone/20201117_Cefas_Test6-Run2/Plate 2/@11/A5_02- exclu.tif"/>
    <m/>
    <m/>
    <x v="1"/>
    <m/>
    <m/>
    <m/>
    <m/>
  </r>
  <r>
    <x v="13"/>
    <x v="0"/>
    <s v="C:\Users\andre\Desktop\REACTIV CEFAS\Testosterone\Testosterone/20201117_Cefas_Test6-Run2/Plate 2/@11/A5_03.tif "/>
    <s v=" 61731.7193 "/>
    <s v=" 47.3612 "/>
    <x v="0"/>
    <n v="2923691"/>
    <m/>
    <m/>
    <m/>
  </r>
  <r>
    <x v="13"/>
    <x v="1"/>
    <s v="C:\Users\andre\Desktop\REACTIV CEFAS\Testosterone\Testosterone/20201117_Cefas_Test6-Run2/Plate 2/@11/B5_01.tif "/>
    <s v=" 57643.6692 "/>
    <s v=" 43.6364 "/>
    <x v="0"/>
    <n v="2515362"/>
    <m/>
    <m/>
    <m/>
  </r>
  <r>
    <x v="13"/>
    <x v="1"/>
    <s v="C:\Users\andre\Desktop\REACTIV CEFAS\Testosterone\Testosterone/20201117_Cefas_Test6-Run2/Plate 2/@11/B5_02- exclu.tif"/>
    <m/>
    <m/>
    <x v="1"/>
    <m/>
    <m/>
    <m/>
    <m/>
  </r>
  <r>
    <x v="13"/>
    <x v="1"/>
    <s v="C:\Users\andre\Desktop\REACTIV CEFAS\Testosterone\Testosterone/20201117_Cefas_Test6-Run2/Plate 2/@11/B5_03.tif "/>
    <s v=" 57730.1888 "/>
    <s v=" 45.5185 "/>
    <x v="0"/>
    <n v="2627794"/>
    <m/>
    <m/>
    <m/>
  </r>
  <r>
    <x v="13"/>
    <x v="2"/>
    <s v="C:\Users\andre\Desktop\REACTIV CEFAS\Testosterone\Testosterone/20201117_Cefas_Test6-Run2/Plate 2/@11/C5_01.tif "/>
    <s v=" 43043.4903 "/>
    <s v=" 39.4769 "/>
    <x v="0"/>
    <n v="1699223"/>
    <m/>
    <m/>
    <m/>
  </r>
  <r>
    <x v="13"/>
    <x v="2"/>
    <s v="C:\Users\andre\Desktop\REACTIV CEFAS\Testosterone\Testosterone/20201117_Cefas_Test6-Run2/Plate 2/@11/C5_02.tif "/>
    <s v=" 46590.793 "/>
    <s v=" 40.8487 "/>
    <x v="0"/>
    <n v="1903171"/>
    <m/>
    <m/>
    <m/>
  </r>
  <r>
    <x v="13"/>
    <x v="2"/>
    <s v="C:\Users\andre\Desktop\REACTIV CEFAS\Testosterone\Testosterone/20201117_Cefas_Test6-Run2/Plate 2/@11/C5_03.tif "/>
    <s v=" 48970.0814 "/>
    <s v=" 41.4139 "/>
    <x v="0"/>
    <n v="2028041"/>
    <m/>
    <m/>
    <m/>
  </r>
  <r>
    <x v="13"/>
    <x v="3"/>
    <s v="C:\Users\andre\Desktop\REACTIV CEFAS\Testosterone\Testosterone/20201117_Cefas_Test6-Run2/Plate 2/@11/D5_01.tif "/>
    <s v=" 49294.5299 "/>
    <s v=" 43.1351 "/>
    <x v="0"/>
    <n v="2126327"/>
    <m/>
    <m/>
    <m/>
  </r>
  <r>
    <x v="13"/>
    <x v="3"/>
    <s v="C:\Users\andre\Desktop\REACTIV CEFAS\Testosterone\Testosterone/20201117_Cefas_Test6-Run2/Plate 2/@11/D5_02- exclu.tif"/>
    <m/>
    <m/>
    <x v="1"/>
    <m/>
    <m/>
    <m/>
    <m/>
  </r>
  <r>
    <x v="13"/>
    <x v="3"/>
    <s v="C:\Users\andre\Desktop\REACTIV CEFAS\Testosterone\Testosterone/20201117_Cefas_Test6-Run2/Plate 2/@11/D5_03.tif "/>
    <s v=" 58314.1959 "/>
    <s v=" 47.27 "/>
    <x v="0"/>
    <n v="2756514"/>
    <m/>
    <m/>
    <m/>
  </r>
  <r>
    <x v="13"/>
    <x v="4"/>
    <s v="C:\Users\andre\Desktop\REACTIV CEFAS\Testosterone\Testosterone/20201117_Cefas_Test6-Run2/Plate 2/@11/E5_01.tif "/>
    <s v=" 54074.7366 "/>
    <s v=" 43.564 "/>
    <x v="0"/>
    <n v="2355712"/>
    <m/>
    <m/>
    <m/>
  </r>
  <r>
    <x v="13"/>
    <x v="4"/>
    <s v="C:\Users\andre\Desktop\REACTIV CEFAS\Testosterone\Testosterone/20201117_Cefas_Test6-Run2/Plate 2/@11/E5_02.tif "/>
    <s v=" 56259.3559 "/>
    <s v=" 43.5948 "/>
    <x v="0"/>
    <n v="2452614"/>
    <m/>
    <m/>
    <m/>
  </r>
  <r>
    <x v="13"/>
    <x v="4"/>
    <s v="C:\Users\andre\Desktop\REACTIV CEFAS\Testosterone\Testosterone/20201117_Cefas_Test6-Run2/Plate 2/@11/E5_03.tif "/>
    <s v=" 61039.5626 "/>
    <s v=" 43.8636 "/>
    <x v="0"/>
    <n v="2677413"/>
    <m/>
    <m/>
    <m/>
  </r>
  <r>
    <x v="13"/>
    <x v="5"/>
    <s v="C:\Users\andre\Desktop\REACTIV CEFAS\Testosterone\Testosterone/20201117_Cefas_Test6-Run2/Plate 2/@11/F5_01- exclu.tif"/>
    <m/>
    <m/>
    <x v="1"/>
    <m/>
    <m/>
    <m/>
    <m/>
  </r>
  <r>
    <x v="13"/>
    <x v="5"/>
    <s v="C:\Users\andre\Desktop\REACTIV CEFAS\Testosterone\Testosterone/20201117_Cefas_Test6-Run2/Plate 2/@11/F5_02.tif "/>
    <s v=" 55091.3416 "/>
    <s v=" 41.1182 "/>
    <x v="0"/>
    <n v="2265256"/>
    <m/>
    <m/>
    <m/>
  </r>
  <r>
    <x v="13"/>
    <x v="5"/>
    <s v="C:\Users\andre\Desktop\REACTIV CEFAS\Testosterone\Testosterone/20201117_Cefas_Test6-Run2/Plate 2/@11/F5_03.tif "/>
    <s v=" 61774.9791 "/>
    <s v=" 43.3127 "/>
    <x v="0"/>
    <n v="2675640"/>
    <m/>
    <m/>
    <m/>
  </r>
  <r>
    <x v="13"/>
    <x v="6"/>
    <s v="C:\Users\andre\Desktop\REACTIV CEFAS\Testosterone\Testosterone/20201117_Cefas_Test6-Run2/Plate 2/@11/G5_01.tif "/>
    <s v=" 60866.5235 "/>
    <s v=" 41.6848 "/>
    <x v="0"/>
    <n v="2537208"/>
    <m/>
    <m/>
    <m/>
  </r>
  <r>
    <x v="13"/>
    <x v="6"/>
    <s v="C:\Users\andre\Desktop\REACTIV CEFAS\Testosterone\Testosterone/20201117_Cefas_Test6-Run2/Plate 2/@11/G5_02.tif "/>
    <s v=" 57124.5517 "/>
    <s v=" 38.4589 "/>
    <x v="0"/>
    <n v="2196948"/>
    <m/>
    <m/>
    <m/>
  </r>
  <r>
    <x v="13"/>
    <x v="6"/>
    <s v="C:\Users\andre\Desktop\REACTIV CEFAS\Testosterone\Testosterone/20201117_Cefas_Test6-Run2/Plate 2/@11/G5_03.tif "/>
    <s v=" 54009.8469 "/>
    <s v=" 38.3781 "/>
    <x v="0"/>
    <n v="2072793"/>
    <m/>
    <m/>
    <m/>
  </r>
  <r>
    <x v="13"/>
    <x v="7"/>
    <s v="C:\Users\andre\Desktop\REACTIV CEFAS\Testosterone\Testosterone/20201117_Cefas_Test6-Run2/Plate 2/@11/H5_01.tif "/>
    <s v=" 62272.4666 "/>
    <s v=" 40.3137 "/>
    <x v="0"/>
    <n v="2510430"/>
    <m/>
    <m/>
    <m/>
  </r>
  <r>
    <x v="13"/>
    <x v="7"/>
    <s v="C:\Users\andre\Desktop\REACTIV CEFAS\Testosterone\Testosterone/20201117_Cefas_Test6-Run2/Plate 2/@11/H5_02.tif "/>
    <s v=" 76396.7878 "/>
    <s v=" 41.5348 "/>
    <x v="0"/>
    <n v="3173127"/>
    <m/>
    <m/>
    <m/>
  </r>
  <r>
    <x v="13"/>
    <x v="7"/>
    <s v="C:\Users\andre\Desktop\REACTIV CEFAS\Testosterone\Testosterone/20201117_Cefas_Test6-Run2/Plate 2/@11/H5_03.tif "/>
    <s v=" 70426.9369 "/>
    <s v=" 39.5169 "/>
    <x v="0"/>
    <n v="2783054"/>
    <m/>
    <m/>
    <m/>
  </r>
  <r>
    <x v="1"/>
    <x v="8"/>
    <s v=" "/>
    <m/>
    <m/>
    <x v="1"/>
    <m/>
    <m/>
    <m/>
    <m/>
  </r>
  <r>
    <x v="1"/>
    <x v="8"/>
    <s v="group "/>
    <s v=" "/>
    <s v=" mean of mean fluo "/>
    <x v="2"/>
    <s v=" mean of total fluo "/>
    <s v=" SD total fluo "/>
    <s v=" n fluorescent "/>
    <s v=" n total"/>
  </r>
  <r>
    <x v="13"/>
    <x v="9"/>
    <s v="C:\Users\andre\Desktop\REACTIV CEFAS\Testosterone\Testosterone/20201117_Cefas_Test6-Run2/Plate 2/@11/ "/>
    <s v=" "/>
    <s v=" 42.737 "/>
    <x v="15"/>
    <s v=" 2357553.08 "/>
    <s v=" 595744.03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C:\Users\andre\Desktop\REACTIV CEFAS\Testosterone\Testosterone/20201117_Cefas_Test6-Run2/Plate 2/@12/A6_01.tif "/>
    <s v=" 75726.2611 "/>
    <s v=" 49.9237 "/>
    <x v="0"/>
    <n v="3780538"/>
    <m/>
    <m/>
    <m/>
  </r>
  <r>
    <x v="14"/>
    <x v="0"/>
    <s v="C:\Users\andre\Desktop\REACTIV CEFAS\Testosterone\Testosterone/20201117_Cefas_Test6-Run2/Plate 2/@12/A6_02.tif "/>
    <s v=" 71876.1399 "/>
    <s v=" 55.734 "/>
    <x v="0"/>
    <n v="4005943"/>
    <m/>
    <m/>
    <m/>
  </r>
  <r>
    <x v="14"/>
    <x v="0"/>
    <s v="C:\Users\andre\Desktop\REACTIV CEFAS\Testosterone\Testosterone/20201117_Cefas_Test6-Run2/Plate 2/@12/A6_03.tif "/>
    <s v=" 66382.1466 "/>
    <s v=" 57.2023 "/>
    <x v="0"/>
    <n v="3797215"/>
    <m/>
    <m/>
    <m/>
  </r>
  <r>
    <x v="14"/>
    <x v="1"/>
    <s v="C:\Users\andre\Desktop\REACTIV CEFAS\Testosterone\Testosterone/20201117_Cefas_Test6-Run2/Plate 2/@12/B6_01.tif "/>
    <s v=" 31666.1657 "/>
    <s v=" 39.4419 "/>
    <x v="0"/>
    <n v="1248975"/>
    <m/>
    <m/>
    <m/>
  </r>
  <r>
    <x v="14"/>
    <x v="1"/>
    <s v="C:\Users\andre\Desktop\REACTIV CEFAS\Testosterone\Testosterone/20201117_Cefas_Test6-Run2/Plate 2/@12/B6_02.tif "/>
    <s v=" 23727.9944 "/>
    <s v=" 35.9088 "/>
    <x v="0"/>
    <n v="852045"/>
    <m/>
    <m/>
    <m/>
  </r>
  <r>
    <x v="14"/>
    <x v="1"/>
    <s v="C:\Users\andre\Desktop\REACTIV CEFAS\Testosterone\Testosterone/20201117_Cefas_Test6-Run2/Plate 2/@12/B6_03.tif "/>
    <s v=" 39452.9278 "/>
    <s v=" 40.955 "/>
    <x v="0"/>
    <n v="1615796"/>
    <m/>
    <m/>
    <m/>
  </r>
  <r>
    <x v="14"/>
    <x v="2"/>
    <s v="C:\Users\andre\Desktop\REACTIV CEFAS\Testosterone\Testosterone/20201117_Cefas_Test6-Run2/Plate 2/@12/C6_01.tif "/>
    <s v=" 56345.8755 "/>
    <s v=" 44.3919 "/>
    <x v="0"/>
    <n v="2501303"/>
    <m/>
    <m/>
    <m/>
  </r>
  <r>
    <x v="14"/>
    <x v="2"/>
    <s v="C:\Users\andre\Desktop\REACTIV CEFAS\Testosterone\Testosterone/20201117_Cefas_Test6-Run2/Plate 2/@12/C6_02.tif "/>
    <s v=" 57297.5909 "/>
    <s v=" 44.6535 "/>
    <x v="0"/>
    <n v="2558535"/>
    <m/>
    <m/>
    <m/>
  </r>
  <r>
    <x v="14"/>
    <x v="2"/>
    <s v="C:\Users\andre\Desktop\REACTIV CEFAS\Testosterone\Testosterone/20201117_Cefas_Test6-Run2/Plate 2/@12/C6_03.tif "/>
    <s v=" 57946.4877 "/>
    <s v=" 47.0157 "/>
    <x v="0"/>
    <n v="2724393"/>
    <m/>
    <m/>
    <m/>
  </r>
  <r>
    <x v="14"/>
    <x v="3"/>
    <s v="C:\Users\andre\Desktop\REACTIV CEFAS\Testosterone\Testosterone/20201117_Cefas_Test6-Run2/Plate 2/@12/D6_01.tif "/>
    <s v=" 58898.2031 "/>
    <s v=" 41.0665 "/>
    <x v="0"/>
    <n v="2418741"/>
    <m/>
    <m/>
    <m/>
  </r>
  <r>
    <x v="14"/>
    <x v="3"/>
    <s v="C:\Users\andre\Desktop\REACTIV CEFAS\Testosterone\Testosterone/20201117_Cefas_Test6-Run2/Plate 2/@12/D6_02.tif "/>
    <s v=" 58227.6763 "/>
    <s v=" 43.8882 "/>
    <x v="0"/>
    <n v="2555507"/>
    <m/>
    <m/>
    <m/>
  </r>
  <r>
    <x v="14"/>
    <x v="3"/>
    <s v="C:\Users\andre\Desktop\REACTIV CEFAS\Testosterone\Testosterone/20201117_Cefas_Test6-Run2/Plate 2/@12/D6_03.tif "/>
    <s v=" 58919.833 "/>
    <s v=" 41.6314 "/>
    <x v="0"/>
    <n v="2452917"/>
    <m/>
    <m/>
    <m/>
  </r>
  <r>
    <x v="14"/>
    <x v="4"/>
    <s v="C:\Users\andre\Desktop\REACTIV CEFAS\Testosterone\Testosterone/20201117_Cefas_Test6-Run2/Plate 2/@12/E6_01.tif "/>
    <s v=" 55632.089 "/>
    <s v=" 40.9949 "/>
    <x v="0"/>
    <n v="2280634"/>
    <m/>
    <m/>
    <m/>
  </r>
  <r>
    <x v="14"/>
    <x v="4"/>
    <s v="C:\Users\andre\Desktop\REACTIV CEFAS\Testosterone\Testosterone/20201117_Cefas_Test6-Run2/Plate 2/@12/E6_02.tif "/>
    <s v=" 52387.6048 "/>
    <s v=" 41.9798 "/>
    <x v="0"/>
    <n v="2199220"/>
    <m/>
    <m/>
    <m/>
  </r>
  <r>
    <x v="14"/>
    <x v="4"/>
    <s v="C:\Users\andre\Desktop\REACTIV CEFAS\Testosterone\Testosterone/20201117_Cefas_Test6-Run2/Plate 2/@12/E6_03.tif "/>
    <s v=" 58011.3774 "/>
    <s v=" 46.4374 "/>
    <x v="0"/>
    <n v="2693895"/>
    <m/>
    <m/>
    <m/>
  </r>
  <r>
    <x v="14"/>
    <x v="5"/>
    <s v="C:\Users\andre\Desktop\REACTIV CEFAS\Testosterone\Testosterone/20201117_Cefas_Test6-Run2/Plate 2/@12/F6_01.tif "/>
    <s v=" 59330.801 "/>
    <s v=" 43.7197 "/>
    <x v="0"/>
    <n v="2593922"/>
    <m/>
    <m/>
    <m/>
  </r>
  <r>
    <x v="14"/>
    <x v="5"/>
    <s v="C:\Users\andre\Desktop\REACTIV CEFAS\Testosterone\Testosterone/20201117_Cefas_Test6-Run2/Plate 2/@12/F6_02.tif "/>
    <s v=" 61407.2709 "/>
    <s v=" 44.1529 "/>
    <x v="0"/>
    <n v="2711307"/>
    <m/>
    <m/>
    <m/>
  </r>
  <r>
    <x v="14"/>
    <x v="5"/>
    <s v="C:\Users\andre\Desktop\REACTIV CEFAS\Testosterone\Testosterone/20201117_Cefas_Test6-Run2/Plate 2/@12/F6_03.tif "/>
    <s v=" 61580.31 "/>
    <s v=" 46.2684 "/>
    <x v="0"/>
    <n v="2849219"/>
    <m/>
    <m/>
    <m/>
  </r>
  <r>
    <x v="14"/>
    <x v="6"/>
    <s v="C:\Users\andre\Desktop\REACTIV CEFAS\Testosterone\Testosterone/20201117_Cefas_Test6-Run2/Plate 2/@12/G6_01.tif "/>
    <s v=" 84010.5107 "/>
    <s v=" 52.0108 "/>
    <x v="0"/>
    <n v="4369455"/>
    <m/>
    <m/>
    <m/>
  </r>
  <r>
    <x v="14"/>
    <x v="6"/>
    <s v="C:\Users\andre\Desktop\REACTIV CEFAS\Testosterone\Testosterone/20201117_Cefas_Test6-Run2/Plate 2/@12/G6_02.tif "/>
    <s v=" 73930.9798 "/>
    <s v=" 52.0187 "/>
    <x v="0"/>
    <n v="3845795"/>
    <m/>
    <m/>
    <m/>
  </r>
  <r>
    <x v="14"/>
    <x v="6"/>
    <s v="C:\Users\andre\Desktop\REACTIV CEFAS\Testosterone\Testosterone/20201117_Cefas_Test6-Run2/Plate 2/@12/G6_03.tif "/>
    <s v=" 79879.2009 "/>
    <s v=" 52.8703 "/>
    <x v="0"/>
    <n v="4223237"/>
    <m/>
    <m/>
    <m/>
  </r>
  <r>
    <x v="14"/>
    <x v="7"/>
    <s v="C:\Users\andre\Desktop\REACTIV CEFAS\Testosterone\Testosterone/20201117_Cefas_Test6-Run2/Plate 2/@12/H6_01.tif "/>
    <s v=" 57362.4806 "/>
    <s v=" 40.7029 "/>
    <x v="0"/>
    <n v="2334817"/>
    <m/>
    <m/>
    <m/>
  </r>
  <r>
    <x v="14"/>
    <x v="7"/>
    <s v="C:\Users\andre\Desktop\REACTIV CEFAS\Testosterone\Testosterone/20201117_Cefas_Test6-Run2/Plate 2/@12/H6_02.tif "/>
    <s v=" 55069.7117 "/>
    <s v=" 39.5236 "/>
    <x v="0"/>
    <n v="2176551"/>
    <m/>
    <m/>
    <m/>
  </r>
  <r>
    <x v="14"/>
    <x v="7"/>
    <s v="C:\Users\andre\Desktop\REACTIV CEFAS\Testosterone\Testosterone/20201117_Cefas_Test6-Run2/Plate 2/@12/H6_03.tif "/>
    <s v=" 51414.2595 "/>
    <s v=" 39.9369 "/>
    <x v="0"/>
    <n v="2053326"/>
    <m/>
    <m/>
    <m/>
  </r>
  <r>
    <x v="1"/>
    <x v="8"/>
    <s v=" "/>
    <m/>
    <m/>
    <x v="1"/>
    <m/>
    <m/>
    <m/>
    <m/>
  </r>
  <r>
    <x v="1"/>
    <x v="8"/>
    <s v="group "/>
    <s v=" "/>
    <s v=" mean of mean fluo "/>
    <x v="2"/>
    <s v=" mean of total fluo "/>
    <s v=" SD total fluo "/>
    <s v=" n fluorescent "/>
    <s v=" n total"/>
  </r>
  <r>
    <x v="14"/>
    <x v="9"/>
    <s v="C:\Users\andre\Desktop\REACTIV CEFAS\Testosterone\Testosterone/20201117_Cefas_Test6-Run2/Plate 2/@12/ "/>
    <s v=" "/>
    <s v=" 45.1012 "/>
    <x v="16"/>
    <s v=" 2701803.58 "/>
    <s v=" 901687.75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C:\Users\andre\Desktop\REACTIV CEFAS\Testosterone\Testosterone/20201117_Cefas_Test6-Run2/Plate 2/@17/A8_01.tif "/>
    <s v=" 62899.7336 "/>
    <s v=" 38.0334 "/>
    <x v="0"/>
    <n v="2392288"/>
    <m/>
    <m/>
    <m/>
  </r>
  <r>
    <x v="15"/>
    <x v="0"/>
    <s v="C:\Users\andre\Desktop\REACTIV CEFAS\Testosterone\Testosterone/20201117_Cefas_Test6-Run2/Plate 2/@17/A8_02.tif "/>
    <s v=" 63224.182 "/>
    <s v=" 38.7417 "/>
    <x v="0"/>
    <n v="2449413"/>
    <m/>
    <m/>
    <m/>
  </r>
  <r>
    <x v="15"/>
    <x v="0"/>
    <s v="C:\Users\andre\Desktop\REACTIV CEFAS\Testosterone\Testosterone/20201117_Cefas_Test6-Run2/Plate 2/@17/A8_03.tif "/>
    <s v=" 55632.089 "/>
    <s v=" 38.79 "/>
    <x v="0"/>
    <n v="2157971"/>
    <m/>
    <m/>
    <m/>
  </r>
  <r>
    <x v="15"/>
    <x v="1"/>
    <s v="C:\Users\andre\Desktop\REACTIV CEFAS\Testosterone\Testosterone/20201117_Cefas_Test6-Run2/Plate 2/@17/B8_01.tif "/>
    <s v=" 41399.6183 "/>
    <s v=" 38.7759 "/>
    <x v="0"/>
    <n v="1605306"/>
    <m/>
    <m/>
    <m/>
  </r>
  <r>
    <x v="15"/>
    <x v="1"/>
    <s v="C:\Users\andre\Desktop\REACTIV CEFAS\Testosterone\Testosterone/20201117_Cefas_Test6-Run2/Plate 2/@17/B8_02.tif "/>
    <s v=" 44211.5046 "/>
    <s v=" 41.5279 "/>
    <x v="0"/>
    <n v="1836010"/>
    <m/>
    <m/>
    <m/>
  </r>
  <r>
    <x v="15"/>
    <x v="1"/>
    <s v="C:\Users\andre\Desktop\REACTIV CEFAS\Testosterone\Testosterone/20201117_Cefas_Test6-Run2/Plate 2/@17/B8_03.tif "/>
    <s v=" 41075.1699 "/>
    <s v=" 39.6988 "/>
    <x v="0"/>
    <n v="1630634"/>
    <m/>
    <m/>
    <m/>
  </r>
  <r>
    <x v="15"/>
    <x v="2"/>
    <s v="C:\Users\andre\Desktop\REACTIV CEFAS\Testosterone\Testosterone/20201117_Cefas_Test6-Run2/Plate 2/@17/C8_01.tif "/>
    <s v=" 51479.1492 "/>
    <s v=" 38.4744 "/>
    <x v="0"/>
    <n v="1980628"/>
    <m/>
    <m/>
    <m/>
  </r>
  <r>
    <x v="15"/>
    <x v="2"/>
    <s v="C:\Users\andre\Desktop\REACTIV CEFAS\Testosterone\Testosterone/20201117_Cefas_Test6-Run2/Plate 2/@17/C8_02.tif "/>
    <s v=" 49683.868 "/>
    <s v=" 38.135 "/>
    <x v="0"/>
    <n v="1894692"/>
    <m/>
    <m/>
    <m/>
  </r>
  <r>
    <x v="15"/>
    <x v="2"/>
    <s v="C:\Users\andre\Desktop\REACTIV CEFAS\Testosterone\Testosterone/20201117_Cefas_Test6-Run2/Plate 2/@17/C8_03.tif "/>
    <s v=" 63116.0325 "/>
    <s v=" 40.5223 "/>
    <x v="0"/>
    <n v="2557605"/>
    <m/>
    <m/>
    <m/>
  </r>
  <r>
    <x v="15"/>
    <x v="3"/>
    <s v="C:\Users\andre\Desktop\REACTIV CEFAS\Testosterone\Testosterone/20201117_Cefas_Test6-Run2/Plate 2/@17/D8_01- exclu.tif"/>
    <m/>
    <m/>
    <x v="1"/>
    <m/>
    <m/>
    <m/>
    <m/>
  </r>
  <r>
    <x v="15"/>
    <x v="3"/>
    <s v="C:\Users\andre\Desktop\REACTIV CEFAS\Testosterone\Testosterone/20201117_Cefas_Test6-Run2/Plate 2/@17/D8_02- exclu.tif"/>
    <m/>
    <m/>
    <x v="1"/>
    <m/>
    <m/>
    <m/>
    <m/>
  </r>
  <r>
    <x v="15"/>
    <x v="3"/>
    <s v="C:\Users\andre\Desktop\REACTIV CEFAS\Testosterone\Testosterone/20201117_Cefas_Test6-Run2/Plate 2/@17/D8_03- exclu.tif"/>
    <m/>
    <m/>
    <x v="1"/>
    <m/>
    <m/>
    <m/>
    <m/>
  </r>
  <r>
    <x v="15"/>
    <x v="4"/>
    <s v="C:\Users\andre\Desktop\REACTIV CEFAS\Testosterone\Testosterone/20201117_Cefas_Test6-Run2/Plate 2/@17/E8_01.tif "/>
    <s v=" 66273.9971 "/>
    <s v=" 38.4912 "/>
    <x v="0"/>
    <n v="2550965"/>
    <m/>
    <m/>
    <m/>
  </r>
  <r>
    <x v="15"/>
    <x v="4"/>
    <s v="C:\Users\andre\Desktop\REACTIV CEFAS\Testosterone\Testosterone/20201117_Cefas_Test6-Run2/Plate 2/@17/E8_02.tif "/>
    <s v=" 50267.8751 "/>
    <s v=" 36.1467 "/>
    <x v="0"/>
    <n v="1817019"/>
    <m/>
    <m/>
    <m/>
  </r>
  <r>
    <x v="15"/>
    <x v="4"/>
    <s v="C:\Users\andre\Desktop\REACTIV CEFAS\Testosterone\Testosterone/20201117_Cefas_Test6-Run2/Plate 2/@17/E8_03.tif "/>
    <s v=" 48407.7042 "/>
    <s v=" 37.639 "/>
    <x v="0"/>
    <n v="1822016"/>
    <m/>
    <m/>
    <m/>
  </r>
  <r>
    <x v="15"/>
    <x v="5"/>
    <s v="C:\Users\andre\Desktop\REACTIV CEFAS\Testosterone\Testosterone/20201117_Cefas_Test6-Run2/Plate 2/@17/F8_01.tif "/>
    <s v=" 67160.8228 "/>
    <s v=" 44.4332 "/>
    <x v="0"/>
    <n v="2984168"/>
    <m/>
    <m/>
    <m/>
  </r>
  <r>
    <x v="15"/>
    <x v="5"/>
    <s v="C:\Users\andre\Desktop\REACTIV CEFAS\Testosterone\Testosterone/20201117_Cefas_Test6-Run2/Plate 2/@17/F8_02.tif "/>
    <s v=" 63851.4489 "/>
    <s v=" 43.3974 "/>
    <x v="0"/>
    <n v="2770984"/>
    <m/>
    <m/>
    <m/>
  </r>
  <r>
    <x v="15"/>
    <x v="5"/>
    <s v="C:\Users\andre\Desktop\REACTIV CEFAS\Testosterone\Testosterone/20201117_Cefas_Test6-Run2/Plate 2/@17/F8_03.tif "/>
    <s v=" 71746.3605 "/>
    <s v=" 46.2463 "/>
    <x v="0"/>
    <n v="3318004"/>
    <m/>
    <m/>
    <m/>
  </r>
  <r>
    <x v="15"/>
    <x v="6"/>
    <s v="C:\Users\andre\Desktop\REACTIV CEFAS\Testosterone\Testosterone/20201117_Cefas_Test6-Run2/Plate 2/@17/G8_01.tif "/>
    <s v=" 32358.3224 "/>
    <s v=" 37.1203 "/>
    <x v="0"/>
    <n v="1201151"/>
    <m/>
    <m/>
    <m/>
  </r>
  <r>
    <x v="15"/>
    <x v="6"/>
    <s v="C:\Users\andre\Desktop\REACTIV CEFAS\Testosterone\Testosterone/20201117_Cefas_Test6-Run2/Plate 2/@17/G8_02- exclu.tif"/>
    <m/>
    <m/>
    <x v="1"/>
    <m/>
    <m/>
    <m/>
    <m/>
  </r>
  <r>
    <x v="15"/>
    <x v="6"/>
    <s v="C:\Users\andre\Desktop\REACTIV CEFAS\Testosterone\Testosterone/20201117_Cefas_Test6-Run2/Plate 2/@17/G8_03- exclu.tif"/>
    <m/>
    <m/>
    <x v="1"/>
    <m/>
    <m/>
    <m/>
    <m/>
  </r>
  <r>
    <x v="15"/>
    <x v="7"/>
    <s v="C:\Users\andre\Desktop\REACTIV CEFAS\Testosterone\Testosterone/20201117_Cefas_Test6-Run2/Plate 2/@17/H8_01.tif "/>
    <s v=" 26864.3291 "/>
    <s v=" 35.4026 "/>
    <x v="0"/>
    <n v="951066"/>
    <m/>
    <m/>
    <m/>
  </r>
  <r>
    <x v="15"/>
    <x v="7"/>
    <s v="C:\Users\andre\Desktop\REACTIV CEFAS\Testosterone\Testosterone/20201117_Cefas_Test6-Run2/Plate 2/@17/H8_02.tif "/>
    <s v=" 29243.6175 "/>
    <s v=" 35.4371 "/>
    <x v="0"/>
    <n v="1036310"/>
    <m/>
    <m/>
    <m/>
  </r>
  <r>
    <x v="15"/>
    <x v="7"/>
    <s v="C:\Users\andre\Desktop\REACTIV CEFAS\Testosterone\Testosterone/20201117_Cefas_Test6-Run2/Plate 2/@17/H8_03.tif "/>
    <s v=" 31795.9451 "/>
    <s v=" 36.5068 "/>
    <x v="0"/>
    <n v="1160768"/>
    <m/>
    <m/>
    <m/>
  </r>
  <r>
    <x v="1"/>
    <x v="8"/>
    <s v=" "/>
    <m/>
    <m/>
    <x v="1"/>
    <m/>
    <m/>
    <m/>
    <m/>
  </r>
  <r>
    <x v="1"/>
    <x v="8"/>
    <s v="group "/>
    <s v=" "/>
    <s v=" mean of mean fluo "/>
    <x v="2"/>
    <s v=" mean of total fluo "/>
    <s v=" SD total fluo "/>
    <s v=" n fluorescent "/>
    <s v=" n total"/>
  </r>
  <r>
    <x v="15"/>
    <x v="9"/>
    <s v="C:\Users\andre\Desktop\REACTIV CEFAS\Testosterone\Testosterone/20201117_Cefas_Test6-Run2/Plate 2/@17/ "/>
    <s v=" "/>
    <s v=" 39.2555 "/>
    <x v="17"/>
    <s v=" 1739696.83 "/>
    <s v=" 824409.99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C:\Users\andre\Desktop\REACTIV CEFAS\Testosterone\Testosterone/20201117_Cefas_Test6-Run2/Plate 2/@18/A9_01.tif "/>
    <s v=" 50159.7256 "/>
    <s v=" 34.0185 "/>
    <x v="0"/>
    <n v="1706361"/>
    <m/>
    <m/>
    <m/>
  </r>
  <r>
    <x v="16"/>
    <x v="0"/>
    <s v="C:\Users\andre\Desktop\REACTIV CEFAS\Testosterone\Testosterone/20201117_Cefas_Test6-Run2/Plate 2/@18/A9_02.tif "/>
    <s v=" 46958.5012 "/>
    <s v=" 34.3874 "/>
    <x v="0"/>
    <n v="1614780"/>
    <m/>
    <m/>
    <m/>
  </r>
  <r>
    <x v="16"/>
    <x v="0"/>
    <s v="C:\Users\andre\Desktop\REACTIV CEFAS\Testosterone\Testosterone/20201117_Cefas_Test6-Run2/Plate 2/@18/A9_03.tif "/>
    <s v=" 56497.2848 "/>
    <s v=" 36.8985 "/>
    <x v="0"/>
    <n v="2084668"/>
    <m/>
    <m/>
    <m/>
  </r>
  <r>
    <x v="16"/>
    <x v="1"/>
    <s v="C:\Users\andre\Desktop\REACTIV CEFAS\Testosterone\Testosterone/20201117_Cefas_Test6-Run2/Plate 2/@18/B9_01.tif "/>
    <s v=" 52647.1635 "/>
    <s v=" 42.82 "/>
    <x v="0"/>
    <n v="2254354"/>
    <m/>
    <m/>
    <m/>
  </r>
  <r>
    <x v="16"/>
    <x v="1"/>
    <s v="C:\Users\andre\Desktop\REACTIV CEFAS\Testosterone\Testosterone/20201117_Cefas_Test6-Run2/Plate 2/@18/B9_02.tif "/>
    <s v=" 54507.3345 "/>
    <s v=" 43.0587 "/>
    <x v="0"/>
    <n v="2347017"/>
    <m/>
    <m/>
    <m/>
  </r>
  <r>
    <x v="16"/>
    <x v="1"/>
    <s v="C:\Users\andre\Desktop\REACTIV CEFAS\Testosterone\Testosterone/20201117_Cefas_Test6-Run2/Plate 2/@18/B9_03.tif "/>
    <s v=" 58487.2351 "/>
    <s v=" 42.2337 "/>
    <x v="0"/>
    <n v="2470134"/>
    <m/>
    <m/>
    <m/>
  </r>
  <r>
    <x v="16"/>
    <x v="2"/>
    <s v="C:\Users\andre\Desktop\REACTIV CEFAS\Testosterone\Testosterone/20201117_Cefas_Test6-Run2/Plate 2/@18/C9_01.tif "/>
    <s v=" 34910.6499 "/>
    <s v=" 37.5242 "/>
    <x v="0"/>
    <n v="1309993"/>
    <m/>
    <m/>
    <m/>
  </r>
  <r>
    <x v="16"/>
    <x v="2"/>
    <s v="C:\Users\andre\Desktop\REACTIV CEFAS\Testosterone\Testosterone/20201117_Cefas_Test6-Run2/Plate 2/@18/C9_02.tif "/>
    <s v=" 33764.2655 "/>
    <s v=" 35.3652 "/>
    <x v="0"/>
    <n v="1194078"/>
    <m/>
    <m/>
    <m/>
  </r>
  <r>
    <x v="16"/>
    <x v="2"/>
    <s v="C:\Users\andre\Desktop\REACTIV CEFAS\Testosterone\Testosterone/20201117_Cefas_Test6-Run2/Plate 2/@18/C9_03.tif "/>
    <s v=" 31428.2369 "/>
    <s v=" 35.3056 "/>
    <x v="0"/>
    <n v="1109592"/>
    <m/>
    <m/>
    <m/>
  </r>
  <r>
    <x v="16"/>
    <x v="3"/>
    <s v="C:\Users\andre\Desktop\REACTIV CEFAS\Testosterone\Testosterone/20201117_Cefas_Test6-Run2/Plate 2/@18/D9_01.tif "/>
    <s v=" 34564.5716 "/>
    <s v=" 35.3792 "/>
    <x v="0"/>
    <n v="1222868"/>
    <m/>
    <m/>
    <m/>
  </r>
  <r>
    <x v="16"/>
    <x v="3"/>
    <s v="C:\Users\andre\Desktop\REACTIV CEFAS\Testosterone\Testosterone/20201117_Cefas_Test6-Run2/Plate 2/@18/D9_02.tif "/>
    <s v=" 34910.6499 "/>
    <s v=" 36.943 "/>
    <x v="0"/>
    <n v="1289704"/>
    <m/>
    <m/>
    <m/>
  </r>
  <r>
    <x v="16"/>
    <x v="3"/>
    <s v="C:\Users\andre\Desktop\REACTIV CEFAS\Testosterone\Testosterone/20201117_Cefas_Test6-Run2/Plate 2/@18/D9_03.tif "/>
    <s v=" 27924.194 "/>
    <s v=" 34.2688 "/>
    <x v="0"/>
    <n v="956928"/>
    <m/>
    <m/>
    <m/>
  </r>
  <r>
    <x v="16"/>
    <x v="4"/>
    <s v="C:\Users\andre\Desktop\REACTIV CEFAS\Testosterone\Testosterone/20201117_Cefas_Test6-Run2/Plate 2/@18/E9_01.tif "/>
    <s v=" 62596.9151 "/>
    <s v=" 44.3186 "/>
    <x v="0"/>
    <n v="2774207"/>
    <m/>
    <m/>
    <m/>
  </r>
  <r>
    <x v="16"/>
    <x v="4"/>
    <s v="C:\Users\andre\Desktop\REACTIV CEFAS\Testosterone\Testosterone/20201117_Cefas_Test6-Run2/Plate 2/@18/E9_02.tif "/>
    <s v=" 61580.31 "/>
    <s v=" 43.9673 "/>
    <x v="0"/>
    <n v="2707522"/>
    <m/>
    <m/>
    <m/>
  </r>
  <r>
    <x v="16"/>
    <x v="4"/>
    <s v="C:\Users\andre\Desktop\REACTIV CEFAS\Testosterone\Testosterone/20201117_Cefas_Test6-Run2/Plate 2/@18/E9_03.tif "/>
    <s v=" 73736.3108 "/>
    <s v=" 44.0502 "/>
    <x v="0"/>
    <n v="3248096"/>
    <m/>
    <m/>
    <m/>
  </r>
  <r>
    <x v="16"/>
    <x v="5"/>
    <s v="C:\Users\andre\Desktop\REACTIV CEFAS\Testosterone\Testosterone/20201117_Cefas_Test6-Run2/Plate 2/@18/F9_01.tif "/>
    <s v=" 22300.4214 "/>
    <s v=" 34.9505 "/>
    <x v="0"/>
    <n v="779412"/>
    <m/>
    <m/>
    <m/>
  </r>
  <r>
    <x v="16"/>
    <x v="5"/>
    <s v="C:\Users\andre\Desktop\REACTIV CEFAS\Testosterone\Testosterone/20201117_Cefas_Test6-Run2/Plate 2/@18/F9_02.tif "/>
    <s v=" 27058.9982 "/>
    <s v=" 34.263 "/>
    <x v="0"/>
    <n v="927122"/>
    <m/>
    <m/>
    <m/>
  </r>
  <r>
    <x v="16"/>
    <x v="5"/>
    <s v="C:\Users\andre\Desktop\REACTIV CEFAS\Testosterone\Testosterone/20201117_Cefas_Test6-Run2/Plate 2/@18/F9_03.tif "/>
    <s v=" 21889.4534 "/>
    <s v=" 34.0198 "/>
    <x v="0"/>
    <n v="744674"/>
    <m/>
    <m/>
    <m/>
  </r>
  <r>
    <x v="16"/>
    <x v="6"/>
    <s v="C:\Users\andre\Desktop\REACTIV CEFAS\Testosterone\Testosterone/20201117_Cefas_Test6-Run2/Plate 2/@18/G9_01.tif "/>
    <s v=" 50722.1029 "/>
    <s v=" 41.8644 "/>
    <x v="0"/>
    <n v="2123450"/>
    <m/>
    <m/>
    <m/>
  </r>
  <r>
    <x v="16"/>
    <x v="6"/>
    <s v="C:\Users\andre\Desktop\REACTIV CEFAS\Testosterone\Testosterone/20201117_Cefas_Test6-Run2/Plate 2/@18/G9_02.tif "/>
    <s v=" 54896.6726 "/>
    <s v=" 41.0351 "/>
    <x v="0"/>
    <n v="2252689"/>
    <m/>
    <m/>
    <m/>
  </r>
  <r>
    <x v="16"/>
    <x v="6"/>
    <s v="C:\Users\andre\Desktop\REACTIV CEFAS\Testosterone\Testosterone/20201117_Cefas_Test6-Run2/Plate 2/@18/G9_03- exclu.tif"/>
    <m/>
    <m/>
    <x v="1"/>
    <m/>
    <m/>
    <m/>
    <m/>
  </r>
  <r>
    <x v="16"/>
    <x v="7"/>
    <s v="C:\Users\andre\Desktop\REACTIV CEFAS\Testosterone\Testosterone/20201117_Cefas_Test6-Run2/Plate 2/@18/H9_01.tif "/>
    <s v=" 55978.1673 "/>
    <s v=" 39.1851 "/>
    <x v="0"/>
    <n v="2193509"/>
    <m/>
    <m/>
    <m/>
  </r>
  <r>
    <x v="16"/>
    <x v="7"/>
    <s v="C:\Users\andre\Desktop\REACTIV CEFAS\Testosterone\Testosterone/20201117_Cefas_Test6-Run2/Plate 2/@18/H9_02.tif "/>
    <s v=" 50419.2844 "/>
    <s v=" 40.601 "/>
    <x v="0"/>
    <n v="2047075"/>
    <m/>
    <m/>
    <m/>
  </r>
  <r>
    <x v="16"/>
    <x v="7"/>
    <s v="C:\Users\andre\Desktop\REACTIV CEFAS\Testosterone\Testosterone/20201117_Cefas_Test6-Run2/Plate 2/@18/H9_03.tif "/>
    <s v=" 48191.4052 "/>
    <s v=" 38.645 "/>
    <x v="0"/>
    <n v="1862356"/>
    <m/>
    <m/>
    <m/>
  </r>
  <r>
    <x v="1"/>
    <x v="8"/>
    <s v=" "/>
    <m/>
    <m/>
    <x v="1"/>
    <m/>
    <m/>
    <m/>
    <m/>
  </r>
  <r>
    <x v="1"/>
    <x v="8"/>
    <s v="group "/>
    <s v=" "/>
    <s v=" mean of mean fluo "/>
    <x v="2"/>
    <s v=" mean of total fluo "/>
    <s v=" SD total fluo "/>
    <s v=" n fluorescent "/>
    <s v=" n total"/>
  </r>
  <r>
    <x v="16"/>
    <x v="9"/>
    <s v="C:\Users\andre\Desktop\REACTIV CEFAS\Testosterone\Testosterone/20201117_Cefas_Test6-Run2/Plate 2/@18/ "/>
    <s v=" "/>
    <s v=" 38.6308 "/>
    <x v="18"/>
    <s v=" 1805420.33 "/>
    <s v=" 687728.53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C:\Users\andre\Desktop\REACTIV CEFAS\Testosterone\Testosterone/20201117_Cefas_Test6-Run2/Plate 2/@19/A10_01.tif "/>
    <s v=" 27426.7064 "/>
    <s v=" 33.8233 "/>
    <x v="0"/>
    <n v="927663"/>
    <m/>
    <m/>
    <m/>
  </r>
  <r>
    <x v="17"/>
    <x v="0"/>
    <s v="C:\Users\andre\Desktop\REACTIV CEFAS\Testosterone\Testosterone/20201117_Cefas_Test6-Run2/Plate 2/@19/A10_02.tif "/>
    <s v=" 29697.8453 "/>
    <s v=" 36.8725 "/>
    <x v="0"/>
    <n v="1095035"/>
    <m/>
    <m/>
    <m/>
  </r>
  <r>
    <x v="17"/>
    <x v="0"/>
    <s v="C:\Users\andre\Desktop\REACTIV CEFAS\Testosterone\Testosterone/20201117_Cefas_Test6-Run2/Plate 2/@19/A10_03.tif "/>
    <s v=" 36684.3013 "/>
    <s v=" 36.7877 "/>
    <x v="0"/>
    <n v="1349532"/>
    <m/>
    <m/>
    <m/>
  </r>
  <r>
    <x v="17"/>
    <x v="1"/>
    <s v="C:\Users\andre\Desktop\REACTIV CEFAS\Testosterone\Testosterone/20201117_Cefas_Test6-Run2/Plate 2/@19/B10_01.tif "/>
    <s v=" 8089.5806 "/>
    <s v=" 33.0187 "/>
    <x v="0"/>
    <n v="267108"/>
    <m/>
    <m/>
    <m/>
  </r>
  <r>
    <x v="17"/>
    <x v="1"/>
    <s v="C:\Users\andre\Desktop\REACTIV CEFAS\Testosterone\Testosterone/20201117_Cefas_Test6-Run2/Plate 2/@19/B10_02.tif "/>
    <s v=" 13410.5347 "/>
    <s v=" 33.521 "/>
    <x v="0"/>
    <n v="449534"/>
    <m/>
    <m/>
    <m/>
  </r>
  <r>
    <x v="17"/>
    <x v="1"/>
    <s v="C:\Users\andre\Desktop\REACTIV CEFAS\Testosterone\Testosterone/20201117_Cefas_Test6-Run2/Plate 2/@19/B10_03.tif "/>
    <s v=" 12675.1183 "/>
    <s v=" 33.8908 "/>
    <x v="0"/>
    <n v="429570"/>
    <m/>
    <m/>
    <m/>
  </r>
  <r>
    <x v="17"/>
    <x v="2"/>
    <s v="C:\Users\andre\Desktop\REACTIV CEFAS\Testosterone\Testosterone/20201117_Cefas_Test6-Run2/Plate 2/@19/C10_01.tif "/>
    <s v=" 45292.9994 "/>
    <s v=" 40.3973 "/>
    <x v="0"/>
    <n v="1829716"/>
    <m/>
    <m/>
    <m/>
  </r>
  <r>
    <x v="17"/>
    <x v="2"/>
    <s v="C:\Users\andre\Desktop\REACTIV CEFAS\Testosterone\Testosterone/20201117_Cefas_Test6-Run2/Plate 2/@19/C10_02.tif "/>
    <s v=" 48948.4515 "/>
    <s v=" 39.5183 "/>
    <x v="0"/>
    <n v="1934361"/>
    <m/>
    <m/>
    <m/>
  </r>
  <r>
    <x v="17"/>
    <x v="2"/>
    <s v="C:\Users\andre\Desktop\REACTIV CEFAS\Testosterone\Testosterone/20201117_Cefas_Test6-Run2/Plate 2/@19/C10_03.tif "/>
    <s v=" 45055.0705 "/>
    <s v=" 44.9169 "/>
    <x v="0"/>
    <n v="2023736"/>
    <m/>
    <m/>
    <m/>
  </r>
  <r>
    <x v="17"/>
    <x v="3"/>
    <s v="C:\Users\andre\Desktop\REACTIV CEFAS\Testosterone\Testosterone/20201117_Cefas_Test6-Run2/Plate 2/@19/D10_01.tif "/>
    <s v=" 22105.7523 "/>
    <s v=" 34.817 "/>
    <x v="0"/>
    <n v="769657"/>
    <m/>
    <m/>
    <m/>
  </r>
  <r>
    <x v="17"/>
    <x v="3"/>
    <s v="C:\Users\andre\Desktop\REACTIV CEFAS\Testosterone\Testosterone/20201117_Cefas_Test6-Run2/Plate 2/@19/D10_02.tif "/>
    <s v=" 25544.9056 "/>
    <s v=" 36.061 "/>
    <x v="0"/>
    <n v="921174"/>
    <m/>
    <m/>
    <m/>
  </r>
  <r>
    <x v="17"/>
    <x v="3"/>
    <s v="C:\Users\andre\Desktop\REACTIV CEFAS\Testosterone\Testosterone/20201117_Cefas_Test6-Run2/Plate 2/@19/D10_03.tif "/>
    <s v=" 26366.8416 "/>
    <s v=" 36.9352 "/>
    <x v="0"/>
    <n v="973864"/>
    <m/>
    <m/>
    <m/>
  </r>
  <r>
    <x v="17"/>
    <x v="4"/>
    <s v="C:\Users\andre\Desktop\REACTIV CEFAS\Testosterone\Testosterone/20201117_Cefas_Test6-Run2/Plate 2/@19/E10_01.tif "/>
    <s v=" 77889.2506 "/>
    <s v=" 47.1366 "/>
    <x v="0"/>
    <n v="3671437"/>
    <m/>
    <m/>
    <m/>
  </r>
  <r>
    <x v="17"/>
    <x v="4"/>
    <s v="C:\Users\andre\Desktop\REACTIV CEFAS\Testosterone\Testosterone/20201117_Cefas_Test6-Run2/Plate 2/@19/E10_02.tif "/>
    <s v=" 74882.6952 "/>
    <s v=" 45.398 "/>
    <x v="0"/>
    <n v="3399527"/>
    <m/>
    <m/>
    <m/>
  </r>
  <r>
    <x v="17"/>
    <x v="4"/>
    <s v="C:\Users\andre\Desktop\REACTIV CEFAS\Testosterone\Testosterone/20201117_Cefas_Test6-Run2/Plate 2/@19/E10_03.tif "/>
    <s v=" 71032.574 "/>
    <s v=" 47.7205 "/>
    <x v="0"/>
    <n v="3389707"/>
    <m/>
    <m/>
    <m/>
  </r>
  <r>
    <x v="17"/>
    <x v="5"/>
    <s v="C:\Users\andre\Desktop\REACTIV CEFAS\Testosterone\Testosterone/20201117_Cefas_Test6-Run2/Plate 2/@19/F10_01.tif "/>
    <s v=" 38695.8815 "/>
    <s v=" 38.559 "/>
    <x v="0"/>
    <n v="1492073"/>
    <m/>
    <m/>
    <m/>
  </r>
  <r>
    <x v="17"/>
    <x v="5"/>
    <s v="C:\Users\andre\Desktop\REACTIV CEFAS\Testosterone\Testosterone/20201117_Cefas_Test6-Run2/Plate 2/@19/F10_02.tif "/>
    <s v=" 38652.6217 "/>
    <s v=" 38.7375 "/>
    <x v="0"/>
    <n v="1497308"/>
    <m/>
    <m/>
    <m/>
  </r>
  <r>
    <x v="17"/>
    <x v="5"/>
    <s v="C:\Users\andre\Desktop\REACTIV CEFAS\Testosterone\Testosterone/20201117_Cefas_Test6-Run2/Plate 2/@19/F10_03.tif "/>
    <s v=" 39625.967 "/>
    <s v=" 39.768 "/>
    <x v="0"/>
    <n v="1575846"/>
    <m/>
    <m/>
    <m/>
  </r>
  <r>
    <x v="17"/>
    <x v="6"/>
    <s v="C:\Users\andre\Desktop\REACTIV CEFAS\Testosterone\Testosterone/20201117_Cefas_Test6-Run2/Plate 2/@19/G10_01.tif "/>
    <s v=" 13194.2357 "/>
    <s v=" 34.0443 "/>
    <x v="0"/>
    <n v="449188"/>
    <m/>
    <m/>
    <m/>
  </r>
  <r>
    <x v="17"/>
    <x v="6"/>
    <s v="C:\Users\andre\Desktop\REACTIV CEFAS\Testosterone\Testosterone/20201117_Cefas_Test6-Run2/Plate 2/@19/G10_02.tif "/>
    <s v=" 12091.1111 "/>
    <s v=" 34.771 "/>
    <x v="0"/>
    <n v="420420"/>
    <m/>
    <m/>
    <m/>
  </r>
  <r>
    <x v="17"/>
    <x v="6"/>
    <s v="C:\Users\andre\Desktop\REACTIV CEFAS\Testosterone\Testosterone/20201117_Cefas_Test6-Run2/Plate 2/@19/G10_03.tif "/>
    <s v=" 13886.3924 "/>
    <s v=" 35.0607 "/>
    <x v="0"/>
    <n v="486867"/>
    <m/>
    <m/>
    <m/>
  </r>
  <r>
    <x v="17"/>
    <x v="7"/>
    <s v="C:\Users\andre\Desktop\REACTIV CEFAS\Testosterone\Testosterone/20201117_Cefas_Test6-Run2/Plate 2/@19/H10_01.tif "/>
    <s v=" 38371.4331 "/>
    <s v=" 37.4791 "/>
    <x v="0"/>
    <n v="1438128"/>
    <m/>
    <m/>
    <m/>
  </r>
  <r>
    <x v="17"/>
    <x v="7"/>
    <s v="C:\Users\andre\Desktop\REACTIV CEFAS\Testosterone\Testosterone/20201117_Cefas_Test6-Run2/Plate 2/@19/H10_02.tif "/>
    <s v=" 40988.6503 "/>
    <s v=" 37.8016 "/>
    <x v="0"/>
    <n v="1549436"/>
    <m/>
    <m/>
    <m/>
  </r>
  <r>
    <x v="17"/>
    <x v="7"/>
    <s v="C:\Users\andre\Desktop\REACTIV CEFAS\Testosterone\Testosterone/20201117_Cefas_Test6-Run2/Plate 2/@19/H10_03.tif "/>
    <s v=" 38566.1021 "/>
    <s v=" 37.9781 "/>
    <x v="0"/>
    <n v="1464668"/>
    <m/>
    <m/>
    <m/>
  </r>
  <r>
    <x v="1"/>
    <x v="8"/>
    <s v=" "/>
    <m/>
    <m/>
    <x v="1"/>
    <m/>
    <m/>
    <m/>
    <m/>
  </r>
  <r>
    <x v="1"/>
    <x v="8"/>
    <s v="group "/>
    <s v=" "/>
    <s v=" mean of mean fluo "/>
    <x v="2"/>
    <s v=" mean of total fluo "/>
    <s v=" SD total fluo "/>
    <s v=" n fluorescent "/>
    <s v=" n total"/>
  </r>
  <r>
    <x v="17"/>
    <x v="9"/>
    <s v="C:\Users\andre\Desktop\REACTIV CEFAS\Testosterone\Testosterone/20201117_Cefas_Test6-Run2/Plate 2/@19/ "/>
    <s v=" "/>
    <s v=" 38.1256 "/>
    <x v="19"/>
    <s v=" 1408564.79 "/>
    <s v=" 955615.77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C:\Users\andre\Desktop\REACTIV CEFAS\Testosterone\Testosterone/20201117_Cefas_Test6-Run2/Plate 2/@20/A11_01.tif "/>
    <s v=" 45552.5581 "/>
    <s v=" 39.1192 "/>
    <x v="0"/>
    <n v="1781979"/>
    <m/>
    <m/>
    <m/>
  </r>
  <r>
    <x v="18"/>
    <x v="0"/>
    <s v="C:\Users\andre\Desktop\REACTIV CEFAS\Testosterone\Testosterone/20201117_Cefas_Test6-Run2/Plate 2/@20/A11_02.tif "/>
    <s v=" 49554.0886 "/>
    <s v=" 40.0973 "/>
    <x v="0"/>
    <n v="1986987"/>
    <m/>
    <m/>
    <m/>
  </r>
  <r>
    <x v="18"/>
    <x v="0"/>
    <s v="C:\Users\andre\Desktop\REACTIV CEFAS\Testosterone\Testosterone/20201117_Cefas_Test6-Run2/Plate 2/@20/A11_03.tif "/>
    <s v=" 55653.7189 "/>
    <s v=" 44.1753 "/>
    <x v="0"/>
    <n v="2458519"/>
    <m/>
    <m/>
    <m/>
  </r>
  <r>
    <x v="18"/>
    <x v="1"/>
    <s v="C:\Users\andre\Desktop\REACTIV CEFAS\Testosterone\Testosterone/20201117_Cefas_Test6-Run2/Plate 2/@20/B11_01.tif "/>
    <s v=" 43346.3088 "/>
    <s v=" 40.3383 "/>
    <x v="0"/>
    <n v="1748517"/>
    <m/>
    <m/>
    <m/>
  </r>
  <r>
    <x v="18"/>
    <x v="1"/>
    <s v="C:\Users\andre\Desktop\REACTIV CEFAS\Testosterone\Testosterone/20201117_Cefas_Test6-Run2/Plate 2/@20/B11_02.tif "/>
    <s v=" 48818.6722 "/>
    <s v=" 41.6105 "/>
    <x v="0"/>
    <n v="2031372"/>
    <m/>
    <m/>
    <m/>
  </r>
  <r>
    <x v="18"/>
    <x v="1"/>
    <s v="C:\Users\andre\Desktop\REACTIV CEFAS\Testosterone\Testosterone/20201117_Cefas_Test6-Run2/Plate 2/@20/B11_03.tif "/>
    <s v=" 51738.708 "/>
    <s v=" 41.5615 "/>
    <x v="0"/>
    <n v="2150336"/>
    <m/>
    <m/>
    <m/>
  </r>
  <r>
    <x v="18"/>
    <x v="2"/>
    <s v="C:\Users\andre\Desktop\REACTIV CEFAS\Testosterone\Testosterone/20201117_Cefas_Test6-Run2/Plate 2/@20/C11_01.tif "/>
    <s v=" 62553.6553 "/>
    <s v=" 43.5225 "/>
    <x v="0"/>
    <n v="2722490"/>
    <m/>
    <m/>
    <m/>
  </r>
  <r>
    <x v="18"/>
    <x v="2"/>
    <s v="C:\Users\andre\Desktop\REACTIV CEFAS\Testosterone\Testosterone/20201117_Cefas_Test6-Run2/Plate 2/@20/C11_02.tif "/>
    <s v=" 64868.054 "/>
    <s v=" 46.2467 "/>
    <x v="0"/>
    <n v="2999937"/>
    <m/>
    <m/>
    <m/>
  </r>
  <r>
    <x v="18"/>
    <x v="2"/>
    <s v="C:\Users\andre\Desktop\REACTIV CEFAS\Testosterone\Testosterone/20201117_Cefas_Test6-Run2/Plate 2/@20/C11_03.tif "/>
    <s v=" 68804.6948 "/>
    <s v=" 45.2053 "/>
    <x v="0"/>
    <n v="3110336"/>
    <m/>
    <m/>
    <m/>
  </r>
  <r>
    <x v="18"/>
    <x v="3"/>
    <s v="C:\Users\andre\Desktop\REACTIV CEFAS\Testosterone\Testosterone/20201117_Cefas_Test6-Run2/Plate 2/@20/D11_01.tif "/>
    <s v=" 58465.6052 "/>
    <s v=" 42.3011 "/>
    <x v="0"/>
    <n v="2473162"/>
    <m/>
    <m/>
    <m/>
  </r>
  <r>
    <x v="18"/>
    <x v="3"/>
    <s v="C:\Users\andre\Desktop\REACTIV CEFAS\Testosterone\Testosterone/20201117_Cefas_Test6-Run2/Plate 2/@20/D11_02.tif "/>
    <s v=" 58487.2351 "/>
    <s v=" 42.7263 "/>
    <x v="0"/>
    <n v="2498945"/>
    <m/>
    <m/>
    <m/>
  </r>
  <r>
    <x v="18"/>
    <x v="3"/>
    <s v="C:\Users\andre\Desktop\REACTIV CEFAS\Testosterone\Testosterone/20201117_Cefas_Test6-Run2/Plate 2/@20/D11_03.tif "/>
    <s v=" 54810.153 "/>
    <s v=" 48.4333 "/>
    <x v="0"/>
    <n v="2654637"/>
    <m/>
    <m/>
    <m/>
  </r>
  <r>
    <x v="18"/>
    <x v="4"/>
    <s v="C:\Users\andre\Desktop\REACTIV CEFAS\Testosterone\Testosterone/20201117_Cefas_Test6-Run2/Plate 2/@20/E11_01.tif "/>
    <s v=" 35689.3261 "/>
    <s v=" 42.5933 "/>
    <x v="0"/>
    <n v="1520127"/>
    <m/>
    <m/>
    <m/>
  </r>
  <r>
    <x v="18"/>
    <x v="4"/>
    <s v="C:\Users\andre\Desktop\REACTIV CEFAS\Testosterone\Testosterone/20201117_Cefas_Test6-Run2/Plate 2/@20/E11_02.tif "/>
    <s v=" 37744.1661 "/>
    <s v=" 43.4779 "/>
    <x v="0"/>
    <n v="1641038"/>
    <m/>
    <m/>
    <m/>
  </r>
  <r>
    <x v="18"/>
    <x v="4"/>
    <s v="C:\Users\andre\Desktop\REACTIV CEFAS\Testosterone\Testosterone/20201117_Cefas_Test6-Run2/Plate 2/@20/E11_03.tif "/>
    <s v=" 43735.6469 "/>
    <s v=" 42.6721 "/>
    <x v="0"/>
    <n v="1866292"/>
    <m/>
    <m/>
    <m/>
  </r>
  <r>
    <x v="18"/>
    <x v="5"/>
    <s v="C:\Users\andre\Desktop\REACTIV CEFAS\Testosterone\Testosterone/20201117_Cefas_Test6-Run2/Plate 2/@20/F11_01.tif "/>
    <s v=" 48818.6722 "/>
    <s v=" 42.724 "/>
    <x v="0"/>
    <n v="2085727"/>
    <m/>
    <m/>
    <m/>
  </r>
  <r>
    <x v="18"/>
    <x v="5"/>
    <s v="C:\Users\andre\Desktop\REACTIV CEFAS\Testosterone\Testosterone/20201117_Cefas_Test6-Run2/Plate 2/@20/F11_02.tif "/>
    <s v=" 42654.1522 "/>
    <s v=" 40.0213 "/>
    <x v="0"/>
    <n v="1707075"/>
    <m/>
    <m/>
    <m/>
  </r>
  <r>
    <x v="18"/>
    <x v="5"/>
    <s v="C:\Users\andre\Desktop\REACTIV CEFAS\Testosterone\Testosterone/20201117_Cefas_Test6-Run2/Plate 2/@20/F11_03.tif "/>
    <s v=" 42286.444 "/>
    <s v=" 39.5417 "/>
    <x v="0"/>
    <n v="1672077"/>
    <m/>
    <m/>
    <m/>
  </r>
  <r>
    <x v="18"/>
    <x v="6"/>
    <s v="C:\Users\andre\Desktop\REACTIV CEFAS\Testosterone\Testosterone/20201117_Cefas_Test6-Run2/Plate 2/@20/G11_01.tif "/>
    <s v=" 46158.1951 "/>
    <s v=" 39.7938 "/>
    <x v="0"/>
    <n v="1836811"/>
    <m/>
    <m/>
    <m/>
  </r>
  <r>
    <x v="18"/>
    <x v="6"/>
    <s v="C:\Users\andre\Desktop\REACTIV CEFAS\Testosterone\Testosterone/20201117_Cefas_Test6-Run2/Plate 2/@20/G11_02.tif "/>
    <s v=" 56691.9538 "/>
    <s v=" 44.1301 "/>
    <x v="0"/>
    <n v="2501822"/>
    <m/>
    <m/>
    <m/>
  </r>
  <r>
    <x v="18"/>
    <x v="6"/>
    <s v="C:\Users\andre\Desktop\REACTIV CEFAS\Testosterone\Testosterone/20201117_Cefas_Test6-Run2/Plate 2/@20/G11_03.tif "/>
    <s v=" 47347.8393 "/>
    <s v=" 42.863 "/>
    <x v="0"/>
    <n v="2029468"/>
    <m/>
    <m/>
    <m/>
  </r>
  <r>
    <x v="18"/>
    <x v="7"/>
    <s v="C:\Users\andre\Desktop\REACTIV CEFAS\Testosterone\Testosterone/20201117_Cefas_Test6-Run2/Plate 2/@20/H11_01.tif "/>
    <s v=" 34131.9737 "/>
    <s v=" 38.6153 "/>
    <x v="0"/>
    <n v="1318018"/>
    <m/>
    <m/>
    <m/>
  </r>
  <r>
    <x v="18"/>
    <x v="7"/>
    <s v="C:\Users\andre\Desktop\REACTIV CEFAS\Testosterone\Testosterone/20201117_Cefas_Test6-Run2/Plate 2/@20/H11_02.tif "/>
    <s v=" 40556.0524 "/>
    <s v=" 40.3109 "/>
    <x v="0"/>
    <n v="1634852"/>
    <m/>
    <m/>
    <m/>
  </r>
  <r>
    <x v="18"/>
    <x v="7"/>
    <s v="C:\Users\andre\Desktop\REACTIV CEFAS\Testosterone\Testosterone/20201117_Cefas_Test6-Run2/Plate 2/@20/H11_03.tif "/>
    <s v=" 35191.8386 "/>
    <s v=" 40.8746 "/>
    <x v="0"/>
    <n v="1438453"/>
    <m/>
    <m/>
    <m/>
  </r>
  <r>
    <x v="1"/>
    <x v="8"/>
    <s v=" "/>
    <m/>
    <m/>
    <x v="1"/>
    <m/>
    <m/>
    <m/>
    <m/>
  </r>
  <r>
    <x v="1"/>
    <x v="8"/>
    <s v="group "/>
    <s v=" "/>
    <s v=" mean of mean fluo "/>
    <x v="2"/>
    <s v=" mean of total fluo "/>
    <s v=" SD total fluo "/>
    <s v=" n fluorescent "/>
    <s v=" n total"/>
  </r>
  <r>
    <x v="18"/>
    <x v="9"/>
    <s v="C:\Users\andre\Desktop\REACTIV CEFAS\Testosterone\Testosterone/20201117_Cefas_Test6-Run2/Plate 2/@20/ "/>
    <s v=" "/>
    <s v=" 42.2065 "/>
    <x v="20"/>
    <s v=" 2077874.04 "/>
    <s v=" 494583.93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C:\Users\andre\Desktop\REACTIV CEFAS\Testosterone\Testosterone/20201117_Cefas_Test6-Run2/Plate 2/@21/A12_01.tif "/>
    <s v=" 60109.4772 "/>
    <s v=" 41.4642 "/>
    <x v="0"/>
    <n v="2492391"/>
    <m/>
    <m/>
    <m/>
  </r>
  <r>
    <x v="19"/>
    <x v="0"/>
    <s v="C:\Users\andre\Desktop\REACTIV CEFAS\Testosterone\Testosterone/20201117_Cefas_Test6-Run2/Plate 2/@21/A12_02.tif "/>
    <s v=" 74277.0582 "/>
    <s v=" 44.4685 "/>
    <x v="0"/>
    <n v="3302993"/>
    <m/>
    <m/>
    <m/>
  </r>
  <r>
    <x v="19"/>
    <x v="0"/>
    <s v="C:\Users\andre\Desktop\REACTIV CEFAS\Testosterone\Testosterone/20201117_Cefas_Test6-Run2/Plate 2/@21/A12_03.tif "/>
    <s v=" 68588.3959 "/>
    <s v=" 40.217 "/>
    <x v="0"/>
    <n v="2758417"/>
    <m/>
    <m/>
    <m/>
  </r>
  <r>
    <x v="19"/>
    <x v="1"/>
    <s v="C:\Users\andre\Desktop\REACTIV CEFAS\Testosterone\Testosterone/20201117_Cefas_Test6-Run2/Plate 2/@21/B12_01.tif "/>
    <s v=" 69929.4493 "/>
    <s v=" 45.6131 "/>
    <x v="0"/>
    <n v="3189696"/>
    <m/>
    <m/>
    <m/>
  </r>
  <r>
    <x v="19"/>
    <x v="1"/>
    <s v="C:\Users\andre\Desktop\REACTIV CEFAS\Testosterone\Testosterone/20201117_Cefas_Test6-Run2/Plate 2/@21/B12_02.tif "/>
    <s v=" 71292.1327 "/>
    <s v=" 45.274 "/>
    <x v="0"/>
    <n v="3227678"/>
    <m/>
    <m/>
    <m/>
  </r>
  <r>
    <x v="19"/>
    <x v="1"/>
    <s v="C:\Users\andre\Desktop\REACTIV CEFAS\Testosterone\Testosterone/20201117_Cefas_Test6-Run2/Plate 2/@21/B12_03.tif "/>
    <s v=" 71573.3213 "/>
    <s v=" 45.6842 "/>
    <x v="0"/>
    <n v="3269770"/>
    <m/>
    <m/>
    <m/>
  </r>
  <r>
    <x v="19"/>
    <x v="2"/>
    <s v="C:\Users\andre\Desktop\REACTIV CEFAS\Testosterone\Testosterone/20201117_Cefas_Test6-Run2/Plate 2/@21/C12_01- exclu.tif"/>
    <m/>
    <m/>
    <x v="1"/>
    <m/>
    <m/>
    <m/>
    <m/>
  </r>
  <r>
    <x v="19"/>
    <x v="2"/>
    <s v="C:\Users\andre\Desktop\REACTIV CEFAS\Testosterone\Testosterone/20201117_Cefas_Test6-Run2/Plate 2/@21/C12_02.tif "/>
    <s v=" 31536.3864 "/>
    <s v=" 38.7037 "/>
    <x v="0"/>
    <n v="1220575"/>
    <m/>
    <m/>
    <m/>
  </r>
  <r>
    <x v="19"/>
    <x v="2"/>
    <s v="C:\Users\andre\Desktop\REACTIV CEFAS\Testosterone\Testosterone/20201117_Cefas_Test6-Run2/Plate 2/@21/C12_03.tif "/>
    <s v=" 30563.0411 "/>
    <s v=" 41.4098 "/>
    <x v="0"/>
    <n v="1265608"/>
    <m/>
    <m/>
    <m/>
  </r>
  <r>
    <x v="19"/>
    <x v="3"/>
    <s v="C:\Users\andre\Desktop\REACTIV CEFAS\Testosterone\Testosterone/20201117_Cefas_Test6-Run2/Plate 2/@21/D12_01.tif "/>
    <s v=" 3266.1141 "/>
    <s v=" 32.1987 "/>
    <x v="0"/>
    <n v="105165"/>
    <m/>
    <m/>
    <m/>
  </r>
  <r>
    <x v="19"/>
    <x v="3"/>
    <s v="C:\Users\andre\Desktop\REACTIV CEFAS\Testosterone\Testosterone/20201117_Cefas_Test6-Run2/Plate 2/@21/D12_02.tif "/>
    <s v=" 1968.3204 "/>
    <s v=" 33.4286 "/>
    <x v="0"/>
    <n v="65798"/>
    <m/>
    <m/>
    <m/>
  </r>
  <r>
    <x v="19"/>
    <x v="3"/>
    <s v="C:\Users\andre\Desktop\REACTIV CEFAS\Testosterone\Testosterone/20201117_Cefas_Test6-Run2/Plate 2/@21/D12_03.tif "/>
    <s v=" 1362.6834 "/>
    <s v=" 31.873 "/>
    <x v="0"/>
    <n v="43433"/>
    <m/>
    <m/>
    <m/>
  </r>
  <r>
    <x v="19"/>
    <x v="4"/>
    <s v="C:\Users\andre\Desktop\REACTIV CEFAS\Testosterone\Testosterone/20201117_Cefas_Test6-Run2/Plate 2/@21/E12_01- exclu.tif"/>
    <m/>
    <m/>
    <x v="1"/>
    <m/>
    <m/>
    <m/>
    <m/>
  </r>
  <r>
    <x v="19"/>
    <x v="4"/>
    <s v="C:\Users\andre\Desktop\REACTIV CEFAS\Testosterone\Testosterone/20201117_Cefas_Test6-Run2/Plate 2/@21/E12_02- exclu.tif"/>
    <m/>
    <m/>
    <x v="1"/>
    <m/>
    <m/>
    <m/>
    <m/>
  </r>
  <r>
    <x v="19"/>
    <x v="4"/>
    <s v="C:\Users\andre\Desktop\REACTIV CEFAS\Testosterone\Testosterone/20201117_Cefas_Test6-Run2/Plate 2/@21/E12_03- exclu.tif"/>
    <m/>
    <m/>
    <x v="1"/>
    <m/>
    <m/>
    <m/>
    <m/>
  </r>
  <r>
    <x v="19"/>
    <x v="5"/>
    <s v="C:\Users\andre\Desktop\REACTIV CEFAS\Testosterone\Testosterone/20201117_Cefas_Test6-Run2/Plate 2/@21/F12_01.tif "/>
    <s v=" 55350.9004 "/>
    <s v=" 39.3904 "/>
    <x v="0"/>
    <n v="2180293"/>
    <m/>
    <m/>
    <m/>
  </r>
  <r>
    <x v="19"/>
    <x v="5"/>
    <s v="C:\Users\andre\Desktop\REACTIV CEFAS\Testosterone\Testosterone/20201117_Cefas_Test6-Run2/Plate 2/@21/F12_02.tif "/>
    <s v=" 54269.4056 "/>
    <s v=" 41.7425 "/>
    <x v="0"/>
    <n v="2265342"/>
    <m/>
    <m/>
    <m/>
  </r>
  <r>
    <x v="19"/>
    <x v="5"/>
    <s v="C:\Users\andre\Desktop\REACTIV CEFAS\Testosterone\Testosterone/20201117_Cefas_Test6-Run2/Plate 2/@21/F12_03.tif "/>
    <s v=" 71270.5028 "/>
    <s v=" 44.1187 "/>
    <x v="0"/>
    <n v="3144359"/>
    <m/>
    <m/>
    <m/>
  </r>
  <r>
    <x v="19"/>
    <x v="6"/>
    <s v="C:\Users\andre\Desktop\REACTIV CEFAS\Testosterone\Testosterone/20201117_Cefas_Test6-Run2/Plate 2/@21/G12_01.tif "/>
    <s v=" 35602.8066 "/>
    <s v=" 40.1197 "/>
    <x v="0"/>
    <n v="1428373"/>
    <m/>
    <m/>
    <m/>
  </r>
  <r>
    <x v="19"/>
    <x v="6"/>
    <s v="C:\Users\andre\Desktop\REACTIV CEFAS\Testosterone\Testosterone/20201117_Cefas_Test6-Run2/Plate 2/@21/G12_02.tif "/>
    <s v=" 42632.5223 "/>
    <s v=" 47.2699 "/>
    <x v="0"/>
    <n v="2015236"/>
    <m/>
    <m/>
    <m/>
  </r>
  <r>
    <x v="19"/>
    <x v="6"/>
    <s v="C:\Users\andre\Desktop\REACTIV CEFAS\Testosterone\Testosterone/20201117_Cefas_Test6-Run2/Plate 2/@21/G12_03.tif "/>
    <s v=" 42308.0739 "/>
    <s v=" 42.2751 "/>
    <x v="0"/>
    <n v="1788576"/>
    <m/>
    <m/>
    <m/>
  </r>
  <r>
    <x v="19"/>
    <x v="7"/>
    <s v="C:\Users\andre\Desktop\REACTIV CEFAS\Testosterone\Testosterone/20201117_Cefas_Test6-Run2/Plate 2/@21/H12_01.tif "/>
    <s v=" 41529.3977 "/>
    <s v=" 39.012 "/>
    <x v="0"/>
    <n v="1620144"/>
    <m/>
    <m/>
    <m/>
  </r>
  <r>
    <x v="19"/>
    <x v="7"/>
    <s v="C:\Users\andre\Desktop\REACTIV CEFAS\Testosterone\Testosterone/20201117_Cefas_Test6-Run2/Plate 2/@21/H12_02.tif "/>
    <s v=" 49229.6402 "/>
    <s v=" 41.0681 "/>
    <x v="0"/>
    <n v="2021768"/>
    <m/>
    <m/>
    <m/>
  </r>
  <r>
    <x v="19"/>
    <x v="7"/>
    <s v="C:\Users\andre\Desktop\REACTIV CEFAS\Testosterone\Testosterone/20201117_Cefas_Test6-Run2/Plate 2/@21/H12_03.tif "/>
    <s v=" 48450.964 "/>
    <s v=" 40.4719 "/>
    <x v="0"/>
    <n v="1960901"/>
    <m/>
    <m/>
    <m/>
  </r>
  <r>
    <x v="1"/>
    <x v="8"/>
    <s v=" "/>
    <m/>
    <m/>
    <x v="1"/>
    <m/>
    <m/>
    <m/>
    <m/>
  </r>
  <r>
    <x v="1"/>
    <x v="8"/>
    <s v="group "/>
    <s v=" "/>
    <s v=" mean of mean fluo "/>
    <x v="2"/>
    <s v=" mean of total fluo "/>
    <s v=" SD total fluo "/>
    <s v=" n fluorescent "/>
    <s v=" n total"/>
  </r>
  <r>
    <x v="19"/>
    <x v="9"/>
    <s v="C:\Users\andre\Desktop\REACTIV CEFAS\Testosterone\Testosterone/20201117_Cefas_Test6-Run2/Plate 2/@21/ "/>
    <s v=" "/>
    <s v=" 35.8232 "/>
    <x v="21"/>
    <s v=" 1675884.21 "/>
    <s v=" 1180968.21 "/>
    <n v="21"/>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C:\Users\andre\Desktop\REACTIV CEFAS\Testosterone\Testosterone/20201117_Cefas_Test6-Run2/Plate 2/@8/A2_01.tif "/>
    <s v=" 3309.3739 "/>
    <s v=" 32.2484 "/>
    <x v="0"/>
    <n v="106722"/>
    <m/>
    <m/>
    <m/>
  </r>
  <r>
    <x v="20"/>
    <x v="0"/>
    <s v="C:\Users\andre\Desktop\REACTIV CEFAS\Testosterone\Testosterone/20201117_Cefas_Test6-Run2/Plate 2/@8/A2_02.tif "/>
    <s v=" 4628.7975 "/>
    <s v=" 36.8131 "/>
    <x v="0"/>
    <n v="170400"/>
    <m/>
    <m/>
    <m/>
  </r>
  <r>
    <x v="20"/>
    <x v="0"/>
    <s v="C:\Users\andre\Desktop\REACTIV CEFAS\Testosterone\Testosterone/20201117_Cefas_Test6-Run2/Plate 2/@8/A2_03.tif "/>
    <s v=" 7678.6126 "/>
    <s v=" 38.4085 "/>
    <x v="0"/>
    <n v="294924"/>
    <m/>
    <m/>
    <m/>
  </r>
  <r>
    <x v="20"/>
    <x v="1"/>
    <s v="C:\Users\andre\Desktop\REACTIV CEFAS\Testosterone\Testosterone/20201117_Cefas_Test6-Run2/Plate 2/@8/B2_01.tif "/>
    <s v=" 389.3381 "/>
    <s v=" 32.4444 "/>
    <x v="0"/>
    <n v="12632"/>
    <m/>
    <m/>
    <m/>
  </r>
  <r>
    <x v="20"/>
    <x v="1"/>
    <s v="C:\Users\andre\Desktop\REACTIV CEFAS\Testosterone\Testosterone/20201117_Cefas_Test6-Run2/Plate 2/@8/B2_02.tif "/>
    <s v=" 3741.9718 "/>
    <s v=" 35.1908 "/>
    <x v="0"/>
    <n v="131683"/>
    <m/>
    <m/>
    <m/>
  </r>
  <r>
    <x v="20"/>
    <x v="1"/>
    <s v="C:\Users\andre\Desktop\REACTIV CEFAS\Testosterone\Testosterone/20201117_Cefas_Test6-Run2/Plate 2/@8/B2_03.tif "/>
    <s v=" 3612.1924 "/>
    <s v=" 36.9401 "/>
    <x v="0"/>
    <n v="133435"/>
    <m/>
    <m/>
    <m/>
  </r>
  <r>
    <x v="20"/>
    <x v="2"/>
    <s v="C:\Users\andre\Desktop\REACTIV CEFAS\Testosterone\Testosterone/20201117_Cefas_Test6-Run2/Plate 2/@8/C2_01.tif "/>
    <s v=" 6726.8972 "/>
    <s v=" 33.4437 "/>
    <x v="0"/>
    <n v="224973"/>
    <m/>
    <m/>
    <m/>
  </r>
  <r>
    <x v="20"/>
    <x v="2"/>
    <s v="C:\Users\andre\Desktop\REACTIV CEFAS\Testosterone\Testosterone/20201117_Cefas_Test6-Run2/Plate 2/@8/C2_02.tif "/>
    <s v=" 4434.1284 "/>
    <s v=" 34.9951 "/>
    <x v="0"/>
    <n v="155173"/>
    <m/>
    <m/>
    <m/>
  </r>
  <r>
    <x v="20"/>
    <x v="2"/>
    <s v="C:\Users\andre\Desktop\REACTIV CEFAS\Testosterone\Testosterone/20201117_Cefas_Test6-Run2/Plate 2/@8/C2_03.tif "/>
    <s v=" 6142.8901 "/>
    <s v=" 34.162 "/>
    <x v="0"/>
    <n v="209853"/>
    <m/>
    <m/>
    <m/>
  </r>
  <r>
    <x v="20"/>
    <x v="3"/>
    <s v="C:\Users\andre\Desktop\REACTIV CEFAS\Testosterone\Testosterone/20201117_Cefas_Test6-Run2/Plate 2/@8/D2_01.tif "/>
    <s v=" 1449.2029 "/>
    <s v=" 33.5672 "/>
    <x v="0"/>
    <n v="48646"/>
    <m/>
    <m/>
    <m/>
  </r>
  <r>
    <x v="20"/>
    <x v="3"/>
    <s v="C:\Users\andre\Desktop\REACTIV CEFAS\Testosterone\Testosterone/20201117_Cefas_Test6-Run2/Plate 2/@8/D2_02.tif "/>
    <s v=" 43.2598 "/>
    <n v="30"/>
    <x v="0"/>
    <n v="1298"/>
    <m/>
    <m/>
    <m/>
  </r>
  <r>
    <x v="20"/>
    <x v="3"/>
    <s v="C:\Users\andre\Desktop\REACTIV CEFAS\Testosterone\Testosterone/20201117_Cefas_Test6-Run2/Plate 2/@8/D2_03.tif "/>
    <s v=" 1211.2741 "/>
    <s v=" 34.1786 "/>
    <x v="0"/>
    <n v="41400"/>
    <m/>
    <m/>
    <m/>
  </r>
  <r>
    <x v="20"/>
    <x v="4"/>
    <s v="C:\Users\andre\Desktop\REACTIV CEFAS\Testosterone\Testosterone/20201117_Cefas_Test6-Run2/Plate 2/@8/E2_01.tif "/>
    <s v=" 4953.2459 "/>
    <s v=" 35.4498 "/>
    <x v="0"/>
    <n v="175591"/>
    <m/>
    <m/>
    <m/>
  </r>
  <r>
    <x v="20"/>
    <x v="4"/>
    <s v="C:\Users\andre\Desktop\REACTIV CEFAS\Testosterone\Testosterone/20201117_Cefas_Test6-Run2/Plate 2/@8/E2_02.tif "/>
    <s v=" 6315.9292 "/>
    <s v=" 35.2671 "/>
    <x v="0"/>
    <n v="222745"/>
    <m/>
    <m/>
    <m/>
  </r>
  <r>
    <x v="20"/>
    <x v="4"/>
    <s v="C:\Users\andre\Desktop\REACTIV CEFAS\Testosterone\Testosterone/20201117_Cefas_Test6-Run2/Plate 2/@8/E2_03.tif "/>
    <s v=" 4390.8686 "/>
    <s v=" 33.6946 "/>
    <x v="0"/>
    <n v="147948"/>
    <m/>
    <m/>
    <m/>
  </r>
  <r>
    <x v="20"/>
    <x v="5"/>
    <s v="C:\Users\andre\Desktop\REACTIV CEFAS\Testosterone\Testosterone/20201117_Cefas_Test6-Run2/Plate 2/@8/F2_01.tif "/>
    <s v=" 3049.8151 "/>
    <s v=" 31.3972 "/>
    <x v="0"/>
    <n v="95756"/>
    <m/>
    <m/>
    <m/>
  </r>
  <r>
    <x v="20"/>
    <x v="5"/>
    <s v="C:\Users\andre\Desktop\REACTIV CEFAS\Testosterone\Testosterone/20201117_Cefas_Test6-Run2/Plate 2/@8/F2_02.tif "/>
    <s v=" 9387.3743 "/>
    <s v=" 40.7581 "/>
    <x v="0"/>
    <n v="382611"/>
    <m/>
    <m/>
    <m/>
  </r>
  <r>
    <x v="20"/>
    <x v="5"/>
    <s v="C:\Users\andre\Desktop\REACTIV CEFAS\Testosterone\Testosterone/20201117_Cefas_Test6-Run2/Plate 2/@8/F2_03.tif "/>
    <s v=" 6640.3777 "/>
    <s v=" 35.3127 "/>
    <x v="0"/>
    <n v="234490"/>
    <m/>
    <m/>
    <m/>
  </r>
  <r>
    <x v="20"/>
    <x v="6"/>
    <s v="C:\Users\andre\Desktop\REACTIV CEFAS\Testosterone\Testosterone/20201117_Cefas_Test6-Run2/Plate 2/@8/G2_01- exclu.tif"/>
    <m/>
    <m/>
    <x v="1"/>
    <m/>
    <m/>
    <m/>
    <m/>
  </r>
  <r>
    <x v="20"/>
    <x v="6"/>
    <s v="C:\Users\andre\Desktop\REACTIV CEFAS\Testosterone\Testosterone/20201117_Cefas_Test6-Run2/Plate 2/@8/G2_02- exclu.tif"/>
    <m/>
    <m/>
    <x v="1"/>
    <m/>
    <m/>
    <m/>
    <m/>
  </r>
  <r>
    <x v="20"/>
    <x v="6"/>
    <s v="C:\Users\andre\Desktop\REACTIV CEFAS\Testosterone\Testosterone/20201117_Cefas_Test6-Run2/Plate 2/@8/G2_03- exclu.tif"/>
    <m/>
    <m/>
    <x v="1"/>
    <m/>
    <m/>
    <m/>
    <m/>
  </r>
  <r>
    <x v="20"/>
    <x v="7"/>
    <s v="C:\Users\andre\Desktop\REACTIV CEFAS\Testosterone\Testosterone/20201117_Cefas_Test6-Run2/Plate 2/@8/H2_01.tif "/>
    <s v=" 3720.3419 "/>
    <s v=" 37.1279 "/>
    <x v="0"/>
    <n v="138129"/>
    <m/>
    <m/>
    <m/>
  </r>
  <r>
    <x v="20"/>
    <x v="7"/>
    <s v="C:\Users\andre\Desktop\REACTIV CEFAS\Testosterone\Testosterone/20201117_Cefas_Test6-Run2/Plate 2/@8/H2_02.tif "/>
    <s v=" 2400.9183 "/>
    <s v=" 35.3694 "/>
    <x v="0"/>
    <n v="84919"/>
    <m/>
    <m/>
    <m/>
  </r>
  <r>
    <x v="20"/>
    <x v="7"/>
    <s v="C:\Users\andre\Desktop\REACTIV CEFAS\Testosterone\Testosterone/20201117_Cefas_Test6-Run2/Plate 2/@8/H2_03.tif "/>
    <s v=" 21.6299 "/>
    <n v="32"/>
    <x v="0"/>
    <n v="692"/>
    <m/>
    <m/>
    <m/>
  </r>
  <r>
    <x v="1"/>
    <x v="8"/>
    <s v=" "/>
    <m/>
    <m/>
    <x v="1"/>
    <m/>
    <m/>
    <m/>
    <m/>
  </r>
  <r>
    <x v="1"/>
    <x v="8"/>
    <s v="group "/>
    <s v=" "/>
    <s v=" mean of mean fluo "/>
    <x v="2"/>
    <s v=" mean of total fluo "/>
    <s v=" SD total fluo "/>
    <s v=" n fluorescent "/>
    <s v=" n total"/>
  </r>
  <r>
    <x v="20"/>
    <x v="9"/>
    <s v="C:\Users\andre\Desktop\REACTIV CEFAS\Testosterone\Testosterone/20201117_Cefas_Test6-Run2/Plate 2/@8/ "/>
    <s v=" "/>
    <s v=" 31.7404 "/>
    <x v="22"/>
    <s v=" 125673.375 "/>
    <s v=" 103346.093 "/>
    <n v="22"/>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C:\Users\andre\Desktop\REACTIV CEFAS\Testosterone\Testosterone/20201117_Cefas_Test6-Run2/Plate 2/@9/A3_01.tif "/>
    <s v=" 18277.261 "/>
    <s v=" 33.3669 "/>
    <x v="0"/>
    <n v="609855"/>
    <m/>
    <m/>
    <m/>
  </r>
  <r>
    <x v="21"/>
    <x v="0"/>
    <s v="C:\Users\andre\Desktop\REACTIV CEFAS\Testosterone\Testosterone/20201117_Cefas_Test6-Run2/Plate 2/@9/A3_02.tif "/>
    <s v=" 11355.6947 "/>
    <s v=" 32.76 "/>
    <x v="0"/>
    <n v="372013"/>
    <m/>
    <m/>
    <m/>
  </r>
  <r>
    <x v="21"/>
    <x v="0"/>
    <s v="C:\Users\andre\Desktop\REACTIV CEFAS\Testosterone\Testosterone/20201117_Cefas_Test6-Run2/Plate 2/@9/A3_03.tif "/>
    <s v=" 24614.8201 "/>
    <s v=" 34.1283 "/>
    <x v="0"/>
    <n v="840062"/>
    <m/>
    <m/>
    <m/>
  </r>
  <r>
    <x v="21"/>
    <x v="1"/>
    <s v="C:\Users\andre\Desktop\REACTIV CEFAS\Testosterone\Testosterone/20201117_Cefas_Test6-Run2/Plate 2/@9/B3_01.tif "/>
    <s v=" 22559.9801 "/>
    <s v=" 34.9252 "/>
    <x v="0"/>
    <n v="787912"/>
    <m/>
    <m/>
    <m/>
  </r>
  <r>
    <x v="21"/>
    <x v="1"/>
    <s v="C:\Users\andre\Desktop\REACTIV CEFAS\Testosterone\Testosterone/20201117_Cefas_Test6-Run2/Plate 2/@9/B3_02.tif "/>
    <s v=" 24874.3788 "/>
    <s v=" 36.1843 "/>
    <x v="0"/>
    <n v="900063"/>
    <m/>
    <m/>
    <m/>
  </r>
  <r>
    <x v="21"/>
    <x v="1"/>
    <s v="C:\Users\andre\Desktop\REACTIV CEFAS\Testosterone\Testosterone/20201117_Cefas_Test6-Run2/Plate 2/@9/B3_03.tif "/>
    <s v=" 19466.9052 "/>
    <s v=" 34.9222 "/>
    <x v="0"/>
    <n v="679828"/>
    <m/>
    <m/>
    <m/>
  </r>
  <r>
    <x v="21"/>
    <x v="2"/>
    <s v="C:\Users\andre\Desktop\REACTIV CEFAS\Testosterone\Testosterone/20201117_Cefas_Test6-Run2/Plate 2/@9/C3_01.tif "/>
    <s v=" 6013.1107 "/>
    <s v=" 37.5971 "/>
    <x v="0"/>
    <n v="226076"/>
    <m/>
    <m/>
    <m/>
  </r>
  <r>
    <x v="21"/>
    <x v="2"/>
    <s v="C:\Users\andre\Desktop\REACTIV CEFAS\Testosterone\Testosterone/20201117_Cefas_Test6-Run2/Plate 2/@9/C3_02.tif "/>
    <s v=" 6575.488 "/>
    <s v=" 35.7697 "/>
    <x v="0"/>
    <n v="235203"/>
    <m/>
    <m/>
    <m/>
  </r>
  <r>
    <x v="21"/>
    <x v="2"/>
    <s v="C:\Users\andre\Desktop\REACTIV CEFAS\Testosterone\Testosterone/20201117_Cefas_Test6-Run2/Plate 2/@9/C3_03.tif "/>
    <s v=" 6164.52 "/>
    <s v=" 34.6386 "/>
    <x v="0"/>
    <n v="213530"/>
    <m/>
    <m/>
    <m/>
  </r>
  <r>
    <x v="21"/>
    <x v="3"/>
    <s v="C:\Users\andre\Desktop\REACTIV CEFAS\Testosterone\Testosterone/20201117_Cefas_Test6-Run2/Plate 2/@9/D3_01.tif "/>
    <s v=" 4542.2779 "/>
    <s v=" 42.081 "/>
    <x v="0"/>
    <n v="191143"/>
    <m/>
    <m/>
    <m/>
  </r>
  <r>
    <x v="21"/>
    <x v="3"/>
    <s v="C:\Users\andre\Desktop\REACTIV CEFAS\Testosterone\Testosterone/20201117_Cefas_Test6-Run2/Plate 2/@9/D3_02.tif "/>
    <s v=" 3850.1212 "/>
    <s v=" 39.0281 "/>
    <x v="0"/>
    <n v="150263"/>
    <m/>
    <m/>
    <m/>
  </r>
  <r>
    <x v="21"/>
    <x v="3"/>
    <s v="C:\Users\andre\Desktop\REACTIV CEFAS\Testosterone\Testosterone/20201117_Cefas_Test6-Run2/Plate 2/@9/D3_03.tif "/>
    <s v=" 3677.0821 "/>
    <s v=" 35.7824 "/>
    <x v="0"/>
    <n v="131575"/>
    <m/>
    <m/>
    <m/>
  </r>
  <r>
    <x v="21"/>
    <x v="4"/>
    <s v="C:\Users\andre\Desktop\REACTIV CEFAS\Testosterone\Testosterone/20201117_Cefas_Test6-Run2/Plate 2/@9/E3_01.tif "/>
    <s v=" 6294.2993 "/>
    <s v=" 35.4811 "/>
    <x v="0"/>
    <n v="223329"/>
    <m/>
    <m/>
    <m/>
  </r>
  <r>
    <x v="21"/>
    <x v="4"/>
    <s v="C:\Users\andre\Desktop\REACTIV CEFAS\Testosterone\Testosterone/20201117_Cefas_Test6-Run2/Plate 2/@9/E3_02.tif "/>
    <s v=" 7981.4311 "/>
    <s v=" 39.2114 "/>
    <x v="0"/>
    <n v="312963"/>
    <m/>
    <m/>
    <m/>
  </r>
  <r>
    <x v="21"/>
    <x v="4"/>
    <s v="C:\Users\andre\Desktop\REACTIV CEFAS\Testosterone\Testosterone/20201117_Cefas_Test6-Run2/Plate 2/@9/E3_03.tif "/>
    <s v=" 4845.0964 "/>
    <s v=" 37.6027 "/>
    <x v="0"/>
    <n v="182189"/>
    <m/>
    <m/>
    <m/>
  </r>
  <r>
    <x v="21"/>
    <x v="5"/>
    <s v="C:\Users\andre\Desktop\REACTIV CEFAS\Testosterone\Testosterone/20201117_Cefas_Test6-Run2/Plate 2/@9/F3_01.tif "/>
    <s v=" 64.8897 "/>
    <s v=" 30.3333 "/>
    <x v="0"/>
    <n v="1968"/>
    <m/>
    <m/>
    <m/>
  </r>
  <r>
    <x v="21"/>
    <x v="5"/>
    <s v="C:\Users\andre\Desktop\REACTIV CEFAS\Testosterone\Testosterone/20201117_Cefas_Test6-Run2/Plate 2/@9/F3_02.tif "/>
    <s v=" 5623.7726 "/>
    <s v=" 38.2038 "/>
    <x v="0"/>
    <n v="214850"/>
    <m/>
    <m/>
    <m/>
  </r>
  <r>
    <x v="21"/>
    <x v="5"/>
    <s v="C:\Users\andre\Desktop\REACTIV CEFAS\Testosterone\Testosterone/20201117_Cefas_Test6-Run2/Plate 2/@9/F3_03- exclu.tif"/>
    <m/>
    <m/>
    <x v="1"/>
    <m/>
    <m/>
    <m/>
    <m/>
  </r>
  <r>
    <x v="21"/>
    <x v="6"/>
    <s v="C:\Users\andre\Desktop\REACTIV CEFAS\Testosterone\Testosterone/20201117_Cefas_Test6-Run2/Plate 2/@9/G3_01.tif "/>
    <s v=" 4023.1604 "/>
    <s v=" 33.4194 "/>
    <x v="0"/>
    <n v="134451"/>
    <m/>
    <m/>
    <m/>
  </r>
  <r>
    <x v="21"/>
    <x v="6"/>
    <s v="C:\Users\andre\Desktop\REACTIV CEFAS\Testosterone\Testosterone/20201117_Cefas_Test6-Run2/Plate 2/@9/G3_02.tif "/>
    <s v=" 7289.2745 "/>
    <s v=" 33.8724 "/>
    <x v="0"/>
    <n v="246905"/>
    <m/>
    <m/>
    <m/>
  </r>
  <r>
    <x v="21"/>
    <x v="6"/>
    <s v="C:\Users\andre\Desktop\REACTIV CEFAS\Testosterone\Testosterone/20201117_Cefas_Test6-Run2/Plate 2/@9/G3_03.tif "/>
    <s v=" 6856.6766 "/>
    <s v=" 34.7319 "/>
    <x v="0"/>
    <n v="238145"/>
    <m/>
    <m/>
    <m/>
  </r>
  <r>
    <x v="21"/>
    <x v="7"/>
    <s v="C:\Users\andre\Desktop\REACTIV CEFAS\Testosterone\Testosterone/20201117_Cefas_Test6-Run2/Plate 2/@9/H3_01.tif "/>
    <s v=" 14383.8799 "/>
    <s v=" 32.5459 "/>
    <x v="0"/>
    <n v="468136"/>
    <m/>
    <m/>
    <m/>
  </r>
  <r>
    <x v="21"/>
    <x v="7"/>
    <s v="C:\Users\andre\Desktop\REACTIV CEFAS\Testosterone\Testosterone/20201117_Cefas_Test6-Run2/Plate 2/@9/H3_02.tif "/>
    <s v=" 24593.1902 "/>
    <s v=" 37.642 "/>
    <x v="0"/>
    <n v="925738"/>
    <m/>
    <m/>
    <m/>
  </r>
  <r>
    <x v="21"/>
    <x v="7"/>
    <s v="C:\Users\andre\Desktop\REACTIV CEFAS\Testosterone\Testosterone/20201117_Cefas_Test6-Run2/Plate 2/@9/H3_03.tif "/>
    <s v=" 15054.4067 "/>
    <s v=" 37.6753 "/>
    <x v="0"/>
    <n v="567179"/>
    <m/>
    <m/>
    <m/>
  </r>
  <r>
    <x v="1"/>
    <x v="8"/>
    <s v=" "/>
    <m/>
    <m/>
    <x v="1"/>
    <m/>
    <m/>
    <m/>
    <m/>
  </r>
  <r>
    <x v="1"/>
    <x v="8"/>
    <s v="group "/>
    <s v=" "/>
    <s v=" mean of mean fluo "/>
    <x v="2"/>
    <s v=" mean of total fluo "/>
    <s v=" SD total fluo "/>
    <s v=" n fluorescent "/>
    <s v=" n total"/>
  </r>
  <r>
    <x v="21"/>
    <x v="9"/>
    <s v="C:\Users\andre\Desktop\REACTIV CEFAS\Testosterone\Testosterone/20201117_Cefas_Test6-Run2/Plate 2/@9/ "/>
    <s v=" "/>
    <s v=" 35.5428 "/>
    <x v="23"/>
    <s v=" 370685.958 "/>
    <s v=" 279936.803 "/>
    <n v="24"/>
    <n v="24"/>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C:\Users\andre\Desktop\REACTIV CEFAS\Testosterone\Testosterone/20201118_Cefas_Test6-Run3/Plate 1/@1/A10_01.tif "/>
    <s v=" 5688.6623 "/>
    <s v=" 38.9125 "/>
    <x v="0"/>
    <n v="221360"/>
    <m/>
    <m/>
    <m/>
  </r>
  <r>
    <x v="0"/>
    <x v="0"/>
    <s v="C:\Users\andre\Desktop\REACTIV CEFAS\Testosterone\Testosterone/20201118_Cefas_Test6-Run3/Plate 1/@1/A10_02.tif "/>
    <s v=" 8478.9187 "/>
    <s v=" 39.6837 "/>
    <x v="0"/>
    <n v="336475"/>
    <m/>
    <m/>
    <m/>
  </r>
  <r>
    <x v="0"/>
    <x v="0"/>
    <s v="C:\Users\andre\Desktop\REACTIV CEFAS\Testosterone\Testosterone/20201118_Cefas_Test6-Run3/Plate 1/@1/A10_03.tif "/>
    <s v=" 64.8897 "/>
    <n v="39"/>
    <x v="0"/>
    <n v="2531"/>
    <m/>
    <m/>
    <m/>
  </r>
  <r>
    <x v="0"/>
    <x v="1"/>
    <s v="C:\Users\andre\Desktop\REACTIV CEFAS\Testosterone\Testosterone/20201118_Cefas_Test6-Run3/Plate 1/@1/B10_01.tif "/>
    <s v=" 6315.9292 "/>
    <s v=" 34.7671 "/>
    <x v="0"/>
    <n v="219587"/>
    <m/>
    <m/>
    <m/>
  </r>
  <r>
    <x v="0"/>
    <x v="1"/>
    <s v="C:\Users\andre\Desktop\REACTIV CEFAS\Testosterone\Testosterone/20201118_Cefas_Test6-Run3/Plate 1/@1/B10_02.tif "/>
    <s v=" 7008.0859 "/>
    <s v=" 37.9537 "/>
    <x v="0"/>
    <n v="265983"/>
    <m/>
    <m/>
    <m/>
  </r>
  <r>
    <x v="0"/>
    <x v="1"/>
    <s v="C:\Users\andre\Desktop\REACTIV CEFAS\Testosterone\Testosterone/20201118_Cefas_Test6-Run3/Plate 1/@1/B10_03.tif "/>
    <s v=" 9971.3814 "/>
    <s v=" 37.2885 "/>
    <x v="0"/>
    <n v="371818"/>
    <m/>
    <m/>
    <m/>
  </r>
  <r>
    <x v="0"/>
    <x v="2"/>
    <s v="C:\Users\andre\Desktop\REACTIV CEFAS\Testosterone\Testosterone/20201118_Cefas_Test6-Run3/Plate 1/@1/C10_01.tif "/>
    <s v=" 9041.296 "/>
    <s v=" 37.7919 "/>
    <x v="0"/>
    <n v="341687"/>
    <m/>
    <m/>
    <m/>
  </r>
  <r>
    <x v="0"/>
    <x v="2"/>
    <s v="C:\Users\andre\Desktop\REACTIV CEFAS\Testosterone\Testosterone/20201118_Cefas_Test6-Run3/Plate 1/@1/C10_02- exclu.tif"/>
    <m/>
    <m/>
    <x v="1"/>
    <m/>
    <m/>
    <m/>
    <m/>
  </r>
  <r>
    <x v="0"/>
    <x v="2"/>
    <s v="C:\Users\andre\Desktop\REACTIV CEFAS\Testosterone\Testosterone/20201118_Cefas_Test6-Run3/Plate 1/@1/C10_03.tif "/>
    <s v=" 3893.381 "/>
    <s v=" 36.3556 "/>
    <x v="0"/>
    <n v="141546"/>
    <m/>
    <m/>
    <m/>
  </r>
  <r>
    <x v="0"/>
    <x v="3"/>
    <s v="C:\Users\andre\Desktop\REACTIV CEFAS\Testosterone\Testosterone/20201118_Cefas_Test6-Run3/Plate 1/@1/D10_01- exclu.tif"/>
    <m/>
    <m/>
    <x v="1"/>
    <m/>
    <m/>
    <m/>
    <m/>
  </r>
  <r>
    <x v="0"/>
    <x v="3"/>
    <s v="C:\Users\andre\Desktop\REACTIV CEFAS\Testosterone\Testosterone/20201118_Cefas_Test6-Run3/Plate 1/@1/D10_02- exclu.tif"/>
    <m/>
    <m/>
    <x v="1"/>
    <m/>
    <m/>
    <m/>
    <m/>
  </r>
  <r>
    <x v="0"/>
    <x v="3"/>
    <s v="C:\Users\andre\Desktop\REACTIV CEFAS\Testosterone\Testosterone/20201118_Cefas_Test6-Run3/Plate 1/@1/D10_03- exclu.tif"/>
    <m/>
    <m/>
    <x v="1"/>
    <m/>
    <m/>
    <m/>
    <m/>
  </r>
  <r>
    <x v="0"/>
    <x v="4"/>
    <s v="C:\Users\andre\Desktop\REACTIV CEFAS\Testosterone\Testosterone/20201118_Cefas_Test6-Run3/Plate 1/@1/E10_01.tif "/>
    <s v=" 1038.2349 "/>
    <s v=" 32.1458 "/>
    <x v="0"/>
    <n v="33375"/>
    <m/>
    <m/>
    <m/>
  </r>
  <r>
    <x v="0"/>
    <x v="4"/>
    <s v="C:\Users\andre\Desktop\REACTIV CEFAS\Testosterone\Testosterone/20201118_Cefas_Test6-Run3/Plate 1/@1/E10_02.tif "/>
    <s v=" 2206.2493 "/>
    <s v=" 32.8529 "/>
    <x v="0"/>
    <n v="72482"/>
    <m/>
    <m/>
    <m/>
  </r>
  <r>
    <x v="0"/>
    <x v="4"/>
    <s v="C:\Users\andre\Desktop\REACTIV CEFAS\Testosterone\Testosterone/20201118_Cefas_Test6-Run3/Plate 1/@1/E10_03.tif "/>
    <n v="0"/>
    <n v="0"/>
    <x v="0"/>
    <n v="0"/>
    <m/>
    <m/>
    <m/>
  </r>
  <r>
    <x v="0"/>
    <x v="5"/>
    <s v="C:\Users\andre\Desktop\REACTIV CEFAS\Testosterone\Testosterone/20201118_Cefas_Test6-Run3/Plate 1/@1/F10_01.tif "/>
    <s v=" 865.1958 "/>
    <s v=" 32.175 "/>
    <x v="0"/>
    <n v="27838"/>
    <m/>
    <m/>
    <m/>
  </r>
  <r>
    <x v="0"/>
    <x v="5"/>
    <s v="C:\Users\andre\Desktop\REACTIV CEFAS\Testosterone\Testosterone/20201118_Cefas_Test6-Run3/Plate 1/@1/F10_02- exclu.tif"/>
    <m/>
    <m/>
    <x v="1"/>
    <m/>
    <m/>
    <m/>
    <m/>
  </r>
  <r>
    <x v="0"/>
    <x v="5"/>
    <s v="C:\Users\andre\Desktop\REACTIV CEFAS\Testosterone\Testosterone/20201118_Cefas_Test6-Run3/Plate 1/@1/F10_03.tif "/>
    <n v="0"/>
    <n v="0"/>
    <x v="0"/>
    <n v="0"/>
    <m/>
    <m/>
    <m/>
  </r>
  <r>
    <x v="0"/>
    <x v="6"/>
    <s v="C:\Users\andre\Desktop\REACTIV CEFAS\Testosterone\Testosterone/20201118_Cefas_Test6-Run3/Plate 1/@1/G10_01.tif "/>
    <s v=" 173.0392 "/>
    <s v=" 31.875 "/>
    <x v="0"/>
    <n v="5516"/>
    <m/>
    <m/>
    <m/>
  </r>
  <r>
    <x v="0"/>
    <x v="6"/>
    <s v="C:\Users\andre\Desktop\REACTIV CEFAS\Testosterone\Testosterone/20201118_Cefas_Test6-Run3/Plate 1/@1/G10_02.tif "/>
    <s v=" 1189.6442 "/>
    <s v=" 32.5091 "/>
    <x v="0"/>
    <n v="38674"/>
    <m/>
    <m/>
    <m/>
  </r>
  <r>
    <x v="0"/>
    <x v="6"/>
    <s v="C:\Users\andre\Desktop\REACTIV CEFAS\Testosterone\Testosterone/20201118_Cefas_Test6-Run3/Plate 1/@1/G10_03.tif "/>
    <s v=" 2292.7688 "/>
    <s v=" 33.3679 "/>
    <x v="0"/>
    <n v="76505"/>
    <m/>
    <m/>
    <m/>
  </r>
  <r>
    <x v="0"/>
    <x v="7"/>
    <s v="C:\Users\andre\Desktop\REACTIV CEFAS\Testosterone\Testosterone/20201118_Cefas_Test6-Run3/Plate 1/@1/H10_01.tif "/>
    <s v=" 6510.5983 "/>
    <s v=" 40.5282 "/>
    <x v="0"/>
    <n v="263863"/>
    <m/>
    <m/>
    <m/>
  </r>
  <r>
    <x v="0"/>
    <x v="7"/>
    <s v="C:\Users\andre\Desktop\REACTIV CEFAS\Testosterone\Testosterone/20201118_Cefas_Test6-Run3/Plate 1/@1/H10_02.tif "/>
    <s v=" 6597.1179 "/>
    <s v=" 41.1541 "/>
    <x v="0"/>
    <n v="271498"/>
    <m/>
    <m/>
    <m/>
  </r>
  <r>
    <x v="0"/>
    <x v="7"/>
    <s v="C:\Users\andre\Desktop\REACTIV CEFAS\Testosterone\Testosterone/20201118_Cefas_Test6-Run3/Plate 1/@1/H10_03.tif "/>
    <s v=" 86.5196 "/>
    <n v="31"/>
    <x v="0"/>
    <n v="2682"/>
    <m/>
    <m/>
    <m/>
  </r>
  <r>
    <x v="1"/>
    <x v="8"/>
    <s v=" "/>
    <m/>
    <m/>
    <x v="1"/>
    <m/>
    <m/>
    <m/>
    <m/>
  </r>
  <r>
    <x v="1"/>
    <x v="8"/>
    <s v="group "/>
    <s v=" "/>
    <s v=" mean of mean fluo "/>
    <x v="2"/>
    <s v=" mean of total fluo "/>
    <s v=" SD total fluo "/>
    <s v=" n fluorescent "/>
    <s v=" n total"/>
  </r>
  <r>
    <x v="0"/>
    <x v="9"/>
    <s v="C:\Users\andre\Desktop\REACTIV CEFAS\Testosterone\Testosterone/20201118_Cefas_Test6-Run3/Plate 1/@1/ "/>
    <s v=" "/>
    <s v=" 33.7548 "/>
    <x v="3"/>
    <n v="231576"/>
    <s v=" 300158.204 "/>
    <n v="21"/>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C:\Users\andre\Desktop\REACTIV CEFAS\Testosterone\Testosterone/20201118_Cefas_Test6-Run3/Plate 1/@13/A8_01.tif "/>
    <s v=" 12891.4172 "/>
    <s v=" 33.7836 "/>
    <x v="0"/>
    <n v="435518"/>
    <m/>
    <m/>
    <m/>
  </r>
  <r>
    <x v="2"/>
    <x v="0"/>
    <s v="C:\Users\andre\Desktop\REACTIV CEFAS\Testosterone\Testosterone/20201118_Cefas_Test6-Run3/Plate 1/@13/A8_02.tif "/>
    <s v=" 14427.1397 "/>
    <s v=" 34.2804 "/>
    <x v="0"/>
    <n v="494568"/>
    <m/>
    <m/>
    <m/>
  </r>
  <r>
    <x v="2"/>
    <x v="0"/>
    <s v="C:\Users\andre\Desktop\REACTIV CEFAS\Testosterone\Testosterone/20201118_Cefas_Test6-Run3/Plate 1/@13/A8_03.tif "/>
    <s v=" 10079.5309 "/>
    <s v=" 33.3906 "/>
    <x v="0"/>
    <n v="336561"/>
    <m/>
    <m/>
    <m/>
  </r>
  <r>
    <x v="2"/>
    <x v="1"/>
    <s v="C:\Users\andre\Desktop\REACTIV CEFAS\Testosterone\Testosterone/20201118_Cefas_Test6-Run3/Plate 1/@13/B8_01.tif "/>
    <s v=" 49943.4267 "/>
    <s v=" 39.3114 "/>
    <x v="0"/>
    <n v="1963346"/>
    <m/>
    <m/>
    <m/>
  </r>
  <r>
    <x v="2"/>
    <x v="1"/>
    <s v="C:\Users\andre\Desktop\REACTIV CEFAS\Testosterone\Testosterone/20201118_Cefas_Test6-Run3/Plate 1/@13/B8_02- exclu.tif"/>
    <m/>
    <m/>
    <x v="1"/>
    <m/>
    <m/>
    <m/>
    <m/>
  </r>
  <r>
    <x v="2"/>
    <x v="1"/>
    <s v="C:\Users\andre\Desktop\REACTIV CEFAS\Testosterone\Testosterone/20201118_Cefas_Test6-Run3/Plate 1/@13/B8_03.tif "/>
    <s v=" 38782.4011 "/>
    <s v=" 37.261 "/>
    <x v="0"/>
    <n v="1445072"/>
    <m/>
    <m/>
    <m/>
  </r>
  <r>
    <x v="2"/>
    <x v="2"/>
    <s v="C:\Users\andre\Desktop\REACTIV CEFAS\Testosterone\Testosterone/20201118_Cefas_Test6-Run3/Plate 1/@13/C8_01.tif "/>
    <s v=" 33439.8171 "/>
    <s v=" 37.7691 "/>
    <x v="0"/>
    <n v="1262991"/>
    <m/>
    <m/>
    <m/>
  </r>
  <r>
    <x v="2"/>
    <x v="2"/>
    <s v="C:\Users\andre\Desktop\REACTIV CEFAS\Testosterone\Testosterone/20201118_Cefas_Test6-Run3/Plate 1/@13/C8_02.tif "/>
    <s v=" 32033.8739 "/>
    <s v=" 35.5334 "/>
    <x v="0"/>
    <n v="1138273"/>
    <m/>
    <m/>
    <m/>
  </r>
  <r>
    <x v="2"/>
    <x v="2"/>
    <s v="C:\Users\andre\Desktop\REACTIV CEFAS\Testosterone\Testosterone/20201118_Cefas_Test6-Run3/Plate 1/@13/C8_03.tif "/>
    <s v=" 43259.7893 "/>
    <s v=" 38.153 "/>
    <x v="0"/>
    <n v="1650491"/>
    <m/>
    <m/>
    <m/>
  </r>
  <r>
    <x v="2"/>
    <x v="3"/>
    <s v="C:\Users\andre\Desktop\REACTIV CEFAS\Testosterone\Testosterone/20201118_Cefas_Test6-Run3/Plate 1/@13/D8_01.tif "/>
    <s v=" 76807.7558 "/>
    <s v=" 47.4244 "/>
    <x v="0"/>
    <n v="3642561"/>
    <m/>
    <m/>
    <m/>
  </r>
  <r>
    <x v="2"/>
    <x v="3"/>
    <s v="C:\Users\andre\Desktop\REACTIV CEFAS\Testosterone\Testosterone/20201118_Cefas_Test6-Run3/Plate 1/@13/D8_02.tif "/>
    <s v=" 79511.4927 "/>
    <s v=" 43.0297 "/>
    <x v="0"/>
    <n v="3421352"/>
    <m/>
    <m/>
    <m/>
  </r>
  <r>
    <x v="2"/>
    <x v="3"/>
    <s v="C:\Users\andre\Desktop\REACTIV CEFAS\Testosterone\Testosterone/20201118_Cefas_Test6-Run3/Plate 1/@13/D8_03.tif "/>
    <s v=" 72568.2965 "/>
    <s v=" 43.1308 "/>
    <x v="0"/>
    <n v="3129932"/>
    <m/>
    <m/>
    <m/>
  </r>
  <r>
    <x v="2"/>
    <x v="4"/>
    <s v="C:\Users\andre\Desktop\REACTIV CEFAS\Testosterone\Testosterone/20201118_Cefas_Test6-Run3/Plate 1/@13/E8_01.tif "/>
    <s v=" 28573.0908 "/>
    <s v=" 36.3581 "/>
    <x v="0"/>
    <n v="1038862"/>
    <m/>
    <m/>
    <m/>
  </r>
  <r>
    <x v="2"/>
    <x v="4"/>
    <s v="C:\Users\andre\Desktop\REACTIV CEFAS\Testosterone\Testosterone/20201118_Cefas_Test6-Run3/Plate 1/@13/E8_02.tif "/>
    <s v=" 20656.5494 "/>
    <s v=" 35.7455 "/>
    <x v="0"/>
    <n v="738380"/>
    <m/>
    <m/>
    <m/>
  </r>
  <r>
    <x v="2"/>
    <x v="4"/>
    <s v="C:\Users\andre\Desktop\REACTIV CEFAS\Testosterone\Testosterone/20201118_Cefas_Test6-Run3/Plate 1/@13/E8_03.tif "/>
    <s v=" 20570.0298 "/>
    <s v=" 35.5657 "/>
    <x v="0"/>
    <n v="731588"/>
    <m/>
    <m/>
    <m/>
  </r>
  <r>
    <x v="2"/>
    <x v="5"/>
    <s v="C:\Users\andre\Desktop\REACTIV CEFAS\Testosterone\Testosterone/20201118_Cefas_Test6-Run3/Plate 1/@13/F8_01.tif "/>
    <s v=" 38328.1733 "/>
    <s v=" 36.7381 "/>
    <x v="0"/>
    <n v="1408106"/>
    <m/>
    <m/>
    <m/>
  </r>
  <r>
    <x v="2"/>
    <x v="5"/>
    <s v="C:\Users\andre\Desktop\REACTIV CEFAS\Testosterone\Testosterone/20201118_Cefas_Test6-Run3/Plate 1/@13/F8_02.tif "/>
    <s v=" 39409.668 "/>
    <s v=" 38.8743 "/>
    <x v="0"/>
    <n v="1532024"/>
    <m/>
    <m/>
    <m/>
  </r>
  <r>
    <x v="2"/>
    <x v="5"/>
    <s v="C:\Users\andre\Desktop\REACTIV CEFAS\Testosterone\Testosterone/20201118_Cefas_Test6-Run3/Plate 1/@13/F8_03.tif "/>
    <s v=" 39171.7392 "/>
    <s v=" 36.1734 "/>
    <x v="0"/>
    <n v="1416974"/>
    <m/>
    <m/>
    <m/>
  </r>
  <r>
    <x v="2"/>
    <x v="6"/>
    <s v="C:\Users\andre\Desktop\REACTIV CEFAS\Testosterone\Testosterone/20201118_Cefas_Test6-Run3/Plate 1/@13/G8_01.tif "/>
    <s v=" 44319.6541 "/>
    <s v=" 42.8145 "/>
    <x v="0"/>
    <n v="1897526"/>
    <m/>
    <m/>
    <m/>
  </r>
  <r>
    <x v="2"/>
    <x v="6"/>
    <s v="C:\Users\andre\Desktop\REACTIV CEFAS\Testosterone\Testosterone/20201118_Cefas_Test6-Run3/Plate 1/@13/G8_02.tif "/>
    <s v=" 36554.5219 "/>
    <s v=" 39.4024 "/>
    <x v="0"/>
    <n v="1440335"/>
    <m/>
    <m/>
    <m/>
  </r>
  <r>
    <x v="2"/>
    <x v="6"/>
    <s v="C:\Users\andre\Desktop\REACTIV CEFAS\Testosterone\Testosterone/20201118_Cefas_Test6-Run3/Plate 1/@13/G8_03.tif "/>
    <s v=" 46461.0137 "/>
    <s v=" 39.9413 "/>
    <x v="0"/>
    <n v="1855715"/>
    <m/>
    <m/>
    <m/>
  </r>
  <r>
    <x v="2"/>
    <x v="7"/>
    <s v="C:\Users\andre\Desktop\REACTIV CEFAS\Testosterone\Testosterone/20201118_Cefas_Test6-Run3/Plate 1/@13/H8_01.tif "/>
    <s v=" 79641.272 "/>
    <s v=" 44.5459 "/>
    <x v="0"/>
    <n v="3547692"/>
    <m/>
    <m/>
    <m/>
  </r>
  <r>
    <x v="2"/>
    <x v="7"/>
    <s v="C:\Users\andre\Desktop\REACTIV CEFAS\Testosterone\Testosterone/20201118_Cefas_Test6-Run3/Plate 1/@13/H8_02.tif "/>
    <s v=" 72698.0758 "/>
    <s v=" 43.7025 "/>
    <x v="0"/>
    <n v="3177085"/>
    <m/>
    <m/>
    <m/>
  </r>
  <r>
    <x v="2"/>
    <x v="7"/>
    <s v="C:\Users\andre\Desktop\REACTIV CEFAS\Testosterone\Testosterone/20201118_Cefas_Test6-Run3/Plate 1/@13/H8_03.tif "/>
    <s v=" 69842.9298 "/>
    <s v=" 44.6216 "/>
    <x v="0"/>
    <n v="3116500"/>
    <m/>
    <m/>
    <m/>
  </r>
  <r>
    <x v="1"/>
    <x v="8"/>
    <s v=" "/>
    <m/>
    <m/>
    <x v="1"/>
    <m/>
    <m/>
    <m/>
    <m/>
  </r>
  <r>
    <x v="1"/>
    <x v="8"/>
    <s v="group "/>
    <s v=" "/>
    <s v=" mean of mean fluo "/>
    <x v="2"/>
    <s v=" mean of total fluo "/>
    <s v=" SD total fluo "/>
    <s v=" n fluorescent "/>
    <s v=" n total"/>
  </r>
  <r>
    <x v="2"/>
    <x v="9"/>
    <s v="C:\Users\andre\Desktop\REACTIV CEFAS\Testosterone\Testosterone/20201118_Cefas_Test6-Run3/Plate 1/@13/ "/>
    <s v=" "/>
    <s v=" 38.9202 "/>
    <x v="4"/>
    <s v=" 1749689.96 "/>
    <s v=" 1038018.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C:\Users\andre\Desktop\REACTIV CEFAS\Testosterone\Testosterone/20201118_Cefas_Test6-Run3/Plate 1/@14/A9_01.tif "/>
    <s v=" 17779.7734 "/>
    <s v=" 35.163 "/>
    <x v="0"/>
    <n v="625190"/>
    <m/>
    <m/>
    <m/>
  </r>
  <r>
    <x v="3"/>
    <x v="0"/>
    <s v="C:\Users\andre\Desktop\REACTIV CEFAS\Testosterone\Testosterone/20201118_Cefas_Test6-Run3/Plate 1/@14/A9_02.tif "/>
    <s v=" 26474.991 "/>
    <s v=" 34.0441 "/>
    <x v="0"/>
    <n v="901318"/>
    <m/>
    <m/>
    <m/>
  </r>
  <r>
    <x v="3"/>
    <x v="0"/>
    <s v="C:\Users\andre\Desktop\REACTIV CEFAS\Testosterone\Testosterone/20201118_Cefas_Test6-Run3/Plate 1/@14/A9_03.tif "/>
    <s v=" 30390.002 "/>
    <s v=" 35.0256 "/>
    <x v="0"/>
    <n v="1064429"/>
    <m/>
    <m/>
    <m/>
  </r>
  <r>
    <x v="3"/>
    <x v="1"/>
    <s v="C:\Users\andre\Desktop\REACTIV CEFAS\Testosterone\Testosterone/20201118_Cefas_Test6-Run3/Plate 1/@14/B9_01.tif "/>
    <s v=" 53274.4305 "/>
    <s v=" 40.1052 "/>
    <x v="0"/>
    <n v="2136579"/>
    <m/>
    <m/>
    <m/>
  </r>
  <r>
    <x v="3"/>
    <x v="1"/>
    <s v="C:\Users\andre\Desktop\REACTIV CEFAS\Testosterone\Testosterone/20201118_Cefas_Test6-Run3/Plate 1/@14/B9_02.tif "/>
    <s v=" 63721.6696 "/>
    <s v=" 41.9745 "/>
    <x v="0"/>
    <n v="2674688"/>
    <m/>
    <m/>
    <m/>
  </r>
  <r>
    <x v="3"/>
    <x v="1"/>
    <s v="C:\Users\andre\Desktop\REACTIV CEFAS\Testosterone\Testosterone/20201118_Cefas_Test6-Run3/Plate 1/@14/B9_03.tif "/>
    <s v=" 52387.6048 "/>
    <s v=" 39.6276 "/>
    <x v="0"/>
    <n v="2075994"/>
    <m/>
    <m/>
    <m/>
  </r>
  <r>
    <x v="3"/>
    <x v="2"/>
    <s v="C:\Users\andre\Desktop\REACTIV CEFAS\Testosterone\Testosterone/20201118_Cefas_Test6-Run3/Plate 1/@14/C9_01.tif "/>
    <s v=" 54399.185 "/>
    <s v=" 38.0414 "/>
    <x v="0"/>
    <n v="2069419"/>
    <m/>
    <m/>
    <m/>
  </r>
  <r>
    <x v="3"/>
    <x v="2"/>
    <s v="C:\Users\andre\Desktop\REACTIV CEFAS\Testosterone\Testosterone/20201118_Cefas_Test6-Run3/Plate 1/@14/C9_02.tif "/>
    <s v=" 53598.8789 "/>
    <s v=" 39.9374 "/>
    <x v="0"/>
    <n v="2140603"/>
    <m/>
    <m/>
    <m/>
  </r>
  <r>
    <x v="3"/>
    <x v="2"/>
    <s v="C:\Users\andre\Desktop\REACTIV CEFAS\Testosterone\Testosterone/20201118_Cefas_Test6-Run3/Plate 1/@14/C9_03.tif "/>
    <s v=" 59720.1391 "/>
    <s v=" 40.5592 "/>
    <x v="0"/>
    <n v="2422202"/>
    <m/>
    <m/>
    <m/>
  </r>
  <r>
    <x v="3"/>
    <x v="3"/>
    <s v="C:\Users\andre\Desktop\REACTIV CEFAS\Testosterone\Testosterone/20201118_Cefas_Test6-Run3/Plate 1/@14/D9_01- exclu.tif"/>
    <m/>
    <m/>
    <x v="1"/>
    <m/>
    <m/>
    <m/>
    <m/>
  </r>
  <r>
    <x v="3"/>
    <x v="3"/>
    <s v="C:\Users\andre\Desktop\REACTIV CEFAS\Testosterone\Testosterone/20201118_Cefas_Test6-Run3/Plate 1/@14/D9_02.tif "/>
    <s v=" 87276.6248 "/>
    <s v=" 47.1299 "/>
    <x v="0"/>
    <n v="4113335"/>
    <m/>
    <m/>
    <m/>
  </r>
  <r>
    <x v="3"/>
    <x v="3"/>
    <s v="C:\Users\andre\Desktop\REACTIV CEFAS\Testosterone\Testosterone/20201118_Cefas_Test6-Run3/Plate 1/@14/D9_03.tif "/>
    <s v=" 86346.5394 "/>
    <s v=" 50.2229 "/>
    <x v="0"/>
    <n v="4336578"/>
    <m/>
    <m/>
    <m/>
  </r>
  <r>
    <x v="3"/>
    <x v="4"/>
    <s v="C:\Users\andre\Desktop\REACTIV CEFAS\Testosterone\Testosterone/20201118_Cefas_Test6-Run3/Plate 1/@14/E9_01.tif "/>
    <s v=" 66728.2249 "/>
    <s v=" 41.2703 "/>
    <x v="0"/>
    <n v="2753897"/>
    <m/>
    <m/>
    <m/>
  </r>
  <r>
    <x v="3"/>
    <x v="4"/>
    <s v="C:\Users\andre\Desktop\REACTIV CEFAS\Testosterone\Testosterone/20201118_Cefas_Test6-Run3/Plate 1/@14/E9_02.tif "/>
    <s v=" 55913.2776 "/>
    <s v=" 38.5698 "/>
    <x v="0"/>
    <n v="2156565"/>
    <m/>
    <m/>
    <m/>
  </r>
  <r>
    <x v="3"/>
    <x v="4"/>
    <s v="C:\Users\andre\Desktop\REACTIV CEFAS\Testosterone\Testosterone/20201118_Cefas_Test6-Run3/Plate 1/@14/E9_03.tif "/>
    <s v=" 39258.2588 "/>
    <s v=" 39.1609 "/>
    <x v="0"/>
    <n v="1537388"/>
    <m/>
    <m/>
    <m/>
  </r>
  <r>
    <x v="3"/>
    <x v="5"/>
    <s v="C:\Users\andre\Desktop\REACTIV CEFAS\Testosterone\Testosterone/20201118_Cefas_Test6-Run3/Plate 1/@14/F9_01.tif "/>
    <s v=" 46006.7859 "/>
    <s v=" 40.0846 "/>
    <x v="0"/>
    <n v="1844165"/>
    <m/>
    <m/>
    <m/>
  </r>
  <r>
    <x v="3"/>
    <x v="5"/>
    <s v="C:\Users\andre\Desktop\REACTIV CEFAS\Testosterone\Testosterone/20201118_Cefas_Test6-Run3/Plate 1/@14/F9_02.tif "/>
    <s v=" 53512.3593 "/>
    <s v=" 39.2846 "/>
    <x v="0"/>
    <n v="2102209"/>
    <m/>
    <m/>
    <m/>
  </r>
  <r>
    <x v="3"/>
    <x v="5"/>
    <s v="C:\Users\andre\Desktop\REACTIV CEFAS\Testosterone\Testosterone/20201118_Cefas_Test6-Run3/Plate 1/@14/F9_03.tif "/>
    <s v=" 48580.7433 "/>
    <s v=" 38.6055 "/>
    <x v="0"/>
    <n v="1875485"/>
    <m/>
    <m/>
    <m/>
  </r>
  <r>
    <x v="3"/>
    <x v="6"/>
    <s v="C:\Users\andre\Desktop\REACTIV CEFAS\Testosterone\Testosterone/20201118_Cefas_Test6-Run3/Plate 1/@14/G9_01.tif "/>
    <s v=" 40253.2339 "/>
    <s v=" 39.4283 "/>
    <x v="0"/>
    <n v="1587115"/>
    <m/>
    <m/>
    <m/>
  </r>
  <r>
    <x v="3"/>
    <x v="6"/>
    <s v="C:\Users\andre\Desktop\REACTIV CEFAS\Testosterone\Testosterone/20201118_Cefas_Test6-Run3/Plate 1/@14/G9_02.tif "/>
    <s v=" 43000.2305 "/>
    <s v=" 39.5065 "/>
    <x v="0"/>
    <n v="1698790"/>
    <m/>
    <m/>
    <m/>
  </r>
  <r>
    <x v="3"/>
    <x v="6"/>
    <s v="C:\Users\andre\Desktop\REACTIV CEFAS\Testosterone\Testosterone/20201118_Cefas_Test6-Run3/Plate 1/@14/G9_03.tif "/>
    <s v=" 46374.4941 "/>
    <s v=" 38.847 "/>
    <x v="0"/>
    <n v="1801511"/>
    <m/>
    <m/>
    <m/>
  </r>
  <r>
    <x v="3"/>
    <x v="7"/>
    <s v="C:\Users\andre\Desktop\REACTIV CEFAS\Testosterone\Testosterone/20201118_Cefas_Test6-Run3/Plate 1/@14/H9_01.tif "/>
    <s v=" 13388.9048 "/>
    <s v=" 33.7431 "/>
    <x v="0"/>
    <n v="451784"/>
    <m/>
    <m/>
    <m/>
  </r>
  <r>
    <x v="3"/>
    <x v="7"/>
    <s v="C:\Users\andre\Desktop\REACTIV CEFAS\Testosterone\Testosterone/20201118_Cefas_Test6-Run3/Plate 1/@14/H9_02.tif "/>
    <s v=" 11117.7658 "/>
    <s v=" 33.4319 "/>
    <x v="0"/>
    <n v="371688"/>
    <m/>
    <m/>
    <m/>
  </r>
  <r>
    <x v="3"/>
    <x v="7"/>
    <s v="C:\Users\andre\Desktop\REACTIV CEFAS\Testosterone\Testosterone/20201118_Cefas_Test6-Run3/Plate 1/@14/H9_03.tif "/>
    <s v=" 10252.5701 "/>
    <s v=" 33.846 "/>
    <x v="0"/>
    <n v="347008"/>
    <m/>
    <m/>
    <m/>
  </r>
  <r>
    <x v="1"/>
    <x v="8"/>
    <s v=" "/>
    <m/>
    <m/>
    <x v="1"/>
    <m/>
    <m/>
    <m/>
    <m/>
  </r>
  <r>
    <x v="1"/>
    <x v="8"/>
    <s v="group "/>
    <s v=" "/>
    <s v=" mean of mean fluo "/>
    <x v="2"/>
    <s v=" mean of total fluo "/>
    <s v=" SD total fluo "/>
    <s v=" n fluorescent "/>
    <s v=" n total"/>
  </r>
  <r>
    <x v="3"/>
    <x v="9"/>
    <s v="C:\Users\andre\Desktop\REACTIV CEFAS\Testosterone\Testosterone/20201118_Cefas_Test6-Run3/Plate 1/@14/ "/>
    <s v=" "/>
    <s v=" 39.5245 "/>
    <x v="5"/>
    <s v=" 1960315.54 "/>
    <s v=" 1089906.1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C:\Users\andre\Desktop\REACTIV CEFAS\Testosterone\Testosterone/20201118_Cefas_Test6-Run3/Plate 1/@15/A11_01.tif "/>
    <s v=" 68977.734 "/>
    <s v=" 47.4008 "/>
    <x v="0"/>
    <n v="3269597"/>
    <m/>
    <m/>
    <m/>
  </r>
  <r>
    <x v="4"/>
    <x v="0"/>
    <s v="C:\Users\andre\Desktop\REACTIV CEFAS\Testosterone\Testosterone/20201118_Cefas_Test6-Run3/Plate 1/@15/A11_02.tif "/>
    <s v=" 74168.9087 "/>
    <s v=" 45.058 "/>
    <x v="0"/>
    <n v="3341905"/>
    <m/>
    <m/>
    <m/>
  </r>
  <r>
    <x v="4"/>
    <x v="0"/>
    <s v="C:\Users\andre\Desktop\REACTIV CEFAS\Testosterone\Testosterone/20201118_Cefas_Test6-Run3/Plate 1/@15/A11_03.tif "/>
    <s v=" 66663.3352 "/>
    <s v=" 43.5571 "/>
    <x v="0"/>
    <n v="2903662"/>
    <m/>
    <m/>
    <m/>
  </r>
  <r>
    <x v="4"/>
    <x v="1"/>
    <s v="C:\Users\andre\Desktop\REACTIV CEFAS\Testosterone\Testosterone/20201118_Cefas_Test6-Run3/Plate 1/@15/B11_01.tif "/>
    <s v=" 96144.8816 "/>
    <s v=" 53.1618 "/>
    <x v="0"/>
    <n v="5111231"/>
    <m/>
    <m/>
    <m/>
  </r>
  <r>
    <x v="4"/>
    <x v="1"/>
    <s v="C:\Users\andre\Desktop\REACTIV CEFAS\Testosterone\Testosterone/20201118_Cefas_Test6-Run3/Plate 1/@15/B11_02.tif "/>
    <s v=" 89223.3153 "/>
    <s v=" 49.0895 "/>
    <x v="0"/>
    <n v="4379924"/>
    <m/>
    <m/>
    <m/>
  </r>
  <r>
    <x v="4"/>
    <x v="1"/>
    <s v="C:\Users\andre\Desktop\REACTIV CEFAS\Testosterone\Testosterone/20201118_Cefas_Test6-Run3/Plate 1/@15/B11_03.tif "/>
    <s v=" 86865.6568 "/>
    <s v=" 53.2271 "/>
    <x v="0"/>
    <n v="4623606"/>
    <m/>
    <m/>
    <m/>
  </r>
  <r>
    <x v="4"/>
    <x v="2"/>
    <s v="C:\Users\andre\Desktop\REACTIV CEFAS\Testosterone\Testosterone/20201118_Cefas_Test6-Run3/Plate 1/@15/C11_01.tif "/>
    <s v=" 82453.1583 "/>
    <s v=" 54.7361 "/>
    <x v="0"/>
    <n v="4513164"/>
    <m/>
    <m/>
    <m/>
  </r>
  <r>
    <x v="4"/>
    <x v="2"/>
    <s v="C:\Users\andre\Desktop\REACTIV CEFAS\Testosterone\Testosterone/20201118_Cefas_Test6-Run3/Plate 1/@15/C11_02.tif "/>
    <s v=" 88379.7495 "/>
    <s v=" 57.8769 "/>
    <x v="0"/>
    <n v="5115146"/>
    <m/>
    <m/>
    <m/>
  </r>
  <r>
    <x v="4"/>
    <x v="2"/>
    <s v="C:\Users\andre\Desktop\REACTIV CEFAS\Testosterone\Testosterone/20201118_Cefas_Test6-Run3/Plate 1/@15/C11_03.tif "/>
    <s v=" 71897.7697 "/>
    <s v=" 59.5704 "/>
    <x v="0"/>
    <n v="4282979"/>
    <m/>
    <m/>
    <m/>
  </r>
  <r>
    <x v="4"/>
    <x v="3"/>
    <s v="C:\Users\andre\Desktop\REACTIV CEFAS\Testosterone\Testosterone/20201118_Cefas_Test6-Run3/Plate 1/@15/D11_01.tif "/>
    <s v=" 77845.9908 "/>
    <s v=" 45.8361 "/>
    <x v="0"/>
    <n v="3568154"/>
    <m/>
    <m/>
    <m/>
  </r>
  <r>
    <x v="4"/>
    <x v="3"/>
    <s v="C:\Users\andre\Desktop\REACTIV CEFAS\Testosterone\Testosterone/20201118_Cefas_Test6-Run3/Plate 1/@15/D11_02.tif "/>
    <s v=" 85892.3116 "/>
    <s v=" 48.789 "/>
    <x v="0"/>
    <n v="4190597"/>
    <m/>
    <m/>
    <m/>
  </r>
  <r>
    <x v="4"/>
    <x v="3"/>
    <s v="C:\Users\andre\Desktop\REACTIV CEFAS\Testosterone\Testosterone/20201118_Cefas_Test6-Run3/Plate 1/@15/D11_03.tif "/>
    <s v=" 84356.5891 "/>
    <s v=" 46.6246 "/>
    <x v="0"/>
    <n v="3933094"/>
    <m/>
    <m/>
    <m/>
  </r>
  <r>
    <x v="4"/>
    <x v="4"/>
    <s v="C:\Users\andre\Desktop\REACTIV CEFAS\Testosterone\Testosterone/20201118_Cefas_Test6-Run3/Plate 1/@15/E11_01.tif "/>
    <s v=" 81068.8451 "/>
    <s v=" 50.2359 "/>
    <x v="0"/>
    <n v="4072563"/>
    <m/>
    <m/>
    <m/>
  </r>
  <r>
    <x v="4"/>
    <x v="4"/>
    <s v="C:\Users\andre\Desktop\REACTIV CEFAS\Testosterone\Testosterone/20201118_Cefas_Test6-Run3/Plate 1/@15/E11_02- exclu.tif"/>
    <m/>
    <m/>
    <x v="1"/>
    <m/>
    <m/>
    <m/>
    <m/>
  </r>
  <r>
    <x v="4"/>
    <x v="4"/>
    <s v="C:\Users\andre\Desktop\REACTIV CEFAS\Testosterone\Testosterone/20201118_Cefas_Test6-Run3/Plate 1/@15/E11_03- exclu.tif"/>
    <m/>
    <m/>
    <x v="1"/>
    <m/>
    <m/>
    <m/>
    <m/>
  </r>
  <r>
    <x v="4"/>
    <x v="5"/>
    <s v="C:\Users\andre\Desktop\REACTIV CEFAS\Testosterone\Testosterone/20201118_Cefas_Test6-Run3/Plate 1/@15/F11_01.tif "/>
    <s v=" 49143.1206 "/>
    <s v=" 47.7843 "/>
    <x v="0"/>
    <n v="2348271"/>
    <m/>
    <m/>
    <m/>
  </r>
  <r>
    <x v="4"/>
    <x v="5"/>
    <s v="C:\Users\andre\Desktop\REACTIV CEFAS\Testosterone\Testosterone/20201118_Cefas_Test6-Run3/Plate 1/@15/F11_02.tif "/>
    <s v=" 53014.8717 "/>
    <s v=" 49.6202 "/>
    <x v="0"/>
    <n v="2630606"/>
    <m/>
    <m/>
    <m/>
  </r>
  <r>
    <x v="4"/>
    <x v="5"/>
    <s v="C:\Users\andre\Desktop\REACTIV CEFAS\Testosterone\Testosterone/20201118_Cefas_Test6-Run3/Plate 1/@15/F11_03.tif "/>
    <s v=" 55004.822 "/>
    <s v=" 46.8537 "/>
    <x v="0"/>
    <n v="2577180"/>
    <m/>
    <m/>
    <m/>
  </r>
  <r>
    <x v="4"/>
    <x v="6"/>
    <s v="C:\Users\andre\Desktop\REACTIV CEFAS\Testosterone\Testosterone/20201118_Cefas_Test6-Run3/Plate 1/@15/G11_01.tif "/>
    <s v=" 79900.8308 "/>
    <s v=" 48.6781 "/>
    <x v="0"/>
    <n v="3889423"/>
    <m/>
    <m/>
    <m/>
  </r>
  <r>
    <x v="4"/>
    <x v="6"/>
    <s v="C:\Users\andre\Desktop\REACTIV CEFAS\Testosterone\Testosterone/20201118_Cefas_Test6-Run3/Plate 1/@15/G11_02.tif "/>
    <s v=" 79554.7524 "/>
    <s v=" 49.4407 "/>
    <x v="0"/>
    <n v="3933245"/>
    <m/>
    <m/>
    <m/>
  </r>
  <r>
    <x v="4"/>
    <x v="6"/>
    <s v="C:\Users\andre\Desktop\REACTIV CEFAS\Testosterone\Testosterone/20201118_Cefas_Test6-Run3/Plate 1/@15/G11_03- exclu.tif"/>
    <m/>
    <m/>
    <x v="1"/>
    <m/>
    <m/>
    <m/>
    <m/>
  </r>
  <r>
    <x v="4"/>
    <x v="7"/>
    <s v="C:\Users\andre\Desktop\REACTIV CEFAS\Testosterone\Testosterone/20201118_Cefas_Test6-Run3/Plate 1/@15/H11_01.tif "/>
    <s v=" 78970.7453 "/>
    <s v=" 54.6242 "/>
    <x v="0"/>
    <n v="4313715"/>
    <m/>
    <m/>
    <m/>
  </r>
  <r>
    <x v="4"/>
    <x v="7"/>
    <s v="C:\Users\andre\Desktop\REACTIV CEFAS\Testosterone\Testosterone/20201118_Cefas_Test6-Run3/Plate 1/@15/H11_02.tif "/>
    <s v=" 78797.7061 "/>
    <s v=" 54.1672 "/>
    <x v="0"/>
    <n v="4268249"/>
    <m/>
    <m/>
    <m/>
  </r>
  <r>
    <x v="4"/>
    <x v="7"/>
    <s v="C:\Users\andre\Desktop\REACTIV CEFAS\Testosterone\Testosterone/20201118_Cefas_Test6-Run3/Plate 1/@15/H11_03.tif "/>
    <s v=" 78148.8093 "/>
    <s v=" 52.6299 "/>
    <x v="0"/>
    <n v="4112968"/>
    <m/>
    <m/>
    <m/>
  </r>
  <r>
    <x v="1"/>
    <x v="8"/>
    <s v=" "/>
    <m/>
    <m/>
    <x v="1"/>
    <m/>
    <m/>
    <m/>
    <m/>
  </r>
  <r>
    <x v="1"/>
    <x v="8"/>
    <s v="group "/>
    <s v=" "/>
    <s v=" mean of mean fluo "/>
    <x v="2"/>
    <s v=" mean of total fluo "/>
    <s v=" SD total fluo "/>
    <s v=" n fluorescent "/>
    <s v=" n total"/>
  </r>
  <r>
    <x v="4"/>
    <x v="9"/>
    <s v="C:\Users\andre\Desktop\REACTIV CEFAS\Testosterone\Testosterone/20201118_Cefas_Test6-Run3/Plate 1/@15/ "/>
    <s v=" "/>
    <s v=" 49.6402 "/>
    <x v="6"/>
    <s v=" 3745286.62 "/>
    <s v=" 1027248.2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C:\Users\andre\Desktop\REACTIV CEFAS\Testosterone\Testosterone/20201118_Cefas_Test6-Run3/Plate 1/@16/A12_01- exclu.tif"/>
    <m/>
    <m/>
    <x v="1"/>
    <m/>
    <m/>
    <m/>
    <m/>
  </r>
  <r>
    <x v="5"/>
    <x v="0"/>
    <s v="C:\Users\andre\Desktop\REACTIV CEFAS\Testosterone\Testosterone/20201118_Cefas_Test6-Run3/Plate 1/@16/A12_02.tif "/>
    <s v=" 7613.7229 "/>
    <s v=" 35.7358 "/>
    <x v="0"/>
    <n v="272082"/>
    <m/>
    <m/>
    <m/>
  </r>
  <r>
    <x v="5"/>
    <x v="0"/>
    <s v="C:\Users\andre\Desktop\REACTIV CEFAS\Testosterone\Testosterone/20201118_Cefas_Test6-Run3/Plate 1/@16/A12_03- exclu.tif"/>
    <m/>
    <m/>
    <x v="1"/>
    <m/>
    <m/>
    <m/>
    <m/>
  </r>
  <r>
    <x v="5"/>
    <x v="1"/>
    <s v="C:\Users\andre\Desktop\REACTIV CEFAS\Testosterone\Testosterone/20201118_Cefas_Test6-Run3/Plate 1/@16/B12_01.tif "/>
    <s v=" 4736.9469 "/>
    <s v=" 35.9909 "/>
    <x v="0"/>
    <n v="170487"/>
    <m/>
    <m/>
    <m/>
  </r>
  <r>
    <x v="5"/>
    <x v="1"/>
    <s v="C:\Users\andre\Desktop\REACTIV CEFAS\Testosterone\Testosterone/20201118_Cefas_Test6-Run3/Plate 1/@16/B12_02.tif "/>
    <s v=" 5234.4345 "/>
    <s v=" 35.7066 "/>
    <x v="0"/>
    <n v="186904"/>
    <m/>
    <m/>
    <m/>
  </r>
  <r>
    <x v="5"/>
    <x v="1"/>
    <s v="C:\Users\andre\Desktop\REACTIV CEFAS\Testosterone\Testosterone/20201118_Cefas_Test6-Run3/Plate 1/@16/B12_03.tif "/>
    <s v=" 6770.157 "/>
    <s v=" 36.8179 "/>
    <x v="0"/>
    <n v="249263"/>
    <m/>
    <m/>
    <m/>
  </r>
  <r>
    <x v="5"/>
    <x v="2"/>
    <s v="C:\Users\andre\Desktop\REACTIV CEFAS\Testosterone\Testosterone/20201118_Cefas_Test6-Run3/Plate 1/@16/C12_01.tif "/>
    <s v=" 3568.9326 "/>
    <s v=" 33.6788 "/>
    <x v="0"/>
    <n v="120197"/>
    <m/>
    <m/>
    <m/>
  </r>
  <r>
    <x v="5"/>
    <x v="2"/>
    <s v="C:\Users\andre\Desktop\REACTIV CEFAS\Testosterone\Testosterone/20201118_Cefas_Test6-Run3/Plate 1/@16/C12_02.tif "/>
    <s v=" 6597.1179 "/>
    <s v=" 41.1016 "/>
    <x v="0"/>
    <n v="271152"/>
    <m/>
    <m/>
    <m/>
  </r>
  <r>
    <x v="5"/>
    <x v="2"/>
    <s v="C:\Users\andre\Desktop\REACTIV CEFAS\Testosterone\Testosterone/20201118_Cefas_Test6-Run3/Plate 1/@16/C12_03.tif "/>
    <s v=" 2271.1389 "/>
    <s v=" 31.9714 "/>
    <x v="0"/>
    <n v="72612"/>
    <m/>
    <m/>
    <m/>
  </r>
  <r>
    <x v="5"/>
    <x v="3"/>
    <s v="C:\Users\andre\Desktop\REACTIV CEFAS\Testosterone\Testosterone/20201118_Cefas_Test6-Run3/Plate 1/@16/D12_01.tif "/>
    <s v=" 2984.9255 "/>
    <s v=" 34.2971 "/>
    <x v="0"/>
    <n v="102374"/>
    <m/>
    <m/>
    <m/>
  </r>
  <r>
    <x v="5"/>
    <x v="3"/>
    <s v="C:\Users\andre\Desktop\REACTIV CEFAS\Testosterone\Testosterone/20201118_Cefas_Test6-Run3/Plate 1/@16/D12_02.tif "/>
    <n v="0"/>
    <n v="0"/>
    <x v="0"/>
    <n v="0"/>
    <m/>
    <m/>
    <m/>
  </r>
  <r>
    <x v="5"/>
    <x v="3"/>
    <s v="C:\Users\andre\Desktop\REACTIV CEFAS\Testosterone\Testosterone/20201118_Cefas_Test6-Run3/Plate 1/@16/D12_03.tif "/>
    <s v=" 3028.1852 "/>
    <s v=" 33.6429 "/>
    <x v="0"/>
    <n v="101877"/>
    <m/>
    <m/>
    <m/>
  </r>
  <r>
    <x v="5"/>
    <x v="4"/>
    <s v="C:\Users\andre\Desktop\REACTIV CEFAS\Testosterone\Testosterone/20201118_Cefas_Test6-Run3/Plate 1/@16/E12_01.tif "/>
    <s v=" 1254.5339 "/>
    <s v=" 32.6379 "/>
    <x v="0"/>
    <n v="40945"/>
    <m/>
    <m/>
    <m/>
  </r>
  <r>
    <x v="5"/>
    <x v="4"/>
    <s v="C:\Users\andre\Desktop\REACTIV CEFAS\Testosterone\Testosterone/20201118_Cefas_Test6-Run3/Plate 1/@16/E12_02- exclu.tif"/>
    <m/>
    <m/>
    <x v="1"/>
    <m/>
    <m/>
    <m/>
    <m/>
  </r>
  <r>
    <x v="5"/>
    <x v="4"/>
    <s v="C:\Users\andre\Desktop\REACTIV CEFAS\Testosterone\Testosterone/20201118_Cefas_Test6-Run3/Plate 1/@16/E12_03.tif "/>
    <s v=" 475.8577 "/>
    <s v=" 31.0909 "/>
    <x v="0"/>
    <n v="14795"/>
    <m/>
    <m/>
    <m/>
  </r>
  <r>
    <x v="5"/>
    <x v="5"/>
    <s v="C:\Users\andre\Desktop\REACTIV CEFAS\Testosterone\Testosterone/20201118_Cefas_Test6-Run3/Plate 1/@16/F12_01.tif "/>
    <s v=" 1773.6514 "/>
    <s v=" 33.7927 "/>
    <x v="0"/>
    <n v="59936"/>
    <m/>
    <m/>
    <m/>
  </r>
  <r>
    <x v="5"/>
    <x v="5"/>
    <s v="C:\Users\andre\Desktop\REACTIV CEFAS\Testosterone\Testosterone/20201118_Cefas_Test6-Run3/Plate 1/@16/F12_02.tif "/>
    <s v=" 4693.6871 "/>
    <s v=" 38.447 "/>
    <x v="0"/>
    <n v="180458"/>
    <m/>
    <m/>
    <m/>
  </r>
  <r>
    <x v="5"/>
    <x v="5"/>
    <s v="C:\Users\andre\Desktop\REACTIV CEFAS\Testosterone\Testosterone/20201118_Cefas_Test6-Run3/Plate 1/@16/F12_03.tif "/>
    <s v=" 3698.712 "/>
    <s v=" 34.6784 "/>
    <x v="0"/>
    <n v="128265"/>
    <m/>
    <m/>
    <m/>
  </r>
  <r>
    <x v="5"/>
    <x v="6"/>
    <s v="C:\Users\andre\Desktop\REACTIV CEFAS\Testosterone\Testosterone/20201118_Cefas_Test6-Run3/Plate 1/@16/G12_01.tif "/>
    <n v="0"/>
    <n v="0"/>
    <x v="0"/>
    <n v="0"/>
    <m/>
    <m/>
    <m/>
  </r>
  <r>
    <x v="5"/>
    <x v="6"/>
    <s v="C:\Users\andre\Desktop\REACTIV CEFAS\Testosterone\Testosterone/20201118_Cefas_Test6-Run3/Plate 1/@16/G12_02.tif "/>
    <n v="0"/>
    <n v="0"/>
    <x v="0"/>
    <n v="0"/>
    <m/>
    <m/>
    <m/>
  </r>
  <r>
    <x v="5"/>
    <x v="6"/>
    <s v="C:\Users\andre\Desktop\REACTIV CEFAS\Testosterone\Testosterone/20201118_Cefas_Test6-Run3/Plate 1/@16/G12_03.tif "/>
    <s v=" 4758.5768 "/>
    <s v=" 36.0909 "/>
    <x v="0"/>
    <n v="171741"/>
    <m/>
    <m/>
    <m/>
  </r>
  <r>
    <x v="5"/>
    <x v="7"/>
    <s v="C:\Users\andre\Desktop\REACTIV CEFAS\Testosterone\Testosterone/20201118_Cefas_Test6-Run3/Plate 1/@16/H12_01.tif "/>
    <s v=" 8868.2568 "/>
    <s v=" 39.5439 "/>
    <x v="0"/>
    <n v="350685"/>
    <m/>
    <m/>
    <m/>
  </r>
  <r>
    <x v="5"/>
    <x v="7"/>
    <s v="C:\Users\andre\Desktop\REACTIV CEFAS\Testosterone\Testosterone/20201118_Cefas_Test6-Run3/Plate 1/@16/H12_02.tif "/>
    <s v=" 1557.3524 "/>
    <s v=" 34.375 "/>
    <x v="0"/>
    <n v="53534"/>
    <m/>
    <m/>
    <m/>
  </r>
  <r>
    <x v="5"/>
    <x v="7"/>
    <s v="C:\Users\andre\Desktop\REACTIV CEFAS\Testosterone\Testosterone/20201118_Cefas_Test6-Run3/Plate 1/@16/H12_03- exclu.tif"/>
    <m/>
    <m/>
    <x v="1"/>
    <m/>
    <m/>
    <m/>
    <m/>
  </r>
  <r>
    <x v="1"/>
    <x v="8"/>
    <s v=" "/>
    <m/>
    <m/>
    <x v="1"/>
    <m/>
    <m/>
    <m/>
    <m/>
  </r>
  <r>
    <x v="1"/>
    <x v="8"/>
    <s v="group "/>
    <s v=" "/>
    <s v=" mean of mean fluo "/>
    <x v="2"/>
    <s v=" mean of total fluo "/>
    <s v=" SD total fluo "/>
    <s v=" n fluorescent "/>
    <s v=" n total"/>
  </r>
  <r>
    <x v="5"/>
    <x v="9"/>
    <s v="C:\Users\andre\Desktop\REACTIV CEFAS\Testosterone\Testosterone/20201118_Cefas_Test6-Run3/Plate 1/@16/ "/>
    <s v=" "/>
    <s v=" 31.3528 "/>
    <x v="7"/>
    <s v=" 215029.917 "/>
    <s v=" 275119.306 "/>
    <n v="20"/>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C:\Users\andre\Desktop\REACTIV CEFAS\Testosterone\Testosterone/20201118_Cefas_Test6-Run3/Plate 1/@2/A2_01.tif "/>
    <s v=" 4325.9789 "/>
    <s v=" 34.245 "/>
    <x v="0"/>
    <n v="148143"/>
    <m/>
    <m/>
    <m/>
  </r>
  <r>
    <x v="6"/>
    <x v="0"/>
    <s v="C:\Users\andre\Desktop\REACTIV CEFAS\Testosterone\Testosterone/20201118_Cefas_Test6-Run3/Plate 1/@2/A2_02.tif "/>
    <s v=" 4628.7975 "/>
    <s v=" 37.2103 "/>
    <x v="0"/>
    <n v="172239"/>
    <m/>
    <m/>
    <m/>
  </r>
  <r>
    <x v="6"/>
    <x v="0"/>
    <s v="C:\Users\andre\Desktop\REACTIV CEFAS\Testosterone\Testosterone/20201118_Cefas_Test6-Run3/Plate 1/@2/A2_03.tif "/>
    <s v=" 5840.0715 "/>
    <s v=" 38.7963 "/>
    <x v="0"/>
    <n v="226573"/>
    <m/>
    <m/>
    <m/>
  </r>
  <r>
    <x v="6"/>
    <x v="1"/>
    <s v="C:\Users\andre\Desktop\REACTIV CEFAS\Testosterone\Testosterone/20201118_Cefas_Test6-Run3/Plate 1/@2/B2_01.tif "/>
    <s v=" 2465.808 "/>
    <s v=" 34.6842 "/>
    <x v="0"/>
    <n v="85525"/>
    <m/>
    <m/>
    <m/>
  </r>
  <r>
    <x v="6"/>
    <x v="1"/>
    <s v="C:\Users\andre\Desktop\REACTIV CEFAS\Testosterone\Testosterone/20201118_Cefas_Test6-Run3/Plate 1/@2/B2_02.tif "/>
    <s v=" 21.6299 "/>
    <n v="36"/>
    <x v="0"/>
    <n v="779"/>
    <m/>
    <m/>
    <m/>
  </r>
  <r>
    <x v="6"/>
    <x v="1"/>
    <s v="C:\Users\andre\Desktop\REACTIV CEFAS\Testosterone\Testosterone/20201118_Cefas_Test6-Run3/Plate 1/@2/B2_03.tif "/>
    <s v=" 454.2278 "/>
    <s v=" 32.3333 "/>
    <x v="0"/>
    <n v="14687"/>
    <m/>
    <m/>
    <m/>
  </r>
  <r>
    <x v="6"/>
    <x v="2"/>
    <s v="C:\Users\andre\Desktop\REACTIV CEFAS\Testosterone\Testosterone/20201118_Cefas_Test6-Run3/Plate 1/@2/C2_01.tif "/>
    <s v=" 5796.8118 "/>
    <s v=" 38.9515 "/>
    <x v="0"/>
    <n v="225794"/>
    <m/>
    <m/>
    <m/>
  </r>
  <r>
    <x v="6"/>
    <x v="2"/>
    <s v="C:\Users\andre\Desktop\REACTIV CEFAS\Testosterone\Testosterone/20201118_Cefas_Test6-Run3/Plate 1/@2/C2_02.tif "/>
    <s v=" 994.9752 "/>
    <s v=" 39.5652 "/>
    <x v="0"/>
    <n v="39366"/>
    <m/>
    <m/>
    <m/>
  </r>
  <r>
    <x v="6"/>
    <x v="2"/>
    <s v="C:\Users\andre\Desktop\REACTIV CEFAS\Testosterone\Testosterone/20201118_Cefas_Test6-Run3/Plate 1/@2/C2_03.tif "/>
    <s v=" 3763.6017 "/>
    <s v=" 34.9713 "/>
    <x v="0"/>
    <n v="131618"/>
    <m/>
    <m/>
    <m/>
  </r>
  <r>
    <x v="6"/>
    <x v="3"/>
    <s v="C:\Users\andre\Desktop\REACTIV CEFAS\Testosterone\Testosterone/20201118_Cefas_Test6-Run3/Plate 1/@2/D2_01.tif "/>
    <s v=" 7310.9044 "/>
    <s v=" 34.7959 "/>
    <x v="0"/>
    <n v="254389"/>
    <m/>
    <m/>
    <m/>
  </r>
  <r>
    <x v="6"/>
    <x v="3"/>
    <s v="C:\Users\andre\Desktop\REACTIV CEFAS\Testosterone\Testosterone/20201118_Cefas_Test6-Run3/Plate 1/@2/D2_02.tif "/>
    <s v=" 3612.1924 "/>
    <s v=" 33.0958 "/>
    <x v="0"/>
    <n v="119548"/>
    <m/>
    <m/>
    <m/>
  </r>
  <r>
    <x v="6"/>
    <x v="3"/>
    <s v="C:\Users\andre\Desktop\REACTIV CEFAS\Testosterone\Testosterone/20201118_Cefas_Test6-Run3/Plate 1/@2/D2_03.tif "/>
    <s v=" 7894.9115 "/>
    <s v=" 36.2055 "/>
    <x v="0"/>
    <n v="285839"/>
    <m/>
    <m/>
    <m/>
  </r>
  <r>
    <x v="6"/>
    <x v="4"/>
    <s v="C:\Users\andre\Desktop\REACTIV CEFAS\Testosterone\Testosterone/20201118_Cefas_Test6-Run3/Plate 1/@2/E2_01.tif "/>
    <s v=" 11355.6947 "/>
    <s v=" 34.6438 "/>
    <x v="0"/>
    <n v="393405"/>
    <m/>
    <m/>
    <m/>
  </r>
  <r>
    <x v="6"/>
    <x v="4"/>
    <s v="C:\Users\andre\Desktop\REACTIV CEFAS\Testosterone\Testosterone/20201118_Cefas_Test6-Run3/Plate 1/@2/E2_02.tif "/>
    <s v=" 35473.0272 "/>
    <s v=" 35.8091 "/>
    <x v="0"/>
    <n v="1270259"/>
    <m/>
    <m/>
    <m/>
  </r>
  <r>
    <x v="6"/>
    <x v="4"/>
    <s v="C:\Users\andre\Desktop\REACTIV CEFAS\Testosterone\Testosterone/20201118_Cefas_Test6-Run3/Plate 1/@2/E2_03.tif "/>
    <s v=" 14665.0686 "/>
    <s v=" 31.8879 "/>
    <x v="0"/>
    <n v="467638"/>
    <m/>
    <m/>
    <m/>
  </r>
  <r>
    <x v="6"/>
    <x v="5"/>
    <s v="C:\Users\andre\Desktop\REACTIV CEFAS\Testosterone\Testosterone/20201118_Cefas_Test6-Run3/Plate 1/@2/F2_01.tif "/>
    <s v=" 13799.8728 "/>
    <s v=" 43.3135 "/>
    <x v="0"/>
    <n v="597721"/>
    <m/>
    <m/>
    <m/>
  </r>
  <r>
    <x v="6"/>
    <x v="5"/>
    <s v="C:\Users\andre\Desktop\REACTIV CEFAS\Testosterone\Testosterone/20201118_Cefas_Test6-Run3/Plate 1/@2/F2_02.tif "/>
    <s v=" 13713.3532 "/>
    <s v=" 44.1877 "/>
    <x v="0"/>
    <n v="605961"/>
    <m/>
    <m/>
    <m/>
  </r>
  <r>
    <x v="6"/>
    <x v="5"/>
    <s v="C:\Users\andre\Desktop\REACTIV CEFAS\Testosterone\Testosterone/20201118_Cefas_Test6-Run3/Plate 1/@2/F2_03.tif "/>
    <s v=" 11961.3317 "/>
    <s v=" 45.4955 "/>
    <x v="0"/>
    <n v="544187"/>
    <m/>
    <m/>
    <m/>
  </r>
  <r>
    <x v="6"/>
    <x v="6"/>
    <s v="C:\Users\andre\Desktop\REACTIV CEFAS\Testosterone\Testosterone/20201118_Cefas_Test6-Run3/Plate 1/@2/G2_01.tif "/>
    <s v=" 7938.1713 "/>
    <s v=" 39.5858 "/>
    <x v="0"/>
    <n v="314239"/>
    <m/>
    <m/>
    <m/>
  </r>
  <r>
    <x v="6"/>
    <x v="6"/>
    <s v="C:\Users\andre\Desktop\REACTIV CEFAS\Testosterone\Testosterone/20201118_Cefas_Test6-Run3/Plate 1/@2/G2_02.tif "/>
    <s v=" 6640.3777 "/>
    <s v=" 38.8925 "/>
    <x v="0"/>
    <n v="258261"/>
    <m/>
    <m/>
    <m/>
  </r>
  <r>
    <x v="6"/>
    <x v="6"/>
    <s v="C:\Users\andre\Desktop\REACTIV CEFAS\Testosterone\Testosterone/20201118_Cefas_Test6-Run3/Plate 1/@2/G2_03.tif "/>
    <s v=" 6662.0075 "/>
    <s v=" 40.039 "/>
    <x v="0"/>
    <n v="266740"/>
    <m/>
    <m/>
    <m/>
  </r>
  <r>
    <x v="6"/>
    <x v="7"/>
    <s v="C:\Users\andre\Desktop\REACTIV CEFAS\Testosterone\Testosterone/20201118_Cefas_Test6-Run3/Plate 1/@2/H2_01.tif "/>
    <s v=" 10879.837 "/>
    <s v=" 43.2704 "/>
    <x v="0"/>
    <n v="470775"/>
    <m/>
    <m/>
    <m/>
  </r>
  <r>
    <x v="6"/>
    <x v="7"/>
    <s v="C:\Users\andre\Desktop\REACTIV CEFAS\Testosterone\Testosterone/20201118_Cefas_Test6-Run3/Plate 1/@2/H2_02.tif "/>
    <s v=" 10663.5381 "/>
    <s v=" 41.4016 "/>
    <x v="0"/>
    <n v="441488"/>
    <m/>
    <m/>
    <m/>
  </r>
  <r>
    <x v="6"/>
    <x v="7"/>
    <s v="C:\Users\andre\Desktop\REACTIV CEFAS\Testosterone\Testosterone/20201118_Cefas_Test6-Run3/Plate 1/@2/H2_03.tif "/>
    <s v=" 6791.7869 "/>
    <s v=" 47.3248 "/>
    <x v="0"/>
    <n v="321420"/>
    <m/>
    <m/>
    <m/>
  </r>
  <r>
    <x v="1"/>
    <x v="8"/>
    <s v=" "/>
    <m/>
    <m/>
    <x v="1"/>
    <m/>
    <m/>
    <m/>
    <m/>
  </r>
  <r>
    <x v="1"/>
    <x v="8"/>
    <s v="group "/>
    <s v=" "/>
    <s v=" mean of mean fluo "/>
    <x v="2"/>
    <s v=" mean of total fluo "/>
    <s v=" SD total fluo "/>
    <s v=" n fluorescent "/>
    <s v=" n total"/>
  </r>
  <r>
    <x v="6"/>
    <x v="9"/>
    <s v="C:\Users\andre\Desktop\REACTIV CEFAS\Testosterone\Testosterone/20201118_Cefas_Test6-Run3/Plate 1/@2/ "/>
    <s v=" "/>
    <s v=" 38.1961 "/>
    <x v="8"/>
    <s v=" 319024.75 "/>
    <s v=" 268850.78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C:\Users\andre\Desktop\REACTIV CEFAS\Testosterone\Testosterone/20201118_Cefas_Test6-Run3/Plate 1/@3/A3_01.tif "/>
    <s v=" 2119.7297 "/>
    <s v=" 33.949 "/>
    <x v="0"/>
    <n v="71963"/>
    <m/>
    <m/>
    <m/>
  </r>
  <r>
    <x v="7"/>
    <x v="0"/>
    <s v="C:\Users\andre\Desktop\REACTIV CEFAS\Testosterone\Testosterone/20201118_Cefas_Test6-Run3/Plate 1/@3/A3_02.tif "/>
    <n v="0"/>
    <n v="0"/>
    <x v="0"/>
    <n v="0"/>
    <m/>
    <m/>
    <m/>
  </r>
  <r>
    <x v="7"/>
    <x v="0"/>
    <s v="C:\Users\andre\Desktop\REACTIV CEFAS\Testosterone\Testosterone/20201118_Cefas_Test6-Run3/Plate 1/@3/A3_03.tif "/>
    <s v=" 627.2669 "/>
    <n v="32"/>
    <x v="0"/>
    <n v="20073"/>
    <m/>
    <m/>
    <m/>
  </r>
  <r>
    <x v="7"/>
    <x v="1"/>
    <s v="C:\Users\andre\Desktop\REACTIV CEFAS\Testosterone\Testosterone/20201118_Cefas_Test6-Run3/Plate 1/@3/B3_01.tif "/>
    <s v=" 12480.4492 "/>
    <s v=" 39.2513 "/>
    <x v="0"/>
    <n v="489874"/>
    <m/>
    <m/>
    <m/>
  </r>
  <r>
    <x v="7"/>
    <x v="1"/>
    <s v="C:\Users\andre\Desktop\REACTIV CEFAS\Testosterone\Testosterone/20201118_Cefas_Test6-Run3/Plate 1/@3/B3_02.tif "/>
    <s v=" 16049.3818 "/>
    <s v=" 42.8194 "/>
    <x v="0"/>
    <n v="687225"/>
    <m/>
    <m/>
    <m/>
  </r>
  <r>
    <x v="7"/>
    <x v="1"/>
    <s v="C:\Users\andre\Desktop\REACTIV CEFAS\Testosterone\Testosterone/20201118_Cefas_Test6-Run3/Plate 1/@3/B3_03.tif "/>
    <s v=" 16006.122 "/>
    <s v=" 47.0676 "/>
    <x v="0"/>
    <n v="753369"/>
    <m/>
    <m/>
    <m/>
  </r>
  <r>
    <x v="7"/>
    <x v="2"/>
    <s v="C:\Users\andre\Desktop\REACTIV CEFAS\Testosterone\Testosterone/20201118_Cefas_Test6-Run3/Plate 1/@3/C3_01.tif "/>
    <s v=" 3049.8151 "/>
    <s v=" 37.9929 "/>
    <x v="0"/>
    <n v="115871"/>
    <m/>
    <m/>
    <m/>
  </r>
  <r>
    <x v="7"/>
    <x v="2"/>
    <s v="C:\Users\andre\Desktop\REACTIV CEFAS\Testosterone\Testosterone/20201118_Cefas_Test6-Run3/Plate 1/@3/C3_02.tif "/>
    <s v=" 4088.0501 "/>
    <s v=" 35.455 "/>
    <x v="0"/>
    <n v="144942"/>
    <m/>
    <m/>
    <m/>
  </r>
  <r>
    <x v="7"/>
    <x v="2"/>
    <s v="C:\Users\andre\Desktop\REACTIV CEFAS\Testosterone\Testosterone/20201118_Cefas_Test6-Run3/Plate 1/@3/C3_03.tif "/>
    <s v=" 5061.3953 "/>
    <s v=" 37.3504 "/>
    <x v="0"/>
    <n v="189045"/>
    <m/>
    <m/>
    <m/>
  </r>
  <r>
    <x v="7"/>
    <x v="3"/>
    <s v="C:\Users\andre\Desktop\REACTIV CEFAS\Testosterone\Testosterone/20201118_Cefas_Test6-Run3/Plate 1/@3/D3_01.tif "/>
    <s v=" 4109.68 "/>
    <s v=" 37.1789 "/>
    <x v="0"/>
    <n v="152794"/>
    <m/>
    <m/>
    <m/>
  </r>
  <r>
    <x v="7"/>
    <x v="3"/>
    <s v="C:\Users\andre\Desktop\REACTIV CEFAS\Testosterone\Testosterone/20201118_Cefas_Test6-Run3/Plate 1/@3/D3_02- exclu.tif"/>
    <m/>
    <m/>
    <x v="1"/>
    <m/>
    <m/>
    <m/>
    <m/>
  </r>
  <r>
    <x v="7"/>
    <x v="3"/>
    <s v="C:\Users\andre\Desktop\REACTIV CEFAS\Testosterone\Testosterone/20201118_Cefas_Test6-Run3/Plate 1/@3/D3_03- exclu.tif"/>
    <m/>
    <m/>
    <x v="1"/>
    <m/>
    <m/>
    <m/>
    <m/>
  </r>
  <r>
    <x v="7"/>
    <x v="4"/>
    <s v="C:\Users\andre\Desktop\REACTIV CEFAS\Testosterone\Testosterone/20201118_Cefas_Test6-Run3/Plate 1/@3/E3_01.tif "/>
    <s v=" 7397.424 "/>
    <s v=" 42.2661 "/>
    <x v="0"/>
    <n v="312660"/>
    <m/>
    <m/>
    <m/>
  </r>
  <r>
    <x v="7"/>
    <x v="4"/>
    <s v="C:\Users\andre\Desktop\REACTIV CEFAS\Testosterone\Testosterone/20201118_Cefas_Test6-Run3/Plate 1/@3/E3_02.tif "/>
    <s v=" 9798.3423 "/>
    <s v=" 41.5806 "/>
    <x v="0"/>
    <n v="407421"/>
    <m/>
    <m/>
    <m/>
  </r>
  <r>
    <x v="7"/>
    <x v="4"/>
    <s v="C:\Users\andre\Desktop\REACTIV CEFAS\Testosterone\Testosterone/20201118_Cefas_Test6-Run3/Plate 1/@3/E3_03.tif "/>
    <s v=" 11788.2926 "/>
    <s v=" 41.2679 "/>
    <x v="0"/>
    <n v="486478"/>
    <m/>
    <m/>
    <m/>
  </r>
  <r>
    <x v="7"/>
    <x v="5"/>
    <s v="C:\Users\andre\Desktop\REACTIV CEFAS\Testosterone\Testosterone/20201118_Cefas_Test6-Run3/Plate 1/@3/F3_01.tif "/>
    <s v=" 5861.7014 "/>
    <s v=" 33.6531 "/>
    <x v="0"/>
    <n v="197265"/>
    <m/>
    <m/>
    <m/>
  </r>
  <r>
    <x v="7"/>
    <x v="5"/>
    <s v="C:\Users\andre\Desktop\REACTIV CEFAS\Testosterone\Testosterone/20201118_Cefas_Test6-Run3/Plate 1/@3/F3_02.tif "/>
    <s v=" 3201.2244 "/>
    <s v=" 34.9865 "/>
    <x v="0"/>
    <n v="112000"/>
    <m/>
    <m/>
    <m/>
  </r>
  <r>
    <x v="7"/>
    <x v="5"/>
    <s v="C:\Users\andre\Desktop\REACTIV CEFAS\Testosterone\Testosterone/20201118_Cefas_Test6-Run3/Plate 1/@3/F3_03.tif "/>
    <s v=" 4520.648 "/>
    <s v=" 33.11 "/>
    <x v="0"/>
    <n v="149679"/>
    <m/>
    <m/>
    <m/>
  </r>
  <r>
    <x v="7"/>
    <x v="6"/>
    <s v="C:\Users\andre\Desktop\REACTIV CEFAS\Testosterone\Testosterone/20201118_Cefas_Test6-Run3/Plate 1/@3/G3_01.tif "/>
    <s v=" 9560.4134 "/>
    <s v=" 41.4095 "/>
    <x v="0"/>
    <n v="395892"/>
    <m/>
    <m/>
    <m/>
  </r>
  <r>
    <x v="7"/>
    <x v="6"/>
    <s v="C:\Users\andre\Desktop\REACTIV CEFAS\Testosterone\Testosterone/20201118_Cefas_Test6-Run3/Plate 1/@3/G3_02.tif "/>
    <s v=" 7072.9755 "/>
    <s v=" 41.9419 "/>
    <x v="0"/>
    <n v="296654"/>
    <m/>
    <m/>
    <m/>
  </r>
  <r>
    <x v="7"/>
    <x v="6"/>
    <s v="C:\Users\andre\Desktop\REACTIV CEFAS\Testosterone\Testosterone/20201118_Cefas_Test6-Run3/Plate 1/@3/G3_03.tif "/>
    <s v=" 10490.4989 "/>
    <s v=" 39.5732 "/>
    <x v="0"/>
    <n v="415143"/>
    <m/>
    <m/>
    <m/>
  </r>
  <r>
    <x v="7"/>
    <x v="7"/>
    <s v="C:\Users\andre\Desktop\REACTIV CEFAS\Testosterone\Testosterone/20201118_Cefas_Test6-Run3/Plate 1/@3/H3_01.tif "/>
    <s v=" 3482.413 "/>
    <s v=" 34.8882 "/>
    <x v="0"/>
    <n v="121495"/>
    <m/>
    <m/>
    <m/>
  </r>
  <r>
    <x v="7"/>
    <x v="7"/>
    <s v="C:\Users\andre\Desktop\REACTIV CEFAS\Testosterone\Testosterone/20201118_Cefas_Test6-Run3/Plate 1/@3/H3_02.tif "/>
    <s v=" 4715.317 "/>
    <s v=" 36.4128 "/>
    <x v="0"/>
    <n v="171698"/>
    <m/>
    <m/>
    <m/>
  </r>
  <r>
    <x v="7"/>
    <x v="7"/>
    <s v="C:\Users\andre\Desktop\REACTIV CEFAS\Testosterone\Testosterone/20201118_Cefas_Test6-Run3/Plate 1/@3/H3_03.tif "/>
    <s v=" 43.2598 "/>
    <n v="33"/>
    <x v="0"/>
    <n v="1428"/>
    <m/>
    <m/>
    <m/>
  </r>
  <r>
    <x v="1"/>
    <x v="8"/>
    <s v=" "/>
    <m/>
    <m/>
    <x v="1"/>
    <m/>
    <m/>
    <m/>
    <m/>
  </r>
  <r>
    <x v="1"/>
    <x v="8"/>
    <s v="group "/>
    <s v=" "/>
    <s v=" mean of mean fluo "/>
    <x v="2"/>
    <s v=" mean of total fluo "/>
    <s v=" SD total fluo "/>
    <s v=" n fluorescent "/>
    <s v=" n total"/>
  </r>
  <r>
    <x v="7"/>
    <x v="9"/>
    <s v="C:\Users\andre\Desktop\REACTIV CEFAS\Testosterone\Testosterone/20201118_Cefas_Test6-Run3/Plate 1/@3/ "/>
    <s v=" "/>
    <s v=" 34.6371 "/>
    <x v="9"/>
    <s v=" 243944.75 "/>
    <s v=" 209807.607 "/>
    <n v="22"/>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C:\Users\andre\Desktop\REACTIV CEFAS\Testosterone\Testosterone/20201118_Cefas_Test6-Run3/Plate 1/@4/A4_01.tif "/>
    <s v=" 475.8577 "/>
    <s v=" 31.2273 "/>
    <x v="0"/>
    <n v="14860"/>
    <m/>
    <m/>
    <m/>
  </r>
  <r>
    <x v="8"/>
    <x v="0"/>
    <s v="C:\Users\andre\Desktop\REACTIV CEFAS\Testosterone\Testosterone/20201118_Cefas_Test6-Run3/Plate 1/@4/A4_02.tif "/>
    <s v=" 12047.8513 "/>
    <s v=" 33.5081 "/>
    <x v="0"/>
    <n v="403700"/>
    <m/>
    <m/>
    <m/>
  </r>
  <r>
    <x v="8"/>
    <x v="0"/>
    <s v="C:\Users\andre\Desktop\REACTIV CEFAS\Testosterone\Testosterone/20201118_Cefas_Test6-Run3/Plate 1/@4/A4_03.tif "/>
    <s v=" 1881.8008 "/>
    <s v=" 31.4368 "/>
    <x v="0"/>
    <n v="59158"/>
    <m/>
    <m/>
    <m/>
  </r>
  <r>
    <x v="8"/>
    <x v="1"/>
    <s v="C:\Users\andre\Desktop\REACTIV CEFAS\Testosterone\Testosterone/20201118_Cefas_Test6-Run3/Plate 1/@4/B4_01.tif "/>
    <s v=" 26821.0693 "/>
    <s v=" 34.2944 "/>
    <x v="0"/>
    <n v="919811"/>
    <m/>
    <m/>
    <m/>
  </r>
  <r>
    <x v="8"/>
    <x v="1"/>
    <s v="C:\Users\andre\Desktop\REACTIV CEFAS\Testosterone\Testosterone/20201118_Cefas_Test6-Run3/Plate 1/@4/B4_02.tif "/>
    <s v=" 26431.7312 "/>
    <s v=" 34.3175 "/>
    <x v="0"/>
    <n v="907071"/>
    <m/>
    <m/>
    <m/>
  </r>
  <r>
    <x v="8"/>
    <x v="1"/>
    <s v="C:\Users\andre\Desktop\REACTIV CEFAS\Testosterone\Testosterone/20201118_Cefas_Test6-Run3/Plate 1/@4/B4_03.tif "/>
    <s v=" 28053.9733 "/>
    <s v=" 34.2891 "/>
    <x v="0"/>
    <n v="961946"/>
    <m/>
    <m/>
    <m/>
  </r>
  <r>
    <x v="8"/>
    <x v="2"/>
    <s v="C:\Users\andre\Desktop\REACTIV CEFAS\Testosterone\Testosterone/20201118_Cefas_Test6-Run3/Plate 1/@4/C4_01.tif "/>
    <s v=" 16676.6488 "/>
    <s v=" 34.546 "/>
    <x v="0"/>
    <n v="576112"/>
    <m/>
    <m/>
    <m/>
  </r>
  <r>
    <x v="8"/>
    <x v="2"/>
    <s v="C:\Users\andre\Desktop\REACTIV CEFAS\Testosterone\Testosterone/20201118_Cefas_Test6-Run3/Plate 1/@4/C4_02.tif "/>
    <s v=" 12502.0791 "/>
    <s v=" 33.1765 "/>
    <x v="0"/>
    <n v="414775"/>
    <m/>
    <m/>
    <m/>
  </r>
  <r>
    <x v="8"/>
    <x v="2"/>
    <s v="C:\Users\andre\Desktop\REACTIV CEFAS\Testosterone\Testosterone/20201118_Cefas_Test6-Run3/Plate 1/@4/C4_03.tif "/>
    <s v=" 12069.4812 "/>
    <s v=" 33.1846 "/>
    <x v="0"/>
    <n v="400521"/>
    <m/>
    <m/>
    <m/>
  </r>
  <r>
    <x v="8"/>
    <x v="3"/>
    <s v="C:\Users\andre\Desktop\REACTIV CEFAS\Testosterone\Testosterone/20201118_Cefas_Test6-Run3/Plate 1/@4/D4_01.tif "/>
    <s v=" 25458.386 "/>
    <s v=" 33.3976 "/>
    <x v="0"/>
    <n v="850250"/>
    <m/>
    <m/>
    <m/>
  </r>
  <r>
    <x v="8"/>
    <x v="3"/>
    <s v="C:\Users\andre\Desktop\REACTIV CEFAS\Testosterone\Testosterone/20201118_Cefas_Test6-Run3/Plate 1/@4/D4_02.tif "/>
    <s v=" 38717.5114 "/>
    <s v=" 35.8626 "/>
    <x v="0"/>
    <n v="1388509"/>
    <m/>
    <m/>
    <m/>
  </r>
  <r>
    <x v="8"/>
    <x v="3"/>
    <s v="C:\Users\andre\Desktop\REACTIV CEFAS\Testosterone\Testosterone/20201118_Cefas_Test6-Run3/Plate 1/@4/D4_03.tif "/>
    <s v=" 23035.8378 "/>
    <s v=" 34.7333 "/>
    <x v="0"/>
    <n v="800111"/>
    <m/>
    <m/>
    <m/>
  </r>
  <r>
    <x v="8"/>
    <x v="4"/>
    <s v="C:\Users\andre\Desktop\REACTIV CEFAS\Testosterone\Testosterone/20201118_Cefas_Test6-Run3/Plate 1/@4/E4_01.tif "/>
    <s v=" 8370.7692 "/>
    <s v=" 34.2972 "/>
    <x v="0"/>
    <n v="287094"/>
    <m/>
    <m/>
    <m/>
  </r>
  <r>
    <x v="8"/>
    <x v="4"/>
    <s v="C:\Users\andre\Desktop\REACTIV CEFAS\Testosterone\Testosterone/20201118_Cefas_Test6-Run3/Plate 1/@4/E4_02.tif "/>
    <s v=" 16979.4673 "/>
    <s v=" 34.4369 "/>
    <x v="0"/>
    <n v="584721"/>
    <m/>
    <m/>
    <m/>
  </r>
  <r>
    <x v="8"/>
    <x v="4"/>
    <s v="C:\Users\andre\Desktop\REACTIV CEFAS\Testosterone\Testosterone/20201118_Cefas_Test6-Run3/Plate 1/@4/E4_03.tif "/>
    <s v=" 11463.8442 "/>
    <s v=" 32.5528 "/>
    <x v="0"/>
    <n v="373181"/>
    <m/>
    <m/>
    <m/>
  </r>
  <r>
    <x v="8"/>
    <x v="5"/>
    <s v="C:\Users\andre\Desktop\REACTIV CEFAS\Testosterone\Testosterone/20201118_Cefas_Test6-Run3/Plate 1/@4/F4_01.tif "/>
    <s v=" 32271.8028 "/>
    <s v=" 35.0476 "/>
    <x v="0"/>
    <n v="1131049"/>
    <m/>
    <m/>
    <m/>
  </r>
  <r>
    <x v="8"/>
    <x v="5"/>
    <s v="C:\Users\andre\Desktop\REACTIV CEFAS\Testosterone\Testosterone/20201118_Cefas_Test6-Run3/Plate 1/@4/F4_02.tif "/>
    <s v=" 38176.764 "/>
    <s v=" 35.647 "/>
    <x v="0"/>
    <n v="1360888"/>
    <m/>
    <m/>
    <m/>
  </r>
  <r>
    <x v="8"/>
    <x v="5"/>
    <s v="C:\Users\andre\Desktop\REACTIV CEFAS\Testosterone\Testosterone/20201118_Cefas_Test6-Run3/Plate 1/@4/F4_03.tif "/>
    <s v=" 17952.8125 "/>
    <s v=" 33.0988 "/>
    <x v="0"/>
    <n v="594216"/>
    <m/>
    <m/>
    <m/>
  </r>
  <r>
    <x v="8"/>
    <x v="6"/>
    <s v="C:\Users\andre\Desktop\REACTIV CEFAS\Testosterone\Testosterone/20201118_Cefas_Test6-Run3/Plate 1/@4/G4_01.tif "/>
    <s v=" 55978.1673 "/>
    <s v=" 36.3605 "/>
    <x v="0"/>
    <n v="2035395"/>
    <m/>
    <m/>
    <m/>
  </r>
  <r>
    <x v="8"/>
    <x v="6"/>
    <s v="C:\Users\andre\Desktop\REACTIV CEFAS\Testosterone\Testosterone/20201118_Cefas_Test6-Run3/Plate 1/@4/G4_02.tif "/>
    <s v=" 56843.3631 "/>
    <s v=" 38.7249 "/>
    <x v="0"/>
    <n v="2201253"/>
    <m/>
    <m/>
    <m/>
  </r>
  <r>
    <x v="8"/>
    <x v="6"/>
    <s v="C:\Users\andre\Desktop\REACTIV CEFAS\Testosterone\Testosterone/20201118_Cefas_Test6-Run3/Plate 1/@4/G4_03.tif "/>
    <s v=" 55350.9004 "/>
    <s v=" 37.8343 "/>
    <x v="0"/>
    <n v="2094163"/>
    <m/>
    <m/>
    <m/>
  </r>
  <r>
    <x v="8"/>
    <x v="7"/>
    <s v="C:\Users\andre\Desktop\REACTIV CEFAS\Testosterone\Testosterone/20201118_Cefas_Test6-Run3/Plate 1/@4/H4_01.tif "/>
    <s v=" 13410.5347 "/>
    <s v=" 34.0468 "/>
    <x v="0"/>
    <n v="456585"/>
    <m/>
    <m/>
    <m/>
  </r>
  <r>
    <x v="8"/>
    <x v="7"/>
    <s v="C:\Users\andre\Desktop\REACTIV CEFAS\Testosterone\Testosterone/20201118_Cefas_Test6-Run3/Plate 1/@4/H4_02.tif "/>
    <s v=" 16957.8374 "/>
    <s v=" 34.8431 "/>
    <x v="0"/>
    <n v="590864"/>
    <m/>
    <m/>
    <m/>
  </r>
  <r>
    <x v="8"/>
    <x v="7"/>
    <s v="C:\Users\andre\Desktop\REACTIV CEFAS\Testosterone\Testosterone/20201118_Cefas_Test6-Run3/Plate 1/@4/H4_03.tif "/>
    <s v=" 6207.7798 "/>
    <s v=" 33.1742 "/>
    <x v="0"/>
    <n v="205938"/>
    <m/>
    <m/>
    <m/>
  </r>
  <r>
    <x v="1"/>
    <x v="8"/>
    <s v=" "/>
    <m/>
    <m/>
    <x v="1"/>
    <m/>
    <m/>
    <m/>
    <m/>
  </r>
  <r>
    <x v="1"/>
    <x v="8"/>
    <s v="group "/>
    <s v=" "/>
    <s v=" mean of mean fluo "/>
    <x v="2"/>
    <s v=" mean of total fluo "/>
    <s v=" SD total fluo "/>
    <s v=" n fluorescent "/>
    <s v=" n total"/>
  </r>
  <r>
    <x v="8"/>
    <x v="9"/>
    <s v="C:\Users\andre\Desktop\REACTIV CEFAS\Testosterone\Testosterone/20201118_Cefas_Test6-Run3/Plate 1/@4/ "/>
    <s v=" "/>
    <s v=" 34.3349 "/>
    <x v="10"/>
    <s v=" 817173.792 "/>
    <s v=" 615437.83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C:\Users\andre\Desktop\REACTIV CEFAS\Testosterone\Testosterone/20201118_Cefas_Test6-Run3/Plate 1/@5/A5_01.tif "/>
    <s v=" 23814.514 "/>
    <s v=" 34.0963 "/>
    <x v="0"/>
    <n v="811986"/>
    <m/>
    <m/>
    <m/>
  </r>
  <r>
    <x v="9"/>
    <x v="0"/>
    <s v="C:\Users\andre\Desktop\REACTIV CEFAS\Testosterone\Testosterone/20201118_Cefas_Test6-Run3/Plate 1/@5/A5_02.tif "/>
    <s v=" 11031.2463 "/>
    <s v=" 35.7765 "/>
    <x v="0"/>
    <n v="394659"/>
    <m/>
    <m/>
    <m/>
  </r>
  <r>
    <x v="9"/>
    <x v="0"/>
    <s v="C:\Users\andre\Desktop\REACTIV CEFAS\Testosterone\Testosterone/20201118_Cefas_Test6-Run3/Plate 1/@5/A5_03.tif "/>
    <s v=" 15076.0366 "/>
    <s v=" 33.6643 "/>
    <x v="0"/>
    <n v="507524"/>
    <m/>
    <m/>
    <m/>
  </r>
  <r>
    <x v="9"/>
    <x v="1"/>
    <s v="C:\Users\andre\Desktop\REACTIV CEFAS\Testosterone\Testosterone/20201118_Cefas_Test6-Run3/Plate 1/@5/B5_01.tif "/>
    <s v=" 59438.9504 "/>
    <s v=" 38.0073 "/>
    <x v="0"/>
    <n v="2259113"/>
    <m/>
    <m/>
    <m/>
  </r>
  <r>
    <x v="9"/>
    <x v="1"/>
    <s v="C:\Users\andre\Desktop\REACTIV CEFAS\Testosterone\Testosterone/20201118_Cefas_Test6-Run3/Plate 1/@5/B5_02.tif "/>
    <s v=" 52560.6439 "/>
    <s v=" 41.8815 "/>
    <x v="0"/>
    <n v="2201318"/>
    <m/>
    <m/>
    <m/>
  </r>
  <r>
    <x v="9"/>
    <x v="1"/>
    <s v="C:\Users\andre\Desktop\REACTIV CEFAS\Testosterone\Testosterone/20201118_Cefas_Test6-Run3/Plate 1/@5/B5_03.tif "/>
    <s v=" 59547.0999 "/>
    <s v=" 41.3985 "/>
    <x v="0"/>
    <n v="2465159"/>
    <m/>
    <m/>
    <m/>
  </r>
  <r>
    <x v="9"/>
    <x v="2"/>
    <s v="C:\Users\andre\Desktop\REACTIV CEFAS\Testosterone\Testosterone/20201118_Cefas_Test6-Run3/Plate 1/@5/C5_01.tif "/>
    <s v=" 59330.801 "/>
    <s v=" 40.3066 "/>
    <x v="0"/>
    <n v="2391423"/>
    <m/>
    <m/>
    <m/>
  </r>
  <r>
    <x v="9"/>
    <x v="2"/>
    <s v="C:\Users\andre\Desktop\REACTIV CEFAS\Testosterone\Testosterone/20201118_Cefas_Test6-Run3/Plate 1/@5/C5_02.tif "/>
    <s v=" 60022.9576 "/>
    <s v=" 40.2948 "/>
    <x v="0"/>
    <n v="2418612"/>
    <m/>
    <m/>
    <m/>
  </r>
  <r>
    <x v="9"/>
    <x v="2"/>
    <s v="C:\Users\andre\Desktop\REACTIV CEFAS\Testosterone\Testosterone/20201118_Cefas_Test6-Run3/Plate 1/@5/C5_03.tif "/>
    <s v=" 53425.8397 "/>
    <s v=" 39.7733 "/>
    <x v="0"/>
    <n v="2124921"/>
    <m/>
    <m/>
    <m/>
  </r>
  <r>
    <x v="9"/>
    <x v="3"/>
    <s v="C:\Users\andre\Desktop\REACTIV CEFAS\Testosterone\Testosterone/20201118_Cefas_Test6-Run3/Plate 1/@5/D5_01.tif "/>
    <s v=" 88747.4577 "/>
    <s v=" 41.8484 "/>
    <x v="0"/>
    <n v="3713939"/>
    <m/>
    <m/>
    <m/>
  </r>
  <r>
    <x v="9"/>
    <x v="3"/>
    <s v="C:\Users\andre\Desktop\REACTIV CEFAS\Testosterone\Testosterone/20201118_Cefas_Test6-Run3/Plate 1/@5/D5_02.tif "/>
    <s v=" 87168.4754 "/>
    <s v=" 47.0104 "/>
    <x v="0"/>
    <n v="4097827"/>
    <m/>
    <m/>
    <m/>
  </r>
  <r>
    <x v="9"/>
    <x v="3"/>
    <s v="C:\Users\andre\Desktop\REACTIV CEFAS\Testosterone\Testosterone/20201118_Cefas_Test6-Run3/Plate 1/@5/D5_03.tif "/>
    <s v=" 98156.4618 "/>
    <s v=" 46.4667 "/>
    <x v="0"/>
    <n v="4561009"/>
    <m/>
    <m/>
    <m/>
  </r>
  <r>
    <x v="9"/>
    <x v="4"/>
    <s v="C:\Users\andre\Desktop\REACTIV CEFAS\Testosterone\Testosterone/20201118_Cefas_Test6-Run3/Plate 1/@5/E5_01.tif "/>
    <s v=" 67506.9011 "/>
    <s v=" 37.7126 "/>
    <x v="0"/>
    <n v="2545860"/>
    <m/>
    <m/>
    <m/>
  </r>
  <r>
    <x v="9"/>
    <x v="4"/>
    <s v="C:\Users\andre\Desktop\REACTIV CEFAS\Testosterone\Testosterone/20201118_Cefas_Test6-Run3/Plate 1/@5/E5_02.tif "/>
    <s v=" 53339.3202 "/>
    <s v=" 35.09 "/>
    <x v="0"/>
    <n v="1871678"/>
    <m/>
    <m/>
    <m/>
  </r>
  <r>
    <x v="9"/>
    <x v="4"/>
    <s v="C:\Users\andre\Desktop\REACTIV CEFAS\Testosterone\Testosterone/20201118_Cefas_Test6-Run3/Plate 1/@5/E5_03.tif "/>
    <s v=" 60433.9256 "/>
    <s v=" 35.9012 "/>
    <x v="0"/>
    <n v="2169651"/>
    <m/>
    <m/>
    <m/>
  </r>
  <r>
    <x v="9"/>
    <x v="5"/>
    <s v="C:\Users\andre\Desktop\REACTIV CEFAS\Testosterone\Testosterone/20201118_Cefas_Test6-Run3/Plate 1/@5/F5_01.tif "/>
    <s v=" 49208.0103 "/>
    <s v=" 38.1473 "/>
    <x v="0"/>
    <n v="1877150"/>
    <m/>
    <m/>
    <m/>
  </r>
  <r>
    <x v="9"/>
    <x v="5"/>
    <s v="C:\Users\andre\Desktop\REACTIV CEFAS\Testosterone\Testosterone/20201118_Cefas_Test6-Run3/Plate 1/@5/F5_02.tif "/>
    <s v=" 36511.2621 "/>
    <s v=" 36.4295 "/>
    <x v="0"/>
    <n v="1330087"/>
    <m/>
    <m/>
    <m/>
  </r>
  <r>
    <x v="9"/>
    <x v="5"/>
    <s v="C:\Users\andre\Desktop\REACTIV CEFAS\Testosterone\Testosterone/20201118_Cefas_Test6-Run3/Plate 1/@5/F5_03.tif "/>
    <s v=" 36619.4116 "/>
    <s v=" 36.251 "/>
    <x v="0"/>
    <n v="1327492"/>
    <m/>
    <m/>
    <m/>
  </r>
  <r>
    <x v="9"/>
    <x v="6"/>
    <s v="C:\Users\andre\Desktop\REACTIV CEFAS\Testosterone\Testosterone/20201118_Cefas_Test6-Run3/Plate 1/@5/G5_01.tif "/>
    <s v=" 43173.2697 "/>
    <s v=" 35.8938 "/>
    <x v="0"/>
    <n v="1549652"/>
    <m/>
    <m/>
    <m/>
  </r>
  <r>
    <x v="9"/>
    <x v="6"/>
    <s v="C:\Users\andre\Desktop\REACTIV CEFAS\Testosterone\Testosterone/20201118_Cefas_Test6-Run3/Plate 1/@5/G5_02.tif "/>
    <s v=" 42589.2625 "/>
    <s v=" 35.7491 "/>
    <x v="0"/>
    <n v="1522528"/>
    <m/>
    <m/>
    <m/>
  </r>
  <r>
    <x v="9"/>
    <x v="6"/>
    <s v="C:\Users\andre\Desktop\REACTIV CEFAS\Testosterone\Testosterone/20201118_Cefas_Test6-Run3/Plate 1/@5/G5_03.tif "/>
    <s v=" 54031.4768 "/>
    <s v=" 38.2782 "/>
    <x v="0"/>
    <n v="2068229"/>
    <m/>
    <m/>
    <m/>
  </r>
  <r>
    <x v="9"/>
    <x v="7"/>
    <s v="C:\Users\andre\Desktop\REACTIV CEFAS\Testosterone\Testosterone/20201118_Cefas_Test6-Run3/Plate 1/@5/H5_01.tif "/>
    <s v=" 81955.6707 "/>
    <s v=" 40.9963 "/>
    <x v="0"/>
    <n v="3359880"/>
    <m/>
    <m/>
    <m/>
  </r>
  <r>
    <x v="9"/>
    <x v="7"/>
    <s v="C:\Users\andre\Desktop\REACTIV CEFAS\Testosterone\Testosterone/20201118_Cefas_Test6-Run3/Plate 1/@5/H5_02.tif "/>
    <s v=" 84810.8168 "/>
    <s v=" 43.0138 "/>
    <x v="0"/>
    <n v="3648033"/>
    <m/>
    <m/>
    <m/>
  </r>
  <r>
    <x v="9"/>
    <x v="7"/>
    <s v="C:\Users\andre\Desktop\REACTIV CEFAS\Testosterone\Testosterone/20201118_Cefas_Test6-Run3/Plate 1/@5/H5_03.tif "/>
    <s v=" 73822.8304 "/>
    <s v=" 38.482 "/>
    <x v="0"/>
    <n v="2840849"/>
    <m/>
    <m/>
    <m/>
  </r>
  <r>
    <x v="1"/>
    <x v="8"/>
    <s v=" "/>
    <m/>
    <m/>
    <x v="1"/>
    <m/>
    <m/>
    <m/>
    <m/>
  </r>
  <r>
    <x v="1"/>
    <x v="8"/>
    <s v="group "/>
    <s v=" "/>
    <s v=" mean of mean fluo "/>
    <x v="2"/>
    <s v=" mean of total fluo "/>
    <s v=" SD total fluo "/>
    <s v=" n fluorescent "/>
    <s v=" n total"/>
  </r>
  <r>
    <x v="9"/>
    <x v="9"/>
    <s v="C:\Users\andre\Desktop\REACTIV CEFAS\Testosterone\Testosterone/20201118_Cefas_Test6-Run3/Plate 1/@5/ "/>
    <s v=" "/>
    <s v=" 38.8529 "/>
    <x v="11"/>
    <s v=" 2252440.79 "/>
    <s v=" 1067687.2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C:\Users\andre\Desktop\REACTIV CEFAS\Testosterone\Testosterone/20201118_Cefas_Test6-Run3/Plate 1/@6/A6_01.tif "/>
    <s v=" 59958.0679 "/>
    <s v=" 46.2763 "/>
    <x v="0"/>
    <n v="2774640"/>
    <m/>
    <m/>
    <m/>
  </r>
  <r>
    <x v="10"/>
    <x v="0"/>
    <s v="C:\Users\andre\Desktop\REACTIV CEFAS\Testosterone\Testosterone/20201118_Cefas_Test6-Run3/Plate 1/@6/A6_02.tif "/>
    <s v=" 58833.3134 "/>
    <s v=" 50.2114 "/>
    <x v="0"/>
    <n v="2954103"/>
    <m/>
    <m/>
    <m/>
  </r>
  <r>
    <x v="10"/>
    <x v="0"/>
    <s v="C:\Users\andre\Desktop\REACTIV CEFAS\Testosterone\Testosterone/20201118_Cefas_Test6-Run3/Plate 1/@6/A6_03.tif "/>
    <s v=" 64932.9437 "/>
    <s v=" 47.3248 "/>
    <x v="0"/>
    <n v="3072938"/>
    <m/>
    <m/>
    <m/>
  </r>
  <r>
    <x v="10"/>
    <x v="1"/>
    <s v="C:\Users\andre\Desktop\REACTIV CEFAS\Testosterone\Testosterone/20201118_Cefas_Test6-Run3/Plate 1/@6/B6_01.tif "/>
    <s v=" 74774.5457 "/>
    <s v=" 45.7226 "/>
    <x v="0"/>
    <n v="3418886"/>
    <m/>
    <m/>
    <m/>
  </r>
  <r>
    <x v="10"/>
    <x v="1"/>
    <s v="C:\Users\andre\Desktop\REACTIV CEFAS\Testosterone\Testosterone/20201118_Cefas_Test6-Run3/Plate 1/@6/B6_02.tif "/>
    <s v=" 82755.9769 "/>
    <s v=" 47.1576 "/>
    <x v="0"/>
    <n v="3902574"/>
    <m/>
    <m/>
    <m/>
  </r>
  <r>
    <x v="10"/>
    <x v="1"/>
    <s v="C:\Users\andre\Desktop\REACTIV CEFAS\Testosterone\Testosterone/20201118_Cefas_Test6-Run3/Plate 1/@6/B6_03.tif "/>
    <s v=" 79489.8628 "/>
    <s v=" 47.2789 "/>
    <x v="0"/>
    <n v="3758194"/>
    <m/>
    <m/>
    <m/>
  </r>
  <r>
    <x v="10"/>
    <x v="2"/>
    <s v="C:\Users\andre\Desktop\REACTIV CEFAS\Testosterone\Testosterone/20201118_Cefas_Test6-Run3/Plate 1/@6/C6_01.tif "/>
    <s v=" 65538.5807 "/>
    <s v=" 45.7782 "/>
    <x v="0"/>
    <n v="3000239"/>
    <m/>
    <m/>
    <m/>
  </r>
  <r>
    <x v="10"/>
    <x v="2"/>
    <s v="C:\Users\andre\Desktop\REACTIV CEFAS\Testosterone\Testosterone/20201118_Cefas_Test6-Run3/Plate 1/@6/C6_02.tif "/>
    <s v=" 65452.0611 "/>
    <s v=" 45.7442 "/>
    <x v="0"/>
    <n v="2994053"/>
    <m/>
    <m/>
    <m/>
  </r>
  <r>
    <x v="10"/>
    <x v="2"/>
    <s v="C:\Users\andre\Desktop\REACTIV CEFAS\Testosterone\Testosterone/20201118_Cefas_Test6-Run3/Plate 1/@6/C6_03.tif "/>
    <s v=" 65019.4633 "/>
    <s v=" 46.3746 "/>
    <x v="0"/>
    <n v="3015251"/>
    <m/>
    <m/>
    <m/>
  </r>
  <r>
    <x v="10"/>
    <x v="3"/>
    <s v="C:\Users\andre\Desktop\REACTIV CEFAS\Testosterone\Testosterone/20201118_Cefas_Test6-Run3/Plate 1/@6/D6_01.tif "/>
    <s v=" 41572.6575 "/>
    <s v=" 34.3059 "/>
    <x v="0"/>
    <n v="1426189"/>
    <m/>
    <m/>
    <m/>
  </r>
  <r>
    <x v="10"/>
    <x v="3"/>
    <s v="C:\Users\andre\Desktop\REACTIV CEFAS\Testosterone\Testosterone/20201118_Cefas_Test6-Run3/Plate 1/@6/D6_02.tif "/>
    <s v=" 38090.2444 "/>
    <s v=" 34.2379 "/>
    <x v="0"/>
    <n v="1304131"/>
    <m/>
    <m/>
    <m/>
  </r>
  <r>
    <x v="10"/>
    <x v="3"/>
    <s v="C:\Users\andre\Desktop\REACTIV CEFAS\Testosterone\Testosterone/20201118_Cefas_Test6-Run3/Plate 1/@6/D6_03.tif "/>
    <s v=" 34348.2727 "/>
    <s v=" 33.1058 "/>
    <x v="0"/>
    <n v="1137127"/>
    <m/>
    <m/>
    <m/>
  </r>
  <r>
    <x v="10"/>
    <x v="4"/>
    <s v="C:\Users\andre\Desktop\REACTIV CEFAS\Testosterone\Testosterone/20201118_Cefas_Test6-Run3/Plate 1/@6/E6_01.tif "/>
    <s v=" 91580.9739 "/>
    <s v=" 56.8878 "/>
    <x v="0"/>
    <n v="5209841"/>
    <m/>
    <m/>
    <m/>
  </r>
  <r>
    <x v="10"/>
    <x v="4"/>
    <s v="C:\Users\andre\Desktop\REACTIV CEFAS\Testosterone\Testosterone/20201118_Cefas_Test6-Run3/Plate 1/@6/E6_02.tif "/>
    <s v=" 85611.1229 "/>
    <s v=" 55.9219 "/>
    <x v="0"/>
    <n v="4787539"/>
    <m/>
    <m/>
    <m/>
  </r>
  <r>
    <x v="10"/>
    <x v="4"/>
    <s v="C:\Users\andre\Desktop\REACTIV CEFAS\Testosterone\Testosterone/20201118_Cefas_Test6-Run3/Plate 1/@6/E6_03.tif "/>
    <s v=" 87557.8135 "/>
    <s v=" 59.1566 "/>
    <x v="0"/>
    <n v="5179624"/>
    <m/>
    <m/>
    <m/>
  </r>
  <r>
    <x v="10"/>
    <x v="5"/>
    <s v="C:\Users\andre\Desktop\REACTIV CEFAS\Testosterone\Testosterone/20201118_Cefas_Test6-Run3/Plate 1/@6/F6_01.tif "/>
    <s v=" 82323.379 "/>
    <s v=" 61.4616 "/>
    <x v="0"/>
    <n v="5059730"/>
    <m/>
    <m/>
    <m/>
  </r>
  <r>
    <x v="10"/>
    <x v="5"/>
    <s v="C:\Users\andre\Desktop\REACTIV CEFAS\Testosterone\Testosterone/20201118_Cefas_Test6-Run3/Plate 1/@6/F6_02.tif "/>
    <s v=" 82842.4964 "/>
    <s v=" 57.0099 "/>
    <x v="0"/>
    <n v="4722844"/>
    <m/>
    <m/>
    <m/>
  </r>
  <r>
    <x v="10"/>
    <x v="5"/>
    <s v="C:\Users\andre\Desktop\REACTIV CEFAS\Testosterone\Testosterone/20201118_Cefas_Test6-Run3/Plate 1/@6/F6_03.tif "/>
    <s v=" 81955.6707 "/>
    <s v=" 56.5611 "/>
    <x v="0"/>
    <n v="4635503"/>
    <m/>
    <m/>
    <m/>
  </r>
  <r>
    <x v="10"/>
    <x v="6"/>
    <s v="C:\Users\andre\Desktop\REACTIV CEFAS\Testosterone\Testosterone/20201118_Cefas_Test6-Run3/Plate 1/@6/G6_01.tif "/>
    <s v=" 50570.6936 "/>
    <s v=" 38.3875 "/>
    <x v="0"/>
    <n v="1941283"/>
    <m/>
    <m/>
    <m/>
  </r>
  <r>
    <x v="10"/>
    <x v="6"/>
    <s v="C:\Users\andre\Desktop\REACTIV CEFAS\Testosterone\Testosterone/20201118_Cefas_Test6-Run3/Plate 1/@6/G6_02.tif "/>
    <s v=" 56929.8827 "/>
    <s v=" 40.1687 "/>
    <x v="0"/>
    <n v="2286799"/>
    <m/>
    <m/>
    <m/>
  </r>
  <r>
    <x v="10"/>
    <x v="6"/>
    <s v="C:\Users\andre\Desktop\REACTIV CEFAS\Testosterone\Testosterone/20201118_Cefas_Test6-Run3/Plate 1/@6/G6_03.tif "/>
    <s v=" 54226.1458 "/>
    <s v=" 39.3674 "/>
    <x v="0"/>
    <n v="2134741"/>
    <m/>
    <m/>
    <m/>
  </r>
  <r>
    <x v="10"/>
    <x v="7"/>
    <s v="C:\Users\andre\Desktop\REACTIV CEFAS\Testosterone\Testosterone/20201118_Cefas_Test6-Run3/Plate 1/@6/H6_01.tif "/>
    <s v=" 76461.6775 "/>
    <s v=" 48.0379 "/>
    <x v="0"/>
    <n v="3673059"/>
    <m/>
    <m/>
    <m/>
  </r>
  <r>
    <x v="10"/>
    <x v="7"/>
    <s v="C:\Users\andre\Desktop\REACTIV CEFAS\Testosterone\Testosterone/20201118_Cefas_Test6-Run3/Plate 1/@6/H6_02.tif "/>
    <s v=" 78343.4783 "/>
    <s v=" 49.0519 "/>
    <x v="0"/>
    <n v="3842897"/>
    <m/>
    <m/>
    <m/>
  </r>
  <r>
    <x v="10"/>
    <x v="7"/>
    <s v="C:\Users\andre\Desktop\REACTIV CEFAS\Testosterone\Testosterone/20201118_Cefas_Test6-Run3/Plate 1/@6/H6_03.tif "/>
    <s v=" 79165.4143 "/>
    <s v=" 50.5044 "/>
    <x v="0"/>
    <n v="3998200"/>
    <m/>
    <m/>
    <m/>
  </r>
  <r>
    <x v="1"/>
    <x v="8"/>
    <s v=" "/>
    <m/>
    <m/>
    <x v="1"/>
    <m/>
    <m/>
    <m/>
    <m/>
  </r>
  <r>
    <x v="1"/>
    <x v="8"/>
    <s v="group "/>
    <s v=" "/>
    <s v=" mean of mean fluo "/>
    <x v="2"/>
    <s v=" mean of total fluo "/>
    <s v=" SD total fluo "/>
    <s v=" n fluorescent "/>
    <s v=" n total"/>
  </r>
  <r>
    <x v="10"/>
    <x v="9"/>
    <s v="C:\Users\andre\Desktop\REACTIV CEFAS\Testosterone\Testosterone/20201118_Cefas_Test6-Run3/Plate 1/@6/ "/>
    <s v=" "/>
    <s v=" 47.3348 "/>
    <x v="12"/>
    <s v=" 3342932.71 "/>
    <s v=" 1231422.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C:\Users\andre\Desktop\REACTIV CEFAS\Testosterone\Testosterone/20201118_Cefas_Test6-Run3/Plate 1/@7/A7_01.tif "/>
    <s v=" 69972.7091 "/>
    <s v=" 53.8482 "/>
    <x v="0"/>
    <n v="3767906"/>
    <m/>
    <m/>
    <m/>
  </r>
  <r>
    <x v="11"/>
    <x v="0"/>
    <s v="C:\Users\andre\Desktop\REACTIV CEFAS\Testosterone\Testosterone/20201118_Cefas_Test6-Run3/Plate 1/@7/A7_02.tif "/>
    <s v=" 93614.184 "/>
    <s v=" 52.6296 "/>
    <x v="0"/>
    <n v="4926879"/>
    <m/>
    <m/>
    <m/>
  </r>
  <r>
    <x v="11"/>
    <x v="0"/>
    <s v="C:\Users\andre\Desktop\REACTIV CEFAS\Testosterone\Testosterone/20201118_Cefas_Test6-Run3/Plate 1/@7/A7_03.tif "/>
    <s v=" 83361.6139 "/>
    <s v=" 55.9442 "/>
    <x v="0"/>
    <n v="4663600"/>
    <m/>
    <m/>
    <m/>
  </r>
  <r>
    <x v="11"/>
    <x v="1"/>
    <s v="C:\Users\andre\Desktop\REACTIV CEFAS\Testosterone\Testosterone/20201118_Cefas_Test6-Run3/Plate 1/@7/B7_01.tif "/>
    <s v=" 75639.7415 "/>
    <s v=" 55.9371 "/>
    <x v="0"/>
    <n v="4231067"/>
    <m/>
    <m/>
    <m/>
  </r>
  <r>
    <x v="11"/>
    <x v="1"/>
    <s v="C:\Users\andre\Desktop\REACTIV CEFAS\Testosterone\Testosterone/20201118_Cefas_Test6-Run3/Plate 1/@7/B7_02- exclu.tif"/>
    <m/>
    <m/>
    <x v="1"/>
    <m/>
    <m/>
    <m/>
    <m/>
  </r>
  <r>
    <x v="11"/>
    <x v="1"/>
    <s v="C:\Users\andre\Desktop\REACTIV CEFAS\Testosterone\Testosterone/20201118_Cefas_Test6-Run3/Plate 1/@7/B7_03.tif "/>
    <s v=" 61948.0182 "/>
    <s v=" 60.6264 "/>
    <x v="0"/>
    <n v="3755685"/>
    <m/>
    <m/>
    <m/>
  </r>
  <r>
    <x v="11"/>
    <x v="2"/>
    <s v="C:\Users\andre\Desktop\REACTIV CEFAS\Testosterone\Testosterone/20201118_Cefas_Test6-Run3/Plate 1/@7/C7_01.tif "/>
    <s v=" 46763.8322 "/>
    <s v=" 51.5291 "/>
    <x v="0"/>
    <n v="2409700"/>
    <m/>
    <m/>
    <m/>
  </r>
  <r>
    <x v="11"/>
    <x v="2"/>
    <s v="C:\Users\andre\Desktop\REACTIV CEFAS\Testosterone\Testosterone/20201118_Cefas_Test6-Run3/Plate 1/@7/C7_02.tif "/>
    <s v=" 43584.2377 "/>
    <s v=" 52.0328 "/>
    <x v="0"/>
    <n v="2267808"/>
    <m/>
    <m/>
    <m/>
  </r>
  <r>
    <x v="11"/>
    <x v="2"/>
    <s v="C:\Users\andre\Desktop\REACTIV CEFAS\Testosterone\Testosterone/20201118_Cefas_Test6-Run3/Plate 1/@7/C7_03.tif "/>
    <s v=" 44817.1417 "/>
    <s v=" 52.7017 "/>
    <x v="0"/>
    <n v="2361941"/>
    <m/>
    <m/>
    <m/>
  </r>
  <r>
    <x v="11"/>
    <x v="3"/>
    <s v="C:\Users\andre\Desktop\REACTIV CEFAS\Testosterone\Testosterone/20201118_Cefas_Test6-Run3/Plate 1/@7/D7_01.tif "/>
    <s v=" 80073.8699 "/>
    <s v=" 57.4938 "/>
    <x v="0"/>
    <n v="4603750"/>
    <m/>
    <m/>
    <m/>
  </r>
  <r>
    <x v="11"/>
    <x v="3"/>
    <s v="C:\Users\andre\Desktop\REACTIV CEFAS\Testosterone\Testosterone/20201118_Cefas_Test6-Run3/Plate 1/@7/D7_02.tif "/>
    <s v=" 83361.6139 "/>
    <s v=" 57.2506 "/>
    <x v="0"/>
    <n v="4772506"/>
    <m/>
    <m/>
    <m/>
  </r>
  <r>
    <x v="11"/>
    <x v="3"/>
    <s v="C:\Users\andre\Desktop\REACTIV CEFAS\Testosterone\Testosterone/20201118_Cefas_Test6-Run3/Plate 1/@7/D7_03.tif "/>
    <s v=" 82366.6387 "/>
    <s v=" 57.8887 "/>
    <x v="0"/>
    <n v="4768094"/>
    <m/>
    <m/>
    <m/>
  </r>
  <r>
    <x v="11"/>
    <x v="4"/>
    <s v="C:\Users\andre\Desktop\REACTIV CEFAS\Testosterone\Testosterone/20201118_Cefas_Test6-Run3/Plate 1/@7/E7_01- exclu.tif"/>
    <m/>
    <m/>
    <x v="1"/>
    <m/>
    <m/>
    <m/>
    <m/>
  </r>
  <r>
    <x v="11"/>
    <x v="4"/>
    <s v="C:\Users\andre\Desktop\REACTIV CEFAS\Testosterone\Testosterone/20201118_Cefas_Test6-Run3/Plate 1/@7/E7_02- exclu.tif"/>
    <m/>
    <m/>
    <x v="1"/>
    <m/>
    <m/>
    <m/>
    <m/>
  </r>
  <r>
    <x v="11"/>
    <x v="4"/>
    <s v="C:\Users\andre\Desktop\REACTIV CEFAS\Testosterone\Testosterone/20201118_Cefas_Test6-Run3/Plate 1/@7/E7_03- exclu.tif"/>
    <m/>
    <m/>
    <x v="1"/>
    <m/>
    <m/>
    <m/>
    <m/>
  </r>
  <r>
    <x v="11"/>
    <x v="5"/>
    <s v="C:\Users\andre\Desktop\REACTIV CEFAS\Testosterone\Testosterone/20201118_Cefas_Test6-Run3/Plate 1/@7/F7_01.tif "/>
    <s v=" 69951.0792 "/>
    <s v=" 53.4879 "/>
    <x v="0"/>
    <n v="3741539"/>
    <m/>
    <m/>
    <m/>
  </r>
  <r>
    <x v="11"/>
    <x v="5"/>
    <s v="C:\Users\andre\Desktop\REACTIV CEFAS\Testosterone\Testosterone/20201118_Cefas_Test6-Run3/Plate 1/@7/F7_02.tif "/>
    <s v=" 55480.6797 "/>
    <s v=" 55.4476 "/>
    <x v="0"/>
    <n v="3076269"/>
    <m/>
    <m/>
    <m/>
  </r>
  <r>
    <x v="11"/>
    <x v="5"/>
    <s v="C:\Users\andre\Desktop\REACTIV CEFAS\Testosterone\Testosterone/20201118_Cefas_Test6-Run3/Plate 1/@7/F7_03.tif "/>
    <s v=" 55891.6477 "/>
    <s v=" 56.3514 "/>
    <x v="0"/>
    <n v="3149572"/>
    <m/>
    <m/>
    <m/>
  </r>
  <r>
    <x v="11"/>
    <x v="6"/>
    <s v="C:\Users\andre\Desktop\REACTIV CEFAS\Testosterone\Testosterone/20201118_Cefas_Test6-Run3/Plate 1/@7/G7_01.tif "/>
    <s v=" 84421.4787 "/>
    <s v=" 51.7963 "/>
    <x v="0"/>
    <n v="4372721"/>
    <m/>
    <m/>
    <m/>
  </r>
  <r>
    <x v="11"/>
    <x v="6"/>
    <s v="C:\Users\andre\Desktop\REACTIV CEFAS\Testosterone\Testosterone/20201118_Cefas_Test6-Run3/Plate 1/@7/G7_02.tif "/>
    <s v=" 87644.333 "/>
    <s v=" 55.6273 "/>
    <x v="0"/>
    <n v="4875422"/>
    <m/>
    <m/>
    <m/>
  </r>
  <r>
    <x v="11"/>
    <x v="6"/>
    <s v="C:\Users\andre\Desktop\REACTIV CEFAS\Testosterone\Testosterone/20201118_Cefas_Test6-Run3/Plate 1/@7/G7_03.tif "/>
    <s v=" 84421.4787 "/>
    <s v=" 54.5726 "/>
    <x v="0"/>
    <n v="4607103"/>
    <m/>
    <m/>
    <m/>
  </r>
  <r>
    <x v="11"/>
    <x v="7"/>
    <s v="C:\Users\andre\Desktop\REACTIV CEFAS\Testosterone\Testosterone/20201118_Cefas_Test6-Run3/Plate 1/@7/H7_01.tif "/>
    <s v=" 66490.2961 "/>
    <s v=" 50.1675 "/>
    <x v="0"/>
    <n v="3335654"/>
    <m/>
    <m/>
    <m/>
  </r>
  <r>
    <x v="11"/>
    <x v="7"/>
    <s v="C:\Users\andre\Desktop\REACTIV CEFAS\Testosterone\Testosterone/20201118_Cefas_Test6-Run3/Plate 1/@7/H7_02.tif "/>
    <s v=" 62942.9934 "/>
    <s v=" 49.6732 "/>
    <x v="0"/>
    <n v="3126580"/>
    <m/>
    <m/>
    <m/>
  </r>
  <r>
    <x v="11"/>
    <x v="7"/>
    <s v="C:\Users\andre\Desktop\REACTIV CEFAS\Testosterone\Testosterone/20201118_Cefas_Test6-Run3/Plate 1/@7/H7_03.tif "/>
    <s v=" 62705.0645 "/>
    <s v=" 48.8917 "/>
    <x v="0"/>
    <n v="3065756"/>
    <m/>
    <m/>
    <m/>
  </r>
  <r>
    <x v="1"/>
    <x v="8"/>
    <s v=" "/>
    <m/>
    <m/>
    <x v="1"/>
    <m/>
    <m/>
    <m/>
    <m/>
  </r>
  <r>
    <x v="1"/>
    <x v="8"/>
    <s v="group "/>
    <s v=" "/>
    <s v=" mean of mean fluo "/>
    <x v="2"/>
    <s v=" mean of total fluo "/>
    <s v=" SD total fluo "/>
    <s v=" n fluorescent "/>
    <s v=" n total"/>
  </r>
  <r>
    <x v="11"/>
    <x v="9"/>
    <s v="C:\Users\andre\Desktop\REACTIV CEFAS\Testosterone\Testosterone/20201118_Cefas_Test6-Run3/Plate 1/@7/ "/>
    <s v=" "/>
    <s v=" 55.3415 "/>
    <x v="13"/>
    <s v=" 3807723.96 "/>
    <s v=" 866063.87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C:\Users\andre\Desktop\REACTIV CEFAS\Testosterone\Testosterone/20201118_Cefas_Test6-Run3/Plate 2/@10/A4_01.tif "/>
    <s v=" 11074.506 "/>
    <s v=" 35.4043 "/>
    <x v="0"/>
    <n v="392085"/>
    <m/>
    <m/>
    <m/>
  </r>
  <r>
    <x v="12"/>
    <x v="0"/>
    <s v="C:\Users\andre\Desktop\REACTIV CEFAS\Testosterone\Testosterone/20201118_Cefas_Test6-Run3/Plate 2/@10/A4_02.tif "/>
    <s v=" 11853.1823 "/>
    <s v=" 37.4361 "/>
    <x v="0"/>
    <n v="443737"/>
    <m/>
    <m/>
    <m/>
  </r>
  <r>
    <x v="12"/>
    <x v="0"/>
    <s v="C:\Users\andre\Desktop\REACTIV CEFAS\Testosterone\Testosterone/20201118_Cefas_Test6-Run3/Plate 2/@10/A4_03- exclu.tif"/>
    <m/>
    <m/>
    <x v="1"/>
    <m/>
    <m/>
    <m/>
    <m/>
  </r>
  <r>
    <x v="12"/>
    <x v="1"/>
    <s v="C:\Users\andre\Desktop\REACTIV CEFAS\Testosterone\Testosterone/20201118_Cefas_Test6-Run3/Plate 2/@10/B4_01.tif "/>
    <s v=" 62272.4666 "/>
    <s v=" 42.216 "/>
    <x v="0"/>
    <n v="2628897"/>
    <m/>
    <m/>
    <m/>
  </r>
  <r>
    <x v="12"/>
    <x v="1"/>
    <s v="C:\Users\andre\Desktop\REACTIV CEFAS\Testosterone\Testosterone/20201118_Cefas_Test6-Run3/Plate 2/@10/B4_02.tif "/>
    <s v=" 61234.2317 "/>
    <s v=" 40.6673 "/>
    <x v="0"/>
    <n v="2490228"/>
    <m/>
    <m/>
    <m/>
  </r>
  <r>
    <x v="12"/>
    <x v="1"/>
    <s v="C:\Users\andre\Desktop\REACTIV CEFAS\Testosterone\Testosterone/20201118_Cefas_Test6-Run3/Plate 2/@10/B4_03.tif "/>
    <s v=" 54637.1138 "/>
    <s v=" 39.2882 "/>
    <x v="0"/>
    <n v="2146594"/>
    <m/>
    <m/>
    <m/>
  </r>
  <r>
    <x v="12"/>
    <x v="2"/>
    <s v="C:\Users\andre\Desktop\REACTIV CEFAS\Testosterone\Testosterone/20201118_Cefas_Test6-Run3/Plate 2/@10/C4_01.tif "/>
    <s v=" 7483.9435 "/>
    <s v=" 32.6358 "/>
    <x v="0"/>
    <n v="244245"/>
    <m/>
    <m/>
    <m/>
  </r>
  <r>
    <x v="12"/>
    <x v="2"/>
    <s v="C:\Users\andre\Desktop\REACTIV CEFAS\Testosterone\Testosterone/20201118_Cefas_Test6-Run3/Plate 2/@10/C4_02.tif "/>
    <s v=" 10382.3494 "/>
    <s v=" 32.8833 "/>
    <x v="0"/>
    <n v="341406"/>
    <m/>
    <m/>
    <m/>
  </r>
  <r>
    <x v="12"/>
    <x v="2"/>
    <s v="C:\Users\andre\Desktop\REACTIV CEFAS\Testosterone\Testosterone/20201118_Cefas_Test6-Run3/Plate 2/@10/C4_03.tif "/>
    <s v=" 7310.9044 "/>
    <s v=" 32.7604 "/>
    <x v="0"/>
    <n v="239508"/>
    <m/>
    <m/>
    <m/>
  </r>
  <r>
    <x v="12"/>
    <x v="3"/>
    <s v="C:\Users\andre\Desktop\REACTIV CEFAS\Testosterone\Testosterone/20201118_Cefas_Test6-Run3/Plate 2/@10/D4_01.tif "/>
    <s v=" 24398.5211 "/>
    <s v=" 34.352 "/>
    <x v="0"/>
    <n v="838137"/>
    <m/>
    <m/>
    <m/>
  </r>
  <r>
    <x v="12"/>
    <x v="3"/>
    <s v="C:\Users\andre\Desktop\REACTIV CEFAS\Testosterone\Testosterone/20201118_Cefas_Test6-Run3/Plate 2/@10/D4_02.tif "/>
    <s v=" 19942.7628 "/>
    <s v=" 34.2137 "/>
    <x v="0"/>
    <n v="682315"/>
    <m/>
    <m/>
    <m/>
  </r>
  <r>
    <x v="12"/>
    <x v="3"/>
    <s v="C:\Users\andre\Desktop\REACTIV CEFAS\Testosterone\Testosterone/20201118_Cefas_Test6-Run3/Plate 2/@10/D4_03.tif "/>
    <s v=" 22776.279 "/>
    <s v=" 34.2156 "/>
    <x v="0"/>
    <n v="779303"/>
    <m/>
    <m/>
    <m/>
  </r>
  <r>
    <x v="12"/>
    <x v="4"/>
    <s v="C:\Users\andre\Desktop\REACTIV CEFAS\Testosterone\Testosterone/20201118_Cefas_Test6-Run3/Plate 2/@10/E4_01.tif "/>
    <s v=" 54377.5551 "/>
    <s v=" 39.0446 "/>
    <x v="0"/>
    <n v="2123147"/>
    <m/>
    <m/>
    <m/>
  </r>
  <r>
    <x v="12"/>
    <x v="4"/>
    <s v="C:\Users\andre\Desktop\REACTIV CEFAS\Testosterone\Testosterone/20201118_Cefas_Test6-Run3/Plate 2/@10/E4_02.tif "/>
    <s v=" 53988.217 "/>
    <s v=" 39.2596 "/>
    <x v="0"/>
    <n v="2119557"/>
    <m/>
    <m/>
    <m/>
  </r>
  <r>
    <x v="12"/>
    <x v="4"/>
    <s v="C:\Users\andre\Desktop\REACTIV CEFAS\Testosterone\Testosterone/20201118_Cefas_Test6-Run3/Plate 2/@10/E4_03.tif "/>
    <s v=" 63202.5521 "/>
    <s v=" 38.9531 "/>
    <x v="0"/>
    <n v="2461936"/>
    <m/>
    <m/>
    <m/>
  </r>
  <r>
    <x v="12"/>
    <x v="5"/>
    <s v="C:\Users\andre\Desktop\REACTIV CEFAS\Testosterone\Testosterone/20201118_Cefas_Test6-Run3/Plate 2/@10/F4_01.tif "/>
    <s v=" 41572.6575 "/>
    <s v=" 39.5827 "/>
    <x v="0"/>
    <n v="1645559"/>
    <m/>
    <m/>
    <m/>
  </r>
  <r>
    <x v="12"/>
    <x v="5"/>
    <s v="C:\Users\andre\Desktop\REACTIV CEFAS\Testosterone\Testosterone/20201118_Cefas_Test6-Run3/Plate 2/@10/F4_02.tif "/>
    <s v=" 43432.8284 "/>
    <s v=" 38.1409 "/>
    <x v="0"/>
    <n v="1656569"/>
    <m/>
    <m/>
    <m/>
  </r>
  <r>
    <x v="12"/>
    <x v="5"/>
    <s v="C:\Users\andre\Desktop\REACTIV CEFAS\Testosterone\Testosterone/20201118_Cefas_Test6-Run3/Plate 2/@10/F4_03.tif "/>
    <s v=" 42567.6326 "/>
    <s v=" 37.7754 "/>
    <x v="0"/>
    <n v="1608010"/>
    <m/>
    <m/>
    <m/>
  </r>
  <r>
    <x v="12"/>
    <x v="6"/>
    <s v="C:\Users\andre\Desktop\REACTIV CEFAS\Testosterone\Testosterone/20201118_Cefas_Test6-Run3/Plate 2/@10/G4_01.tif "/>
    <s v=" 56345.8755 "/>
    <s v=" 42.1355 "/>
    <x v="0"/>
    <n v="2374162"/>
    <m/>
    <m/>
    <m/>
  </r>
  <r>
    <x v="12"/>
    <x v="6"/>
    <s v="C:\Users\andre\Desktop\REACTIV CEFAS\Testosterone\Testosterone/20201118_Cefas_Test6-Run3/Plate 2/@10/G4_02.tif "/>
    <s v=" 55112.9715 "/>
    <s v=" 41.1715 "/>
    <x v="0"/>
    <n v="2269084"/>
    <m/>
    <m/>
    <m/>
  </r>
  <r>
    <x v="12"/>
    <x v="6"/>
    <s v="C:\Users\andre\Desktop\REACTIV CEFAS\Testosterone\Testosterone/20201118_Cefas_Test6-Run3/Plate 2/@10/G4_03.tif "/>
    <s v=" 58119.5269 "/>
    <s v=" 42.4008 "/>
    <x v="0"/>
    <n v="2464316"/>
    <m/>
    <m/>
    <m/>
  </r>
  <r>
    <x v="12"/>
    <x v="7"/>
    <s v="C:\Users\andre\Desktop\REACTIV CEFAS\Testosterone\Testosterone/20201118_Cefas_Test6-Run3/Plate 2/@10/H4_01.tif "/>
    <s v=" 15941.2323 "/>
    <s v=" 35.2836 "/>
    <x v="0"/>
    <n v="562464"/>
    <m/>
    <m/>
    <m/>
  </r>
  <r>
    <x v="12"/>
    <x v="7"/>
    <s v="C:\Users\andre\Desktop\REACTIV CEFAS\Testosterone\Testosterone/20201118_Cefas_Test6-Run3/Plate 2/@10/H4_02.tif "/>
    <s v=" 8414.029 "/>
    <s v=" 35.1825 "/>
    <x v="0"/>
    <n v="296027"/>
    <m/>
    <m/>
    <m/>
  </r>
  <r>
    <x v="12"/>
    <x v="7"/>
    <s v="C:\Users\andre\Desktop\REACTIV CEFAS\Testosterone\Testosterone/20201118_Cefas_Test6-Run3/Plate 2/@10/H4_03.tif "/>
    <s v=" 8911.5166 "/>
    <s v=" 33.1044 "/>
    <x v="0"/>
    <n v="295010"/>
    <m/>
    <m/>
    <m/>
  </r>
  <r>
    <x v="1"/>
    <x v="8"/>
    <s v=" "/>
    <m/>
    <m/>
    <x v="1"/>
    <m/>
    <m/>
    <m/>
    <m/>
  </r>
  <r>
    <x v="1"/>
    <x v="8"/>
    <s v="group "/>
    <s v=" "/>
    <s v=" mean of mean fluo "/>
    <x v="2"/>
    <s v=" mean of total fluo "/>
    <s v=" SD total fluo "/>
    <s v=" n fluorescent "/>
    <s v=" n total"/>
  </r>
  <r>
    <x v="12"/>
    <x v="9"/>
    <s v="C:\Users\andre\Desktop\REACTIV CEFAS\Testosterone\Testosterone/20201118_Cefas_Test6-Run3/Plate 2/@10/ "/>
    <s v=" "/>
    <s v=" 37.4842 "/>
    <x v="14"/>
    <s v=" 1317479.58 "/>
    <s v=" 912179.86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C:\Users\andre\Desktop\REACTIV CEFAS\Testosterone\Testosterone/20201118_Cefas_Test6-Run3/Plate 2/@11/A5_01.tif "/>
    <s v=" 71876.1399 "/>
    <s v=" 45.4011 "/>
    <x v="0"/>
    <n v="3263259"/>
    <m/>
    <m/>
    <m/>
  </r>
  <r>
    <x v="13"/>
    <x v="0"/>
    <s v="C:\Users\andre\Desktop\REACTIV CEFAS\Testosterone\Testosterone/20201118_Cefas_Test6-Run3/Plate 2/@11/A5_02.tif "/>
    <s v=" 80917.4358 "/>
    <s v=" 46.5854 "/>
    <x v="0"/>
    <n v="3769572"/>
    <m/>
    <m/>
    <m/>
  </r>
  <r>
    <x v="13"/>
    <x v="0"/>
    <s v="C:\Users\andre\Desktop\REACTIV CEFAS\Testosterone\Testosterone/20201118_Cefas_Test6-Run3/Plate 2/@11/A5_03.tif "/>
    <s v=" 81198.6244 "/>
    <s v=" 48.6121 "/>
    <x v="0"/>
    <n v="3947239"/>
    <m/>
    <m/>
    <m/>
  </r>
  <r>
    <x v="13"/>
    <x v="1"/>
    <s v="C:\Users\andre\Desktop\REACTIV CEFAS\Testosterone\Testosterone/20201118_Cefas_Test6-Run3/Plate 2/@11/B5_01.tif "/>
    <s v=" 74839.4354 "/>
    <s v=" 49.3139 "/>
    <x v="0"/>
    <n v="3690622"/>
    <m/>
    <m/>
    <m/>
  </r>
  <r>
    <x v="13"/>
    <x v="1"/>
    <s v="C:\Users\andre\Desktop\REACTIV CEFAS\Testosterone\Testosterone/20201118_Cefas_Test6-Run3/Plate 2/@11/B5_02.tif "/>
    <s v=" 79316.8236 "/>
    <s v=" 48.9654 "/>
    <x v="0"/>
    <n v="3883777"/>
    <m/>
    <m/>
    <m/>
  </r>
  <r>
    <x v="13"/>
    <x v="1"/>
    <s v="C:\Users\andre\Desktop\REACTIV CEFAS\Testosterone\Testosterone/20201118_Cefas_Test6-Run3/Plate 2/@11/B5_03.tif "/>
    <s v=" 77694.5815 "/>
    <s v=" 44.5707 "/>
    <x v="0"/>
    <n v="3462903"/>
    <m/>
    <m/>
    <m/>
  </r>
  <r>
    <x v="13"/>
    <x v="2"/>
    <s v="C:\Users\andre\Desktop\REACTIV CEFAS\Testosterone\Testosterone/20201118_Cefas_Test6-Run3/Plate 2/@11/C5_01.tif "/>
    <s v=" 63613.5201 "/>
    <s v=" 44.8749 "/>
    <x v="0"/>
    <n v="2854649"/>
    <m/>
    <m/>
    <m/>
  </r>
  <r>
    <x v="13"/>
    <x v="2"/>
    <s v="C:\Users\andre\Desktop\REACTIV CEFAS\Testosterone\Testosterone/20201118_Cefas_Test6-Run3/Plate 2/@11/C5_02.tif "/>
    <s v=" 68328.8371 "/>
    <s v=" 47.2672 "/>
    <x v="0"/>
    <n v="3229711"/>
    <m/>
    <m/>
    <m/>
  </r>
  <r>
    <x v="13"/>
    <x v="2"/>
    <s v="C:\Users\andre\Desktop\REACTIV CEFAS\Testosterone\Testosterone/20201118_Cefas_Test6-Run3/Plate 2/@11/C5_03.tif "/>
    <s v=" 75791.1508 "/>
    <s v=" 45.7129 "/>
    <x v="0"/>
    <n v="3464633"/>
    <m/>
    <m/>
    <m/>
  </r>
  <r>
    <x v="13"/>
    <x v="3"/>
    <s v="C:\Users\andre\Desktop\REACTIV CEFAS\Testosterone\Testosterone/20201118_Cefas_Test6-Run3/Plate 2/@11/D5_01.tif "/>
    <s v=" 37809.0558 "/>
    <s v=" 37.4005 "/>
    <x v="0"/>
    <n v="1414076"/>
    <m/>
    <m/>
    <m/>
  </r>
  <r>
    <x v="13"/>
    <x v="3"/>
    <s v="C:\Users\andre\Desktop\REACTIV CEFAS\Testosterone\Testosterone/20201118_Cefas_Test6-Run3/Plate 2/@11/D5_02.tif "/>
    <s v=" 40793.9813 "/>
    <s v=" 38.0143 "/>
    <x v="0"/>
    <n v="1550755"/>
    <m/>
    <m/>
    <m/>
  </r>
  <r>
    <x v="13"/>
    <x v="3"/>
    <s v="C:\Users\andre\Desktop\REACTIV CEFAS\Testosterone\Testosterone/20201118_Cefas_Test6-Run3/Plate 2/@11/D5_03.tif "/>
    <s v=" 35126.9489 "/>
    <s v=" 36.4255 "/>
    <x v="0"/>
    <n v="1279516"/>
    <m/>
    <m/>
    <m/>
  </r>
  <r>
    <x v="13"/>
    <x v="4"/>
    <s v="C:\Users\andre\Desktop\REACTIV CEFAS\Testosterone\Testosterone/20201118_Cefas_Test6-Run3/Plate 2/@11/E5_01.tif "/>
    <s v=" 78603.0371 "/>
    <s v=" 45.8313 "/>
    <x v="0"/>
    <n v="3602481"/>
    <m/>
    <m/>
    <m/>
  </r>
  <r>
    <x v="13"/>
    <x v="4"/>
    <s v="C:\Users\andre\Desktop\REACTIV CEFAS\Testosterone\Testosterone/20201118_Cefas_Test6-Run3/Plate 2/@11/E5_02.tif "/>
    <s v=" 78711.1866 "/>
    <s v=" 45.6807 "/>
    <x v="0"/>
    <n v="3595581"/>
    <m/>
    <m/>
    <m/>
  </r>
  <r>
    <x v="13"/>
    <x v="4"/>
    <s v="C:\Users\andre\Desktop\REACTIV CEFAS\Testosterone\Testosterone/20201118_Cefas_Test6-Run3/Plate 2/@11/E5_03.tif "/>
    <s v=" 81998.9305 "/>
    <s v=" 50.9602 "/>
    <x v="0"/>
    <n v="4178679"/>
    <m/>
    <m/>
    <m/>
  </r>
  <r>
    <x v="13"/>
    <x v="5"/>
    <s v="C:\Users\andre\Desktop\REACTIV CEFAS\Testosterone\Testosterone/20201118_Cefas_Test6-Run3/Plate 2/@11/F5_01.tif "/>
    <s v=" 64240.787 "/>
    <s v=" 42.3879 "/>
    <x v="0"/>
    <n v="2723031"/>
    <m/>
    <m/>
    <m/>
  </r>
  <r>
    <x v="13"/>
    <x v="5"/>
    <s v="C:\Users\andre\Desktop\REACTIV CEFAS\Testosterone\Testosterone/20201118_Cefas_Test6-Run3/Plate 2/@11/F5_02.tif "/>
    <s v=" 61623.5698 "/>
    <s v=" 40.5339 "/>
    <x v="0"/>
    <n v="2497842"/>
    <m/>
    <m/>
    <m/>
  </r>
  <r>
    <x v="13"/>
    <x v="5"/>
    <s v="C:\Users\andre\Desktop\REACTIV CEFAS\Testosterone\Testosterone/20201118_Cefas_Test6-Run3/Plate 2/@11/F5_03.tif "/>
    <s v=" 57146.1816 "/>
    <s v=" 41.2998 "/>
    <x v="0"/>
    <n v="2360124"/>
    <m/>
    <m/>
    <m/>
  </r>
  <r>
    <x v="13"/>
    <x v="6"/>
    <s v="C:\Users\andre\Desktop\REACTIV CEFAS\Testosterone\Testosterone/20201118_Cefas_Test6-Run3/Plate 2/@11/G5_01.tif "/>
    <s v=" 75423.4426 "/>
    <s v=" 38.6163 "/>
    <x v="0"/>
    <n v="2912573"/>
    <m/>
    <m/>
    <m/>
  </r>
  <r>
    <x v="13"/>
    <x v="6"/>
    <s v="C:\Users\andre\Desktop\REACTIV CEFAS\Testosterone\Testosterone/20201118_Cefas_Test6-Run3/Plate 2/@11/G5_02.tif "/>
    <s v=" 70513.4565 "/>
    <s v=" 40.8534 "/>
    <x v="0"/>
    <n v="2880713"/>
    <m/>
    <m/>
    <m/>
  </r>
  <r>
    <x v="13"/>
    <x v="6"/>
    <s v="C:\Users\andre\Desktop\REACTIV CEFAS\Testosterone\Testosterone/20201118_Cefas_Test6-Run3/Plate 2/@11/G5_03.tif "/>
    <s v=" 63764.9294 "/>
    <s v=" 43.1828 "/>
    <x v="0"/>
    <n v="2753550"/>
    <m/>
    <m/>
    <m/>
  </r>
  <r>
    <x v="13"/>
    <x v="7"/>
    <s v="C:\Users\andre\Desktop\REACTIV CEFAS\Testosterone\Testosterone/20201118_Cefas_Test6-Run3/Plate 2/@11/H5_01.tif "/>
    <s v=" 63916.3386 "/>
    <s v=" 45.692 "/>
    <x v="0"/>
    <n v="2920468"/>
    <m/>
    <m/>
    <m/>
  </r>
  <r>
    <x v="13"/>
    <x v="7"/>
    <s v="C:\Users\andre\Desktop\REACTIV CEFAS\Testosterone\Testosterone/20201118_Cefas_Test6-Run3/Plate 2/@11/H5_02.tif "/>
    <s v=" 72460.147 "/>
    <s v=" 46.3197 "/>
    <x v="0"/>
    <n v="3356332"/>
    <m/>
    <m/>
    <m/>
  </r>
  <r>
    <x v="13"/>
    <x v="7"/>
    <s v="C:\Users\andre\Desktop\REACTIV CEFAS\Testosterone\Testosterone/20201118_Cefas_Test6-Run3/Plate 2/@11/H5_03.tif "/>
    <s v=" 70102.4885 "/>
    <s v=" 46.6865 "/>
    <x v="0"/>
    <n v="3272841"/>
    <m/>
    <m/>
    <m/>
  </r>
  <r>
    <x v="1"/>
    <x v="8"/>
    <s v=" "/>
    <m/>
    <m/>
    <x v="1"/>
    <m/>
    <m/>
    <m/>
    <m/>
  </r>
  <r>
    <x v="1"/>
    <x v="8"/>
    <s v="group "/>
    <s v=" "/>
    <s v=" mean of mean fluo "/>
    <x v="2"/>
    <s v=" mean of total fluo "/>
    <s v=" SD total fluo "/>
    <s v=" n fluorescent "/>
    <s v=" n total"/>
  </r>
  <r>
    <x v="13"/>
    <x v="9"/>
    <s v="C:\Users\andre\Desktop\REACTIV CEFAS\Testosterone\Testosterone/20201118_Cefas_Test6-Run3/Plate 2/@11/ "/>
    <s v=" "/>
    <s v=" 44.2162 "/>
    <x v="15"/>
    <s v=" 3036038.62 "/>
    <s v=" 780214.48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C:\Users\andre\Desktop\REACTIV CEFAS\Testosterone\Testosterone/20201118_Cefas_Test6-Run3/Plate 2/@12/A6_01.tif "/>
    <s v=" 78646.2969 "/>
    <s v=" 52.6969 "/>
    <x v="0"/>
    <n v="4144418"/>
    <m/>
    <m/>
    <m/>
  </r>
  <r>
    <x v="14"/>
    <x v="0"/>
    <s v="C:\Users\andre\Desktop\REACTIV CEFAS\Testosterone\Testosterone/20201118_Cefas_Test6-Run3/Plate 2/@12/A6_02.tif "/>
    <s v=" 77954.1402 "/>
    <s v=" 52.2492 "/>
    <x v="0"/>
    <n v="4073039"/>
    <m/>
    <m/>
    <m/>
  </r>
  <r>
    <x v="14"/>
    <x v="0"/>
    <s v="C:\Users\andre\Desktop\REACTIV CEFAS\Testosterone\Testosterone/20201118_Cefas_Test6-Run3/Plate 2/@12/A6_03.tif "/>
    <s v=" 77781.1011 "/>
    <s v=" 53.0882 "/>
    <x v="0"/>
    <n v="4129255"/>
    <m/>
    <m/>
    <m/>
  </r>
  <r>
    <x v="14"/>
    <x v="1"/>
    <s v="C:\Users\andre\Desktop\REACTIV CEFAS\Testosterone\Testosterone/20201118_Cefas_Test6-Run3/Plate 2/@12/B6_01.tif "/>
    <s v=" 64046.118 "/>
    <s v=" 45.1746 "/>
    <x v="0"/>
    <n v="2893258"/>
    <m/>
    <m/>
    <m/>
  </r>
  <r>
    <x v="14"/>
    <x v="1"/>
    <s v="C:\Users\andre\Desktop\REACTIV CEFAS\Testosterone\Testosterone/20201118_Cefas_Test6-Run3/Plate 2/@12/B6_02.tif "/>
    <s v=" 55588.8292 "/>
    <s v=" 47.4825 "/>
    <x v="0"/>
    <n v="2639496"/>
    <m/>
    <m/>
    <m/>
  </r>
  <r>
    <x v="14"/>
    <x v="1"/>
    <s v="C:\Users\andre\Desktop\REACTIV CEFAS\Testosterone\Testosterone/20201118_Cefas_Test6-Run3/Plate 2/@12/B6_03.tif "/>
    <s v=" 62618.545 "/>
    <s v=" 47.075 "/>
    <x v="0"/>
    <n v="2947765"/>
    <m/>
    <m/>
    <m/>
  </r>
  <r>
    <x v="14"/>
    <x v="2"/>
    <s v="C:\Users\andre\Desktop\REACTIV CEFAS\Testosterone\Testosterone/20201118_Cefas_Test6-Run3/Plate 2/@12/C6_01.tif "/>
    <s v=" 78732.8164 "/>
    <s v=" 50.9901 "/>
    <x v="0"/>
    <n v="4014595"/>
    <m/>
    <m/>
    <m/>
  </r>
  <r>
    <x v="14"/>
    <x v="2"/>
    <s v="C:\Users\andre\Desktop\REACTIV CEFAS\Testosterone\Testosterone/20201118_Cefas_Test6-Run3/Plate 2/@12/C6_02.tif "/>
    <s v=" 84053.7705 "/>
    <s v=" 50.5651 "/>
    <x v="0"/>
    <n v="4250188"/>
    <m/>
    <m/>
    <m/>
  </r>
  <r>
    <x v="14"/>
    <x v="2"/>
    <s v="C:\Users\andre\Desktop\REACTIV CEFAS\Testosterone\Testosterone/20201118_Cefas_Test6-Run3/Plate 2/@12/C6_03.tif "/>
    <s v=" 89050.2762 "/>
    <s v=" 50.3981 "/>
    <x v="0"/>
    <n v="4487965"/>
    <m/>
    <m/>
    <m/>
  </r>
  <r>
    <x v="14"/>
    <x v="3"/>
    <s v="C:\Users\andre\Desktop\REACTIV CEFAS\Testosterone\Testosterone/20201118_Cefas_Test6-Run3/Plate 2/@12/D6_01.tif "/>
    <s v=" 53512.3593 "/>
    <s v=" 45.367 "/>
    <x v="0"/>
    <n v="2427696"/>
    <m/>
    <m/>
    <m/>
  </r>
  <r>
    <x v="14"/>
    <x v="3"/>
    <s v="C:\Users\andre\Desktop\REACTIV CEFAS\Testosterone\Testosterone/20201118_Cefas_Test6-Run3/Plate 2/@12/D6_02.tif "/>
    <s v=" 53447.4696 "/>
    <s v=" 48.2428 "/>
    <x v="0"/>
    <n v="2578456"/>
    <m/>
    <m/>
    <m/>
  </r>
  <r>
    <x v="14"/>
    <x v="3"/>
    <s v="C:\Users\andre\Desktop\REACTIV CEFAS\Testosterone\Testosterone/20201118_Cefas_Test6-Run3/Plate 2/@12/D6_03.tif "/>
    <s v=" 59222.6515 "/>
    <s v=" 49.0256 "/>
    <x v="0"/>
    <n v="2903424"/>
    <m/>
    <m/>
    <m/>
  </r>
  <r>
    <x v="14"/>
    <x v="4"/>
    <s v="C:\Users\andre\Desktop\REACTIV CEFAS\Testosterone\Testosterone/20201118_Cefas_Test6-Run3/Plate 2/@12/E6_01.tif "/>
    <s v=" 58227.6763 "/>
    <s v=" 47.2318 "/>
    <x v="0"/>
    <n v="2750198"/>
    <m/>
    <m/>
    <m/>
  </r>
  <r>
    <x v="14"/>
    <x v="4"/>
    <s v="C:\Users\andre\Desktop\REACTIV CEFAS\Testosterone\Testosterone/20201118_Cefas_Test6-Run3/Plate 2/@12/E6_02.tif "/>
    <s v=" 55783.4982 "/>
    <s v=" 47.6363 "/>
    <x v="0"/>
    <n v="2657319"/>
    <m/>
    <m/>
    <m/>
  </r>
  <r>
    <x v="14"/>
    <x v="4"/>
    <s v="C:\Users\andre\Desktop\REACTIV CEFAS\Testosterone\Testosterone/20201118_Cefas_Test6-Run3/Plate 2/@12/E6_03.tif "/>
    <s v=" 55783.4982 "/>
    <s v=" 46.461 "/>
    <x v="0"/>
    <n v="2591759"/>
    <m/>
    <m/>
    <m/>
  </r>
  <r>
    <x v="14"/>
    <x v="5"/>
    <s v="C:\Users\andre\Desktop\REACTIV CEFAS\Testosterone\Testosterone/20201118_Cefas_Test6-Run3/Plate 2/@12/F6_01.tif "/>
    <s v=" 65430.4313 "/>
    <s v=" 45.1709 "/>
    <x v="0"/>
    <n v="2955552"/>
    <m/>
    <m/>
    <m/>
  </r>
  <r>
    <x v="14"/>
    <x v="5"/>
    <s v="C:\Users\andre\Desktop\REACTIV CEFAS\Testosterone\Testosterone/20201118_Cefas_Test6-Run3/Plate 2/@12/F6_02.tif "/>
    <s v=" 67247.3424 "/>
    <s v=" 44.816 "/>
    <x v="0"/>
    <n v="3013758"/>
    <m/>
    <m/>
    <m/>
  </r>
  <r>
    <x v="14"/>
    <x v="5"/>
    <s v="C:\Users\andre\Desktop\REACTIV CEFAS\Testosterone\Testosterone/20201118_Cefas_Test6-Run3/Plate 2/@12/F6_03.tif "/>
    <s v=" 68350.467 "/>
    <s v=" 45.0804 "/>
    <x v="0"/>
    <n v="3081265"/>
    <m/>
    <m/>
    <m/>
  </r>
  <r>
    <x v="14"/>
    <x v="6"/>
    <s v="C:\Users\andre\Desktop\REACTIV CEFAS\Testosterone\Testosterone/20201118_Cefas_Test6-Run3/Plate 2/@12/G6_01.tif "/>
    <s v=" 51089.8111 "/>
    <s v=" 35.9979 "/>
    <x v="0"/>
    <n v="1839125"/>
    <m/>
    <m/>
    <m/>
  </r>
  <r>
    <x v="14"/>
    <x v="6"/>
    <s v="C:\Users\andre\Desktop\REACTIV CEFAS\Testosterone\Testosterone/20201118_Cefas_Test6-Run3/Plate 2/@12/G6_02.tif "/>
    <s v=" 38717.5114 "/>
    <s v=" 36.0464 "/>
    <x v="0"/>
    <n v="1395626"/>
    <m/>
    <m/>
    <m/>
  </r>
  <r>
    <x v="14"/>
    <x v="6"/>
    <s v="C:\Users\andre\Desktop\REACTIV CEFAS\Testosterone\Testosterone/20201118_Cefas_Test6-Run3/Plate 2/@12/G6_03.tif "/>
    <s v=" 62964.6233 "/>
    <s v=" 39.9481 "/>
    <x v="0"/>
    <n v="2515319"/>
    <m/>
    <m/>
    <m/>
  </r>
  <r>
    <x v="14"/>
    <x v="7"/>
    <s v="C:\Users\andre\Desktop\REACTIV CEFAS\Testosterone\Testosterone/20201118_Cefas_Test6-Run3/Plate 2/@12/H6_01.tif "/>
    <s v=" 68436.9866 "/>
    <s v=" 48.5983 "/>
    <x v="0"/>
    <n v="3325921"/>
    <m/>
    <m/>
    <m/>
  </r>
  <r>
    <x v="14"/>
    <x v="7"/>
    <s v="C:\Users\andre\Desktop\REACTIV CEFAS\Testosterone\Testosterone/20201118_Cefas_Test6-Run3/Plate 2/@12/H6_02.tif "/>
    <s v=" 67615.0506 "/>
    <s v=" 50.9581 "/>
    <x v="0"/>
    <n v="3445534"/>
    <m/>
    <m/>
    <m/>
  </r>
  <r>
    <x v="14"/>
    <x v="7"/>
    <s v="C:\Users\andre\Desktop\REACTIV CEFAS\Testosterone\Testosterone/20201118_Cefas_Test6-Run3/Plate 2/@12/H6_03.tif "/>
    <s v=" 68999.3639 "/>
    <s v=" 52.4787 "/>
    <x v="0"/>
    <n v="3620996"/>
    <m/>
    <m/>
    <m/>
  </r>
  <r>
    <x v="1"/>
    <x v="8"/>
    <s v=" "/>
    <m/>
    <m/>
    <x v="1"/>
    <m/>
    <m/>
    <m/>
    <m/>
  </r>
  <r>
    <x v="1"/>
    <x v="8"/>
    <s v="group "/>
    <s v=" "/>
    <s v=" mean of mean fluo "/>
    <x v="2"/>
    <s v=" mean of total fluo "/>
    <s v=" SD total fluo "/>
    <s v=" n fluorescent "/>
    <s v=" n total"/>
  </r>
  <r>
    <x v="14"/>
    <x v="9"/>
    <s v="C:\Users\andre\Desktop\REACTIV CEFAS\Testosterone\Testosterone/20201118_Cefas_Test6-Run3/Plate 2/@12/ "/>
    <s v=" "/>
    <s v=" 47.1991 "/>
    <x v="16"/>
    <s v=" 3111746.96 "/>
    <s v=" 783078.25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C:\Users\andre\Desktop\REACTIV CEFAS\Testosterone\Testosterone/20201118_Cefas_Test6-Run3/Plate 2/@17/A8_01.tif "/>
    <s v=" 4174.5697 "/>
    <s v=" 32.0259 "/>
    <x v="0"/>
    <n v="133694"/>
    <m/>
    <m/>
    <m/>
  </r>
  <r>
    <x v="15"/>
    <x v="0"/>
    <s v="C:\Users\andre\Desktop\REACTIV CEFAS\Testosterone\Testosterone/20201118_Cefas_Test6-Run3/Plate 2/@17/A8_02.tif "/>
    <s v=" 8284.2496 "/>
    <s v=" 32.1828 "/>
    <x v="0"/>
    <n v="266610"/>
    <m/>
    <m/>
    <m/>
  </r>
  <r>
    <x v="15"/>
    <x v="0"/>
    <s v="C:\Users\andre\Desktop\REACTIV CEFAS\Testosterone\Testosterone/20201118_Cefas_Test6-Run3/Plate 2/@17/A8_03.tif "/>
    <s v=" 6683.6374 "/>
    <s v=" 31.9515 "/>
    <x v="0"/>
    <n v="213552"/>
    <m/>
    <m/>
    <m/>
  </r>
  <r>
    <x v="15"/>
    <x v="1"/>
    <s v="C:\Users\andre\Desktop\REACTIV CEFAS\Testosterone\Testosterone/20201118_Cefas_Test6-Run3/Plate 2/@17/B8_01.tif "/>
    <s v=" 20245.5814 "/>
    <s v=" 34.9049 "/>
    <x v="0"/>
    <n v="706670"/>
    <m/>
    <m/>
    <m/>
  </r>
  <r>
    <x v="15"/>
    <x v="1"/>
    <s v="C:\Users\andre\Desktop\REACTIV CEFAS\Testosterone\Testosterone/20201118_Cefas_Test6-Run3/Plate 2/@17/B8_02.tif "/>
    <s v=" 20159.0618 "/>
    <s v=" 35.2575 "/>
    <x v="0"/>
    <n v="710758"/>
    <m/>
    <m/>
    <m/>
  </r>
  <r>
    <x v="15"/>
    <x v="1"/>
    <s v="C:\Users\andre\Desktop\REACTIV CEFAS\Testosterone\Testosterone/20201118_Cefas_Test6-Run3/Plate 2/@17/B8_03.tif "/>
    <s v=" 17260.6559 "/>
    <s v=" 36.3045 "/>
    <x v="0"/>
    <n v="626640"/>
    <m/>
    <m/>
    <m/>
  </r>
  <r>
    <x v="15"/>
    <x v="2"/>
    <s v="C:\Users\andre\Desktop\REACTIV CEFAS\Testosterone\Testosterone/20201118_Cefas_Test6-Run3/Plate 2/@17/C8_01.tif "/>
    <s v=" 64024.4881 "/>
    <s v=" 38.9378 "/>
    <x v="0"/>
    <n v="2492975"/>
    <m/>
    <m/>
    <m/>
  </r>
  <r>
    <x v="15"/>
    <x v="2"/>
    <s v="C:\Users\andre\Desktop\REACTIV CEFAS\Testosterone\Testosterone/20201118_Cefas_Test6-Run3/Plate 2/@17/C8_02.tif "/>
    <s v=" 58530.4949 "/>
    <s v=" 38.7683 "/>
    <x v="0"/>
    <n v="2269127"/>
    <m/>
    <m/>
    <m/>
  </r>
  <r>
    <x v="15"/>
    <x v="2"/>
    <s v="C:\Users\andre\Desktop\REACTIV CEFAS\Testosterone\Testosterone/20201118_Cefas_Test6-Run3/Plate 2/@17/C8_03.tif "/>
    <s v=" 64911.3138 "/>
    <s v=" 39.6658 "/>
    <x v="0"/>
    <n v="2574758"/>
    <m/>
    <m/>
    <m/>
  </r>
  <r>
    <x v="15"/>
    <x v="3"/>
    <s v="C:\Users\andre\Desktop\REACTIV CEFAS\Testosterone\Testosterone/20201118_Cefas_Test6-Run3/Plate 2/@17/D8_01- exclu.tif"/>
    <m/>
    <m/>
    <x v="1"/>
    <m/>
    <m/>
    <m/>
    <m/>
  </r>
  <r>
    <x v="15"/>
    <x v="3"/>
    <s v="C:\Users\andre\Desktop\REACTIV CEFAS\Testosterone\Testosterone/20201118_Cefas_Test6-Run3/Plate 2/@17/D8_02- exclu.tif"/>
    <m/>
    <m/>
    <x v="1"/>
    <m/>
    <m/>
    <m/>
    <m/>
  </r>
  <r>
    <x v="15"/>
    <x v="3"/>
    <s v="C:\Users\andre\Desktop\REACTIV CEFAS\Testosterone\Testosterone/20201118_Cefas_Test6-Run3/Plate 2/@17/D8_03- exclu.tif"/>
    <m/>
    <m/>
    <x v="1"/>
    <m/>
    <m/>
    <m/>
    <m/>
  </r>
  <r>
    <x v="15"/>
    <x v="4"/>
    <s v="C:\Users\andre\Desktop\REACTIV CEFAS\Testosterone\Testosterone/20201118_Cefas_Test6-Run3/Plate 2/@17/E8_01.tif "/>
    <s v=" 36251.7034 "/>
    <s v=" 36.6706 "/>
    <x v="0"/>
    <n v="1329373"/>
    <m/>
    <m/>
    <m/>
  </r>
  <r>
    <x v="15"/>
    <x v="4"/>
    <s v="C:\Users\andre\Desktop\REACTIV CEFAS\Testosterone\Testosterone/20201118_Cefas_Test6-Run3/Plate 2/@17/E8_02.tif "/>
    <s v=" 31752.6853 "/>
    <s v=" 35.5429 "/>
    <x v="0"/>
    <n v="1128583"/>
    <m/>
    <m/>
    <m/>
  </r>
  <r>
    <x v="15"/>
    <x v="4"/>
    <s v="C:\Users\andre\Desktop\REACTIV CEFAS\Testosterone\Testosterone/20201118_Cefas_Test6-Run3/Plate 2/@17/E8_03.tif "/>
    <s v=" 32704.4007 "/>
    <s v=" 35.5139 "/>
    <x v="0"/>
    <n v="1161460"/>
    <m/>
    <m/>
    <m/>
  </r>
  <r>
    <x v="15"/>
    <x v="5"/>
    <s v="C:\Users\andre\Desktop\REACTIV CEFAS\Testosterone\Testosterone/20201118_Cefas_Test6-Run3/Plate 2/@17/F8_01.tif "/>
    <s v=" 54788.5231 "/>
    <s v=" 38.0225 "/>
    <x v="0"/>
    <n v="2083197"/>
    <m/>
    <m/>
    <m/>
  </r>
  <r>
    <x v="15"/>
    <x v="5"/>
    <s v="C:\Users\andre\Desktop\REACTIV CEFAS\Testosterone\Testosterone/20201118_Cefas_Test6-Run3/Plate 2/@17/F8_02.tif "/>
    <s v=" 54593.854 "/>
    <s v=" 40.6177 "/>
    <x v="0"/>
    <n v="2217475"/>
    <m/>
    <m/>
    <m/>
  </r>
  <r>
    <x v="15"/>
    <x v="5"/>
    <s v="C:\Users\andre\Desktop\REACTIV CEFAS\Testosterone\Testosterone/20201118_Cefas_Test6-Run3/Plate 2/@17/F8_03.tif "/>
    <s v=" 55783.4982 "/>
    <s v=" 38.2423 "/>
    <x v="0"/>
    <n v="2133292"/>
    <m/>
    <m/>
    <m/>
  </r>
  <r>
    <x v="15"/>
    <x v="6"/>
    <s v="C:\Users\andre\Desktop\REACTIV CEFAS\Testosterone\Testosterone/20201118_Cefas_Test6-Run3/Plate 2/@17/G8_01.tif "/>
    <s v=" 5796.8118 "/>
    <s v=" 37.1418 "/>
    <x v="0"/>
    <n v="215304"/>
    <m/>
    <m/>
    <m/>
  </r>
  <r>
    <x v="15"/>
    <x v="6"/>
    <s v="C:\Users\andre\Desktop\REACTIV CEFAS\Testosterone\Testosterone/20201118_Cefas_Test6-Run3/Plate 2/@17/G8_02.tif "/>
    <s v=" 4672.0572 "/>
    <s v=" 36.3935 "/>
    <x v="0"/>
    <n v="170033"/>
    <m/>
    <m/>
    <m/>
  </r>
  <r>
    <x v="15"/>
    <x v="6"/>
    <s v="C:\Users\andre\Desktop\REACTIV CEFAS\Testosterone\Testosterone/20201118_Cefas_Test6-Run3/Plate 2/@17/G8_03.tif "/>
    <s v=" 5342.584 "/>
    <s v=" 35.5749 "/>
    <x v="0"/>
    <n v="190062"/>
    <m/>
    <m/>
    <m/>
  </r>
  <r>
    <x v="15"/>
    <x v="7"/>
    <s v="C:\Users\andre\Desktop\REACTIV CEFAS\Testosterone\Testosterone/20201118_Cefas_Test6-Run3/Plate 2/@17/H8_01.tif "/>
    <s v=" 3828.4913 "/>
    <s v=" 32.9548 "/>
    <x v="0"/>
    <n v="126167"/>
    <m/>
    <m/>
    <m/>
  </r>
  <r>
    <x v="15"/>
    <x v="7"/>
    <s v="C:\Users\andre\Desktop\REACTIV CEFAS\Testosterone\Testosterone/20201118_Cefas_Test6-Run3/Plate 2/@17/H8_02.tif "/>
    <s v=" 1687.1318 "/>
    <s v=" 32.5256 "/>
    <x v="0"/>
    <n v="54875"/>
    <m/>
    <m/>
    <m/>
  </r>
  <r>
    <x v="15"/>
    <x v="7"/>
    <s v="C:\Users\andre\Desktop\REACTIV CEFAS\Testosterone\Testosterone/20201118_Cefas_Test6-Run3/Plate 2/@17/H8_03.tif "/>
    <s v=" 670.5267 "/>
    <s v=" 31.3871 "/>
    <x v="0"/>
    <n v="21046"/>
    <m/>
    <m/>
    <m/>
  </r>
  <r>
    <x v="1"/>
    <x v="8"/>
    <s v=" "/>
    <m/>
    <m/>
    <x v="1"/>
    <m/>
    <m/>
    <m/>
    <m/>
  </r>
  <r>
    <x v="1"/>
    <x v="8"/>
    <s v="group "/>
    <s v=" "/>
    <s v=" mean of mean fluo "/>
    <x v="2"/>
    <s v=" mean of total fluo "/>
    <s v=" SD total fluo "/>
    <s v=" n fluorescent "/>
    <s v=" n total"/>
  </r>
  <r>
    <x v="15"/>
    <x v="9"/>
    <s v="C:\Users\andre\Desktop\REACTIV CEFAS\Testosterone\Testosterone/20201118_Cefas_Test6-Run3/Plate 2/@17/ "/>
    <s v=" "/>
    <s v=" 32.6078 "/>
    <x v="17"/>
    <s v=" 867908.5 "/>
    <s v=" 927249.663 "/>
    <n v="22"/>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C:\Users\andre\Desktop\REACTIV CEFAS\Testosterone\Testosterone/20201118_Cefas_Test6-Run3/Plate 2/@18/A9_01.tif "/>
    <s v=" 33569.5965 "/>
    <s v=" 34.7268 "/>
    <x v="0"/>
    <n v="1165765"/>
    <m/>
    <m/>
    <m/>
  </r>
  <r>
    <x v="16"/>
    <x v="0"/>
    <s v="C:\Users\andre\Desktop\REACTIV CEFAS\Testosterone\Testosterone/20201118_Cefas_Test6-Run3/Plate 2/@18/A9_02- exclu.tif"/>
    <m/>
    <m/>
    <x v="1"/>
    <m/>
    <m/>
    <m/>
    <m/>
  </r>
  <r>
    <x v="16"/>
    <x v="0"/>
    <s v="C:\Users\andre\Desktop\REACTIV CEFAS\Testosterone\Testosterone/20201118_Cefas_Test6-Run3/Plate 2/@18/A9_03.tif "/>
    <s v=" 31514.7565 "/>
    <s v=" 34.5402 "/>
    <x v="0"/>
    <n v="1088524"/>
    <m/>
    <m/>
    <m/>
  </r>
  <r>
    <x v="16"/>
    <x v="1"/>
    <s v="C:\Users\andre\Desktop\REACTIV CEFAS\Testosterone\Testosterone/20201118_Cefas_Test6-Run3/Plate 2/@18/B9_01.tif "/>
    <s v=" 74125.6489 "/>
    <s v=" 42.445 "/>
    <x v="0"/>
    <n v="3146263"/>
    <m/>
    <m/>
    <m/>
  </r>
  <r>
    <x v="16"/>
    <x v="1"/>
    <s v="C:\Users\andre\Desktop\REACTIV CEFAS\Testosterone\Testosterone/20201118_Cefas_Test6-Run3/Plate 2/@18/B9_02.tif "/>
    <s v=" 74039.1293 "/>
    <s v=" 40.6448 "/>
    <x v="0"/>
    <n v="3009302"/>
    <m/>
    <m/>
    <m/>
  </r>
  <r>
    <x v="16"/>
    <x v="1"/>
    <s v="C:\Users\andre\Desktop\REACTIV CEFAS\Testosterone\Testosterone/20201118_Cefas_Test6-Run3/Plate 2/@18/B9_03.tif "/>
    <s v=" 70621.606 "/>
    <s v=" 41.2352 "/>
    <x v="0"/>
    <n v="2912098"/>
    <m/>
    <m/>
    <m/>
  </r>
  <r>
    <x v="16"/>
    <x v="2"/>
    <s v="C:\Users\andre\Desktop\REACTIV CEFAS\Testosterone\Testosterone/20201118_Cefas_Test6-Run3/Plate 2/@18/C9_01.tif "/>
    <s v=" 47975.1063 "/>
    <s v=" 36.2236 "/>
    <x v="0"/>
    <n v="1737832"/>
    <m/>
    <m/>
    <m/>
  </r>
  <r>
    <x v="16"/>
    <x v="2"/>
    <s v="C:\Users\andre\Desktop\REACTIV CEFAS\Testosterone\Testosterone/20201118_Cefas_Test6-Run3/Plate 2/@18/C9_02.tif "/>
    <s v=" 46504.2735 "/>
    <s v=" 35.0633 "/>
    <x v="0"/>
    <n v="1630591"/>
    <m/>
    <m/>
    <m/>
  </r>
  <r>
    <x v="16"/>
    <x v="2"/>
    <s v="C:\Users\andre\Desktop\REACTIV CEFAS\Testosterone\Testosterone/20201118_Cefas_Test6-Run3/Plate 2/@18/C9_03.tif "/>
    <s v=" 51284.4802 "/>
    <s v=" 35.1092 "/>
    <x v="0"/>
    <n v="1800559"/>
    <m/>
    <m/>
    <m/>
  </r>
  <r>
    <x v="16"/>
    <x v="3"/>
    <s v="C:\Users\andre\Desktop\REACTIV CEFAS\Testosterone\Testosterone/20201118_Cefas_Test6-Run3/Plate 2/@18/D9_01.tif "/>
    <s v=" 34240.1232 "/>
    <s v=" 34.6715 "/>
    <x v="0"/>
    <n v="1187157"/>
    <m/>
    <m/>
    <m/>
  </r>
  <r>
    <x v="16"/>
    <x v="3"/>
    <s v="C:\Users\andre\Desktop\REACTIV CEFAS\Testosterone\Testosterone/20201118_Cefas_Test6-Run3/Plate 2/@18/D9_02.tif "/>
    <s v=" 22559.9801 "/>
    <s v=" 33.4516 "/>
    <x v="0"/>
    <n v="754667"/>
    <m/>
    <m/>
    <m/>
  </r>
  <r>
    <x v="16"/>
    <x v="3"/>
    <s v="C:\Users\andre\Desktop\REACTIV CEFAS\Testosterone\Testosterone/20201118_Cefas_Test6-Run3/Plate 2/@18/D9_03.tif "/>
    <s v=" 29957.4041 "/>
    <s v=" 32.8484 "/>
    <x v="0"/>
    <n v="984052"/>
    <m/>
    <m/>
    <m/>
  </r>
  <r>
    <x v="16"/>
    <x v="4"/>
    <s v="C:\Users\andre\Desktop\REACTIV CEFAS\Testosterone\Testosterone/20201118_Cefas_Test6-Run3/Plate 2/@18/E9_01- exclu.tif"/>
    <m/>
    <m/>
    <x v="1"/>
    <m/>
    <m/>
    <m/>
    <m/>
  </r>
  <r>
    <x v="16"/>
    <x v="4"/>
    <s v="C:\Users\andre\Desktop\REACTIV CEFAS\Testosterone\Testosterone/20201118_Cefas_Test6-Run3/Plate 2/@18/E9_02.tif "/>
    <s v=" 15984.4921 "/>
    <s v=" 36.6942 "/>
    <x v="0"/>
    <n v="586538"/>
    <m/>
    <m/>
    <m/>
  </r>
  <r>
    <x v="16"/>
    <x v="4"/>
    <s v="C:\Users\andre\Desktop\REACTIV CEFAS\Testosterone\Testosterone/20201118_Cefas_Test6-Run3/Plate 2/@18/E9_03- exclu.tif"/>
    <m/>
    <m/>
    <x v="1"/>
    <m/>
    <m/>
    <m/>
    <m/>
  </r>
  <r>
    <x v="16"/>
    <x v="5"/>
    <s v="C:\Users\andre\Desktop\REACTIV CEFAS\Testosterone\Testosterone/20201118_Cefas_Test6-Run3/Plate 2/@18/F9_01.tif "/>
    <s v=" 2033.2101 "/>
    <s v=" 32.5426 "/>
    <x v="0"/>
    <n v="66166"/>
    <m/>
    <m/>
    <m/>
  </r>
  <r>
    <x v="16"/>
    <x v="5"/>
    <s v="C:\Users\andre\Desktop\REACTIV CEFAS\Testosterone\Testosterone/20201118_Cefas_Test6-Run3/Plate 2/@18/F9_02.tif "/>
    <s v=" 1989.9503 "/>
    <s v=" 32.087 "/>
    <x v="0"/>
    <n v="63851"/>
    <m/>
    <m/>
    <m/>
  </r>
  <r>
    <x v="16"/>
    <x v="5"/>
    <s v="C:\Users\andre\Desktop\REACTIV CEFAS\Testosterone\Testosterone/20201118_Cefas_Test6-Run3/Plate 2/@18/F9_03- exclu.tif"/>
    <m/>
    <m/>
    <x v="1"/>
    <m/>
    <m/>
    <m/>
    <m/>
  </r>
  <r>
    <x v="16"/>
    <x v="6"/>
    <s v="C:\Users\andre\Desktop\REACTIV CEFAS\Testosterone\Testosterone/20201118_Cefas_Test6-Run3/Plate 2/@18/G9_01- exclu.tif"/>
    <m/>
    <m/>
    <x v="1"/>
    <m/>
    <m/>
    <m/>
    <m/>
  </r>
  <r>
    <x v="16"/>
    <x v="6"/>
    <s v="C:\Users\andre\Desktop\REACTIV CEFAS\Testosterone\Testosterone/20201118_Cefas_Test6-Run3/Plate 2/@18/G9_02- exclu.tif"/>
    <m/>
    <m/>
    <x v="1"/>
    <m/>
    <m/>
    <m/>
    <m/>
  </r>
  <r>
    <x v="16"/>
    <x v="6"/>
    <s v="C:\Users\andre\Desktop\REACTIV CEFAS\Testosterone\Testosterone/20201118_Cefas_Test6-Run3/Plate 2/@18/G9_03.tif "/>
    <s v=" 26821.0693 "/>
    <s v=" 33.4403 "/>
    <x v="0"/>
    <n v="896905"/>
    <m/>
    <m/>
    <m/>
  </r>
  <r>
    <x v="16"/>
    <x v="7"/>
    <s v="C:\Users\andre\Desktop\REACTIV CEFAS\Testosterone\Testosterone/20201118_Cefas_Test6-Run3/Plate 2/@18/H9_01.tif "/>
    <s v=" 76331.8981 "/>
    <s v=" 41.9932 "/>
    <x v="0"/>
    <n v="3205421"/>
    <m/>
    <m/>
    <m/>
  </r>
  <r>
    <x v="16"/>
    <x v="7"/>
    <s v="C:\Users\andre\Desktop\REACTIV CEFAS\Testosterone\Testosterone/20201118_Cefas_Test6-Run3/Plate 2/@18/H9_02.tif "/>
    <s v=" 67679.9403 "/>
    <s v=" 38.6814 "/>
    <x v="0"/>
    <n v="2617953"/>
    <m/>
    <m/>
    <m/>
  </r>
  <r>
    <x v="16"/>
    <x v="7"/>
    <s v="C:\Users\andre\Desktop\REACTIV CEFAS\Testosterone\Testosterone/20201118_Cefas_Test6-Run3/Plate 2/@18/H9_03.tif "/>
    <s v=" 68199.0578 "/>
    <s v=" 38.2525 "/>
    <x v="0"/>
    <n v="2608782"/>
    <m/>
    <m/>
    <m/>
  </r>
  <r>
    <x v="1"/>
    <x v="8"/>
    <s v=" "/>
    <m/>
    <m/>
    <x v="1"/>
    <m/>
    <m/>
    <m/>
    <m/>
  </r>
  <r>
    <x v="1"/>
    <x v="8"/>
    <s v="group "/>
    <s v=" "/>
    <s v=" mean of mean fluo "/>
    <x v="2"/>
    <s v=" mean of total fluo "/>
    <s v=" SD total fluo "/>
    <s v=" n fluorescent "/>
    <s v=" n total"/>
  </r>
  <r>
    <x v="16"/>
    <x v="9"/>
    <s v="C:\Users\andre\Desktop\REACTIV CEFAS\Testosterone\Testosterone/20201118_Cefas_Test6-Run3/Plate 2/@18/ "/>
    <s v=" "/>
    <s v=" 36.7756 "/>
    <x v="18"/>
    <s v=" 1412434.83 "/>
    <s v=" 1029256.4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C:\Users\andre\Desktop\REACTIV CEFAS\Testosterone\Testosterone/20201118_Cefas_Test6-Run3/Plate 2/@19/A10_01- exclu.tif"/>
    <m/>
    <m/>
    <x v="1"/>
    <m/>
    <m/>
    <m/>
    <m/>
  </r>
  <r>
    <x v="17"/>
    <x v="0"/>
    <s v="C:\Users\andre\Desktop\REACTIV CEFAS\Testosterone\Testosterone/20201118_Cefas_Test6-Run3/Plate 2/@19/A10_02.tif "/>
    <s v=" 72416.8872 "/>
    <s v=" 41.2614 "/>
    <x v="0"/>
    <n v="2988019"/>
    <m/>
    <m/>
    <m/>
  </r>
  <r>
    <x v="17"/>
    <x v="0"/>
    <s v="C:\Users\andre\Desktop\REACTIV CEFAS\Testosterone\Testosterone/20201118_Cefas_Test6-Run3/Plate 2/@19/A10_03.tif "/>
    <s v=" 56151.2065 "/>
    <s v=" 36.2477 "/>
    <x v="0"/>
    <n v="2035351"/>
    <m/>
    <m/>
    <m/>
  </r>
  <r>
    <x v="17"/>
    <x v="1"/>
    <s v="C:\Users\andre\Desktop\REACTIV CEFAS\Testosterone\Testosterone/20201118_Cefas_Test6-Run3/Plate 2/@19/B10_01.tif "/>
    <s v=" 2292.7688 "/>
    <s v=" 32.6792 "/>
    <x v="0"/>
    <n v="74926"/>
    <m/>
    <m/>
    <m/>
  </r>
  <r>
    <x v="17"/>
    <x v="1"/>
    <s v="C:\Users\andre\Desktop\REACTIV CEFAS\Testosterone\Testosterone/20201118_Cefas_Test6-Run3/Plate 2/@19/B10_02.tif "/>
    <s v=" 3525.6728 "/>
    <s v=" 33.7853 "/>
    <x v="0"/>
    <n v="119116"/>
    <m/>
    <m/>
    <m/>
  </r>
  <r>
    <x v="17"/>
    <x v="1"/>
    <s v="C:\Users\andre\Desktop\REACTIV CEFAS\Testosterone\Testosterone/20201118_Cefas_Test6-Run3/Plate 2/@19/B10_03.tif "/>
    <s v=" 4455.7583 "/>
    <s v=" 35.6942 "/>
    <x v="0"/>
    <n v="159045"/>
    <m/>
    <m/>
    <m/>
  </r>
  <r>
    <x v="17"/>
    <x v="2"/>
    <s v="C:\Users\andre\Desktop\REACTIV CEFAS\Testosterone\Testosterone/20201118_Cefas_Test6-Run3/Plate 2/@19/C10_01.tif "/>
    <s v=" 72849.4851 "/>
    <s v=" 51.948 "/>
    <x v="0"/>
    <n v="3784388"/>
    <m/>
    <m/>
    <m/>
  </r>
  <r>
    <x v="17"/>
    <x v="2"/>
    <s v="C:\Users\andre\Desktop\REACTIV CEFAS\Testosterone\Testosterone/20201118_Cefas_Test6-Run3/Plate 2/@19/C10_02.tif "/>
    <s v=" 65927.9188 "/>
    <s v=" 49.8776 "/>
    <x v="0"/>
    <n v="3288328"/>
    <m/>
    <m/>
    <m/>
  </r>
  <r>
    <x v="17"/>
    <x v="2"/>
    <s v="C:\Users\andre\Desktop\REACTIV CEFAS\Testosterone\Testosterone/20201118_Cefas_Test6-Run3/Plate 2/@19/C10_03.tif "/>
    <s v=" 78559.7773 "/>
    <s v=" 50.0647 "/>
    <x v="0"/>
    <n v="3933072"/>
    <m/>
    <m/>
    <m/>
  </r>
  <r>
    <x v="17"/>
    <x v="3"/>
    <s v="C:\Users\andre\Desktop\REACTIV CEFAS\Testosterone\Testosterone/20201118_Cefas_Test6-Run3/Plate 2/@19/D10_01.tif "/>
    <s v=" 10706.7978 "/>
    <s v=" 35.0343 "/>
    <x v="0"/>
    <n v="375106"/>
    <m/>
    <m/>
    <m/>
  </r>
  <r>
    <x v="17"/>
    <x v="3"/>
    <s v="C:\Users\andre\Desktop\REACTIV CEFAS\Testosterone\Testosterone/20201118_Cefas_Test6-Run3/Plate 2/@19/D10_02.tif "/>
    <s v=" 12523.709 "/>
    <s v=" 34.7858 "/>
    <x v="0"/>
    <n v="435648"/>
    <m/>
    <m/>
    <m/>
  </r>
  <r>
    <x v="17"/>
    <x v="3"/>
    <s v="C:\Users\andre\Desktop\REACTIV CEFAS\Testosterone\Testosterone/20201118_Cefas_Test6-Run3/Plate 2/@19/D10_03.tif "/>
    <s v=" 8500.5486 "/>
    <s v=" 33.7786 "/>
    <x v="0"/>
    <n v="287137"/>
    <m/>
    <m/>
    <m/>
  </r>
  <r>
    <x v="17"/>
    <x v="4"/>
    <s v="C:\Users\andre\Desktop\REACTIV CEFAS\Testosterone\Testosterone/20201118_Cefas_Test6-Run3/Plate 2/@19/E10_01.tif "/>
    <s v=" 79230.304 "/>
    <s v=" 50.1936 "/>
    <x v="0"/>
    <n v="3976851"/>
    <m/>
    <m/>
    <m/>
  </r>
  <r>
    <x v="17"/>
    <x v="4"/>
    <s v="C:\Users\andre\Desktop\REACTIV CEFAS\Testosterone\Testosterone/20201118_Cefas_Test6-Run3/Plate 2/@19/E10_02.tif "/>
    <s v=" 65971.1786 "/>
    <s v=" 50.2593 "/>
    <x v="0"/>
    <n v="3315668"/>
    <m/>
    <m/>
    <m/>
  </r>
  <r>
    <x v="17"/>
    <x v="4"/>
    <s v="C:\Users\andre\Desktop\REACTIV CEFAS\Testosterone\Testosterone/20201118_Cefas_Test6-Run3/Plate 2/@19/E10_03.tif "/>
    <s v=" 80636.2472 "/>
    <s v=" 49.901 "/>
    <x v="0"/>
    <n v="4023831"/>
    <m/>
    <m/>
    <m/>
  </r>
  <r>
    <x v="17"/>
    <x v="5"/>
    <s v="C:\Users\andre\Desktop\REACTIV CEFAS\Testosterone\Testosterone/20201118_Cefas_Test6-Run3/Plate 2/@19/F10_01.tif "/>
    <s v=" 51219.5905 "/>
    <s v=" 35.6068 "/>
    <x v="0"/>
    <n v="1823768"/>
    <m/>
    <m/>
    <m/>
  </r>
  <r>
    <x v="17"/>
    <x v="5"/>
    <s v="C:\Users\andre\Desktop\REACTIV CEFAS\Testosterone\Testosterone/20201118_Cefas_Test6-Run3/Plate 2/@19/F10_02.tif "/>
    <s v=" 47153.1703 "/>
    <s v=" 34.794 "/>
    <x v="0"/>
    <n v="1640649"/>
    <m/>
    <m/>
    <m/>
  </r>
  <r>
    <x v="17"/>
    <x v="5"/>
    <s v="C:\Users\andre\Desktop\REACTIV CEFAS\Testosterone\Testosterone/20201118_Cefas_Test6-Run3/Plate 2/@19/F10_03.tif "/>
    <s v=" 51392.6296 "/>
    <s v=" 34.4899 "/>
    <x v="0"/>
    <n v="1772527"/>
    <m/>
    <m/>
    <m/>
  </r>
  <r>
    <x v="17"/>
    <x v="6"/>
    <s v="C:\Users\andre\Desktop\REACTIV CEFAS\Testosterone\Testosterone/20201118_Cefas_Test6-Run3/Plate 2/@19/G10_01.tif "/>
    <s v=" 49554.0886 "/>
    <s v=" 39.5164 "/>
    <x v="0"/>
    <n v="1958198"/>
    <m/>
    <m/>
    <m/>
  </r>
  <r>
    <x v="17"/>
    <x v="6"/>
    <s v="C:\Users\andre\Desktop\REACTIV CEFAS\Testosterone\Testosterone/20201118_Cefas_Test6-Run3/Plate 2/@19/G10_02.tif "/>
    <s v=" 44730.6221 "/>
    <s v=" 37.1804 "/>
    <x v="0"/>
    <n v="1663101"/>
    <m/>
    <m/>
    <m/>
  </r>
  <r>
    <x v="17"/>
    <x v="6"/>
    <s v="C:\Users\andre\Desktop\REACTIV CEFAS\Testosterone\Testosterone/20201118_Cefas_Test6-Run3/Plate 2/@19/G10_03.tif "/>
    <s v=" 41767.3265 "/>
    <s v=" 35.8949 "/>
    <x v="0"/>
    <n v="1499233"/>
    <m/>
    <m/>
    <m/>
  </r>
  <r>
    <x v="17"/>
    <x v="7"/>
    <s v="C:\Users\andre\Desktop\REACTIV CEFAS\Testosterone\Testosterone/20201118_Cefas_Test6-Run3/Plate 2/@19/H10_01.tif "/>
    <s v=" 70102.4885 "/>
    <s v=" 41.4971 "/>
    <x v="0"/>
    <n v="2909048"/>
    <m/>
    <m/>
    <m/>
  </r>
  <r>
    <x v="17"/>
    <x v="7"/>
    <s v="C:\Users\andre\Desktop\REACTIV CEFAS\Testosterone\Testosterone/20201118_Cefas_Test6-Run3/Plate 2/@19/H10_02.tif "/>
    <s v=" 71551.6914 "/>
    <s v=" 41.7379 "/>
    <x v="0"/>
    <n v="2986418"/>
    <m/>
    <m/>
    <m/>
  </r>
  <r>
    <x v="17"/>
    <x v="7"/>
    <s v="C:\Users\andre\Desktop\REACTIV CEFAS\Testosterone\Testosterone/20201118_Cefas_Test6-Run3/Plate 2/@19/H10_03.tif "/>
    <s v=" 81501.443 "/>
    <s v=" 46.1075 "/>
    <x v="0"/>
    <n v="3757826"/>
    <m/>
    <m/>
    <m/>
  </r>
  <r>
    <x v="1"/>
    <x v="8"/>
    <s v=" "/>
    <m/>
    <m/>
    <x v="1"/>
    <m/>
    <m/>
    <m/>
    <m/>
  </r>
  <r>
    <x v="1"/>
    <x v="8"/>
    <s v="group "/>
    <s v=" "/>
    <s v=" mean of mean fluo "/>
    <x v="2"/>
    <s v=" mean of total fluo "/>
    <s v=" SD total fluo "/>
    <s v=" n fluorescent "/>
    <s v=" n total"/>
  </r>
  <r>
    <x v="17"/>
    <x v="9"/>
    <s v="C:\Users\andre\Desktop\REACTIV CEFAS\Testosterone\Testosterone/20201118_Cefas_Test6-Run3/Plate 2/@19/ "/>
    <s v=" "/>
    <s v=" 40.723 "/>
    <x v="19"/>
    <s v=" 2136521.79 "/>
    <s v=" 1370292.8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C:\Users\andre\Desktop\REACTIV CEFAS\Testosterone\Testosterone/20201118_Cefas_Test6-Run3/Plate 2/@20/A11_01.tif "/>
    <s v=" 74168.9087 "/>
    <s v=" 46.4418 "/>
    <x v="0"/>
    <n v="3444539"/>
    <m/>
    <m/>
    <m/>
  </r>
  <r>
    <x v="18"/>
    <x v="0"/>
    <s v="C:\Users\andre\Desktop\REACTIV CEFAS\Testosterone\Testosterone/20201118_Cefas_Test6-Run3/Plate 2/@20/A11_02.tif "/>
    <s v=" 50657.2132 "/>
    <s v=" 49.8638 "/>
    <x v="0"/>
    <n v="2525961"/>
    <m/>
    <m/>
    <m/>
  </r>
  <r>
    <x v="18"/>
    <x v="0"/>
    <s v="C:\Users\andre\Desktop\REACTIV CEFAS\Testosterone\Testosterone/20201118_Cefas_Test6-Run3/Plate 2/@20/A11_03.tif "/>
    <s v=" 73282.083 "/>
    <s v=" 48.9047 "/>
    <x v="0"/>
    <n v="3583836"/>
    <m/>
    <m/>
    <m/>
  </r>
  <r>
    <x v="18"/>
    <x v="1"/>
    <s v="C:\Users\andre\Desktop\REACTIV CEFAS\Testosterone\Testosterone/20201118_Cefas_Test6-Run3/Plate 2/@20/B11_01.tif "/>
    <s v=" 62856.4738 "/>
    <s v=" 42.3224 "/>
    <x v="0"/>
    <n v="2660239"/>
    <m/>
    <m/>
    <m/>
  </r>
  <r>
    <x v="18"/>
    <x v="1"/>
    <s v="C:\Users\andre\Desktop\REACTIV CEFAS\Testosterone\Testosterone/20201118_Cefas_Test6-Run3/Plate 2/@20/B11_02.tif "/>
    <s v=" 60260.8864 "/>
    <s v=" 41.4878 "/>
    <x v="0"/>
    <n v="2500091"/>
    <m/>
    <m/>
    <m/>
  </r>
  <r>
    <x v="18"/>
    <x v="1"/>
    <s v="C:\Users\andre\Desktop\REACTIV CEFAS\Testosterone\Testosterone/20201118_Cefas_Test6-Run3/Plate 2/@20/B11_03.tif "/>
    <s v=" 56951.5126 "/>
    <s v=" 38.1238 "/>
    <x v="0"/>
    <n v="2171209"/>
    <m/>
    <m/>
    <m/>
  </r>
  <r>
    <x v="18"/>
    <x v="2"/>
    <s v="C:\Users\andre\Desktop\REACTIV CEFAS\Testosterone\Testosterone/20201118_Cefas_Test6-Run3/Plate 2/@20/C11_01.tif "/>
    <s v=" 49575.7185 "/>
    <s v=" 38.0497 "/>
    <x v="0"/>
    <n v="1886343"/>
    <m/>
    <m/>
    <m/>
  </r>
  <r>
    <x v="18"/>
    <x v="2"/>
    <s v="C:\Users\andre\Desktop\REACTIV CEFAS\Testosterone\Testosterone/20201118_Cefas_Test6-Run3/Plate 2/@20/C11_02.tif "/>
    <s v=" 46461.0137 "/>
    <s v=" 36.9465 "/>
    <x v="0"/>
    <n v="1716570"/>
    <m/>
    <m/>
    <m/>
  </r>
  <r>
    <x v="18"/>
    <x v="2"/>
    <s v="C:\Users\andre\Desktop\REACTIV CEFAS\Testosterone\Testosterone/20201118_Cefas_Test6-Run3/Plate 2/@20/C11_03.tif "/>
    <s v=" 58638.6443 "/>
    <s v=" 40.5636 "/>
    <x v="0"/>
    <n v="2378596"/>
    <m/>
    <m/>
    <m/>
  </r>
  <r>
    <x v="18"/>
    <x v="3"/>
    <s v="C:\Users\andre\Desktop\REACTIV CEFAS\Testosterone\Testosterone/20201118_Cefas_Test6-Run3/Plate 2/@20/D11_01.tif "/>
    <s v=" 71443.542 "/>
    <s v=" 43.2507 "/>
    <x v="0"/>
    <n v="3089982"/>
    <m/>
    <m/>
    <m/>
  </r>
  <r>
    <x v="18"/>
    <x v="3"/>
    <s v="C:\Users\andre\Desktop\REACTIV CEFAS\Testosterone\Testosterone/20201118_Cefas_Test6-Run3/Plate 2/@20/D11_02.tif "/>
    <s v=" 69583.371 "/>
    <s v=" 49.0124 "/>
    <x v="0"/>
    <n v="3410450"/>
    <m/>
    <m/>
    <m/>
  </r>
  <r>
    <x v="18"/>
    <x v="3"/>
    <s v="C:\Users\andre\Desktop\REACTIV CEFAS\Testosterone\Testosterone/20201118_Cefas_Test6-Run3/Plate 2/@20/D11_03.tif "/>
    <s v=" 74623.1365 "/>
    <s v=" 48.0043 "/>
    <x v="0"/>
    <n v="3582235"/>
    <m/>
    <m/>
    <m/>
  </r>
  <r>
    <x v="18"/>
    <x v="4"/>
    <s v="C:\Users\andre\Desktop\REACTIV CEFAS\Testosterone\Testosterone/20201118_Cefas_Test6-Run3/Plate 2/@20/E11_01.tif "/>
    <s v=" 78040.6598 "/>
    <s v=" 46.0859 "/>
    <x v="0"/>
    <n v="3596576"/>
    <m/>
    <m/>
    <m/>
  </r>
  <r>
    <x v="18"/>
    <x v="4"/>
    <s v="C:\Users\andre\Desktop\REACTIV CEFAS\Testosterone\Testosterone/20201118_Cefas_Test6-Run3/Plate 2/@20/E11_02.tif "/>
    <s v=" 77651.3217 "/>
    <s v=" 48.6766 "/>
    <x v="0"/>
    <n v="3779802"/>
    <m/>
    <m/>
    <m/>
  </r>
  <r>
    <x v="18"/>
    <x v="4"/>
    <s v="C:\Users\andre\Desktop\REACTIV CEFAS\Testosterone\Testosterone/20201118_Cefas_Test6-Run3/Plate 2/@20/E11_03.tif "/>
    <s v=" 78797.7061 "/>
    <s v=" 47.4988 "/>
    <x v="0"/>
    <n v="3742794"/>
    <m/>
    <m/>
    <m/>
  </r>
  <r>
    <x v="18"/>
    <x v="5"/>
    <s v="C:\Users\andre\Desktop\REACTIV CEFAS\Testosterone\Testosterone/20201118_Cefas_Test6-Run3/Plate 2/@20/F11_01.tif "/>
    <s v=" 42113.4048 "/>
    <s v=" 39.1284 "/>
    <x v="0"/>
    <n v="1647830"/>
    <m/>
    <m/>
    <m/>
  </r>
  <r>
    <x v="18"/>
    <x v="5"/>
    <s v="C:\Users\andre\Desktop\REACTIV CEFAS\Testosterone\Testosterone/20201118_Cefas_Test6-Run3/Plate 2/@20/F11_02.tif "/>
    <s v=" 49965.0566 "/>
    <s v=" 37.3446 "/>
    <x v="0"/>
    <n v="1865924"/>
    <m/>
    <m/>
    <m/>
  </r>
  <r>
    <x v="18"/>
    <x v="5"/>
    <s v="C:\Users\andre\Desktop\REACTIV CEFAS\Testosterone\Testosterone/20201118_Cefas_Test6-Run3/Plate 2/@20/F11_03.tif "/>
    <s v=" 56973.1425 "/>
    <s v=" 39.8246 "/>
    <x v="0"/>
    <n v="2268933"/>
    <m/>
    <m/>
    <m/>
  </r>
  <r>
    <x v="18"/>
    <x v="6"/>
    <s v="C:\Users\andre\Desktop\REACTIV CEFAS\Testosterone\Testosterone/20201118_Cefas_Test6-Run3/Plate 2/@20/G11_01.tif "/>
    <s v=" 25782.8344 "/>
    <s v=" 40.5059 "/>
    <x v="0"/>
    <n v="1044356"/>
    <m/>
    <m/>
    <m/>
  </r>
  <r>
    <x v="18"/>
    <x v="6"/>
    <s v="C:\Users\andre\Desktop\REACTIV CEFAS\Testosterone\Testosterone/20201118_Cefas_Test6-Run3/Plate 2/@20/G11_02- exclu.tif"/>
    <m/>
    <m/>
    <x v="1"/>
    <m/>
    <m/>
    <m/>
    <m/>
  </r>
  <r>
    <x v="18"/>
    <x v="6"/>
    <s v="C:\Users\andre\Desktop\REACTIV CEFAS\Testosterone\Testosterone/20201118_Cefas_Test6-Run3/Plate 2/@20/G11_03- exclu.tif"/>
    <m/>
    <m/>
    <x v="1"/>
    <m/>
    <m/>
    <m/>
    <m/>
  </r>
  <r>
    <x v="18"/>
    <x v="7"/>
    <s v="C:\Users\andre\Desktop\REACTIV CEFAS\Testosterone\Testosterone/20201118_Cefas_Test6-Run3/Plate 2/@20/H11_01- exclu.tif"/>
    <m/>
    <m/>
    <x v="1"/>
    <m/>
    <m/>
    <m/>
    <m/>
  </r>
  <r>
    <x v="18"/>
    <x v="7"/>
    <s v="C:\Users\andre\Desktop\REACTIV CEFAS\Testosterone\Testosterone/20201118_Cefas_Test6-Run3/Plate 2/@20/H11_02.tif "/>
    <s v=" 51414.2595 "/>
    <s v=" 41.9386 "/>
    <x v="0"/>
    <n v="2156241"/>
    <m/>
    <m/>
    <m/>
  </r>
  <r>
    <x v="18"/>
    <x v="7"/>
    <s v="C:\Users\andre\Desktop\REACTIV CEFAS\Testosterone\Testosterone/20201118_Cefas_Test6-Run3/Plate 2/@20/H11_03.tif "/>
    <s v=" 52603.9037 "/>
    <s v=" 39.9326 "/>
    <x v="0"/>
    <n v="2100609"/>
    <m/>
    <m/>
    <m/>
  </r>
  <r>
    <x v="1"/>
    <x v="8"/>
    <s v=" "/>
    <m/>
    <m/>
    <x v="1"/>
    <m/>
    <m/>
    <m/>
    <m/>
  </r>
  <r>
    <x v="1"/>
    <x v="8"/>
    <s v="group "/>
    <s v=" "/>
    <s v=" mean of mean fluo "/>
    <x v="2"/>
    <s v=" mean of total fluo "/>
    <s v=" SD total fluo "/>
    <s v=" n fluorescent "/>
    <s v=" n total"/>
  </r>
  <r>
    <x v="18"/>
    <x v="9"/>
    <s v="C:\Users\andre\Desktop\REACTIV CEFAS\Testosterone\Testosterone/20201118_Cefas_Test6-Run3/Plate 2/@20/ "/>
    <s v=" "/>
    <s v=" 43.1126 "/>
    <x v="20"/>
    <s v=" 2481019.21 "/>
    <s v=" 899698.50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C:\Users\andre\Desktop\REACTIV CEFAS\Testosterone\Testosterone/20201118_Cefas_Test6-Run3/Plate 2/@21/A12_01.tif "/>
    <s v=" 36554.5219 "/>
    <s v=" 42.7219 "/>
    <x v="0"/>
    <n v="1561678"/>
    <m/>
    <m/>
    <m/>
  </r>
  <r>
    <x v="19"/>
    <x v="0"/>
    <s v="C:\Users\andre\Desktop\REACTIV CEFAS\Testosterone\Testosterone/20201118_Cefas_Test6-Run3/Plate 2/@21/A12_02.tif "/>
    <s v=" 41832.2162 "/>
    <s v=" 43.9281 "/>
    <x v="0"/>
    <n v="1837611"/>
    <m/>
    <m/>
    <m/>
  </r>
  <r>
    <x v="19"/>
    <x v="0"/>
    <s v="C:\Users\andre\Desktop\REACTIV CEFAS\Testosterone\Testosterone/20201118_Cefas_Test6-Run3/Plate 2/@21/A12_03.tif "/>
    <s v=" 34002.1944 "/>
    <s v=" 43.3499 "/>
    <x v="0"/>
    <n v="1473991"/>
    <m/>
    <m/>
    <m/>
  </r>
  <r>
    <x v="19"/>
    <x v="1"/>
    <s v="C:\Users\andre\Desktop\REACTIV CEFAS\Testosterone\Testosterone/20201118_Cefas_Test6-Run3/Plate 2/@21/B12_01.tif "/>
    <s v=" 77283.6135 "/>
    <s v=" 59.2457 "/>
    <x v="0"/>
    <n v="4578724"/>
    <m/>
    <m/>
    <m/>
  </r>
  <r>
    <x v="19"/>
    <x v="1"/>
    <s v="C:\Users\andre\Desktop\REACTIV CEFAS\Testosterone\Testosterone/20201118_Cefas_Test6-Run3/Plate 2/@21/B12_02.tif "/>
    <s v=" 78148.8093 "/>
    <s v=" 61.4808 "/>
    <x v="0"/>
    <n v="4804648"/>
    <m/>
    <m/>
    <m/>
  </r>
  <r>
    <x v="19"/>
    <x v="1"/>
    <s v="C:\Users\andre\Desktop\REACTIV CEFAS\Testosterone\Testosterone/20201118_Cefas_Test6-Run3/Plate 2/@21/B12_03.tif "/>
    <s v=" 83750.952 "/>
    <s v=" 57.1552 "/>
    <x v="0"/>
    <n v="4786804"/>
    <m/>
    <m/>
    <m/>
  </r>
  <r>
    <x v="19"/>
    <x v="2"/>
    <s v="C:\Users\andre\Desktop\REACTIV CEFAS\Testosterone\Testosterone/20201118_Cefas_Test6-Run3/Plate 2/@21/C12_01.tif "/>
    <s v=" 53360.95 "/>
    <s v=" 52.7049 "/>
    <x v="0"/>
    <n v="2812384"/>
    <m/>
    <m/>
    <m/>
  </r>
  <r>
    <x v="19"/>
    <x v="2"/>
    <s v="C:\Users\andre\Desktop\REACTIV CEFAS\Testosterone\Testosterone/20201118_Cefas_Test6-Run3/Plate 2/@21/C12_02.tif "/>
    <s v=" 55523.9395 "/>
    <s v=" 58.3716 "/>
    <x v="0"/>
    <n v="3241023"/>
    <m/>
    <m/>
    <m/>
  </r>
  <r>
    <x v="19"/>
    <x v="2"/>
    <s v="C:\Users\andre\Desktop\REACTIV CEFAS\Testosterone\Testosterone/20201118_Cefas_Test6-Run3/Plate 2/@21/C12_03.tif "/>
    <s v=" 54377.5551 "/>
    <s v=" 51.0195 "/>
    <x v="0"/>
    <n v="2774315"/>
    <m/>
    <m/>
    <m/>
  </r>
  <r>
    <x v="19"/>
    <x v="3"/>
    <s v="C:\Users\andre\Desktop\REACTIV CEFAS\Testosterone\Testosterone/20201118_Cefas_Test6-Run3/Plate 2/@21/D12_01.tif "/>
    <s v=" 58963.0928 "/>
    <s v=" 43.8716 "/>
    <x v="0"/>
    <n v="2586806"/>
    <m/>
    <m/>
    <m/>
  </r>
  <r>
    <x v="19"/>
    <x v="3"/>
    <s v="C:\Users\andre\Desktop\REACTIV CEFAS\Testosterone\Testosterone/20201118_Cefas_Test6-Run3/Plate 2/@21/D12_02.tif "/>
    <s v=" 65062.723 "/>
    <s v=" 47.8926 "/>
    <x v="0"/>
    <n v="3116024"/>
    <m/>
    <m/>
    <m/>
  </r>
  <r>
    <x v="19"/>
    <x v="3"/>
    <s v="C:\Users\andre\Desktop\REACTIV CEFAS\Testosterone\Testosterone/20201118_Cefas_Test6-Run3/Plate 2/@21/D12_03.tif "/>
    <s v=" 62575.2852 "/>
    <s v=" 47.514 "/>
    <x v="0"/>
    <n v="2973202"/>
    <m/>
    <m/>
    <m/>
  </r>
  <r>
    <x v="19"/>
    <x v="4"/>
    <s v="C:\Users\andre\Desktop\REACTIV CEFAS\Testosterone\Testosterone/20201118_Cefas_Test6-Run3/Plate 2/@21/E12_01.tif "/>
    <s v=" 28789.3898 "/>
    <s v=" 35.3103 "/>
    <x v="0"/>
    <n v="1016562"/>
    <m/>
    <m/>
    <m/>
  </r>
  <r>
    <x v="19"/>
    <x v="4"/>
    <s v="C:\Users\andre\Desktop\REACTIV CEFAS\Testosterone\Testosterone/20201118_Cefas_Test6-Run3/Plate 2/@21/E12_02.tif "/>
    <s v=" 41637.5472 "/>
    <s v=" 35.8431 "/>
    <x v="0"/>
    <n v="1492419"/>
    <m/>
    <m/>
    <m/>
  </r>
  <r>
    <x v="19"/>
    <x v="4"/>
    <s v="C:\Users\andre\Desktop\REACTIV CEFAS\Testosterone\Testosterone/20201118_Cefas_Test6-Run3/Plate 2/@21/E12_03- exclu.tif"/>
    <m/>
    <m/>
    <x v="1"/>
    <m/>
    <m/>
    <m/>
    <m/>
  </r>
  <r>
    <x v="19"/>
    <x v="5"/>
    <s v="C:\Users\andre\Desktop\REACTIV CEFAS\Testosterone\Testosterone/20201118_Cefas_Test6-Run3/Plate 2/@21/F12_01.tif "/>
    <s v=" 68545.1361 "/>
    <s v=" 52.1335 "/>
    <x v="0"/>
    <n v="3573497"/>
    <m/>
    <m/>
    <m/>
  </r>
  <r>
    <x v="19"/>
    <x v="5"/>
    <s v="C:\Users\andre\Desktop\REACTIV CEFAS\Testosterone\Testosterone/20201118_Cefas_Test6-Run3/Plate 2/@21/F12_02.tif "/>
    <s v=" 64803.1643 "/>
    <s v=" 48.6933 "/>
    <x v="0"/>
    <n v="3155477"/>
    <m/>
    <m/>
    <m/>
  </r>
  <r>
    <x v="19"/>
    <x v="5"/>
    <s v="C:\Users\andre\Desktop\REACTIV CEFAS\Testosterone\Testosterone/20201118_Cefas_Test6-Run3/Plate 2/@21/F12_03.tif "/>
    <s v=" 71270.5028 "/>
    <s v=" 47.8701 "/>
    <x v="0"/>
    <n v="3411727"/>
    <m/>
    <m/>
    <m/>
  </r>
  <r>
    <x v="19"/>
    <x v="6"/>
    <s v="C:\Users\andre\Desktop\REACTIV CEFAS\Testosterone\Testosterone/20201118_Cefas_Test6-Run3/Plate 2/@21/G12_01.tif "/>
    <s v=" 65711.6199 "/>
    <s v=" 45.4411 "/>
    <x v="0"/>
    <n v="2986007"/>
    <m/>
    <m/>
    <m/>
  </r>
  <r>
    <x v="19"/>
    <x v="6"/>
    <s v="C:\Users\andre\Desktop\REACTIV CEFAS\Testosterone\Testosterone/20201118_Cefas_Test6-Run3/Plate 2/@21/G12_02.tif "/>
    <s v=" 74947.5849 "/>
    <s v=" 47.475 "/>
    <x v="0"/>
    <n v="3558139"/>
    <m/>
    <m/>
    <m/>
  </r>
  <r>
    <x v="19"/>
    <x v="6"/>
    <s v="C:\Users\andre\Desktop\REACTIV CEFAS\Testosterone\Testosterone/20201118_Cefas_Test6-Run3/Plate 2/@21/G12_03.tif "/>
    <s v=" 72611.5563 "/>
    <s v=" 44.4281 "/>
    <x v="0"/>
    <n v="3225991"/>
    <m/>
    <m/>
    <m/>
  </r>
  <r>
    <x v="19"/>
    <x v="7"/>
    <s v="C:\Users\andre\Desktop\REACTIV CEFAS\Testosterone\Testosterone/20201118_Cefas_Test6-Run3/Plate 2/@21/H12_01.tif "/>
    <s v=" 54074.7366 "/>
    <s v=" 47.112 "/>
    <x v="0"/>
    <n v="2547569"/>
    <m/>
    <m/>
    <m/>
  </r>
  <r>
    <x v="19"/>
    <x v="7"/>
    <s v="C:\Users\andre\Desktop\REACTIV CEFAS\Testosterone\Testosterone/20201118_Cefas_Test6-Run3/Plate 2/@21/H12_02.tif "/>
    <s v=" 56302.6157 "/>
    <s v=" 45.6135 "/>
    <x v="0"/>
    <n v="2568161"/>
    <m/>
    <m/>
    <m/>
  </r>
  <r>
    <x v="19"/>
    <x v="7"/>
    <s v="C:\Users\andre\Desktop\REACTIV CEFAS\Testosterone\Testosterone/20201118_Cefas_Test6-Run3/Plate 2/@21/H12_03.tif "/>
    <s v=" 57189.4414 "/>
    <s v=" 45.8896 "/>
    <x v="0"/>
    <n v="2624398"/>
    <m/>
    <m/>
    <m/>
  </r>
  <r>
    <x v="1"/>
    <x v="8"/>
    <s v=" "/>
    <m/>
    <m/>
    <x v="1"/>
    <m/>
    <m/>
    <m/>
    <m/>
  </r>
  <r>
    <x v="1"/>
    <x v="8"/>
    <s v="group "/>
    <s v=" "/>
    <s v=" mean of mean fluo "/>
    <x v="2"/>
    <s v=" mean of total fluo "/>
    <s v=" SD total fluo "/>
    <s v=" n fluorescent "/>
    <s v=" n total"/>
  </r>
  <r>
    <x v="19"/>
    <x v="9"/>
    <s v="C:\Users\andre\Desktop\REACTIV CEFAS\Testosterone\Testosterone/20201118_Cefas_Test6-Run3/Plate 2/@21/ "/>
    <s v=" "/>
    <s v=" 47.6224 "/>
    <x v="21"/>
    <s v=" 2822710.25 "/>
    <s v=" 1057879.9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C:\Users\andre\Desktop\REACTIV CEFAS\Testosterone\Testosterone/20201118_Cefas_Test6-Run3/Plate 2/@8/A2_01.tif "/>
    <s v=" 12826.5275 "/>
    <s v=" 39.6796 "/>
    <x v="0"/>
    <n v="508951"/>
    <m/>
    <m/>
    <m/>
  </r>
  <r>
    <x v="20"/>
    <x v="0"/>
    <s v="C:\Users\andre\Desktop\REACTIV CEFAS\Testosterone\Testosterone/20201118_Cefas_Test6-Run3/Plate 2/@8/A2_02.tif "/>
    <s v=" 13324.0151 "/>
    <s v=" 36.1899 "/>
    <x v="0"/>
    <n v="482195"/>
    <m/>
    <m/>
    <m/>
  </r>
  <r>
    <x v="20"/>
    <x v="0"/>
    <s v="C:\Users\andre\Desktop\REACTIV CEFAS\Testosterone\Testosterone/20201118_Cefas_Test6-Run3/Plate 2/@8/A2_03.tif "/>
    <s v=" 12112.741 "/>
    <s v=" 37.05 "/>
    <x v="0"/>
    <n v="448777"/>
    <m/>
    <m/>
    <m/>
  </r>
  <r>
    <x v="20"/>
    <x v="1"/>
    <s v="C:\Users\andre\Desktop\REACTIV CEFAS\Testosterone\Testosterone/20201118_Cefas_Test6-Run3/Plate 2/@8/B2_01.tif "/>
    <s v=" 1881.8008 "/>
    <s v=" 34.069 "/>
    <x v="0"/>
    <n v="64111"/>
    <m/>
    <m/>
    <m/>
  </r>
  <r>
    <x v="20"/>
    <x v="1"/>
    <s v="C:\Users\andre\Desktop\REACTIV CEFAS\Testosterone\Testosterone/20201118_Cefas_Test6-Run3/Plate 2/@8/B2_02.tif "/>
    <s v=" 3287.744 "/>
    <s v=" 33.0132 "/>
    <x v="0"/>
    <n v="108539"/>
    <m/>
    <m/>
    <m/>
  </r>
  <r>
    <x v="20"/>
    <x v="1"/>
    <s v="C:\Users\andre\Desktop\REACTIV CEFAS\Testosterone\Testosterone/20201118_Cefas_Test6-Run3/Plate 2/@8/B2_03.tif "/>
    <s v=" 2855.1461 "/>
    <s v=" 36.0076 "/>
    <x v="0"/>
    <n v="102807"/>
    <m/>
    <m/>
    <m/>
  </r>
  <r>
    <x v="20"/>
    <x v="2"/>
    <s v="C:\Users\andre\Desktop\REACTIV CEFAS\Testosterone\Testosterone/20201118_Cefas_Test6-Run3/Plate 2/@8/C2_01.tif "/>
    <s v=" 3698.712 "/>
    <s v=" 35.8012 "/>
    <x v="0"/>
    <n v="132418"/>
    <m/>
    <m/>
    <m/>
  </r>
  <r>
    <x v="20"/>
    <x v="2"/>
    <s v="C:\Users\andre\Desktop\REACTIV CEFAS\Testosterone\Testosterone/20201118_Cefas_Test6-Run3/Plate 2/@8/C2_02.tif "/>
    <s v=" 5537.253 "/>
    <s v=" 34.5195 "/>
    <x v="0"/>
    <n v="191143"/>
    <m/>
    <m/>
    <m/>
  </r>
  <r>
    <x v="20"/>
    <x v="2"/>
    <s v="C:\Users\andre\Desktop\REACTIV CEFAS\Testosterone\Testosterone/20201118_Cefas_Test6-Run3/Plate 2/@8/C2_03.tif "/>
    <s v=" 3244.4842 "/>
    <s v=" 34.9 "/>
    <x v="0"/>
    <n v="113232"/>
    <m/>
    <m/>
    <m/>
  </r>
  <r>
    <x v="20"/>
    <x v="3"/>
    <s v="C:\Users\andre\Desktop\REACTIV CEFAS\Testosterone\Testosterone/20201118_Cefas_Test6-Run3/Plate 2/@8/D2_01.tif "/>
    <s v=" 5731.9221 "/>
    <n v="35"/>
    <x v="0"/>
    <n v="200617"/>
    <m/>
    <m/>
    <m/>
  </r>
  <r>
    <x v="20"/>
    <x v="3"/>
    <s v="C:\Users\andre\Desktop\REACTIV CEFAS\Testosterone\Testosterone/20201118_Cefas_Test6-Run3/Plate 2/@8/D2_02.tif "/>
    <s v=" 259.5587 "/>
    <s v=" 30.9167 "/>
    <x v="0"/>
    <n v="8025"/>
    <m/>
    <m/>
    <m/>
  </r>
  <r>
    <x v="20"/>
    <x v="3"/>
    <s v="C:\Users\andre\Desktop\REACTIV CEFAS\Testosterone\Testosterone/20201118_Cefas_Test6-Run3/Plate 2/@8/D2_03.tif "/>
    <s v=" 3114.7048 "/>
    <s v=" 34.9722 "/>
    <x v="0"/>
    <n v="108928"/>
    <m/>
    <m/>
    <m/>
  </r>
  <r>
    <x v="20"/>
    <x v="4"/>
    <s v="C:\Users\andre\Desktop\REACTIV CEFAS\Testosterone\Testosterone/20201118_Cefas_Test6-Run3/Plate 2/@8/E2_01.tif "/>
    <s v=" 3785.2316 "/>
    <s v=" 34.4514 "/>
    <x v="0"/>
    <n v="130407"/>
    <m/>
    <m/>
    <m/>
  </r>
  <r>
    <x v="20"/>
    <x v="4"/>
    <s v="C:\Users\andre\Desktop\REACTIV CEFAS\Testosterone\Testosterone/20201118_Cefas_Test6-Run3/Plate 2/@8/E2_02.tif "/>
    <s v=" 1254.5339 "/>
    <s v=" 34.5172 "/>
    <x v="0"/>
    <n v="43303"/>
    <m/>
    <m/>
    <m/>
  </r>
  <r>
    <x v="20"/>
    <x v="4"/>
    <s v="C:\Users\andre\Desktop\REACTIV CEFAS\Testosterone\Testosterone/20201118_Cefas_Test6-Run3/Plate 2/@8/E2_03.tif "/>
    <s v=" 6186.1499 "/>
    <s v=" 35.014 "/>
    <x v="0"/>
    <n v="216602"/>
    <m/>
    <m/>
    <m/>
  </r>
  <r>
    <x v="20"/>
    <x v="5"/>
    <s v="C:\Users\andre\Desktop\REACTIV CEFAS\Testosterone\Testosterone/20201118_Cefas_Test6-Run3/Plate 2/@8/F2_01.tif "/>
    <s v=" 5472.3633 "/>
    <s v=" 40.7115 "/>
    <x v="0"/>
    <n v="222788"/>
    <m/>
    <m/>
    <m/>
  </r>
  <r>
    <x v="20"/>
    <x v="5"/>
    <s v="C:\Users\andre\Desktop\REACTIV CEFAS\Testosterone\Testosterone/20201118_Cefas_Test6-Run3/Plate 2/@8/F2_02.tif "/>
    <s v=" 21.6299 "/>
    <n v="31"/>
    <x v="0"/>
    <n v="671"/>
    <m/>
    <m/>
    <m/>
  </r>
  <r>
    <x v="20"/>
    <x v="5"/>
    <s v="C:\Users\andre\Desktop\REACTIV CEFAS\Testosterone\Testosterone/20201118_Cefas_Test6-Run3/Plate 2/@8/F2_03.tif "/>
    <s v=" 6770.157 "/>
    <s v=" 39.5176 "/>
    <x v="0"/>
    <n v="267540"/>
    <m/>
    <m/>
    <m/>
  </r>
  <r>
    <x v="20"/>
    <x v="6"/>
    <s v="C:\Users\andre\Desktop\REACTIV CEFAS\Testosterone\Testosterone/20201118_Cefas_Test6-Run3/Plate 2/@8/G2_01.tif "/>
    <s v=" 2963.2956 "/>
    <s v=" 35.0292 "/>
    <x v="0"/>
    <n v="103802"/>
    <m/>
    <m/>
    <m/>
  </r>
  <r>
    <x v="20"/>
    <x v="6"/>
    <s v="C:\Users\andre\Desktop\REACTIV CEFAS\Testosterone\Testosterone/20201118_Cefas_Test6-Run3/Plate 2/@8/G2_02.tif "/>
    <s v=" 2682.1069 "/>
    <s v=" 34.7177 "/>
    <x v="0"/>
    <n v="93117"/>
    <m/>
    <m/>
    <m/>
  </r>
  <r>
    <x v="20"/>
    <x v="6"/>
    <s v="C:\Users\andre\Desktop\REACTIV CEFAS\Testosterone\Testosterone/20201118_Cefas_Test6-Run3/Plate 2/@8/G2_03.tif "/>
    <s v=" 4563.9078 "/>
    <s v=" 37.3839 "/>
    <x v="0"/>
    <n v="170617"/>
    <m/>
    <m/>
    <m/>
  </r>
  <r>
    <x v="20"/>
    <x v="7"/>
    <s v="C:\Users\andre\Desktop\REACTIV CEFAS\Testosterone\Testosterone/20201118_Cefas_Test6-Run3/Plate 2/@8/H2_01.tif "/>
    <s v=" 5191.1747 "/>
    <s v=" 36.3875 "/>
    <x v="0"/>
    <n v="188894"/>
    <m/>
    <m/>
    <m/>
  </r>
  <r>
    <x v="20"/>
    <x v="7"/>
    <s v="C:\Users\andre\Desktop\REACTIV CEFAS\Testosterone\Testosterone/20201118_Cefas_Test6-Run3/Plate 2/@8/H2_02.tif "/>
    <s v=" 194.6691 "/>
    <n v="31"/>
    <x v="0"/>
    <n v="6035"/>
    <m/>
    <m/>
    <m/>
  </r>
  <r>
    <x v="20"/>
    <x v="7"/>
    <s v="C:\Users\andre\Desktop\REACTIV CEFAS\Testosterone\Testosterone/20201118_Cefas_Test6-Run3/Plate 2/@8/H2_03.tif "/>
    <s v=" 7786.7621 "/>
    <n v="37"/>
    <x v="0"/>
    <n v="288110"/>
    <m/>
    <m/>
    <m/>
  </r>
  <r>
    <x v="1"/>
    <x v="8"/>
    <s v=" "/>
    <m/>
    <m/>
    <x v="1"/>
    <m/>
    <m/>
    <m/>
    <m/>
  </r>
  <r>
    <x v="1"/>
    <x v="8"/>
    <s v="group "/>
    <s v=" "/>
    <s v=" mean of mean fluo "/>
    <x v="2"/>
    <s v=" mean of total fluo "/>
    <s v=" SD total fluo "/>
    <s v=" n fluorescent "/>
    <s v=" n total"/>
  </r>
  <r>
    <x v="20"/>
    <x v="9"/>
    <s v="C:\Users\andre\Desktop\REACTIV CEFAS\Testosterone\Testosterone/20201118_Cefas_Test6-Run3/Plate 2/@8/ "/>
    <s v=" "/>
    <s v=" 35.3687 "/>
    <x v="22"/>
    <s v=" 175067.875 "/>
    <s v=" 140989.22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C:\Users\andre\Desktop\REACTIV CEFAS\Testosterone\Testosterone/20201118_Cefas_Test6-Run3/Plate 2/@9/A3_01.tif "/>
    <s v=" 23165.6171 "/>
    <s v=" 36.5042 "/>
    <x v="0"/>
    <n v="845642"/>
    <m/>
    <m/>
    <m/>
  </r>
  <r>
    <x v="21"/>
    <x v="0"/>
    <s v="C:\Users\andre\Desktop\REACTIV CEFAS\Testosterone\Testosterone/20201118_Cefas_Test6-Run3/Plate 2/@9/A3_02.tif "/>
    <s v=" 28464.9413 "/>
    <s v=" 35.5175 "/>
    <x v="0"/>
    <n v="1011003"/>
    <m/>
    <m/>
    <m/>
  </r>
  <r>
    <x v="21"/>
    <x v="0"/>
    <s v="C:\Users\andre\Desktop\REACTIV CEFAS\Testosterone\Testosterone/20201118_Cefas_Test6-Run3/Plate 2/@9/A3_03.tif "/>
    <s v=" 29416.6567 "/>
    <s v=" 35.7941 "/>
    <x v="0"/>
    <n v="1052943"/>
    <m/>
    <m/>
    <m/>
  </r>
  <r>
    <x v="21"/>
    <x v="1"/>
    <s v="C:\Users\andre\Desktop\REACTIV CEFAS\Testosterone\Testosterone/20201118_Cefas_Test6-Run3/Plate 2/@9/B3_01.tif "/>
    <s v=" 4628.7975 "/>
    <s v=" 34.6542 "/>
    <x v="0"/>
    <n v="160407"/>
    <m/>
    <m/>
    <m/>
  </r>
  <r>
    <x v="21"/>
    <x v="1"/>
    <s v="C:\Users\andre\Desktop\REACTIV CEFAS\Testosterone\Testosterone/20201118_Cefas_Test6-Run3/Plate 2/@9/B3_02.tif "/>
    <s v=" 2314.3987 "/>
    <s v=" 32.4299 "/>
    <x v="0"/>
    <n v="75056"/>
    <m/>
    <m/>
    <m/>
  </r>
  <r>
    <x v="21"/>
    <x v="1"/>
    <s v="C:\Users\andre\Desktop\REACTIV CEFAS\Testosterone\Testosterone/20201118_Cefas_Test6-Run3/Plate 2/@9/B3_03.tif "/>
    <s v=" 2249.509 "/>
    <s v=" 32.1058 "/>
    <x v="0"/>
    <n v="72222"/>
    <m/>
    <m/>
    <m/>
  </r>
  <r>
    <x v="21"/>
    <x v="2"/>
    <s v="C:\Users\andre\Desktop\REACTIV CEFAS\Testosterone\Testosterone/20201118_Cefas_Test6-Run3/Plate 2/@9/C3_01.tif "/>
    <s v=" 6683.6374 "/>
    <s v=" 33.9709 "/>
    <x v="0"/>
    <n v="227049"/>
    <m/>
    <m/>
    <m/>
  </r>
  <r>
    <x v="21"/>
    <x v="2"/>
    <s v="C:\Users\andre\Desktop\REACTIV CEFAS\Testosterone\Testosterone/20201118_Cefas_Test6-Run3/Plate 2/@9/C3_02.tif "/>
    <s v=" 13042.8265 "/>
    <s v=" 36.9851 "/>
    <x v="0"/>
    <n v="482390"/>
    <m/>
    <m/>
    <m/>
  </r>
  <r>
    <x v="21"/>
    <x v="2"/>
    <s v="C:\Users\andre\Desktop\REACTIV CEFAS\Testosterone\Testosterone/20201118_Cefas_Test6-Run3/Plate 2/@9/C3_03.tif "/>
    <s v=" 8695.2176 "/>
    <s v=" 37.6866 "/>
    <x v="0"/>
    <n v="327693"/>
    <m/>
    <m/>
    <m/>
  </r>
  <r>
    <x v="21"/>
    <x v="3"/>
    <s v="C:\Users\andre\Desktop\REACTIV CEFAS\Testosterone\Testosterone/20201118_Cefas_Test6-Run3/Plate 2/@9/D3_01.tif "/>
    <s v=" 3958.2707 "/>
    <s v=" 35.8415 "/>
    <x v="0"/>
    <n v="141870"/>
    <m/>
    <m/>
    <m/>
  </r>
  <r>
    <x v="21"/>
    <x v="3"/>
    <s v="C:\Users\andre\Desktop\REACTIV CEFAS\Testosterone\Testosterone/20201118_Cefas_Test6-Run3/Plate 2/@9/D3_02.tif "/>
    <s v=" 5775.1819 "/>
    <s v=" 36.2846 "/>
    <x v="0"/>
    <n v="209550"/>
    <m/>
    <m/>
    <m/>
  </r>
  <r>
    <x v="21"/>
    <x v="3"/>
    <s v="C:\Users\andre\Desktop\REACTIV CEFAS\Testosterone\Testosterone/20201118_Cefas_Test6-Run3/Plate 2/@9/D3_03.tif "/>
    <s v=" 7613.7229 "/>
    <s v=" 39.6477 "/>
    <x v="0"/>
    <n v="301867"/>
    <m/>
    <m/>
    <m/>
  </r>
  <r>
    <x v="21"/>
    <x v="4"/>
    <s v="C:\Users\andre\Desktop\REACTIV CEFAS\Testosterone\Testosterone/20201118_Cefas_Test6-Run3/Plate 2/@9/E3_01.tif "/>
    <s v=" 6467.3385 "/>
    <s v=" 37.8729 "/>
    <x v="0"/>
    <n v="244937"/>
    <m/>
    <m/>
    <m/>
  </r>
  <r>
    <x v="21"/>
    <x v="4"/>
    <s v="C:\Users\andre\Desktop\REACTIV CEFAS\Testosterone\Testosterone/20201118_Cefas_Test6-Run3/Plate 2/@9/E3_02.tif "/>
    <s v=" 7310.9044 "/>
    <s v=" 35.9527 "/>
    <x v="0"/>
    <n v="262846"/>
    <m/>
    <m/>
    <m/>
  </r>
  <r>
    <x v="21"/>
    <x v="4"/>
    <s v="C:\Users\andre\Desktop\REACTIV CEFAS\Testosterone\Testosterone/20201118_Cefas_Test6-Run3/Plate 2/@9/E3_03.tif "/>
    <s v=" 8003.061 "/>
    <s v=" 38.4162 "/>
    <x v="0"/>
    <n v="307447"/>
    <m/>
    <m/>
    <m/>
  </r>
  <r>
    <x v="21"/>
    <x v="5"/>
    <s v="C:\Users\andre\Desktop\REACTIV CEFAS\Testosterone\Testosterone/20201118_Cefas_Test6-Run3/Plate 2/@9/F3_01- exclu.tif"/>
    <m/>
    <m/>
    <x v="1"/>
    <m/>
    <m/>
    <m/>
    <m/>
  </r>
  <r>
    <x v="21"/>
    <x v="5"/>
    <s v="C:\Users\andre\Desktop\REACTIV CEFAS\Testosterone\Testosterone/20201118_Cefas_Test6-Run3/Plate 2/@9/F3_02.tif "/>
    <s v=" 8587.0682 "/>
    <s v=" 34.2267 "/>
    <x v="0"/>
    <n v="293907"/>
    <m/>
    <m/>
    <m/>
  </r>
  <r>
    <x v="21"/>
    <x v="5"/>
    <s v="C:\Users\andre\Desktop\REACTIV CEFAS\Testosterone\Testosterone/20201118_Cefas_Test6-Run3/Plate 2/@9/F3_03.tif "/>
    <s v=" 9062.9258 "/>
    <s v=" 40.5179 "/>
    <x v="0"/>
    <n v="367211"/>
    <m/>
    <m/>
    <m/>
  </r>
  <r>
    <x v="21"/>
    <x v="6"/>
    <s v="C:\Users\andre\Desktop\REACTIV CEFAS\Testosterone\Testosterone/20201118_Cefas_Test6-Run3/Plate 2/@9/G3_01.tif "/>
    <s v=" 10230.9402 "/>
    <s v=" 34.9091 "/>
    <x v="0"/>
    <n v="357153"/>
    <m/>
    <m/>
    <m/>
  </r>
  <r>
    <x v="21"/>
    <x v="6"/>
    <s v="C:\Users\andre\Desktop\REACTIV CEFAS\Testosterone\Testosterone/20201118_Cefas_Test6-Run3/Plate 2/@9/G3_02.tif "/>
    <s v=" 6662.0075 "/>
    <s v=" 34.5455 "/>
    <x v="0"/>
    <n v="230142"/>
    <m/>
    <m/>
    <m/>
  </r>
  <r>
    <x v="21"/>
    <x v="6"/>
    <s v="C:\Users\andre\Desktop\REACTIV CEFAS\Testosterone\Testosterone/20201118_Cefas_Test6-Run3/Plate 2/@9/G3_03.tif "/>
    <s v=" 4369.2387 "/>
    <s v=" 32.3267 "/>
    <x v="0"/>
    <n v="141243"/>
    <m/>
    <m/>
    <m/>
  </r>
  <r>
    <x v="21"/>
    <x v="7"/>
    <s v="C:\Users\andre\Desktop\REACTIV CEFAS\Testosterone\Testosterone/20201118_Cefas_Test6-Run3/Plate 2/@9/H3_01.tif "/>
    <s v=" 25371.8664 "/>
    <s v=" 34.9778 "/>
    <x v="0"/>
    <n v="887453"/>
    <m/>
    <m/>
    <m/>
  </r>
  <r>
    <x v="21"/>
    <x v="7"/>
    <s v="C:\Users\andre\Desktop\REACTIV CEFAS\Testosterone\Testosterone/20201118_Cefas_Test6-Run3/Plate 2/@9/H3_02.tif "/>
    <s v=" 19185.7165 "/>
    <s v=" 34.2999 "/>
    <x v="0"/>
    <n v="658068"/>
    <m/>
    <m/>
    <m/>
  </r>
  <r>
    <x v="21"/>
    <x v="7"/>
    <s v="C:\Users\andre\Desktop\REACTIV CEFAS\Testosterone\Testosterone/20201118_Cefas_Test6-Run3/Plate 2/@9/H3_03.tif "/>
    <s v=" 28637.9805 "/>
    <s v=" 39.2878 "/>
    <x v="0"/>
    <n v="1125122"/>
    <m/>
    <m/>
    <m/>
  </r>
  <r>
    <x v="1"/>
    <x v="8"/>
    <s v=" "/>
    <m/>
    <m/>
    <x v="1"/>
    <m/>
    <m/>
    <m/>
    <m/>
  </r>
  <r>
    <x v="1"/>
    <x v="8"/>
    <s v="group "/>
    <s v=" "/>
    <s v=" mean of mean fluo "/>
    <x v="2"/>
    <s v=" mean of total fluo "/>
    <s v=" SD total fluo "/>
    <s v=" n fluorescent "/>
    <s v=" n total"/>
  </r>
  <r>
    <x v="21"/>
    <x v="9"/>
    <s v="C:\Users\andre\Desktop\REACTIV CEFAS\Testosterone\Testosterone/20201118_Cefas_Test6-Run3/Plate 2/@9/ "/>
    <s v=" "/>
    <s v=" 36.1449 "/>
    <x v="23"/>
    <s v=" 435009.542 "/>
    <s v=" 326456.113 "/>
    <n v="24"/>
    <n v="24"/>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n v="3.7"/>
    <s v="µg/L"/>
    <s v="Testo"/>
    <x v="0"/>
  </r>
  <r>
    <x v="9"/>
    <x v="1"/>
    <n v="11"/>
    <s v="µg/L"/>
    <s v="Testo"/>
    <x v="0"/>
  </r>
  <r>
    <x v="10"/>
    <x v="1"/>
    <n v="33"/>
    <s v="µg/L"/>
    <s v="Testo"/>
    <x v="0"/>
  </r>
  <r>
    <x v="11"/>
    <x v="1"/>
    <n v="100"/>
    <s v="µg/L"/>
    <s v="Testo"/>
    <x v="0"/>
  </r>
  <r>
    <x v="12"/>
    <x v="1"/>
    <n v="300"/>
    <s v="µg/L"/>
    <s v="Testo"/>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4"/>
    <x v="0"/>
    <n v="30"/>
    <s v="µg/L"/>
    <s v="Testo "/>
    <x v="0"/>
  </r>
  <r>
    <x v="15"/>
    <x v="0"/>
    <n v="64"/>
    <s v="ng/L"/>
    <s v="Testo 30µg/L + EE2 "/>
    <x v="0"/>
  </r>
  <r>
    <x v="16"/>
    <x v="0"/>
    <n v="10"/>
    <s v="mg/L"/>
    <s v="Testo 30µg/L + FAD"/>
    <x v="0"/>
  </r>
  <r>
    <x v="17"/>
    <x v="2"/>
    <n v="3.7"/>
    <s v="µg/L"/>
    <s v="Testo"/>
    <x v="1"/>
  </r>
  <r>
    <x v="18"/>
    <x v="2"/>
    <n v="11"/>
    <s v="µg/L"/>
    <s v="Testo"/>
    <x v="1"/>
  </r>
  <r>
    <x v="19"/>
    <x v="2"/>
    <n v="33"/>
    <s v="µg/L"/>
    <s v="Testo"/>
    <x v="1"/>
  </r>
  <r>
    <x v="20"/>
    <x v="2"/>
    <n v="100"/>
    <s v="µg/L"/>
    <s v="Testo"/>
    <x v="1"/>
  </r>
  <r>
    <x v="21"/>
    <x v="2"/>
    <n v="300"/>
    <s v="µg/L"/>
    <s v="Testo"/>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0"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4">
        <item m="1" x="22"/>
        <item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1"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2"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11" firstHeaderRow="1" firstDataRow="1" firstDataCol="1" rowPageCount="2" colPageCount="1"/>
  <pivotFields count="6">
    <pivotField axis="axisRow" showAll="0" defaultSubtotal="0">
      <items count="23">
        <item x="22"/>
        <item x="13"/>
        <item x="1"/>
        <item x="2"/>
        <item x="3"/>
        <item x="4"/>
        <item x="5"/>
        <item x="6"/>
        <item x="7"/>
        <item x="15"/>
        <item x="16"/>
        <item x="14"/>
        <item x="0"/>
        <item x="8"/>
        <item x="9"/>
        <item x="10"/>
        <item x="11"/>
        <item x="12"/>
        <item x="17"/>
        <item x="18"/>
        <item x="19"/>
        <item x="20"/>
        <item x="2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v="1"/>
    </i>
    <i>
      <x v="13"/>
    </i>
    <i>
      <x v="14"/>
    </i>
    <i>
      <x v="15"/>
    </i>
    <i>
      <x v="16"/>
    </i>
    <i>
      <x v="17"/>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11" firstHeaderRow="1" firstDataRow="1" firstDataCol="1" rowPageCount="2" colPageCount="1"/>
  <pivotFields count="6">
    <pivotField axis="axisRow" showAll="0" defaultSubtotal="0">
      <items count="23">
        <item x="22"/>
        <item x="13"/>
        <item x="1"/>
        <item x="2"/>
        <item x="3"/>
        <item x="4"/>
        <item x="5"/>
        <item x="6"/>
        <item x="7"/>
        <item x="15"/>
        <item x="16"/>
        <item x="14"/>
        <item x="0"/>
        <item x="8"/>
        <item x="9"/>
        <item x="10"/>
        <item x="11"/>
        <item x="12"/>
        <item x="17"/>
        <item x="18"/>
        <item x="19"/>
        <item x="20"/>
        <item x="2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i>
    <i>
      <x v="18"/>
    </i>
    <i>
      <x v="19"/>
    </i>
    <i>
      <x v="20"/>
    </i>
    <i>
      <x v="21"/>
    </i>
    <i>
      <x v="22"/>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J1557" totalsRowShown="0">
  <autoFilter ref="A1:J1557" xr:uid="{00000000-0009-0000-0100-000004000000}"/>
  <tableColumns count="10">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 id="10" xr3:uid="{75E8C72B-86A1-4EA1-9CE1-520A1D14D141}" name="Colonne1"/>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J1531" totalsRowShown="0">
  <autoFilter ref="A1:J1531" xr:uid="{00000000-0009-0000-0100-000005000000}"/>
  <tableColumns count="10">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 id="10" xr3:uid="{DCD73B1B-DDBE-4C87-8A4F-98FF659D35D4}" name="Colonne1"/>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J1711" totalsRowShown="0">
  <autoFilter ref="A1:J1711" xr:uid="{00000000-0009-0000-0100-000006000000}"/>
  <tableColumns count="10">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 id="10" xr3:uid="{6B8E943C-CA4B-4BCC-8928-536023E54F2F}" name="Colonne1"/>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values'!$B$74:$AK$83,4,FALSE)</calculatedColumnFormula>
    </tableColumn>
    <tableColumn id="6" xr3:uid="{00000000-0010-0000-0600-000006000000}" name="CHG-test ND" dataDxfId="6">
      <calculatedColumnFormula>HLOOKUP(Tableau3[[#This Row],[Nom ND]],'pooled normalised values'!$B$74:$AK$83,8,FALSE)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values'!$B$74:$AK$83,4,FALSE)</calculatedColumnFormula>
    </tableColumn>
    <tableColumn id="11" xr3:uid="{00000000-0010-0000-0600-00000B000000}" name="CHG-test D" dataDxfId="2">
      <calculatedColumnFormula>HLOOKUP(Tableau3[[#This Row],[Nom D]],'pooled normalised values'!$B$74:$AK$83,8,FALSE)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zoomScale="55" zoomScaleNormal="55" workbookViewId="0">
      <selection activeCell="F19" sqref="F19"/>
    </sheetView>
  </sheetViews>
  <sheetFormatPr baseColWidth="10" defaultRowHeight="39" customHeight="1" x14ac:dyDescent="0.35"/>
  <cols>
    <col min="1" max="1" width="42" bestFit="1" customWidth="1"/>
    <col min="2" max="2" width="33.81640625" style="44" bestFit="1" customWidth="1"/>
    <col min="3" max="3" width="21.26953125" customWidth="1"/>
    <col min="4" max="4" width="30.453125" customWidth="1"/>
    <col min="5" max="5" width="62.26953125" style="165" bestFit="1" customWidth="1"/>
    <col min="6" max="6" width="56.7265625" bestFit="1" customWidth="1"/>
    <col min="7" max="7" width="19.453125" customWidth="1"/>
    <col min="8" max="8" width="15.26953125" customWidth="1"/>
    <col min="9" max="9" width="18" customWidth="1"/>
    <col min="10" max="10" width="19.54296875" bestFit="1" customWidth="1"/>
  </cols>
  <sheetData>
    <row r="1" spans="1:9" ht="39" customHeight="1" thickBot="1" x14ac:dyDescent="0.4">
      <c r="A1" s="203" t="s">
        <v>36</v>
      </c>
      <c r="B1" s="204"/>
      <c r="C1" s="204"/>
      <c r="D1" s="204"/>
      <c r="E1" s="204"/>
      <c r="F1" s="204"/>
      <c r="G1" s="204"/>
      <c r="H1" s="204"/>
      <c r="I1" s="205"/>
    </row>
    <row r="2" spans="1:9" ht="21" x14ac:dyDescent="0.5">
      <c r="A2" s="193" t="s">
        <v>17</v>
      </c>
      <c r="B2" s="42" t="s">
        <v>115</v>
      </c>
      <c r="C2" s="206"/>
      <c r="D2" s="207"/>
      <c r="E2" s="42" t="s">
        <v>21</v>
      </c>
      <c r="F2" s="218"/>
      <c r="G2" s="219"/>
      <c r="H2" s="219"/>
      <c r="I2" s="220"/>
    </row>
    <row r="3" spans="1:9" ht="21" x14ac:dyDescent="0.5">
      <c r="A3" s="194" t="s">
        <v>18</v>
      </c>
      <c r="B3" s="43" t="s">
        <v>115</v>
      </c>
      <c r="C3" s="208"/>
      <c r="D3" s="209"/>
      <c r="E3" s="43" t="s">
        <v>21</v>
      </c>
      <c r="F3" s="215"/>
      <c r="G3" s="216"/>
      <c r="H3" s="216"/>
      <c r="I3" s="217"/>
    </row>
    <row r="4" spans="1:9" ht="21.5" thickBot="1" x14ac:dyDescent="0.55000000000000004">
      <c r="A4" s="195" t="s">
        <v>22</v>
      </c>
      <c r="B4" s="183" t="s">
        <v>115</v>
      </c>
      <c r="C4" s="210"/>
      <c r="D4" s="211"/>
      <c r="E4" s="183" t="s">
        <v>21</v>
      </c>
      <c r="F4" s="212"/>
      <c r="G4" s="213"/>
      <c r="H4" s="213"/>
      <c r="I4" s="214"/>
    </row>
    <row r="5" spans="1:9" s="1" customFormat="1" ht="65.25" customHeight="1" thickBot="1" x14ac:dyDescent="0.4">
      <c r="A5" s="203" t="s">
        <v>37</v>
      </c>
      <c r="B5" s="204"/>
      <c r="C5" s="204"/>
      <c r="D5" s="204"/>
      <c r="E5" s="204"/>
      <c r="F5" s="204"/>
      <c r="G5" s="204"/>
      <c r="H5" s="204"/>
      <c r="I5" s="205"/>
    </row>
    <row r="6" spans="1:9" s="113" customFormat="1" ht="39" customHeight="1" x14ac:dyDescent="0.5">
      <c r="A6" s="79" t="s">
        <v>35</v>
      </c>
      <c r="B6" s="104" t="s">
        <v>7</v>
      </c>
      <c r="C6" s="67" t="s">
        <v>19</v>
      </c>
      <c r="D6" s="67" t="s">
        <v>75</v>
      </c>
      <c r="E6" s="162" t="s">
        <v>51</v>
      </c>
      <c r="F6" s="112" t="s">
        <v>78</v>
      </c>
    </row>
    <row r="7" spans="1:9" s="171" customFormat="1" ht="39" customHeight="1" x14ac:dyDescent="0.5">
      <c r="A7"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7" t="s">
        <v>123</v>
      </c>
      <c r="C7" s="168"/>
      <c r="D7" s="169"/>
      <c r="E7" s="170" t="s">
        <v>125</v>
      </c>
      <c r="F7" s="114"/>
    </row>
    <row r="8" spans="1:9" s="171" customFormat="1" ht="39" customHeight="1" x14ac:dyDescent="0.5">
      <c r="A8"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7" t="s">
        <v>123</v>
      </c>
      <c r="C8" s="168">
        <v>22.5</v>
      </c>
      <c r="D8" s="169" t="s">
        <v>124</v>
      </c>
      <c r="E8" s="170" t="s">
        <v>126</v>
      </c>
      <c r="F8" s="114"/>
    </row>
    <row r="9" spans="1:9" s="171" customFormat="1" ht="39" customHeight="1" x14ac:dyDescent="0.5">
      <c r="A9"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7" t="s">
        <v>123</v>
      </c>
      <c r="C9" s="168">
        <v>33.799999999999997</v>
      </c>
      <c r="D9" s="169" t="s">
        <v>124</v>
      </c>
      <c r="E9" s="170" t="s">
        <v>126</v>
      </c>
      <c r="F9" s="114"/>
    </row>
    <row r="10" spans="1:9" s="171" customFormat="1" ht="39" customHeight="1" x14ac:dyDescent="0.5">
      <c r="A10"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7" t="s">
        <v>123</v>
      </c>
      <c r="C10" s="168">
        <v>50.6</v>
      </c>
      <c r="D10" s="169" t="s">
        <v>124</v>
      </c>
      <c r="E10" s="170" t="s">
        <v>126</v>
      </c>
      <c r="F10" s="114"/>
    </row>
    <row r="11" spans="1:9" s="171" customFormat="1" ht="39" customHeight="1" x14ac:dyDescent="0.5">
      <c r="A11"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7" t="s">
        <v>123</v>
      </c>
      <c r="C11" s="168">
        <v>76</v>
      </c>
      <c r="D11" s="169" t="s">
        <v>124</v>
      </c>
      <c r="E11" s="170" t="s">
        <v>126</v>
      </c>
      <c r="F11" s="114"/>
    </row>
    <row r="12" spans="1:9" s="171" customFormat="1" ht="39" customHeight="1" x14ac:dyDescent="0.5">
      <c r="A12"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7" t="s">
        <v>123</v>
      </c>
      <c r="C12" s="168">
        <v>114</v>
      </c>
      <c r="D12" s="169" t="s">
        <v>124</v>
      </c>
      <c r="E12" s="170" t="s">
        <v>126</v>
      </c>
      <c r="F12" s="114"/>
    </row>
    <row r="13" spans="1:9" s="171" customFormat="1" ht="39" customHeight="1" x14ac:dyDescent="0.5">
      <c r="A13"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7" t="s">
        <v>123</v>
      </c>
      <c r="C13" s="168">
        <v>170.9</v>
      </c>
      <c r="D13" s="169" t="s">
        <v>124</v>
      </c>
      <c r="E13" s="170" t="s">
        <v>126</v>
      </c>
      <c r="F13" s="114"/>
    </row>
    <row r="14" spans="1:9" s="171" customFormat="1" ht="39" customHeight="1" x14ac:dyDescent="0.5">
      <c r="A14"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7" t="s">
        <v>123</v>
      </c>
      <c r="C14" s="168">
        <v>488</v>
      </c>
      <c r="D14" s="169" t="s">
        <v>124</v>
      </c>
      <c r="E14" s="170" t="s">
        <v>126</v>
      </c>
      <c r="F14" s="114"/>
    </row>
    <row r="15" spans="1:9" s="171" customFormat="1" ht="39" customHeight="1" x14ac:dyDescent="0.5">
      <c r="A15" s="166" t="s">
        <v>1687</v>
      </c>
      <c r="B15" s="167"/>
      <c r="C15" s="168">
        <v>3.7</v>
      </c>
      <c r="D15" s="169" t="s">
        <v>127</v>
      </c>
      <c r="E15" s="170" t="s">
        <v>1692</v>
      </c>
      <c r="F15" s="114"/>
    </row>
    <row r="16" spans="1:9" s="115" customFormat="1" ht="39" customHeight="1" x14ac:dyDescent="0.35">
      <c r="A16" s="167" t="s">
        <v>1688</v>
      </c>
      <c r="B16" s="40"/>
      <c r="C16" s="168">
        <v>11</v>
      </c>
      <c r="D16" s="169" t="s">
        <v>127</v>
      </c>
      <c r="E16" s="170" t="s">
        <v>1692</v>
      </c>
      <c r="F16" s="114"/>
    </row>
    <row r="17" spans="1:6" s="115" customFormat="1" ht="39" customHeight="1" x14ac:dyDescent="0.35">
      <c r="A17" s="168" t="s">
        <v>1689</v>
      </c>
      <c r="B17" s="105"/>
      <c r="C17" s="168">
        <v>33</v>
      </c>
      <c r="D17" s="169" t="s">
        <v>127</v>
      </c>
      <c r="E17" s="170" t="s">
        <v>1692</v>
      </c>
      <c r="F17" s="114"/>
    </row>
    <row r="18" spans="1:6" s="115" customFormat="1" ht="39" customHeight="1" x14ac:dyDescent="0.35">
      <c r="A18" s="169" t="s">
        <v>1690</v>
      </c>
      <c r="B18" s="40"/>
      <c r="C18" s="168">
        <v>100</v>
      </c>
      <c r="D18" s="169" t="s">
        <v>127</v>
      </c>
      <c r="E18" s="170" t="s">
        <v>1692</v>
      </c>
      <c r="F18" s="114"/>
    </row>
    <row r="19" spans="1:6" s="115" customFormat="1" ht="39" customHeight="1" x14ac:dyDescent="0.35">
      <c r="A19" s="170" t="s">
        <v>1691</v>
      </c>
      <c r="B19" s="105"/>
      <c r="C19" s="168">
        <v>300</v>
      </c>
      <c r="D19" s="169" t="s">
        <v>127</v>
      </c>
      <c r="E19" s="170" t="s">
        <v>1692</v>
      </c>
      <c r="F19" s="114"/>
    </row>
    <row r="20" spans="1:6" s="115" customFormat="1" ht="39" customHeight="1" x14ac:dyDescent="0.35">
      <c r="A20"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68"/>
      <c r="D20" s="109"/>
      <c r="E20" s="40"/>
      <c r="F20" s="114"/>
    </row>
    <row r="21" spans="1:6" s="115" customFormat="1" ht="39" customHeight="1" x14ac:dyDescent="0.35">
      <c r="A21"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5"/>
      <c r="C21" s="168"/>
      <c r="D21" s="109"/>
      <c r="E21" s="105"/>
      <c r="F21" s="114"/>
    </row>
    <row r="22" spans="1:6" s="115" customFormat="1" ht="39" customHeight="1" x14ac:dyDescent="0.35">
      <c r="A22"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68"/>
      <c r="D22" s="109"/>
      <c r="E22" s="40"/>
      <c r="F22" s="114"/>
    </row>
    <row r="23" spans="1:6" s="115" customFormat="1" ht="39" customHeight="1" x14ac:dyDescent="0.35">
      <c r="A23"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5"/>
      <c r="C23" s="168"/>
      <c r="D23" s="109"/>
      <c r="E23" s="105"/>
      <c r="F23" s="114"/>
    </row>
    <row r="24" spans="1:6" s="115" customFormat="1" ht="39" customHeight="1" x14ac:dyDescent="0.35">
      <c r="A24"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68"/>
      <c r="D24" s="109"/>
      <c r="E24" s="40"/>
      <c r="F24" s="114"/>
    </row>
    <row r="25" spans="1:6" s="115" customFormat="1" ht="39" customHeight="1" x14ac:dyDescent="0.35">
      <c r="A25"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5"/>
      <c r="C25" s="168"/>
      <c r="D25" s="109"/>
      <c r="E25" s="105"/>
      <c r="F25" s="114"/>
    </row>
    <row r="26" spans="1:6" s="115" customFormat="1" ht="39" customHeight="1" x14ac:dyDescent="0.35">
      <c r="A26"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68"/>
      <c r="D26" s="109"/>
      <c r="E26" s="40"/>
      <c r="F26" s="114"/>
    </row>
    <row r="27" spans="1:6" s="115" customFormat="1" ht="39" customHeight="1" x14ac:dyDescent="0.35">
      <c r="A27"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5"/>
      <c r="C27" s="168"/>
      <c r="D27" s="109"/>
      <c r="E27" s="105"/>
      <c r="F27" s="114"/>
    </row>
    <row r="28" spans="1:6" s="115" customFormat="1" ht="39" customHeight="1" x14ac:dyDescent="0.35">
      <c r="A28"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68"/>
      <c r="D28" s="109"/>
      <c r="E28" s="40"/>
      <c r="F28" s="114"/>
    </row>
    <row r="29" spans="1:6" s="115" customFormat="1" ht="39" customHeight="1" x14ac:dyDescent="0.35">
      <c r="A29"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5"/>
      <c r="C29" s="168"/>
      <c r="D29" s="109"/>
      <c r="E29" s="105"/>
      <c r="F29" s="114"/>
    </row>
    <row r="30" spans="1:6" s="115" customFormat="1" ht="39" customHeight="1" x14ac:dyDescent="0.35">
      <c r="A30"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68"/>
      <c r="D30" s="118"/>
      <c r="E30" s="40"/>
      <c r="F30" s="114"/>
    </row>
    <row r="31" spans="1:6" s="115" customFormat="1" ht="39" customHeight="1" x14ac:dyDescent="0.35">
      <c r="A31"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5"/>
      <c r="C31" s="168"/>
      <c r="D31" s="118"/>
      <c r="E31" s="105"/>
      <c r="F31" s="114"/>
    </row>
    <row r="32" spans="1:6" s="115" customFormat="1" ht="39" customHeight="1" x14ac:dyDescent="0.35">
      <c r="A32"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68"/>
      <c r="D32" s="118"/>
      <c r="E32" s="40"/>
      <c r="F32" s="114"/>
    </row>
    <row r="33" spans="1:6" s="115" customFormat="1" ht="39" customHeight="1" x14ac:dyDescent="0.35">
      <c r="A33"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5"/>
      <c r="C33" s="168"/>
      <c r="D33" s="118"/>
      <c r="E33" s="105"/>
      <c r="F33" s="114"/>
    </row>
    <row r="34" spans="1:6" s="115" customFormat="1" ht="39" customHeight="1" x14ac:dyDescent="0.35">
      <c r="A34"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68"/>
      <c r="D34" s="118"/>
      <c r="E34" s="40"/>
      <c r="F34" s="114"/>
    </row>
    <row r="35" spans="1:6" s="115" customFormat="1" ht="39" customHeight="1" thickBot="1" x14ac:dyDescent="0.4">
      <c r="A35" s="7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72"/>
      <c r="C35" s="201"/>
      <c r="D35" s="119"/>
      <c r="E35" s="172"/>
      <c r="F35" s="114"/>
    </row>
    <row r="36" spans="1:6" s="115" customFormat="1" ht="39" customHeight="1" x14ac:dyDescent="0.35">
      <c r="A36" s="1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6" t="s">
        <v>123</v>
      </c>
      <c r="C36" s="110">
        <v>30</v>
      </c>
      <c r="D36" s="120" t="s">
        <v>127</v>
      </c>
      <c r="E36" s="163" t="s">
        <v>20</v>
      </c>
      <c r="F36" s="174"/>
    </row>
    <row r="37" spans="1:6" s="115" customFormat="1" ht="39" customHeight="1" x14ac:dyDescent="0.35">
      <c r="A37" s="1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7" t="s">
        <v>123</v>
      </c>
      <c r="C37" s="111">
        <v>64</v>
      </c>
      <c r="D37" s="121" t="s">
        <v>124</v>
      </c>
      <c r="E37" s="164" t="s">
        <v>128</v>
      </c>
      <c r="F37" s="176"/>
    </row>
    <row r="38" spans="1:6" s="115" customFormat="1" ht="39" customHeight="1" thickBot="1" x14ac:dyDescent="0.4">
      <c r="A38" s="1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8" s="178" t="s">
        <v>123</v>
      </c>
      <c r="C38" s="179">
        <v>10</v>
      </c>
      <c r="D38" s="180" t="s">
        <v>129</v>
      </c>
      <c r="E38" s="181" t="s">
        <v>130</v>
      </c>
      <c r="F38" s="182"/>
    </row>
    <row r="39" spans="1:6" s="115" customFormat="1" ht="39" customHeight="1" x14ac:dyDescent="0.35">
      <c r="A39" s="5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Testo-3,7µg/L + Testostérone</v>
      </c>
      <c r="B39" s="196">
        <f>B15</f>
        <v>0</v>
      </c>
      <c r="C39" s="196">
        <f t="shared" ref="C39:E39" si="0">C15</f>
        <v>3.7</v>
      </c>
      <c r="D39" s="196" t="str">
        <f t="shared" si="0"/>
        <v>µg/L</v>
      </c>
      <c r="E39" s="196" t="str">
        <f t="shared" si="0"/>
        <v>Testo</v>
      </c>
      <c r="F39" s="116" t="s">
        <v>50</v>
      </c>
    </row>
    <row r="40" spans="1:6" s="115" customFormat="1" ht="39" customHeight="1" x14ac:dyDescent="0.35">
      <c r="A40"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Testo-11µg/L + Testostérone</v>
      </c>
      <c r="B40" s="198">
        <f t="shared" ref="B40:E40" si="1">B16</f>
        <v>0</v>
      </c>
      <c r="C40" s="198">
        <f t="shared" si="1"/>
        <v>11</v>
      </c>
      <c r="D40" s="198" t="str">
        <f t="shared" si="1"/>
        <v>µg/L</v>
      </c>
      <c r="E40" s="198" t="str">
        <f t="shared" si="1"/>
        <v>Testo</v>
      </c>
      <c r="F40" s="117" t="s">
        <v>50</v>
      </c>
    </row>
    <row r="41" spans="1:6" s="115" customFormat="1" ht="39" customHeight="1" x14ac:dyDescent="0.35">
      <c r="A41"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Testo-33µg/L + Testostérone</v>
      </c>
      <c r="B41" s="198">
        <f t="shared" ref="B41:E41" si="2">B17</f>
        <v>0</v>
      </c>
      <c r="C41" s="198">
        <f t="shared" si="2"/>
        <v>33</v>
      </c>
      <c r="D41" s="198" t="str">
        <f t="shared" si="2"/>
        <v>µg/L</v>
      </c>
      <c r="E41" s="198" t="str">
        <f t="shared" si="2"/>
        <v>Testo</v>
      </c>
      <c r="F41" s="117" t="s">
        <v>50</v>
      </c>
    </row>
    <row r="42" spans="1:6" s="115" customFormat="1" ht="39" customHeight="1" x14ac:dyDescent="0.35">
      <c r="A42"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Testo-100µg/L + Testostérone</v>
      </c>
      <c r="B42" s="198">
        <f t="shared" ref="B42:E42" si="3">B18</f>
        <v>0</v>
      </c>
      <c r="C42" s="198">
        <f t="shared" si="3"/>
        <v>100</v>
      </c>
      <c r="D42" s="198" t="str">
        <f t="shared" si="3"/>
        <v>µg/L</v>
      </c>
      <c r="E42" s="198" t="str">
        <f t="shared" si="3"/>
        <v>Testo</v>
      </c>
      <c r="F42" s="117" t="s">
        <v>50</v>
      </c>
    </row>
    <row r="43" spans="1:6" s="115" customFormat="1" ht="39" customHeight="1" x14ac:dyDescent="0.35">
      <c r="A43"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Testo-300µg/L + Testostérone</v>
      </c>
      <c r="B43" s="198">
        <f t="shared" ref="B43:E43" si="4">B19</f>
        <v>0</v>
      </c>
      <c r="C43" s="198">
        <f t="shared" si="4"/>
        <v>300</v>
      </c>
      <c r="D43" s="198" t="str">
        <f t="shared" si="4"/>
        <v>µg/L</v>
      </c>
      <c r="E43" s="198" t="str">
        <f t="shared" si="4"/>
        <v>Testo</v>
      </c>
      <c r="F43" s="117" t="s">
        <v>50</v>
      </c>
    </row>
    <row r="44" spans="1:6" s="115" customFormat="1" ht="39" customHeight="1" x14ac:dyDescent="0.35">
      <c r="A44"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8">
        <f t="shared" ref="B44:E44" si="5">B20</f>
        <v>0</v>
      </c>
      <c r="C44" s="198">
        <f t="shared" si="5"/>
        <v>0</v>
      </c>
      <c r="D44" s="198">
        <f t="shared" si="5"/>
        <v>0</v>
      </c>
      <c r="E44" s="198">
        <f t="shared" si="5"/>
        <v>0</v>
      </c>
      <c r="F44" s="117" t="s">
        <v>50</v>
      </c>
    </row>
    <row r="45" spans="1:6" s="115" customFormat="1" ht="39" customHeight="1" x14ac:dyDescent="0.35">
      <c r="A45"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8">
        <f t="shared" ref="B45:E45" si="6">B21</f>
        <v>0</v>
      </c>
      <c r="C45" s="198">
        <f t="shared" si="6"/>
        <v>0</v>
      </c>
      <c r="D45" s="198">
        <f t="shared" si="6"/>
        <v>0</v>
      </c>
      <c r="E45" s="198">
        <f t="shared" si="6"/>
        <v>0</v>
      </c>
      <c r="F45" s="117" t="s">
        <v>50</v>
      </c>
    </row>
    <row r="46" spans="1:6" s="115" customFormat="1" ht="39" customHeight="1" x14ac:dyDescent="0.35">
      <c r="A46"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8">
        <f t="shared" ref="B46:E46" si="7">B22</f>
        <v>0</v>
      </c>
      <c r="C46" s="198">
        <f t="shared" si="7"/>
        <v>0</v>
      </c>
      <c r="D46" s="198">
        <f t="shared" si="7"/>
        <v>0</v>
      </c>
      <c r="E46" s="198">
        <f t="shared" si="7"/>
        <v>0</v>
      </c>
      <c r="F46" s="117" t="s">
        <v>50</v>
      </c>
    </row>
    <row r="47" spans="1:6" s="115" customFormat="1" ht="39" customHeight="1" x14ac:dyDescent="0.35">
      <c r="A47"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8">
        <f t="shared" ref="B47:E47" si="8">B23</f>
        <v>0</v>
      </c>
      <c r="C47" s="198">
        <f t="shared" si="8"/>
        <v>0</v>
      </c>
      <c r="D47" s="198">
        <f t="shared" si="8"/>
        <v>0</v>
      </c>
      <c r="E47" s="198">
        <f t="shared" si="8"/>
        <v>0</v>
      </c>
      <c r="F47" s="117" t="s">
        <v>50</v>
      </c>
    </row>
    <row r="48" spans="1:6" s="115" customFormat="1" ht="39" customHeight="1" x14ac:dyDescent="0.35">
      <c r="A48"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8">
        <f t="shared" ref="B48:E48" si="9">B24</f>
        <v>0</v>
      </c>
      <c r="C48" s="198">
        <f t="shared" si="9"/>
        <v>0</v>
      </c>
      <c r="D48" s="198">
        <f t="shared" si="9"/>
        <v>0</v>
      </c>
      <c r="E48" s="198">
        <f t="shared" si="9"/>
        <v>0</v>
      </c>
      <c r="F48" s="117" t="s">
        <v>50</v>
      </c>
    </row>
    <row r="49" spans="1:6" s="115" customFormat="1" ht="39" customHeight="1" x14ac:dyDescent="0.35">
      <c r="A49"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8">
        <f t="shared" ref="B49:E49" si="10">B25</f>
        <v>0</v>
      </c>
      <c r="C49" s="198">
        <f t="shared" si="10"/>
        <v>0</v>
      </c>
      <c r="D49" s="198">
        <f t="shared" si="10"/>
        <v>0</v>
      </c>
      <c r="E49" s="198">
        <f t="shared" si="10"/>
        <v>0</v>
      </c>
      <c r="F49" s="117" t="s">
        <v>50</v>
      </c>
    </row>
    <row r="50" spans="1:6" s="115" customFormat="1" ht="39" customHeight="1" x14ac:dyDescent="0.35">
      <c r="A50"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8">
        <f t="shared" ref="B50:E50" si="11">B26</f>
        <v>0</v>
      </c>
      <c r="C50" s="198">
        <f t="shared" si="11"/>
        <v>0</v>
      </c>
      <c r="D50" s="198">
        <f t="shared" si="11"/>
        <v>0</v>
      </c>
      <c r="E50" s="198">
        <f t="shared" si="11"/>
        <v>0</v>
      </c>
      <c r="F50" s="117" t="s">
        <v>50</v>
      </c>
    </row>
    <row r="51" spans="1:6" s="115" customFormat="1" ht="39" customHeight="1" x14ac:dyDescent="0.35">
      <c r="A51"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8">
        <f t="shared" ref="B51:E51" si="12">B27</f>
        <v>0</v>
      </c>
      <c r="C51" s="198">
        <f t="shared" si="12"/>
        <v>0</v>
      </c>
      <c r="D51" s="198">
        <f t="shared" si="12"/>
        <v>0</v>
      </c>
      <c r="E51" s="198">
        <f t="shared" si="12"/>
        <v>0</v>
      </c>
      <c r="F51" s="117" t="s">
        <v>50</v>
      </c>
    </row>
    <row r="52" spans="1:6" s="115" customFormat="1" ht="39" customHeight="1" x14ac:dyDescent="0.35">
      <c r="A52"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8">
        <f t="shared" ref="B52:E52" si="13">B28</f>
        <v>0</v>
      </c>
      <c r="C52" s="198">
        <f t="shared" si="13"/>
        <v>0</v>
      </c>
      <c r="D52" s="198">
        <f t="shared" si="13"/>
        <v>0</v>
      </c>
      <c r="E52" s="198">
        <f t="shared" si="13"/>
        <v>0</v>
      </c>
      <c r="F52" s="117" t="s">
        <v>50</v>
      </c>
    </row>
    <row r="53" spans="1:6" s="115" customFormat="1" ht="39" customHeight="1" x14ac:dyDescent="0.35">
      <c r="A53"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8">
        <f t="shared" ref="B53:E53" si="14">B29</f>
        <v>0</v>
      </c>
      <c r="C53" s="198">
        <f t="shared" si="14"/>
        <v>0</v>
      </c>
      <c r="D53" s="198">
        <f t="shared" si="14"/>
        <v>0</v>
      </c>
      <c r="E53" s="198">
        <f t="shared" si="14"/>
        <v>0</v>
      </c>
      <c r="F53" s="117" t="s">
        <v>50</v>
      </c>
    </row>
    <row r="54" spans="1:6" s="115" customFormat="1" ht="39" customHeight="1" x14ac:dyDescent="0.35">
      <c r="A54"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8">
        <f t="shared" ref="B54:E54" si="15">B30</f>
        <v>0</v>
      </c>
      <c r="C54" s="198">
        <f t="shared" si="15"/>
        <v>0</v>
      </c>
      <c r="D54" s="198">
        <f t="shared" si="15"/>
        <v>0</v>
      </c>
      <c r="E54" s="198">
        <f t="shared" si="15"/>
        <v>0</v>
      </c>
      <c r="F54" s="117" t="s">
        <v>50</v>
      </c>
    </row>
    <row r="55" spans="1:6" s="115" customFormat="1" ht="39" customHeight="1" x14ac:dyDescent="0.35">
      <c r="A55"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8">
        <f t="shared" ref="B55:E55" si="16">B31</f>
        <v>0</v>
      </c>
      <c r="C55" s="198">
        <f t="shared" si="16"/>
        <v>0</v>
      </c>
      <c r="D55" s="198">
        <f t="shared" si="16"/>
        <v>0</v>
      </c>
      <c r="E55" s="198">
        <f t="shared" si="16"/>
        <v>0</v>
      </c>
      <c r="F55" s="117" t="s">
        <v>50</v>
      </c>
    </row>
    <row r="56" spans="1:6" s="115" customFormat="1" ht="39" customHeight="1" x14ac:dyDescent="0.35">
      <c r="A56"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8">
        <f t="shared" ref="B56:E56" si="17">B32</f>
        <v>0</v>
      </c>
      <c r="C56" s="198">
        <f t="shared" si="17"/>
        <v>0</v>
      </c>
      <c r="D56" s="198">
        <f t="shared" si="17"/>
        <v>0</v>
      </c>
      <c r="E56" s="198">
        <f t="shared" si="17"/>
        <v>0</v>
      </c>
      <c r="F56" s="117" t="s">
        <v>50</v>
      </c>
    </row>
    <row r="57" spans="1:6" s="115" customFormat="1" ht="39" customHeight="1" x14ac:dyDescent="0.35">
      <c r="A57"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8">
        <f t="shared" ref="B57:E57" si="18">B33</f>
        <v>0</v>
      </c>
      <c r="C57" s="198">
        <f t="shared" si="18"/>
        <v>0</v>
      </c>
      <c r="D57" s="198">
        <f t="shared" si="18"/>
        <v>0</v>
      </c>
      <c r="E57" s="198">
        <f t="shared" si="18"/>
        <v>0</v>
      </c>
      <c r="F57" s="117" t="s">
        <v>50</v>
      </c>
    </row>
    <row r="58" spans="1:6" s="115" customFormat="1" ht="39" customHeight="1" x14ac:dyDescent="0.35">
      <c r="A58" s="10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7">
        <f t="shared" ref="B58:E58" si="19">B34</f>
        <v>0</v>
      </c>
      <c r="C58" s="197">
        <f t="shared" si="19"/>
        <v>0</v>
      </c>
      <c r="D58" s="197">
        <f t="shared" si="19"/>
        <v>0</v>
      </c>
      <c r="E58" s="197">
        <f t="shared" si="19"/>
        <v>0</v>
      </c>
      <c r="F58" s="117" t="s">
        <v>50</v>
      </c>
    </row>
  </sheetData>
  <protectedRanges>
    <protectedRange sqref="C20:D38 A20:A52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A19 E7:E38" xr:uid="{E0A8F951-ED76-4488-98E3-F13AD7875916}">
      <formula1>ISERROR(SEARCH("-",A7))=TRUE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4.5" x14ac:dyDescent="0.35"/>
  <cols>
    <col min="1" max="1" width="14.1796875" customWidth="1"/>
    <col min="2" max="2" width="14" customWidth="1"/>
    <col min="3" max="3" width="11.54296875" customWidth="1"/>
    <col min="4" max="4" width="12.453125" customWidth="1"/>
    <col min="5" max="5" width="17.26953125" customWidth="1"/>
    <col min="7" max="7" width="19.54296875" customWidth="1"/>
    <col min="9" max="9" width="15.7265625" customWidth="1"/>
  </cols>
  <sheetData>
    <row r="1" spans="1:9" x14ac:dyDescent="0.35">
      <c r="A1" t="s">
        <v>107</v>
      </c>
      <c r="B1" t="s">
        <v>108</v>
      </c>
      <c r="C1" t="s">
        <v>109</v>
      </c>
      <c r="D1" t="s">
        <v>110</v>
      </c>
      <c r="E1" t="s">
        <v>111</v>
      </c>
      <c r="F1" t="s">
        <v>112</v>
      </c>
      <c r="G1" t="s">
        <v>113</v>
      </c>
      <c r="H1" t="s">
        <v>117</v>
      </c>
      <c r="I1" t="s">
        <v>118</v>
      </c>
    </row>
    <row r="2" spans="1:9" x14ac:dyDescent="0.35">
      <c r="A2" t="s">
        <v>153</v>
      </c>
      <c r="B2" t="s">
        <v>164</v>
      </c>
      <c r="C2" t="s">
        <v>144</v>
      </c>
      <c r="D2" t="s">
        <v>147</v>
      </c>
      <c r="E2" t="s">
        <v>148</v>
      </c>
      <c r="F2" t="s">
        <v>112</v>
      </c>
      <c r="G2">
        <v>360268</v>
      </c>
    </row>
    <row r="3" spans="1:9" x14ac:dyDescent="0.35">
      <c r="A3" t="s">
        <v>153</v>
      </c>
      <c r="B3" t="s">
        <v>164</v>
      </c>
      <c r="C3" t="s">
        <v>145</v>
      </c>
      <c r="D3" t="s">
        <v>149</v>
      </c>
      <c r="E3" t="s">
        <v>150</v>
      </c>
      <c r="F3" t="s">
        <v>112</v>
      </c>
      <c r="G3">
        <v>372315</v>
      </c>
    </row>
    <row r="4" spans="1:9" x14ac:dyDescent="0.35">
      <c r="A4" t="s">
        <v>153</v>
      </c>
      <c r="B4" t="s">
        <v>164</v>
      </c>
      <c r="C4" t="s">
        <v>146</v>
      </c>
      <c r="D4" t="s">
        <v>151</v>
      </c>
      <c r="E4" t="s">
        <v>152</v>
      </c>
      <c r="F4" t="s">
        <v>112</v>
      </c>
      <c r="G4">
        <v>237626</v>
      </c>
    </row>
    <row r="5" spans="1:9" x14ac:dyDescent="0.35">
      <c r="A5" t="s">
        <v>153</v>
      </c>
      <c r="B5" t="s">
        <v>164</v>
      </c>
      <c r="C5" t="s">
        <v>161</v>
      </c>
      <c r="D5" t="s">
        <v>162</v>
      </c>
      <c r="E5" t="s">
        <v>163</v>
      </c>
      <c r="F5" t="s">
        <v>112</v>
      </c>
      <c r="G5">
        <v>1439015</v>
      </c>
    </row>
    <row r="6" spans="1:9" x14ac:dyDescent="0.35">
      <c r="A6" t="s">
        <v>153</v>
      </c>
      <c r="B6" t="s">
        <v>164</v>
      </c>
      <c r="C6" t="s">
        <v>158</v>
      </c>
      <c r="D6" t="s">
        <v>159</v>
      </c>
      <c r="E6" t="s">
        <v>160</v>
      </c>
      <c r="F6" t="s">
        <v>112</v>
      </c>
      <c r="G6">
        <v>1433586</v>
      </c>
    </row>
    <row r="7" spans="1:9" x14ac:dyDescent="0.35">
      <c r="A7" t="s">
        <v>153</v>
      </c>
      <c r="B7" t="s">
        <v>164</v>
      </c>
      <c r="C7" t="s">
        <v>155</v>
      </c>
      <c r="D7" t="s">
        <v>156</v>
      </c>
      <c r="E7" t="s">
        <v>157</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H1" zoomScale="70" zoomScaleNormal="70" workbookViewId="0">
      <selection activeCell="Z5" sqref="Z5:AD12"/>
    </sheetView>
  </sheetViews>
  <sheetFormatPr baseColWidth="10" defaultColWidth="11.453125" defaultRowHeight="14.5" x14ac:dyDescent="0.35"/>
  <cols>
    <col min="1" max="1" width="15" style="1" customWidth="1"/>
    <col min="2" max="2" width="26.54296875" style="1" customWidth="1"/>
    <col min="3" max="3" width="87.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5.453125" style="1" customWidth="1"/>
    <col min="12" max="12" width="15.453125" style="1" customWidth="1"/>
    <col min="13" max="14" width="12.81640625" style="1" customWidth="1"/>
    <col min="15" max="20" width="12.26953125" style="1" customWidth="1"/>
    <col min="21" max="21" width="17.453125" style="1" customWidth="1"/>
    <col min="22" max="25" width="12.26953125" style="1" customWidth="1"/>
    <col min="26" max="27" width="15.54296875" style="1" customWidth="1"/>
    <col min="28" max="28" width="14.26953125" style="1" customWidth="1"/>
    <col min="29" max="16384" width="11.453125" style="1"/>
  </cols>
  <sheetData>
    <row r="1" spans="1:144" x14ac:dyDescent="0.35">
      <c r="A1" s="1" t="s">
        <v>107</v>
      </c>
      <c r="B1" s="1" t="s">
        <v>108</v>
      </c>
      <c r="C1" s="1" t="s">
        <v>109</v>
      </c>
      <c r="D1" s="1" t="s">
        <v>110</v>
      </c>
      <c r="E1" s="1" t="s">
        <v>111</v>
      </c>
      <c r="F1" s="1" t="s">
        <v>112</v>
      </c>
      <c r="G1" s="1" t="s">
        <v>113</v>
      </c>
      <c r="H1" s="1" t="s">
        <v>117</v>
      </c>
      <c r="I1" s="1" t="s">
        <v>118</v>
      </c>
      <c r="J1" s="1" t="s">
        <v>1658</v>
      </c>
      <c r="K1" s="122"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1</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166</v>
      </c>
      <c r="D2" s="1" t="s">
        <v>167</v>
      </c>
      <c r="E2" s="1" t="s">
        <v>168</v>
      </c>
      <c r="F2" s="1" t="s">
        <v>112</v>
      </c>
      <c r="G2" s="1">
        <v>368660</v>
      </c>
      <c r="K2" s="161" t="s">
        <v>120</v>
      </c>
      <c r="L2" s="161"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169</v>
      </c>
      <c r="D3" s="1" t="s">
        <v>170</v>
      </c>
      <c r="E3" s="1" t="s">
        <v>171</v>
      </c>
      <c r="F3" s="1" t="s">
        <v>112</v>
      </c>
      <c r="G3" s="1">
        <v>106808</v>
      </c>
      <c r="K3" s="122" t="s">
        <v>154</v>
      </c>
      <c r="L3" s="122"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1</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172</v>
      </c>
      <c r="D4" s="1" t="s">
        <v>173</v>
      </c>
      <c r="E4" s="1" t="s">
        <v>174</v>
      </c>
      <c r="F4" s="1" t="s">
        <v>112</v>
      </c>
      <c r="G4" s="1">
        <v>154026</v>
      </c>
      <c r="K4" s="122" t="s">
        <v>100</v>
      </c>
      <c r="L4" s="1" t="s">
        <v>1659</v>
      </c>
      <c r="M4" s="1" t="s">
        <v>1660</v>
      </c>
      <c r="N4" s="1" t="s">
        <v>1661</v>
      </c>
      <c r="O4" s="1" t="s">
        <v>1662</v>
      </c>
      <c r="P4" s="1" t="s">
        <v>1663</v>
      </c>
      <c r="Q4" s="1" t="s">
        <v>1664</v>
      </c>
      <c r="R4" s="1" t="s">
        <v>1665</v>
      </c>
      <c r="S4" s="1" t="s">
        <v>1666</v>
      </c>
      <c r="T4" s="1" t="s">
        <v>1667</v>
      </c>
      <c r="U4" s="1" t="s">
        <v>1668</v>
      </c>
      <c r="V4" s="1" t="s">
        <v>1669</v>
      </c>
      <c r="W4" s="1" t="s">
        <v>1670</v>
      </c>
      <c r="X4" s="1" t="s">
        <v>1671</v>
      </c>
      <c r="Y4" s="1" t="s">
        <v>1672</v>
      </c>
      <c r="Z4" s="1" t="s">
        <v>1673</v>
      </c>
      <c r="AA4" s="1" t="s">
        <v>1674</v>
      </c>
      <c r="AB4" s="1" t="s">
        <v>1675</v>
      </c>
      <c r="AC4" s="1" t="s">
        <v>1676</v>
      </c>
      <c r="AD4" s="1" t="s">
        <v>1677</v>
      </c>
      <c r="AE4" s="1" t="s">
        <v>1678</v>
      </c>
      <c r="AF4" s="1" t="s">
        <v>1679</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1</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175</v>
      </c>
      <c r="D5" s="1" t="s">
        <v>176</v>
      </c>
      <c r="E5" s="1" t="s">
        <v>177</v>
      </c>
      <c r="F5" s="1" t="s">
        <v>112</v>
      </c>
      <c r="G5" s="1">
        <v>147646</v>
      </c>
      <c r="K5" s="149" t="s">
        <v>164</v>
      </c>
      <c r="L5" s="44">
        <v>209831.33333333334</v>
      </c>
      <c r="M5" s="44">
        <v>1690989</v>
      </c>
      <c r="N5" s="44">
        <v>69677</v>
      </c>
      <c r="O5" s="44">
        <v>5102852.333333333</v>
      </c>
      <c r="P5" s="44">
        <v>50181.333333333336</v>
      </c>
      <c r="Q5" s="44">
        <v>249277.33333333334</v>
      </c>
      <c r="R5" s="44">
        <v>151596.66666666666</v>
      </c>
      <c r="S5" s="44">
        <v>575607.33333333337</v>
      </c>
      <c r="T5" s="44">
        <v>2841245.6666666665</v>
      </c>
      <c r="U5" s="44">
        <v>3057292</v>
      </c>
      <c r="V5" s="44">
        <v>4148181</v>
      </c>
      <c r="W5" s="44">
        <v>653835.33333333337</v>
      </c>
      <c r="X5" s="44">
        <v>2189414</v>
      </c>
      <c r="Y5" s="44">
        <v>1447905</v>
      </c>
      <c r="Z5" s="44">
        <v>2533415.6666666665</v>
      </c>
      <c r="AA5" s="44">
        <v>2262148.3333333335</v>
      </c>
      <c r="AB5" s="44">
        <v>1298795.6666666667</v>
      </c>
      <c r="AC5" s="44">
        <v>2427724.6666666665</v>
      </c>
      <c r="AD5" s="44">
        <v>3812312</v>
      </c>
      <c r="AE5" s="44">
        <v>73339.666666666672</v>
      </c>
      <c r="AF5" s="44">
        <v>1012502.3333333334</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178</v>
      </c>
      <c r="D6" s="1" t="s">
        <v>179</v>
      </c>
      <c r="E6" s="1" t="s">
        <v>180</v>
      </c>
      <c r="F6" s="1" t="s">
        <v>112</v>
      </c>
      <c r="G6" s="1">
        <v>231159</v>
      </c>
      <c r="K6" s="149" t="s">
        <v>1680</v>
      </c>
      <c r="L6" s="44">
        <v>216753.33333333334</v>
      </c>
      <c r="M6" s="44">
        <v>72424</v>
      </c>
      <c r="N6" s="44">
        <v>67434.666666666672</v>
      </c>
      <c r="O6" s="44">
        <v>4121381.3333333335</v>
      </c>
      <c r="P6" s="44">
        <v>133059.66666666666</v>
      </c>
      <c r="Q6" s="44">
        <v>39035</v>
      </c>
      <c r="R6" s="44">
        <v>98070</v>
      </c>
      <c r="S6" s="44">
        <v>1837502.5</v>
      </c>
      <c r="T6" s="44">
        <v>1625371</v>
      </c>
      <c r="U6" s="44">
        <v>458013.33333333331</v>
      </c>
      <c r="V6" s="44">
        <v>3753572.6666666665</v>
      </c>
      <c r="W6" s="44">
        <v>802743</v>
      </c>
      <c r="X6" s="44">
        <v>420218.66666666669</v>
      </c>
      <c r="Y6" s="44">
        <v>2740551</v>
      </c>
      <c r="Z6" s="44">
        <v>2744538.3333333335</v>
      </c>
      <c r="AA6" s="44">
        <v>1332639.6666666667</v>
      </c>
      <c r="AB6" s="44">
        <v>2069130</v>
      </c>
      <c r="AC6" s="44">
        <v>88070</v>
      </c>
      <c r="AD6" s="44"/>
      <c r="AE6" s="44">
        <v>466621.5</v>
      </c>
      <c r="AF6" s="44">
        <v>247900.33333333334</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181</v>
      </c>
      <c r="D7" s="1" t="s">
        <v>182</v>
      </c>
      <c r="E7" s="1" t="s">
        <v>183</v>
      </c>
      <c r="F7" s="1" t="s">
        <v>112</v>
      </c>
      <c r="G7" s="1">
        <v>271455</v>
      </c>
      <c r="K7" s="149" t="s">
        <v>1681</v>
      </c>
      <c r="L7" s="44">
        <v>419093.66666666669</v>
      </c>
      <c r="M7" s="44">
        <v>1480696</v>
      </c>
      <c r="N7" s="44">
        <v>1772274.3333333333</v>
      </c>
      <c r="O7" s="44">
        <v>3965228.6666666665</v>
      </c>
      <c r="P7" s="44">
        <v>87741.5</v>
      </c>
      <c r="Q7" s="44">
        <v>158482.33333333334</v>
      </c>
      <c r="R7" s="44">
        <v>200970.66666666666</v>
      </c>
      <c r="S7" s="44">
        <v>283315.66666666669</v>
      </c>
      <c r="T7" s="44">
        <v>2885074.6666666665</v>
      </c>
      <c r="U7" s="44">
        <v>3176144.5</v>
      </c>
      <c r="V7" s="44">
        <v>5196171.333333333</v>
      </c>
      <c r="W7" s="44">
        <v>1108928.6666666667</v>
      </c>
      <c r="X7" s="44">
        <v>2273792.3333333335</v>
      </c>
      <c r="Y7" s="44"/>
      <c r="Z7" s="44">
        <v>582688</v>
      </c>
      <c r="AA7" s="44">
        <v>1975480</v>
      </c>
      <c r="AB7" s="44">
        <v>78235</v>
      </c>
      <c r="AC7" s="44">
        <v>2548211</v>
      </c>
      <c r="AD7" s="44">
        <v>3468173.3333333335</v>
      </c>
      <c r="AE7" s="44">
        <v>248621.33333333334</v>
      </c>
      <c r="AF7" s="44">
        <v>265312.33333333331</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184</v>
      </c>
      <c r="D8" s="1" t="s">
        <v>185</v>
      </c>
      <c r="E8" s="1" t="s">
        <v>186</v>
      </c>
      <c r="F8" s="1" t="s">
        <v>112</v>
      </c>
      <c r="G8" s="1">
        <v>623741</v>
      </c>
      <c r="K8" s="149" t="s">
        <v>1682</v>
      </c>
      <c r="L8" s="44">
        <v>213660.33333333334</v>
      </c>
      <c r="M8" s="44">
        <v>1059713.5</v>
      </c>
      <c r="N8" s="44"/>
      <c r="O8" s="44">
        <v>3489421.3333333335</v>
      </c>
      <c r="P8" s="44">
        <v>55019.333333333336</v>
      </c>
      <c r="Q8" s="44">
        <v>170876</v>
      </c>
      <c r="R8" s="44">
        <v>196478.66666666666</v>
      </c>
      <c r="S8" s="44">
        <v>2692467.3333333335</v>
      </c>
      <c r="T8" s="44">
        <v>2233452.3333333335</v>
      </c>
      <c r="U8" s="44">
        <v>3915479.6666666665</v>
      </c>
      <c r="V8" s="44">
        <v>4267585.333333333</v>
      </c>
      <c r="W8" s="44">
        <v>1739930.6666666667</v>
      </c>
      <c r="X8" s="44">
        <v>3698322.6666666665</v>
      </c>
      <c r="Y8" s="44">
        <v>3041877</v>
      </c>
      <c r="Z8" s="44">
        <v>1989135.6666666667</v>
      </c>
      <c r="AA8" s="44">
        <v>2921074</v>
      </c>
      <c r="AB8" s="44">
        <v>375999.66666666669</v>
      </c>
      <c r="AC8" s="44">
        <v>454696.66666666669</v>
      </c>
      <c r="AD8" s="44">
        <v>2352049</v>
      </c>
      <c r="AE8" s="44">
        <v>693368</v>
      </c>
      <c r="AF8" s="44">
        <v>462879.66666666669</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187</v>
      </c>
      <c r="D9" s="1" t="s">
        <v>188</v>
      </c>
      <c r="E9" s="1" t="s">
        <v>189</v>
      </c>
      <c r="F9" s="1" t="s">
        <v>112</v>
      </c>
      <c r="G9" s="1">
        <v>488533</v>
      </c>
      <c r="K9" s="149" t="s">
        <v>1683</v>
      </c>
      <c r="L9" s="44">
        <v>297079.33333333331</v>
      </c>
      <c r="M9" s="44">
        <v>337325.33333333331</v>
      </c>
      <c r="N9" s="44">
        <v>378660.33333333331</v>
      </c>
      <c r="O9" s="44">
        <v>1875780.6666666667</v>
      </c>
      <c r="P9" s="44">
        <v>277677</v>
      </c>
      <c r="Q9" s="44"/>
      <c r="R9" s="44">
        <v>122757</v>
      </c>
      <c r="S9" s="44">
        <v>217106.33333333334</v>
      </c>
      <c r="T9" s="44">
        <v>3019374.6666666665</v>
      </c>
      <c r="U9" s="44">
        <v>4671148.666666667</v>
      </c>
      <c r="V9" s="44">
        <v>4224059</v>
      </c>
      <c r="W9" s="44">
        <v>1908427</v>
      </c>
      <c r="X9" s="44">
        <v>1352654.3333333333</v>
      </c>
      <c r="Y9" s="44">
        <v>1577627</v>
      </c>
      <c r="Z9" s="44">
        <v>120781.33333333333</v>
      </c>
      <c r="AA9" s="44">
        <v>2636504</v>
      </c>
      <c r="AB9" s="44">
        <v>1832268</v>
      </c>
      <c r="AC9" s="44">
        <v>195880.66666666666</v>
      </c>
      <c r="AD9" s="44">
        <v>1029958</v>
      </c>
      <c r="AE9" s="44">
        <v>482866</v>
      </c>
      <c r="AF9" s="44">
        <v>383260</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190</v>
      </c>
      <c r="D10" s="1" t="s">
        <v>191</v>
      </c>
      <c r="E10" s="1" t="s">
        <v>192</v>
      </c>
      <c r="F10" s="1" t="s">
        <v>112</v>
      </c>
      <c r="G10" s="1">
        <v>145007</v>
      </c>
      <c r="K10" s="149" t="s">
        <v>1684</v>
      </c>
      <c r="L10" s="44">
        <v>125057</v>
      </c>
      <c r="M10" s="44">
        <v>2049014</v>
      </c>
      <c r="N10" s="44">
        <v>530365</v>
      </c>
      <c r="O10" s="44">
        <v>2992027.3333333335</v>
      </c>
      <c r="P10" s="44">
        <v>32127.666666666668</v>
      </c>
      <c r="Q10" s="44">
        <v>548231.33333333337</v>
      </c>
      <c r="R10" s="44">
        <v>128229.33333333333</v>
      </c>
      <c r="S10" s="44">
        <v>129245.66666666667</v>
      </c>
      <c r="T10" s="44">
        <v>1470371.3333333333</v>
      </c>
      <c r="U10" s="44">
        <v>3020247</v>
      </c>
      <c r="V10" s="44">
        <v>4025316.3333333335</v>
      </c>
      <c r="W10" s="44">
        <v>272053.66666666669</v>
      </c>
      <c r="X10" s="44">
        <v>3893013.3333333335</v>
      </c>
      <c r="Y10" s="44">
        <v>3377832.3333333335</v>
      </c>
      <c r="Z10" s="44">
        <v>410160.66666666669</v>
      </c>
      <c r="AA10" s="44">
        <v>2718863</v>
      </c>
      <c r="AB10" s="44">
        <v>39453</v>
      </c>
      <c r="AC10" s="44">
        <v>338443</v>
      </c>
      <c r="AD10" s="44">
        <v>1568275.3333333333</v>
      </c>
      <c r="AE10" s="44">
        <v>348306</v>
      </c>
      <c r="AF10" s="44">
        <v>1379154.5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193</v>
      </c>
      <c r="D11" s="1" t="s">
        <v>194</v>
      </c>
      <c r="E11" s="1" t="s">
        <v>195</v>
      </c>
      <c r="F11" s="1" t="s">
        <v>112</v>
      </c>
      <c r="G11" s="1">
        <v>421675</v>
      </c>
      <c r="K11" s="149" t="s">
        <v>1685</v>
      </c>
      <c r="L11" s="44">
        <v>104083.33333333333</v>
      </c>
      <c r="M11" s="44">
        <v>24824</v>
      </c>
      <c r="N11" s="44">
        <v>185483.66666666666</v>
      </c>
      <c r="O11" s="44">
        <v>3668877</v>
      </c>
      <c r="P11" s="44">
        <v>85200</v>
      </c>
      <c r="Q11" s="44">
        <v>184849.33333333334</v>
      </c>
      <c r="R11" s="44">
        <v>666510.66666666663</v>
      </c>
      <c r="S11" s="44">
        <v>1235312.3333333333</v>
      </c>
      <c r="T11" s="44">
        <v>2724429.6666666665</v>
      </c>
      <c r="U11" s="44"/>
      <c r="V11" s="44">
        <v>5225458</v>
      </c>
      <c r="W11" s="44">
        <v>171618.66666666666</v>
      </c>
      <c r="X11" s="44">
        <v>182470</v>
      </c>
      <c r="Y11" s="44">
        <v>2412468.3333333335</v>
      </c>
      <c r="Z11" s="44">
        <v>442944.33333333331</v>
      </c>
      <c r="AA11" s="44">
        <v>1241029.3333333333</v>
      </c>
      <c r="AB11" s="44">
        <v>3218398.6666666665</v>
      </c>
      <c r="AC11" s="44">
        <v>919097.66666666663</v>
      </c>
      <c r="AD11" s="44">
        <v>1886696.3333333333</v>
      </c>
      <c r="AE11" s="44">
        <v>139447.66666666666</v>
      </c>
      <c r="AF11" s="44">
        <v>180631</v>
      </c>
      <c r="AG11"/>
    </row>
    <row r="12" spans="1:144" x14ac:dyDescent="0.35">
      <c r="A12" s="1" t="str">
        <f t="shared" si="0"/>
        <v>1</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196</v>
      </c>
      <c r="D12" s="1" t="s">
        <v>197</v>
      </c>
      <c r="E12" s="1" t="s">
        <v>198</v>
      </c>
      <c r="F12" s="1" t="s">
        <v>112</v>
      </c>
      <c r="G12" s="1">
        <v>203732</v>
      </c>
      <c r="K12" s="149" t="s">
        <v>1686</v>
      </c>
      <c r="L12" s="44">
        <v>83080.333333333328</v>
      </c>
      <c r="M12" s="44">
        <v>484726</v>
      </c>
      <c r="N12" s="44">
        <v>693533.33333333337</v>
      </c>
      <c r="O12" s="44">
        <v>3375410</v>
      </c>
      <c r="P12" s="44">
        <v>197726</v>
      </c>
      <c r="Q12" s="44">
        <v>67319.333333333328</v>
      </c>
      <c r="R12" s="44">
        <v>154502.33333333334</v>
      </c>
      <c r="S12" s="44">
        <v>2268053</v>
      </c>
      <c r="T12" s="44">
        <v>2656165.6666666665</v>
      </c>
      <c r="U12" s="44">
        <v>1460508.3333333333</v>
      </c>
      <c r="V12" s="44">
        <v>3912307.3333333335</v>
      </c>
      <c r="W12" s="44">
        <v>2017788.3333333333</v>
      </c>
      <c r="X12" s="44">
        <v>1695300.3333333333</v>
      </c>
      <c r="Y12" s="44">
        <v>3572350.3333333335</v>
      </c>
      <c r="Z12" s="44">
        <v>961787.66666666663</v>
      </c>
      <c r="AA12" s="44">
        <v>296481</v>
      </c>
      <c r="AB12" s="44">
        <v>488208.33333333331</v>
      </c>
      <c r="AC12" s="44">
        <v>2417097.5</v>
      </c>
      <c r="AD12" s="44">
        <v>102417.66666666667</v>
      </c>
      <c r="AE12" s="44">
        <v>48797</v>
      </c>
      <c r="AF12" s="44">
        <v>346136</v>
      </c>
      <c r="AG12"/>
    </row>
    <row r="13" spans="1:144" x14ac:dyDescent="0.35">
      <c r="A13" s="1" t="str">
        <f t="shared" si="0"/>
        <v>1</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199</v>
      </c>
      <c r="D13" s="1" t="s">
        <v>200</v>
      </c>
      <c r="E13" s="1" t="s">
        <v>201</v>
      </c>
      <c r="F13" s="1" t="s">
        <v>112</v>
      </c>
      <c r="G13" s="1">
        <v>15574</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202</v>
      </c>
      <c r="D14" s="1" t="s">
        <v>203</v>
      </c>
      <c r="E14" s="1" t="s">
        <v>204</v>
      </c>
      <c r="F14" s="1" t="s">
        <v>112</v>
      </c>
      <c r="G14" s="1">
        <v>277641</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205</v>
      </c>
      <c r="D15" s="1" t="s">
        <v>206</v>
      </c>
      <c r="E15" s="1" t="s">
        <v>207</v>
      </c>
      <c r="F15" s="1" t="s">
        <v>112</v>
      </c>
      <c r="G15" s="1">
        <v>245456</v>
      </c>
    </row>
    <row r="16" spans="1:144" x14ac:dyDescent="0.35">
      <c r="A16" s="1" t="str">
        <f t="shared" si="0"/>
        <v>1</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208</v>
      </c>
      <c r="D16" s="1" t="s">
        <v>209</v>
      </c>
      <c r="E16" s="1" t="s">
        <v>210</v>
      </c>
      <c r="F16" s="1" t="s">
        <v>112</v>
      </c>
      <c r="G16" s="1">
        <v>368141</v>
      </c>
      <c r="M16"/>
      <c r="N16"/>
      <c r="O16"/>
      <c r="P16"/>
      <c r="Q16"/>
      <c r="R16"/>
      <c r="S16"/>
      <c r="T16"/>
      <c r="U16"/>
      <c r="V16"/>
      <c r="W16"/>
      <c r="X16"/>
      <c r="Y16"/>
      <c r="Z16"/>
      <c r="AA16"/>
      <c r="AB16"/>
      <c r="AC16"/>
      <c r="AD16"/>
      <c r="AE16"/>
      <c r="AF16"/>
      <c r="AG16"/>
      <c r="AH16"/>
    </row>
    <row r="17" spans="1:34" x14ac:dyDescent="0.35">
      <c r="A17" s="1" t="str">
        <f t="shared" si="0"/>
        <v>1</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211</v>
      </c>
      <c r="D17" s="1" t="s">
        <v>212</v>
      </c>
      <c r="E17" s="1" t="s">
        <v>213</v>
      </c>
      <c r="F17" s="1" t="s">
        <v>112</v>
      </c>
      <c r="G17" s="1">
        <v>182232</v>
      </c>
      <c r="M17"/>
      <c r="N17"/>
      <c r="O17"/>
      <c r="P17"/>
      <c r="Q17"/>
      <c r="R17"/>
      <c r="S17"/>
      <c r="T17"/>
      <c r="U17"/>
      <c r="V17"/>
      <c r="W17"/>
      <c r="X17"/>
      <c r="Y17"/>
      <c r="Z17"/>
      <c r="AA17"/>
      <c r="AB17"/>
      <c r="AC17"/>
      <c r="AD17"/>
      <c r="AE17"/>
      <c r="AF17"/>
      <c r="AG17"/>
      <c r="AH17"/>
    </row>
    <row r="18" spans="1:34" x14ac:dyDescent="0.35">
      <c r="A18" s="1" t="str">
        <f t="shared" si="0"/>
        <v>1</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214</v>
      </c>
      <c r="D18" s="1" t="s">
        <v>215</v>
      </c>
      <c r="E18" s="1" t="s">
        <v>216</v>
      </c>
      <c r="F18" s="1" t="s">
        <v>112</v>
      </c>
      <c r="G18" s="1">
        <v>103586</v>
      </c>
      <c r="M18"/>
      <c r="N18"/>
      <c r="O18"/>
      <c r="P18"/>
      <c r="Q18"/>
      <c r="R18"/>
      <c r="S18"/>
      <c r="T18"/>
      <c r="U18"/>
      <c r="V18"/>
      <c r="W18"/>
      <c r="X18"/>
      <c r="Y18"/>
      <c r="Z18"/>
      <c r="AA18"/>
      <c r="AB18"/>
      <c r="AC18"/>
      <c r="AD18"/>
      <c r="AE18"/>
      <c r="AF18"/>
      <c r="AG18"/>
      <c r="AH18"/>
    </row>
    <row r="19" spans="1:34" x14ac:dyDescent="0.35">
      <c r="A19" s="1" t="str">
        <f t="shared" si="0"/>
        <v>1</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217</v>
      </c>
      <c r="D19" s="1" t="s">
        <v>218</v>
      </c>
      <c r="E19" s="1" t="s">
        <v>219</v>
      </c>
      <c r="F19" s="1" t="s">
        <v>112</v>
      </c>
      <c r="G19" s="1">
        <v>89353</v>
      </c>
      <c r="K19"/>
      <c r="L19"/>
      <c r="M19"/>
      <c r="N19"/>
      <c r="O19"/>
      <c r="P19"/>
      <c r="Q19"/>
      <c r="R19"/>
      <c r="S19"/>
      <c r="T19"/>
      <c r="U19"/>
      <c r="V19"/>
      <c r="W19"/>
      <c r="X19"/>
      <c r="Y19"/>
      <c r="Z19"/>
      <c r="AA19"/>
      <c r="AB19"/>
      <c r="AC19"/>
      <c r="AD19"/>
      <c r="AE19"/>
      <c r="AF19"/>
      <c r="AG19"/>
      <c r="AH19"/>
    </row>
    <row r="20" spans="1:34" x14ac:dyDescent="0.35">
      <c r="A20" s="1" t="str">
        <f t="shared" si="0"/>
        <v>1</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220</v>
      </c>
      <c r="D20" s="1" t="s">
        <v>221</v>
      </c>
      <c r="E20" s="1" t="s">
        <v>222</v>
      </c>
      <c r="F20" s="1" t="s">
        <v>112</v>
      </c>
      <c r="G20" s="1">
        <v>163414</v>
      </c>
      <c r="K20"/>
      <c r="L20"/>
      <c r="M20"/>
      <c r="N20"/>
      <c r="O20"/>
      <c r="P20"/>
      <c r="Q20"/>
      <c r="R20"/>
      <c r="S20"/>
      <c r="T20"/>
      <c r="U20"/>
      <c r="V20"/>
      <c r="W20"/>
      <c r="X20"/>
      <c r="Y20"/>
      <c r="Z20"/>
      <c r="AA20"/>
      <c r="AB20"/>
      <c r="AC20"/>
      <c r="AD20"/>
      <c r="AE20"/>
      <c r="AF20"/>
      <c r="AG20"/>
      <c r="AH20"/>
    </row>
    <row r="21" spans="1:34" x14ac:dyDescent="0.35">
      <c r="A21" s="1" t="str">
        <f t="shared" si="0"/>
        <v>1</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223</v>
      </c>
      <c r="D21" s="1" t="s">
        <v>224</v>
      </c>
      <c r="E21" s="1" t="s">
        <v>225</v>
      </c>
      <c r="F21" s="1" t="s">
        <v>112</v>
      </c>
      <c r="G21" s="1">
        <v>147538</v>
      </c>
      <c r="K21"/>
      <c r="L21"/>
      <c r="M21"/>
      <c r="N21"/>
      <c r="O21"/>
      <c r="P21"/>
      <c r="Q21"/>
      <c r="R21"/>
      <c r="S21"/>
      <c r="T21"/>
      <c r="U21"/>
      <c r="V21"/>
      <c r="W21"/>
      <c r="X21"/>
      <c r="Y21"/>
      <c r="Z21"/>
      <c r="AA21"/>
      <c r="AB21"/>
      <c r="AC21"/>
      <c r="AD21"/>
      <c r="AE21"/>
      <c r="AF21"/>
      <c r="AG21"/>
      <c r="AH21"/>
    </row>
    <row r="22" spans="1:34" x14ac:dyDescent="0.35">
      <c r="A22" s="1" t="str">
        <f t="shared" si="0"/>
        <v>1</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226</v>
      </c>
      <c r="D22" s="1" t="s">
        <v>227</v>
      </c>
      <c r="E22" s="1">
        <v>30</v>
      </c>
      <c r="F22" s="1" t="s">
        <v>112</v>
      </c>
      <c r="G22" s="1">
        <v>1298</v>
      </c>
      <c r="K22"/>
      <c r="L22"/>
      <c r="M22"/>
      <c r="N22"/>
      <c r="O22"/>
      <c r="P22"/>
      <c r="Q22"/>
      <c r="R22"/>
      <c r="S22"/>
      <c r="T22"/>
      <c r="U22"/>
      <c r="V22"/>
      <c r="W22"/>
      <c r="X22"/>
      <c r="Y22"/>
      <c r="Z22"/>
      <c r="AA22"/>
      <c r="AB22"/>
      <c r="AC22"/>
      <c r="AD22"/>
      <c r="AE22"/>
      <c r="AF22"/>
      <c r="AG22"/>
      <c r="AH22"/>
    </row>
    <row r="23" spans="1:34" x14ac:dyDescent="0.35">
      <c r="A23" s="1" t="str">
        <f t="shared" si="0"/>
        <v>1</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228</v>
      </c>
      <c r="D23" s="1" t="s">
        <v>229</v>
      </c>
      <c r="E23" s="1" t="s">
        <v>230</v>
      </c>
      <c r="F23" s="1" t="s">
        <v>112</v>
      </c>
      <c r="G23" s="1">
        <v>36922</v>
      </c>
      <c r="K23"/>
      <c r="L23"/>
      <c r="M23"/>
      <c r="N23"/>
      <c r="O23"/>
      <c r="P23"/>
      <c r="Q23"/>
      <c r="R23"/>
      <c r="S23"/>
      <c r="T23"/>
      <c r="U23"/>
      <c r="V23"/>
      <c r="W23"/>
      <c r="X23"/>
      <c r="Y23"/>
      <c r="Z23"/>
      <c r="AA23"/>
      <c r="AB23"/>
      <c r="AC23"/>
      <c r="AD23"/>
      <c r="AE23"/>
      <c r="AF23"/>
      <c r="AG23"/>
      <c r="AH23"/>
    </row>
    <row r="24" spans="1:34" x14ac:dyDescent="0.35">
      <c r="A24" s="1" t="str">
        <f t="shared" si="0"/>
        <v>1</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231</v>
      </c>
      <c r="D24" s="1" t="s">
        <v>232</v>
      </c>
      <c r="E24" s="1" t="s">
        <v>233</v>
      </c>
      <c r="F24" s="1" t="s">
        <v>112</v>
      </c>
      <c r="G24" s="1">
        <v>111221</v>
      </c>
      <c r="K24"/>
      <c r="L24"/>
      <c r="M24"/>
      <c r="N24"/>
      <c r="O24"/>
      <c r="P24"/>
      <c r="Q24"/>
      <c r="R24"/>
      <c r="S24"/>
      <c r="T24"/>
      <c r="U24"/>
      <c r="V24"/>
      <c r="W24"/>
      <c r="X24"/>
      <c r="Y24"/>
      <c r="Z24"/>
      <c r="AA24"/>
      <c r="AB24"/>
      <c r="AC24"/>
      <c r="AD24"/>
      <c r="AE24"/>
      <c r="AF24"/>
      <c r="AG24"/>
      <c r="AH24"/>
    </row>
    <row r="25" spans="1:34" x14ac:dyDescent="0.35">
      <c r="A25" s="1" t="str">
        <f t="shared" si="0"/>
        <v>1</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234</v>
      </c>
      <c r="D25" s="1" t="s">
        <v>235</v>
      </c>
      <c r="E25" s="1" t="s">
        <v>236</v>
      </c>
      <c r="F25" s="1" t="s">
        <v>112</v>
      </c>
      <c r="G25" s="1">
        <v>101098</v>
      </c>
      <c r="K25"/>
      <c r="L25"/>
      <c r="M25"/>
      <c r="N25"/>
      <c r="O25"/>
      <c r="P25"/>
      <c r="Q25"/>
      <c r="R25"/>
      <c r="S25"/>
      <c r="T25"/>
      <c r="U25"/>
      <c r="V25"/>
      <c r="W25"/>
      <c r="X25"/>
      <c r="Y25"/>
      <c r="Z25"/>
      <c r="AA25"/>
      <c r="AB25"/>
      <c r="AC25"/>
      <c r="AD25"/>
      <c r="AE25"/>
      <c r="AF25"/>
      <c r="AG25"/>
      <c r="AH25"/>
    </row>
    <row r="26" spans="1:34" x14ac:dyDescent="0.3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112</v>
      </c>
      <c r="K26"/>
      <c r="L26"/>
      <c r="M26"/>
      <c r="N26"/>
      <c r="O26"/>
      <c r="P26"/>
      <c r="Q26"/>
      <c r="R26"/>
      <c r="S26"/>
      <c r="T26"/>
      <c r="U26"/>
      <c r="V26"/>
      <c r="W26"/>
      <c r="X26"/>
      <c r="Y26"/>
      <c r="Z26"/>
      <c r="AA26"/>
      <c r="AB26"/>
      <c r="AC26"/>
      <c r="AD26"/>
      <c r="AE26"/>
      <c r="AF26"/>
      <c r="AG26"/>
      <c r="AH26"/>
    </row>
    <row r="27" spans="1:34" x14ac:dyDescent="0.3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237</v>
      </c>
      <c r="D27" s="1" t="s">
        <v>112</v>
      </c>
      <c r="E27" s="1" t="s">
        <v>238</v>
      </c>
      <c r="F27" s="1" t="s">
        <v>239</v>
      </c>
      <c r="G27" s="1" t="s">
        <v>240</v>
      </c>
      <c r="H27" s="1" t="s">
        <v>241</v>
      </c>
      <c r="I27" s="1" t="s">
        <v>242</v>
      </c>
      <c r="J27" s="1" t="s">
        <v>243</v>
      </c>
      <c r="K27"/>
      <c r="L27"/>
      <c r="M27"/>
      <c r="N27"/>
      <c r="O27"/>
      <c r="P27"/>
      <c r="Q27"/>
      <c r="R27"/>
      <c r="S27"/>
      <c r="T27"/>
      <c r="U27"/>
      <c r="V27"/>
      <c r="W27"/>
      <c r="X27"/>
      <c r="Y27"/>
      <c r="Z27"/>
      <c r="AA27"/>
      <c r="AB27"/>
      <c r="AC27"/>
      <c r="AD27"/>
      <c r="AE27"/>
      <c r="AF27"/>
      <c r="AG27"/>
      <c r="AH27"/>
    </row>
    <row r="28" spans="1:34" x14ac:dyDescent="0.35">
      <c r="A28" s="1" t="str">
        <f t="shared" si="0"/>
        <v>1</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244</v>
      </c>
      <c r="D28" s="1" t="s">
        <v>112</v>
      </c>
      <c r="E28" s="1" t="s">
        <v>245</v>
      </c>
      <c r="F28" s="1" t="s">
        <v>246</v>
      </c>
      <c r="G28" s="1" t="s">
        <v>247</v>
      </c>
      <c r="H28" s="1" t="s">
        <v>248</v>
      </c>
      <c r="I28" s="1">
        <v>24</v>
      </c>
      <c r="J28" s="1">
        <v>24</v>
      </c>
      <c r="K28"/>
      <c r="L28"/>
      <c r="M28"/>
      <c r="N28"/>
      <c r="O28"/>
      <c r="P28"/>
      <c r="Q28"/>
      <c r="R28"/>
      <c r="S28"/>
      <c r="T28"/>
      <c r="U28"/>
      <c r="V28"/>
      <c r="W28"/>
      <c r="X28"/>
      <c r="Y28"/>
      <c r="Z28"/>
      <c r="AA28"/>
      <c r="AB28"/>
      <c r="AC28"/>
      <c r="AD28"/>
      <c r="AE28"/>
      <c r="AF28"/>
      <c r="AG28"/>
      <c r="AH28"/>
    </row>
    <row r="29" spans="1:34" x14ac:dyDescent="0.3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112</v>
      </c>
      <c r="K29"/>
      <c r="L29"/>
      <c r="M29"/>
      <c r="N29"/>
      <c r="O29"/>
      <c r="P29"/>
      <c r="Q29"/>
      <c r="R29"/>
      <c r="S29"/>
      <c r="T29"/>
      <c r="U29"/>
      <c r="V29"/>
      <c r="W29"/>
      <c r="X29"/>
      <c r="Y29"/>
      <c r="Z29"/>
      <c r="AA29"/>
      <c r="AB29"/>
      <c r="AC29"/>
      <c r="AD29"/>
      <c r="AE29"/>
      <c r="AF29"/>
      <c r="AG29"/>
      <c r="AH29"/>
    </row>
    <row r="30" spans="1:34" x14ac:dyDescent="0.3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3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3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3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3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249</v>
      </c>
      <c r="D34" s="1" t="s">
        <v>110</v>
      </c>
      <c r="E34" s="1" t="s">
        <v>111</v>
      </c>
      <c r="F34" s="1" t="s">
        <v>112</v>
      </c>
      <c r="G34" s="1" t="s">
        <v>113</v>
      </c>
      <c r="K34"/>
      <c r="L34"/>
      <c r="M34"/>
      <c r="N34"/>
      <c r="O34"/>
      <c r="P34"/>
      <c r="Q34"/>
      <c r="R34"/>
      <c r="S34"/>
      <c r="T34"/>
      <c r="U34"/>
      <c r="V34"/>
      <c r="W34"/>
      <c r="X34"/>
      <c r="Y34"/>
      <c r="Z34"/>
      <c r="AA34"/>
      <c r="AB34"/>
      <c r="AC34"/>
      <c r="AD34"/>
      <c r="AE34"/>
      <c r="AF34"/>
      <c r="AG34"/>
      <c r="AH34"/>
    </row>
    <row r="35" spans="1:34" x14ac:dyDescent="0.35">
      <c r="A35" s="1" t="str">
        <f t="shared" si="0"/>
        <v>13</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250</v>
      </c>
      <c r="D35" s="1" t="s">
        <v>251</v>
      </c>
      <c r="E35" s="1" t="s">
        <v>252</v>
      </c>
      <c r="F35" s="1" t="s">
        <v>112</v>
      </c>
      <c r="G35" s="1">
        <v>2020059</v>
      </c>
      <c r="K35"/>
      <c r="L35"/>
      <c r="M35"/>
      <c r="N35"/>
      <c r="O35"/>
      <c r="P35"/>
      <c r="Q35"/>
      <c r="R35"/>
      <c r="S35"/>
      <c r="T35"/>
      <c r="U35"/>
      <c r="V35"/>
      <c r="W35"/>
      <c r="X35"/>
      <c r="Y35"/>
      <c r="Z35"/>
      <c r="AA35"/>
      <c r="AB35"/>
      <c r="AC35"/>
      <c r="AD35"/>
      <c r="AE35"/>
      <c r="AF35"/>
      <c r="AG35"/>
      <c r="AH35"/>
    </row>
    <row r="36" spans="1:34" x14ac:dyDescent="0.35">
      <c r="A36" s="1" t="str">
        <f t="shared" si="0"/>
        <v>13</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253</v>
      </c>
      <c r="D36" s="1" t="s">
        <v>254</v>
      </c>
      <c r="E36" s="1" t="s">
        <v>255</v>
      </c>
      <c r="F36" s="1" t="s">
        <v>112</v>
      </c>
      <c r="G36" s="1">
        <v>1357103</v>
      </c>
      <c r="K36"/>
      <c r="L36"/>
      <c r="M36"/>
      <c r="N36"/>
      <c r="O36"/>
      <c r="P36"/>
      <c r="Q36"/>
      <c r="R36"/>
      <c r="S36"/>
      <c r="T36"/>
      <c r="U36"/>
      <c r="V36"/>
      <c r="W36"/>
      <c r="X36"/>
      <c r="Y36"/>
      <c r="Z36"/>
      <c r="AA36"/>
      <c r="AB36"/>
      <c r="AC36"/>
      <c r="AD36"/>
      <c r="AE36"/>
      <c r="AF36"/>
      <c r="AG36"/>
      <c r="AH36"/>
    </row>
    <row r="37" spans="1:34" x14ac:dyDescent="0.35">
      <c r="A37" s="1" t="str">
        <f t="shared" si="0"/>
        <v>13</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256</v>
      </c>
      <c r="D37" s="1" t="s">
        <v>257</v>
      </c>
      <c r="E37" s="1" t="s">
        <v>258</v>
      </c>
      <c r="F37" s="1" t="s">
        <v>112</v>
      </c>
      <c r="G37" s="1">
        <v>1695805</v>
      </c>
      <c r="K37"/>
      <c r="L37"/>
      <c r="M37"/>
      <c r="N37"/>
      <c r="O37"/>
      <c r="P37"/>
      <c r="Q37"/>
      <c r="R37"/>
      <c r="S37"/>
      <c r="T37"/>
      <c r="U37"/>
      <c r="V37"/>
      <c r="W37"/>
      <c r="X37"/>
      <c r="Y37"/>
      <c r="Z37"/>
      <c r="AA37"/>
      <c r="AB37"/>
      <c r="AC37"/>
      <c r="AD37"/>
      <c r="AE37"/>
      <c r="AF37"/>
      <c r="AG37"/>
      <c r="AH37"/>
    </row>
    <row r="38" spans="1:34" x14ac:dyDescent="0.35">
      <c r="A38" s="1" t="str">
        <f t="shared" si="0"/>
        <v>13</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259</v>
      </c>
      <c r="D38" s="1" t="s">
        <v>260</v>
      </c>
      <c r="E38" s="1" t="s">
        <v>261</v>
      </c>
      <c r="F38" s="1" t="s">
        <v>112</v>
      </c>
      <c r="G38" s="1">
        <v>31536</v>
      </c>
      <c r="K38"/>
      <c r="L38"/>
      <c r="M38"/>
      <c r="N38"/>
      <c r="O38"/>
      <c r="P38"/>
      <c r="Q38"/>
      <c r="R38"/>
      <c r="S38"/>
      <c r="T38"/>
      <c r="U38"/>
      <c r="V38"/>
      <c r="W38"/>
      <c r="X38"/>
      <c r="Y38"/>
      <c r="Z38"/>
      <c r="AA38"/>
      <c r="AB38"/>
      <c r="AC38"/>
      <c r="AD38"/>
      <c r="AE38"/>
      <c r="AF38"/>
      <c r="AG38"/>
      <c r="AH38"/>
    </row>
    <row r="39" spans="1:34" x14ac:dyDescent="0.35">
      <c r="A39" s="1" t="str">
        <f t="shared" si="0"/>
        <v>13</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262</v>
      </c>
      <c r="D39" s="1" t="s">
        <v>263</v>
      </c>
      <c r="E39" s="1" t="s">
        <v>264</v>
      </c>
      <c r="F39" s="1" t="s">
        <v>112</v>
      </c>
      <c r="G39" s="1">
        <v>44406</v>
      </c>
    </row>
    <row r="40" spans="1:34" x14ac:dyDescent="0.35">
      <c r="A40" s="1" t="str">
        <f t="shared" si="0"/>
        <v>13</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265</v>
      </c>
      <c r="D40" s="1" t="s">
        <v>266</v>
      </c>
      <c r="E40" s="1" t="s">
        <v>267</v>
      </c>
      <c r="F40" s="1" t="s">
        <v>112</v>
      </c>
      <c r="G40" s="1">
        <v>141330</v>
      </c>
    </row>
    <row r="41" spans="1:34" x14ac:dyDescent="0.35">
      <c r="A41" s="1" t="str">
        <f t="shared" si="0"/>
        <v>13</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268</v>
      </c>
      <c r="D41" s="1" t="s">
        <v>269</v>
      </c>
      <c r="E41" s="1" t="s">
        <v>270</v>
      </c>
      <c r="F41" s="1" t="s">
        <v>112</v>
      </c>
      <c r="G41" s="1">
        <v>1743521</v>
      </c>
    </row>
    <row r="42" spans="1:34" x14ac:dyDescent="0.35">
      <c r="A42" s="1" t="str">
        <f t="shared" si="0"/>
        <v>13</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271</v>
      </c>
      <c r="D42" s="1" t="s">
        <v>272</v>
      </c>
      <c r="E42" s="1" t="s">
        <v>273</v>
      </c>
      <c r="F42" s="1" t="s">
        <v>112</v>
      </c>
      <c r="G42" s="1">
        <v>1179673</v>
      </c>
    </row>
    <row r="43" spans="1:34" x14ac:dyDescent="0.35">
      <c r="A43" s="1" t="str">
        <f t="shared" si="0"/>
        <v>13</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274</v>
      </c>
      <c r="D43" s="1" t="s">
        <v>275</v>
      </c>
      <c r="E43" s="1" t="s">
        <v>276</v>
      </c>
      <c r="F43" s="1" t="s">
        <v>112</v>
      </c>
      <c r="G43" s="1">
        <v>1518894</v>
      </c>
    </row>
    <row r="44" spans="1:34" x14ac:dyDescent="0.35">
      <c r="A44" s="1" t="str">
        <f t="shared" si="0"/>
        <v>13</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277</v>
      </c>
      <c r="D44" s="1" t="s">
        <v>278</v>
      </c>
      <c r="E44" s="1" t="s">
        <v>279</v>
      </c>
      <c r="F44" s="1" t="s">
        <v>112</v>
      </c>
      <c r="G44" s="1">
        <v>810580</v>
      </c>
    </row>
    <row r="45" spans="1:34" x14ac:dyDescent="0.35">
      <c r="A45" s="1" t="str">
        <f t="shared" si="0"/>
        <v>13</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280</v>
      </c>
    </row>
    <row r="46" spans="1:34" x14ac:dyDescent="0.35">
      <c r="A46" s="1" t="str">
        <f t="shared" si="0"/>
        <v>13</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281</v>
      </c>
      <c r="D46" s="1" t="s">
        <v>282</v>
      </c>
      <c r="E46" s="1" t="s">
        <v>283</v>
      </c>
      <c r="F46" s="1" t="s">
        <v>112</v>
      </c>
      <c r="G46" s="1">
        <v>1308847</v>
      </c>
    </row>
    <row r="47" spans="1:34" x14ac:dyDescent="0.35">
      <c r="A47" s="1" t="str">
        <f t="shared" si="0"/>
        <v>13</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284</v>
      </c>
      <c r="D47" s="1" t="s">
        <v>285</v>
      </c>
      <c r="E47" s="1" t="s">
        <v>286</v>
      </c>
      <c r="F47" s="1" t="s">
        <v>112</v>
      </c>
      <c r="G47" s="1">
        <v>488057</v>
      </c>
    </row>
    <row r="48" spans="1:34" x14ac:dyDescent="0.35">
      <c r="A48" s="1" t="str">
        <f t="shared" si="0"/>
        <v>13</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287</v>
      </c>
      <c r="D48" s="1" t="s">
        <v>288</v>
      </c>
      <c r="E48" s="1" t="s">
        <v>289</v>
      </c>
      <c r="F48" s="1" t="s">
        <v>112</v>
      </c>
      <c r="G48" s="1">
        <v>305219</v>
      </c>
    </row>
    <row r="49" spans="1:10" x14ac:dyDescent="0.35">
      <c r="A49" s="1" t="str">
        <f t="shared" si="0"/>
        <v>13</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290</v>
      </c>
      <c r="D49" s="1" t="s">
        <v>291</v>
      </c>
      <c r="E49" s="1" t="s">
        <v>292</v>
      </c>
      <c r="F49" s="1" t="s">
        <v>112</v>
      </c>
      <c r="G49" s="1">
        <v>218700</v>
      </c>
    </row>
    <row r="50" spans="1:10" x14ac:dyDescent="0.35">
      <c r="A50" s="1" t="str">
        <f t="shared" si="0"/>
        <v>13</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293</v>
      </c>
      <c r="D50" s="1" t="s">
        <v>294</v>
      </c>
      <c r="E50" s="1" t="s">
        <v>295</v>
      </c>
      <c r="F50" s="1" t="s">
        <v>112</v>
      </c>
      <c r="G50" s="1">
        <v>2287188</v>
      </c>
    </row>
    <row r="51" spans="1:10" x14ac:dyDescent="0.35">
      <c r="A51" s="1" t="str">
        <f t="shared" si="0"/>
        <v>13</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296</v>
      </c>
      <c r="D51" s="1" t="s">
        <v>297</v>
      </c>
      <c r="E51" s="1" t="s">
        <v>298</v>
      </c>
      <c r="F51" s="1" t="s">
        <v>112</v>
      </c>
      <c r="G51" s="1">
        <v>1609372</v>
      </c>
    </row>
    <row r="52" spans="1:10" x14ac:dyDescent="0.35">
      <c r="A52" s="1" t="str">
        <f t="shared" si="0"/>
        <v>13</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299</v>
      </c>
      <c r="D52" s="1" t="s">
        <v>300</v>
      </c>
      <c r="E52" s="1" t="s">
        <v>301</v>
      </c>
      <c r="F52" s="1" t="s">
        <v>112</v>
      </c>
      <c r="G52" s="1">
        <v>2250482</v>
      </c>
    </row>
    <row r="53" spans="1:10" x14ac:dyDescent="0.35">
      <c r="A53" s="1" t="str">
        <f t="shared" si="0"/>
        <v>13</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302</v>
      </c>
      <c r="D53" s="1" t="s">
        <v>303</v>
      </c>
      <c r="E53" s="1" t="s">
        <v>304</v>
      </c>
      <c r="F53" s="1" t="s">
        <v>112</v>
      </c>
      <c r="G53" s="1">
        <v>4066</v>
      </c>
    </row>
    <row r="54" spans="1:10" x14ac:dyDescent="0.35">
      <c r="A54" s="1" t="str">
        <f t="shared" si="0"/>
        <v>13</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305</v>
      </c>
      <c r="D54" s="1" t="s">
        <v>306</v>
      </c>
      <c r="E54" s="1" t="s">
        <v>307</v>
      </c>
      <c r="F54" s="1" t="s">
        <v>112</v>
      </c>
      <c r="G54" s="1">
        <v>63614</v>
      </c>
    </row>
    <row r="55" spans="1:10" x14ac:dyDescent="0.35">
      <c r="A55" s="1" t="str">
        <f t="shared" si="0"/>
        <v>13</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308</v>
      </c>
      <c r="D55" s="1" t="s">
        <v>309</v>
      </c>
      <c r="E55" s="1" t="s">
        <v>310</v>
      </c>
      <c r="F55" s="1" t="s">
        <v>112</v>
      </c>
      <c r="G55" s="1">
        <v>6792</v>
      </c>
    </row>
    <row r="56" spans="1:10" x14ac:dyDescent="0.35">
      <c r="A56" s="1" t="str">
        <f t="shared" si="0"/>
        <v>13</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311</v>
      </c>
      <c r="D56" s="1" t="s">
        <v>312</v>
      </c>
      <c r="E56" s="1" t="s">
        <v>313</v>
      </c>
      <c r="F56" s="1" t="s">
        <v>112</v>
      </c>
      <c r="G56" s="1">
        <v>484726</v>
      </c>
    </row>
    <row r="57" spans="1:10" x14ac:dyDescent="0.35">
      <c r="A57" s="1" t="str">
        <f t="shared" si="0"/>
        <v>13</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314</v>
      </c>
    </row>
    <row r="58" spans="1:10" x14ac:dyDescent="0.35">
      <c r="A58" s="1" t="str">
        <f t="shared" si="0"/>
        <v>13</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315</v>
      </c>
    </row>
    <row r="59" spans="1:10" x14ac:dyDescent="0.3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112</v>
      </c>
    </row>
    <row r="60" spans="1:10" x14ac:dyDescent="0.3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237</v>
      </c>
      <c r="D60" s="1" t="s">
        <v>112</v>
      </c>
      <c r="E60" s="1" t="s">
        <v>238</v>
      </c>
      <c r="F60" s="1" t="s">
        <v>239</v>
      </c>
      <c r="G60" s="1" t="s">
        <v>240</v>
      </c>
      <c r="H60" s="1" t="s">
        <v>241</v>
      </c>
      <c r="I60" s="1" t="s">
        <v>242</v>
      </c>
      <c r="J60" s="1" t="s">
        <v>243</v>
      </c>
    </row>
    <row r="61" spans="1:10" x14ac:dyDescent="0.35">
      <c r="A61" s="1" t="str">
        <f t="shared" si="0"/>
        <v>13</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316</v>
      </c>
      <c r="D61" s="1" t="s">
        <v>112</v>
      </c>
      <c r="E61" s="1" t="s">
        <v>317</v>
      </c>
      <c r="F61" s="1" t="s">
        <v>318</v>
      </c>
      <c r="G61" s="1" t="s">
        <v>319</v>
      </c>
      <c r="H61" s="1" t="s">
        <v>320</v>
      </c>
      <c r="I61" s="1">
        <v>24</v>
      </c>
      <c r="J61" s="1">
        <v>24</v>
      </c>
    </row>
    <row r="62" spans="1:10" x14ac:dyDescent="0.3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112</v>
      </c>
    </row>
    <row r="63" spans="1:10" x14ac:dyDescent="0.3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10" x14ac:dyDescent="0.3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3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3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3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249</v>
      </c>
      <c r="D67" s="1" t="s">
        <v>110</v>
      </c>
      <c r="E67" s="1" t="s">
        <v>111</v>
      </c>
      <c r="F67" s="1" t="s">
        <v>112</v>
      </c>
      <c r="G67" s="1" t="s">
        <v>113</v>
      </c>
    </row>
    <row r="68" spans="1:7" x14ac:dyDescent="0.35">
      <c r="A68" s="1" t="str">
        <f t="shared" si="1"/>
        <v>14</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321</v>
      </c>
      <c r="D68" s="1" t="s">
        <v>322</v>
      </c>
      <c r="E68" s="1" t="s">
        <v>323</v>
      </c>
      <c r="F68" s="1" t="s">
        <v>112</v>
      </c>
      <c r="G68" s="1">
        <v>83621</v>
      </c>
    </row>
    <row r="69" spans="1:7" x14ac:dyDescent="0.35">
      <c r="A69" s="1" t="str">
        <f t="shared" si="1"/>
        <v>14</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324</v>
      </c>
      <c r="D69" s="1" t="s">
        <v>325</v>
      </c>
      <c r="E69" s="1" t="s">
        <v>326</v>
      </c>
      <c r="F69" s="1" t="s">
        <v>112</v>
      </c>
      <c r="G69" s="1">
        <v>120738</v>
      </c>
    </row>
    <row r="70" spans="1:7" x14ac:dyDescent="0.35">
      <c r="A70" s="1" t="str">
        <f t="shared" si="1"/>
        <v>14</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327</v>
      </c>
      <c r="D70" s="1" t="s">
        <v>328</v>
      </c>
      <c r="E70" s="1" t="s">
        <v>329</v>
      </c>
      <c r="F70" s="1" t="s">
        <v>112</v>
      </c>
      <c r="G70" s="1">
        <v>4672</v>
      </c>
    </row>
    <row r="71" spans="1:7" x14ac:dyDescent="0.35">
      <c r="A71" s="1" t="str">
        <f t="shared" si="1"/>
        <v>14</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330</v>
      </c>
      <c r="D71" s="1" t="s">
        <v>325</v>
      </c>
      <c r="E71" s="1" t="s">
        <v>331</v>
      </c>
      <c r="F71" s="1" t="s">
        <v>112</v>
      </c>
      <c r="G71" s="1">
        <v>102958</v>
      </c>
    </row>
    <row r="72" spans="1:7" x14ac:dyDescent="0.35">
      <c r="A72" s="1" t="str">
        <f t="shared" si="1"/>
        <v>14</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332</v>
      </c>
      <c r="D72" s="1" t="s">
        <v>333</v>
      </c>
      <c r="E72" s="1" t="s">
        <v>334</v>
      </c>
      <c r="F72" s="1" t="s">
        <v>112</v>
      </c>
      <c r="G72" s="1">
        <v>43541</v>
      </c>
    </row>
    <row r="73" spans="1:7" x14ac:dyDescent="0.35">
      <c r="A73" s="1" t="str">
        <f t="shared" si="1"/>
        <v>14</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335</v>
      </c>
      <c r="D73" s="1" t="s">
        <v>336</v>
      </c>
      <c r="E73" s="1" t="s">
        <v>337</v>
      </c>
      <c r="F73" s="1" t="s">
        <v>112</v>
      </c>
      <c r="G73" s="1">
        <v>55805</v>
      </c>
    </row>
    <row r="74" spans="1:7" x14ac:dyDescent="0.35">
      <c r="A74" s="1" t="str">
        <f t="shared" si="1"/>
        <v>14</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338</v>
      </c>
      <c r="D74" s="1" t="s">
        <v>339</v>
      </c>
      <c r="E74" s="1" t="s">
        <v>340</v>
      </c>
      <c r="F74" s="1" t="s">
        <v>112</v>
      </c>
      <c r="G74" s="1">
        <v>1682287</v>
      </c>
    </row>
    <row r="75" spans="1:7" x14ac:dyDescent="0.35">
      <c r="A75" s="1" t="str">
        <f t="shared" si="1"/>
        <v>14</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341</v>
      </c>
      <c r="D75" s="1" t="s">
        <v>342</v>
      </c>
      <c r="E75" s="1" t="s">
        <v>343</v>
      </c>
      <c r="F75" s="1" t="s">
        <v>112</v>
      </c>
      <c r="G75" s="1">
        <v>1771164</v>
      </c>
    </row>
    <row r="76" spans="1:7" x14ac:dyDescent="0.35">
      <c r="A76" s="1" t="str">
        <f t="shared" si="1"/>
        <v>14</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344</v>
      </c>
      <c r="D76" s="1" t="s">
        <v>345</v>
      </c>
      <c r="E76" s="1" t="s">
        <v>346</v>
      </c>
      <c r="F76" s="1" t="s">
        <v>112</v>
      </c>
      <c r="G76" s="1">
        <v>1863372</v>
      </c>
    </row>
    <row r="77" spans="1:7" x14ac:dyDescent="0.35">
      <c r="A77" s="1" t="str">
        <f t="shared" si="1"/>
        <v>14</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347</v>
      </c>
    </row>
    <row r="78" spans="1:7" x14ac:dyDescent="0.35">
      <c r="A78" s="1" t="str">
        <f t="shared" si="1"/>
        <v>14</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348</v>
      </c>
    </row>
    <row r="79" spans="1:7" x14ac:dyDescent="0.35">
      <c r="A79" s="1" t="str">
        <f t="shared" si="1"/>
        <v>14</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349</v>
      </c>
    </row>
    <row r="80" spans="1:7" x14ac:dyDescent="0.35">
      <c r="A80" s="1" t="str">
        <f t="shared" si="1"/>
        <v>14</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350</v>
      </c>
      <c r="D80" s="1" t="s">
        <v>351</v>
      </c>
      <c r="E80" s="1" t="s">
        <v>352</v>
      </c>
      <c r="F80" s="1" t="s">
        <v>112</v>
      </c>
      <c r="G80" s="1">
        <v>524893</v>
      </c>
    </row>
    <row r="81" spans="1:10" x14ac:dyDescent="0.35">
      <c r="A81" s="1" t="str">
        <f t="shared" si="1"/>
        <v>14</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353</v>
      </c>
      <c r="D81" s="1" t="s">
        <v>354</v>
      </c>
      <c r="E81" s="1" t="s">
        <v>355</v>
      </c>
      <c r="F81" s="1" t="s">
        <v>112</v>
      </c>
      <c r="G81" s="1">
        <v>277425</v>
      </c>
    </row>
    <row r="82" spans="1:10" x14ac:dyDescent="0.35">
      <c r="A82" s="1" t="str">
        <f t="shared" si="1"/>
        <v>14</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356</v>
      </c>
      <c r="D82" s="1" t="s">
        <v>357</v>
      </c>
      <c r="E82" s="1" t="s">
        <v>358</v>
      </c>
      <c r="F82" s="1" t="s">
        <v>112</v>
      </c>
      <c r="G82" s="1">
        <v>333663</v>
      </c>
    </row>
    <row r="83" spans="1:10" x14ac:dyDescent="0.35">
      <c r="A83" s="1" t="str">
        <f t="shared" si="1"/>
        <v>14</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359</v>
      </c>
      <c r="D83" s="1" t="s">
        <v>360</v>
      </c>
      <c r="E83" s="1" t="s">
        <v>361</v>
      </c>
      <c r="F83" s="1" t="s">
        <v>112</v>
      </c>
      <c r="G83" s="1">
        <v>442959</v>
      </c>
    </row>
    <row r="84" spans="1:10" x14ac:dyDescent="0.35">
      <c r="A84" s="1" t="str">
        <f t="shared" si="1"/>
        <v>14</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362</v>
      </c>
      <c r="D84" s="1" t="s">
        <v>363</v>
      </c>
      <c r="E84" s="1" t="s">
        <v>364</v>
      </c>
      <c r="F84" s="1" t="s">
        <v>112</v>
      </c>
      <c r="G84" s="1">
        <v>509946</v>
      </c>
    </row>
    <row r="85" spans="1:10" x14ac:dyDescent="0.35">
      <c r="A85" s="1" t="str">
        <f t="shared" si="1"/>
        <v>14</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365</v>
      </c>
      <c r="D85" s="1" t="s">
        <v>366</v>
      </c>
      <c r="E85" s="1" t="s">
        <v>367</v>
      </c>
      <c r="F85" s="1" t="s">
        <v>112</v>
      </c>
      <c r="G85" s="1">
        <v>638190</v>
      </c>
    </row>
    <row r="86" spans="1:10" x14ac:dyDescent="0.35">
      <c r="A86" s="1" t="str">
        <f t="shared" si="1"/>
        <v>14</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368</v>
      </c>
      <c r="D86" s="1" t="s">
        <v>369</v>
      </c>
      <c r="E86" s="1" t="s">
        <v>370</v>
      </c>
      <c r="F86" s="1" t="s">
        <v>112</v>
      </c>
      <c r="G86" s="1">
        <v>237669</v>
      </c>
    </row>
    <row r="87" spans="1:10" x14ac:dyDescent="0.35">
      <c r="A87" s="1" t="str">
        <f t="shared" si="1"/>
        <v>14</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371</v>
      </c>
      <c r="D87" s="1" t="s">
        <v>372</v>
      </c>
      <c r="E87" s="1" t="s">
        <v>373</v>
      </c>
      <c r="F87" s="1" t="s">
        <v>112</v>
      </c>
      <c r="G87" s="1">
        <v>143796</v>
      </c>
    </row>
    <row r="88" spans="1:10" x14ac:dyDescent="0.35">
      <c r="A88" s="1" t="str">
        <f t="shared" si="1"/>
        <v>14</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374</v>
      </c>
      <c r="D88" s="1" t="s">
        <v>375</v>
      </c>
      <c r="E88" s="1" t="s">
        <v>376</v>
      </c>
      <c r="F88" s="1" t="s">
        <v>112</v>
      </c>
      <c r="G88" s="1">
        <v>174986</v>
      </c>
    </row>
    <row r="89" spans="1:10" x14ac:dyDescent="0.35">
      <c r="A89" s="1" t="str">
        <f t="shared" si="1"/>
        <v>14</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377</v>
      </c>
      <c r="D89" s="1" t="s">
        <v>378</v>
      </c>
      <c r="E89" s="1" t="s">
        <v>379</v>
      </c>
      <c r="F89" s="1" t="s">
        <v>112</v>
      </c>
      <c r="G89" s="1">
        <v>620756</v>
      </c>
    </row>
    <row r="90" spans="1:10" x14ac:dyDescent="0.35">
      <c r="A90" s="1" t="str">
        <f t="shared" si="1"/>
        <v>14</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380</v>
      </c>
      <c r="D90" s="1" t="s">
        <v>381</v>
      </c>
      <c r="E90" s="1" t="s">
        <v>382</v>
      </c>
      <c r="F90" s="1" t="s">
        <v>112</v>
      </c>
      <c r="G90" s="1">
        <v>889702</v>
      </c>
    </row>
    <row r="91" spans="1:10" x14ac:dyDescent="0.35">
      <c r="A91" s="1" t="str">
        <f t="shared" si="1"/>
        <v>14</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383</v>
      </c>
      <c r="D91" s="1" t="s">
        <v>384</v>
      </c>
      <c r="E91" s="1" t="s">
        <v>385</v>
      </c>
      <c r="F91" s="1" t="s">
        <v>112</v>
      </c>
      <c r="G91" s="1">
        <v>570142</v>
      </c>
    </row>
    <row r="92" spans="1:10" x14ac:dyDescent="0.3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112</v>
      </c>
    </row>
    <row r="93" spans="1:10" x14ac:dyDescent="0.3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237</v>
      </c>
      <c r="D93" s="1" t="s">
        <v>112</v>
      </c>
      <c r="E93" s="1" t="s">
        <v>238</v>
      </c>
      <c r="F93" s="1" t="s">
        <v>239</v>
      </c>
      <c r="G93" s="1" t="s">
        <v>240</v>
      </c>
      <c r="H93" s="1" t="s">
        <v>241</v>
      </c>
      <c r="I93" s="1" t="s">
        <v>242</v>
      </c>
      <c r="J93" s="1" t="s">
        <v>243</v>
      </c>
    </row>
    <row r="94" spans="1:10" x14ac:dyDescent="0.35">
      <c r="A94" s="1" t="str">
        <f t="shared" si="1"/>
        <v>14</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386</v>
      </c>
      <c r="D94" s="1" t="s">
        <v>112</v>
      </c>
      <c r="E94" s="1" t="s">
        <v>387</v>
      </c>
      <c r="F94" s="1" t="s">
        <v>388</v>
      </c>
      <c r="G94" s="1" t="s">
        <v>389</v>
      </c>
      <c r="H94" s="1" t="s">
        <v>390</v>
      </c>
      <c r="I94" s="1">
        <v>24</v>
      </c>
      <c r="J94" s="1">
        <v>24</v>
      </c>
    </row>
    <row r="95" spans="1:10" x14ac:dyDescent="0.3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112</v>
      </c>
    </row>
    <row r="96" spans="1:10" x14ac:dyDescent="0.3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3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3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3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3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249</v>
      </c>
      <c r="D100" s="1" t="s">
        <v>110</v>
      </c>
      <c r="E100" s="1" t="s">
        <v>111</v>
      </c>
      <c r="F100" s="1" t="s">
        <v>112</v>
      </c>
      <c r="G100" s="1" t="s">
        <v>113</v>
      </c>
    </row>
    <row r="101" spans="1:7" x14ac:dyDescent="0.35">
      <c r="A101" s="1" t="str">
        <f t="shared" si="1"/>
        <v>15</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391</v>
      </c>
      <c r="D101" s="1" t="s">
        <v>392</v>
      </c>
      <c r="E101" s="1" t="s">
        <v>393</v>
      </c>
      <c r="F101" s="1" t="s">
        <v>112</v>
      </c>
      <c r="G101" s="1">
        <v>5108332</v>
      </c>
    </row>
    <row r="102" spans="1:7" x14ac:dyDescent="0.35">
      <c r="A102" s="1" t="str">
        <f t="shared" si="1"/>
        <v>15</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394</v>
      </c>
      <c r="D102" s="1" t="s">
        <v>395</v>
      </c>
      <c r="E102" s="1" t="s">
        <v>396</v>
      </c>
      <c r="F102" s="1" t="s">
        <v>112</v>
      </c>
      <c r="G102" s="1">
        <v>5036910</v>
      </c>
    </row>
    <row r="103" spans="1:7" x14ac:dyDescent="0.35">
      <c r="A103" s="1" t="str">
        <f t="shared" si="1"/>
        <v>15</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397</v>
      </c>
      <c r="D103" s="1" t="s">
        <v>398</v>
      </c>
      <c r="E103" s="1" t="s">
        <v>399</v>
      </c>
      <c r="F103" s="1" t="s">
        <v>112</v>
      </c>
      <c r="G103" s="1">
        <v>5163315</v>
      </c>
    </row>
    <row r="104" spans="1:7" x14ac:dyDescent="0.35">
      <c r="A104" s="1" t="str">
        <f t="shared" si="1"/>
        <v>15</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400</v>
      </c>
      <c r="D104" s="1" t="s">
        <v>401</v>
      </c>
      <c r="E104" s="1" t="s">
        <v>402</v>
      </c>
      <c r="F104" s="1" t="s">
        <v>112</v>
      </c>
      <c r="G104" s="1">
        <v>4331970</v>
      </c>
    </row>
    <row r="105" spans="1:7" x14ac:dyDescent="0.35">
      <c r="A105" s="1" t="str">
        <f t="shared" si="1"/>
        <v>15</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403</v>
      </c>
      <c r="D105" s="1" t="s">
        <v>404</v>
      </c>
      <c r="E105" s="1" t="s">
        <v>405</v>
      </c>
      <c r="F105" s="1" t="s">
        <v>112</v>
      </c>
      <c r="G105" s="1">
        <v>3959633</v>
      </c>
    </row>
    <row r="106" spans="1:7" x14ac:dyDescent="0.35">
      <c r="A106" s="1" t="str">
        <f t="shared" si="1"/>
        <v>15</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406</v>
      </c>
      <c r="D106" s="1" t="s">
        <v>407</v>
      </c>
      <c r="E106" s="1" t="s">
        <v>408</v>
      </c>
      <c r="F106" s="1" t="s">
        <v>112</v>
      </c>
      <c r="G106" s="1">
        <v>4072541</v>
      </c>
    </row>
    <row r="107" spans="1:7" x14ac:dyDescent="0.35">
      <c r="A107" s="1" t="str">
        <f t="shared" si="1"/>
        <v>15</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409</v>
      </c>
      <c r="D107" s="1" t="s">
        <v>410</v>
      </c>
      <c r="E107" s="1" t="s">
        <v>411</v>
      </c>
      <c r="F107" s="1" t="s">
        <v>112</v>
      </c>
      <c r="G107" s="1">
        <v>3780949</v>
      </c>
    </row>
    <row r="108" spans="1:7" x14ac:dyDescent="0.35">
      <c r="A108" s="1" t="str">
        <f t="shared" si="1"/>
        <v>15</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412</v>
      </c>
      <c r="D108" s="1" t="s">
        <v>413</v>
      </c>
      <c r="E108" s="1" t="s">
        <v>414</v>
      </c>
      <c r="F108" s="1" t="s">
        <v>112</v>
      </c>
      <c r="G108" s="1">
        <v>3981480</v>
      </c>
    </row>
    <row r="109" spans="1:7" x14ac:dyDescent="0.35">
      <c r="A109" s="1" t="str">
        <f t="shared" si="1"/>
        <v>15</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415</v>
      </c>
      <c r="D109" s="1" t="s">
        <v>416</v>
      </c>
      <c r="E109" s="1" t="s">
        <v>417</v>
      </c>
      <c r="F109" s="1" t="s">
        <v>112</v>
      </c>
      <c r="G109" s="1">
        <v>4133257</v>
      </c>
    </row>
    <row r="110" spans="1:7" x14ac:dyDescent="0.35">
      <c r="A110" s="1" t="str">
        <f t="shared" si="1"/>
        <v>15</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418</v>
      </c>
      <c r="D110" s="1" t="s">
        <v>419</v>
      </c>
      <c r="E110" s="1" t="s">
        <v>420</v>
      </c>
      <c r="F110" s="1" t="s">
        <v>112</v>
      </c>
      <c r="G110" s="1">
        <v>3381315</v>
      </c>
    </row>
    <row r="111" spans="1:7" x14ac:dyDescent="0.35">
      <c r="A111" s="1" t="str">
        <f t="shared" si="1"/>
        <v>15</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421</v>
      </c>
      <c r="D111" s="1" t="s">
        <v>422</v>
      </c>
      <c r="E111" s="1" t="s">
        <v>423</v>
      </c>
      <c r="F111" s="1" t="s">
        <v>112</v>
      </c>
      <c r="G111" s="1">
        <v>3259712</v>
      </c>
    </row>
    <row r="112" spans="1:7" x14ac:dyDescent="0.35">
      <c r="A112" s="1" t="str">
        <f t="shared" si="1"/>
        <v>15</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424</v>
      </c>
      <c r="D112" s="1" t="s">
        <v>425</v>
      </c>
      <c r="E112" s="1" t="s">
        <v>426</v>
      </c>
      <c r="F112" s="1" t="s">
        <v>112</v>
      </c>
      <c r="G112" s="1">
        <v>3827237</v>
      </c>
    </row>
    <row r="113" spans="1:10" x14ac:dyDescent="0.35">
      <c r="A113" s="1" t="str">
        <f t="shared" si="1"/>
        <v>15</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427</v>
      </c>
      <c r="D113" s="1" t="s">
        <v>428</v>
      </c>
      <c r="E113" s="1" t="s">
        <v>429</v>
      </c>
      <c r="F113" s="1" t="s">
        <v>112</v>
      </c>
      <c r="G113" s="1">
        <v>2035287</v>
      </c>
    </row>
    <row r="114" spans="1:10" x14ac:dyDescent="0.35">
      <c r="A114" s="1" t="str">
        <f t="shared" si="1"/>
        <v>15</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430</v>
      </c>
      <c r="D114" s="1" t="s">
        <v>431</v>
      </c>
      <c r="E114" s="1" t="s">
        <v>432</v>
      </c>
      <c r="F114" s="1" t="s">
        <v>112</v>
      </c>
      <c r="G114" s="1">
        <v>1706469</v>
      </c>
    </row>
    <row r="115" spans="1:10" x14ac:dyDescent="0.35">
      <c r="A115" s="1" t="str">
        <f t="shared" si="1"/>
        <v>15</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433</v>
      </c>
      <c r="D115" s="1" t="s">
        <v>434</v>
      </c>
      <c r="E115" s="1" t="s">
        <v>435</v>
      </c>
      <c r="F115" s="1" t="s">
        <v>112</v>
      </c>
      <c r="G115" s="1">
        <v>1885586</v>
      </c>
    </row>
    <row r="116" spans="1:10" x14ac:dyDescent="0.35">
      <c r="A116" s="1" t="str">
        <f t="shared" si="1"/>
        <v>15</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436</v>
      </c>
      <c r="D116" s="1" t="s">
        <v>437</v>
      </c>
      <c r="E116" s="1" t="s">
        <v>438</v>
      </c>
      <c r="F116" s="1" t="s">
        <v>112</v>
      </c>
      <c r="G116" s="1">
        <v>2957282</v>
      </c>
    </row>
    <row r="117" spans="1:10" x14ac:dyDescent="0.35">
      <c r="A117" s="1" t="str">
        <f t="shared" si="1"/>
        <v>15</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439</v>
      </c>
      <c r="D117" s="1" t="s">
        <v>440</v>
      </c>
      <c r="E117" s="1" t="s">
        <v>441</v>
      </c>
      <c r="F117" s="1" t="s">
        <v>112</v>
      </c>
      <c r="G117" s="1">
        <v>3105707</v>
      </c>
    </row>
    <row r="118" spans="1:10" x14ac:dyDescent="0.35">
      <c r="A118" s="1" t="str">
        <f t="shared" si="1"/>
        <v>15</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442</v>
      </c>
      <c r="D118" s="1" t="s">
        <v>443</v>
      </c>
      <c r="E118" s="1" t="s">
        <v>444</v>
      </c>
      <c r="F118" s="1" t="s">
        <v>112</v>
      </c>
      <c r="G118" s="1">
        <v>2913093</v>
      </c>
    </row>
    <row r="119" spans="1:10" x14ac:dyDescent="0.35">
      <c r="A119" s="1" t="str">
        <f t="shared" si="1"/>
        <v>15</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445</v>
      </c>
      <c r="D119" s="1" t="s">
        <v>446</v>
      </c>
      <c r="E119" s="1" t="s">
        <v>447</v>
      </c>
      <c r="F119" s="1" t="s">
        <v>112</v>
      </c>
      <c r="G119" s="1">
        <v>3378633</v>
      </c>
    </row>
    <row r="120" spans="1:10" x14ac:dyDescent="0.35">
      <c r="A120" s="1" t="str">
        <f t="shared" si="1"/>
        <v>15</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448</v>
      </c>
      <c r="D120" s="1" t="s">
        <v>449</v>
      </c>
      <c r="E120" s="1" t="s">
        <v>450</v>
      </c>
      <c r="F120" s="1" t="s">
        <v>112</v>
      </c>
      <c r="G120" s="1">
        <v>3757134</v>
      </c>
    </row>
    <row r="121" spans="1:10" x14ac:dyDescent="0.35">
      <c r="A121" s="1" t="str">
        <f t="shared" si="1"/>
        <v>15</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451</v>
      </c>
      <c r="D121" s="1" t="s">
        <v>452</v>
      </c>
      <c r="E121" s="1" t="s">
        <v>453</v>
      </c>
      <c r="F121" s="1" t="s">
        <v>112</v>
      </c>
      <c r="G121" s="1">
        <v>3870864</v>
      </c>
    </row>
    <row r="122" spans="1:10" x14ac:dyDescent="0.35">
      <c r="A122" s="1" t="str">
        <f t="shared" si="1"/>
        <v>15</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454</v>
      </c>
      <c r="D122" s="1" t="s">
        <v>455</v>
      </c>
      <c r="E122" s="1" t="s">
        <v>456</v>
      </c>
      <c r="F122" s="1" t="s">
        <v>112</v>
      </c>
      <c r="G122" s="1">
        <v>3403723</v>
      </c>
    </row>
    <row r="123" spans="1:10" x14ac:dyDescent="0.35">
      <c r="A123" s="1" t="str">
        <f t="shared" si="1"/>
        <v>15</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457</v>
      </c>
      <c r="D123" s="1" t="s">
        <v>458</v>
      </c>
      <c r="E123" s="1" t="s">
        <v>459</v>
      </c>
      <c r="F123" s="1" t="s">
        <v>112</v>
      </c>
      <c r="G123" s="1">
        <v>3745065</v>
      </c>
    </row>
    <row r="124" spans="1:10" x14ac:dyDescent="0.35">
      <c r="A124" s="1" t="str">
        <f t="shared" si="1"/>
        <v>15</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460</v>
      </c>
      <c r="D124" s="1" t="s">
        <v>461</v>
      </c>
      <c r="E124" s="1" t="s">
        <v>462</v>
      </c>
      <c r="F124" s="1" t="s">
        <v>112</v>
      </c>
      <c r="G124" s="1">
        <v>2977442</v>
      </c>
    </row>
    <row r="125" spans="1:10" x14ac:dyDescent="0.3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112</v>
      </c>
    </row>
    <row r="126" spans="1:10" x14ac:dyDescent="0.3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237</v>
      </c>
      <c r="D126" s="1" t="s">
        <v>112</v>
      </c>
      <c r="E126" s="1" t="s">
        <v>238</v>
      </c>
      <c r="F126" s="1" t="s">
        <v>239</v>
      </c>
      <c r="G126" s="1" t="s">
        <v>240</v>
      </c>
      <c r="H126" s="1" t="s">
        <v>241</v>
      </c>
      <c r="I126" s="1" t="s">
        <v>242</v>
      </c>
      <c r="J126" s="1" t="s">
        <v>243</v>
      </c>
    </row>
    <row r="127" spans="1:10" x14ac:dyDescent="0.35">
      <c r="A127" s="1" t="str">
        <f t="shared" si="1"/>
        <v>15</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463</v>
      </c>
      <c r="D127" s="1" t="s">
        <v>112</v>
      </c>
      <c r="E127" s="1" t="s">
        <v>464</v>
      </c>
      <c r="F127" s="1" t="s">
        <v>465</v>
      </c>
      <c r="G127" s="1" t="s">
        <v>466</v>
      </c>
      <c r="H127" s="1" t="s">
        <v>467</v>
      </c>
      <c r="I127" s="1">
        <v>24</v>
      </c>
      <c r="J127" s="1">
        <v>24</v>
      </c>
    </row>
    <row r="128" spans="1:10" x14ac:dyDescent="0.3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112</v>
      </c>
    </row>
    <row r="129" spans="1:7" x14ac:dyDescent="0.3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3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3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3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3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249</v>
      </c>
      <c r="D133" s="1" t="s">
        <v>110</v>
      </c>
      <c r="E133" s="1" t="s">
        <v>111</v>
      </c>
      <c r="F133" s="1" t="s">
        <v>112</v>
      </c>
      <c r="G133" s="1" t="s">
        <v>113</v>
      </c>
    </row>
    <row r="134" spans="1:7" x14ac:dyDescent="0.35">
      <c r="A134" s="1" t="str">
        <f t="shared" si="2"/>
        <v>16</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468</v>
      </c>
      <c r="D134" s="1" t="s">
        <v>469</v>
      </c>
      <c r="E134" s="1" t="s">
        <v>470</v>
      </c>
      <c r="F134" s="1" t="s">
        <v>112</v>
      </c>
      <c r="G134" s="1">
        <v>38847</v>
      </c>
    </row>
    <row r="135" spans="1:7" x14ac:dyDescent="0.35">
      <c r="A135" s="1" t="str">
        <f t="shared" si="2"/>
        <v>16</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471</v>
      </c>
      <c r="D135" s="1" t="s">
        <v>472</v>
      </c>
      <c r="E135" s="1" t="s">
        <v>473</v>
      </c>
      <c r="F135" s="1" t="s">
        <v>112</v>
      </c>
      <c r="G135" s="1">
        <v>72763</v>
      </c>
    </row>
    <row r="136" spans="1:7" x14ac:dyDescent="0.35">
      <c r="A136" s="1" t="str">
        <f t="shared" si="2"/>
        <v>16</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474</v>
      </c>
      <c r="D136" s="1" t="s">
        <v>475</v>
      </c>
      <c r="E136" s="1" t="s">
        <v>476</v>
      </c>
      <c r="F136" s="1" t="s">
        <v>112</v>
      </c>
      <c r="G136" s="1">
        <v>38934</v>
      </c>
    </row>
    <row r="137" spans="1:7" x14ac:dyDescent="0.35">
      <c r="A137" s="1" t="str">
        <f t="shared" si="2"/>
        <v>16</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477</v>
      </c>
      <c r="D137" s="1" t="s">
        <v>215</v>
      </c>
      <c r="E137" s="1" t="s">
        <v>478</v>
      </c>
      <c r="F137" s="1" t="s">
        <v>112</v>
      </c>
      <c r="G137" s="1">
        <v>106484</v>
      </c>
    </row>
    <row r="138" spans="1:7" x14ac:dyDescent="0.35">
      <c r="A138" s="1" t="str">
        <f t="shared" si="2"/>
        <v>16</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479</v>
      </c>
      <c r="D138" s="1" t="s">
        <v>480</v>
      </c>
      <c r="E138" s="1" t="s">
        <v>481</v>
      </c>
      <c r="F138" s="1" t="s">
        <v>112</v>
      </c>
      <c r="G138" s="1">
        <v>71335</v>
      </c>
    </row>
    <row r="139" spans="1:7" x14ac:dyDescent="0.35">
      <c r="A139" s="1" t="str">
        <f t="shared" si="2"/>
        <v>16</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482</v>
      </c>
      <c r="D139" s="1" t="s">
        <v>483</v>
      </c>
      <c r="E139" s="1" t="s">
        <v>484</v>
      </c>
      <c r="F139" s="1" t="s">
        <v>112</v>
      </c>
      <c r="G139" s="1">
        <v>221360</v>
      </c>
    </row>
    <row r="140" spans="1:7" x14ac:dyDescent="0.35">
      <c r="A140" s="1" t="str">
        <f t="shared" si="2"/>
        <v>16</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485</v>
      </c>
      <c r="D140" s="1" t="s">
        <v>486</v>
      </c>
      <c r="E140" s="1" t="s">
        <v>487</v>
      </c>
      <c r="F140" s="1" t="s">
        <v>112</v>
      </c>
      <c r="G140" s="1">
        <v>44190</v>
      </c>
    </row>
    <row r="141" spans="1:7" x14ac:dyDescent="0.35">
      <c r="A141" s="1" t="str">
        <f t="shared" si="2"/>
        <v>16</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488</v>
      </c>
    </row>
    <row r="142" spans="1:7" x14ac:dyDescent="0.35">
      <c r="A142" s="1" t="str">
        <f t="shared" si="2"/>
        <v>16</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489</v>
      </c>
      <c r="D142" s="1" t="s">
        <v>490</v>
      </c>
      <c r="E142" s="1" t="s">
        <v>491</v>
      </c>
      <c r="F142" s="1" t="s">
        <v>112</v>
      </c>
      <c r="G142" s="1">
        <v>131293</v>
      </c>
    </row>
    <row r="143" spans="1:7" x14ac:dyDescent="0.35">
      <c r="A143" s="1" t="str">
        <f t="shared" si="2"/>
        <v>16</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492</v>
      </c>
      <c r="D143" s="1" t="s">
        <v>493</v>
      </c>
      <c r="E143" s="1" t="s">
        <v>494</v>
      </c>
      <c r="F143" s="1" t="s">
        <v>112</v>
      </c>
      <c r="G143" s="1">
        <v>105251</v>
      </c>
    </row>
    <row r="144" spans="1:7" x14ac:dyDescent="0.35">
      <c r="A144" s="1" t="str">
        <f t="shared" si="2"/>
        <v>16</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495</v>
      </c>
      <c r="D144" s="1" t="s">
        <v>496</v>
      </c>
      <c r="E144" s="1" t="s">
        <v>497</v>
      </c>
      <c r="F144" s="1" t="s">
        <v>112</v>
      </c>
      <c r="G144" s="1">
        <v>52366</v>
      </c>
    </row>
    <row r="145" spans="1:10" x14ac:dyDescent="0.35">
      <c r="A145" s="1" t="str">
        <f t="shared" si="2"/>
        <v>16</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498</v>
      </c>
      <c r="D145" s="1" t="s">
        <v>499</v>
      </c>
      <c r="E145" s="1" t="s">
        <v>500</v>
      </c>
      <c r="F145" s="1" t="s">
        <v>112</v>
      </c>
      <c r="G145" s="1">
        <v>7441</v>
      </c>
    </row>
    <row r="146" spans="1:10" x14ac:dyDescent="0.35">
      <c r="A146" s="1" t="str">
        <f t="shared" si="2"/>
        <v>16</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501</v>
      </c>
      <c r="D146" s="1" t="s">
        <v>502</v>
      </c>
      <c r="E146" s="1" t="s">
        <v>503</v>
      </c>
      <c r="F146" s="1" t="s">
        <v>112</v>
      </c>
      <c r="G146" s="1">
        <v>75834</v>
      </c>
    </row>
    <row r="147" spans="1:10" x14ac:dyDescent="0.35">
      <c r="A147" s="1" t="str">
        <f t="shared" si="2"/>
        <v>16</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504</v>
      </c>
      <c r="D147" s="1" t="s">
        <v>505</v>
      </c>
      <c r="E147" s="1" t="s">
        <v>506</v>
      </c>
      <c r="F147" s="1" t="s">
        <v>112</v>
      </c>
      <c r="G147" s="1">
        <v>354081</v>
      </c>
    </row>
    <row r="148" spans="1:10" x14ac:dyDescent="0.35">
      <c r="A148" s="1" t="str">
        <f t="shared" si="2"/>
        <v>16</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507</v>
      </c>
      <c r="D148" s="1" t="s">
        <v>508</v>
      </c>
      <c r="E148" s="1" t="s">
        <v>509</v>
      </c>
      <c r="F148" s="1" t="s">
        <v>112</v>
      </c>
      <c r="G148" s="1">
        <v>403116</v>
      </c>
    </row>
    <row r="149" spans="1:10" x14ac:dyDescent="0.35">
      <c r="A149" s="1" t="str">
        <f t="shared" si="2"/>
        <v>16</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510</v>
      </c>
      <c r="D149" s="1" t="s">
        <v>511</v>
      </c>
      <c r="E149" s="1" t="s">
        <v>512</v>
      </c>
      <c r="F149" s="1" t="s">
        <v>112</v>
      </c>
      <c r="G149" s="1">
        <v>46310</v>
      </c>
    </row>
    <row r="150" spans="1:10" x14ac:dyDescent="0.35">
      <c r="A150" s="1" t="str">
        <f t="shared" si="2"/>
        <v>16</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513</v>
      </c>
      <c r="D150" s="1" t="s">
        <v>514</v>
      </c>
      <c r="E150" s="1" t="s">
        <v>515</v>
      </c>
      <c r="F150" s="1" t="s">
        <v>112</v>
      </c>
      <c r="G150" s="1">
        <v>50073</v>
      </c>
    </row>
    <row r="151" spans="1:10" x14ac:dyDescent="0.35">
      <c r="A151" s="1" t="str">
        <f t="shared" si="2"/>
        <v>16</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516</v>
      </c>
      <c r="D151" s="1">
        <v>0</v>
      </c>
      <c r="E151" s="1">
        <v>0</v>
      </c>
      <c r="F151" s="1" t="s">
        <v>112</v>
      </c>
      <c r="G151" s="1">
        <v>0</v>
      </c>
    </row>
    <row r="152" spans="1:10" x14ac:dyDescent="0.35">
      <c r="A152" s="1" t="str">
        <f t="shared" si="2"/>
        <v>16</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517</v>
      </c>
      <c r="D152" s="1" t="s">
        <v>221</v>
      </c>
      <c r="E152" s="1" t="s">
        <v>518</v>
      </c>
      <c r="F152" s="1" t="s">
        <v>112</v>
      </c>
      <c r="G152" s="1">
        <v>182967</v>
      </c>
    </row>
    <row r="153" spans="1:10" x14ac:dyDescent="0.35">
      <c r="A153" s="1" t="str">
        <f t="shared" si="2"/>
        <v>16</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519</v>
      </c>
      <c r="D153" s="1" t="s">
        <v>520</v>
      </c>
      <c r="E153" s="1" t="s">
        <v>521</v>
      </c>
      <c r="F153" s="1" t="s">
        <v>112</v>
      </c>
      <c r="G153" s="1">
        <v>18602</v>
      </c>
    </row>
    <row r="154" spans="1:10" x14ac:dyDescent="0.35">
      <c r="A154" s="1" t="str">
        <f t="shared" si="2"/>
        <v>16</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522</v>
      </c>
      <c r="D154" s="1" t="s">
        <v>523</v>
      </c>
      <c r="E154" s="1" t="s">
        <v>524</v>
      </c>
      <c r="F154" s="1" t="s">
        <v>112</v>
      </c>
      <c r="G154" s="1">
        <v>54031</v>
      </c>
    </row>
    <row r="155" spans="1:10" x14ac:dyDescent="0.35">
      <c r="A155" s="1" t="str">
        <f t="shared" si="2"/>
        <v>16</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525</v>
      </c>
      <c r="D155" s="1" t="s">
        <v>526</v>
      </c>
      <c r="E155" s="1" t="s">
        <v>527</v>
      </c>
      <c r="F155" s="1" t="s">
        <v>112</v>
      </c>
      <c r="G155" s="1">
        <v>279696</v>
      </c>
    </row>
    <row r="156" spans="1:10" x14ac:dyDescent="0.35">
      <c r="A156" s="1" t="str">
        <f t="shared" si="2"/>
        <v>16</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528</v>
      </c>
      <c r="D156" s="1" t="s">
        <v>529</v>
      </c>
      <c r="E156" s="1" t="s">
        <v>530</v>
      </c>
      <c r="F156" s="1" t="s">
        <v>112</v>
      </c>
      <c r="G156" s="1">
        <v>214763</v>
      </c>
    </row>
    <row r="157" spans="1:10" x14ac:dyDescent="0.35">
      <c r="A157" s="1" t="str">
        <f t="shared" si="2"/>
        <v>16</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531</v>
      </c>
      <c r="D157" s="1" t="s">
        <v>532</v>
      </c>
      <c r="E157" s="1" t="s">
        <v>533</v>
      </c>
      <c r="F157" s="1" t="s">
        <v>112</v>
      </c>
      <c r="G157" s="1">
        <v>98719</v>
      </c>
    </row>
    <row r="158" spans="1:10" x14ac:dyDescent="0.3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10" x14ac:dyDescent="0.3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237</v>
      </c>
      <c r="D159" s="1" t="s">
        <v>112</v>
      </c>
      <c r="E159" s="1" t="s">
        <v>238</v>
      </c>
      <c r="F159" s="1" t="s">
        <v>239</v>
      </c>
      <c r="G159" s="1" t="s">
        <v>240</v>
      </c>
      <c r="H159" s="1" t="s">
        <v>241</v>
      </c>
      <c r="I159" s="1" t="s">
        <v>242</v>
      </c>
      <c r="J159" s="1" t="s">
        <v>243</v>
      </c>
    </row>
    <row r="160" spans="1:10" x14ac:dyDescent="0.35">
      <c r="A160" s="1" t="str">
        <f t="shared" si="2"/>
        <v>16</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534</v>
      </c>
      <c r="D160" s="1" t="s">
        <v>112</v>
      </c>
      <c r="E160" s="1" t="s">
        <v>535</v>
      </c>
      <c r="F160" s="1" t="s">
        <v>536</v>
      </c>
      <c r="G160" s="1" t="s">
        <v>537</v>
      </c>
      <c r="H160" s="1" t="s">
        <v>538</v>
      </c>
      <c r="I160" s="1">
        <v>23</v>
      </c>
      <c r="J160" s="1">
        <v>24</v>
      </c>
    </row>
    <row r="161" spans="1:7" x14ac:dyDescent="0.3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3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3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3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3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3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249</v>
      </c>
      <c r="D166" s="1" t="s">
        <v>110</v>
      </c>
      <c r="E166" s="1" t="s">
        <v>111</v>
      </c>
      <c r="F166" s="1" t="s">
        <v>112</v>
      </c>
      <c r="G166" s="1" t="s">
        <v>113</v>
      </c>
    </row>
    <row r="167" spans="1:7" x14ac:dyDescent="0.35">
      <c r="A167" s="1" t="str">
        <f t="shared" si="2"/>
        <v>2</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539</v>
      </c>
      <c r="D167" s="1" t="s">
        <v>540</v>
      </c>
      <c r="E167" s="1" t="s">
        <v>541</v>
      </c>
      <c r="F167" s="1" t="s">
        <v>112</v>
      </c>
      <c r="G167" s="1">
        <v>269984</v>
      </c>
    </row>
    <row r="168" spans="1:7" x14ac:dyDescent="0.35">
      <c r="A168" s="1" t="str">
        <f t="shared" si="2"/>
        <v>2</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542</v>
      </c>
      <c r="D168" s="1" t="s">
        <v>543</v>
      </c>
      <c r="E168" s="1" t="s">
        <v>544</v>
      </c>
      <c r="F168" s="1" t="s">
        <v>112</v>
      </c>
      <c r="G168" s="1">
        <v>370066</v>
      </c>
    </row>
    <row r="169" spans="1:7" x14ac:dyDescent="0.35">
      <c r="A169" s="1" t="str">
        <f t="shared" si="2"/>
        <v>2</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545</v>
      </c>
      <c r="D169" s="1" t="s">
        <v>546</v>
      </c>
      <c r="E169" s="1" t="s">
        <v>547</v>
      </c>
      <c r="F169" s="1" t="s">
        <v>112</v>
      </c>
      <c r="G169" s="1">
        <v>107782</v>
      </c>
    </row>
    <row r="170" spans="1:7" x14ac:dyDescent="0.35">
      <c r="A170" s="1" t="str">
        <f t="shared" si="2"/>
        <v>2</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548</v>
      </c>
      <c r="D170" s="1" t="s">
        <v>549</v>
      </c>
      <c r="E170" s="1">
        <v>30</v>
      </c>
      <c r="F170" s="1" t="s">
        <v>112</v>
      </c>
      <c r="G170" s="1">
        <v>649</v>
      </c>
    </row>
    <row r="171" spans="1:7" x14ac:dyDescent="0.35">
      <c r="A171" s="1" t="str">
        <f t="shared" si="2"/>
        <v>2</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550</v>
      </c>
      <c r="D171" s="1" t="s">
        <v>551</v>
      </c>
      <c r="E171" s="1" t="s">
        <v>552</v>
      </c>
      <c r="F171" s="1" t="s">
        <v>112</v>
      </c>
      <c r="G171" s="1">
        <v>2704</v>
      </c>
    </row>
    <row r="172" spans="1:7" x14ac:dyDescent="0.35">
      <c r="A172" s="1" t="str">
        <f t="shared" si="2"/>
        <v>2</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553</v>
      </c>
      <c r="D172" s="1" t="s">
        <v>554</v>
      </c>
      <c r="E172" s="1" t="s">
        <v>555</v>
      </c>
      <c r="F172" s="1" t="s">
        <v>112</v>
      </c>
      <c r="G172" s="1">
        <v>113752</v>
      </c>
    </row>
    <row r="173" spans="1:7" x14ac:dyDescent="0.35">
      <c r="A173" s="1" t="str">
        <f t="shared" si="2"/>
        <v>2</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556</v>
      </c>
      <c r="D173" s="1" t="s">
        <v>557</v>
      </c>
      <c r="E173" s="1" t="s">
        <v>558</v>
      </c>
      <c r="F173" s="1" t="s">
        <v>112</v>
      </c>
      <c r="G173" s="1">
        <v>193566</v>
      </c>
    </row>
    <row r="174" spans="1:7" x14ac:dyDescent="0.35">
      <c r="A174" s="1" t="str">
        <f t="shared" si="2"/>
        <v>2</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559</v>
      </c>
      <c r="D174" s="1" t="s">
        <v>215</v>
      </c>
      <c r="E174" s="1" t="s">
        <v>560</v>
      </c>
      <c r="F174" s="1" t="s">
        <v>112</v>
      </c>
      <c r="G174" s="1">
        <v>101033</v>
      </c>
    </row>
    <row r="175" spans="1:7" x14ac:dyDescent="0.35">
      <c r="A175" s="1" t="str">
        <f t="shared" si="2"/>
        <v>2</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561</v>
      </c>
      <c r="D175" s="1" t="s">
        <v>562</v>
      </c>
      <c r="E175" s="1" t="s">
        <v>563</v>
      </c>
      <c r="F175" s="1" t="s">
        <v>112</v>
      </c>
      <c r="G175" s="1">
        <v>180848</v>
      </c>
    </row>
    <row r="176" spans="1:7" x14ac:dyDescent="0.35">
      <c r="A176" s="1" t="str">
        <f t="shared" si="2"/>
        <v>2</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564</v>
      </c>
      <c r="D176" s="1" t="s">
        <v>565</v>
      </c>
      <c r="E176" s="1" t="s">
        <v>566</v>
      </c>
      <c r="F176" s="1" t="s">
        <v>112</v>
      </c>
      <c r="G176" s="1">
        <v>241000</v>
      </c>
    </row>
    <row r="177" spans="1:10" x14ac:dyDescent="0.35">
      <c r="A177" s="1" t="str">
        <f t="shared" si="2"/>
        <v>2</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567</v>
      </c>
      <c r="D177" s="1" t="s">
        <v>568</v>
      </c>
      <c r="E177" s="1" t="s">
        <v>569</v>
      </c>
      <c r="F177" s="1" t="s">
        <v>112</v>
      </c>
      <c r="G177" s="1">
        <v>150263</v>
      </c>
    </row>
    <row r="178" spans="1:10" x14ac:dyDescent="0.35">
      <c r="A178" s="1" t="str">
        <f t="shared" si="2"/>
        <v>2</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570</v>
      </c>
      <c r="D178" s="1" t="s">
        <v>571</v>
      </c>
      <c r="E178" s="1" t="s">
        <v>572</v>
      </c>
      <c r="F178" s="1" t="s">
        <v>112</v>
      </c>
      <c r="G178" s="1">
        <v>121365</v>
      </c>
    </row>
    <row r="179" spans="1:10" x14ac:dyDescent="0.35">
      <c r="A179" s="1" t="str">
        <f t="shared" si="2"/>
        <v>2</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573</v>
      </c>
    </row>
    <row r="180" spans="1:10" x14ac:dyDescent="0.35">
      <c r="A180" s="1" t="str">
        <f t="shared" si="2"/>
        <v>2</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574</v>
      </c>
    </row>
    <row r="181" spans="1:10" x14ac:dyDescent="0.35">
      <c r="A181" s="1" t="str">
        <f t="shared" si="2"/>
        <v>2</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575</v>
      </c>
    </row>
    <row r="182" spans="1:10" x14ac:dyDescent="0.35">
      <c r="A182" s="1" t="str">
        <f t="shared" si="2"/>
        <v>2</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576</v>
      </c>
      <c r="D182" s="1" t="s">
        <v>577</v>
      </c>
      <c r="E182" s="1" t="s">
        <v>578</v>
      </c>
      <c r="F182" s="1" t="s">
        <v>112</v>
      </c>
      <c r="G182" s="1">
        <v>583380</v>
      </c>
    </row>
    <row r="183" spans="1:10" x14ac:dyDescent="0.35">
      <c r="A183" s="1" t="str">
        <f t="shared" si="2"/>
        <v>2</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579</v>
      </c>
      <c r="D183" s="1" t="s">
        <v>580</v>
      </c>
      <c r="E183" s="1" t="s">
        <v>581</v>
      </c>
      <c r="F183" s="1" t="s">
        <v>112</v>
      </c>
      <c r="G183" s="1">
        <v>434350</v>
      </c>
    </row>
    <row r="184" spans="1:10" x14ac:dyDescent="0.35">
      <c r="A184" s="1" t="str">
        <f t="shared" si="2"/>
        <v>2</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582</v>
      </c>
      <c r="D184" s="1" t="s">
        <v>583</v>
      </c>
      <c r="E184" s="1" t="s">
        <v>584</v>
      </c>
      <c r="F184" s="1" t="s">
        <v>112</v>
      </c>
      <c r="G184" s="1">
        <v>626964</v>
      </c>
    </row>
    <row r="185" spans="1:10" x14ac:dyDescent="0.35">
      <c r="A185" s="1" t="str">
        <f t="shared" si="2"/>
        <v>2</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585</v>
      </c>
      <c r="D185" s="1" t="s">
        <v>586</v>
      </c>
      <c r="E185" s="1" t="s">
        <v>587</v>
      </c>
      <c r="F185" s="1" t="s">
        <v>112</v>
      </c>
      <c r="G185" s="1">
        <v>255341</v>
      </c>
    </row>
    <row r="186" spans="1:10" x14ac:dyDescent="0.35">
      <c r="A186" s="1" t="str">
        <f t="shared" si="2"/>
        <v>2</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588</v>
      </c>
      <c r="D186" s="1" t="s">
        <v>589</v>
      </c>
      <c r="E186" s="1" t="s">
        <v>590</v>
      </c>
      <c r="F186" s="1" t="s">
        <v>112</v>
      </c>
      <c r="G186" s="1">
        <v>183184</v>
      </c>
    </row>
    <row r="187" spans="1:10" x14ac:dyDescent="0.35">
      <c r="A187" s="1" t="str">
        <f t="shared" si="2"/>
        <v>2</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591</v>
      </c>
      <c r="D187" s="1" t="s">
        <v>592</v>
      </c>
      <c r="E187" s="1" t="s">
        <v>593</v>
      </c>
      <c r="F187" s="1" t="s">
        <v>112</v>
      </c>
      <c r="G187" s="1">
        <v>116023</v>
      </c>
    </row>
    <row r="188" spans="1:10" x14ac:dyDescent="0.35">
      <c r="A188" s="1" t="str">
        <f t="shared" si="2"/>
        <v>2</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594</v>
      </c>
      <c r="D188" s="1" t="s">
        <v>595</v>
      </c>
      <c r="E188" s="1" t="s">
        <v>596</v>
      </c>
      <c r="F188" s="1" t="s">
        <v>112</v>
      </c>
      <c r="G188" s="1">
        <v>113254</v>
      </c>
    </row>
    <row r="189" spans="1:10" x14ac:dyDescent="0.35">
      <c r="A189" s="1" t="str">
        <f t="shared" si="2"/>
        <v>2</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597</v>
      </c>
      <c r="D189" s="1">
        <v>0</v>
      </c>
      <c r="E189" s="1">
        <v>0</v>
      </c>
      <c r="F189" s="1" t="s">
        <v>112</v>
      </c>
      <c r="G189" s="1">
        <v>0</v>
      </c>
    </row>
    <row r="190" spans="1:10" x14ac:dyDescent="0.35">
      <c r="A190" s="1" t="str">
        <f t="shared" si="2"/>
        <v>2</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598</v>
      </c>
      <c r="D190" s="1" t="s">
        <v>599</v>
      </c>
      <c r="E190" s="1" t="s">
        <v>600</v>
      </c>
      <c r="F190" s="1" t="s">
        <v>112</v>
      </c>
      <c r="G190" s="1">
        <v>88704</v>
      </c>
    </row>
    <row r="191" spans="1:10" x14ac:dyDescent="0.3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112</v>
      </c>
    </row>
    <row r="192" spans="1:10" x14ac:dyDescent="0.3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237</v>
      </c>
      <c r="D192" s="1" t="s">
        <v>112</v>
      </c>
      <c r="E192" s="1" t="s">
        <v>238</v>
      </c>
      <c r="F192" s="1" t="s">
        <v>239</v>
      </c>
      <c r="G192" s="1" t="s">
        <v>240</v>
      </c>
      <c r="H192" s="1" t="s">
        <v>241</v>
      </c>
      <c r="I192" s="1" t="s">
        <v>242</v>
      </c>
      <c r="J192" s="1" t="s">
        <v>243</v>
      </c>
    </row>
    <row r="193" spans="1:10" x14ac:dyDescent="0.35">
      <c r="A193" s="1" t="str">
        <f t="shared" si="2"/>
        <v>2</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601</v>
      </c>
      <c r="D193" s="1" t="s">
        <v>112</v>
      </c>
      <c r="E193" s="1" t="s">
        <v>602</v>
      </c>
      <c r="F193" s="1" t="s">
        <v>603</v>
      </c>
      <c r="G193" s="1" t="s">
        <v>604</v>
      </c>
      <c r="H193" s="1" t="s">
        <v>605</v>
      </c>
      <c r="I193" s="1">
        <v>22</v>
      </c>
      <c r="J193" s="1">
        <v>24</v>
      </c>
    </row>
    <row r="194" spans="1:10" x14ac:dyDescent="0.3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112</v>
      </c>
    </row>
    <row r="195" spans="1:10" x14ac:dyDescent="0.3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10" x14ac:dyDescent="0.3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10" x14ac:dyDescent="0.3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10" x14ac:dyDescent="0.3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10" x14ac:dyDescent="0.3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249</v>
      </c>
      <c r="D199" s="1" t="s">
        <v>110</v>
      </c>
      <c r="E199" s="1" t="s">
        <v>111</v>
      </c>
      <c r="F199" s="1" t="s">
        <v>112</v>
      </c>
      <c r="G199" s="1" t="s">
        <v>113</v>
      </c>
    </row>
    <row r="200" spans="1:10" x14ac:dyDescent="0.35">
      <c r="A200" s="1" t="str">
        <f t="shared" si="3"/>
        <v>3</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606</v>
      </c>
      <c r="D200" s="1" t="s">
        <v>607</v>
      </c>
      <c r="E200" s="1" t="s">
        <v>608</v>
      </c>
      <c r="F200" s="1" t="s">
        <v>112</v>
      </c>
      <c r="G200" s="1">
        <v>301542</v>
      </c>
    </row>
    <row r="201" spans="1:10" x14ac:dyDescent="0.35">
      <c r="A201" s="1" t="str">
        <f t="shared" si="3"/>
        <v>3</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609</v>
      </c>
      <c r="D201" s="1" t="s">
        <v>610</v>
      </c>
      <c r="E201" s="1" t="s">
        <v>611</v>
      </c>
      <c r="F201" s="1" t="s">
        <v>112</v>
      </c>
      <c r="G201" s="1">
        <v>120868</v>
      </c>
    </row>
    <row r="202" spans="1:10" x14ac:dyDescent="0.35">
      <c r="A202" s="1" t="str">
        <f t="shared" si="3"/>
        <v>3</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612</v>
      </c>
      <c r="D202" s="1" t="s">
        <v>613</v>
      </c>
      <c r="E202" s="1" t="s">
        <v>614</v>
      </c>
      <c r="F202" s="1" t="s">
        <v>112</v>
      </c>
      <c r="G202" s="1">
        <v>32380</v>
      </c>
    </row>
    <row r="203" spans="1:10" x14ac:dyDescent="0.35">
      <c r="A203" s="1" t="str">
        <f t="shared" si="3"/>
        <v>3</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615</v>
      </c>
      <c r="D203" s="1" t="s">
        <v>571</v>
      </c>
      <c r="E203" s="1" t="s">
        <v>616</v>
      </c>
      <c r="F203" s="1" t="s">
        <v>112</v>
      </c>
      <c r="G203" s="1">
        <v>109426</v>
      </c>
    </row>
    <row r="204" spans="1:10" x14ac:dyDescent="0.35">
      <c r="A204" s="1" t="str">
        <f t="shared" si="3"/>
        <v>3</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617</v>
      </c>
    </row>
    <row r="205" spans="1:10" x14ac:dyDescent="0.35">
      <c r="A205" s="1" t="str">
        <f t="shared" si="3"/>
        <v>3</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618</v>
      </c>
      <c r="D205" s="1" t="s">
        <v>619</v>
      </c>
      <c r="E205" s="1" t="s">
        <v>620</v>
      </c>
      <c r="F205" s="1" t="s">
        <v>112</v>
      </c>
      <c r="G205" s="1">
        <v>86714</v>
      </c>
    </row>
    <row r="206" spans="1:10" x14ac:dyDescent="0.35">
      <c r="A206" s="1" t="str">
        <f t="shared" si="3"/>
        <v>3</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621</v>
      </c>
      <c r="D206" s="1" t="s">
        <v>622</v>
      </c>
      <c r="E206" s="1" t="s">
        <v>623</v>
      </c>
      <c r="F206" s="1" t="s">
        <v>112</v>
      </c>
      <c r="G206" s="1">
        <v>322199</v>
      </c>
    </row>
    <row r="207" spans="1:10" x14ac:dyDescent="0.35">
      <c r="A207" s="1" t="str">
        <f t="shared" si="3"/>
        <v>3</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624</v>
      </c>
      <c r="D207" s="1" t="s">
        <v>625</v>
      </c>
      <c r="E207" s="1" t="s">
        <v>626</v>
      </c>
      <c r="F207" s="1" t="s">
        <v>112</v>
      </c>
      <c r="G207" s="1">
        <v>172650</v>
      </c>
    </row>
    <row r="208" spans="1:10" x14ac:dyDescent="0.35">
      <c r="A208" s="1" t="str">
        <f t="shared" si="3"/>
        <v>3</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627</v>
      </c>
      <c r="D208" s="1" t="s">
        <v>592</v>
      </c>
      <c r="E208" s="1" t="s">
        <v>628</v>
      </c>
      <c r="F208" s="1" t="s">
        <v>112</v>
      </c>
      <c r="G208" s="1">
        <v>108063</v>
      </c>
    </row>
    <row r="209" spans="1:7" x14ac:dyDescent="0.35">
      <c r="A209" s="1" t="str">
        <f t="shared" si="3"/>
        <v>3</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629</v>
      </c>
      <c r="D209" s="1" t="s">
        <v>630</v>
      </c>
      <c r="E209" s="1" t="s">
        <v>631</v>
      </c>
      <c r="F209" s="1" t="s">
        <v>112</v>
      </c>
      <c r="G209" s="1">
        <v>218765</v>
      </c>
    </row>
    <row r="210" spans="1:7" x14ac:dyDescent="0.35">
      <c r="A210" s="1" t="str">
        <f t="shared" si="3"/>
        <v>3</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632</v>
      </c>
      <c r="D210" s="1" t="s">
        <v>496</v>
      </c>
      <c r="E210" s="1" t="s">
        <v>633</v>
      </c>
      <c r="F210" s="1" t="s">
        <v>112</v>
      </c>
      <c r="G210" s="1">
        <v>49186</v>
      </c>
    </row>
    <row r="211" spans="1:7" x14ac:dyDescent="0.35">
      <c r="A211" s="1" t="str">
        <f t="shared" si="3"/>
        <v>3</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634</v>
      </c>
      <c r="D211" s="1" t="s">
        <v>635</v>
      </c>
      <c r="E211" s="1" t="s">
        <v>636</v>
      </c>
      <c r="F211" s="1" t="s">
        <v>112</v>
      </c>
      <c r="G211" s="1">
        <v>321485</v>
      </c>
    </row>
    <row r="212" spans="1:7" x14ac:dyDescent="0.35">
      <c r="A212" s="1" t="str">
        <f t="shared" si="3"/>
        <v>3</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637</v>
      </c>
      <c r="D212" s="1" t="s">
        <v>372</v>
      </c>
      <c r="E212" s="1" t="s">
        <v>638</v>
      </c>
      <c r="F212" s="1" t="s">
        <v>112</v>
      </c>
      <c r="G212" s="1">
        <v>134646</v>
      </c>
    </row>
    <row r="213" spans="1:7" x14ac:dyDescent="0.35">
      <c r="A213" s="1" t="str">
        <f t="shared" si="3"/>
        <v>3</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639</v>
      </c>
      <c r="D213" s="1" t="s">
        <v>640</v>
      </c>
      <c r="E213" s="1" t="s">
        <v>641</v>
      </c>
      <c r="F213" s="1" t="s">
        <v>112</v>
      </c>
      <c r="G213" s="1">
        <v>110226</v>
      </c>
    </row>
    <row r="214" spans="1:7" x14ac:dyDescent="0.35">
      <c r="A214" s="1" t="str">
        <f t="shared" si="3"/>
        <v>3</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642</v>
      </c>
      <c r="D214" s="1" t="s">
        <v>643</v>
      </c>
      <c r="E214" s="1">
        <v>35</v>
      </c>
      <c r="F214" s="1" t="s">
        <v>112</v>
      </c>
      <c r="G214" s="1">
        <v>123399</v>
      </c>
    </row>
    <row r="215" spans="1:7" x14ac:dyDescent="0.35">
      <c r="A215" s="1" t="str">
        <f t="shared" si="3"/>
        <v>3</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644</v>
      </c>
      <c r="D215" s="1" t="s">
        <v>645</v>
      </c>
      <c r="E215" s="1" t="s">
        <v>646</v>
      </c>
      <c r="F215" s="1" t="s">
        <v>112</v>
      </c>
      <c r="G215" s="1">
        <v>167415</v>
      </c>
    </row>
    <row r="216" spans="1:7" x14ac:dyDescent="0.35">
      <c r="A216" s="1" t="str">
        <f t="shared" si="3"/>
        <v>3</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647</v>
      </c>
      <c r="D216" s="1" t="s">
        <v>648</v>
      </c>
      <c r="E216" s="1" t="s">
        <v>649</v>
      </c>
      <c r="F216" s="1" t="s">
        <v>112</v>
      </c>
      <c r="G216" s="1">
        <v>94285</v>
      </c>
    </row>
    <row r="217" spans="1:7" x14ac:dyDescent="0.35">
      <c r="A217" s="1" t="str">
        <f t="shared" si="3"/>
        <v>3</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650</v>
      </c>
      <c r="D217" s="1" t="s">
        <v>595</v>
      </c>
      <c r="E217" s="1" t="s">
        <v>651</v>
      </c>
      <c r="F217" s="1" t="s">
        <v>112</v>
      </c>
      <c r="G217" s="1">
        <v>122988</v>
      </c>
    </row>
    <row r="218" spans="1:7" x14ac:dyDescent="0.35">
      <c r="A218" s="1" t="str">
        <f t="shared" si="3"/>
        <v>3</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652</v>
      </c>
      <c r="D218" s="1" t="s">
        <v>653</v>
      </c>
      <c r="E218" s="1" t="s">
        <v>654</v>
      </c>
      <c r="F218" s="1" t="s">
        <v>112</v>
      </c>
      <c r="G218" s="1">
        <v>746253</v>
      </c>
    </row>
    <row r="219" spans="1:7" x14ac:dyDescent="0.35">
      <c r="A219" s="1" t="str">
        <f t="shared" si="3"/>
        <v>3</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655</v>
      </c>
      <c r="D219" s="1" t="s">
        <v>656</v>
      </c>
      <c r="E219" s="1" t="s">
        <v>657</v>
      </c>
      <c r="F219" s="1" t="s">
        <v>112</v>
      </c>
      <c r="G219" s="1">
        <v>1211793</v>
      </c>
    </row>
    <row r="220" spans="1:7" x14ac:dyDescent="0.35">
      <c r="A220" s="1" t="str">
        <f t="shared" si="3"/>
        <v>3</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658</v>
      </c>
      <c r="D220" s="1" t="s">
        <v>659</v>
      </c>
      <c r="E220" s="1" t="s">
        <v>660</v>
      </c>
      <c r="F220" s="1" t="s">
        <v>112</v>
      </c>
      <c r="G220" s="1">
        <v>41486</v>
      </c>
    </row>
    <row r="221" spans="1:7" x14ac:dyDescent="0.35">
      <c r="A221" s="1" t="str">
        <f t="shared" si="3"/>
        <v>3</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661</v>
      </c>
      <c r="D221" s="1" t="s">
        <v>662</v>
      </c>
      <c r="E221" s="1" t="s">
        <v>663</v>
      </c>
      <c r="F221" s="1" t="s">
        <v>112</v>
      </c>
      <c r="G221" s="1">
        <v>109512</v>
      </c>
    </row>
    <row r="222" spans="1:7" x14ac:dyDescent="0.35">
      <c r="A222" s="1" t="str">
        <f t="shared" si="3"/>
        <v>3</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664</v>
      </c>
      <c r="D222" s="1" t="s">
        <v>665</v>
      </c>
      <c r="E222" s="1" t="s">
        <v>666</v>
      </c>
      <c r="F222" s="1" t="s">
        <v>112</v>
      </c>
      <c r="G222" s="1">
        <v>118229</v>
      </c>
    </row>
    <row r="223" spans="1:7" x14ac:dyDescent="0.35">
      <c r="A223" s="1" t="str">
        <f t="shared" si="3"/>
        <v>3</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667</v>
      </c>
      <c r="D223" s="1" t="s">
        <v>668</v>
      </c>
      <c r="E223" s="1" t="s">
        <v>669</v>
      </c>
      <c r="F223" s="1" t="s">
        <v>112</v>
      </c>
      <c r="G223" s="1">
        <v>235766</v>
      </c>
    </row>
    <row r="224" spans="1:7" x14ac:dyDescent="0.3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112</v>
      </c>
    </row>
    <row r="225" spans="1:10" x14ac:dyDescent="0.3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237</v>
      </c>
      <c r="D225" s="1" t="s">
        <v>112</v>
      </c>
      <c r="E225" s="1" t="s">
        <v>238</v>
      </c>
      <c r="F225" s="1" t="s">
        <v>239</v>
      </c>
      <c r="G225" s="1" t="s">
        <v>240</v>
      </c>
      <c r="H225" s="1" t="s">
        <v>241</v>
      </c>
      <c r="I225" s="1" t="s">
        <v>242</v>
      </c>
      <c r="J225" s="1" t="s">
        <v>243</v>
      </c>
    </row>
    <row r="226" spans="1:10" x14ac:dyDescent="0.35">
      <c r="A226" s="1" t="str">
        <f t="shared" si="3"/>
        <v>3</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670</v>
      </c>
      <c r="D226" s="1" t="s">
        <v>112</v>
      </c>
      <c r="E226" s="1" t="s">
        <v>671</v>
      </c>
      <c r="F226" s="1" t="s">
        <v>672</v>
      </c>
      <c r="G226" s="1" t="s">
        <v>673</v>
      </c>
      <c r="H226" s="1" t="s">
        <v>674</v>
      </c>
      <c r="I226" s="1">
        <v>23</v>
      </c>
      <c r="J226" s="1">
        <v>24</v>
      </c>
    </row>
    <row r="227" spans="1:10" x14ac:dyDescent="0.3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112</v>
      </c>
    </row>
    <row r="228" spans="1:10" x14ac:dyDescent="0.3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10" x14ac:dyDescent="0.3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10" x14ac:dyDescent="0.3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10" x14ac:dyDescent="0.3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10" x14ac:dyDescent="0.3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249</v>
      </c>
      <c r="D232" s="1" t="s">
        <v>110</v>
      </c>
      <c r="E232" s="1" t="s">
        <v>111</v>
      </c>
      <c r="F232" s="1" t="s">
        <v>112</v>
      </c>
      <c r="G232" s="1" t="s">
        <v>113</v>
      </c>
    </row>
    <row r="233" spans="1:10" x14ac:dyDescent="0.35">
      <c r="A233" s="1" t="str">
        <f t="shared" si="3"/>
        <v>4</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675</v>
      </c>
      <c r="D233" s="1" t="s">
        <v>676</v>
      </c>
      <c r="E233" s="1" t="s">
        <v>677</v>
      </c>
      <c r="F233" s="1" t="s">
        <v>112</v>
      </c>
      <c r="G233" s="1">
        <v>707968</v>
      </c>
    </row>
    <row r="234" spans="1:10" x14ac:dyDescent="0.35">
      <c r="A234" s="1" t="str">
        <f t="shared" si="3"/>
        <v>4</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678</v>
      </c>
      <c r="D234" s="1" t="s">
        <v>635</v>
      </c>
      <c r="E234" s="1" t="s">
        <v>679</v>
      </c>
      <c r="F234" s="1" t="s">
        <v>112</v>
      </c>
      <c r="G234" s="1">
        <v>382957</v>
      </c>
    </row>
    <row r="235" spans="1:10" x14ac:dyDescent="0.35">
      <c r="A235" s="1" t="str">
        <f t="shared" si="3"/>
        <v>4</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680</v>
      </c>
      <c r="D235" s="1" t="s">
        <v>681</v>
      </c>
      <c r="E235" s="1" t="s">
        <v>682</v>
      </c>
      <c r="F235" s="1" t="s">
        <v>112</v>
      </c>
      <c r="G235" s="1">
        <v>635897</v>
      </c>
    </row>
    <row r="236" spans="1:10" x14ac:dyDescent="0.35">
      <c r="A236" s="1" t="str">
        <f t="shared" si="3"/>
        <v>4</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683</v>
      </c>
      <c r="D236" s="1" t="s">
        <v>684</v>
      </c>
      <c r="E236" s="1" t="s">
        <v>685</v>
      </c>
      <c r="F236" s="1" t="s">
        <v>112</v>
      </c>
      <c r="G236" s="1">
        <v>2146983</v>
      </c>
    </row>
    <row r="237" spans="1:10" x14ac:dyDescent="0.35">
      <c r="A237" s="1" t="str">
        <f t="shared" si="3"/>
        <v>4</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686</v>
      </c>
      <c r="D237" s="1" t="s">
        <v>687</v>
      </c>
      <c r="E237" s="1" t="s">
        <v>688</v>
      </c>
      <c r="F237" s="1" t="s">
        <v>112</v>
      </c>
      <c r="G237" s="1">
        <v>1528022</v>
      </c>
    </row>
    <row r="238" spans="1:10" x14ac:dyDescent="0.35">
      <c r="A238" s="1" t="str">
        <f t="shared" si="3"/>
        <v>4</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689</v>
      </c>
    </row>
    <row r="239" spans="1:10" x14ac:dyDescent="0.35">
      <c r="A239" s="1" t="str">
        <f t="shared" si="3"/>
        <v>4</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690</v>
      </c>
      <c r="D239" s="1" t="s">
        <v>691</v>
      </c>
      <c r="E239" s="1" t="s">
        <v>692</v>
      </c>
      <c r="F239" s="1" t="s">
        <v>112</v>
      </c>
      <c r="G239" s="1">
        <v>348047</v>
      </c>
    </row>
    <row r="240" spans="1:10" x14ac:dyDescent="0.35">
      <c r="A240" s="1" t="str">
        <f t="shared" si="3"/>
        <v>4</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693</v>
      </c>
      <c r="D240" s="1" t="s">
        <v>619</v>
      </c>
      <c r="E240" s="1" t="s">
        <v>694</v>
      </c>
      <c r="F240" s="1" t="s">
        <v>112</v>
      </c>
      <c r="G240" s="1">
        <v>82237</v>
      </c>
    </row>
    <row r="241" spans="1:7" x14ac:dyDescent="0.35">
      <c r="A241" s="1" t="str">
        <f t="shared" si="3"/>
        <v>4</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695</v>
      </c>
      <c r="D241" s="1" t="s">
        <v>696</v>
      </c>
      <c r="E241" s="1" t="s">
        <v>697</v>
      </c>
      <c r="F241" s="1" t="s">
        <v>112</v>
      </c>
      <c r="G241" s="1">
        <v>419663</v>
      </c>
    </row>
    <row r="242" spans="1:7" x14ac:dyDescent="0.35">
      <c r="A242" s="1" t="str">
        <f t="shared" si="3"/>
        <v>4</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698</v>
      </c>
      <c r="D242" s="1" t="s">
        <v>699</v>
      </c>
      <c r="E242" s="1" t="s">
        <v>700</v>
      </c>
      <c r="F242" s="1" t="s">
        <v>112</v>
      </c>
      <c r="G242" s="1">
        <v>2635624</v>
      </c>
    </row>
    <row r="243" spans="1:7" x14ac:dyDescent="0.35">
      <c r="A243" s="1" t="str">
        <f t="shared" si="3"/>
        <v>4</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701</v>
      </c>
      <c r="D243" s="1" t="s">
        <v>702</v>
      </c>
      <c r="E243" s="1" t="s">
        <v>703</v>
      </c>
      <c r="F243" s="1" t="s">
        <v>112</v>
      </c>
      <c r="G243" s="1">
        <v>2671162</v>
      </c>
    </row>
    <row r="244" spans="1:7" x14ac:dyDescent="0.35">
      <c r="A244" s="1" t="str">
        <f t="shared" si="3"/>
        <v>4</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704</v>
      </c>
      <c r="D244" s="1" t="s">
        <v>705</v>
      </c>
      <c r="E244" s="1" t="s">
        <v>706</v>
      </c>
      <c r="F244" s="1" t="s">
        <v>112</v>
      </c>
      <c r="G244" s="1">
        <v>2770616</v>
      </c>
    </row>
    <row r="245" spans="1:7" x14ac:dyDescent="0.35">
      <c r="A245" s="1" t="str">
        <f t="shared" si="3"/>
        <v>4</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707</v>
      </c>
      <c r="D245" s="1" t="s">
        <v>708</v>
      </c>
      <c r="E245" s="1" t="s">
        <v>709</v>
      </c>
      <c r="F245" s="1" t="s">
        <v>112</v>
      </c>
      <c r="G245" s="1">
        <v>272731</v>
      </c>
    </row>
    <row r="246" spans="1:7" x14ac:dyDescent="0.35">
      <c r="A246" s="1" t="str">
        <f t="shared" si="3"/>
        <v>4</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710</v>
      </c>
      <c r="D246" s="1" t="s">
        <v>711</v>
      </c>
      <c r="E246" s="1" t="s">
        <v>712</v>
      </c>
      <c r="F246" s="1" t="s">
        <v>112</v>
      </c>
      <c r="G246" s="1">
        <v>131834</v>
      </c>
    </row>
    <row r="247" spans="1:7" x14ac:dyDescent="0.35">
      <c r="A247" s="1" t="str">
        <f t="shared" si="3"/>
        <v>4</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713</v>
      </c>
      <c r="D247" s="1" t="s">
        <v>714</v>
      </c>
      <c r="E247" s="1" t="s">
        <v>715</v>
      </c>
      <c r="F247" s="1" t="s">
        <v>112</v>
      </c>
      <c r="G247" s="1">
        <v>246754</v>
      </c>
    </row>
    <row r="248" spans="1:7" x14ac:dyDescent="0.35">
      <c r="A248" s="1" t="str">
        <f t="shared" si="3"/>
        <v>4</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716</v>
      </c>
      <c r="D248" s="1" t="s">
        <v>717</v>
      </c>
      <c r="E248" s="1">
        <v>33</v>
      </c>
      <c r="F248" s="1" t="s">
        <v>112</v>
      </c>
      <c r="G248" s="1">
        <v>2141</v>
      </c>
    </row>
    <row r="249" spans="1:7" x14ac:dyDescent="0.35">
      <c r="A249" s="1" t="str">
        <f t="shared" si="3"/>
        <v>4</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718</v>
      </c>
      <c r="D249" s="1" t="s">
        <v>719</v>
      </c>
      <c r="E249" s="1" t="s">
        <v>720</v>
      </c>
      <c r="F249" s="1" t="s">
        <v>112</v>
      </c>
      <c r="G249" s="1">
        <v>119613</v>
      </c>
    </row>
    <row r="250" spans="1:7" x14ac:dyDescent="0.35">
      <c r="A250" s="1" t="str">
        <f t="shared" si="3"/>
        <v>4</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721</v>
      </c>
      <c r="D250" s="1" t="s">
        <v>722</v>
      </c>
      <c r="E250" s="1" t="s">
        <v>723</v>
      </c>
      <c r="F250" s="1" t="s">
        <v>112</v>
      </c>
      <c r="G250" s="1">
        <v>265983</v>
      </c>
    </row>
    <row r="251" spans="1:7" x14ac:dyDescent="0.35">
      <c r="A251" s="1" t="str">
        <f t="shared" si="3"/>
        <v>4</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724</v>
      </c>
      <c r="D251" s="1" t="s">
        <v>725</v>
      </c>
      <c r="E251" s="1" t="s">
        <v>726</v>
      </c>
      <c r="F251" s="1" t="s">
        <v>112</v>
      </c>
      <c r="G251" s="1">
        <v>1328876</v>
      </c>
    </row>
    <row r="252" spans="1:7" x14ac:dyDescent="0.35">
      <c r="A252" s="1" t="str">
        <f t="shared" si="3"/>
        <v>4</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727</v>
      </c>
      <c r="D252" s="1" t="s">
        <v>728</v>
      </c>
      <c r="E252" s="1" t="s">
        <v>729</v>
      </c>
      <c r="F252" s="1" t="s">
        <v>112</v>
      </c>
      <c r="G252" s="1">
        <v>1125512</v>
      </c>
    </row>
    <row r="253" spans="1:7" x14ac:dyDescent="0.35">
      <c r="A253" s="1" t="str">
        <f t="shared" si="3"/>
        <v>4</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730</v>
      </c>
      <c r="D253" s="1" t="s">
        <v>731</v>
      </c>
      <c r="E253" s="1" t="s">
        <v>732</v>
      </c>
      <c r="F253" s="1" t="s">
        <v>112</v>
      </c>
      <c r="G253" s="1">
        <v>1251549</v>
      </c>
    </row>
    <row r="254" spans="1:7" x14ac:dyDescent="0.35">
      <c r="A254" s="1" t="str">
        <f t="shared" si="3"/>
        <v>4</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733</v>
      </c>
      <c r="D254" s="1" t="s">
        <v>734</v>
      </c>
      <c r="E254" s="1" t="s">
        <v>735</v>
      </c>
      <c r="F254" s="1" t="s">
        <v>112</v>
      </c>
      <c r="G254" s="1">
        <v>2505823</v>
      </c>
    </row>
    <row r="255" spans="1:7" x14ac:dyDescent="0.35">
      <c r="A255" s="1" t="str">
        <f t="shared" si="3"/>
        <v>4</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736</v>
      </c>
      <c r="D255" s="1" t="s">
        <v>737</v>
      </c>
      <c r="E255" s="1" t="s">
        <v>738</v>
      </c>
      <c r="F255" s="1" t="s">
        <v>112</v>
      </c>
      <c r="G255" s="1">
        <v>2388438</v>
      </c>
    </row>
    <row r="256" spans="1:7" x14ac:dyDescent="0.35">
      <c r="A256" s="1" t="str">
        <f t="shared" si="3"/>
        <v>4</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739</v>
      </c>
      <c r="D256" s="1" t="s">
        <v>740</v>
      </c>
      <c r="E256" s="1" t="s">
        <v>741</v>
      </c>
      <c r="F256" s="1" t="s">
        <v>112</v>
      </c>
      <c r="G256" s="1">
        <v>1909898</v>
      </c>
    </row>
    <row r="257" spans="1:10" x14ac:dyDescent="0.3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112</v>
      </c>
    </row>
    <row r="258" spans="1:10" x14ac:dyDescent="0.3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237</v>
      </c>
      <c r="D258" s="1" t="s">
        <v>112</v>
      </c>
      <c r="E258" s="1" t="s">
        <v>238</v>
      </c>
      <c r="F258" s="1" t="s">
        <v>239</v>
      </c>
      <c r="G258" s="1" t="s">
        <v>240</v>
      </c>
      <c r="H258" s="1" t="s">
        <v>241</v>
      </c>
      <c r="I258" s="1" t="s">
        <v>242</v>
      </c>
      <c r="J258" s="1" t="s">
        <v>243</v>
      </c>
    </row>
    <row r="259" spans="1:10" x14ac:dyDescent="0.35">
      <c r="A259" s="1" t="str">
        <f t="shared" si="4"/>
        <v>4</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742</v>
      </c>
      <c r="D259" s="1" t="s">
        <v>112</v>
      </c>
      <c r="E259" s="1" t="s">
        <v>743</v>
      </c>
      <c r="F259" s="1" t="s">
        <v>744</v>
      </c>
      <c r="G259" s="1" t="s">
        <v>745</v>
      </c>
      <c r="H259" s="1" t="s">
        <v>746</v>
      </c>
      <c r="I259" s="1">
        <v>24</v>
      </c>
      <c r="J259" s="1">
        <v>24</v>
      </c>
    </row>
    <row r="260" spans="1:10" x14ac:dyDescent="0.3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112</v>
      </c>
    </row>
    <row r="261" spans="1:10" x14ac:dyDescent="0.3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10" x14ac:dyDescent="0.3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10" x14ac:dyDescent="0.3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10" x14ac:dyDescent="0.3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10" x14ac:dyDescent="0.3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249</v>
      </c>
      <c r="D265" s="1" t="s">
        <v>110</v>
      </c>
      <c r="E265" s="1" t="s">
        <v>111</v>
      </c>
      <c r="F265" s="1" t="s">
        <v>112</v>
      </c>
      <c r="G265" s="1" t="s">
        <v>113</v>
      </c>
    </row>
    <row r="266" spans="1:10" x14ac:dyDescent="0.35">
      <c r="A266" s="1" t="str">
        <f t="shared" si="4"/>
        <v>5</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747</v>
      </c>
      <c r="D266" s="1" t="s">
        <v>449</v>
      </c>
      <c r="E266" s="1" t="s">
        <v>748</v>
      </c>
      <c r="F266" s="1" t="s">
        <v>112</v>
      </c>
      <c r="G266" s="1">
        <v>3161123</v>
      </c>
    </row>
    <row r="267" spans="1:10" x14ac:dyDescent="0.35">
      <c r="A267" s="1" t="str">
        <f t="shared" si="4"/>
        <v>5</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749</v>
      </c>
      <c r="D267" s="1" t="s">
        <v>750</v>
      </c>
      <c r="E267" s="1" t="s">
        <v>751</v>
      </c>
      <c r="F267" s="1" t="s">
        <v>112</v>
      </c>
      <c r="G267" s="1">
        <v>2347774</v>
      </c>
    </row>
    <row r="268" spans="1:10" x14ac:dyDescent="0.35">
      <c r="A268" s="1" t="str">
        <f t="shared" si="4"/>
        <v>5</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752</v>
      </c>
      <c r="D268" s="1" t="s">
        <v>753</v>
      </c>
      <c r="E268" s="1" t="s">
        <v>754</v>
      </c>
      <c r="F268" s="1" t="s">
        <v>112</v>
      </c>
      <c r="G268" s="1">
        <v>3014840</v>
      </c>
    </row>
    <row r="269" spans="1:10" x14ac:dyDescent="0.35">
      <c r="A269" s="1" t="str">
        <f t="shared" si="4"/>
        <v>5</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755</v>
      </c>
      <c r="D269" s="1" t="s">
        <v>756</v>
      </c>
      <c r="E269" s="1" t="s">
        <v>757</v>
      </c>
      <c r="F269" s="1" t="s">
        <v>112</v>
      </c>
      <c r="G269" s="1">
        <v>1438907</v>
      </c>
    </row>
    <row r="270" spans="1:10" x14ac:dyDescent="0.35">
      <c r="A270" s="1" t="str">
        <f t="shared" si="4"/>
        <v>5</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758</v>
      </c>
      <c r="D270" s="1" t="s">
        <v>759</v>
      </c>
      <c r="E270" s="1" t="s">
        <v>760</v>
      </c>
      <c r="F270" s="1" t="s">
        <v>112</v>
      </c>
      <c r="G270" s="1">
        <v>1516342</v>
      </c>
    </row>
    <row r="271" spans="1:10" x14ac:dyDescent="0.35">
      <c r="A271" s="1" t="str">
        <f t="shared" si="4"/>
        <v>5</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761</v>
      </c>
      <c r="D271" s="1" t="s">
        <v>762</v>
      </c>
      <c r="E271" s="1" t="s">
        <v>763</v>
      </c>
      <c r="F271" s="1" t="s">
        <v>112</v>
      </c>
      <c r="G271" s="1">
        <v>1920864</v>
      </c>
    </row>
    <row r="272" spans="1:10" x14ac:dyDescent="0.35">
      <c r="A272" s="1" t="str">
        <f t="shared" si="4"/>
        <v>5</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764</v>
      </c>
      <c r="D272" s="1" t="s">
        <v>765</v>
      </c>
      <c r="E272" s="1" t="s">
        <v>766</v>
      </c>
      <c r="F272" s="1" t="s">
        <v>112</v>
      </c>
      <c r="G272" s="1">
        <v>2871758</v>
      </c>
    </row>
    <row r="273" spans="1:7" x14ac:dyDescent="0.35">
      <c r="A273" s="1" t="str">
        <f t="shared" si="4"/>
        <v>5</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767</v>
      </c>
      <c r="D273" s="1" t="s">
        <v>768</v>
      </c>
      <c r="E273" s="1" t="s">
        <v>769</v>
      </c>
      <c r="F273" s="1" t="s">
        <v>112</v>
      </c>
      <c r="G273" s="1">
        <v>2929120</v>
      </c>
    </row>
    <row r="274" spans="1:7" x14ac:dyDescent="0.35">
      <c r="A274" s="1" t="str">
        <f t="shared" si="4"/>
        <v>5</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770</v>
      </c>
      <c r="D274" s="1" t="s">
        <v>771</v>
      </c>
      <c r="E274" s="1" t="s">
        <v>772</v>
      </c>
      <c r="F274" s="1" t="s">
        <v>112</v>
      </c>
      <c r="G274" s="1">
        <v>2854346</v>
      </c>
    </row>
    <row r="275" spans="1:7" x14ac:dyDescent="0.35">
      <c r="A275" s="1" t="str">
        <f t="shared" si="4"/>
        <v>5</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773</v>
      </c>
      <c r="D275" s="1" t="s">
        <v>774</v>
      </c>
      <c r="E275" s="1" t="s">
        <v>775</v>
      </c>
      <c r="F275" s="1" t="s">
        <v>112</v>
      </c>
      <c r="G275" s="1">
        <v>2255025</v>
      </c>
    </row>
    <row r="276" spans="1:7" x14ac:dyDescent="0.35">
      <c r="A276" s="1" t="str">
        <f t="shared" si="4"/>
        <v>5</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776</v>
      </c>
      <c r="D276" s="1" t="s">
        <v>777</v>
      </c>
      <c r="E276" s="1" t="s">
        <v>778</v>
      </c>
      <c r="F276" s="1" t="s">
        <v>112</v>
      </c>
      <c r="G276" s="1">
        <v>2097256</v>
      </c>
    </row>
    <row r="277" spans="1:7" x14ac:dyDescent="0.35">
      <c r="A277" s="1" t="str">
        <f t="shared" si="4"/>
        <v>5</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779</v>
      </c>
      <c r="D277" s="1" t="s">
        <v>780</v>
      </c>
      <c r="E277" s="1" t="s">
        <v>781</v>
      </c>
      <c r="F277" s="1" t="s">
        <v>112</v>
      </c>
      <c r="G277" s="1">
        <v>2348076</v>
      </c>
    </row>
    <row r="278" spans="1:7" x14ac:dyDescent="0.35">
      <c r="A278" s="1" t="str">
        <f t="shared" si="4"/>
        <v>5</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782</v>
      </c>
      <c r="D278" s="1" t="s">
        <v>783</v>
      </c>
      <c r="E278" s="1" t="s">
        <v>784</v>
      </c>
      <c r="F278" s="1" t="s">
        <v>112</v>
      </c>
      <c r="G278" s="1">
        <v>2799601</v>
      </c>
    </row>
    <row r="279" spans="1:7" x14ac:dyDescent="0.35">
      <c r="A279" s="1" t="str">
        <f t="shared" si="4"/>
        <v>5</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785</v>
      </c>
      <c r="D279" s="1" t="s">
        <v>786</v>
      </c>
      <c r="E279" s="1" t="s">
        <v>787</v>
      </c>
      <c r="F279" s="1" t="s">
        <v>112</v>
      </c>
      <c r="G279" s="1">
        <v>3237995</v>
      </c>
    </row>
    <row r="280" spans="1:7" x14ac:dyDescent="0.35">
      <c r="A280" s="1" t="str">
        <f t="shared" si="4"/>
        <v>5</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788</v>
      </c>
      <c r="D280" s="1" t="s">
        <v>789</v>
      </c>
      <c r="E280" s="1" t="s">
        <v>790</v>
      </c>
      <c r="F280" s="1" t="s">
        <v>112</v>
      </c>
      <c r="G280" s="1">
        <v>3020528</v>
      </c>
    </row>
    <row r="281" spans="1:7" x14ac:dyDescent="0.35">
      <c r="A281" s="1" t="str">
        <f t="shared" si="4"/>
        <v>5</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791</v>
      </c>
      <c r="D281" s="1" t="s">
        <v>792</v>
      </c>
      <c r="E281" s="1" t="s">
        <v>793</v>
      </c>
      <c r="F281" s="1" t="s">
        <v>112</v>
      </c>
      <c r="G281" s="1">
        <v>1460364</v>
      </c>
    </row>
    <row r="282" spans="1:7" x14ac:dyDescent="0.35">
      <c r="A282" s="1" t="str">
        <f t="shared" si="4"/>
        <v>5</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794</v>
      </c>
      <c r="D282" s="1" t="s">
        <v>795</v>
      </c>
      <c r="E282" s="1" t="s">
        <v>796</v>
      </c>
      <c r="F282" s="1" t="s">
        <v>112</v>
      </c>
      <c r="G282" s="1">
        <v>1617959</v>
      </c>
    </row>
    <row r="283" spans="1:7" x14ac:dyDescent="0.35">
      <c r="A283" s="1" t="str">
        <f t="shared" si="4"/>
        <v>5</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797</v>
      </c>
      <c r="D283" s="1" t="s">
        <v>798</v>
      </c>
      <c r="E283" s="1" t="s">
        <v>799</v>
      </c>
      <c r="F283" s="1" t="s">
        <v>112</v>
      </c>
      <c r="G283" s="1">
        <v>1332791</v>
      </c>
    </row>
    <row r="284" spans="1:7" x14ac:dyDescent="0.35">
      <c r="A284" s="1" t="str">
        <f t="shared" si="4"/>
        <v>5</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800</v>
      </c>
      <c r="D284" s="1" t="s">
        <v>801</v>
      </c>
      <c r="E284" s="1" t="s">
        <v>802</v>
      </c>
      <c r="F284" s="1" t="s">
        <v>112</v>
      </c>
      <c r="G284" s="1">
        <v>2799363</v>
      </c>
    </row>
    <row r="285" spans="1:7" x14ac:dyDescent="0.35">
      <c r="A285" s="1" t="str">
        <f t="shared" si="4"/>
        <v>5</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803</v>
      </c>
      <c r="D285" s="1" t="s">
        <v>804</v>
      </c>
      <c r="E285" s="1" t="s">
        <v>805</v>
      </c>
      <c r="F285" s="1" t="s">
        <v>112</v>
      </c>
      <c r="G285" s="1">
        <v>2841649</v>
      </c>
    </row>
    <row r="286" spans="1:7" x14ac:dyDescent="0.35">
      <c r="A286" s="1" t="str">
        <f t="shared" si="4"/>
        <v>5</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806</v>
      </c>
      <c r="D286" s="1" t="s">
        <v>807</v>
      </c>
      <c r="E286" s="1" t="s">
        <v>808</v>
      </c>
      <c r="F286" s="1" t="s">
        <v>112</v>
      </c>
      <c r="G286" s="1">
        <v>2532277</v>
      </c>
    </row>
    <row r="287" spans="1:7" x14ac:dyDescent="0.35">
      <c r="A287" s="1" t="str">
        <f t="shared" si="4"/>
        <v>5</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809</v>
      </c>
      <c r="D287" s="1" t="s">
        <v>810</v>
      </c>
      <c r="E287" s="1" t="s">
        <v>811</v>
      </c>
      <c r="F287" s="1" t="s">
        <v>112</v>
      </c>
      <c r="G287" s="1">
        <v>2974954</v>
      </c>
    </row>
    <row r="288" spans="1:7" x14ac:dyDescent="0.35">
      <c r="A288" s="1" t="str">
        <f t="shared" si="4"/>
        <v>5</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812</v>
      </c>
      <c r="D288" s="1" t="s">
        <v>813</v>
      </c>
      <c r="E288" s="1" t="s">
        <v>814</v>
      </c>
      <c r="F288" s="1" t="s">
        <v>112</v>
      </c>
      <c r="G288" s="1">
        <v>2753248</v>
      </c>
    </row>
    <row r="289" spans="1:10" x14ac:dyDescent="0.35">
      <c r="A289" s="1" t="str">
        <f t="shared" si="4"/>
        <v>5</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815</v>
      </c>
      <c r="D289" s="1" t="s">
        <v>816</v>
      </c>
      <c r="E289" s="1" t="s">
        <v>817</v>
      </c>
      <c r="F289" s="1" t="s">
        <v>112</v>
      </c>
      <c r="G289" s="1">
        <v>2240295</v>
      </c>
    </row>
    <row r="290" spans="1:10" x14ac:dyDescent="0.3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112</v>
      </c>
    </row>
    <row r="291" spans="1:10" x14ac:dyDescent="0.3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237</v>
      </c>
      <c r="D291" s="1" t="s">
        <v>112</v>
      </c>
      <c r="E291" s="1" t="s">
        <v>238</v>
      </c>
      <c r="F291" s="1" t="s">
        <v>239</v>
      </c>
      <c r="G291" s="1" t="s">
        <v>240</v>
      </c>
      <c r="H291" s="1" t="s">
        <v>241</v>
      </c>
      <c r="I291" s="1" t="s">
        <v>242</v>
      </c>
      <c r="J291" s="1" t="s">
        <v>243</v>
      </c>
    </row>
    <row r="292" spans="1:10" x14ac:dyDescent="0.35">
      <c r="A292" s="1" t="str">
        <f t="shared" si="4"/>
        <v>5</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818</v>
      </c>
      <c r="D292" s="1" t="s">
        <v>112</v>
      </c>
      <c r="E292" s="1" t="s">
        <v>819</v>
      </c>
      <c r="F292" s="1" t="s">
        <v>820</v>
      </c>
      <c r="G292" s="1" t="s">
        <v>821</v>
      </c>
      <c r="H292" s="1" t="s">
        <v>822</v>
      </c>
      <c r="I292" s="1">
        <v>24</v>
      </c>
      <c r="J292" s="1">
        <v>24</v>
      </c>
    </row>
    <row r="293" spans="1:10" x14ac:dyDescent="0.3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112</v>
      </c>
    </row>
    <row r="294" spans="1:10" x14ac:dyDescent="0.3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10" x14ac:dyDescent="0.3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10" x14ac:dyDescent="0.3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10" x14ac:dyDescent="0.3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10" x14ac:dyDescent="0.3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249</v>
      </c>
      <c r="D298" s="1" t="s">
        <v>110</v>
      </c>
      <c r="E298" s="1" t="s">
        <v>111</v>
      </c>
      <c r="F298" s="1" t="s">
        <v>112</v>
      </c>
      <c r="G298" s="1" t="s">
        <v>113</v>
      </c>
    </row>
    <row r="299" spans="1:10" x14ac:dyDescent="0.35">
      <c r="A299" s="1" t="str">
        <f t="shared" si="4"/>
        <v>6</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823</v>
      </c>
      <c r="D299" s="1" t="s">
        <v>824</v>
      </c>
      <c r="E299" s="1" t="s">
        <v>825</v>
      </c>
      <c r="F299" s="1" t="s">
        <v>112</v>
      </c>
      <c r="G299" s="1">
        <v>3074452</v>
      </c>
    </row>
    <row r="300" spans="1:10" x14ac:dyDescent="0.35">
      <c r="A300" s="1" t="str">
        <f t="shared" si="4"/>
        <v>6</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826</v>
      </c>
      <c r="D300" s="1" t="s">
        <v>827</v>
      </c>
      <c r="E300" s="1" t="s">
        <v>828</v>
      </c>
      <c r="F300" s="1" t="s">
        <v>112</v>
      </c>
      <c r="G300" s="1">
        <v>3265617</v>
      </c>
    </row>
    <row r="301" spans="1:10" x14ac:dyDescent="0.35">
      <c r="A301" s="1" t="str">
        <f t="shared" si="4"/>
        <v>6</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829</v>
      </c>
      <c r="D301" s="1" t="s">
        <v>830</v>
      </c>
      <c r="E301" s="1" t="s">
        <v>831</v>
      </c>
      <c r="F301" s="1" t="s">
        <v>112</v>
      </c>
      <c r="G301" s="1">
        <v>2831807</v>
      </c>
    </row>
    <row r="302" spans="1:10" x14ac:dyDescent="0.35">
      <c r="A302" s="1" t="str">
        <f t="shared" si="4"/>
        <v>6</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832</v>
      </c>
      <c r="D302" s="1" t="s">
        <v>607</v>
      </c>
      <c r="E302" s="1" t="s">
        <v>833</v>
      </c>
      <c r="F302" s="1" t="s">
        <v>112</v>
      </c>
      <c r="G302" s="1">
        <v>286683</v>
      </c>
    </row>
    <row r="303" spans="1:10" x14ac:dyDescent="0.35">
      <c r="A303" s="1" t="str">
        <f t="shared" si="4"/>
        <v>6</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834</v>
      </c>
      <c r="D303" s="1" t="s">
        <v>835</v>
      </c>
      <c r="E303" s="1" t="s">
        <v>836</v>
      </c>
      <c r="F303" s="1" t="s">
        <v>112</v>
      </c>
      <c r="G303" s="1">
        <v>551411</v>
      </c>
    </row>
    <row r="304" spans="1:10" x14ac:dyDescent="0.35">
      <c r="A304" s="1" t="str">
        <f t="shared" si="4"/>
        <v>6</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837</v>
      </c>
      <c r="D304" s="1" t="s">
        <v>838</v>
      </c>
      <c r="E304" s="1" t="s">
        <v>839</v>
      </c>
      <c r="F304" s="1" t="s">
        <v>112</v>
      </c>
      <c r="G304" s="1">
        <v>535946</v>
      </c>
    </row>
    <row r="305" spans="1:7" x14ac:dyDescent="0.35">
      <c r="A305" s="1" t="str">
        <f t="shared" si="4"/>
        <v>6</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840</v>
      </c>
      <c r="D305" s="1" t="s">
        <v>841</v>
      </c>
      <c r="E305" s="1" t="s">
        <v>842</v>
      </c>
      <c r="F305" s="1" t="s">
        <v>112</v>
      </c>
      <c r="G305" s="1">
        <v>3195363</v>
      </c>
    </row>
    <row r="306" spans="1:7" x14ac:dyDescent="0.35">
      <c r="A306" s="1" t="str">
        <f t="shared" si="4"/>
        <v>6</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843</v>
      </c>
    </row>
    <row r="307" spans="1:7" x14ac:dyDescent="0.35">
      <c r="A307" s="1" t="str">
        <f t="shared" si="4"/>
        <v>6</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844</v>
      </c>
      <c r="D307" s="1" t="s">
        <v>845</v>
      </c>
      <c r="E307" s="1" t="s">
        <v>846</v>
      </c>
      <c r="F307" s="1" t="s">
        <v>112</v>
      </c>
      <c r="G307" s="1">
        <v>3156926</v>
      </c>
    </row>
    <row r="308" spans="1:7" x14ac:dyDescent="0.35">
      <c r="A308" s="1" t="str">
        <f t="shared" si="4"/>
        <v>6</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847</v>
      </c>
      <c r="D308" s="1" t="s">
        <v>848</v>
      </c>
      <c r="E308" s="1" t="s">
        <v>849</v>
      </c>
      <c r="F308" s="1" t="s">
        <v>112</v>
      </c>
      <c r="G308" s="1">
        <v>3897794</v>
      </c>
    </row>
    <row r="309" spans="1:7" x14ac:dyDescent="0.35">
      <c r="A309" s="1" t="str">
        <f t="shared" si="4"/>
        <v>6</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850</v>
      </c>
      <c r="D309" s="1" t="s">
        <v>851</v>
      </c>
      <c r="E309" s="1" t="s">
        <v>852</v>
      </c>
      <c r="F309" s="1" t="s">
        <v>112</v>
      </c>
      <c r="G309" s="1">
        <v>4256828</v>
      </c>
    </row>
    <row r="310" spans="1:7" x14ac:dyDescent="0.35">
      <c r="A310" s="1" t="str">
        <f t="shared" si="4"/>
        <v>6</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853</v>
      </c>
      <c r="D310" s="1" t="s">
        <v>854</v>
      </c>
      <c r="E310" s="1" t="s">
        <v>855</v>
      </c>
      <c r="F310" s="1" t="s">
        <v>112</v>
      </c>
      <c r="G310" s="1">
        <v>3591817</v>
      </c>
    </row>
    <row r="311" spans="1:7" x14ac:dyDescent="0.35">
      <c r="A311" s="1" t="str">
        <f t="shared" si="4"/>
        <v>6</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856</v>
      </c>
      <c r="D311" s="1" t="s">
        <v>857</v>
      </c>
      <c r="E311" s="1" t="s">
        <v>858</v>
      </c>
      <c r="F311" s="1" t="s">
        <v>112</v>
      </c>
      <c r="G311" s="1">
        <v>4678200</v>
      </c>
    </row>
    <row r="312" spans="1:7" x14ac:dyDescent="0.35">
      <c r="A312" s="1" t="str">
        <f t="shared" si="4"/>
        <v>6</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859</v>
      </c>
      <c r="D312" s="1" t="s">
        <v>860</v>
      </c>
      <c r="E312" s="1" t="s">
        <v>861</v>
      </c>
      <c r="F312" s="1" t="s">
        <v>112</v>
      </c>
      <c r="G312" s="1">
        <v>5027263</v>
      </c>
    </row>
    <row r="313" spans="1:7" x14ac:dyDescent="0.35">
      <c r="A313" s="1" t="str">
        <f t="shared" si="4"/>
        <v>6</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862</v>
      </c>
      <c r="D313" s="1" t="s">
        <v>863</v>
      </c>
      <c r="E313" s="1" t="s">
        <v>864</v>
      </c>
      <c r="F313" s="1" t="s">
        <v>112</v>
      </c>
      <c r="G313" s="1">
        <v>4307983</v>
      </c>
    </row>
    <row r="314" spans="1:7" x14ac:dyDescent="0.35">
      <c r="A314" s="1" t="str">
        <f t="shared" si="4"/>
        <v>6</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865</v>
      </c>
      <c r="D314" s="1" t="s">
        <v>866</v>
      </c>
      <c r="E314" s="1" t="s">
        <v>867</v>
      </c>
      <c r="F314" s="1" t="s">
        <v>112</v>
      </c>
      <c r="G314" s="1">
        <v>3296223</v>
      </c>
    </row>
    <row r="315" spans="1:7" x14ac:dyDescent="0.35">
      <c r="A315" s="1" t="str">
        <f t="shared" si="4"/>
        <v>6</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868</v>
      </c>
      <c r="D315" s="1" t="s">
        <v>869</v>
      </c>
      <c r="E315" s="1" t="s">
        <v>870</v>
      </c>
      <c r="F315" s="1" t="s">
        <v>112</v>
      </c>
      <c r="G315" s="1">
        <v>2902234</v>
      </c>
    </row>
    <row r="316" spans="1:7" x14ac:dyDescent="0.35">
      <c r="A316" s="1" t="str">
        <f t="shared" si="4"/>
        <v>6</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871</v>
      </c>
      <c r="D316" s="1" t="s">
        <v>872</v>
      </c>
      <c r="E316" s="1" t="s">
        <v>873</v>
      </c>
      <c r="F316" s="1" t="s">
        <v>112</v>
      </c>
      <c r="G316" s="1">
        <v>2862284</v>
      </c>
    </row>
    <row r="317" spans="1:7" x14ac:dyDescent="0.35">
      <c r="A317" s="1" t="str">
        <f t="shared" si="4"/>
        <v>6</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874</v>
      </c>
    </row>
    <row r="318" spans="1:7" x14ac:dyDescent="0.35">
      <c r="A318" s="1" t="str">
        <f t="shared" si="4"/>
        <v>6</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875</v>
      </c>
    </row>
    <row r="319" spans="1:7" x14ac:dyDescent="0.35">
      <c r="A319" s="1" t="str">
        <f t="shared" si="4"/>
        <v>6</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876</v>
      </c>
    </row>
    <row r="320" spans="1:7" x14ac:dyDescent="0.35">
      <c r="A320" s="1" t="str">
        <f t="shared" si="4"/>
        <v>6</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877</v>
      </c>
      <c r="D320" s="1" t="s">
        <v>878</v>
      </c>
      <c r="E320" s="1" t="s">
        <v>879</v>
      </c>
      <c r="F320" s="1" t="s">
        <v>112</v>
      </c>
      <c r="G320" s="1">
        <v>1504208</v>
      </c>
    </row>
    <row r="321" spans="1:10" x14ac:dyDescent="0.35">
      <c r="A321" s="1" t="str">
        <f t="shared" si="4"/>
        <v>6</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880</v>
      </c>
      <c r="D321" s="1" t="s">
        <v>881</v>
      </c>
      <c r="E321" s="1" t="s">
        <v>882</v>
      </c>
      <c r="F321" s="1" t="s">
        <v>112</v>
      </c>
      <c r="G321" s="1">
        <v>1825304</v>
      </c>
    </row>
    <row r="322" spans="1:10" x14ac:dyDescent="0.35">
      <c r="A322" s="1" t="str">
        <f t="shared" ref="A322:A385" si="5">IFERROR(LEFT(RIGHT(C322,LEN(C322)-SEARCH("@",C322)),SEARCH("/",RIGHT(C322,LEN(C322)-SEARCH("@",C322)-1))),"")</f>
        <v>6</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883</v>
      </c>
      <c r="D322" s="1" t="s">
        <v>884</v>
      </c>
      <c r="E322" s="1" t="s">
        <v>885</v>
      </c>
      <c r="F322" s="1" t="s">
        <v>112</v>
      </c>
      <c r="G322" s="1">
        <v>1052013</v>
      </c>
    </row>
    <row r="323" spans="1:10" x14ac:dyDescent="0.3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112</v>
      </c>
    </row>
    <row r="324" spans="1:10" x14ac:dyDescent="0.3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237</v>
      </c>
      <c r="D324" s="1" t="s">
        <v>112</v>
      </c>
      <c r="E324" s="1" t="s">
        <v>238</v>
      </c>
      <c r="F324" s="1" t="s">
        <v>239</v>
      </c>
      <c r="G324" s="1" t="s">
        <v>240</v>
      </c>
      <c r="H324" s="1" t="s">
        <v>241</v>
      </c>
      <c r="I324" s="1" t="s">
        <v>242</v>
      </c>
      <c r="J324" s="1" t="s">
        <v>243</v>
      </c>
    </row>
    <row r="325" spans="1:10" x14ac:dyDescent="0.35">
      <c r="A325" s="1" t="str">
        <f t="shared" si="5"/>
        <v>6</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886</v>
      </c>
      <c r="D325" s="1" t="s">
        <v>112</v>
      </c>
      <c r="E325" s="1" t="s">
        <v>887</v>
      </c>
      <c r="F325" s="1" t="s">
        <v>888</v>
      </c>
      <c r="G325" s="1" t="s">
        <v>889</v>
      </c>
      <c r="H325" s="1" t="s">
        <v>890</v>
      </c>
      <c r="I325" s="1">
        <v>24</v>
      </c>
      <c r="J325" s="1">
        <v>24</v>
      </c>
    </row>
    <row r="326" spans="1:10" x14ac:dyDescent="0.3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10" x14ac:dyDescent="0.3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10" x14ac:dyDescent="0.3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10" x14ac:dyDescent="0.3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10" x14ac:dyDescent="0.3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10" x14ac:dyDescent="0.3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249</v>
      </c>
      <c r="D331" s="1" t="s">
        <v>110</v>
      </c>
      <c r="E331" s="1" t="s">
        <v>111</v>
      </c>
      <c r="F331" s="1" t="s">
        <v>112</v>
      </c>
      <c r="G331" s="1" t="s">
        <v>113</v>
      </c>
    </row>
    <row r="332" spans="1:10" x14ac:dyDescent="0.35">
      <c r="A332" s="1" t="str">
        <f t="shared" si="5"/>
        <v>7</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891</v>
      </c>
      <c r="D332" s="1" t="s">
        <v>892</v>
      </c>
      <c r="E332" s="1" t="s">
        <v>893</v>
      </c>
      <c r="F332" s="1" t="s">
        <v>112</v>
      </c>
      <c r="G332" s="1">
        <v>4486711</v>
      </c>
    </row>
    <row r="333" spans="1:10" x14ac:dyDescent="0.35">
      <c r="A333" s="1" t="str">
        <f t="shared" si="5"/>
        <v>7</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894</v>
      </c>
      <c r="D333" s="1" t="s">
        <v>895</v>
      </c>
      <c r="E333" s="1" t="s">
        <v>896</v>
      </c>
      <c r="F333" s="1" t="s">
        <v>112</v>
      </c>
      <c r="G333" s="1">
        <v>3786291</v>
      </c>
    </row>
    <row r="334" spans="1:10" x14ac:dyDescent="0.35">
      <c r="A334" s="1" t="str">
        <f t="shared" si="5"/>
        <v>7</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897</v>
      </c>
      <c r="D334" s="1" t="s">
        <v>898</v>
      </c>
      <c r="E334" s="1" t="s">
        <v>899</v>
      </c>
      <c r="F334" s="1" t="s">
        <v>112</v>
      </c>
      <c r="G334" s="1">
        <v>4171541</v>
      </c>
    </row>
    <row r="335" spans="1:10" x14ac:dyDescent="0.35">
      <c r="A335" s="1" t="str">
        <f t="shared" si="5"/>
        <v>7</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900</v>
      </c>
      <c r="D335" s="1" t="s">
        <v>901</v>
      </c>
      <c r="E335" s="1" t="s">
        <v>902</v>
      </c>
      <c r="F335" s="1" t="s">
        <v>112</v>
      </c>
      <c r="G335" s="1">
        <v>3486047</v>
      </c>
    </row>
    <row r="336" spans="1:10" x14ac:dyDescent="0.35">
      <c r="A336" s="1" t="str">
        <f t="shared" si="5"/>
        <v>7</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903</v>
      </c>
      <c r="D336" s="1" t="s">
        <v>904</v>
      </c>
      <c r="E336" s="1" t="s">
        <v>905</v>
      </c>
      <c r="F336" s="1" t="s">
        <v>112</v>
      </c>
      <c r="G336" s="1">
        <v>3639078</v>
      </c>
    </row>
    <row r="337" spans="1:7" x14ac:dyDescent="0.35">
      <c r="A337" s="1" t="str">
        <f t="shared" si="5"/>
        <v>7</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906</v>
      </c>
      <c r="D337" s="1" t="s">
        <v>907</v>
      </c>
      <c r="E337" s="1" t="s">
        <v>908</v>
      </c>
      <c r="F337" s="1" t="s">
        <v>112</v>
      </c>
      <c r="G337" s="1">
        <v>4135593</v>
      </c>
    </row>
    <row r="338" spans="1:7" x14ac:dyDescent="0.35">
      <c r="A338" s="1" t="str">
        <f t="shared" si="5"/>
        <v>7</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909</v>
      </c>
      <c r="D338" s="1" t="s">
        <v>910</v>
      </c>
      <c r="E338" s="1" t="s">
        <v>911</v>
      </c>
      <c r="F338" s="1" t="s">
        <v>112</v>
      </c>
      <c r="G338" s="1">
        <v>5268848</v>
      </c>
    </row>
    <row r="339" spans="1:7" x14ac:dyDescent="0.35">
      <c r="A339" s="1" t="str">
        <f t="shared" si="5"/>
        <v>7</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912</v>
      </c>
      <c r="D339" s="1" t="s">
        <v>913</v>
      </c>
      <c r="E339" s="1" t="s">
        <v>914</v>
      </c>
      <c r="F339" s="1" t="s">
        <v>112</v>
      </c>
      <c r="G339" s="1">
        <v>5340940</v>
      </c>
    </row>
    <row r="340" spans="1:7" x14ac:dyDescent="0.35">
      <c r="A340" s="1" t="str">
        <f t="shared" si="5"/>
        <v>7</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915</v>
      </c>
      <c r="D340" s="1" t="s">
        <v>916</v>
      </c>
      <c r="E340" s="1" t="s">
        <v>917</v>
      </c>
      <c r="F340" s="1" t="s">
        <v>112</v>
      </c>
      <c r="G340" s="1">
        <v>4978726</v>
      </c>
    </row>
    <row r="341" spans="1:7" x14ac:dyDescent="0.35">
      <c r="A341" s="1" t="str">
        <f t="shared" si="5"/>
        <v>7</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918</v>
      </c>
      <c r="D341" s="1" t="s">
        <v>919</v>
      </c>
      <c r="E341" s="1" t="s">
        <v>920</v>
      </c>
      <c r="F341" s="1" t="s">
        <v>112</v>
      </c>
      <c r="G341" s="1">
        <v>4028287</v>
      </c>
    </row>
    <row r="342" spans="1:7" x14ac:dyDescent="0.35">
      <c r="A342" s="1" t="str">
        <f t="shared" si="5"/>
        <v>7</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921</v>
      </c>
      <c r="D342" s="1" t="s">
        <v>922</v>
      </c>
      <c r="E342" s="1" t="s">
        <v>923</v>
      </c>
      <c r="F342" s="1" t="s">
        <v>112</v>
      </c>
      <c r="G342" s="1">
        <v>4464410</v>
      </c>
    </row>
    <row r="343" spans="1:7" x14ac:dyDescent="0.35">
      <c r="A343" s="1" t="str">
        <f t="shared" si="5"/>
        <v>7</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924</v>
      </c>
      <c r="D343" s="1" t="s">
        <v>925</v>
      </c>
      <c r="E343" s="1" t="s">
        <v>926</v>
      </c>
      <c r="F343" s="1" t="s">
        <v>112</v>
      </c>
      <c r="G343" s="1">
        <v>4310059</v>
      </c>
    </row>
    <row r="344" spans="1:7" x14ac:dyDescent="0.35">
      <c r="A344" s="1" t="str">
        <f t="shared" si="5"/>
        <v>7</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927</v>
      </c>
    </row>
    <row r="345" spans="1:7" x14ac:dyDescent="0.35">
      <c r="A345" s="1" t="str">
        <f t="shared" si="5"/>
        <v>7</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928</v>
      </c>
      <c r="D345" s="1" t="s">
        <v>929</v>
      </c>
      <c r="E345" s="1" t="s">
        <v>930</v>
      </c>
      <c r="F345" s="1" t="s">
        <v>112</v>
      </c>
      <c r="G345" s="1">
        <v>4474230</v>
      </c>
    </row>
    <row r="346" spans="1:7" x14ac:dyDescent="0.35">
      <c r="A346" s="1" t="str">
        <f t="shared" si="5"/>
        <v>7</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931</v>
      </c>
      <c r="D346" s="1" t="s">
        <v>932</v>
      </c>
      <c r="E346" s="1" t="s">
        <v>933</v>
      </c>
      <c r="F346" s="1" t="s">
        <v>112</v>
      </c>
      <c r="G346" s="1">
        <v>3973888</v>
      </c>
    </row>
    <row r="347" spans="1:7" x14ac:dyDescent="0.35">
      <c r="A347" s="1" t="str">
        <f t="shared" si="5"/>
        <v>7</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934</v>
      </c>
      <c r="D347" s="1" t="s">
        <v>935</v>
      </c>
      <c r="E347" s="1" t="s">
        <v>936</v>
      </c>
      <c r="F347" s="1" t="s">
        <v>112</v>
      </c>
      <c r="G347" s="1">
        <v>4149068</v>
      </c>
    </row>
    <row r="348" spans="1:7" x14ac:dyDescent="0.35">
      <c r="A348" s="1" t="str">
        <f t="shared" si="5"/>
        <v>7</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937</v>
      </c>
      <c r="D348" s="1" t="s">
        <v>938</v>
      </c>
      <c r="E348" s="1" t="s">
        <v>939</v>
      </c>
      <c r="F348" s="1" t="s">
        <v>112</v>
      </c>
      <c r="G348" s="1">
        <v>3759514</v>
      </c>
    </row>
    <row r="349" spans="1:7" x14ac:dyDescent="0.35">
      <c r="A349" s="1" t="str">
        <f t="shared" si="5"/>
        <v>7</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940</v>
      </c>
      <c r="D349" s="1" t="s">
        <v>941</v>
      </c>
      <c r="E349" s="1" t="s">
        <v>942</v>
      </c>
      <c r="F349" s="1" t="s">
        <v>112</v>
      </c>
      <c r="G349" s="1">
        <v>4167367</v>
      </c>
    </row>
    <row r="350" spans="1:7" x14ac:dyDescent="0.35">
      <c r="A350" s="1" t="str">
        <f t="shared" si="5"/>
        <v>7</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943</v>
      </c>
      <c r="D350" s="1" t="s">
        <v>944</v>
      </c>
      <c r="E350" s="1" t="s">
        <v>945</v>
      </c>
      <c r="F350" s="1" t="s">
        <v>112</v>
      </c>
      <c r="G350" s="1">
        <v>4842371</v>
      </c>
    </row>
    <row r="351" spans="1:7" x14ac:dyDescent="0.35">
      <c r="A351" s="1" t="str">
        <f t="shared" si="5"/>
        <v>7</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946</v>
      </c>
      <c r="D351" s="1" t="s">
        <v>947</v>
      </c>
      <c r="E351" s="1" t="s">
        <v>948</v>
      </c>
      <c r="F351" s="1" t="s">
        <v>112</v>
      </c>
      <c r="G351" s="1">
        <v>5420992</v>
      </c>
    </row>
    <row r="352" spans="1:7" x14ac:dyDescent="0.35">
      <c r="A352" s="1" t="str">
        <f t="shared" si="5"/>
        <v>7</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949</v>
      </c>
      <c r="D352" s="1" t="s">
        <v>950</v>
      </c>
      <c r="E352" s="1" t="s">
        <v>951</v>
      </c>
      <c r="F352" s="1" t="s">
        <v>112</v>
      </c>
      <c r="G352" s="1">
        <v>5413011</v>
      </c>
    </row>
    <row r="353" spans="1:10" x14ac:dyDescent="0.35">
      <c r="A353" s="1" t="str">
        <f t="shared" si="5"/>
        <v>7</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952</v>
      </c>
      <c r="D353" s="1" t="s">
        <v>953</v>
      </c>
      <c r="E353" s="1" t="s">
        <v>954</v>
      </c>
      <c r="F353" s="1" t="s">
        <v>112</v>
      </c>
      <c r="G353" s="1">
        <v>4176906</v>
      </c>
    </row>
    <row r="354" spans="1:10" x14ac:dyDescent="0.35">
      <c r="A354" s="1" t="str">
        <f t="shared" si="5"/>
        <v>7</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955</v>
      </c>
      <c r="D354" s="1" t="s">
        <v>416</v>
      </c>
      <c r="E354" s="1" t="s">
        <v>956</v>
      </c>
      <c r="F354" s="1" t="s">
        <v>112</v>
      </c>
      <c r="G354" s="1">
        <v>3917953</v>
      </c>
    </row>
    <row r="355" spans="1:10" x14ac:dyDescent="0.35">
      <c r="A355" s="1" t="str">
        <f t="shared" si="5"/>
        <v>7</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957</v>
      </c>
      <c r="D355" s="1" t="s">
        <v>958</v>
      </c>
      <c r="E355" s="1" t="s">
        <v>959</v>
      </c>
      <c r="F355" s="1" t="s">
        <v>112</v>
      </c>
      <c r="G355" s="1">
        <v>3642063</v>
      </c>
    </row>
    <row r="356" spans="1:10" x14ac:dyDescent="0.3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112</v>
      </c>
    </row>
    <row r="357" spans="1:10" x14ac:dyDescent="0.3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237</v>
      </c>
      <c r="D357" s="1" t="s">
        <v>112</v>
      </c>
      <c r="E357" s="1" t="s">
        <v>238</v>
      </c>
      <c r="F357" s="1" t="s">
        <v>239</v>
      </c>
      <c r="G357" s="1" t="s">
        <v>240</v>
      </c>
      <c r="H357" s="1" t="s">
        <v>241</v>
      </c>
      <c r="I357" s="1" t="s">
        <v>242</v>
      </c>
      <c r="J357" s="1" t="s">
        <v>243</v>
      </c>
    </row>
    <row r="358" spans="1:10" x14ac:dyDescent="0.35">
      <c r="A358" s="1" t="str">
        <f t="shared" si="5"/>
        <v>7</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960</v>
      </c>
      <c r="D358" s="1" t="s">
        <v>112</v>
      </c>
      <c r="E358" s="1" t="s">
        <v>961</v>
      </c>
      <c r="F358" s="1" t="s">
        <v>962</v>
      </c>
      <c r="G358" s="1" t="s">
        <v>963</v>
      </c>
      <c r="H358" s="1" t="s">
        <v>964</v>
      </c>
      <c r="I358" s="1">
        <v>24</v>
      </c>
      <c r="J358" s="1">
        <v>24</v>
      </c>
    </row>
    <row r="359" spans="1:10" x14ac:dyDescent="0.3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112</v>
      </c>
    </row>
    <row r="360" spans="1:10" x14ac:dyDescent="0.3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10" x14ac:dyDescent="0.3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10" x14ac:dyDescent="0.3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10" x14ac:dyDescent="0.3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10" x14ac:dyDescent="0.3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249</v>
      </c>
      <c r="D364" s="1" t="s">
        <v>110</v>
      </c>
      <c r="E364" s="1" t="s">
        <v>111</v>
      </c>
      <c r="F364" s="1" t="s">
        <v>112</v>
      </c>
      <c r="G364" s="1" t="s">
        <v>113</v>
      </c>
    </row>
    <row r="365" spans="1:10" x14ac:dyDescent="0.35">
      <c r="A365" s="1" t="str">
        <f t="shared" si="5"/>
        <v>10</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965</v>
      </c>
      <c r="D365" s="1" t="s">
        <v>966</v>
      </c>
      <c r="E365" s="1" t="s">
        <v>967</v>
      </c>
      <c r="F365" s="1" t="s">
        <v>112</v>
      </c>
      <c r="G365" s="1">
        <v>769959</v>
      </c>
    </row>
    <row r="366" spans="1:10" x14ac:dyDescent="0.35">
      <c r="A366" s="1" t="str">
        <f t="shared" si="5"/>
        <v>10</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968</v>
      </c>
      <c r="D366" s="1" t="s">
        <v>969</v>
      </c>
      <c r="E366" s="1" t="s">
        <v>970</v>
      </c>
      <c r="F366" s="1" t="s">
        <v>112</v>
      </c>
      <c r="G366" s="1">
        <v>561620</v>
      </c>
    </row>
    <row r="367" spans="1:10" x14ac:dyDescent="0.35">
      <c r="A367" s="1" t="str">
        <f t="shared" si="5"/>
        <v>10</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971</v>
      </c>
      <c r="D367" s="1" t="s">
        <v>972</v>
      </c>
      <c r="E367" s="1" t="s">
        <v>973</v>
      </c>
      <c r="F367" s="1" t="s">
        <v>112</v>
      </c>
      <c r="G367" s="1">
        <v>629927</v>
      </c>
    </row>
    <row r="368" spans="1:10" x14ac:dyDescent="0.35">
      <c r="A368" s="1" t="str">
        <f t="shared" si="5"/>
        <v>10</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974</v>
      </c>
      <c r="D368" s="1" t="s">
        <v>975</v>
      </c>
      <c r="E368" s="1" t="s">
        <v>976</v>
      </c>
      <c r="F368" s="1" t="s">
        <v>112</v>
      </c>
      <c r="G368" s="1">
        <v>839153</v>
      </c>
    </row>
    <row r="369" spans="1:7" x14ac:dyDescent="0.35">
      <c r="A369" s="1" t="str">
        <f t="shared" si="5"/>
        <v>10</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977</v>
      </c>
      <c r="D369" s="1" t="s">
        <v>978</v>
      </c>
      <c r="E369" s="1" t="s">
        <v>979</v>
      </c>
      <c r="F369" s="1" t="s">
        <v>112</v>
      </c>
      <c r="G369" s="1">
        <v>1028264</v>
      </c>
    </row>
    <row r="370" spans="1:7" x14ac:dyDescent="0.35">
      <c r="A370" s="1" t="str">
        <f t="shared" si="5"/>
        <v>10</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980</v>
      </c>
      <c r="D370" s="1" t="s">
        <v>981</v>
      </c>
      <c r="E370" s="1" t="s">
        <v>982</v>
      </c>
      <c r="F370" s="1" t="s">
        <v>112</v>
      </c>
      <c r="G370" s="1">
        <v>540812</v>
      </c>
    </row>
    <row r="371" spans="1:7" x14ac:dyDescent="0.35">
      <c r="A371" s="1" t="str">
        <f t="shared" si="5"/>
        <v>10</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983</v>
      </c>
      <c r="D371" s="1" t="s">
        <v>984</v>
      </c>
      <c r="E371" s="1" t="s">
        <v>985</v>
      </c>
      <c r="F371" s="1" t="s">
        <v>112</v>
      </c>
      <c r="G371" s="1">
        <v>849817</v>
      </c>
    </row>
    <row r="372" spans="1:7" x14ac:dyDescent="0.35">
      <c r="A372" s="1" t="str">
        <f t="shared" si="5"/>
        <v>10</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986</v>
      </c>
      <c r="D372" s="1" t="s">
        <v>431</v>
      </c>
      <c r="E372" s="1" t="s">
        <v>987</v>
      </c>
      <c r="F372" s="1" t="s">
        <v>112</v>
      </c>
      <c r="G372" s="1">
        <v>1475267</v>
      </c>
    </row>
    <row r="373" spans="1:7" x14ac:dyDescent="0.35">
      <c r="A373" s="1" t="str">
        <f t="shared" si="5"/>
        <v>10</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988</v>
      </c>
      <c r="D373" s="1" t="s">
        <v>989</v>
      </c>
      <c r="E373" s="1" t="s">
        <v>990</v>
      </c>
      <c r="F373" s="1" t="s">
        <v>112</v>
      </c>
      <c r="G373" s="1">
        <v>1001702</v>
      </c>
    </row>
    <row r="374" spans="1:7" x14ac:dyDescent="0.35">
      <c r="A374" s="1" t="str">
        <f t="shared" si="5"/>
        <v>10</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991</v>
      </c>
      <c r="D374" s="1" t="s">
        <v>992</v>
      </c>
      <c r="E374" s="1" t="s">
        <v>993</v>
      </c>
      <c r="F374" s="1" t="s">
        <v>112</v>
      </c>
      <c r="G374" s="1">
        <v>1722908</v>
      </c>
    </row>
    <row r="375" spans="1:7" x14ac:dyDescent="0.35">
      <c r="A375" s="1" t="str">
        <f t="shared" si="5"/>
        <v>10</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994</v>
      </c>
      <c r="D375" s="1" t="s">
        <v>995</v>
      </c>
      <c r="E375" s="1" t="s">
        <v>996</v>
      </c>
      <c r="F375" s="1" t="s">
        <v>112</v>
      </c>
      <c r="G375" s="1">
        <v>1551145</v>
      </c>
    </row>
    <row r="376" spans="1:7" x14ac:dyDescent="0.35">
      <c r="A376" s="1" t="str">
        <f t="shared" si="5"/>
        <v>10</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997</v>
      </c>
      <c r="D376" s="1" t="s">
        <v>998</v>
      </c>
      <c r="E376" s="1" t="s">
        <v>999</v>
      </c>
      <c r="F376" s="1" t="s">
        <v>112</v>
      </c>
      <c r="G376" s="1">
        <v>1945739</v>
      </c>
    </row>
    <row r="377" spans="1:7" x14ac:dyDescent="0.35">
      <c r="A377" s="1" t="str">
        <f t="shared" si="5"/>
        <v>10</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1000</v>
      </c>
      <c r="D377" s="1" t="s">
        <v>1001</v>
      </c>
      <c r="E377" s="1" t="s">
        <v>1002</v>
      </c>
      <c r="F377" s="1" t="s">
        <v>112</v>
      </c>
      <c r="G377" s="1">
        <v>1972257</v>
      </c>
    </row>
    <row r="378" spans="1:7" x14ac:dyDescent="0.35">
      <c r="A378" s="1" t="str">
        <f t="shared" si="5"/>
        <v>10</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1003</v>
      </c>
      <c r="D378" s="1" t="s">
        <v>1004</v>
      </c>
      <c r="E378" s="1" t="s">
        <v>1005</v>
      </c>
      <c r="F378" s="1" t="s">
        <v>112</v>
      </c>
      <c r="G378" s="1">
        <v>1770255</v>
      </c>
    </row>
    <row r="379" spans="1:7" x14ac:dyDescent="0.35">
      <c r="A379" s="1" t="str">
        <f t="shared" si="5"/>
        <v>10</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1006</v>
      </c>
      <c r="D379" s="1" t="s">
        <v>1007</v>
      </c>
      <c r="E379" s="1" t="s">
        <v>1008</v>
      </c>
      <c r="F379" s="1" t="s">
        <v>112</v>
      </c>
      <c r="G379" s="1">
        <v>1982769</v>
      </c>
    </row>
    <row r="380" spans="1:7" x14ac:dyDescent="0.35">
      <c r="A380" s="1" t="str">
        <f t="shared" si="5"/>
        <v>10</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1009</v>
      </c>
      <c r="D380" s="1" t="s">
        <v>1010</v>
      </c>
      <c r="E380" s="1" t="s">
        <v>1011</v>
      </c>
      <c r="F380" s="1" t="s">
        <v>112</v>
      </c>
      <c r="G380" s="1">
        <v>154827</v>
      </c>
    </row>
    <row r="381" spans="1:7" x14ac:dyDescent="0.35">
      <c r="A381" s="1" t="str">
        <f t="shared" si="5"/>
        <v>10</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1012</v>
      </c>
      <c r="D381" s="1" t="s">
        <v>1013</v>
      </c>
      <c r="E381" s="1" t="s">
        <v>1014</v>
      </c>
      <c r="F381" s="1" t="s">
        <v>112</v>
      </c>
      <c r="G381" s="1">
        <v>398271</v>
      </c>
    </row>
    <row r="382" spans="1:7" x14ac:dyDescent="0.35">
      <c r="A382" s="1" t="str">
        <f t="shared" si="5"/>
        <v>10</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1015</v>
      </c>
      <c r="D382" s="1" t="s">
        <v>1016</v>
      </c>
      <c r="E382" s="1" t="s">
        <v>1017</v>
      </c>
      <c r="F382" s="1" t="s">
        <v>112</v>
      </c>
      <c r="G382" s="1">
        <v>263063</v>
      </c>
    </row>
    <row r="383" spans="1:7" x14ac:dyDescent="0.35">
      <c r="A383" s="1" t="str">
        <f t="shared" si="5"/>
        <v>10</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1018</v>
      </c>
      <c r="D383" s="1" t="s">
        <v>194</v>
      </c>
      <c r="E383" s="1" t="s">
        <v>1019</v>
      </c>
      <c r="F383" s="1" t="s">
        <v>112</v>
      </c>
      <c r="G383" s="1">
        <v>353324</v>
      </c>
    </row>
    <row r="384" spans="1:7" x14ac:dyDescent="0.35">
      <c r="A384" s="1" t="str">
        <f t="shared" si="5"/>
        <v>10</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1020</v>
      </c>
      <c r="D384" s="1" t="s">
        <v>1021</v>
      </c>
      <c r="E384" s="1" t="s">
        <v>1022</v>
      </c>
      <c r="F384" s="1" t="s">
        <v>112</v>
      </c>
      <c r="G384" s="1">
        <v>120825</v>
      </c>
    </row>
    <row r="385" spans="1:10" x14ac:dyDescent="0.35">
      <c r="A385" s="1" t="str">
        <f t="shared" si="5"/>
        <v>10</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1023</v>
      </c>
      <c r="D385" s="1" t="s">
        <v>1024</v>
      </c>
      <c r="E385" s="1" t="s">
        <v>1025</v>
      </c>
      <c r="F385" s="1" t="s">
        <v>112</v>
      </c>
      <c r="G385" s="1">
        <v>40707</v>
      </c>
    </row>
    <row r="386" spans="1:10" x14ac:dyDescent="0.35">
      <c r="A386" s="1" t="str">
        <f t="shared" ref="A386:A449" si="6">IFERROR(LEFT(RIGHT(C386,LEN(C386)-SEARCH("@",C386)),SEARCH("/",RIGHT(C386,LEN(C386)-SEARCH("@",C386)-1))),"")</f>
        <v>10</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1026</v>
      </c>
      <c r="D386" s="1" t="s">
        <v>1027</v>
      </c>
      <c r="E386" s="1" t="s">
        <v>1028</v>
      </c>
      <c r="F386" s="1" t="s">
        <v>112</v>
      </c>
      <c r="G386" s="1">
        <v>1905594</v>
      </c>
    </row>
    <row r="387" spans="1:10" x14ac:dyDescent="0.35">
      <c r="A387" s="1" t="str">
        <f t="shared" si="6"/>
        <v>10</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1029</v>
      </c>
      <c r="D387" s="1" t="s">
        <v>1030</v>
      </c>
      <c r="E387" s="1" t="s">
        <v>1031</v>
      </c>
      <c r="F387" s="1" t="s">
        <v>112</v>
      </c>
      <c r="G387" s="1">
        <v>1913078</v>
      </c>
    </row>
    <row r="388" spans="1:10" x14ac:dyDescent="0.35">
      <c r="A388" s="1" t="str">
        <f t="shared" si="6"/>
        <v>10</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1032</v>
      </c>
      <c r="D388" s="1" t="s">
        <v>1033</v>
      </c>
      <c r="E388" s="1" t="s">
        <v>1034</v>
      </c>
      <c r="F388" s="1" t="s">
        <v>112</v>
      </c>
      <c r="G388" s="1">
        <v>2234693</v>
      </c>
    </row>
    <row r="389" spans="1:10" x14ac:dyDescent="0.3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112</v>
      </c>
    </row>
    <row r="390" spans="1:10" x14ac:dyDescent="0.3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237</v>
      </c>
      <c r="D390" s="1" t="s">
        <v>112</v>
      </c>
      <c r="E390" s="1" t="s">
        <v>238</v>
      </c>
      <c r="F390" s="1" t="s">
        <v>239</v>
      </c>
      <c r="G390" s="1" t="s">
        <v>240</v>
      </c>
      <c r="H390" s="1" t="s">
        <v>241</v>
      </c>
      <c r="I390" s="1" t="s">
        <v>242</v>
      </c>
      <c r="J390" s="1" t="s">
        <v>243</v>
      </c>
    </row>
    <row r="391" spans="1:10" x14ac:dyDescent="0.35">
      <c r="A391" s="1" t="str">
        <f t="shared" si="6"/>
        <v>10</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1035</v>
      </c>
      <c r="D391" s="1" t="s">
        <v>112</v>
      </c>
      <c r="E391" s="1" t="s">
        <v>1036</v>
      </c>
      <c r="F391" s="1" t="s">
        <v>1037</v>
      </c>
      <c r="G391" s="1" t="s">
        <v>1038</v>
      </c>
      <c r="H391" s="1" t="s">
        <v>1039</v>
      </c>
      <c r="I391" s="1">
        <v>24</v>
      </c>
      <c r="J391" s="1">
        <v>24</v>
      </c>
    </row>
    <row r="392" spans="1:10" x14ac:dyDescent="0.3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112</v>
      </c>
    </row>
    <row r="393" spans="1:10" x14ac:dyDescent="0.3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10" x14ac:dyDescent="0.3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10" x14ac:dyDescent="0.3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10" x14ac:dyDescent="0.3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10" x14ac:dyDescent="0.3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249</v>
      </c>
      <c r="D397" s="1" t="s">
        <v>110</v>
      </c>
      <c r="E397" s="1" t="s">
        <v>111</v>
      </c>
      <c r="F397" s="1" t="s">
        <v>112</v>
      </c>
      <c r="G397" s="1" t="s">
        <v>113</v>
      </c>
    </row>
    <row r="398" spans="1:10" x14ac:dyDescent="0.35">
      <c r="A398" s="1" t="str">
        <f t="shared" si="6"/>
        <v>11</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1040</v>
      </c>
      <c r="D398" s="1" t="s">
        <v>1041</v>
      </c>
      <c r="E398" s="1" t="s">
        <v>1042</v>
      </c>
      <c r="F398" s="1" t="s">
        <v>112</v>
      </c>
      <c r="G398" s="1">
        <v>2304254</v>
      </c>
    </row>
    <row r="399" spans="1:10" x14ac:dyDescent="0.35">
      <c r="A399" s="1" t="str">
        <f t="shared" si="6"/>
        <v>11</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1043</v>
      </c>
      <c r="D399" s="1" t="s">
        <v>774</v>
      </c>
      <c r="E399" s="1" t="s">
        <v>1044</v>
      </c>
      <c r="F399" s="1" t="s">
        <v>112</v>
      </c>
      <c r="G399" s="1">
        <v>2148022</v>
      </c>
    </row>
    <row r="400" spans="1:10" x14ac:dyDescent="0.35">
      <c r="A400" s="1" t="str">
        <f t="shared" si="6"/>
        <v>11</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1045</v>
      </c>
      <c r="D400" s="1" t="s">
        <v>1046</v>
      </c>
      <c r="E400" s="1" t="s">
        <v>1047</v>
      </c>
      <c r="F400" s="1" t="s">
        <v>112</v>
      </c>
      <c r="G400" s="1">
        <v>2115966</v>
      </c>
    </row>
    <row r="401" spans="1:7" x14ac:dyDescent="0.35">
      <c r="A401" s="1" t="str">
        <f t="shared" si="6"/>
        <v>11</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1048</v>
      </c>
      <c r="D401" s="1" t="s">
        <v>1049</v>
      </c>
      <c r="E401" s="1" t="s">
        <v>1050</v>
      </c>
      <c r="F401" s="1" t="s">
        <v>112</v>
      </c>
      <c r="G401" s="1">
        <v>450378</v>
      </c>
    </row>
    <row r="402" spans="1:7" x14ac:dyDescent="0.35">
      <c r="A402" s="1" t="str">
        <f t="shared" si="6"/>
        <v>11</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1051</v>
      </c>
      <c r="D402" s="1" t="s">
        <v>1052</v>
      </c>
      <c r="E402" s="1" t="s">
        <v>1053</v>
      </c>
      <c r="F402" s="1" t="s">
        <v>112</v>
      </c>
      <c r="G402" s="1">
        <v>408048</v>
      </c>
    </row>
    <row r="403" spans="1:7" x14ac:dyDescent="0.35">
      <c r="A403" s="1" t="str">
        <f t="shared" si="6"/>
        <v>11</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1054</v>
      </c>
      <c r="D403" s="1" t="s">
        <v>1055</v>
      </c>
      <c r="E403" s="1" t="s">
        <v>1056</v>
      </c>
      <c r="F403" s="1" t="s">
        <v>112</v>
      </c>
      <c r="G403" s="1">
        <v>402230</v>
      </c>
    </row>
    <row r="404" spans="1:7" x14ac:dyDescent="0.35">
      <c r="A404" s="1" t="str">
        <f t="shared" si="6"/>
        <v>11</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1057</v>
      </c>
      <c r="D404" s="1" t="s">
        <v>1058</v>
      </c>
      <c r="E404" s="1" t="s">
        <v>1059</v>
      </c>
      <c r="F404" s="1" t="s">
        <v>112</v>
      </c>
      <c r="G404" s="1">
        <v>2187475</v>
      </c>
    </row>
    <row r="405" spans="1:7" x14ac:dyDescent="0.35">
      <c r="A405" s="1" t="str">
        <f t="shared" si="6"/>
        <v>11</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1060</v>
      </c>
      <c r="D405" s="1" t="s">
        <v>1061</v>
      </c>
      <c r="E405" s="1" t="s">
        <v>1062</v>
      </c>
      <c r="F405" s="1" t="s">
        <v>112</v>
      </c>
      <c r="G405" s="1">
        <v>2145729</v>
      </c>
    </row>
    <row r="406" spans="1:7" x14ac:dyDescent="0.35">
      <c r="A406" s="1" t="str">
        <f t="shared" si="6"/>
        <v>11</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1063</v>
      </c>
      <c r="D406" s="1" t="s">
        <v>1064</v>
      </c>
      <c r="E406" s="1" t="s">
        <v>1065</v>
      </c>
      <c r="F406" s="1" t="s">
        <v>112</v>
      </c>
      <c r="G406" s="1">
        <v>2488173</v>
      </c>
    </row>
    <row r="407" spans="1:7" x14ac:dyDescent="0.35">
      <c r="A407" s="1" t="str">
        <f t="shared" si="6"/>
        <v>11</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1066</v>
      </c>
      <c r="D407" s="1" t="s">
        <v>1067</v>
      </c>
      <c r="E407" s="1" t="s">
        <v>1068</v>
      </c>
      <c r="F407" s="1" t="s">
        <v>112</v>
      </c>
      <c r="G407" s="1">
        <v>3405562</v>
      </c>
    </row>
    <row r="408" spans="1:7" x14ac:dyDescent="0.35">
      <c r="A408" s="1" t="str">
        <f t="shared" si="6"/>
        <v>11</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1069</v>
      </c>
      <c r="D408" s="1" t="s">
        <v>1070</v>
      </c>
      <c r="E408" s="1" t="s">
        <v>1071</v>
      </c>
      <c r="F408" s="1" t="s">
        <v>112</v>
      </c>
      <c r="G408" s="1">
        <v>3818563</v>
      </c>
    </row>
    <row r="409" spans="1:7" x14ac:dyDescent="0.35">
      <c r="A409" s="1" t="str">
        <f t="shared" si="6"/>
        <v>11</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1072</v>
      </c>
      <c r="D409" s="1" t="s">
        <v>1073</v>
      </c>
      <c r="E409" s="1" t="s">
        <v>1074</v>
      </c>
      <c r="F409" s="1" t="s">
        <v>112</v>
      </c>
      <c r="G409" s="1">
        <v>3870843</v>
      </c>
    </row>
    <row r="410" spans="1:7" x14ac:dyDescent="0.35">
      <c r="A410" s="1" t="str">
        <f t="shared" si="6"/>
        <v>11</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1075</v>
      </c>
      <c r="D410" s="1" t="s">
        <v>1076</v>
      </c>
      <c r="E410" s="1" t="s">
        <v>1077</v>
      </c>
      <c r="F410" s="1" t="s">
        <v>112</v>
      </c>
      <c r="G410" s="1">
        <v>1248326</v>
      </c>
    </row>
    <row r="411" spans="1:7" x14ac:dyDescent="0.35">
      <c r="A411" s="1" t="str">
        <f t="shared" si="6"/>
        <v>11</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1078</v>
      </c>
      <c r="D411" s="1" t="s">
        <v>1079</v>
      </c>
      <c r="E411" s="1" t="s">
        <v>1080</v>
      </c>
      <c r="F411" s="1" t="s">
        <v>112</v>
      </c>
      <c r="G411" s="1">
        <v>1363657</v>
      </c>
    </row>
    <row r="412" spans="1:7" x14ac:dyDescent="0.35">
      <c r="A412" s="1" t="str">
        <f t="shared" si="6"/>
        <v>11</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1081</v>
      </c>
      <c r="D412" s="1" t="s">
        <v>1082</v>
      </c>
      <c r="E412" s="1" t="s">
        <v>1083</v>
      </c>
      <c r="F412" s="1" t="s">
        <v>112</v>
      </c>
      <c r="G412" s="1">
        <v>1445980</v>
      </c>
    </row>
    <row r="413" spans="1:7" x14ac:dyDescent="0.35">
      <c r="A413" s="1" t="str">
        <f t="shared" si="6"/>
        <v>11</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1084</v>
      </c>
      <c r="D413" s="1" t="s">
        <v>1085</v>
      </c>
      <c r="E413" s="1" t="s">
        <v>1086</v>
      </c>
      <c r="F413" s="1" t="s">
        <v>112</v>
      </c>
      <c r="G413" s="1">
        <v>3912264</v>
      </c>
    </row>
    <row r="414" spans="1:7" x14ac:dyDescent="0.35">
      <c r="A414" s="1" t="str">
        <f t="shared" si="6"/>
        <v>11</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1087</v>
      </c>
      <c r="D414" s="1" t="s">
        <v>1088</v>
      </c>
      <c r="E414" s="1" t="s">
        <v>1089</v>
      </c>
      <c r="F414" s="1" t="s">
        <v>112</v>
      </c>
      <c r="G414" s="1">
        <v>3886979</v>
      </c>
    </row>
    <row r="415" spans="1:7" x14ac:dyDescent="0.35">
      <c r="A415" s="1" t="str">
        <f t="shared" si="6"/>
        <v>11</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1090</v>
      </c>
      <c r="D415" s="1" t="s">
        <v>1091</v>
      </c>
      <c r="E415" s="1" t="s">
        <v>1092</v>
      </c>
      <c r="F415" s="1" t="s">
        <v>112</v>
      </c>
      <c r="G415" s="1">
        <v>3879797</v>
      </c>
    </row>
    <row r="416" spans="1:7" x14ac:dyDescent="0.35">
      <c r="A416" s="1" t="str">
        <f t="shared" si="6"/>
        <v>11</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1093</v>
      </c>
      <c r="D416" s="1" t="s">
        <v>1094</v>
      </c>
      <c r="E416" s="1" t="s">
        <v>1095</v>
      </c>
      <c r="F416" s="1" t="s">
        <v>112</v>
      </c>
      <c r="G416" s="1">
        <v>182470</v>
      </c>
    </row>
    <row r="417" spans="1:10" x14ac:dyDescent="0.35">
      <c r="A417" s="1" t="str">
        <f t="shared" si="6"/>
        <v>11</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1096</v>
      </c>
    </row>
    <row r="418" spans="1:10" x14ac:dyDescent="0.35">
      <c r="A418" s="1" t="str">
        <f t="shared" si="6"/>
        <v>11</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1097</v>
      </c>
    </row>
    <row r="419" spans="1:10" x14ac:dyDescent="0.35">
      <c r="A419" s="1" t="str">
        <f t="shared" si="6"/>
        <v>11</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1098</v>
      </c>
      <c r="D419" s="1" t="s">
        <v>1099</v>
      </c>
      <c r="E419" s="1" t="s">
        <v>1100</v>
      </c>
      <c r="F419" s="1" t="s">
        <v>112</v>
      </c>
      <c r="G419" s="1">
        <v>1519608</v>
      </c>
    </row>
    <row r="420" spans="1:10" x14ac:dyDescent="0.35">
      <c r="A420" s="1" t="str">
        <f t="shared" si="6"/>
        <v>11</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1101</v>
      </c>
      <c r="D420" s="1" t="s">
        <v>1102</v>
      </c>
      <c r="E420" s="1" t="s">
        <v>1103</v>
      </c>
      <c r="F420" s="1" t="s">
        <v>112</v>
      </c>
      <c r="G420" s="1">
        <v>2000354</v>
      </c>
    </row>
    <row r="421" spans="1:10" x14ac:dyDescent="0.35">
      <c r="A421" s="1" t="str">
        <f t="shared" si="6"/>
        <v>11</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1104</v>
      </c>
      <c r="D421" s="1" t="s">
        <v>1105</v>
      </c>
      <c r="E421" s="1" t="s">
        <v>1106</v>
      </c>
      <c r="F421" s="1" t="s">
        <v>112</v>
      </c>
      <c r="G421" s="1">
        <v>1565939</v>
      </c>
    </row>
    <row r="422" spans="1:10" x14ac:dyDescent="0.3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112</v>
      </c>
    </row>
    <row r="423" spans="1:10" x14ac:dyDescent="0.3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237</v>
      </c>
      <c r="D423" s="1" t="s">
        <v>112</v>
      </c>
      <c r="E423" s="1" t="s">
        <v>238</v>
      </c>
      <c r="F423" s="1" t="s">
        <v>239</v>
      </c>
      <c r="G423" s="1" t="s">
        <v>240</v>
      </c>
      <c r="H423" s="1" t="s">
        <v>241</v>
      </c>
      <c r="I423" s="1" t="s">
        <v>242</v>
      </c>
      <c r="J423" s="1" t="s">
        <v>243</v>
      </c>
    </row>
    <row r="424" spans="1:10" x14ac:dyDescent="0.35">
      <c r="A424" s="1" t="str">
        <f t="shared" si="6"/>
        <v>11</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1107</v>
      </c>
      <c r="D424" s="1" t="s">
        <v>112</v>
      </c>
      <c r="E424" s="1" t="s">
        <v>1108</v>
      </c>
      <c r="F424" s="1" t="s">
        <v>1109</v>
      </c>
      <c r="G424" s="1" t="s">
        <v>1110</v>
      </c>
      <c r="H424" s="1" t="s">
        <v>1111</v>
      </c>
      <c r="I424" s="1">
        <v>24</v>
      </c>
      <c r="J424" s="1">
        <v>24</v>
      </c>
    </row>
    <row r="425" spans="1:10" x14ac:dyDescent="0.3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112</v>
      </c>
    </row>
    <row r="426" spans="1:10" x14ac:dyDescent="0.3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10" x14ac:dyDescent="0.3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10" x14ac:dyDescent="0.3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10" x14ac:dyDescent="0.3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10" x14ac:dyDescent="0.3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249</v>
      </c>
      <c r="D430" s="1" t="s">
        <v>110</v>
      </c>
      <c r="E430" s="1" t="s">
        <v>111</v>
      </c>
      <c r="F430" s="1" t="s">
        <v>112</v>
      </c>
      <c r="G430" s="1" t="s">
        <v>113</v>
      </c>
    </row>
    <row r="431" spans="1:10" x14ac:dyDescent="0.35">
      <c r="A431" s="1" t="str">
        <f t="shared" si="6"/>
        <v>12</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1112</v>
      </c>
      <c r="D431" s="1" t="s">
        <v>1113</v>
      </c>
      <c r="E431" s="1" t="s">
        <v>1114</v>
      </c>
      <c r="F431" s="1" t="s">
        <v>112</v>
      </c>
      <c r="G431" s="1">
        <v>1189882</v>
      </c>
    </row>
    <row r="432" spans="1:10" x14ac:dyDescent="0.35">
      <c r="A432" s="1" t="str">
        <f t="shared" si="6"/>
        <v>12</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1115</v>
      </c>
      <c r="D432" s="1" t="s">
        <v>1116</v>
      </c>
      <c r="E432" s="1" t="s">
        <v>1117</v>
      </c>
      <c r="F432" s="1" t="s">
        <v>112</v>
      </c>
      <c r="G432" s="1">
        <v>1427876</v>
      </c>
    </row>
    <row r="433" spans="1:7" x14ac:dyDescent="0.35">
      <c r="A433" s="1" t="str">
        <f t="shared" si="6"/>
        <v>12</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1118</v>
      </c>
      <c r="D433" s="1" t="s">
        <v>1119</v>
      </c>
      <c r="E433" s="1" t="s">
        <v>1120</v>
      </c>
      <c r="F433" s="1" t="s">
        <v>112</v>
      </c>
      <c r="G433" s="1">
        <v>1725957</v>
      </c>
    </row>
    <row r="434" spans="1:7" x14ac:dyDescent="0.35">
      <c r="A434" s="1" t="str">
        <f t="shared" si="6"/>
        <v>12</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1121</v>
      </c>
    </row>
    <row r="435" spans="1:7" x14ac:dyDescent="0.35">
      <c r="A435" s="1" t="str">
        <f t="shared" si="6"/>
        <v>12</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1122</v>
      </c>
      <c r="D435" s="1" t="s">
        <v>1123</v>
      </c>
      <c r="E435" s="1" t="s">
        <v>1124</v>
      </c>
      <c r="F435" s="1" t="s">
        <v>112</v>
      </c>
      <c r="G435" s="1">
        <v>2740551</v>
      </c>
    </row>
    <row r="436" spans="1:7" x14ac:dyDescent="0.35">
      <c r="A436" s="1" t="str">
        <f t="shared" si="6"/>
        <v>12</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1125</v>
      </c>
    </row>
    <row r="437" spans="1:7" x14ac:dyDescent="0.35">
      <c r="A437" s="1" t="str">
        <f t="shared" si="6"/>
        <v>12</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1126</v>
      </c>
    </row>
    <row r="438" spans="1:7" x14ac:dyDescent="0.35">
      <c r="A438" s="1" t="str">
        <f t="shared" si="6"/>
        <v>12</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1127</v>
      </c>
    </row>
    <row r="439" spans="1:7" x14ac:dyDescent="0.35">
      <c r="A439" s="1" t="str">
        <f t="shared" si="6"/>
        <v>12</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1128</v>
      </c>
    </row>
    <row r="440" spans="1:7" x14ac:dyDescent="0.35">
      <c r="A440" s="1" t="str">
        <f t="shared" si="6"/>
        <v>12</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1129</v>
      </c>
      <c r="D440" s="1" t="s">
        <v>1130</v>
      </c>
      <c r="E440" s="1" t="s">
        <v>1131</v>
      </c>
      <c r="F440" s="1" t="s">
        <v>112</v>
      </c>
      <c r="G440" s="1">
        <v>2960700</v>
      </c>
    </row>
    <row r="441" spans="1:7" x14ac:dyDescent="0.35">
      <c r="A441" s="1" t="str">
        <f t="shared" si="6"/>
        <v>12</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1132</v>
      </c>
      <c r="D441" s="1" t="s">
        <v>1133</v>
      </c>
      <c r="E441" s="1" t="s">
        <v>1134</v>
      </c>
      <c r="F441" s="1" t="s">
        <v>112</v>
      </c>
      <c r="G441" s="1">
        <v>3172781</v>
      </c>
    </row>
    <row r="442" spans="1:7" x14ac:dyDescent="0.35">
      <c r="A442" s="1" t="str">
        <f t="shared" si="6"/>
        <v>12</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1135</v>
      </c>
      <c r="D442" s="1" t="s">
        <v>1136</v>
      </c>
      <c r="E442" s="1" t="s">
        <v>1137</v>
      </c>
      <c r="F442" s="1" t="s">
        <v>112</v>
      </c>
      <c r="G442" s="1">
        <v>2992150</v>
      </c>
    </row>
    <row r="443" spans="1:7" x14ac:dyDescent="0.35">
      <c r="A443" s="1" t="str">
        <f t="shared" si="6"/>
        <v>12</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1138</v>
      </c>
      <c r="D443" s="1" t="s">
        <v>1139</v>
      </c>
      <c r="E443" s="1" t="s">
        <v>1140</v>
      </c>
      <c r="F443" s="1" t="s">
        <v>112</v>
      </c>
      <c r="G443" s="1">
        <v>1411005</v>
      </c>
    </row>
    <row r="444" spans="1:7" x14ac:dyDescent="0.35">
      <c r="A444" s="1" t="str">
        <f t="shared" si="6"/>
        <v>12</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1141</v>
      </c>
      <c r="D444" s="1" t="s">
        <v>1142</v>
      </c>
      <c r="E444" s="1" t="s">
        <v>1143</v>
      </c>
      <c r="F444" s="1" t="s">
        <v>112</v>
      </c>
      <c r="G444" s="1">
        <v>1685077</v>
      </c>
    </row>
    <row r="445" spans="1:7" x14ac:dyDescent="0.35">
      <c r="A445" s="1" t="str">
        <f t="shared" si="6"/>
        <v>12</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1144</v>
      </c>
      <c r="D445" s="1" t="s">
        <v>1145</v>
      </c>
      <c r="E445" s="1" t="s">
        <v>1146</v>
      </c>
      <c r="F445" s="1" t="s">
        <v>112</v>
      </c>
      <c r="G445" s="1">
        <v>1636799</v>
      </c>
    </row>
    <row r="446" spans="1:7" x14ac:dyDescent="0.35">
      <c r="A446" s="1" t="str">
        <f t="shared" si="6"/>
        <v>12</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1147</v>
      </c>
      <c r="D446" s="1" t="s">
        <v>1148</v>
      </c>
      <c r="E446" s="1" t="s">
        <v>1149</v>
      </c>
      <c r="F446" s="1" t="s">
        <v>112</v>
      </c>
      <c r="G446" s="1">
        <v>3295552</v>
      </c>
    </row>
    <row r="447" spans="1:7" x14ac:dyDescent="0.35">
      <c r="A447" s="1" t="str">
        <f t="shared" si="6"/>
        <v>12</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1150</v>
      </c>
      <c r="D447" s="1" t="s">
        <v>1151</v>
      </c>
      <c r="E447" s="1" t="s">
        <v>1152</v>
      </c>
      <c r="F447" s="1" t="s">
        <v>112</v>
      </c>
      <c r="G447" s="1">
        <v>3279135</v>
      </c>
    </row>
    <row r="448" spans="1:7" x14ac:dyDescent="0.35">
      <c r="A448" s="1" t="str">
        <f t="shared" si="6"/>
        <v>12</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1153</v>
      </c>
      <c r="D448" s="1" t="s">
        <v>1154</v>
      </c>
      <c r="E448" s="1" t="s">
        <v>1155</v>
      </c>
      <c r="F448" s="1" t="s">
        <v>112</v>
      </c>
      <c r="G448" s="1">
        <v>3558810</v>
      </c>
    </row>
    <row r="449" spans="1:10" x14ac:dyDescent="0.35">
      <c r="A449" s="1" t="str">
        <f t="shared" si="6"/>
        <v>12</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1156</v>
      </c>
      <c r="D449" s="1" t="s">
        <v>1157</v>
      </c>
      <c r="E449" s="1" t="s">
        <v>1158</v>
      </c>
      <c r="F449" s="1" t="s">
        <v>112</v>
      </c>
      <c r="G449" s="1">
        <v>2107941</v>
      </c>
    </row>
    <row r="450" spans="1:10" x14ac:dyDescent="0.35">
      <c r="A450" s="1" t="str">
        <f t="shared" ref="A450:A513" si="7">IFERROR(LEFT(RIGHT(C450,LEN(C450)-SEARCH("@",C450)),SEARCH("/",RIGHT(C450,LEN(C450)-SEARCH("@",C450)-1))),"")</f>
        <v>12</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1159</v>
      </c>
      <c r="D450" s="1" t="s">
        <v>1160</v>
      </c>
      <c r="E450" s="1" t="s">
        <v>1161</v>
      </c>
      <c r="F450" s="1" t="s">
        <v>112</v>
      </c>
      <c r="G450" s="1">
        <v>2573784</v>
      </c>
    </row>
    <row r="451" spans="1:10" x14ac:dyDescent="0.35">
      <c r="A451" s="1" t="str">
        <f t="shared" si="7"/>
        <v>12</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1162</v>
      </c>
      <c r="D451" s="1" t="s">
        <v>1163</v>
      </c>
      <c r="E451" s="1" t="s">
        <v>1164</v>
      </c>
      <c r="F451" s="1" t="s">
        <v>112</v>
      </c>
      <c r="G451" s="1">
        <v>2555680</v>
      </c>
    </row>
    <row r="452" spans="1:10" x14ac:dyDescent="0.35">
      <c r="A452" s="1" t="str">
        <f t="shared" si="7"/>
        <v>12</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1165</v>
      </c>
      <c r="D452" s="1" t="s">
        <v>1166</v>
      </c>
      <c r="E452" s="1" t="s">
        <v>1167</v>
      </c>
      <c r="F452" s="1" t="s">
        <v>112</v>
      </c>
      <c r="G452" s="1">
        <v>3258587</v>
      </c>
    </row>
    <row r="453" spans="1:10" x14ac:dyDescent="0.35">
      <c r="A453" s="1" t="str">
        <f t="shared" si="7"/>
        <v>12</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1168</v>
      </c>
      <c r="D453" s="1" t="s">
        <v>1169</v>
      </c>
      <c r="E453" s="1" t="s">
        <v>1170</v>
      </c>
      <c r="F453" s="1" t="s">
        <v>112</v>
      </c>
      <c r="G453" s="1">
        <v>3808203</v>
      </c>
    </row>
    <row r="454" spans="1:10" x14ac:dyDescent="0.35">
      <c r="A454" s="1" t="str">
        <f t="shared" si="7"/>
        <v>12</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1171</v>
      </c>
      <c r="D454" s="1" t="s">
        <v>1172</v>
      </c>
      <c r="E454" s="1" t="s">
        <v>1173</v>
      </c>
      <c r="F454" s="1" t="s">
        <v>112</v>
      </c>
      <c r="G454" s="1">
        <v>3650261</v>
      </c>
    </row>
    <row r="455" spans="1:10" x14ac:dyDescent="0.3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112</v>
      </c>
    </row>
    <row r="456" spans="1:10" x14ac:dyDescent="0.3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237</v>
      </c>
      <c r="D456" s="1" t="s">
        <v>112</v>
      </c>
      <c r="E456" s="1" t="s">
        <v>238</v>
      </c>
      <c r="F456" s="1" t="s">
        <v>239</v>
      </c>
      <c r="G456" s="1" t="s">
        <v>240</v>
      </c>
      <c r="H456" s="1" t="s">
        <v>241</v>
      </c>
      <c r="I456" s="1" t="s">
        <v>242</v>
      </c>
      <c r="J456" s="1" t="s">
        <v>243</v>
      </c>
    </row>
    <row r="457" spans="1:10" x14ac:dyDescent="0.35">
      <c r="A457" s="1" t="str">
        <f t="shared" si="7"/>
        <v>12</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1174</v>
      </c>
      <c r="D457" s="1" t="s">
        <v>112</v>
      </c>
      <c r="E457" s="1" t="s">
        <v>1175</v>
      </c>
      <c r="F457" s="1" t="s">
        <v>1176</v>
      </c>
      <c r="G457" s="1" t="s">
        <v>1177</v>
      </c>
      <c r="H457" s="1" t="s">
        <v>1178</v>
      </c>
      <c r="I457" s="1">
        <v>24</v>
      </c>
      <c r="J457" s="1">
        <v>24</v>
      </c>
    </row>
    <row r="458" spans="1:10" x14ac:dyDescent="0.3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112</v>
      </c>
    </row>
    <row r="459" spans="1:10" x14ac:dyDescent="0.3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10" x14ac:dyDescent="0.3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10" x14ac:dyDescent="0.3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10" x14ac:dyDescent="0.3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10" x14ac:dyDescent="0.3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249</v>
      </c>
      <c r="D463" s="1" t="s">
        <v>110</v>
      </c>
      <c r="E463" s="1" t="s">
        <v>111</v>
      </c>
      <c r="F463" s="1" t="s">
        <v>112</v>
      </c>
      <c r="G463" s="1" t="s">
        <v>113</v>
      </c>
    </row>
    <row r="464" spans="1:10" x14ac:dyDescent="0.35">
      <c r="A464" s="1" t="str">
        <f t="shared" si="7"/>
        <v>17</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1179</v>
      </c>
      <c r="D464" s="1" t="s">
        <v>1180</v>
      </c>
      <c r="E464" s="1" t="s">
        <v>1181</v>
      </c>
      <c r="F464" s="1" t="s">
        <v>112</v>
      </c>
      <c r="G464" s="1">
        <v>2490250</v>
      </c>
    </row>
    <row r="465" spans="1:7" x14ac:dyDescent="0.35">
      <c r="A465" s="1" t="str">
        <f t="shared" si="7"/>
        <v>17</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1182</v>
      </c>
      <c r="D465" s="1" t="s">
        <v>1183</v>
      </c>
      <c r="E465" s="1" t="s">
        <v>1184</v>
      </c>
      <c r="F465" s="1" t="s">
        <v>112</v>
      </c>
      <c r="G465" s="1">
        <v>2270230</v>
      </c>
    </row>
    <row r="466" spans="1:7" x14ac:dyDescent="0.35">
      <c r="A466" s="1" t="str">
        <f t="shared" si="7"/>
        <v>17</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1185</v>
      </c>
      <c r="D466" s="1" t="s">
        <v>1186</v>
      </c>
      <c r="E466" s="1" t="s">
        <v>1187</v>
      </c>
      <c r="F466" s="1" t="s">
        <v>112</v>
      </c>
      <c r="G466" s="1">
        <v>2839767</v>
      </c>
    </row>
    <row r="467" spans="1:7" x14ac:dyDescent="0.35">
      <c r="A467" s="1" t="str">
        <f t="shared" si="7"/>
        <v>17</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1188</v>
      </c>
      <c r="D467" s="1" t="s">
        <v>1189</v>
      </c>
      <c r="E467" s="1" t="s">
        <v>1190</v>
      </c>
      <c r="F467" s="1" t="s">
        <v>112</v>
      </c>
      <c r="G467" s="1">
        <v>2828174</v>
      </c>
    </row>
    <row r="468" spans="1:7" x14ac:dyDescent="0.35">
      <c r="A468" s="1" t="str">
        <f t="shared" si="7"/>
        <v>17</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1191</v>
      </c>
      <c r="D468" s="1" t="s">
        <v>1192</v>
      </c>
      <c r="E468" s="1" t="s">
        <v>1193</v>
      </c>
      <c r="F468" s="1" t="s">
        <v>112</v>
      </c>
      <c r="G468" s="1">
        <v>2747819</v>
      </c>
    </row>
    <row r="469" spans="1:7" x14ac:dyDescent="0.35">
      <c r="A469" s="1" t="str">
        <f t="shared" si="7"/>
        <v>17</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1194</v>
      </c>
      <c r="D469" s="1" t="s">
        <v>1195</v>
      </c>
      <c r="E469" s="1" t="s">
        <v>1196</v>
      </c>
      <c r="F469" s="1" t="s">
        <v>112</v>
      </c>
      <c r="G469" s="1">
        <v>2657622</v>
      </c>
    </row>
    <row r="470" spans="1:7" x14ac:dyDescent="0.35">
      <c r="A470" s="1" t="str">
        <f t="shared" si="7"/>
        <v>17</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1197</v>
      </c>
      <c r="D470" s="1" t="s">
        <v>1198</v>
      </c>
      <c r="E470" s="1" t="s">
        <v>1199</v>
      </c>
      <c r="F470" s="1" t="s">
        <v>112</v>
      </c>
      <c r="G470" s="1">
        <v>503198</v>
      </c>
    </row>
    <row r="471" spans="1:7" x14ac:dyDescent="0.35">
      <c r="A471" s="1" t="str">
        <f t="shared" si="7"/>
        <v>17</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1200</v>
      </c>
      <c r="D471" s="1" t="s">
        <v>1201</v>
      </c>
      <c r="E471" s="1" t="s">
        <v>1202</v>
      </c>
      <c r="F471" s="1" t="s">
        <v>112</v>
      </c>
      <c r="G471" s="1">
        <v>622379</v>
      </c>
    </row>
    <row r="472" spans="1:7" x14ac:dyDescent="0.35">
      <c r="A472" s="1" t="str">
        <f t="shared" si="7"/>
        <v>17</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1203</v>
      </c>
      <c r="D472" s="1" t="s">
        <v>1204</v>
      </c>
      <c r="E472" s="1" t="s">
        <v>1205</v>
      </c>
      <c r="F472" s="1" t="s">
        <v>112</v>
      </c>
      <c r="G472" s="1">
        <v>622487</v>
      </c>
    </row>
    <row r="473" spans="1:7" x14ac:dyDescent="0.35">
      <c r="A473" s="1" t="str">
        <f t="shared" si="7"/>
        <v>17</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1206</v>
      </c>
      <c r="D473" s="1" t="s">
        <v>1207</v>
      </c>
      <c r="E473" s="1" t="s">
        <v>1208</v>
      </c>
      <c r="F473" s="1" t="s">
        <v>112</v>
      </c>
      <c r="G473" s="1">
        <v>1967196</v>
      </c>
    </row>
    <row r="474" spans="1:7" x14ac:dyDescent="0.35">
      <c r="A474" s="1" t="str">
        <f t="shared" si="7"/>
        <v>17</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1209</v>
      </c>
      <c r="D474" s="1" t="s">
        <v>1210</v>
      </c>
      <c r="E474" s="1" t="s">
        <v>1211</v>
      </c>
      <c r="F474" s="1" t="s">
        <v>112</v>
      </c>
      <c r="G474" s="1">
        <v>2030117</v>
      </c>
    </row>
    <row r="475" spans="1:7" x14ac:dyDescent="0.35">
      <c r="A475" s="1" t="str">
        <f t="shared" si="7"/>
        <v>17</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1212</v>
      </c>
      <c r="D475" s="1" t="s">
        <v>1213</v>
      </c>
      <c r="E475" s="1" t="s">
        <v>1214</v>
      </c>
      <c r="F475" s="1" t="s">
        <v>112</v>
      </c>
      <c r="G475" s="1">
        <v>1970094</v>
      </c>
    </row>
    <row r="476" spans="1:7" x14ac:dyDescent="0.35">
      <c r="A476" s="1" t="str">
        <f t="shared" si="7"/>
        <v>17</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1215</v>
      </c>
      <c r="D476" s="1" t="s">
        <v>595</v>
      </c>
      <c r="E476" s="1" t="s">
        <v>1216</v>
      </c>
      <c r="F476" s="1" t="s">
        <v>112</v>
      </c>
      <c r="G476" s="1">
        <v>114227</v>
      </c>
    </row>
    <row r="477" spans="1:7" x14ac:dyDescent="0.35">
      <c r="A477" s="1" t="str">
        <f t="shared" si="7"/>
        <v>17</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1217</v>
      </c>
      <c r="D477" s="1" t="s">
        <v>1218</v>
      </c>
      <c r="E477" s="1" t="s">
        <v>1219</v>
      </c>
      <c r="F477" s="1" t="s">
        <v>112</v>
      </c>
      <c r="G477" s="1">
        <v>129801</v>
      </c>
    </row>
    <row r="478" spans="1:7" x14ac:dyDescent="0.35">
      <c r="A478" s="1" t="str">
        <f t="shared" si="7"/>
        <v>17</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1220</v>
      </c>
      <c r="D478" s="1" t="s">
        <v>719</v>
      </c>
      <c r="E478" s="1" t="s">
        <v>1221</v>
      </c>
      <c r="F478" s="1" t="s">
        <v>112</v>
      </c>
      <c r="G478" s="1">
        <v>118316</v>
      </c>
    </row>
    <row r="479" spans="1:7" x14ac:dyDescent="0.35">
      <c r="A479" s="1" t="str">
        <f t="shared" si="7"/>
        <v>17</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1222</v>
      </c>
      <c r="D479" s="1" t="s">
        <v>1223</v>
      </c>
      <c r="E479" s="1" t="s">
        <v>1224</v>
      </c>
      <c r="F479" s="1" t="s">
        <v>112</v>
      </c>
      <c r="G479" s="1">
        <v>349496</v>
      </c>
    </row>
    <row r="480" spans="1:7" x14ac:dyDescent="0.35">
      <c r="A480" s="1" t="str">
        <f t="shared" si="7"/>
        <v>17</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1225</v>
      </c>
      <c r="D480" s="1" t="s">
        <v>1226</v>
      </c>
      <c r="E480" s="1" t="s">
        <v>1227</v>
      </c>
      <c r="F480" s="1" t="s">
        <v>112</v>
      </c>
      <c r="G480" s="1">
        <v>626056</v>
      </c>
    </row>
    <row r="481" spans="1:10" x14ac:dyDescent="0.35">
      <c r="A481" s="1" t="str">
        <f t="shared" si="7"/>
        <v>17</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1228</v>
      </c>
      <c r="D481" s="1" t="s">
        <v>1229</v>
      </c>
      <c r="E481" s="1" t="s">
        <v>1230</v>
      </c>
      <c r="F481" s="1" t="s">
        <v>112</v>
      </c>
      <c r="G481" s="1">
        <v>254930</v>
      </c>
    </row>
    <row r="482" spans="1:10" x14ac:dyDescent="0.35">
      <c r="A482" s="1" t="str">
        <f t="shared" si="7"/>
        <v>17</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1231</v>
      </c>
      <c r="D482" s="1" t="s">
        <v>1232</v>
      </c>
      <c r="E482" s="1" t="s">
        <v>1233</v>
      </c>
      <c r="F482" s="1" t="s">
        <v>112</v>
      </c>
      <c r="G482" s="1">
        <v>558030</v>
      </c>
    </row>
    <row r="483" spans="1:10" x14ac:dyDescent="0.35">
      <c r="A483" s="1" t="str">
        <f t="shared" si="7"/>
        <v>17</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1234</v>
      </c>
      <c r="D483" s="1" t="s">
        <v>1235</v>
      </c>
      <c r="E483" s="1" t="s">
        <v>1236</v>
      </c>
      <c r="F483" s="1" t="s">
        <v>112</v>
      </c>
      <c r="G483" s="1">
        <v>318587</v>
      </c>
    </row>
    <row r="484" spans="1:10" x14ac:dyDescent="0.35">
      <c r="A484" s="1" t="str">
        <f t="shared" si="7"/>
        <v>17</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1237</v>
      </c>
      <c r="D484" s="1" t="s">
        <v>1238</v>
      </c>
      <c r="E484" s="1" t="s">
        <v>1239</v>
      </c>
      <c r="F484" s="1" t="s">
        <v>112</v>
      </c>
      <c r="G484" s="1">
        <v>452216</v>
      </c>
    </row>
    <row r="485" spans="1:10" x14ac:dyDescent="0.35">
      <c r="A485" s="1" t="str">
        <f t="shared" si="7"/>
        <v>17</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1240</v>
      </c>
      <c r="D485" s="1" t="s">
        <v>1241</v>
      </c>
      <c r="E485" s="1" t="s">
        <v>1242</v>
      </c>
      <c r="F485" s="1" t="s">
        <v>112</v>
      </c>
      <c r="G485" s="1">
        <v>1141388</v>
      </c>
    </row>
    <row r="486" spans="1:10" x14ac:dyDescent="0.35">
      <c r="A486" s="1" t="str">
        <f t="shared" si="7"/>
        <v>17</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1243</v>
      </c>
      <c r="D486" s="1" t="s">
        <v>1244</v>
      </c>
      <c r="E486" s="1" t="s">
        <v>1245</v>
      </c>
      <c r="F486" s="1" t="s">
        <v>112</v>
      </c>
      <c r="G486" s="1">
        <v>1035856</v>
      </c>
    </row>
    <row r="487" spans="1:10" x14ac:dyDescent="0.35">
      <c r="A487" s="1" t="str">
        <f t="shared" si="7"/>
        <v>17</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1246</v>
      </c>
      <c r="D487" s="1" t="s">
        <v>1247</v>
      </c>
      <c r="E487" s="1" t="s">
        <v>1248</v>
      </c>
      <c r="F487" s="1" t="s">
        <v>112</v>
      </c>
      <c r="G487" s="1">
        <v>708119</v>
      </c>
    </row>
    <row r="488" spans="1:10" x14ac:dyDescent="0.3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112</v>
      </c>
    </row>
    <row r="489" spans="1:10" x14ac:dyDescent="0.3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237</v>
      </c>
      <c r="D489" s="1" t="s">
        <v>112</v>
      </c>
      <c r="E489" s="1" t="s">
        <v>238</v>
      </c>
      <c r="F489" s="1" t="s">
        <v>239</v>
      </c>
      <c r="G489" s="1" t="s">
        <v>240</v>
      </c>
      <c r="H489" s="1" t="s">
        <v>241</v>
      </c>
      <c r="I489" s="1" t="s">
        <v>242</v>
      </c>
      <c r="J489" s="1" t="s">
        <v>243</v>
      </c>
    </row>
    <row r="490" spans="1:10" x14ac:dyDescent="0.35">
      <c r="A490" s="1" t="str">
        <f t="shared" si="7"/>
        <v>17</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1249</v>
      </c>
      <c r="D490" s="1" t="s">
        <v>112</v>
      </c>
      <c r="E490" s="1" t="s">
        <v>1250</v>
      </c>
      <c r="F490" s="1" t="s">
        <v>1251</v>
      </c>
      <c r="G490" s="1" t="s">
        <v>1252</v>
      </c>
      <c r="H490" s="1" t="s">
        <v>1253</v>
      </c>
      <c r="I490" s="1">
        <v>24</v>
      </c>
      <c r="J490" s="1">
        <v>24</v>
      </c>
    </row>
    <row r="491" spans="1:10" x14ac:dyDescent="0.3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10" x14ac:dyDescent="0.3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10" x14ac:dyDescent="0.3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10" x14ac:dyDescent="0.3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10" x14ac:dyDescent="0.3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10" x14ac:dyDescent="0.3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249</v>
      </c>
      <c r="D496" s="1" t="s">
        <v>110</v>
      </c>
      <c r="E496" s="1" t="s">
        <v>111</v>
      </c>
      <c r="F496" s="1" t="s">
        <v>112</v>
      </c>
      <c r="G496" s="1" t="s">
        <v>113</v>
      </c>
    </row>
    <row r="497" spans="1:7" x14ac:dyDescent="0.35">
      <c r="A497" s="1" t="str">
        <f t="shared" si="7"/>
        <v>18</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1254</v>
      </c>
      <c r="D497" s="1" t="s">
        <v>1255</v>
      </c>
      <c r="E497" s="1" t="s">
        <v>1256</v>
      </c>
      <c r="F497" s="1" t="s">
        <v>112</v>
      </c>
      <c r="G497" s="1">
        <v>2748554</v>
      </c>
    </row>
    <row r="498" spans="1:7" x14ac:dyDescent="0.35">
      <c r="A498" s="1" t="str">
        <f t="shared" si="7"/>
        <v>18</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1257</v>
      </c>
      <c r="D498" s="1" t="s">
        <v>1258</v>
      </c>
      <c r="E498" s="1" t="s">
        <v>1259</v>
      </c>
      <c r="F498" s="1" t="s">
        <v>112</v>
      </c>
      <c r="G498" s="1">
        <v>2040413</v>
      </c>
    </row>
    <row r="499" spans="1:7" x14ac:dyDescent="0.35">
      <c r="A499" s="1" t="str">
        <f t="shared" si="7"/>
        <v>18</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1260</v>
      </c>
      <c r="D499" s="1" t="s">
        <v>1261</v>
      </c>
      <c r="E499" s="1" t="s">
        <v>1262</v>
      </c>
      <c r="F499" s="1" t="s">
        <v>112</v>
      </c>
      <c r="G499" s="1">
        <v>1997478</v>
      </c>
    </row>
    <row r="500" spans="1:7" x14ac:dyDescent="0.35">
      <c r="A500" s="1" t="str">
        <f t="shared" si="7"/>
        <v>18</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1263</v>
      </c>
      <c r="D500" s="1" t="s">
        <v>1264</v>
      </c>
      <c r="E500" s="1" t="s">
        <v>1265</v>
      </c>
      <c r="F500" s="1" t="s">
        <v>112</v>
      </c>
      <c r="G500" s="1">
        <v>1174482</v>
      </c>
    </row>
    <row r="501" spans="1:7" x14ac:dyDescent="0.35">
      <c r="A501" s="1" t="str">
        <f t="shared" si="7"/>
        <v>18</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1266</v>
      </c>
      <c r="D501" s="1" t="s">
        <v>1267</v>
      </c>
      <c r="E501" s="1" t="s">
        <v>1268</v>
      </c>
      <c r="F501" s="1" t="s">
        <v>112</v>
      </c>
      <c r="G501" s="1">
        <v>1684601</v>
      </c>
    </row>
    <row r="502" spans="1:7" x14ac:dyDescent="0.35">
      <c r="A502" s="1" t="str">
        <f t="shared" si="7"/>
        <v>18</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1269</v>
      </c>
      <c r="D502" s="1" t="s">
        <v>1270</v>
      </c>
      <c r="E502" s="1" t="s">
        <v>1271</v>
      </c>
      <c r="F502" s="1" t="s">
        <v>112</v>
      </c>
      <c r="G502" s="1">
        <v>1138836</v>
      </c>
    </row>
    <row r="503" spans="1:7" x14ac:dyDescent="0.35">
      <c r="A503" s="1" t="str">
        <f t="shared" si="7"/>
        <v>18</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1272</v>
      </c>
      <c r="D503" s="1" t="s">
        <v>1273</v>
      </c>
      <c r="E503" s="1" t="s">
        <v>1274</v>
      </c>
      <c r="F503" s="1" t="s">
        <v>112</v>
      </c>
      <c r="G503" s="1">
        <v>2164655</v>
      </c>
    </row>
    <row r="504" spans="1:7" x14ac:dyDescent="0.35">
      <c r="A504" s="1" t="str">
        <f t="shared" si="7"/>
        <v>18</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1275</v>
      </c>
      <c r="D504" s="1" t="s">
        <v>1276</v>
      </c>
      <c r="E504" s="1" t="s">
        <v>1277</v>
      </c>
      <c r="F504" s="1" t="s">
        <v>112</v>
      </c>
      <c r="G504" s="1">
        <v>1752151</v>
      </c>
    </row>
    <row r="505" spans="1:7" x14ac:dyDescent="0.35">
      <c r="A505" s="1" t="str">
        <f t="shared" si="7"/>
        <v>18</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1278</v>
      </c>
      <c r="D505" s="1" t="s">
        <v>1279</v>
      </c>
      <c r="E505" s="1" t="s">
        <v>1280</v>
      </c>
      <c r="F505" s="1" t="s">
        <v>112</v>
      </c>
      <c r="G505" s="1">
        <v>2009634</v>
      </c>
    </row>
    <row r="506" spans="1:7" x14ac:dyDescent="0.35">
      <c r="A506" s="1" t="str">
        <f t="shared" si="7"/>
        <v>18</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1281</v>
      </c>
      <c r="D506" s="1" t="s">
        <v>1282</v>
      </c>
      <c r="E506" s="1" t="s">
        <v>1283</v>
      </c>
      <c r="F506" s="1" t="s">
        <v>112</v>
      </c>
      <c r="G506" s="1">
        <v>2760299</v>
      </c>
    </row>
    <row r="507" spans="1:7" x14ac:dyDescent="0.35">
      <c r="A507" s="1" t="str">
        <f t="shared" si="7"/>
        <v>18</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1284</v>
      </c>
      <c r="D507" s="1" t="s">
        <v>1285</v>
      </c>
      <c r="E507" s="1" t="s">
        <v>1286</v>
      </c>
      <c r="F507" s="1" t="s">
        <v>112</v>
      </c>
      <c r="G507" s="1">
        <v>2973332</v>
      </c>
    </row>
    <row r="508" spans="1:7" x14ac:dyDescent="0.35">
      <c r="A508" s="1" t="str">
        <f t="shared" si="7"/>
        <v>18</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1287</v>
      </c>
      <c r="D508" s="1" t="s">
        <v>1288</v>
      </c>
      <c r="E508" s="1" t="s">
        <v>1289</v>
      </c>
      <c r="F508" s="1" t="s">
        <v>112</v>
      </c>
      <c r="G508" s="1">
        <v>3029591</v>
      </c>
    </row>
    <row r="509" spans="1:7" x14ac:dyDescent="0.35">
      <c r="A509" s="1" t="str">
        <f t="shared" si="7"/>
        <v>18</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1290</v>
      </c>
      <c r="D509" s="1" t="s">
        <v>1291</v>
      </c>
      <c r="E509" s="1" t="s">
        <v>1292</v>
      </c>
      <c r="F509" s="1" t="s">
        <v>112</v>
      </c>
      <c r="G509" s="1">
        <v>2541794</v>
      </c>
    </row>
    <row r="510" spans="1:7" x14ac:dyDescent="0.35">
      <c r="A510" s="1" t="str">
        <f t="shared" si="7"/>
        <v>18</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1293</v>
      </c>
      <c r="D510" s="1" t="s">
        <v>1294</v>
      </c>
      <c r="E510" s="1" t="s">
        <v>1295</v>
      </c>
      <c r="F510" s="1" t="s">
        <v>112</v>
      </c>
      <c r="G510" s="1">
        <v>2718943</v>
      </c>
    </row>
    <row r="511" spans="1:7" x14ac:dyDescent="0.35">
      <c r="A511" s="1" t="str">
        <f t="shared" si="7"/>
        <v>18</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1296</v>
      </c>
      <c r="D511" s="1" t="s">
        <v>1297</v>
      </c>
      <c r="E511" s="1" t="s">
        <v>1298</v>
      </c>
      <c r="F511" s="1" t="s">
        <v>112</v>
      </c>
      <c r="G511" s="1">
        <v>2648775</v>
      </c>
    </row>
    <row r="512" spans="1:7" x14ac:dyDescent="0.35">
      <c r="A512" s="1" t="str">
        <f t="shared" si="7"/>
        <v>18</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1299</v>
      </c>
      <c r="D512" s="1" t="s">
        <v>1300</v>
      </c>
      <c r="E512" s="1" t="s">
        <v>1301</v>
      </c>
      <c r="F512" s="1" t="s">
        <v>112</v>
      </c>
      <c r="G512" s="1">
        <v>2729649</v>
      </c>
    </row>
    <row r="513" spans="1:10" x14ac:dyDescent="0.35">
      <c r="A513" s="1" t="str">
        <f t="shared" si="7"/>
        <v>18</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1302</v>
      </c>
      <c r="D513" s="1" t="s">
        <v>1180</v>
      </c>
      <c r="E513" s="1" t="s">
        <v>1303</v>
      </c>
      <c r="F513" s="1" t="s">
        <v>112</v>
      </c>
      <c r="G513" s="1">
        <v>3003224</v>
      </c>
    </row>
    <row r="514" spans="1:10" x14ac:dyDescent="0.35">
      <c r="A514" s="1" t="str">
        <f t="shared" ref="A514:A577" si="8">IFERROR(LEFT(RIGHT(C514,LEN(C514)-SEARCH("@",C514)),SEARCH("/",RIGHT(C514,LEN(C514)-SEARCH("@",C514)-1))),"")</f>
        <v>18</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1304</v>
      </c>
      <c r="D514" s="1" t="s">
        <v>1305</v>
      </c>
      <c r="E514" s="1" t="s">
        <v>1306</v>
      </c>
      <c r="F514" s="1" t="s">
        <v>112</v>
      </c>
      <c r="G514" s="1">
        <v>2423716</v>
      </c>
    </row>
    <row r="515" spans="1:10" x14ac:dyDescent="0.35">
      <c r="A515" s="1" t="str">
        <f t="shared" si="8"/>
        <v>18</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1307</v>
      </c>
      <c r="D515" s="1" t="s">
        <v>1308</v>
      </c>
      <c r="E515" s="1" t="s">
        <v>1309</v>
      </c>
      <c r="F515" s="1" t="s">
        <v>112</v>
      </c>
      <c r="G515" s="1">
        <v>1399584</v>
      </c>
    </row>
    <row r="516" spans="1:10" x14ac:dyDescent="0.35">
      <c r="A516" s="1" t="str">
        <f t="shared" si="8"/>
        <v>18</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1310</v>
      </c>
      <c r="D516" s="1" t="s">
        <v>1311</v>
      </c>
      <c r="E516" s="1" t="s">
        <v>1312</v>
      </c>
      <c r="F516" s="1" t="s">
        <v>112</v>
      </c>
      <c r="G516" s="1">
        <v>1103600</v>
      </c>
    </row>
    <row r="517" spans="1:10" x14ac:dyDescent="0.35">
      <c r="A517" s="1" t="str">
        <f t="shared" si="8"/>
        <v>18</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1313</v>
      </c>
      <c r="D517" s="1" t="s">
        <v>1314</v>
      </c>
      <c r="E517" s="1" t="s">
        <v>1315</v>
      </c>
      <c r="F517" s="1" t="s">
        <v>112</v>
      </c>
      <c r="G517" s="1">
        <v>1219904</v>
      </c>
    </row>
    <row r="518" spans="1:10" x14ac:dyDescent="0.35">
      <c r="A518" s="1" t="str">
        <f t="shared" si="8"/>
        <v>18</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1316</v>
      </c>
      <c r="D518" s="1" t="s">
        <v>1317</v>
      </c>
      <c r="E518" s="1" t="s">
        <v>1318</v>
      </c>
      <c r="F518" s="1" t="s">
        <v>112</v>
      </c>
      <c r="G518" s="1">
        <v>66793</v>
      </c>
    </row>
    <row r="519" spans="1:10" x14ac:dyDescent="0.35">
      <c r="A519" s="1" t="str">
        <f t="shared" si="8"/>
        <v>18</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1319</v>
      </c>
      <c r="D519" s="1" t="s">
        <v>635</v>
      </c>
      <c r="E519" s="1" t="s">
        <v>1320</v>
      </c>
      <c r="F519" s="1" t="s">
        <v>112</v>
      </c>
      <c r="G519" s="1">
        <v>315407</v>
      </c>
    </row>
    <row r="520" spans="1:10" x14ac:dyDescent="0.35">
      <c r="A520" s="1" t="str">
        <f t="shared" si="8"/>
        <v>18</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1321</v>
      </c>
      <c r="D520" s="1" t="s">
        <v>1322</v>
      </c>
      <c r="E520" s="1" t="s">
        <v>1323</v>
      </c>
      <c r="F520" s="1" t="s">
        <v>112</v>
      </c>
      <c r="G520" s="1">
        <v>507243</v>
      </c>
    </row>
    <row r="521" spans="1:10" x14ac:dyDescent="0.3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112</v>
      </c>
    </row>
    <row r="522" spans="1:10" x14ac:dyDescent="0.3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237</v>
      </c>
      <c r="D522" s="1" t="s">
        <v>112</v>
      </c>
      <c r="E522" s="1" t="s">
        <v>238</v>
      </c>
      <c r="F522" s="1" t="s">
        <v>239</v>
      </c>
      <c r="G522" s="1" t="s">
        <v>240</v>
      </c>
      <c r="H522" s="1" t="s">
        <v>241</v>
      </c>
      <c r="I522" s="1" t="s">
        <v>242</v>
      </c>
      <c r="J522" s="1" t="s">
        <v>243</v>
      </c>
    </row>
    <row r="523" spans="1:10" x14ac:dyDescent="0.35">
      <c r="A523" s="1" t="str">
        <f t="shared" si="8"/>
        <v>18</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1324</v>
      </c>
      <c r="D523" s="1" t="s">
        <v>112</v>
      </c>
      <c r="E523" s="1" t="s">
        <v>1325</v>
      </c>
      <c r="F523" s="1" t="s">
        <v>1326</v>
      </c>
      <c r="G523" s="1" t="s">
        <v>1327</v>
      </c>
      <c r="H523" s="1" t="s">
        <v>1328</v>
      </c>
      <c r="I523" s="1">
        <v>24</v>
      </c>
      <c r="J523" s="1">
        <v>24</v>
      </c>
    </row>
    <row r="524" spans="1:10" x14ac:dyDescent="0.3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112</v>
      </c>
    </row>
    <row r="525" spans="1:10" x14ac:dyDescent="0.3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10" x14ac:dyDescent="0.3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10" x14ac:dyDescent="0.3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10" x14ac:dyDescent="0.3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3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249</v>
      </c>
      <c r="D529" s="1" t="s">
        <v>110</v>
      </c>
      <c r="E529" s="1" t="s">
        <v>111</v>
      </c>
      <c r="F529" s="1" t="s">
        <v>112</v>
      </c>
      <c r="G529" s="1" t="s">
        <v>113</v>
      </c>
    </row>
    <row r="530" spans="1:7" x14ac:dyDescent="0.35">
      <c r="A530" s="1" t="str">
        <f t="shared" si="8"/>
        <v>19</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1329</v>
      </c>
      <c r="D530" s="1" t="s">
        <v>1330</v>
      </c>
      <c r="E530" s="1" t="s">
        <v>1331</v>
      </c>
      <c r="F530" s="1" t="s">
        <v>112</v>
      </c>
      <c r="G530" s="1">
        <v>1351241</v>
      </c>
    </row>
    <row r="531" spans="1:7" x14ac:dyDescent="0.35">
      <c r="A531" s="1" t="str">
        <f t="shared" si="8"/>
        <v>19</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1332</v>
      </c>
      <c r="D531" s="1" t="s">
        <v>1333</v>
      </c>
      <c r="E531" s="1" t="s">
        <v>1334</v>
      </c>
      <c r="F531" s="1" t="s">
        <v>112</v>
      </c>
      <c r="G531" s="1">
        <v>1516991</v>
      </c>
    </row>
    <row r="532" spans="1:7" x14ac:dyDescent="0.35">
      <c r="A532" s="1" t="str">
        <f t="shared" si="8"/>
        <v>19</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1335</v>
      </c>
      <c r="D532" s="1" t="s">
        <v>1336</v>
      </c>
      <c r="E532" s="1" t="s">
        <v>1337</v>
      </c>
      <c r="F532" s="1" t="s">
        <v>112</v>
      </c>
      <c r="G532" s="1">
        <v>1028155</v>
      </c>
    </row>
    <row r="533" spans="1:7" x14ac:dyDescent="0.35">
      <c r="A533" s="1" t="str">
        <f t="shared" si="8"/>
        <v>19</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1338</v>
      </c>
      <c r="D533" s="1" t="s">
        <v>1339</v>
      </c>
      <c r="E533" s="1" t="s">
        <v>1340</v>
      </c>
      <c r="F533" s="1" t="s">
        <v>112</v>
      </c>
      <c r="G533" s="1">
        <v>2016360</v>
      </c>
    </row>
    <row r="534" spans="1:7" x14ac:dyDescent="0.35">
      <c r="A534" s="1" t="str">
        <f t="shared" si="8"/>
        <v>19</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1341</v>
      </c>
      <c r="D534" s="1" t="s">
        <v>1342</v>
      </c>
      <c r="E534" s="1" t="s">
        <v>1343</v>
      </c>
      <c r="F534" s="1" t="s">
        <v>112</v>
      </c>
      <c r="G534" s="1">
        <v>2078222</v>
      </c>
    </row>
    <row r="535" spans="1:7" x14ac:dyDescent="0.35">
      <c r="A535" s="1" t="str">
        <f t="shared" si="8"/>
        <v>19</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1344</v>
      </c>
      <c r="D535" s="1" t="s">
        <v>1345</v>
      </c>
      <c r="E535" s="1" t="s">
        <v>1346</v>
      </c>
      <c r="F535" s="1" t="s">
        <v>112</v>
      </c>
      <c r="G535" s="1">
        <v>2112808</v>
      </c>
    </row>
    <row r="536" spans="1:7" x14ac:dyDescent="0.35">
      <c r="A536" s="1" t="str">
        <f t="shared" si="8"/>
        <v>19</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1347</v>
      </c>
    </row>
    <row r="537" spans="1:7" x14ac:dyDescent="0.35">
      <c r="A537" s="1" t="str">
        <f t="shared" si="8"/>
        <v>19</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1348</v>
      </c>
    </row>
    <row r="538" spans="1:7" x14ac:dyDescent="0.35">
      <c r="A538" s="1" t="str">
        <f t="shared" si="8"/>
        <v>19</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1349</v>
      </c>
      <c r="D538" s="1" t="s">
        <v>1350</v>
      </c>
      <c r="E538" s="1" t="s">
        <v>1351</v>
      </c>
      <c r="F538" s="1" t="s">
        <v>112</v>
      </c>
      <c r="G538" s="1">
        <v>78235</v>
      </c>
    </row>
    <row r="539" spans="1:7" x14ac:dyDescent="0.35">
      <c r="A539" s="1" t="str">
        <f t="shared" si="8"/>
        <v>19</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1352</v>
      </c>
      <c r="D539" s="1" t="s">
        <v>1353</v>
      </c>
      <c r="E539" s="1" t="s">
        <v>1354</v>
      </c>
      <c r="F539" s="1" t="s">
        <v>112</v>
      </c>
      <c r="G539" s="1">
        <v>57925</v>
      </c>
    </row>
    <row r="540" spans="1:7" x14ac:dyDescent="0.35">
      <c r="A540" s="1" t="str">
        <f t="shared" si="8"/>
        <v>19</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1355</v>
      </c>
      <c r="D540" s="1" t="s">
        <v>1356</v>
      </c>
      <c r="E540" s="1" t="s">
        <v>1357</v>
      </c>
      <c r="F540" s="1" t="s">
        <v>112</v>
      </c>
      <c r="G540" s="1">
        <v>531533</v>
      </c>
    </row>
    <row r="541" spans="1:7" x14ac:dyDescent="0.35">
      <c r="A541" s="1" t="str">
        <f t="shared" si="8"/>
        <v>19</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1358</v>
      </c>
      <c r="D541" s="1" t="s">
        <v>1359</v>
      </c>
      <c r="E541" s="1" t="s">
        <v>1360</v>
      </c>
      <c r="F541" s="1" t="s">
        <v>112</v>
      </c>
      <c r="G541" s="1">
        <v>538541</v>
      </c>
    </row>
    <row r="542" spans="1:7" x14ac:dyDescent="0.35">
      <c r="A542" s="1" t="str">
        <f t="shared" si="8"/>
        <v>19</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1361</v>
      </c>
      <c r="D542" s="1" t="s">
        <v>1362</v>
      </c>
      <c r="E542" s="1" t="s">
        <v>1363</v>
      </c>
      <c r="F542" s="1" t="s">
        <v>112</v>
      </c>
      <c r="G542" s="1">
        <v>1832268</v>
      </c>
    </row>
    <row r="543" spans="1:7" x14ac:dyDescent="0.35">
      <c r="A543" s="1" t="str">
        <f t="shared" si="8"/>
        <v>19</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1364</v>
      </c>
    </row>
    <row r="544" spans="1:7" x14ac:dyDescent="0.35">
      <c r="A544" s="1" t="str">
        <f t="shared" si="8"/>
        <v>19</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1365</v>
      </c>
    </row>
    <row r="545" spans="1:10" x14ac:dyDescent="0.35">
      <c r="A545" s="1" t="str">
        <f t="shared" si="8"/>
        <v>19</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1366</v>
      </c>
      <c r="D545" s="1" t="s">
        <v>1367</v>
      </c>
      <c r="E545" s="1" t="s">
        <v>1368</v>
      </c>
      <c r="F545" s="1" t="s">
        <v>112</v>
      </c>
      <c r="G545" s="1">
        <v>82648</v>
      </c>
    </row>
    <row r="546" spans="1:10" x14ac:dyDescent="0.35">
      <c r="A546" s="1" t="str">
        <f t="shared" si="8"/>
        <v>19</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1369</v>
      </c>
      <c r="D546" s="1" t="s">
        <v>1370</v>
      </c>
      <c r="E546" s="1" t="s">
        <v>337</v>
      </c>
      <c r="F546" s="1" t="s">
        <v>112</v>
      </c>
      <c r="G546" s="1">
        <v>5581</v>
      </c>
    </row>
    <row r="547" spans="1:10" x14ac:dyDescent="0.35">
      <c r="A547" s="1" t="str">
        <f t="shared" si="8"/>
        <v>19</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1371</v>
      </c>
      <c r="D547" s="1" t="s">
        <v>1372</v>
      </c>
      <c r="E547" s="1" t="s">
        <v>1373</v>
      </c>
      <c r="F547" s="1" t="s">
        <v>112</v>
      </c>
      <c r="G547" s="1">
        <v>30130</v>
      </c>
    </row>
    <row r="548" spans="1:10" x14ac:dyDescent="0.35">
      <c r="A548" s="1" t="str">
        <f t="shared" si="8"/>
        <v>19</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1374</v>
      </c>
      <c r="D548" s="1" t="s">
        <v>1375</v>
      </c>
      <c r="E548" s="1" t="s">
        <v>1376</v>
      </c>
      <c r="F548" s="1" t="s">
        <v>112</v>
      </c>
      <c r="G548" s="1">
        <v>3403421</v>
      </c>
    </row>
    <row r="549" spans="1:10" x14ac:dyDescent="0.35">
      <c r="A549" s="1" t="str">
        <f t="shared" si="8"/>
        <v>19</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1377</v>
      </c>
      <c r="D549" s="1" t="s">
        <v>1378</v>
      </c>
      <c r="E549" s="1" t="s">
        <v>1379</v>
      </c>
      <c r="F549" s="1" t="s">
        <v>112</v>
      </c>
      <c r="G549" s="1">
        <v>3121237</v>
      </c>
    </row>
    <row r="550" spans="1:10" x14ac:dyDescent="0.35">
      <c r="A550" s="1" t="str">
        <f t="shared" si="8"/>
        <v>19</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1380</v>
      </c>
      <c r="D550" s="1" t="s">
        <v>765</v>
      </c>
      <c r="E550" s="1" t="s">
        <v>1381</v>
      </c>
      <c r="F550" s="1" t="s">
        <v>112</v>
      </c>
      <c r="G550" s="1">
        <v>3130538</v>
      </c>
    </row>
    <row r="551" spans="1:10" x14ac:dyDescent="0.35">
      <c r="A551" s="1" t="str">
        <f t="shared" si="8"/>
        <v>19</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1382</v>
      </c>
      <c r="D551" s="1" t="s">
        <v>1383</v>
      </c>
      <c r="E551" s="1" t="s">
        <v>1384</v>
      </c>
      <c r="F551" s="1" t="s">
        <v>112</v>
      </c>
      <c r="G551" s="1">
        <v>561404</v>
      </c>
    </row>
    <row r="552" spans="1:10" x14ac:dyDescent="0.35">
      <c r="A552" s="1" t="str">
        <f t="shared" si="8"/>
        <v>19</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1385</v>
      </c>
      <c r="D552" s="1" t="s">
        <v>1238</v>
      </c>
      <c r="E552" s="1" t="s">
        <v>1386</v>
      </c>
      <c r="F552" s="1" t="s">
        <v>112</v>
      </c>
      <c r="G552" s="1">
        <v>472894</v>
      </c>
    </row>
    <row r="553" spans="1:10" x14ac:dyDescent="0.35">
      <c r="A553" s="1" t="str">
        <f t="shared" si="8"/>
        <v>19</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1387</v>
      </c>
      <c r="D553" s="1" t="s">
        <v>1388</v>
      </c>
      <c r="E553" s="1" t="s">
        <v>1389</v>
      </c>
      <c r="F553" s="1" t="s">
        <v>112</v>
      </c>
      <c r="G553" s="1">
        <v>430327</v>
      </c>
    </row>
    <row r="554" spans="1:10" x14ac:dyDescent="0.3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112</v>
      </c>
    </row>
    <row r="555" spans="1:10" x14ac:dyDescent="0.3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237</v>
      </c>
      <c r="D555" s="1" t="s">
        <v>112</v>
      </c>
      <c r="E555" s="1" t="s">
        <v>238</v>
      </c>
      <c r="F555" s="1" t="s">
        <v>239</v>
      </c>
      <c r="G555" s="1" t="s">
        <v>240</v>
      </c>
      <c r="H555" s="1" t="s">
        <v>241</v>
      </c>
      <c r="I555" s="1" t="s">
        <v>242</v>
      </c>
      <c r="J555" s="1" t="s">
        <v>243</v>
      </c>
    </row>
    <row r="556" spans="1:10" x14ac:dyDescent="0.35">
      <c r="A556" s="1" t="str">
        <f t="shared" si="8"/>
        <v>19</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1390</v>
      </c>
      <c r="D556" s="1" t="s">
        <v>112</v>
      </c>
      <c r="E556" s="1" t="s">
        <v>1391</v>
      </c>
      <c r="F556" s="1" t="s">
        <v>1392</v>
      </c>
      <c r="G556" s="1">
        <v>1137490</v>
      </c>
      <c r="H556" s="1" t="s">
        <v>1393</v>
      </c>
      <c r="I556" s="1">
        <v>24</v>
      </c>
      <c r="J556" s="1">
        <v>24</v>
      </c>
    </row>
    <row r="557" spans="1:10" x14ac:dyDescent="0.3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112</v>
      </c>
    </row>
    <row r="558" spans="1:10" x14ac:dyDescent="0.3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10" x14ac:dyDescent="0.3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10" x14ac:dyDescent="0.3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3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3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249</v>
      </c>
      <c r="D562" s="1" t="s">
        <v>110</v>
      </c>
      <c r="E562" s="1" t="s">
        <v>111</v>
      </c>
      <c r="F562" s="1" t="s">
        <v>112</v>
      </c>
      <c r="G562" s="1" t="s">
        <v>113</v>
      </c>
    </row>
    <row r="563" spans="1:7" x14ac:dyDescent="0.35">
      <c r="A563" s="1" t="str">
        <f t="shared" si="8"/>
        <v>20</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1394</v>
      </c>
      <c r="D563" s="1" t="s">
        <v>1395</v>
      </c>
      <c r="E563" s="1" t="s">
        <v>1396</v>
      </c>
      <c r="F563" s="1" t="s">
        <v>112</v>
      </c>
      <c r="G563" s="1">
        <v>2194201</v>
      </c>
    </row>
    <row r="564" spans="1:7" x14ac:dyDescent="0.35">
      <c r="A564" s="1" t="str">
        <f t="shared" si="8"/>
        <v>20</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1397</v>
      </c>
      <c r="D564" s="1" t="s">
        <v>1294</v>
      </c>
      <c r="E564" s="1" t="s">
        <v>1398</v>
      </c>
      <c r="F564" s="1" t="s">
        <v>112</v>
      </c>
      <c r="G564" s="1">
        <v>2422851</v>
      </c>
    </row>
    <row r="565" spans="1:7" x14ac:dyDescent="0.35">
      <c r="A565" s="1" t="str">
        <f t="shared" si="8"/>
        <v>20</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1399</v>
      </c>
      <c r="D565" s="1" t="s">
        <v>1400</v>
      </c>
      <c r="E565" s="1" t="s">
        <v>1401</v>
      </c>
      <c r="F565" s="1" t="s">
        <v>112</v>
      </c>
      <c r="G565" s="1">
        <v>2666122</v>
      </c>
    </row>
    <row r="566" spans="1:7" x14ac:dyDescent="0.35">
      <c r="A566" s="1" t="str">
        <f t="shared" si="8"/>
        <v>20</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1402</v>
      </c>
      <c r="D566" s="1" t="s">
        <v>1403</v>
      </c>
      <c r="E566" s="1" t="s">
        <v>1404</v>
      </c>
      <c r="F566" s="1" t="s">
        <v>112</v>
      </c>
      <c r="G566" s="1">
        <v>94047</v>
      </c>
    </row>
    <row r="567" spans="1:7" x14ac:dyDescent="0.35">
      <c r="A567" s="1" t="str">
        <f t="shared" si="8"/>
        <v>20</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1405</v>
      </c>
      <c r="D567" s="1" t="s">
        <v>1406</v>
      </c>
      <c r="E567" s="1" t="s">
        <v>1407</v>
      </c>
      <c r="F567" s="1" t="s">
        <v>112</v>
      </c>
      <c r="G567" s="1">
        <v>59504</v>
      </c>
    </row>
    <row r="568" spans="1:7" x14ac:dyDescent="0.35">
      <c r="A568" s="1" t="str">
        <f t="shared" si="8"/>
        <v>20</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1408</v>
      </c>
      <c r="D568" s="1" t="s">
        <v>1409</v>
      </c>
      <c r="E568" s="1" t="s">
        <v>1410</v>
      </c>
      <c r="F568" s="1" t="s">
        <v>112</v>
      </c>
      <c r="G568" s="1">
        <v>110659</v>
      </c>
    </row>
    <row r="569" spans="1:7" x14ac:dyDescent="0.35">
      <c r="A569" s="1" t="str">
        <f t="shared" si="8"/>
        <v>20</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1411</v>
      </c>
      <c r="D569" s="1" t="s">
        <v>1412</v>
      </c>
      <c r="E569" s="1" t="s">
        <v>1413</v>
      </c>
      <c r="F569" s="1" t="s">
        <v>112</v>
      </c>
      <c r="G569" s="1">
        <v>2685460</v>
      </c>
    </row>
    <row r="570" spans="1:7" x14ac:dyDescent="0.35">
      <c r="A570" s="1" t="str">
        <f t="shared" si="8"/>
        <v>20</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1414</v>
      </c>
      <c r="D570" s="1" t="s">
        <v>1415</v>
      </c>
      <c r="E570" s="1" t="s">
        <v>1416</v>
      </c>
      <c r="F570" s="1" t="s">
        <v>112</v>
      </c>
      <c r="G570" s="1">
        <v>2432693</v>
      </c>
    </row>
    <row r="571" spans="1:7" x14ac:dyDescent="0.35">
      <c r="A571" s="1" t="str">
        <f t="shared" si="8"/>
        <v>20</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1417</v>
      </c>
      <c r="D571" s="1" t="s">
        <v>1418</v>
      </c>
      <c r="E571" s="1" t="s">
        <v>1419</v>
      </c>
      <c r="F571" s="1" t="s">
        <v>112</v>
      </c>
      <c r="G571" s="1">
        <v>2526480</v>
      </c>
    </row>
    <row r="572" spans="1:7" x14ac:dyDescent="0.35">
      <c r="A572" s="1" t="str">
        <f t="shared" si="8"/>
        <v>20</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1420</v>
      </c>
      <c r="D572" s="1" t="s">
        <v>1421</v>
      </c>
      <c r="E572" s="1" t="s">
        <v>1422</v>
      </c>
      <c r="F572" s="1" t="s">
        <v>112</v>
      </c>
      <c r="G572" s="1">
        <v>404566</v>
      </c>
    </row>
    <row r="573" spans="1:7" x14ac:dyDescent="0.35">
      <c r="A573" s="1" t="str">
        <f t="shared" si="8"/>
        <v>20</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1423</v>
      </c>
      <c r="D573" s="1" t="s">
        <v>1424</v>
      </c>
      <c r="E573" s="1" t="s">
        <v>1425</v>
      </c>
      <c r="F573" s="1" t="s">
        <v>112</v>
      </c>
      <c r="G573" s="1">
        <v>287526</v>
      </c>
    </row>
    <row r="574" spans="1:7" x14ac:dyDescent="0.35">
      <c r="A574" s="1" t="str">
        <f t="shared" si="8"/>
        <v>20</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1426</v>
      </c>
      <c r="D574" s="1" t="s">
        <v>1427</v>
      </c>
      <c r="E574" s="1" t="s">
        <v>1428</v>
      </c>
      <c r="F574" s="1" t="s">
        <v>112</v>
      </c>
      <c r="G574" s="1">
        <v>671998</v>
      </c>
    </row>
    <row r="575" spans="1:7" x14ac:dyDescent="0.35">
      <c r="A575" s="1" t="str">
        <f t="shared" si="8"/>
        <v>20</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1429</v>
      </c>
      <c r="D575" s="1" t="s">
        <v>1430</v>
      </c>
      <c r="E575" s="1" t="s">
        <v>1431</v>
      </c>
      <c r="F575" s="1" t="s">
        <v>112</v>
      </c>
      <c r="G575" s="1">
        <v>51739</v>
      </c>
    </row>
    <row r="576" spans="1:7" x14ac:dyDescent="0.35">
      <c r="A576" s="1" t="str">
        <f t="shared" si="8"/>
        <v>20</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1432</v>
      </c>
      <c r="D576" s="1" t="s">
        <v>1433</v>
      </c>
      <c r="E576" s="1" t="s">
        <v>1434</v>
      </c>
      <c r="F576" s="1" t="s">
        <v>112</v>
      </c>
      <c r="G576" s="1">
        <v>318479</v>
      </c>
    </row>
    <row r="577" spans="1:10" x14ac:dyDescent="0.35">
      <c r="A577" s="1" t="str">
        <f t="shared" si="8"/>
        <v>20</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1435</v>
      </c>
      <c r="D577" s="1" t="s">
        <v>1436</v>
      </c>
      <c r="E577" s="1" t="s">
        <v>1437</v>
      </c>
      <c r="F577" s="1" t="s">
        <v>112</v>
      </c>
      <c r="G577" s="1">
        <v>217424</v>
      </c>
    </row>
    <row r="578" spans="1:10" x14ac:dyDescent="0.35">
      <c r="A578" s="1" t="str">
        <f t="shared" ref="A578:A641" si="9">IFERROR(LEFT(RIGHT(C578,LEN(C578)-SEARCH("@",C578)),SEARCH("/",RIGHT(C578,LEN(C578)-SEARCH("@",C578)-1))),"")</f>
        <v>20</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1438</v>
      </c>
      <c r="D578" s="1" t="s">
        <v>1439</v>
      </c>
      <c r="E578" s="1" t="s">
        <v>1440</v>
      </c>
      <c r="F578" s="1" t="s">
        <v>112</v>
      </c>
      <c r="G578" s="1">
        <v>338443</v>
      </c>
    </row>
    <row r="579" spans="1:10" x14ac:dyDescent="0.35">
      <c r="A579" s="1" t="str">
        <f t="shared" si="9"/>
        <v>20</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1441</v>
      </c>
    </row>
    <row r="580" spans="1:10" x14ac:dyDescent="0.35">
      <c r="A580" s="1" t="str">
        <f t="shared" si="9"/>
        <v>20</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1442</v>
      </c>
    </row>
    <row r="581" spans="1:10" x14ac:dyDescent="0.35">
      <c r="A581" s="1" t="str">
        <f t="shared" si="9"/>
        <v>20</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1443</v>
      </c>
      <c r="D581" s="1" t="s">
        <v>1444</v>
      </c>
      <c r="E581" s="1" t="s">
        <v>1445</v>
      </c>
      <c r="F581" s="1" t="s">
        <v>112</v>
      </c>
      <c r="G581" s="1">
        <v>782267</v>
      </c>
    </row>
    <row r="582" spans="1:10" x14ac:dyDescent="0.35">
      <c r="A582" s="1" t="str">
        <f t="shared" si="9"/>
        <v>20</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1446</v>
      </c>
      <c r="D582" s="1" t="s">
        <v>1447</v>
      </c>
      <c r="E582" s="1" t="s">
        <v>1448</v>
      </c>
      <c r="F582" s="1" t="s">
        <v>112</v>
      </c>
      <c r="G582" s="1">
        <v>942155</v>
      </c>
    </row>
    <row r="583" spans="1:10" x14ac:dyDescent="0.35">
      <c r="A583" s="1" t="str">
        <f t="shared" si="9"/>
        <v>20</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1449</v>
      </c>
      <c r="D583" s="1" t="s">
        <v>1450</v>
      </c>
      <c r="E583" s="1" t="s">
        <v>1451</v>
      </c>
      <c r="F583" s="1" t="s">
        <v>112</v>
      </c>
      <c r="G583" s="1">
        <v>1032871</v>
      </c>
    </row>
    <row r="584" spans="1:10" x14ac:dyDescent="0.35">
      <c r="A584" s="1" t="str">
        <f t="shared" si="9"/>
        <v>20</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1452</v>
      </c>
    </row>
    <row r="585" spans="1:10" x14ac:dyDescent="0.35">
      <c r="A585" s="1" t="str">
        <f t="shared" si="9"/>
        <v>20</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1453</v>
      </c>
      <c r="D585" s="1" t="s">
        <v>1454</v>
      </c>
      <c r="E585" s="1" t="s">
        <v>1455</v>
      </c>
      <c r="F585" s="1" t="s">
        <v>112</v>
      </c>
      <c r="G585" s="1">
        <v>2287902</v>
      </c>
    </row>
    <row r="586" spans="1:10" x14ac:dyDescent="0.35">
      <c r="A586" s="1" t="str">
        <f t="shared" si="9"/>
        <v>20</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1456</v>
      </c>
      <c r="D586" s="1" t="s">
        <v>1457</v>
      </c>
      <c r="E586" s="1" t="s">
        <v>1458</v>
      </c>
      <c r="F586" s="1" t="s">
        <v>112</v>
      </c>
      <c r="G586" s="1">
        <v>2546293</v>
      </c>
    </row>
    <row r="587" spans="1:10" x14ac:dyDescent="0.3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112</v>
      </c>
    </row>
    <row r="588" spans="1:10" x14ac:dyDescent="0.3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237</v>
      </c>
      <c r="D588" s="1" t="s">
        <v>112</v>
      </c>
      <c r="E588" s="1" t="s">
        <v>238</v>
      </c>
      <c r="F588" s="1" t="s">
        <v>239</v>
      </c>
      <c r="G588" s="1" t="s">
        <v>240</v>
      </c>
      <c r="H588" s="1" t="s">
        <v>241</v>
      </c>
      <c r="I588" s="1" t="s">
        <v>242</v>
      </c>
      <c r="J588" s="1" t="s">
        <v>243</v>
      </c>
    </row>
    <row r="589" spans="1:10" x14ac:dyDescent="0.35">
      <c r="A589" s="1" t="str">
        <f t="shared" si="9"/>
        <v>20</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1459</v>
      </c>
      <c r="D589" s="1" t="s">
        <v>112</v>
      </c>
      <c r="E589" s="1" t="s">
        <v>1460</v>
      </c>
      <c r="F589" s="1" t="s">
        <v>1461</v>
      </c>
      <c r="G589" s="1" t="s">
        <v>1462</v>
      </c>
      <c r="H589" s="1" t="s">
        <v>1463</v>
      </c>
      <c r="I589" s="1">
        <v>24</v>
      </c>
      <c r="J589" s="1">
        <v>24</v>
      </c>
    </row>
    <row r="590" spans="1:10" x14ac:dyDescent="0.3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112</v>
      </c>
    </row>
    <row r="591" spans="1:10" x14ac:dyDescent="0.3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10" x14ac:dyDescent="0.3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3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3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3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249</v>
      </c>
      <c r="D595" s="1" t="s">
        <v>110</v>
      </c>
      <c r="E595" s="1" t="s">
        <v>111</v>
      </c>
      <c r="F595" s="1" t="s">
        <v>112</v>
      </c>
      <c r="G595" s="1" t="s">
        <v>113</v>
      </c>
    </row>
    <row r="596" spans="1:7" x14ac:dyDescent="0.35">
      <c r="A596" s="1" t="str">
        <f t="shared" si="9"/>
        <v>21</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1464</v>
      </c>
    </row>
    <row r="597" spans="1:7" x14ac:dyDescent="0.35">
      <c r="A597" s="1" t="str">
        <f t="shared" si="9"/>
        <v>21</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1465</v>
      </c>
      <c r="D597" s="1" t="s">
        <v>938</v>
      </c>
      <c r="E597" s="1" t="s">
        <v>1466</v>
      </c>
      <c r="F597" s="1" t="s">
        <v>112</v>
      </c>
      <c r="G597" s="1">
        <v>3602372</v>
      </c>
    </row>
    <row r="598" spans="1:7" x14ac:dyDescent="0.35">
      <c r="A598" s="1" t="str">
        <f t="shared" si="9"/>
        <v>21</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1467</v>
      </c>
      <c r="D598" s="1" t="s">
        <v>1468</v>
      </c>
      <c r="E598" s="1" t="s">
        <v>1469</v>
      </c>
      <c r="F598" s="1" t="s">
        <v>112</v>
      </c>
      <c r="G598" s="1">
        <v>4022252</v>
      </c>
    </row>
    <row r="599" spans="1:7" x14ac:dyDescent="0.35">
      <c r="A599" s="1" t="str">
        <f t="shared" si="9"/>
        <v>21</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1470</v>
      </c>
    </row>
    <row r="600" spans="1:7" x14ac:dyDescent="0.35">
      <c r="A600" s="1" t="str">
        <f t="shared" si="9"/>
        <v>21</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1471</v>
      </c>
    </row>
    <row r="601" spans="1:7" x14ac:dyDescent="0.35">
      <c r="A601" s="1" t="str">
        <f t="shared" si="9"/>
        <v>21</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1472</v>
      </c>
    </row>
    <row r="602" spans="1:7" x14ac:dyDescent="0.35">
      <c r="A602" s="1" t="str">
        <f t="shared" si="9"/>
        <v>21</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1473</v>
      </c>
      <c r="D602" s="1" t="s">
        <v>1474</v>
      </c>
      <c r="E602" s="1" t="s">
        <v>1475</v>
      </c>
      <c r="F602" s="1" t="s">
        <v>112</v>
      </c>
      <c r="G602" s="1">
        <v>3132636</v>
      </c>
    </row>
    <row r="603" spans="1:7" x14ac:dyDescent="0.35">
      <c r="A603" s="1" t="str">
        <f t="shared" si="9"/>
        <v>21</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1476</v>
      </c>
      <c r="D603" s="1" t="s">
        <v>1477</v>
      </c>
      <c r="E603" s="1" t="s">
        <v>1478</v>
      </c>
      <c r="F603" s="1" t="s">
        <v>112</v>
      </c>
      <c r="G603" s="1">
        <v>3307579</v>
      </c>
    </row>
    <row r="604" spans="1:7" x14ac:dyDescent="0.35">
      <c r="A604" s="1" t="str">
        <f t="shared" si="9"/>
        <v>21</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1479</v>
      </c>
      <c r="D604" s="1" t="s">
        <v>1480</v>
      </c>
      <c r="E604" s="1" t="s">
        <v>1481</v>
      </c>
      <c r="F604" s="1" t="s">
        <v>112</v>
      </c>
      <c r="G604" s="1">
        <v>3964305</v>
      </c>
    </row>
    <row r="605" spans="1:7" x14ac:dyDescent="0.35">
      <c r="A605" s="1" t="str">
        <f t="shared" si="9"/>
        <v>21</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1482</v>
      </c>
      <c r="D605" s="1" t="s">
        <v>1483</v>
      </c>
      <c r="E605" s="1" t="s">
        <v>1484</v>
      </c>
      <c r="F605" s="1" t="s">
        <v>112</v>
      </c>
      <c r="G605" s="1">
        <v>2221974</v>
      </c>
    </row>
    <row r="606" spans="1:7" x14ac:dyDescent="0.35">
      <c r="A606" s="1" t="str">
        <f t="shared" si="9"/>
        <v>21</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1485</v>
      </c>
      <c r="D606" s="1" t="s">
        <v>1486</v>
      </c>
      <c r="E606" s="1" t="s">
        <v>1487</v>
      </c>
      <c r="F606" s="1" t="s">
        <v>112</v>
      </c>
      <c r="G606" s="1">
        <v>2446471</v>
      </c>
    </row>
    <row r="607" spans="1:7" x14ac:dyDescent="0.35">
      <c r="A607" s="1" t="str">
        <f t="shared" si="9"/>
        <v>21</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1488</v>
      </c>
      <c r="D607" s="1" t="s">
        <v>1489</v>
      </c>
      <c r="E607" s="1" t="s">
        <v>1490</v>
      </c>
      <c r="F607" s="1" t="s">
        <v>112</v>
      </c>
      <c r="G607" s="1">
        <v>2387702</v>
      </c>
    </row>
    <row r="608" spans="1:7" x14ac:dyDescent="0.35">
      <c r="A608" s="1" t="str">
        <f t="shared" si="9"/>
        <v>21</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1491</v>
      </c>
      <c r="D608" s="1" t="s">
        <v>1492</v>
      </c>
      <c r="E608" s="1" t="s">
        <v>1493</v>
      </c>
      <c r="F608" s="1" t="s">
        <v>112</v>
      </c>
      <c r="G608" s="1">
        <v>1242270</v>
      </c>
    </row>
    <row r="609" spans="1:10" x14ac:dyDescent="0.35">
      <c r="A609" s="1" t="str">
        <f t="shared" si="9"/>
        <v>21</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1494</v>
      </c>
      <c r="D609" s="1" t="s">
        <v>1450</v>
      </c>
      <c r="E609" s="1" t="s">
        <v>1495</v>
      </c>
      <c r="F609" s="1" t="s">
        <v>112</v>
      </c>
      <c r="G609" s="1">
        <v>948038</v>
      </c>
    </row>
    <row r="610" spans="1:10" x14ac:dyDescent="0.35">
      <c r="A610" s="1" t="str">
        <f t="shared" si="9"/>
        <v>21</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1496</v>
      </c>
      <c r="D610" s="1" t="s">
        <v>1497</v>
      </c>
      <c r="E610" s="1" t="s">
        <v>1498</v>
      </c>
      <c r="F610" s="1" t="s">
        <v>112</v>
      </c>
      <c r="G610" s="1">
        <v>899566</v>
      </c>
    </row>
    <row r="611" spans="1:10" x14ac:dyDescent="0.35">
      <c r="A611" s="1" t="str">
        <f t="shared" si="9"/>
        <v>21</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1499</v>
      </c>
      <c r="D611" s="1" t="s">
        <v>1500</v>
      </c>
      <c r="E611" s="1" t="s">
        <v>1501</v>
      </c>
      <c r="F611" s="1" t="s">
        <v>112</v>
      </c>
      <c r="G611" s="1">
        <v>1728942</v>
      </c>
    </row>
    <row r="612" spans="1:10" x14ac:dyDescent="0.35">
      <c r="A612" s="1" t="str">
        <f t="shared" si="9"/>
        <v>21</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1502</v>
      </c>
      <c r="D612" s="1" t="s">
        <v>1503</v>
      </c>
      <c r="E612" s="1" t="s">
        <v>1504</v>
      </c>
      <c r="F612" s="1" t="s">
        <v>112</v>
      </c>
      <c r="G612" s="1">
        <v>1737984</v>
      </c>
    </row>
    <row r="613" spans="1:10" x14ac:dyDescent="0.35">
      <c r="A613" s="1" t="str">
        <f t="shared" si="9"/>
        <v>21</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1505</v>
      </c>
      <c r="D613" s="1" t="s">
        <v>1506</v>
      </c>
      <c r="E613" s="1" t="s">
        <v>1507</v>
      </c>
      <c r="F613" s="1" t="s">
        <v>112</v>
      </c>
      <c r="G613" s="1">
        <v>1237900</v>
      </c>
    </row>
    <row r="614" spans="1:10" x14ac:dyDescent="0.35">
      <c r="A614" s="1" t="str">
        <f t="shared" si="9"/>
        <v>21</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1508</v>
      </c>
      <c r="D614" s="1" t="s">
        <v>1509</v>
      </c>
      <c r="E614" s="1" t="s">
        <v>1510</v>
      </c>
      <c r="F614" s="1" t="s">
        <v>112</v>
      </c>
      <c r="G614" s="1">
        <v>1761560</v>
      </c>
    </row>
    <row r="615" spans="1:10" x14ac:dyDescent="0.35">
      <c r="A615" s="1" t="str">
        <f t="shared" si="9"/>
        <v>21</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1511</v>
      </c>
      <c r="D615" s="1" t="s">
        <v>1512</v>
      </c>
      <c r="E615" s="1" t="s">
        <v>1513</v>
      </c>
      <c r="F615" s="1" t="s">
        <v>112</v>
      </c>
      <c r="G615" s="1">
        <v>1832593</v>
      </c>
    </row>
    <row r="616" spans="1:10" x14ac:dyDescent="0.35">
      <c r="A616" s="1" t="str">
        <f t="shared" si="9"/>
        <v>21</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1514</v>
      </c>
      <c r="D616" s="1" t="s">
        <v>1515</v>
      </c>
      <c r="E616" s="1" t="s">
        <v>1516</v>
      </c>
      <c r="F616" s="1" t="s">
        <v>112</v>
      </c>
      <c r="G616" s="1">
        <v>2065936</v>
      </c>
    </row>
    <row r="617" spans="1:10" x14ac:dyDescent="0.35">
      <c r="A617" s="1" t="str">
        <f t="shared" si="9"/>
        <v>21</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1517</v>
      </c>
      <c r="D617" s="1" t="s">
        <v>1518</v>
      </c>
      <c r="E617" s="1" t="s">
        <v>1519</v>
      </c>
      <c r="F617" s="1" t="s">
        <v>112</v>
      </c>
      <c r="G617" s="1">
        <v>39431</v>
      </c>
    </row>
    <row r="618" spans="1:10" x14ac:dyDescent="0.35">
      <c r="A618" s="1" t="str">
        <f t="shared" si="9"/>
        <v>21</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1520</v>
      </c>
      <c r="D618" s="1" t="s">
        <v>711</v>
      </c>
      <c r="E618" s="1" t="s">
        <v>1521</v>
      </c>
      <c r="F618" s="1" t="s">
        <v>112</v>
      </c>
      <c r="G618" s="1">
        <v>152967</v>
      </c>
    </row>
    <row r="619" spans="1:10" x14ac:dyDescent="0.35">
      <c r="A619" s="1" t="str">
        <f t="shared" si="9"/>
        <v>21</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1522</v>
      </c>
      <c r="D619" s="1" t="s">
        <v>648</v>
      </c>
      <c r="E619" s="1" t="s">
        <v>1523</v>
      </c>
      <c r="F619" s="1" t="s">
        <v>112</v>
      </c>
      <c r="G619" s="1">
        <v>114855</v>
      </c>
    </row>
    <row r="620" spans="1:10" x14ac:dyDescent="0.3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112</v>
      </c>
    </row>
    <row r="621" spans="1:10" x14ac:dyDescent="0.3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237</v>
      </c>
      <c r="D621" s="1" t="s">
        <v>112</v>
      </c>
      <c r="E621" s="1" t="s">
        <v>238</v>
      </c>
      <c r="F621" s="1" t="s">
        <v>239</v>
      </c>
      <c r="G621" s="1" t="s">
        <v>240</v>
      </c>
      <c r="H621" s="1" t="s">
        <v>241</v>
      </c>
      <c r="I621" s="1" t="s">
        <v>242</v>
      </c>
      <c r="J621" s="1" t="s">
        <v>243</v>
      </c>
    </row>
    <row r="622" spans="1:10" x14ac:dyDescent="0.35">
      <c r="A622" s="1" t="str">
        <f t="shared" si="9"/>
        <v>21</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1524</v>
      </c>
      <c r="D622" s="1" t="s">
        <v>112</v>
      </c>
      <c r="E622" s="1" t="s">
        <v>1525</v>
      </c>
      <c r="F622" s="1" t="s">
        <v>1526</v>
      </c>
      <c r="G622" s="1" t="s">
        <v>1527</v>
      </c>
      <c r="H622" s="1" t="s">
        <v>1528</v>
      </c>
      <c r="I622" s="1">
        <v>21</v>
      </c>
      <c r="J622" s="1">
        <v>24</v>
      </c>
    </row>
    <row r="623" spans="1:10" x14ac:dyDescent="0.3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112</v>
      </c>
    </row>
    <row r="624" spans="1:10" x14ac:dyDescent="0.3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3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3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3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3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249</v>
      </c>
      <c r="D628" s="1" t="s">
        <v>110</v>
      </c>
      <c r="E628" s="1" t="s">
        <v>111</v>
      </c>
      <c r="F628" s="1" t="s">
        <v>112</v>
      </c>
      <c r="G628" s="1" t="s">
        <v>113</v>
      </c>
    </row>
    <row r="629" spans="1:7" x14ac:dyDescent="0.35">
      <c r="A629" s="1" t="str">
        <f t="shared" si="9"/>
        <v>8</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1529</v>
      </c>
      <c r="D629" s="1" t="s">
        <v>306</v>
      </c>
      <c r="E629" s="1" t="s">
        <v>1530</v>
      </c>
      <c r="F629" s="1" t="s">
        <v>112</v>
      </c>
      <c r="G629" s="1">
        <v>61753</v>
      </c>
    </row>
    <row r="630" spans="1:7" x14ac:dyDescent="0.35">
      <c r="A630" s="1" t="str">
        <f t="shared" si="9"/>
        <v>8</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1531</v>
      </c>
      <c r="D630" s="1" t="s">
        <v>1532</v>
      </c>
      <c r="E630" s="1" t="s">
        <v>1533</v>
      </c>
      <c r="F630" s="1" t="s">
        <v>112</v>
      </c>
      <c r="G630" s="1">
        <v>80204</v>
      </c>
    </row>
    <row r="631" spans="1:7" x14ac:dyDescent="0.35">
      <c r="A631" s="1" t="str">
        <f t="shared" si="9"/>
        <v>8</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1534</v>
      </c>
      <c r="D631" s="1" t="s">
        <v>1535</v>
      </c>
      <c r="E631" s="1" t="s">
        <v>1536</v>
      </c>
      <c r="F631" s="1" t="s">
        <v>112</v>
      </c>
      <c r="G631" s="1">
        <v>78062</v>
      </c>
    </row>
    <row r="632" spans="1:7" x14ac:dyDescent="0.35">
      <c r="A632" s="1" t="str">
        <f t="shared" si="9"/>
        <v>8</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1537</v>
      </c>
      <c r="D632" s="1" t="s">
        <v>1538</v>
      </c>
      <c r="E632" s="1" t="s">
        <v>1539</v>
      </c>
      <c r="F632" s="1" t="s">
        <v>112</v>
      </c>
      <c r="G632" s="1">
        <v>322307</v>
      </c>
    </row>
    <row r="633" spans="1:7" x14ac:dyDescent="0.35">
      <c r="A633" s="1" t="str">
        <f t="shared" si="9"/>
        <v>8</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1540</v>
      </c>
    </row>
    <row r="634" spans="1:7" x14ac:dyDescent="0.35">
      <c r="A634" s="1" t="str">
        <f t="shared" si="9"/>
        <v>8</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1541</v>
      </c>
      <c r="D634" s="1" t="s">
        <v>1542</v>
      </c>
      <c r="E634" s="1" t="s">
        <v>1543</v>
      </c>
      <c r="F634" s="1" t="s">
        <v>112</v>
      </c>
      <c r="G634" s="1">
        <v>610936</v>
      </c>
    </row>
    <row r="635" spans="1:7" x14ac:dyDescent="0.35">
      <c r="A635" s="1" t="str">
        <f t="shared" si="9"/>
        <v>8</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1544</v>
      </c>
      <c r="D635" s="1" t="s">
        <v>1545</v>
      </c>
      <c r="E635" s="1" t="s">
        <v>1546</v>
      </c>
      <c r="F635" s="1" t="s">
        <v>112</v>
      </c>
      <c r="G635" s="1">
        <v>159456</v>
      </c>
    </row>
    <row r="636" spans="1:7" x14ac:dyDescent="0.35">
      <c r="A636" s="1" t="str">
        <f t="shared" si="9"/>
        <v>8</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1547</v>
      </c>
      <c r="D636" s="1" t="s">
        <v>1548</v>
      </c>
      <c r="E636" s="1" t="s">
        <v>1549</v>
      </c>
      <c r="F636" s="1" t="s">
        <v>112</v>
      </c>
      <c r="G636" s="1">
        <v>296092</v>
      </c>
    </row>
    <row r="637" spans="1:7" x14ac:dyDescent="0.35">
      <c r="A637" s="1" t="str">
        <f t="shared" si="9"/>
        <v>8</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1550</v>
      </c>
      <c r="D637" s="1" t="s">
        <v>1551</v>
      </c>
      <c r="E637" s="1" t="s">
        <v>1552</v>
      </c>
      <c r="F637" s="1" t="s">
        <v>112</v>
      </c>
      <c r="G637" s="1">
        <v>290316</v>
      </c>
    </row>
    <row r="638" spans="1:7" x14ac:dyDescent="0.35">
      <c r="A638" s="1" t="str">
        <f t="shared" si="9"/>
        <v>8</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1553</v>
      </c>
    </row>
    <row r="639" spans="1:7" x14ac:dyDescent="0.35">
      <c r="A639" s="1" t="str">
        <f t="shared" si="9"/>
        <v>8</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1554</v>
      </c>
    </row>
    <row r="640" spans="1:7" x14ac:dyDescent="0.35">
      <c r="A640" s="1" t="str">
        <f t="shared" si="9"/>
        <v>8</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1555</v>
      </c>
      <c r="D640" s="1" t="s">
        <v>1232</v>
      </c>
      <c r="E640" s="1" t="s">
        <v>1556</v>
      </c>
      <c r="F640" s="1" t="s">
        <v>112</v>
      </c>
      <c r="G640" s="1">
        <v>693368</v>
      </c>
    </row>
    <row r="641" spans="1:10" x14ac:dyDescent="0.35">
      <c r="A641" s="1" t="str">
        <f t="shared" si="9"/>
        <v>8</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1557</v>
      </c>
      <c r="D641" s="1" t="s">
        <v>1558</v>
      </c>
      <c r="E641" s="1" t="s">
        <v>1559</v>
      </c>
      <c r="F641" s="1" t="s">
        <v>112</v>
      </c>
      <c r="G641" s="1">
        <v>482866</v>
      </c>
    </row>
    <row r="642" spans="1:10" x14ac:dyDescent="0.35">
      <c r="A642" s="1" t="str">
        <f t="shared" ref="A642:A705" si="10">IFERROR(LEFT(RIGHT(C642,LEN(C642)-SEARCH("@",C642)),SEARCH("/",RIGHT(C642,LEN(C642)-SEARCH("@",C642)-1))),"")</f>
        <v>8</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1560</v>
      </c>
    </row>
    <row r="643" spans="1:10" x14ac:dyDescent="0.35">
      <c r="A643" s="1" t="str">
        <f t="shared" si="10"/>
        <v>8</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1561</v>
      </c>
    </row>
    <row r="644" spans="1:10" x14ac:dyDescent="0.35">
      <c r="A644" s="1" t="str">
        <f t="shared" si="10"/>
        <v>8</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1562</v>
      </c>
      <c r="D644" s="1" t="s">
        <v>1548</v>
      </c>
      <c r="E644" s="1" t="s">
        <v>1563</v>
      </c>
      <c r="F644" s="1" t="s">
        <v>112</v>
      </c>
      <c r="G644" s="1">
        <v>287288</v>
      </c>
    </row>
    <row r="645" spans="1:10" x14ac:dyDescent="0.35">
      <c r="A645" s="1" t="str">
        <f t="shared" si="10"/>
        <v>8</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1564</v>
      </c>
      <c r="D645" s="1" t="s">
        <v>1565</v>
      </c>
      <c r="E645" s="1" t="s">
        <v>1566</v>
      </c>
      <c r="F645" s="1" t="s">
        <v>112</v>
      </c>
      <c r="G645" s="1">
        <v>370325</v>
      </c>
    </row>
    <row r="646" spans="1:10" x14ac:dyDescent="0.35">
      <c r="A646" s="1" t="str">
        <f t="shared" si="10"/>
        <v>8</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1567</v>
      </c>
      <c r="D646" s="1" t="s">
        <v>167</v>
      </c>
      <c r="E646" s="1" t="s">
        <v>1568</v>
      </c>
      <c r="F646" s="1" t="s">
        <v>112</v>
      </c>
      <c r="G646" s="1">
        <v>387305</v>
      </c>
    </row>
    <row r="647" spans="1:10" x14ac:dyDescent="0.35">
      <c r="A647" s="1" t="str">
        <f t="shared" si="10"/>
        <v>8</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1569</v>
      </c>
      <c r="D647" s="1" t="s">
        <v>1570</v>
      </c>
      <c r="E647" s="1" t="s">
        <v>1571</v>
      </c>
      <c r="F647" s="1" t="s">
        <v>112</v>
      </c>
      <c r="G647" s="1">
        <v>207625</v>
      </c>
    </row>
    <row r="648" spans="1:10" x14ac:dyDescent="0.35">
      <c r="A648" s="1" t="str">
        <f t="shared" si="10"/>
        <v>8</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1572</v>
      </c>
      <c r="D648" s="1" t="s">
        <v>149</v>
      </c>
      <c r="E648" s="1" t="s">
        <v>1573</v>
      </c>
      <c r="F648" s="1" t="s">
        <v>112</v>
      </c>
      <c r="G648" s="1">
        <v>210718</v>
      </c>
    </row>
    <row r="649" spans="1:10" x14ac:dyDescent="0.35">
      <c r="A649" s="1" t="str">
        <f t="shared" si="10"/>
        <v>8</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1574</v>
      </c>
      <c r="D649" s="1">
        <v>0</v>
      </c>
      <c r="E649" s="1">
        <v>0</v>
      </c>
      <c r="F649" s="1" t="s">
        <v>112</v>
      </c>
      <c r="G649" s="1">
        <v>0</v>
      </c>
    </row>
    <row r="650" spans="1:10" x14ac:dyDescent="0.35">
      <c r="A650" s="1" t="str">
        <f t="shared" si="10"/>
        <v>8</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1575</v>
      </c>
      <c r="D650" s="1" t="s">
        <v>1576</v>
      </c>
      <c r="E650" s="1" t="s">
        <v>1577</v>
      </c>
      <c r="F650" s="1" t="s">
        <v>112</v>
      </c>
      <c r="G650" s="1">
        <v>89721</v>
      </c>
    </row>
    <row r="651" spans="1:10" x14ac:dyDescent="0.35">
      <c r="A651" s="1" t="str">
        <f t="shared" si="10"/>
        <v>8</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1578</v>
      </c>
      <c r="D651" s="1" t="s">
        <v>1579</v>
      </c>
      <c r="E651" s="1" t="s">
        <v>1580</v>
      </c>
      <c r="F651" s="1" t="s">
        <v>112</v>
      </c>
      <c r="G651" s="1">
        <v>26821</v>
      </c>
    </row>
    <row r="652" spans="1:10" x14ac:dyDescent="0.35">
      <c r="A652" s="1" t="str">
        <f t="shared" si="10"/>
        <v>8</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1581</v>
      </c>
      <c r="D652" s="1" t="s">
        <v>1582</v>
      </c>
      <c r="E652" s="1" t="s">
        <v>1583</v>
      </c>
      <c r="F652" s="1" t="s">
        <v>112</v>
      </c>
      <c r="G652" s="1">
        <v>29849</v>
      </c>
    </row>
    <row r="653" spans="1:10" x14ac:dyDescent="0.3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10" x14ac:dyDescent="0.3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237</v>
      </c>
      <c r="D654" s="1" t="s">
        <v>112</v>
      </c>
      <c r="E654" s="1" t="s">
        <v>238</v>
      </c>
      <c r="F654" s="1" t="s">
        <v>239</v>
      </c>
      <c r="G654" s="1" t="s">
        <v>240</v>
      </c>
      <c r="H654" s="1" t="s">
        <v>241</v>
      </c>
      <c r="I654" s="1" t="s">
        <v>242</v>
      </c>
      <c r="J654" s="1" t="s">
        <v>243</v>
      </c>
    </row>
    <row r="655" spans="1:10" x14ac:dyDescent="0.35">
      <c r="A655" s="1" t="str">
        <f t="shared" si="10"/>
        <v>8</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1584</v>
      </c>
      <c r="D655" s="1" t="s">
        <v>112</v>
      </c>
      <c r="E655" s="1" t="s">
        <v>1585</v>
      </c>
      <c r="F655" s="1" t="s">
        <v>1586</v>
      </c>
      <c r="G655" s="1" t="s">
        <v>1587</v>
      </c>
      <c r="H655" s="1" t="s">
        <v>1588</v>
      </c>
      <c r="I655" s="1">
        <v>23</v>
      </c>
      <c r="J655" s="1">
        <v>24</v>
      </c>
    </row>
    <row r="656" spans="1:10" x14ac:dyDescent="0.3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3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3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3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3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3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249</v>
      </c>
      <c r="D661" s="1" t="s">
        <v>110</v>
      </c>
      <c r="E661" s="1" t="s">
        <v>111</v>
      </c>
      <c r="F661" s="1" t="s">
        <v>112</v>
      </c>
      <c r="G661" s="1" t="s">
        <v>113</v>
      </c>
    </row>
    <row r="662" spans="1:7" x14ac:dyDescent="0.35">
      <c r="A662" s="1" t="str">
        <f t="shared" si="10"/>
        <v>9</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1589</v>
      </c>
      <c r="D662" s="1" t="s">
        <v>1590</v>
      </c>
      <c r="E662" s="1" t="s">
        <v>1591</v>
      </c>
      <c r="F662" s="1" t="s">
        <v>112</v>
      </c>
      <c r="G662" s="1">
        <v>1183263</v>
      </c>
    </row>
    <row r="663" spans="1:7" x14ac:dyDescent="0.35">
      <c r="A663" s="1" t="str">
        <f t="shared" si="10"/>
        <v>9</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1592</v>
      </c>
      <c r="D663" s="1" t="s">
        <v>1593</v>
      </c>
      <c r="E663" s="1" t="s">
        <v>1594</v>
      </c>
      <c r="F663" s="1" t="s">
        <v>112</v>
      </c>
      <c r="G663" s="1">
        <v>1007304</v>
      </c>
    </row>
    <row r="664" spans="1:7" x14ac:dyDescent="0.35">
      <c r="A664" s="1" t="str">
        <f t="shared" si="10"/>
        <v>9</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1595</v>
      </c>
      <c r="D664" s="1" t="s">
        <v>1596</v>
      </c>
      <c r="E664" s="1" t="s">
        <v>1597</v>
      </c>
      <c r="F664" s="1" t="s">
        <v>112</v>
      </c>
      <c r="G664" s="1">
        <v>846940</v>
      </c>
    </row>
    <row r="665" spans="1:7" x14ac:dyDescent="0.35">
      <c r="A665" s="1" t="str">
        <f t="shared" si="10"/>
        <v>9</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1598</v>
      </c>
      <c r="D665" s="1" t="s">
        <v>179</v>
      </c>
      <c r="E665" s="1" t="s">
        <v>1599</v>
      </c>
      <c r="F665" s="1" t="s">
        <v>112</v>
      </c>
      <c r="G665" s="1">
        <v>212881</v>
      </c>
    </row>
    <row r="666" spans="1:7" x14ac:dyDescent="0.35">
      <c r="A666" s="1" t="str">
        <f t="shared" si="10"/>
        <v>9</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1600</v>
      </c>
      <c r="D666" s="1" t="s">
        <v>1601</v>
      </c>
      <c r="E666" s="1" t="s">
        <v>1602</v>
      </c>
      <c r="F666" s="1" t="s">
        <v>112</v>
      </c>
      <c r="G666" s="1">
        <v>309178</v>
      </c>
    </row>
    <row r="667" spans="1:7" x14ac:dyDescent="0.35">
      <c r="A667" s="1" t="str">
        <f t="shared" si="10"/>
        <v>9</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1603</v>
      </c>
      <c r="D667" s="1" t="s">
        <v>1604</v>
      </c>
      <c r="E667" s="1" t="s">
        <v>1605</v>
      </c>
      <c r="F667" s="1" t="s">
        <v>112</v>
      </c>
      <c r="G667" s="1">
        <v>221642</v>
      </c>
    </row>
    <row r="668" spans="1:7" x14ac:dyDescent="0.35">
      <c r="A668" s="1" t="str">
        <f t="shared" si="10"/>
        <v>9</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1606</v>
      </c>
      <c r="D668" s="1" t="s">
        <v>1607</v>
      </c>
      <c r="E668" s="1" t="s">
        <v>1608</v>
      </c>
      <c r="F668" s="1" t="s">
        <v>112</v>
      </c>
      <c r="G668" s="1">
        <v>401537</v>
      </c>
    </row>
    <row r="669" spans="1:7" x14ac:dyDescent="0.35">
      <c r="A669" s="1" t="str">
        <f t="shared" si="10"/>
        <v>9</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1609</v>
      </c>
      <c r="D669" s="1" t="s">
        <v>1610</v>
      </c>
      <c r="E669" s="1" t="s">
        <v>1611</v>
      </c>
      <c r="F669" s="1" t="s">
        <v>112</v>
      </c>
      <c r="G669" s="1">
        <v>299466</v>
      </c>
    </row>
    <row r="670" spans="1:7" x14ac:dyDescent="0.35">
      <c r="A670" s="1" t="str">
        <f t="shared" si="10"/>
        <v>9</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1612</v>
      </c>
      <c r="D670" s="1" t="s">
        <v>1613</v>
      </c>
      <c r="E670" s="1" t="s">
        <v>1614</v>
      </c>
      <c r="F670" s="1" t="s">
        <v>112</v>
      </c>
      <c r="G670" s="1">
        <v>94934</v>
      </c>
    </row>
    <row r="671" spans="1:7" x14ac:dyDescent="0.35">
      <c r="A671" s="1" t="str">
        <f t="shared" si="10"/>
        <v>9</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1615</v>
      </c>
      <c r="D671" s="1" t="s">
        <v>1616</v>
      </c>
      <c r="E671" s="1" t="s">
        <v>1617</v>
      </c>
      <c r="F671" s="1" t="s">
        <v>112</v>
      </c>
      <c r="G671" s="1">
        <v>431538</v>
      </c>
    </row>
    <row r="672" spans="1:7" x14ac:dyDescent="0.35">
      <c r="A672" s="1" t="str">
        <f t="shared" si="10"/>
        <v>9</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1618</v>
      </c>
      <c r="D672" s="1" t="s">
        <v>1619</v>
      </c>
      <c r="E672" s="1" t="s">
        <v>1620</v>
      </c>
      <c r="F672" s="1" t="s">
        <v>112</v>
      </c>
      <c r="G672" s="1">
        <v>505793</v>
      </c>
    </row>
    <row r="673" spans="1:10" x14ac:dyDescent="0.35">
      <c r="A673" s="1" t="str">
        <f t="shared" si="10"/>
        <v>9</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1621</v>
      </c>
      <c r="D673" s="1" t="s">
        <v>1622</v>
      </c>
      <c r="E673" s="1" t="s">
        <v>1623</v>
      </c>
      <c r="F673" s="1" t="s">
        <v>112</v>
      </c>
      <c r="G673" s="1">
        <v>451308</v>
      </c>
    </row>
    <row r="674" spans="1:10" x14ac:dyDescent="0.35">
      <c r="A674" s="1" t="str">
        <f t="shared" si="10"/>
        <v>9</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1624</v>
      </c>
      <c r="D674" s="1" t="s">
        <v>1625</v>
      </c>
      <c r="E674" s="1" t="s">
        <v>1626</v>
      </c>
      <c r="F674" s="1" t="s">
        <v>112</v>
      </c>
      <c r="G674" s="1">
        <v>468698</v>
      </c>
    </row>
    <row r="675" spans="1:10" x14ac:dyDescent="0.35">
      <c r="A675" s="1" t="str">
        <f t="shared" si="10"/>
        <v>9</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1627</v>
      </c>
      <c r="D675" s="1" t="s">
        <v>1628</v>
      </c>
      <c r="E675" s="1" t="s">
        <v>1629</v>
      </c>
      <c r="F675" s="1" t="s">
        <v>112</v>
      </c>
      <c r="G675" s="1">
        <v>399115</v>
      </c>
    </row>
    <row r="676" spans="1:10" x14ac:dyDescent="0.35">
      <c r="A676" s="1" t="str">
        <f t="shared" si="10"/>
        <v>9</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1630</v>
      </c>
      <c r="D676" s="1" t="s">
        <v>1631</v>
      </c>
      <c r="E676" s="1" t="s">
        <v>1632</v>
      </c>
      <c r="F676" s="1" t="s">
        <v>112</v>
      </c>
      <c r="G676" s="1">
        <v>281967</v>
      </c>
    </row>
    <row r="677" spans="1:10" x14ac:dyDescent="0.35">
      <c r="A677" s="1" t="str">
        <f t="shared" si="10"/>
        <v>9</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1633</v>
      </c>
      <c r="D677" s="1" t="s">
        <v>1634</v>
      </c>
      <c r="E677" s="1" t="s">
        <v>1635</v>
      </c>
      <c r="F677" s="1" t="s">
        <v>112</v>
      </c>
      <c r="G677" s="1">
        <v>1206689</v>
      </c>
    </row>
    <row r="678" spans="1:10" x14ac:dyDescent="0.35">
      <c r="A678" s="1" t="str">
        <f t="shared" si="10"/>
        <v>9</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1636</v>
      </c>
      <c r="D678" s="1" t="s">
        <v>434</v>
      </c>
      <c r="E678" s="1" t="s">
        <v>1637</v>
      </c>
      <c r="F678" s="1" t="s">
        <v>112</v>
      </c>
      <c r="G678" s="1">
        <v>1551620</v>
      </c>
    </row>
    <row r="679" spans="1:10" x14ac:dyDescent="0.35">
      <c r="A679" s="1" t="str">
        <f t="shared" si="10"/>
        <v>9</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1638</v>
      </c>
    </row>
    <row r="680" spans="1:10" x14ac:dyDescent="0.35">
      <c r="A680" s="1" t="str">
        <f t="shared" si="10"/>
        <v>9</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1639</v>
      </c>
      <c r="D680" s="1" t="s">
        <v>1640</v>
      </c>
      <c r="E680" s="1" t="s">
        <v>1641</v>
      </c>
      <c r="F680" s="1" t="s">
        <v>112</v>
      </c>
      <c r="G680" s="1">
        <v>180631</v>
      </c>
    </row>
    <row r="681" spans="1:10" x14ac:dyDescent="0.35">
      <c r="A681" s="1" t="str">
        <f t="shared" si="10"/>
        <v>9</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1642</v>
      </c>
    </row>
    <row r="682" spans="1:10" x14ac:dyDescent="0.35">
      <c r="A682" s="1" t="str">
        <f t="shared" si="10"/>
        <v>9</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1643</v>
      </c>
    </row>
    <row r="683" spans="1:10" x14ac:dyDescent="0.35">
      <c r="A683" s="1" t="str">
        <f t="shared" si="10"/>
        <v>9</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1644</v>
      </c>
      <c r="D683" s="1" t="s">
        <v>1645</v>
      </c>
      <c r="E683" s="1" t="s">
        <v>1646</v>
      </c>
      <c r="F683" s="1" t="s">
        <v>112</v>
      </c>
      <c r="G683" s="1">
        <v>294880</v>
      </c>
    </row>
    <row r="684" spans="1:10" x14ac:dyDescent="0.35">
      <c r="A684" s="1" t="str">
        <f t="shared" si="10"/>
        <v>9</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1647</v>
      </c>
      <c r="D684" s="1" t="s">
        <v>1648</v>
      </c>
      <c r="E684" s="1" t="s">
        <v>1649</v>
      </c>
      <c r="F684" s="1" t="s">
        <v>112</v>
      </c>
      <c r="G684" s="1">
        <v>301153</v>
      </c>
    </row>
    <row r="685" spans="1:10" x14ac:dyDescent="0.35">
      <c r="A685" s="1" t="str">
        <f t="shared" si="10"/>
        <v>9</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1650</v>
      </c>
      <c r="D685" s="1" t="s">
        <v>1651</v>
      </c>
      <c r="E685" s="1" t="s">
        <v>1652</v>
      </c>
      <c r="F685" s="1" t="s">
        <v>112</v>
      </c>
      <c r="G685" s="1">
        <v>442375</v>
      </c>
    </row>
    <row r="686" spans="1:10" x14ac:dyDescent="0.3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112</v>
      </c>
    </row>
    <row r="687" spans="1:10" x14ac:dyDescent="0.3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237</v>
      </c>
      <c r="D687" s="1" t="s">
        <v>112</v>
      </c>
      <c r="E687" s="1" t="s">
        <v>238</v>
      </c>
      <c r="F687" s="1" t="s">
        <v>239</v>
      </c>
      <c r="G687" s="1" t="s">
        <v>240</v>
      </c>
      <c r="H687" s="1" t="s">
        <v>241</v>
      </c>
      <c r="I687" s="1" t="s">
        <v>242</v>
      </c>
      <c r="J687" s="1" t="s">
        <v>243</v>
      </c>
    </row>
    <row r="688" spans="1:10" x14ac:dyDescent="0.35">
      <c r="A688" s="1" t="str">
        <f t="shared" si="10"/>
        <v>9</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1653</v>
      </c>
      <c r="D688" s="1" t="s">
        <v>112</v>
      </c>
      <c r="E688" s="1" t="s">
        <v>1654</v>
      </c>
      <c r="F688" s="1" t="s">
        <v>1655</v>
      </c>
      <c r="G688" s="1" t="s">
        <v>1656</v>
      </c>
      <c r="H688" s="1" t="s">
        <v>1657</v>
      </c>
      <c r="I688" s="1">
        <v>23</v>
      </c>
      <c r="J688" s="1">
        <v>24</v>
      </c>
    </row>
    <row r="689" spans="1:3" x14ac:dyDescent="0.3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s="1" t="s">
        <v>112</v>
      </c>
    </row>
    <row r="690" spans="1:3" x14ac:dyDescent="0.3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3" x14ac:dyDescent="0.3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3" x14ac:dyDescent="0.3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3" x14ac:dyDescent="0.3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3" x14ac:dyDescent="0.3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3" x14ac:dyDescent="0.3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3" x14ac:dyDescent="0.3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3" x14ac:dyDescent="0.3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3" x14ac:dyDescent="0.3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3" x14ac:dyDescent="0.3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3" x14ac:dyDescent="0.3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3" x14ac:dyDescent="0.3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3" x14ac:dyDescent="0.3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3" x14ac:dyDescent="0.3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3" x14ac:dyDescent="0.3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74"/>
  <sheetViews>
    <sheetView showGridLines="0" zoomScale="85" zoomScaleNormal="85" zoomScaleSheetLayoutView="40" zoomScalePageLayoutView="30" workbookViewId="0">
      <pane xSplit="1" topLeftCell="B1" activePane="topRight" state="frozen"/>
      <selection pane="topRight" activeCell="I4" sqref="I4:M4"/>
    </sheetView>
  </sheetViews>
  <sheetFormatPr baseColWidth="10" defaultColWidth="9.1796875" defaultRowHeight="14.5" x14ac:dyDescent="0.35"/>
  <cols>
    <col min="1" max="1" width="29.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28" width="26.453125" style="1" customWidth="1"/>
    <col min="29" max="29" width="26.453125" style="1" bestFit="1" customWidth="1"/>
    <col min="30" max="30" width="18.26953125" bestFit="1" customWidth="1"/>
    <col min="31" max="31" width="14.81640625" customWidth="1"/>
    <col min="32" max="32" width="17.7265625" customWidth="1"/>
    <col min="33" max="34" width="25.81640625" bestFit="1" customWidth="1"/>
    <col min="35" max="52" width="25.81640625" style="1" customWidth="1"/>
    <col min="53" max="53" width="25.81640625" bestFit="1" customWidth="1"/>
  </cols>
  <sheetData>
    <row r="1" spans="1:53" s="1" customFormat="1" ht="26.5" thickBot="1" x14ac:dyDescent="0.65">
      <c r="A1" s="221" t="s">
        <v>40</v>
      </c>
      <c r="B1" s="222"/>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c r="AO1" s="222"/>
      <c r="AP1" s="222"/>
      <c r="AQ1" s="222"/>
      <c r="AR1" s="222"/>
      <c r="AS1" s="222"/>
      <c r="AT1" s="222"/>
      <c r="AU1" s="222"/>
      <c r="AV1" s="222"/>
      <c r="AW1" s="222"/>
      <c r="AX1" s="222"/>
      <c r="AY1" s="222"/>
      <c r="AZ1" s="222"/>
      <c r="BA1" s="223"/>
    </row>
    <row r="2" spans="1:53" ht="15" thickBot="1" x14ac:dyDescent="0.4">
      <c r="A2"/>
      <c r="B2"/>
      <c r="C2"/>
      <c r="D2"/>
      <c r="E2"/>
      <c r="F2"/>
      <c r="G2"/>
      <c r="H2"/>
      <c r="I2"/>
      <c r="J2"/>
      <c r="K2"/>
      <c r="L2"/>
      <c r="M2"/>
      <c r="N2"/>
      <c r="O2"/>
      <c r="P2"/>
      <c r="Q2"/>
      <c r="R2"/>
      <c r="S2"/>
      <c r="T2"/>
      <c r="U2"/>
      <c r="V2"/>
      <c r="AC2"/>
      <c r="AI2"/>
      <c r="AJ2"/>
      <c r="AK2"/>
      <c r="AL2"/>
      <c r="AM2"/>
      <c r="AN2"/>
      <c r="AO2"/>
      <c r="AP2"/>
      <c r="AQ2"/>
      <c r="AR2"/>
      <c r="AS2"/>
      <c r="AT2"/>
    </row>
    <row r="3" spans="1:53" ht="15" thickBot="1" x14ac:dyDescent="0.4">
      <c r="A3" s="53" t="s">
        <v>17</v>
      </c>
      <c r="B3" s="231" t="s">
        <v>6</v>
      </c>
      <c r="C3" s="232"/>
      <c r="D3" s="232"/>
      <c r="E3" s="232"/>
      <c r="F3" s="232"/>
      <c r="G3" s="232"/>
      <c r="H3" s="232"/>
      <c r="I3" s="232"/>
      <c r="J3" s="232"/>
      <c r="K3" s="232"/>
      <c r="L3" s="232"/>
      <c r="M3" s="232"/>
      <c r="N3" s="232"/>
      <c r="O3" s="232"/>
      <c r="P3" s="232"/>
      <c r="Q3" s="232"/>
      <c r="R3" s="232"/>
      <c r="S3" s="232"/>
      <c r="T3" s="232"/>
      <c r="U3" s="232"/>
      <c r="V3" s="232"/>
      <c r="W3" s="232"/>
      <c r="X3" s="232"/>
      <c r="Y3" s="232"/>
      <c r="Z3" s="232"/>
      <c r="AA3" s="232"/>
      <c r="AB3" s="232"/>
      <c r="AC3" s="233"/>
      <c r="AE3" s="231" t="s">
        <v>3</v>
      </c>
      <c r="AF3" s="232"/>
      <c r="AG3" s="232"/>
      <c r="AH3" s="232"/>
      <c r="AI3" s="232"/>
      <c r="AJ3" s="232"/>
      <c r="AK3" s="232"/>
      <c r="AL3" s="232"/>
      <c r="AM3" s="232"/>
      <c r="AN3" s="232"/>
      <c r="AO3" s="232"/>
      <c r="AP3" s="232"/>
      <c r="AQ3" s="232"/>
      <c r="AR3" s="232"/>
      <c r="AS3" s="232"/>
      <c r="AT3" s="232"/>
      <c r="AU3" s="232"/>
      <c r="AV3" s="232"/>
      <c r="AW3" s="232"/>
      <c r="AX3" s="232"/>
      <c r="AY3" s="232"/>
      <c r="AZ3" s="232"/>
      <c r="BA3" s="233"/>
    </row>
    <row r="4" spans="1:53"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
        <v>1687</v>
      </c>
      <c r="J4" s="35" t="s">
        <v>1688</v>
      </c>
      <c r="K4" s="35" t="s">
        <v>1689</v>
      </c>
      <c r="L4" s="35" t="s">
        <v>1690</v>
      </c>
      <c r="M4" s="35" t="s">
        <v>1691</v>
      </c>
      <c r="N4" s="35" t="str">
        <f>'Page de garde'!A20</f>
        <v xml:space="preserve"> </v>
      </c>
      <c r="O4" s="35" t="str">
        <f>'Page de garde'!A21</f>
        <v xml:space="preserve"> </v>
      </c>
      <c r="P4" s="35" t="str">
        <f>'Page de garde'!A22</f>
        <v xml:space="preserve"> </v>
      </c>
      <c r="Q4" s="35" t="str">
        <f>'Page de garde'!A23</f>
        <v xml:space="preserve"> </v>
      </c>
      <c r="R4" s="35" t="str">
        <f>'Page de garde'!A24</f>
        <v xml:space="preserve"> </v>
      </c>
      <c r="S4" s="35" t="str">
        <f>'Page de garde'!A25</f>
        <v xml:space="preserve"> </v>
      </c>
      <c r="T4" s="35" t="str">
        <f>'Page de garde'!A26</f>
        <v xml:space="preserve"> </v>
      </c>
      <c r="U4" s="35" t="str">
        <f>'Page de garde'!A27</f>
        <v xml:space="preserve"> </v>
      </c>
      <c r="V4" s="35" t="str">
        <f>'Page de garde'!A28</f>
        <v xml:space="preserve"> </v>
      </c>
      <c r="W4" s="35" t="str">
        <f>'Page de garde'!A29</f>
        <v xml:space="preserve"> </v>
      </c>
      <c r="X4" s="35" t="str">
        <f>'Page de garde'!A30</f>
        <v xml:space="preserve"> </v>
      </c>
      <c r="Y4" s="35" t="str">
        <f>'Page de garde'!A31</f>
        <v xml:space="preserve"> </v>
      </c>
      <c r="Z4" s="35" t="str">
        <f>'Page de garde'!A32</f>
        <v xml:space="preserve"> </v>
      </c>
      <c r="AA4" s="35" t="str">
        <f>'Page de garde'!A33</f>
        <v xml:space="preserve"> </v>
      </c>
      <c r="AB4" s="35" t="str">
        <f>'Page de garde'!A34</f>
        <v xml:space="preserve"> </v>
      </c>
      <c r="AC4" s="35" t="str">
        <f>'Page de garde'!A35</f>
        <v xml:space="preserve"> </v>
      </c>
      <c r="AD4" s="3"/>
      <c r="AE4" s="36" t="str">
        <f>'Page de garde'!A36</f>
        <v>Testo -30µg/L</v>
      </c>
      <c r="AF4" s="36" t="str">
        <f>'Page de garde'!A37</f>
        <v>Testo 30µg/L + EE2 -64ng/L</v>
      </c>
      <c r="AG4" s="36" t="str">
        <f>'Page de garde'!A38</f>
        <v>Testo 30µg/L + FAD-10mg/L</v>
      </c>
      <c r="AH4" s="36" t="str">
        <f>'Page de garde'!A39</f>
        <v>Testo-3,7µg/L + Testostérone</v>
      </c>
      <c r="AI4" s="36" t="str">
        <f>'Page de garde'!A40</f>
        <v>Testo-11µg/L + Testostérone</v>
      </c>
      <c r="AJ4" s="36" t="str">
        <f>'Page de garde'!A41</f>
        <v>Testo-33µg/L + Testostérone</v>
      </c>
      <c r="AK4" s="36" t="str">
        <f>'Page de garde'!A42</f>
        <v>Testo-100µg/L + Testostérone</v>
      </c>
      <c r="AL4" s="36" t="str">
        <f>'Page de garde'!A43</f>
        <v>Testo-300µg/L + Testostérone</v>
      </c>
      <c r="AM4" s="36" t="str">
        <f>'Page de garde'!A44</f>
        <v>0-00 + Testostérone</v>
      </c>
      <c r="AN4" s="36" t="str">
        <f>'Page de garde'!A45</f>
        <v>0-00 + Testostérone</v>
      </c>
      <c r="AO4" s="36" t="str">
        <f>'Page de garde'!A46</f>
        <v>0-00 + Testostérone</v>
      </c>
      <c r="AP4" s="36" t="str">
        <f>'Page de garde'!A47</f>
        <v>0-00 + Testostérone</v>
      </c>
      <c r="AQ4" s="36" t="str">
        <f>'Page de garde'!A48</f>
        <v>0-00 + Testostérone</v>
      </c>
      <c r="AR4" s="36" t="str">
        <f>'Page de garde'!A49</f>
        <v>0-00 + Testostérone</v>
      </c>
      <c r="AS4" s="36" t="str">
        <f>'Page de garde'!A50</f>
        <v>0-00 + Testostérone</v>
      </c>
      <c r="AT4" s="36" t="str">
        <f>'Page de garde'!A51</f>
        <v>0-00 + Testostérone</v>
      </c>
      <c r="AU4" s="36" t="str">
        <f>'Page de garde'!A52</f>
        <v>0-00 + Testostérone</v>
      </c>
      <c r="AV4" s="36" t="str">
        <f>'Page de garde'!A53</f>
        <v>0-00 + Testostérone</v>
      </c>
      <c r="AW4" s="36" t="str">
        <f>'Page de garde'!A54</f>
        <v>0-00 + Testostérone</v>
      </c>
      <c r="AX4" s="36" t="str">
        <f>'Page de garde'!A55</f>
        <v>0-00 + Testostérone</v>
      </c>
      <c r="AY4" s="36" t="str">
        <f>'Page de garde'!A56</f>
        <v>0-00 + Testostérone</v>
      </c>
      <c r="AZ4" s="36" t="str">
        <f>'Page de garde'!A57</f>
        <v>0-00 + Testostérone</v>
      </c>
      <c r="BA4" s="36" t="str">
        <f>'Page de garde'!A58</f>
        <v>0-00 + Testostérone</v>
      </c>
    </row>
    <row r="5" spans="1:53" x14ac:dyDescent="0.35">
      <c r="A5" s="227" t="s">
        <v>33</v>
      </c>
      <c r="B5" s="200">
        <v>209831.33333333334</v>
      </c>
      <c r="C5" s="200">
        <v>249277.33333333334</v>
      </c>
      <c r="D5" s="200">
        <v>151596.66666666666</v>
      </c>
      <c r="E5" s="200">
        <v>575607.33333333337</v>
      </c>
      <c r="F5" s="200">
        <v>2841245.6666666665</v>
      </c>
      <c r="G5" s="200">
        <v>3057292</v>
      </c>
      <c r="H5" s="200">
        <v>4148181</v>
      </c>
      <c r="I5" s="200">
        <v>73339.666666666672</v>
      </c>
      <c r="J5" s="200">
        <v>1012502.3333333334</v>
      </c>
      <c r="K5" s="200">
        <v>653835.33333333337</v>
      </c>
      <c r="L5" s="200">
        <v>2189414</v>
      </c>
      <c r="M5" s="200">
        <v>1447905</v>
      </c>
      <c r="N5" s="13"/>
      <c r="O5" s="13"/>
      <c r="P5" s="13"/>
      <c r="Q5" s="13"/>
      <c r="R5" s="13"/>
      <c r="S5" s="13"/>
      <c r="T5" s="13"/>
      <c r="U5" s="13"/>
      <c r="V5" s="13"/>
      <c r="W5" s="13"/>
      <c r="X5" s="13"/>
      <c r="Y5" s="13"/>
      <c r="Z5" s="13"/>
      <c r="AA5" s="13"/>
      <c r="AB5" s="13"/>
      <c r="AC5" s="13"/>
      <c r="AD5" s="3"/>
      <c r="AE5" s="200">
        <v>1690989</v>
      </c>
      <c r="AF5" s="200">
        <v>5102852.333333333</v>
      </c>
      <c r="AG5" s="200">
        <v>50181.333333333336</v>
      </c>
      <c r="AH5" s="200">
        <v>2533415.6666666665</v>
      </c>
      <c r="AI5" s="200">
        <v>2262148.3333333335</v>
      </c>
      <c r="AJ5" s="200">
        <v>1298795.6666666667</v>
      </c>
      <c r="AK5" s="200">
        <v>2427724.6666666665</v>
      </c>
      <c r="AL5" s="200">
        <v>3812312</v>
      </c>
      <c r="AM5" s="32"/>
      <c r="AN5" s="32"/>
      <c r="AO5" s="32"/>
      <c r="AP5" s="32"/>
      <c r="AQ5" s="32"/>
      <c r="AR5" s="32"/>
      <c r="AS5" s="32"/>
      <c r="AT5" s="32"/>
      <c r="AU5" s="4"/>
      <c r="AV5" s="32"/>
      <c r="AW5" s="32"/>
      <c r="AX5" s="32"/>
      <c r="AY5" s="32"/>
      <c r="AZ5" s="32"/>
      <c r="BA5" s="32"/>
    </row>
    <row r="6" spans="1:53" x14ac:dyDescent="0.35">
      <c r="A6" s="228"/>
      <c r="B6" s="200">
        <v>216753.33333333334</v>
      </c>
      <c r="C6" s="200">
        <v>39035</v>
      </c>
      <c r="D6" s="200">
        <v>98070</v>
      </c>
      <c r="E6" s="200">
        <v>1837502.5</v>
      </c>
      <c r="F6" s="200">
        <v>1625371</v>
      </c>
      <c r="G6" s="200">
        <v>458013.33333333331</v>
      </c>
      <c r="H6" s="200">
        <v>3753572.6666666665</v>
      </c>
      <c r="I6" s="200">
        <v>466621.5</v>
      </c>
      <c r="J6" s="200">
        <v>247900.33333333334</v>
      </c>
      <c r="K6" s="200">
        <v>802743</v>
      </c>
      <c r="L6" s="200">
        <v>420218.66666666669</v>
      </c>
      <c r="M6" s="200">
        <v>2740551</v>
      </c>
      <c r="N6" s="13"/>
      <c r="O6" s="13"/>
      <c r="P6" s="13"/>
      <c r="Q6" s="13"/>
      <c r="R6" s="13"/>
      <c r="S6" s="13"/>
      <c r="T6" s="13"/>
      <c r="U6" s="13"/>
      <c r="V6" s="13"/>
      <c r="W6" s="13"/>
      <c r="X6" s="13"/>
      <c r="Y6" s="13"/>
      <c r="Z6" s="13"/>
      <c r="AA6" s="13"/>
      <c r="AB6" s="13"/>
      <c r="AC6" s="13"/>
      <c r="AD6" s="3"/>
      <c r="AE6" s="200">
        <v>72424</v>
      </c>
      <c r="AF6" s="200">
        <v>4121381.3333333335</v>
      </c>
      <c r="AG6" s="200">
        <v>133059.66666666666</v>
      </c>
      <c r="AH6" s="200">
        <v>2744538.3333333335</v>
      </c>
      <c r="AI6" s="200">
        <v>1332639.6666666667</v>
      </c>
      <c r="AJ6" s="200">
        <v>2069130</v>
      </c>
      <c r="AK6" s="200">
        <v>88070</v>
      </c>
      <c r="AL6" s="200"/>
      <c r="AM6" s="32"/>
      <c r="AN6" s="32"/>
      <c r="AO6" s="32"/>
      <c r="AP6" s="32"/>
      <c r="AQ6" s="32"/>
      <c r="AR6" s="32"/>
      <c r="AS6" s="32"/>
      <c r="AT6" s="32"/>
      <c r="AU6" s="4"/>
      <c r="AV6" s="32"/>
      <c r="AW6" s="32"/>
      <c r="AX6" s="32"/>
      <c r="AY6" s="32"/>
      <c r="AZ6" s="32"/>
      <c r="BA6" s="32"/>
    </row>
    <row r="7" spans="1:53" x14ac:dyDescent="0.35">
      <c r="A7" s="228"/>
      <c r="B7" s="200">
        <v>419093.66666666669</v>
      </c>
      <c r="C7" s="200">
        <v>158482.33333333334</v>
      </c>
      <c r="D7" s="200">
        <v>200970.66666666666</v>
      </c>
      <c r="E7" s="200">
        <v>283315.66666666669</v>
      </c>
      <c r="F7" s="200">
        <v>2885074.6666666665</v>
      </c>
      <c r="G7" s="200">
        <v>3176144.5</v>
      </c>
      <c r="H7" s="200">
        <v>5196171.333333333</v>
      </c>
      <c r="I7" s="200">
        <v>248621.33333333334</v>
      </c>
      <c r="J7" s="200">
        <v>265312.33333333331</v>
      </c>
      <c r="K7" s="200">
        <v>1108928.6666666667</v>
      </c>
      <c r="L7" s="200">
        <v>2273792.3333333335</v>
      </c>
      <c r="M7" s="200"/>
      <c r="N7" s="13"/>
      <c r="O7" s="13"/>
      <c r="P7" s="13"/>
      <c r="Q7" s="13"/>
      <c r="R7" s="13"/>
      <c r="S7" s="13"/>
      <c r="T7" s="13"/>
      <c r="U7" s="13"/>
      <c r="V7" s="13"/>
      <c r="W7" s="13"/>
      <c r="X7" s="13"/>
      <c r="Y7" s="13"/>
      <c r="Z7" s="13"/>
      <c r="AA7" s="13"/>
      <c r="AB7" s="13"/>
      <c r="AC7" s="13"/>
      <c r="AD7" s="3"/>
      <c r="AE7" s="200">
        <v>1480696</v>
      </c>
      <c r="AF7" s="200">
        <v>3965228.6666666665</v>
      </c>
      <c r="AG7" s="200">
        <v>87741.5</v>
      </c>
      <c r="AH7" s="200">
        <v>582688</v>
      </c>
      <c r="AI7" s="200">
        <v>1975480</v>
      </c>
      <c r="AJ7" s="200">
        <v>78235</v>
      </c>
      <c r="AK7" s="200">
        <v>2548211</v>
      </c>
      <c r="AL7" s="200">
        <v>3468173.3333333335</v>
      </c>
      <c r="AM7" s="32"/>
      <c r="AN7" s="32"/>
      <c r="AO7" s="32"/>
      <c r="AP7" s="32"/>
      <c r="AQ7" s="32"/>
      <c r="AR7" s="32"/>
      <c r="AS7" s="32"/>
      <c r="AT7" s="32"/>
      <c r="AU7" s="4"/>
      <c r="AV7" s="32"/>
      <c r="AW7" s="32"/>
      <c r="AX7" s="32"/>
      <c r="AY7" s="32"/>
      <c r="AZ7" s="32"/>
      <c r="BA7" s="32"/>
    </row>
    <row r="8" spans="1:53" x14ac:dyDescent="0.35">
      <c r="A8" s="228"/>
      <c r="B8" s="200">
        <v>213660.33333333334</v>
      </c>
      <c r="C8" s="200">
        <v>170876</v>
      </c>
      <c r="D8" s="200">
        <v>196478.66666666666</v>
      </c>
      <c r="E8" s="200">
        <v>2692467.3333333335</v>
      </c>
      <c r="F8" s="200">
        <v>2233452.3333333335</v>
      </c>
      <c r="G8" s="200">
        <v>3915479.6666666665</v>
      </c>
      <c r="H8" s="200">
        <v>4267585.333333333</v>
      </c>
      <c r="I8" s="200">
        <v>693368</v>
      </c>
      <c r="J8" s="200">
        <v>462879.66666666669</v>
      </c>
      <c r="K8" s="200">
        <v>1739930.6666666667</v>
      </c>
      <c r="L8" s="200">
        <v>3698322.6666666665</v>
      </c>
      <c r="M8" s="200">
        <v>3041877</v>
      </c>
      <c r="N8" s="13"/>
      <c r="O8" s="13"/>
      <c r="P8" s="13"/>
      <c r="Q8" s="13"/>
      <c r="R8" s="13"/>
      <c r="S8" s="13"/>
      <c r="T8" s="13"/>
      <c r="U8" s="13"/>
      <c r="V8" s="13"/>
      <c r="W8" s="13"/>
      <c r="X8" s="13"/>
      <c r="Y8" s="13"/>
      <c r="Z8" s="13"/>
      <c r="AA8" s="13"/>
      <c r="AB8" s="13"/>
      <c r="AC8" s="13"/>
      <c r="AD8" s="3"/>
      <c r="AE8" s="200">
        <v>1059713.5</v>
      </c>
      <c r="AF8" s="200">
        <v>3489421.3333333335</v>
      </c>
      <c r="AG8" s="200">
        <v>55019.333333333336</v>
      </c>
      <c r="AH8" s="200">
        <v>1989135.6666666667</v>
      </c>
      <c r="AI8" s="200">
        <v>2921074</v>
      </c>
      <c r="AJ8" s="200">
        <v>375999.66666666669</v>
      </c>
      <c r="AK8" s="200">
        <v>454696.66666666669</v>
      </c>
      <c r="AL8" s="200">
        <v>2352049</v>
      </c>
      <c r="AM8" s="32"/>
      <c r="AN8" s="32"/>
      <c r="AO8" s="32"/>
      <c r="AP8" s="32"/>
      <c r="AQ8" s="32"/>
      <c r="AR8" s="32"/>
      <c r="AS8" s="32"/>
      <c r="AT8" s="32"/>
      <c r="AU8" s="4"/>
      <c r="AV8" s="32"/>
      <c r="AW8" s="32"/>
      <c r="AX8" s="32"/>
      <c r="AY8" s="32"/>
      <c r="AZ8" s="32"/>
      <c r="BA8" s="32"/>
    </row>
    <row r="9" spans="1:53" x14ac:dyDescent="0.35">
      <c r="A9" s="228"/>
      <c r="B9" s="200">
        <v>297079.33333333331</v>
      </c>
      <c r="C9" s="200"/>
      <c r="D9" s="200">
        <v>122757</v>
      </c>
      <c r="E9" s="200">
        <v>217106.33333333334</v>
      </c>
      <c r="F9" s="200">
        <v>3019374.6666666665</v>
      </c>
      <c r="G9" s="200">
        <v>4671148.666666667</v>
      </c>
      <c r="H9" s="200">
        <v>4224059</v>
      </c>
      <c r="I9" s="200">
        <v>482866</v>
      </c>
      <c r="J9" s="200">
        <v>383260</v>
      </c>
      <c r="K9" s="200">
        <v>1908427</v>
      </c>
      <c r="L9" s="200">
        <v>1352654.3333333333</v>
      </c>
      <c r="M9" s="200">
        <v>1577627</v>
      </c>
      <c r="N9" s="13"/>
      <c r="O9" s="13"/>
      <c r="P9" s="13"/>
      <c r="Q9" s="13"/>
      <c r="R9" s="13"/>
      <c r="S9" s="13"/>
      <c r="T9" s="13"/>
      <c r="U9" s="13"/>
      <c r="V9" s="13"/>
      <c r="W9" s="13"/>
      <c r="X9" s="13"/>
      <c r="Y9" s="13"/>
      <c r="Z9" s="13"/>
      <c r="AA9" s="13"/>
      <c r="AB9" s="13"/>
      <c r="AC9" s="13"/>
      <c r="AD9" s="3"/>
      <c r="AE9" s="200">
        <v>337325.33333333331</v>
      </c>
      <c r="AF9" s="200">
        <v>1875780.6666666667</v>
      </c>
      <c r="AG9" s="200">
        <v>277677</v>
      </c>
      <c r="AH9" s="200">
        <v>120781.33333333333</v>
      </c>
      <c r="AI9" s="200">
        <v>2636504</v>
      </c>
      <c r="AJ9" s="200">
        <v>1832268</v>
      </c>
      <c r="AK9" s="200">
        <v>195880.66666666666</v>
      </c>
      <c r="AL9" s="200">
        <v>1029958</v>
      </c>
      <c r="AM9" s="32"/>
      <c r="AN9" s="32"/>
      <c r="AO9" s="32"/>
      <c r="AP9" s="32"/>
      <c r="AQ9" s="32"/>
      <c r="AR9" s="32"/>
      <c r="AS9" s="32"/>
      <c r="AT9" s="32"/>
      <c r="AU9" s="4"/>
      <c r="AV9" s="32"/>
      <c r="AW9" s="32"/>
      <c r="AX9" s="32"/>
      <c r="AY9" s="32"/>
      <c r="AZ9" s="32"/>
      <c r="BA9" s="32"/>
    </row>
    <row r="10" spans="1:53" x14ac:dyDescent="0.35">
      <c r="A10" s="228"/>
      <c r="B10" s="200">
        <v>125057</v>
      </c>
      <c r="C10" s="200">
        <v>548231.33333333337</v>
      </c>
      <c r="D10" s="200">
        <v>128229.33333333333</v>
      </c>
      <c r="E10" s="200">
        <v>129245.66666666667</v>
      </c>
      <c r="F10" s="200">
        <v>1470371.3333333333</v>
      </c>
      <c r="G10" s="200">
        <v>3020247</v>
      </c>
      <c r="H10" s="200">
        <v>4025316.3333333335</v>
      </c>
      <c r="I10" s="200">
        <v>348306</v>
      </c>
      <c r="J10" s="200">
        <v>1379154.5</v>
      </c>
      <c r="K10" s="200">
        <v>272053.66666666669</v>
      </c>
      <c r="L10" s="200">
        <v>3893013.3333333335</v>
      </c>
      <c r="M10" s="200">
        <v>3377832.3333333335</v>
      </c>
      <c r="N10" s="13"/>
      <c r="O10" s="13"/>
      <c r="P10" s="13"/>
      <c r="Q10" s="13"/>
      <c r="R10" s="13"/>
      <c r="S10" s="13"/>
      <c r="T10" s="13"/>
      <c r="U10" s="13"/>
      <c r="V10" s="13"/>
      <c r="W10" s="13"/>
      <c r="X10" s="13"/>
      <c r="Y10" s="13"/>
      <c r="Z10" s="13"/>
      <c r="AA10" s="13"/>
      <c r="AB10" s="13"/>
      <c r="AC10" s="13"/>
      <c r="AD10" s="3"/>
      <c r="AE10" s="200">
        <v>2049014</v>
      </c>
      <c r="AF10" s="200">
        <v>2992027.3333333335</v>
      </c>
      <c r="AG10" s="200">
        <v>32127.666666666668</v>
      </c>
      <c r="AH10" s="200">
        <v>410160.66666666669</v>
      </c>
      <c r="AI10" s="200">
        <v>2718863</v>
      </c>
      <c r="AJ10" s="200">
        <v>39453</v>
      </c>
      <c r="AK10" s="200">
        <v>338443</v>
      </c>
      <c r="AL10" s="200">
        <v>1568275.3333333333</v>
      </c>
      <c r="AM10" s="32"/>
      <c r="AN10" s="32"/>
      <c r="AO10" s="32"/>
      <c r="AP10" s="32"/>
      <c r="AQ10" s="32"/>
      <c r="AR10" s="32"/>
      <c r="AS10" s="32"/>
      <c r="AT10" s="32"/>
      <c r="AU10" s="4"/>
      <c r="AV10" s="32"/>
      <c r="AW10" s="32"/>
      <c r="AX10" s="32"/>
      <c r="AY10" s="32"/>
      <c r="AZ10" s="32"/>
      <c r="BA10" s="32"/>
    </row>
    <row r="11" spans="1:53" x14ac:dyDescent="0.35">
      <c r="A11" s="228"/>
      <c r="B11" s="200">
        <v>104083.33333333333</v>
      </c>
      <c r="C11" s="200">
        <v>184849.33333333334</v>
      </c>
      <c r="D11" s="200">
        <v>666510.66666666663</v>
      </c>
      <c r="E11" s="200">
        <v>1235312.3333333333</v>
      </c>
      <c r="F11" s="200">
        <v>2724429.6666666665</v>
      </c>
      <c r="G11" s="200"/>
      <c r="H11" s="200">
        <v>5225458</v>
      </c>
      <c r="I11" s="200">
        <v>139447.66666666666</v>
      </c>
      <c r="J11" s="200">
        <v>180631</v>
      </c>
      <c r="K11" s="200">
        <v>171618.66666666666</v>
      </c>
      <c r="L11" s="200">
        <v>182470</v>
      </c>
      <c r="M11" s="200">
        <v>2412468.3333333335</v>
      </c>
      <c r="N11" s="13"/>
      <c r="O11" s="13"/>
      <c r="P11" s="13"/>
      <c r="Q11" s="13"/>
      <c r="R11" s="13"/>
      <c r="S11" s="13"/>
      <c r="T11" s="13"/>
      <c r="U11" s="13"/>
      <c r="V11" s="13"/>
      <c r="W11" s="13"/>
      <c r="X11" s="13"/>
      <c r="Y11" s="13"/>
      <c r="Z11" s="13"/>
      <c r="AA11" s="13"/>
      <c r="AB11" s="13"/>
      <c r="AC11" s="13"/>
      <c r="AD11" s="3"/>
      <c r="AE11" s="200">
        <v>24824</v>
      </c>
      <c r="AF11" s="200">
        <v>3668877</v>
      </c>
      <c r="AG11" s="200">
        <v>85200</v>
      </c>
      <c r="AH11" s="200">
        <v>442944.33333333331</v>
      </c>
      <c r="AI11" s="200">
        <v>1241029.3333333333</v>
      </c>
      <c r="AJ11" s="200">
        <v>3218398.6666666665</v>
      </c>
      <c r="AK11" s="200">
        <v>919097.66666666663</v>
      </c>
      <c r="AL11" s="200">
        <v>1886696.3333333333</v>
      </c>
      <c r="AM11" s="32"/>
      <c r="AN11" s="32"/>
      <c r="AO11" s="32"/>
      <c r="AP11" s="32"/>
      <c r="AQ11" s="32"/>
      <c r="AR11" s="32"/>
      <c r="AS11" s="32"/>
      <c r="AT11" s="32"/>
      <c r="AU11" s="4"/>
      <c r="AV11" s="32"/>
      <c r="AW11" s="32"/>
      <c r="AX11" s="32"/>
      <c r="AY11" s="32"/>
      <c r="AZ11" s="32"/>
      <c r="BA11" s="32"/>
    </row>
    <row r="12" spans="1:53" x14ac:dyDescent="0.35">
      <c r="A12" s="228"/>
      <c r="B12" s="200">
        <v>83080.333333333328</v>
      </c>
      <c r="C12" s="200">
        <v>67319.333333333328</v>
      </c>
      <c r="D12" s="200">
        <v>154502.33333333334</v>
      </c>
      <c r="E12" s="200">
        <v>2268053</v>
      </c>
      <c r="F12" s="200">
        <v>2656165.6666666665</v>
      </c>
      <c r="G12" s="200">
        <v>1460508.3333333333</v>
      </c>
      <c r="H12" s="200">
        <v>3912307.3333333335</v>
      </c>
      <c r="I12" s="200">
        <v>48797</v>
      </c>
      <c r="J12" s="200">
        <v>346136</v>
      </c>
      <c r="K12" s="200">
        <v>2017788.3333333333</v>
      </c>
      <c r="L12" s="200">
        <v>1695300.3333333333</v>
      </c>
      <c r="M12" s="200">
        <v>3572350.3333333335</v>
      </c>
      <c r="N12" s="13"/>
      <c r="O12" s="13"/>
      <c r="P12" s="13"/>
      <c r="Q12" s="13"/>
      <c r="R12" s="13"/>
      <c r="S12" s="13"/>
      <c r="T12" s="13"/>
      <c r="U12" s="13"/>
      <c r="V12" s="13"/>
      <c r="W12" s="13"/>
      <c r="X12" s="13"/>
      <c r="Y12" s="13"/>
      <c r="Z12" s="13"/>
      <c r="AA12" s="13"/>
      <c r="AB12" s="13"/>
      <c r="AC12" s="13"/>
      <c r="AD12" s="3"/>
      <c r="AE12" s="200">
        <v>484726</v>
      </c>
      <c r="AF12" s="200">
        <v>3375410</v>
      </c>
      <c r="AG12" s="200">
        <v>197726</v>
      </c>
      <c r="AH12" s="200">
        <v>961787.66666666663</v>
      </c>
      <c r="AI12" s="200">
        <v>296481</v>
      </c>
      <c r="AJ12" s="200">
        <v>488208.33333333331</v>
      </c>
      <c r="AK12" s="200">
        <v>2417097.5</v>
      </c>
      <c r="AL12" s="200">
        <v>102417.66666666667</v>
      </c>
      <c r="AM12" s="32"/>
      <c r="AN12" s="32"/>
      <c r="AO12" s="32"/>
      <c r="AP12" s="32"/>
      <c r="AQ12" s="32"/>
      <c r="AR12" s="32"/>
      <c r="AS12" s="32"/>
      <c r="AT12" s="32"/>
      <c r="AU12" s="4"/>
      <c r="AV12" s="32"/>
      <c r="AW12" s="32"/>
      <c r="AX12" s="32"/>
      <c r="AY12" s="32"/>
      <c r="AZ12" s="32"/>
      <c r="BA12" s="32"/>
    </row>
    <row r="13" spans="1:53" ht="16.5" x14ac:dyDescent="0.35">
      <c r="A13" s="228"/>
      <c r="B13" s="14"/>
      <c r="C13" s="13"/>
      <c r="D13" s="16"/>
      <c r="E13" s="16"/>
      <c r="F13" s="16"/>
      <c r="G13" s="16"/>
      <c r="H13" s="16"/>
      <c r="I13" s="32"/>
      <c r="J13" s="16"/>
      <c r="K13" s="13"/>
      <c r="L13" s="13"/>
      <c r="M13" s="13"/>
      <c r="N13" s="13"/>
      <c r="O13" s="13"/>
      <c r="P13" s="13"/>
      <c r="Q13" s="13"/>
      <c r="R13" s="13"/>
      <c r="S13" s="13"/>
      <c r="T13" s="13"/>
      <c r="U13" s="13"/>
      <c r="V13" s="13"/>
      <c r="W13" s="13"/>
      <c r="X13" s="13"/>
      <c r="Y13" s="13"/>
      <c r="Z13" s="13"/>
      <c r="AA13" s="13"/>
      <c r="AB13" s="13"/>
      <c r="AC13" s="13"/>
      <c r="AD13" s="3"/>
      <c r="AE13" s="200">
        <v>69677</v>
      </c>
      <c r="AF13" s="13"/>
      <c r="AG13" s="13"/>
      <c r="AH13" s="4"/>
      <c r="AI13" s="32"/>
      <c r="AJ13" s="32"/>
      <c r="AK13" s="32"/>
      <c r="AL13" s="32"/>
      <c r="AM13" s="32"/>
      <c r="AN13" s="32"/>
      <c r="AO13" s="32"/>
      <c r="AP13" s="32"/>
      <c r="AQ13" s="32"/>
      <c r="AR13" s="32"/>
      <c r="AS13" s="32"/>
      <c r="AT13" s="32"/>
      <c r="AU13" s="4"/>
      <c r="AV13" s="32"/>
      <c r="AW13" s="32"/>
      <c r="AX13" s="32"/>
      <c r="AY13" s="32"/>
      <c r="AZ13" s="32"/>
      <c r="BA13" s="32"/>
    </row>
    <row r="14" spans="1:53" ht="16.5" x14ac:dyDescent="0.35">
      <c r="A14" s="228"/>
      <c r="B14" s="14"/>
      <c r="C14" s="16"/>
      <c r="D14" s="16"/>
      <c r="E14" s="16"/>
      <c r="F14" s="16"/>
      <c r="G14" s="16"/>
      <c r="H14" s="16"/>
      <c r="I14" s="32"/>
      <c r="J14" s="16"/>
      <c r="K14" s="13"/>
      <c r="L14" s="13"/>
      <c r="M14" s="13"/>
      <c r="N14" s="13"/>
      <c r="O14" s="13"/>
      <c r="P14" s="13"/>
      <c r="Q14" s="13"/>
      <c r="R14" s="13"/>
      <c r="S14" s="13"/>
      <c r="T14" s="13"/>
      <c r="U14" s="13"/>
      <c r="V14" s="13"/>
      <c r="W14" s="13"/>
      <c r="X14" s="13"/>
      <c r="Y14" s="13"/>
      <c r="Z14" s="13"/>
      <c r="AA14" s="13"/>
      <c r="AB14" s="13"/>
      <c r="AC14" s="13"/>
      <c r="AD14" s="3"/>
      <c r="AE14" s="200">
        <v>67434.666666666672</v>
      </c>
      <c r="AF14" s="13"/>
      <c r="AG14" s="13"/>
      <c r="AH14" s="4"/>
      <c r="AI14" s="32"/>
      <c r="AJ14" s="32"/>
      <c r="AK14" s="32"/>
      <c r="AL14" s="32"/>
      <c r="AM14" s="32"/>
      <c r="AN14" s="32"/>
      <c r="AO14" s="32"/>
      <c r="AP14" s="32"/>
      <c r="AQ14" s="32"/>
      <c r="AR14" s="32"/>
      <c r="AS14" s="32"/>
      <c r="AT14" s="32"/>
      <c r="AU14" s="4"/>
      <c r="AV14" s="32"/>
      <c r="AW14" s="32"/>
      <c r="AX14" s="32"/>
      <c r="AY14" s="32"/>
      <c r="AZ14" s="32"/>
      <c r="BA14" s="32"/>
    </row>
    <row r="15" spans="1:53" ht="16.5" x14ac:dyDescent="0.35">
      <c r="A15" s="228"/>
      <c r="B15" s="14"/>
      <c r="C15" s="16"/>
      <c r="D15" s="16"/>
      <c r="E15" s="16"/>
      <c r="F15" s="16"/>
      <c r="G15" s="16"/>
      <c r="H15" s="16"/>
      <c r="I15" s="32"/>
      <c r="J15" s="16"/>
      <c r="K15" s="13"/>
      <c r="L15" s="13"/>
      <c r="M15" s="13"/>
      <c r="N15" s="13"/>
      <c r="O15" s="13"/>
      <c r="P15" s="13"/>
      <c r="Q15" s="13"/>
      <c r="R15" s="13"/>
      <c r="S15" s="13"/>
      <c r="T15" s="13"/>
      <c r="U15" s="13"/>
      <c r="V15" s="13"/>
      <c r="W15" s="13"/>
      <c r="X15" s="13"/>
      <c r="Y15" s="13"/>
      <c r="Z15" s="13"/>
      <c r="AA15" s="13"/>
      <c r="AB15" s="13"/>
      <c r="AC15" s="13"/>
      <c r="AD15" s="3"/>
      <c r="AE15" s="200">
        <v>1772274.3333333333</v>
      </c>
      <c r="AF15" s="13"/>
      <c r="AG15" s="13"/>
      <c r="AH15" s="4"/>
      <c r="AI15" s="32"/>
      <c r="AJ15" s="32"/>
      <c r="AK15" s="32"/>
      <c r="AL15" s="32"/>
      <c r="AM15" s="32"/>
      <c r="AN15" s="32"/>
      <c r="AO15" s="32"/>
      <c r="AP15" s="32"/>
      <c r="AQ15" s="32"/>
      <c r="AR15" s="32"/>
      <c r="AS15" s="32"/>
      <c r="AT15" s="32"/>
      <c r="AU15" s="4"/>
      <c r="AV15" s="32"/>
      <c r="AW15" s="32"/>
      <c r="AX15" s="32"/>
      <c r="AY15" s="32"/>
      <c r="AZ15" s="32"/>
      <c r="BA15" s="32"/>
    </row>
    <row r="16" spans="1:53" ht="16.5" x14ac:dyDescent="0.35">
      <c r="A16" s="228"/>
      <c r="B16" s="14"/>
      <c r="C16" s="16"/>
      <c r="D16" s="16"/>
      <c r="E16" s="16"/>
      <c r="F16" s="16"/>
      <c r="G16" s="16"/>
      <c r="H16" s="16"/>
      <c r="I16" s="32"/>
      <c r="J16" s="16"/>
      <c r="K16" s="13"/>
      <c r="L16" s="13"/>
      <c r="M16" s="13"/>
      <c r="N16" s="13"/>
      <c r="O16" s="13"/>
      <c r="P16" s="13"/>
      <c r="Q16" s="13"/>
      <c r="R16" s="13"/>
      <c r="S16" s="13"/>
      <c r="T16" s="13"/>
      <c r="U16" s="13"/>
      <c r="V16" s="13"/>
      <c r="W16" s="13"/>
      <c r="X16" s="13"/>
      <c r="Y16" s="13"/>
      <c r="Z16" s="13"/>
      <c r="AA16" s="13"/>
      <c r="AB16" s="13"/>
      <c r="AC16" s="13"/>
      <c r="AD16" s="3"/>
      <c r="AE16" s="200"/>
      <c r="AF16" s="13"/>
      <c r="AG16" s="13"/>
      <c r="AH16" s="4"/>
      <c r="AI16" s="32"/>
      <c r="AJ16" s="32"/>
      <c r="AK16" s="32"/>
      <c r="AL16" s="32"/>
      <c r="AM16" s="32"/>
      <c r="AN16" s="32"/>
      <c r="AO16" s="32"/>
      <c r="AP16" s="32"/>
      <c r="AQ16" s="32"/>
      <c r="AR16" s="32"/>
      <c r="AS16" s="32"/>
      <c r="AT16" s="32"/>
      <c r="AU16" s="4"/>
      <c r="AV16" s="32"/>
      <c r="AW16" s="32"/>
      <c r="AX16" s="32"/>
      <c r="AY16" s="32"/>
      <c r="AZ16" s="32"/>
      <c r="BA16" s="32"/>
    </row>
    <row r="17" spans="1:53" s="1" customFormat="1" ht="16.5" x14ac:dyDescent="0.35">
      <c r="A17" s="228"/>
      <c r="B17" s="14"/>
      <c r="C17" s="32"/>
      <c r="D17" s="32"/>
      <c r="E17" s="32"/>
      <c r="F17" s="32"/>
      <c r="G17" s="32"/>
      <c r="H17" s="32"/>
      <c r="I17" s="32"/>
      <c r="J17" s="32"/>
      <c r="K17" s="13"/>
      <c r="L17" s="13"/>
      <c r="M17" s="13"/>
      <c r="N17" s="13"/>
      <c r="O17" s="13"/>
      <c r="P17" s="13"/>
      <c r="Q17" s="13"/>
      <c r="R17" s="13"/>
      <c r="S17" s="13"/>
      <c r="T17" s="13"/>
      <c r="U17" s="13"/>
      <c r="V17" s="13"/>
      <c r="W17" s="13"/>
      <c r="X17" s="13"/>
      <c r="Y17" s="13"/>
      <c r="Z17" s="13"/>
      <c r="AA17" s="13"/>
      <c r="AB17" s="13"/>
      <c r="AC17" s="13"/>
      <c r="AD17" s="3"/>
      <c r="AE17" s="200">
        <v>378660.33333333331</v>
      </c>
      <c r="AF17" s="13"/>
      <c r="AG17" s="13"/>
      <c r="AH17" s="32"/>
      <c r="AI17" s="32"/>
      <c r="AJ17" s="32"/>
      <c r="AK17" s="32"/>
      <c r="AL17" s="32"/>
      <c r="AM17" s="32"/>
      <c r="AN17" s="32"/>
      <c r="AO17" s="32"/>
      <c r="AP17" s="32"/>
      <c r="AQ17" s="32"/>
      <c r="AR17" s="32"/>
      <c r="AS17" s="32"/>
      <c r="AT17" s="32"/>
      <c r="AU17" s="32"/>
      <c r="AV17" s="32"/>
      <c r="AW17" s="32"/>
      <c r="AX17" s="32"/>
      <c r="AY17" s="32"/>
      <c r="AZ17" s="32"/>
      <c r="BA17" s="32"/>
    </row>
    <row r="18" spans="1:53" s="1" customFormat="1" ht="16.5" x14ac:dyDescent="0.35">
      <c r="A18" s="228"/>
      <c r="B18" s="14"/>
      <c r="C18" s="32"/>
      <c r="D18" s="32"/>
      <c r="E18" s="32"/>
      <c r="F18" s="32"/>
      <c r="G18" s="32"/>
      <c r="H18" s="32"/>
      <c r="I18" s="32"/>
      <c r="J18" s="32"/>
      <c r="K18" s="13"/>
      <c r="L18" s="13"/>
      <c r="M18" s="13"/>
      <c r="N18" s="13"/>
      <c r="O18" s="13"/>
      <c r="P18" s="13"/>
      <c r="Q18" s="13"/>
      <c r="R18" s="13"/>
      <c r="S18" s="13"/>
      <c r="T18" s="13"/>
      <c r="U18" s="13"/>
      <c r="V18" s="13"/>
      <c r="W18" s="13"/>
      <c r="X18" s="13"/>
      <c r="Y18" s="13"/>
      <c r="Z18" s="13"/>
      <c r="AA18" s="13"/>
      <c r="AB18" s="13"/>
      <c r="AC18" s="13"/>
      <c r="AD18" s="3"/>
      <c r="AE18" s="200">
        <v>530365</v>
      </c>
      <c r="AF18" s="13"/>
      <c r="AG18" s="13"/>
      <c r="AH18" s="32"/>
      <c r="AI18" s="32"/>
      <c r="AJ18" s="32"/>
      <c r="AK18" s="32"/>
      <c r="AL18" s="32"/>
      <c r="AM18" s="32"/>
      <c r="AN18" s="32"/>
      <c r="AO18" s="32"/>
      <c r="AP18" s="32"/>
      <c r="AQ18" s="32"/>
      <c r="AR18" s="32"/>
      <c r="AS18" s="32"/>
      <c r="AT18" s="32"/>
      <c r="AU18" s="32"/>
      <c r="AV18" s="32"/>
      <c r="AW18" s="32"/>
      <c r="AX18" s="32"/>
      <c r="AY18" s="32"/>
      <c r="AZ18" s="32"/>
      <c r="BA18" s="32"/>
    </row>
    <row r="19" spans="1:53" s="1" customFormat="1" ht="16.5" x14ac:dyDescent="0.35">
      <c r="A19" s="228"/>
      <c r="B19" s="14"/>
      <c r="C19" s="32"/>
      <c r="D19" s="32"/>
      <c r="E19" s="32"/>
      <c r="F19" s="32"/>
      <c r="G19" s="32"/>
      <c r="H19" s="32"/>
      <c r="I19" s="32"/>
      <c r="J19" s="32"/>
      <c r="K19" s="13"/>
      <c r="L19" s="13"/>
      <c r="M19" s="13"/>
      <c r="N19" s="13"/>
      <c r="O19" s="13"/>
      <c r="P19" s="13"/>
      <c r="Q19" s="13"/>
      <c r="R19" s="13"/>
      <c r="S19" s="13"/>
      <c r="T19" s="13"/>
      <c r="U19" s="13"/>
      <c r="V19" s="13"/>
      <c r="W19" s="13"/>
      <c r="X19" s="13"/>
      <c r="Y19" s="13"/>
      <c r="Z19" s="13"/>
      <c r="AA19" s="13"/>
      <c r="AB19" s="13"/>
      <c r="AC19" s="13"/>
      <c r="AD19" s="3"/>
      <c r="AE19" s="200">
        <v>185483.66666666666</v>
      </c>
      <c r="AF19" s="13"/>
      <c r="AG19" s="13"/>
      <c r="AH19" s="32"/>
      <c r="AI19" s="32"/>
      <c r="AJ19" s="32"/>
      <c r="AK19" s="32"/>
      <c r="AL19" s="32"/>
      <c r="AM19" s="32"/>
      <c r="AN19" s="32"/>
      <c r="AO19" s="32"/>
      <c r="AP19" s="32"/>
      <c r="AQ19" s="32"/>
      <c r="AR19" s="32"/>
      <c r="AS19" s="32"/>
      <c r="AT19" s="32"/>
      <c r="AU19" s="32"/>
      <c r="AV19" s="32"/>
      <c r="AW19" s="32"/>
      <c r="AX19" s="32"/>
      <c r="AY19" s="32"/>
      <c r="AZ19" s="32"/>
      <c r="BA19" s="32"/>
    </row>
    <row r="20" spans="1:53" ht="16.5" x14ac:dyDescent="0.35">
      <c r="A20" s="228"/>
      <c r="B20" s="14"/>
      <c r="C20" s="16"/>
      <c r="D20" s="16"/>
      <c r="E20" s="16"/>
      <c r="F20" s="16"/>
      <c r="G20" s="16"/>
      <c r="H20" s="16"/>
      <c r="I20" s="32"/>
      <c r="J20" s="16"/>
      <c r="K20" s="13"/>
      <c r="L20" s="13"/>
      <c r="M20" s="13"/>
      <c r="N20" s="13"/>
      <c r="O20" s="13"/>
      <c r="P20" s="13"/>
      <c r="Q20" s="13"/>
      <c r="R20" s="13"/>
      <c r="S20" s="13"/>
      <c r="T20" s="13"/>
      <c r="U20" s="13"/>
      <c r="V20" s="13"/>
      <c r="W20" s="13"/>
      <c r="X20" s="13"/>
      <c r="Y20" s="13"/>
      <c r="Z20" s="13"/>
      <c r="AA20" s="13"/>
      <c r="AB20" s="13"/>
      <c r="AC20" s="13"/>
      <c r="AD20" s="3"/>
      <c r="AE20" s="200">
        <v>693533.33333333337</v>
      </c>
      <c r="AF20" s="13"/>
      <c r="AG20" s="13"/>
      <c r="AH20" s="4"/>
      <c r="AI20" s="32"/>
      <c r="AJ20" s="32"/>
      <c r="AK20" s="32"/>
      <c r="AL20" s="32"/>
      <c r="AM20" s="32"/>
      <c r="AN20" s="32"/>
      <c r="AO20" s="32"/>
      <c r="AP20" s="32"/>
      <c r="AQ20" s="32"/>
      <c r="AR20" s="32"/>
      <c r="AS20" s="32"/>
      <c r="AT20" s="32"/>
      <c r="AU20" s="4"/>
      <c r="AV20" s="32"/>
      <c r="AW20" s="32"/>
      <c r="AX20" s="32"/>
      <c r="AY20" s="32"/>
      <c r="AZ20" s="32"/>
      <c r="BA20" s="32"/>
    </row>
    <row r="21" spans="1:53" s="1" customFormat="1" ht="16.5" x14ac:dyDescent="0.35">
      <c r="A21" s="69"/>
      <c r="B21" s="70"/>
      <c r="C21" s="7"/>
      <c r="D21" s="7"/>
      <c r="E21" s="7"/>
      <c r="F21" s="7"/>
      <c r="G21" s="7"/>
      <c r="H21" s="7"/>
      <c r="I21" s="7"/>
      <c r="J21" s="7"/>
      <c r="K21" s="33"/>
      <c r="L21" s="33"/>
      <c r="M21" s="33"/>
      <c r="N21" s="33"/>
      <c r="O21" s="33"/>
      <c r="P21" s="33"/>
      <c r="Q21" s="33"/>
      <c r="R21" s="33"/>
      <c r="S21" s="33"/>
      <c r="T21" s="33"/>
      <c r="U21" s="33"/>
      <c r="V21" s="33"/>
      <c r="W21" s="33"/>
      <c r="X21" s="33"/>
      <c r="Y21" s="33"/>
      <c r="Z21" s="33"/>
      <c r="AA21" s="33"/>
      <c r="AB21" s="33"/>
      <c r="AC21" s="33"/>
      <c r="AD21" s="3"/>
      <c r="AE21" s="7"/>
      <c r="AF21" s="33"/>
      <c r="AG21" s="33"/>
      <c r="AH21" s="7"/>
      <c r="AI21" s="7"/>
      <c r="AJ21" s="7"/>
      <c r="AK21" s="7"/>
      <c r="AL21" s="7"/>
      <c r="AM21" s="7"/>
      <c r="AN21" s="7"/>
      <c r="AO21" s="7"/>
      <c r="AP21" s="7"/>
      <c r="AQ21" s="7"/>
      <c r="AR21" s="7"/>
      <c r="AS21" s="7"/>
      <c r="AT21" s="7"/>
      <c r="AU21" s="7"/>
      <c r="AV21" s="7"/>
      <c r="AW21" s="7"/>
      <c r="AX21" s="7"/>
      <c r="AY21" s="7"/>
      <c r="AZ21" s="7"/>
      <c r="BA21" s="7"/>
    </row>
    <row r="22" spans="1:53" s="72" customFormat="1" x14ac:dyDescent="0.35">
      <c r="A22" s="71" t="str">
        <f t="shared" ref="A22:AC22" si="0">A4</f>
        <v>Noms des groupes</v>
      </c>
      <c r="B22" s="71" t="str">
        <f t="shared" si="0"/>
        <v>Témoin solvant</v>
      </c>
      <c r="C22" s="71" t="str">
        <f t="shared" si="0"/>
        <v>EE2-33,8ng/L</v>
      </c>
      <c r="D22" s="71" t="str">
        <f t="shared" si="0"/>
        <v>EE2-50,6ng/L</v>
      </c>
      <c r="E22" s="71" t="str">
        <f t="shared" si="0"/>
        <v>EE2-76ng/L</v>
      </c>
      <c r="F22" s="71" t="str">
        <f t="shared" si="0"/>
        <v>EE2-114ng/L</v>
      </c>
      <c r="G22" s="71" t="str">
        <f t="shared" si="0"/>
        <v>EE2-170,9ng/L</v>
      </c>
      <c r="H22" s="71" t="str">
        <f t="shared" si="0"/>
        <v>EE2-488ng/L</v>
      </c>
      <c r="I22" s="71" t="str">
        <f t="shared" si="0"/>
        <v>Testo-3.7µg/L</v>
      </c>
      <c r="J22" s="71" t="str">
        <f t="shared" si="0"/>
        <v>Testo-11µg/L</v>
      </c>
      <c r="K22" s="71" t="str">
        <f t="shared" si="0"/>
        <v>Testo-33µg/L</v>
      </c>
      <c r="L22" s="71" t="str">
        <f t="shared" si="0"/>
        <v>Testo-100µg/L</v>
      </c>
      <c r="M22" s="71" t="str">
        <f t="shared" si="0"/>
        <v>Testo-300µg/L</v>
      </c>
      <c r="N22" s="71" t="str">
        <f t="shared" si="0"/>
        <v xml:space="preserve"> </v>
      </c>
      <c r="O22" s="71" t="str">
        <f t="shared" si="0"/>
        <v xml:space="preserve"> </v>
      </c>
      <c r="P22" s="71" t="str">
        <f t="shared" si="0"/>
        <v xml:space="preserve"> </v>
      </c>
      <c r="Q22" s="71" t="str">
        <f t="shared" si="0"/>
        <v xml:space="preserve"> </v>
      </c>
      <c r="R22" s="71" t="str">
        <f t="shared" si="0"/>
        <v xml:space="preserve"> </v>
      </c>
      <c r="S22" s="71" t="str">
        <f t="shared" si="0"/>
        <v xml:space="preserve"> </v>
      </c>
      <c r="T22" s="71" t="str">
        <f t="shared" si="0"/>
        <v xml:space="preserve"> </v>
      </c>
      <c r="U22" s="71" t="str">
        <f t="shared" si="0"/>
        <v xml:space="preserve"> </v>
      </c>
      <c r="V22" s="71" t="str">
        <f t="shared" si="0"/>
        <v xml:space="preserve"> </v>
      </c>
      <c r="W22" s="71" t="str">
        <f t="shared" si="0"/>
        <v xml:space="preserve"> </v>
      </c>
      <c r="X22" s="71" t="str">
        <f t="shared" si="0"/>
        <v xml:space="preserve"> </v>
      </c>
      <c r="Y22" s="71" t="str">
        <f t="shared" si="0"/>
        <v xml:space="preserve"> </v>
      </c>
      <c r="Z22" s="71" t="str">
        <f t="shared" si="0"/>
        <v xml:space="preserve"> </v>
      </c>
      <c r="AA22" s="71" t="str">
        <f t="shared" si="0"/>
        <v xml:space="preserve"> </v>
      </c>
      <c r="AB22" s="71" t="str">
        <f t="shared" si="0"/>
        <v xml:space="preserve"> </v>
      </c>
      <c r="AC22" s="71" t="str">
        <f t="shared" si="0"/>
        <v xml:space="preserve"> </v>
      </c>
      <c r="AD22" s="71" t="s">
        <v>47</v>
      </c>
      <c r="AE22" s="71" t="str">
        <f t="shared" ref="AE22:AU22" si="1">AE4</f>
        <v>Testo -30µg/L</v>
      </c>
      <c r="AF22" s="71" t="str">
        <f t="shared" si="1"/>
        <v>Testo 30µg/L + EE2 -64ng/L</v>
      </c>
      <c r="AG22" s="71" t="str">
        <f t="shared" si="1"/>
        <v>Testo 30µg/L + FAD-10mg/L</v>
      </c>
      <c r="AH22" s="71" t="str">
        <f t="shared" si="1"/>
        <v>Testo-3,7µg/L + Testostérone</v>
      </c>
      <c r="AI22" s="71" t="str">
        <f t="shared" si="1"/>
        <v>Testo-11µg/L + Testostérone</v>
      </c>
      <c r="AJ22" s="71" t="str">
        <f t="shared" si="1"/>
        <v>Testo-33µg/L + Testostérone</v>
      </c>
      <c r="AK22" s="71" t="str">
        <f t="shared" si="1"/>
        <v>Testo-100µg/L + Testostérone</v>
      </c>
      <c r="AL22" s="71" t="str">
        <f t="shared" si="1"/>
        <v>Testo-300µg/L + Testostérone</v>
      </c>
      <c r="AM22" s="71" t="str">
        <f t="shared" si="1"/>
        <v>0-00 + Testostérone</v>
      </c>
      <c r="AN22" s="71" t="str">
        <f t="shared" si="1"/>
        <v>0-00 + Testostérone</v>
      </c>
      <c r="AO22" s="71" t="str">
        <f t="shared" si="1"/>
        <v>0-00 + Testostérone</v>
      </c>
      <c r="AP22" s="71" t="str">
        <f t="shared" si="1"/>
        <v>0-00 + Testostérone</v>
      </c>
      <c r="AQ22" s="71" t="str">
        <f t="shared" si="1"/>
        <v>0-00 + Testostérone</v>
      </c>
      <c r="AR22" s="71" t="str">
        <f t="shared" si="1"/>
        <v>0-00 + Testostérone</v>
      </c>
      <c r="AS22" s="71" t="str">
        <f t="shared" si="1"/>
        <v>0-00 + Testostérone</v>
      </c>
      <c r="AT22" s="71" t="str">
        <f t="shared" si="1"/>
        <v>0-00 + Testostérone</v>
      </c>
      <c r="AU22" s="71" t="str">
        <f t="shared" si="1"/>
        <v>0-00 + Testostérone</v>
      </c>
      <c r="AV22" s="71" t="str">
        <f t="shared" ref="AV22:BA22" si="2">AV4</f>
        <v>0-00 + Testostérone</v>
      </c>
      <c r="AW22" s="71" t="str">
        <f t="shared" si="2"/>
        <v>0-00 + Testostérone</v>
      </c>
      <c r="AX22" s="71" t="str">
        <f t="shared" si="2"/>
        <v>0-00 + Testostérone</v>
      </c>
      <c r="AY22" s="71" t="str">
        <f t="shared" si="2"/>
        <v>0-00 + Testostérone</v>
      </c>
      <c r="AZ22" s="71" t="str">
        <f t="shared" si="2"/>
        <v>0-00 + Testostérone</v>
      </c>
      <c r="BA22" s="71" t="str">
        <f t="shared" si="2"/>
        <v>0-00 + Testostérone</v>
      </c>
    </row>
    <row r="23" spans="1:53" x14ac:dyDescent="0.35">
      <c r="A23" s="5" t="s">
        <v>0</v>
      </c>
      <c r="B23" s="5">
        <f t="shared" ref="B23:AC23" si="3">AVERAGE(B5:B20)</f>
        <v>208579.83333333331</v>
      </c>
      <c r="C23" s="5">
        <f t="shared" si="3"/>
        <v>202581.52380952379</v>
      </c>
      <c r="D23" s="5">
        <f t="shared" si="3"/>
        <v>214889.41666666666</v>
      </c>
      <c r="E23" s="5">
        <f t="shared" si="3"/>
        <v>1154826.2708333335</v>
      </c>
      <c r="F23" s="5">
        <f t="shared" si="3"/>
        <v>2431935.625</v>
      </c>
      <c r="G23" s="5">
        <f t="shared" si="3"/>
        <v>2822690.5</v>
      </c>
      <c r="H23" s="5">
        <f t="shared" si="3"/>
        <v>4344081.375</v>
      </c>
      <c r="I23" s="5">
        <f t="shared" si="3"/>
        <v>312670.89583333331</v>
      </c>
      <c r="J23" s="5">
        <f t="shared" si="3"/>
        <v>534722.02083333337</v>
      </c>
      <c r="K23" s="5">
        <f t="shared" si="3"/>
        <v>1084415.6666666667</v>
      </c>
      <c r="L23" s="5">
        <f t="shared" si="3"/>
        <v>1963148.2083333335</v>
      </c>
      <c r="M23" s="5">
        <f t="shared" si="3"/>
        <v>2595801.5714285714</v>
      </c>
      <c r="N23" s="5" t="e">
        <f t="shared" si="3"/>
        <v>#DIV/0!</v>
      </c>
      <c r="O23" s="5" t="e">
        <f t="shared" si="3"/>
        <v>#DIV/0!</v>
      </c>
      <c r="P23" s="5" t="e">
        <f t="shared" si="3"/>
        <v>#DIV/0!</v>
      </c>
      <c r="Q23" s="5" t="e">
        <f t="shared" si="3"/>
        <v>#DIV/0!</v>
      </c>
      <c r="R23" s="5" t="e">
        <f t="shared" si="3"/>
        <v>#DIV/0!</v>
      </c>
      <c r="S23" s="5" t="e">
        <f t="shared" si="3"/>
        <v>#DIV/0!</v>
      </c>
      <c r="T23" s="5" t="e">
        <f t="shared" si="3"/>
        <v>#DIV/0!</v>
      </c>
      <c r="U23" s="5" t="e">
        <f t="shared" si="3"/>
        <v>#DIV/0!</v>
      </c>
      <c r="V23" s="5" t="e">
        <f t="shared" si="3"/>
        <v>#DIV/0!</v>
      </c>
      <c r="W23" s="5" t="e">
        <f t="shared" si="3"/>
        <v>#DIV/0!</v>
      </c>
      <c r="X23" s="5" t="e">
        <f t="shared" si="3"/>
        <v>#DIV/0!</v>
      </c>
      <c r="Y23" s="5" t="e">
        <f t="shared" si="3"/>
        <v>#DIV/0!</v>
      </c>
      <c r="Z23" s="5" t="e">
        <f t="shared" si="3"/>
        <v>#DIV/0!</v>
      </c>
      <c r="AA23" s="5" t="e">
        <f t="shared" si="3"/>
        <v>#DIV/0!</v>
      </c>
      <c r="AB23" s="5" t="e">
        <f t="shared" si="3"/>
        <v>#DIV/0!</v>
      </c>
      <c r="AC23" s="5" t="e">
        <f t="shared" si="3"/>
        <v>#DIV/0!</v>
      </c>
      <c r="AD23" s="5" t="s">
        <v>0</v>
      </c>
      <c r="AE23" s="5">
        <f t="shared" ref="AE23:AU23" si="4">AVERAGE(AE5:AE20)</f>
        <v>726476.01111111115</v>
      </c>
      <c r="AF23" s="5">
        <f t="shared" si="4"/>
        <v>3573872.333333333</v>
      </c>
      <c r="AG23" s="5">
        <f t="shared" si="4"/>
        <v>114841.56249999999</v>
      </c>
      <c r="AH23" s="5">
        <f t="shared" si="4"/>
        <v>1223181.4583333333</v>
      </c>
      <c r="AI23" s="5">
        <f t="shared" si="4"/>
        <v>1923027.4166666667</v>
      </c>
      <c r="AJ23" s="5">
        <f t="shared" si="4"/>
        <v>1175061.0416666667</v>
      </c>
      <c r="AK23" s="5">
        <f t="shared" si="4"/>
        <v>1173652.6458333335</v>
      </c>
      <c r="AL23" s="5">
        <f t="shared" si="4"/>
        <v>2031411.6666666667</v>
      </c>
      <c r="AM23" s="5" t="e">
        <f t="shared" si="4"/>
        <v>#DIV/0!</v>
      </c>
      <c r="AN23" s="5" t="e">
        <f t="shared" si="4"/>
        <v>#DIV/0!</v>
      </c>
      <c r="AO23" s="5" t="e">
        <f t="shared" si="4"/>
        <v>#DIV/0!</v>
      </c>
      <c r="AP23" s="5" t="e">
        <f t="shared" si="4"/>
        <v>#DIV/0!</v>
      </c>
      <c r="AQ23" s="5" t="e">
        <f t="shared" si="4"/>
        <v>#DIV/0!</v>
      </c>
      <c r="AR23" s="5" t="e">
        <f t="shared" si="4"/>
        <v>#DIV/0!</v>
      </c>
      <c r="AS23" s="5" t="e">
        <f t="shared" si="4"/>
        <v>#DIV/0!</v>
      </c>
      <c r="AT23" s="5" t="e">
        <f t="shared" si="4"/>
        <v>#DIV/0!</v>
      </c>
      <c r="AU23" s="5" t="e">
        <f t="shared" si="4"/>
        <v>#DIV/0!</v>
      </c>
      <c r="AV23" s="5" t="e">
        <f t="shared" ref="AV23:BA23" si="5">AVERAGE(AV5:AV20)</f>
        <v>#DIV/0!</v>
      </c>
      <c r="AW23" s="5" t="e">
        <f t="shared" si="5"/>
        <v>#DIV/0!</v>
      </c>
      <c r="AX23" s="5" t="e">
        <f t="shared" si="5"/>
        <v>#DIV/0!</v>
      </c>
      <c r="AY23" s="5" t="e">
        <f t="shared" si="5"/>
        <v>#DIV/0!</v>
      </c>
      <c r="AZ23" s="5" t="e">
        <f t="shared" si="5"/>
        <v>#DIV/0!</v>
      </c>
      <c r="BA23" s="5" t="e">
        <f t="shared" si="5"/>
        <v>#DIV/0!</v>
      </c>
    </row>
    <row r="24" spans="1:53" x14ac:dyDescent="0.35">
      <c r="A24" s="3" t="s">
        <v>1</v>
      </c>
      <c r="B24" s="3">
        <f t="shared" ref="B24:AC24" si="6">STDEV(B5:B20)</f>
        <v>110768.82365682808</v>
      </c>
      <c r="C24" s="3">
        <f t="shared" si="6"/>
        <v>168306.28057864311</v>
      </c>
      <c r="D24" s="3">
        <f t="shared" si="6"/>
        <v>185854.06762114572</v>
      </c>
      <c r="E24" s="3">
        <f t="shared" si="6"/>
        <v>1007280.5110299048</v>
      </c>
      <c r="F24" s="3">
        <f t="shared" si="6"/>
        <v>593817.45672061597</v>
      </c>
      <c r="G24" s="3">
        <f t="shared" si="6"/>
        <v>1430455.654622599</v>
      </c>
      <c r="H24" s="3">
        <f t="shared" si="6"/>
        <v>560389.7283483994</v>
      </c>
      <c r="I24" s="3">
        <f t="shared" si="6"/>
        <v>226742.3999392566</v>
      </c>
      <c r="J24" s="3">
        <f t="shared" si="6"/>
        <v>428491.65768159099</v>
      </c>
      <c r="K24" s="3">
        <f t="shared" si="6"/>
        <v>730787.17945492349</v>
      </c>
      <c r="L24" s="3">
        <f t="shared" si="6"/>
        <v>1356402.6735741994</v>
      </c>
      <c r="M24" s="3">
        <f t="shared" si="6"/>
        <v>833977.65305609466</v>
      </c>
      <c r="N24" s="3" t="e">
        <f t="shared" si="6"/>
        <v>#DIV/0!</v>
      </c>
      <c r="O24" s="3" t="e">
        <f t="shared" si="6"/>
        <v>#DIV/0!</v>
      </c>
      <c r="P24" s="3" t="e">
        <f t="shared" si="6"/>
        <v>#DIV/0!</v>
      </c>
      <c r="Q24" s="3" t="e">
        <f t="shared" si="6"/>
        <v>#DIV/0!</v>
      </c>
      <c r="R24" s="3" t="e">
        <f t="shared" si="6"/>
        <v>#DIV/0!</v>
      </c>
      <c r="S24" s="3" t="e">
        <f t="shared" si="6"/>
        <v>#DIV/0!</v>
      </c>
      <c r="T24" s="3" t="e">
        <f t="shared" si="6"/>
        <v>#DIV/0!</v>
      </c>
      <c r="U24" s="3" t="e">
        <f t="shared" si="6"/>
        <v>#DIV/0!</v>
      </c>
      <c r="V24" s="3" t="e">
        <f t="shared" si="6"/>
        <v>#DIV/0!</v>
      </c>
      <c r="W24" s="3" t="e">
        <f t="shared" si="6"/>
        <v>#DIV/0!</v>
      </c>
      <c r="X24" s="3" t="e">
        <f t="shared" si="6"/>
        <v>#DIV/0!</v>
      </c>
      <c r="Y24" s="3" t="e">
        <f t="shared" si="6"/>
        <v>#DIV/0!</v>
      </c>
      <c r="Z24" s="3" t="e">
        <f t="shared" si="6"/>
        <v>#DIV/0!</v>
      </c>
      <c r="AA24" s="3" t="e">
        <f t="shared" si="6"/>
        <v>#DIV/0!</v>
      </c>
      <c r="AB24" s="3" t="e">
        <f t="shared" si="6"/>
        <v>#DIV/0!</v>
      </c>
      <c r="AC24" s="3" t="e">
        <f t="shared" si="6"/>
        <v>#DIV/0!</v>
      </c>
      <c r="AD24" s="3" t="s">
        <v>1</v>
      </c>
      <c r="AE24" s="3">
        <f t="shared" ref="AE24:AU24" si="7">STDEV(AE5:AE20)</f>
        <v>702133.26603655564</v>
      </c>
      <c r="AF24" s="3">
        <f t="shared" si="7"/>
        <v>931075.39923240442</v>
      </c>
      <c r="AG24" s="3">
        <f t="shared" si="7"/>
        <v>84457.40898072593</v>
      </c>
      <c r="AH24" s="3">
        <f t="shared" si="7"/>
        <v>1040710.1744248924</v>
      </c>
      <c r="AI24" s="3">
        <f t="shared" si="7"/>
        <v>903610.74816369032</v>
      </c>
      <c r="AJ24" s="3">
        <f t="shared" si="7"/>
        <v>1135449.4333233002</v>
      </c>
      <c r="AK24" s="3">
        <f t="shared" si="7"/>
        <v>1096882.6751864331</v>
      </c>
      <c r="AL24" s="3">
        <f t="shared" si="7"/>
        <v>1310093.092943398</v>
      </c>
      <c r="AM24" s="3" t="e">
        <f t="shared" si="7"/>
        <v>#DIV/0!</v>
      </c>
      <c r="AN24" s="3" t="e">
        <f t="shared" si="7"/>
        <v>#DIV/0!</v>
      </c>
      <c r="AO24" s="3" t="e">
        <f t="shared" si="7"/>
        <v>#DIV/0!</v>
      </c>
      <c r="AP24" s="3" t="e">
        <f t="shared" si="7"/>
        <v>#DIV/0!</v>
      </c>
      <c r="AQ24" s="3" t="e">
        <f t="shared" si="7"/>
        <v>#DIV/0!</v>
      </c>
      <c r="AR24" s="3" t="e">
        <f t="shared" si="7"/>
        <v>#DIV/0!</v>
      </c>
      <c r="AS24" s="3" t="e">
        <f t="shared" si="7"/>
        <v>#DIV/0!</v>
      </c>
      <c r="AT24" s="3" t="e">
        <f t="shared" si="7"/>
        <v>#DIV/0!</v>
      </c>
      <c r="AU24" s="3" t="e">
        <f t="shared" si="7"/>
        <v>#DIV/0!</v>
      </c>
      <c r="AV24" s="3" t="e">
        <f t="shared" ref="AV24:BA24" si="8">STDEV(AV5:AV20)</f>
        <v>#DIV/0!</v>
      </c>
      <c r="AW24" s="3" t="e">
        <f t="shared" si="8"/>
        <v>#DIV/0!</v>
      </c>
      <c r="AX24" s="3" t="e">
        <f t="shared" si="8"/>
        <v>#DIV/0!</v>
      </c>
      <c r="AY24" s="3" t="e">
        <f t="shared" si="8"/>
        <v>#DIV/0!</v>
      </c>
      <c r="AZ24" s="3" t="e">
        <f t="shared" si="8"/>
        <v>#DIV/0!</v>
      </c>
      <c r="BA24" s="3" t="e">
        <f t="shared" si="8"/>
        <v>#DIV/0!</v>
      </c>
    </row>
    <row r="25" spans="1:53" ht="15" thickBot="1" x14ac:dyDescent="0.4"/>
    <row r="26" spans="1:53" ht="15" thickBot="1" x14ac:dyDescent="0.4">
      <c r="B26" s="231" t="s">
        <v>6</v>
      </c>
      <c r="C26" s="232"/>
      <c r="D26" s="232"/>
      <c r="E26" s="232"/>
      <c r="F26" s="232"/>
      <c r="G26" s="232"/>
      <c r="H26" s="232"/>
      <c r="I26" s="232"/>
      <c r="J26" s="232"/>
      <c r="K26" s="232"/>
      <c r="L26" s="232"/>
      <c r="M26" s="232"/>
      <c r="N26" s="232"/>
      <c r="O26" s="232"/>
      <c r="P26" s="232"/>
      <c r="Q26" s="232"/>
      <c r="R26" s="232"/>
      <c r="S26" s="232"/>
      <c r="T26" s="232"/>
      <c r="U26" s="232"/>
      <c r="V26" s="232"/>
      <c r="W26" s="232"/>
      <c r="X26" s="232"/>
      <c r="Y26" s="232"/>
      <c r="Z26" s="232"/>
      <c r="AA26" s="232"/>
      <c r="AB26" s="232"/>
      <c r="AC26" s="233"/>
      <c r="AD26" s="1"/>
      <c r="AE26" s="231" t="s">
        <v>3</v>
      </c>
      <c r="AF26" s="232"/>
      <c r="AG26" s="232"/>
      <c r="AH26" s="232"/>
      <c r="AI26" s="232"/>
      <c r="AJ26" s="232"/>
      <c r="AK26" s="232"/>
      <c r="AL26" s="232"/>
      <c r="AM26" s="232"/>
      <c r="AN26" s="232"/>
      <c r="AO26" s="232"/>
      <c r="AP26" s="232"/>
      <c r="AQ26" s="232"/>
      <c r="AR26" s="232"/>
      <c r="AS26" s="232"/>
      <c r="AT26" s="232"/>
      <c r="AU26" s="232"/>
      <c r="AV26" s="232"/>
      <c r="AW26" s="232"/>
      <c r="AX26" s="232"/>
      <c r="AY26" s="232"/>
      <c r="AZ26" s="232"/>
      <c r="BA26" s="233"/>
    </row>
    <row r="27" spans="1:53" s="1" customFormat="1" x14ac:dyDescent="0.35">
      <c r="A27" s="34" t="s">
        <v>41</v>
      </c>
      <c r="B27" s="35" t="str">
        <f t="shared" ref="B27:AC27" si="9">B4</f>
        <v>Témoin solvant</v>
      </c>
      <c r="C27" s="35" t="str">
        <f t="shared" si="9"/>
        <v>EE2-33,8ng/L</v>
      </c>
      <c r="D27" s="35" t="str">
        <f t="shared" si="9"/>
        <v>EE2-50,6ng/L</v>
      </c>
      <c r="E27" s="35" t="str">
        <f t="shared" si="9"/>
        <v>EE2-76ng/L</v>
      </c>
      <c r="F27" s="35" t="str">
        <f t="shared" si="9"/>
        <v>EE2-114ng/L</v>
      </c>
      <c r="G27" s="35" t="str">
        <f t="shared" si="9"/>
        <v>EE2-170,9ng/L</v>
      </c>
      <c r="H27" s="35" t="str">
        <f t="shared" si="9"/>
        <v>EE2-488ng/L</v>
      </c>
      <c r="I27" s="35" t="str">
        <f t="shared" si="9"/>
        <v>Testo-3.7µg/L</v>
      </c>
      <c r="J27" s="35" t="str">
        <f t="shared" si="9"/>
        <v>Testo-11µg/L</v>
      </c>
      <c r="K27" s="35" t="str">
        <f t="shared" si="9"/>
        <v>Testo-33µg/L</v>
      </c>
      <c r="L27" s="35" t="str">
        <f t="shared" si="9"/>
        <v>Testo-100µg/L</v>
      </c>
      <c r="M27" s="35" t="str">
        <f t="shared" si="9"/>
        <v>Testo-300µg/L</v>
      </c>
      <c r="N27" s="35" t="str">
        <f t="shared" si="9"/>
        <v xml:space="preserve"> </v>
      </c>
      <c r="O27" s="35" t="str">
        <f t="shared" si="9"/>
        <v xml:space="preserve"> </v>
      </c>
      <c r="P27" s="35" t="str">
        <f t="shared" si="9"/>
        <v xml:space="preserve"> </v>
      </c>
      <c r="Q27" s="35" t="str">
        <f t="shared" si="9"/>
        <v xml:space="preserve"> </v>
      </c>
      <c r="R27" s="35" t="str">
        <f t="shared" si="9"/>
        <v xml:space="preserve"> </v>
      </c>
      <c r="S27" s="35" t="str">
        <f t="shared" si="9"/>
        <v xml:space="preserve"> </v>
      </c>
      <c r="T27" s="35" t="str">
        <f t="shared" si="9"/>
        <v xml:space="preserve"> </v>
      </c>
      <c r="U27" s="35" t="str">
        <f t="shared" si="9"/>
        <v xml:space="preserve"> </v>
      </c>
      <c r="V27" s="35" t="str">
        <f t="shared" si="9"/>
        <v xml:space="preserve"> </v>
      </c>
      <c r="W27" s="35" t="str">
        <f t="shared" si="9"/>
        <v xml:space="preserve"> </v>
      </c>
      <c r="X27" s="35" t="str">
        <f t="shared" si="9"/>
        <v xml:space="preserve"> </v>
      </c>
      <c r="Y27" s="35" t="str">
        <f t="shared" si="9"/>
        <v xml:space="preserve"> </v>
      </c>
      <c r="Z27" s="35" t="str">
        <f t="shared" si="9"/>
        <v xml:space="preserve"> </v>
      </c>
      <c r="AA27" s="35" t="str">
        <f t="shared" si="9"/>
        <v xml:space="preserve"> </v>
      </c>
      <c r="AB27" s="35" t="str">
        <f t="shared" si="9"/>
        <v xml:space="preserve"> </v>
      </c>
      <c r="AC27" s="35" t="str">
        <f t="shared" si="9"/>
        <v xml:space="preserve"> </v>
      </c>
      <c r="AD27" s="3"/>
      <c r="AE27" s="36" t="str">
        <f t="shared" ref="AE27:AT27" si="10">AE4</f>
        <v>Testo -30µg/L</v>
      </c>
      <c r="AF27" s="36" t="str">
        <f t="shared" si="10"/>
        <v>Testo 30µg/L + EE2 -64ng/L</v>
      </c>
      <c r="AG27" s="36" t="str">
        <f t="shared" si="10"/>
        <v>Testo 30µg/L + FAD-10mg/L</v>
      </c>
      <c r="AH27" s="36" t="str">
        <f t="shared" si="10"/>
        <v>Testo-3,7µg/L + Testostérone</v>
      </c>
      <c r="AI27" s="36" t="str">
        <f t="shared" si="10"/>
        <v>Testo-11µg/L + Testostérone</v>
      </c>
      <c r="AJ27" s="36" t="str">
        <f t="shared" si="10"/>
        <v>Testo-33µg/L + Testostérone</v>
      </c>
      <c r="AK27" s="36" t="str">
        <f t="shared" si="10"/>
        <v>Testo-100µg/L + Testostérone</v>
      </c>
      <c r="AL27" s="36" t="str">
        <f t="shared" si="10"/>
        <v>Testo-300µg/L + Testostérone</v>
      </c>
      <c r="AM27" s="36" t="str">
        <f t="shared" si="10"/>
        <v>0-00 + Testostérone</v>
      </c>
      <c r="AN27" s="36" t="str">
        <f t="shared" si="10"/>
        <v>0-00 + Testostérone</v>
      </c>
      <c r="AO27" s="36" t="str">
        <f t="shared" si="10"/>
        <v>0-00 + Testostérone</v>
      </c>
      <c r="AP27" s="36" t="str">
        <f t="shared" si="10"/>
        <v>0-00 + Testostérone</v>
      </c>
      <c r="AQ27" s="36" t="str">
        <f t="shared" si="10"/>
        <v>0-00 + Testostérone</v>
      </c>
      <c r="AR27" s="36" t="str">
        <f t="shared" si="10"/>
        <v>0-00 + Testostérone</v>
      </c>
      <c r="AS27" s="36" t="str">
        <f t="shared" si="10"/>
        <v>0-00 + Testostérone</v>
      </c>
      <c r="AT27" s="36" t="str">
        <f t="shared" si="10"/>
        <v>0-00 + Testostérone</v>
      </c>
      <c r="AU27" s="36" t="str">
        <f t="shared" ref="AU27:BA27" si="11">AU4</f>
        <v>0-00 + Testostérone</v>
      </c>
      <c r="AV27" s="36" t="str">
        <f t="shared" si="11"/>
        <v>0-00 + Testostérone</v>
      </c>
      <c r="AW27" s="36" t="str">
        <f t="shared" si="11"/>
        <v>0-00 + Testostérone</v>
      </c>
      <c r="AX27" s="36" t="str">
        <f t="shared" si="11"/>
        <v>0-00 + Testostérone</v>
      </c>
      <c r="AY27" s="36" t="str">
        <f t="shared" si="11"/>
        <v>0-00 + Testostérone</v>
      </c>
      <c r="AZ27" s="36" t="str">
        <f t="shared" si="11"/>
        <v>0-00 + Testostérone</v>
      </c>
      <c r="BA27" s="36" t="str">
        <f t="shared" si="11"/>
        <v>0-00 + Testostérone</v>
      </c>
    </row>
    <row r="28" spans="1:53" x14ac:dyDescent="0.35">
      <c r="A28" s="229" t="s">
        <v>34</v>
      </c>
      <c r="B28" s="11">
        <f t="shared" ref="B28:AC28" si="12">IF(B5="","",(B5/$AE$23))</f>
        <v>0.28883449711217046</v>
      </c>
      <c r="C28" s="11">
        <f t="shared" si="12"/>
        <v>0.34313222944839611</v>
      </c>
      <c r="D28" s="11">
        <f t="shared" si="12"/>
        <v>0.20867401586296927</v>
      </c>
      <c r="E28" s="11">
        <f t="shared" si="12"/>
        <v>0.79232806662530919</v>
      </c>
      <c r="F28" s="11">
        <f t="shared" si="12"/>
        <v>3.9109972293801056</v>
      </c>
      <c r="G28" s="11">
        <f t="shared" si="12"/>
        <v>4.2083867233606442</v>
      </c>
      <c r="H28" s="11">
        <f t="shared" si="12"/>
        <v>5.7100040972523658</v>
      </c>
      <c r="I28" s="11">
        <f t="shared" si="12"/>
        <v>0.10095263373459101</v>
      </c>
      <c r="J28" s="11">
        <f t="shared" si="12"/>
        <v>1.3937175045666799</v>
      </c>
      <c r="K28" s="11">
        <f t="shared" si="12"/>
        <v>0.90000953002332829</v>
      </c>
      <c r="L28" s="11">
        <f t="shared" si="12"/>
        <v>3.0137457624394144</v>
      </c>
      <c r="M28" s="11">
        <f t="shared" si="12"/>
        <v>1.9930527338204835</v>
      </c>
      <c r="N28" s="11" t="str">
        <f t="shared" si="12"/>
        <v/>
      </c>
      <c r="O28" s="11" t="str">
        <f t="shared" si="12"/>
        <v/>
      </c>
      <c r="P28" s="11" t="str">
        <f t="shared" si="12"/>
        <v/>
      </c>
      <c r="Q28" s="11" t="str">
        <f t="shared" si="12"/>
        <v/>
      </c>
      <c r="R28" s="11" t="str">
        <f t="shared" si="12"/>
        <v/>
      </c>
      <c r="S28" s="11" t="str">
        <f t="shared" si="12"/>
        <v/>
      </c>
      <c r="T28" s="11" t="str">
        <f t="shared" si="12"/>
        <v/>
      </c>
      <c r="U28" s="11" t="str">
        <f t="shared" si="12"/>
        <v/>
      </c>
      <c r="V28" s="11" t="str">
        <f t="shared" si="12"/>
        <v/>
      </c>
      <c r="W28" s="11" t="str">
        <f t="shared" si="12"/>
        <v/>
      </c>
      <c r="X28" s="11" t="str">
        <f t="shared" si="12"/>
        <v/>
      </c>
      <c r="Y28" s="11" t="str">
        <f t="shared" si="12"/>
        <v/>
      </c>
      <c r="Z28" s="11" t="str">
        <f t="shared" si="12"/>
        <v/>
      </c>
      <c r="AA28" s="11" t="str">
        <f t="shared" si="12"/>
        <v/>
      </c>
      <c r="AB28" s="11" t="str">
        <f t="shared" si="12"/>
        <v/>
      </c>
      <c r="AC28" s="11" t="str">
        <f t="shared" si="12"/>
        <v/>
      </c>
      <c r="AD28" s="6"/>
      <c r="AE28" s="11">
        <f t="shared" ref="AE28:BA28" si="13">IF(AE5="","",(AE5/$AE$23))</f>
        <v>2.3276597907392858</v>
      </c>
      <c r="AF28" s="11">
        <f t="shared" si="13"/>
        <v>7.0241167709430057</v>
      </c>
      <c r="AG28" s="11">
        <f t="shared" si="13"/>
        <v>6.9075003944842353E-2</v>
      </c>
      <c r="AH28" s="11">
        <f t="shared" si="13"/>
        <v>3.4872667891565001</v>
      </c>
      <c r="AI28" s="11">
        <f t="shared" si="13"/>
        <v>3.1138651500322538</v>
      </c>
      <c r="AJ28" s="11">
        <f t="shared" si="13"/>
        <v>1.7878025520487861</v>
      </c>
      <c r="AK28" s="11">
        <f t="shared" si="13"/>
        <v>3.3417822881082819</v>
      </c>
      <c r="AL28" s="11">
        <f t="shared" si="13"/>
        <v>5.2476777508031498</v>
      </c>
      <c r="AM28" s="11" t="str">
        <f t="shared" si="13"/>
        <v/>
      </c>
      <c r="AN28" s="11" t="str">
        <f t="shared" si="13"/>
        <v/>
      </c>
      <c r="AO28" s="11" t="str">
        <f t="shared" si="13"/>
        <v/>
      </c>
      <c r="AP28" s="11" t="str">
        <f t="shared" si="13"/>
        <v/>
      </c>
      <c r="AQ28" s="11" t="str">
        <f t="shared" si="13"/>
        <v/>
      </c>
      <c r="AR28" s="11" t="str">
        <f t="shared" si="13"/>
        <v/>
      </c>
      <c r="AS28" s="11" t="str">
        <f t="shared" si="13"/>
        <v/>
      </c>
      <c r="AT28" s="11" t="str">
        <f t="shared" si="13"/>
        <v/>
      </c>
      <c r="AU28" s="11" t="str">
        <f t="shared" si="13"/>
        <v/>
      </c>
      <c r="AV28" s="11" t="str">
        <f t="shared" si="13"/>
        <v/>
      </c>
      <c r="AW28" s="11" t="str">
        <f t="shared" si="13"/>
        <v/>
      </c>
      <c r="AX28" s="11" t="str">
        <f t="shared" si="13"/>
        <v/>
      </c>
      <c r="AY28" s="11" t="str">
        <f t="shared" si="13"/>
        <v/>
      </c>
      <c r="AZ28" s="11" t="str">
        <f t="shared" si="13"/>
        <v/>
      </c>
      <c r="BA28" s="11" t="str">
        <f t="shared" si="13"/>
        <v/>
      </c>
    </row>
    <row r="29" spans="1:53" x14ac:dyDescent="0.35">
      <c r="A29" s="230"/>
      <c r="B29" s="11">
        <f t="shared" ref="B29:AC29" si="14">IF(B6="","",(B6/$AE$23))</f>
        <v>0.29836268509653779</v>
      </c>
      <c r="C29" s="11">
        <f t="shared" si="14"/>
        <v>5.3731987571479185E-2</v>
      </c>
      <c r="D29" s="11">
        <f t="shared" si="14"/>
        <v>0.13499413401139909</v>
      </c>
      <c r="E29" s="11">
        <f t="shared" si="14"/>
        <v>2.5293367873078503</v>
      </c>
      <c r="F29" s="11">
        <f t="shared" si="14"/>
        <v>2.2373360925078187</v>
      </c>
      <c r="G29" s="11">
        <f t="shared" si="14"/>
        <v>0.63045899152653828</v>
      </c>
      <c r="H29" s="11">
        <f t="shared" si="14"/>
        <v>5.1668225918785016</v>
      </c>
      <c r="I29" s="11">
        <f t="shared" si="14"/>
        <v>0.64230820132150568</v>
      </c>
      <c r="J29" s="11">
        <f t="shared" si="14"/>
        <v>0.34123677801030394</v>
      </c>
      <c r="K29" s="11">
        <f t="shared" si="14"/>
        <v>1.1049821160264357</v>
      </c>
      <c r="L29" s="11">
        <f t="shared" si="14"/>
        <v>0.57843433264088351</v>
      </c>
      <c r="M29" s="11">
        <f t="shared" si="14"/>
        <v>3.7723902208532052</v>
      </c>
      <c r="N29" s="11" t="str">
        <f t="shared" si="14"/>
        <v/>
      </c>
      <c r="O29" s="11" t="str">
        <f t="shared" si="14"/>
        <v/>
      </c>
      <c r="P29" s="11" t="str">
        <f t="shared" si="14"/>
        <v/>
      </c>
      <c r="Q29" s="11" t="str">
        <f t="shared" si="14"/>
        <v/>
      </c>
      <c r="R29" s="11" t="str">
        <f t="shared" si="14"/>
        <v/>
      </c>
      <c r="S29" s="11" t="str">
        <f t="shared" si="14"/>
        <v/>
      </c>
      <c r="T29" s="11" t="str">
        <f t="shared" si="14"/>
        <v/>
      </c>
      <c r="U29" s="11" t="str">
        <f t="shared" si="14"/>
        <v/>
      </c>
      <c r="V29" s="11" t="str">
        <f t="shared" si="14"/>
        <v/>
      </c>
      <c r="W29" s="11" t="str">
        <f t="shared" si="14"/>
        <v/>
      </c>
      <c r="X29" s="11" t="str">
        <f t="shared" si="14"/>
        <v/>
      </c>
      <c r="Y29" s="11" t="str">
        <f t="shared" si="14"/>
        <v/>
      </c>
      <c r="Z29" s="11" t="str">
        <f t="shared" si="14"/>
        <v/>
      </c>
      <c r="AA29" s="11" t="str">
        <f t="shared" si="14"/>
        <v/>
      </c>
      <c r="AB29" s="11" t="str">
        <f t="shared" si="14"/>
        <v/>
      </c>
      <c r="AC29" s="11" t="str">
        <f t="shared" si="14"/>
        <v/>
      </c>
      <c r="AD29" s="6"/>
      <c r="AE29" s="11">
        <f t="shared" ref="AE29:BA29" si="15">IF(AE6="","",(AE6/$AE$23))</f>
        <v>9.9692211294397551E-2</v>
      </c>
      <c r="AF29" s="11">
        <f t="shared" si="15"/>
        <v>5.6731141432046366</v>
      </c>
      <c r="AG29" s="11">
        <f t="shared" si="15"/>
        <v>0.183157688115755</v>
      </c>
      <c r="AH29" s="11">
        <f t="shared" si="15"/>
        <v>3.77787881685961</v>
      </c>
      <c r="AI29" s="11">
        <f t="shared" si="15"/>
        <v>1.8343890868859614</v>
      </c>
      <c r="AJ29" s="11">
        <f t="shared" si="15"/>
        <v>2.8481738809728379</v>
      </c>
      <c r="AK29" s="11">
        <f t="shared" si="15"/>
        <v>0.12122905457717874</v>
      </c>
      <c r="AL29" s="11" t="str">
        <f t="shared" si="15"/>
        <v/>
      </c>
      <c r="AM29" s="11" t="str">
        <f t="shared" si="15"/>
        <v/>
      </c>
      <c r="AN29" s="11" t="str">
        <f t="shared" si="15"/>
        <v/>
      </c>
      <c r="AO29" s="11" t="str">
        <f t="shared" si="15"/>
        <v/>
      </c>
      <c r="AP29" s="11" t="str">
        <f t="shared" si="15"/>
        <v/>
      </c>
      <c r="AQ29" s="11" t="str">
        <f t="shared" si="15"/>
        <v/>
      </c>
      <c r="AR29" s="11" t="str">
        <f t="shared" si="15"/>
        <v/>
      </c>
      <c r="AS29" s="11" t="str">
        <f t="shared" si="15"/>
        <v/>
      </c>
      <c r="AT29" s="11" t="str">
        <f t="shared" si="15"/>
        <v/>
      </c>
      <c r="AU29" s="11" t="str">
        <f t="shared" si="15"/>
        <v/>
      </c>
      <c r="AV29" s="11" t="str">
        <f t="shared" si="15"/>
        <v/>
      </c>
      <c r="AW29" s="11" t="str">
        <f t="shared" si="15"/>
        <v/>
      </c>
      <c r="AX29" s="11" t="str">
        <f t="shared" si="15"/>
        <v/>
      </c>
      <c r="AY29" s="11" t="str">
        <f t="shared" si="15"/>
        <v/>
      </c>
      <c r="AZ29" s="11" t="str">
        <f t="shared" si="15"/>
        <v/>
      </c>
      <c r="BA29" s="11" t="str">
        <f t="shared" si="15"/>
        <v/>
      </c>
    </row>
    <row r="30" spans="1:53" x14ac:dyDescent="0.35">
      <c r="A30" s="230"/>
      <c r="B30" s="11">
        <f t="shared" ref="B30:AC30" si="16">IF(B7="","",(B7/$AE$23))</f>
        <v>0.57688576120453372</v>
      </c>
      <c r="C30" s="11">
        <f t="shared" si="16"/>
        <v>0.2181521907253923</v>
      </c>
      <c r="D30" s="11">
        <f t="shared" si="16"/>
        <v>0.27663771906148893</v>
      </c>
      <c r="E30" s="11">
        <f t="shared" si="16"/>
        <v>0.38998626566257655</v>
      </c>
      <c r="F30" s="11">
        <f t="shared" si="16"/>
        <v>3.9713281960323501</v>
      </c>
      <c r="G30" s="11">
        <f t="shared" si="16"/>
        <v>4.3719881337062114</v>
      </c>
      <c r="H30" s="11">
        <f t="shared" si="16"/>
        <v>7.1525711157152063</v>
      </c>
      <c r="I30" s="11">
        <f t="shared" si="16"/>
        <v>0.34222924023751122</v>
      </c>
      <c r="J30" s="11">
        <f t="shared" si="16"/>
        <v>0.36520453432116839</v>
      </c>
      <c r="K30" s="11">
        <f t="shared" si="16"/>
        <v>1.5264491183550744</v>
      </c>
      <c r="L30" s="11">
        <f t="shared" si="16"/>
        <v>3.12989320852546</v>
      </c>
      <c r="M30" s="11" t="str">
        <f t="shared" si="16"/>
        <v/>
      </c>
      <c r="N30" s="11" t="str">
        <f t="shared" si="16"/>
        <v/>
      </c>
      <c r="O30" s="11" t="str">
        <f t="shared" si="16"/>
        <v/>
      </c>
      <c r="P30" s="11" t="str">
        <f t="shared" si="16"/>
        <v/>
      </c>
      <c r="Q30" s="11" t="str">
        <f t="shared" si="16"/>
        <v/>
      </c>
      <c r="R30" s="11" t="str">
        <f t="shared" si="16"/>
        <v/>
      </c>
      <c r="S30" s="11" t="str">
        <f t="shared" si="16"/>
        <v/>
      </c>
      <c r="T30" s="11" t="str">
        <f t="shared" si="16"/>
        <v/>
      </c>
      <c r="U30" s="11" t="str">
        <f t="shared" si="16"/>
        <v/>
      </c>
      <c r="V30" s="11" t="str">
        <f t="shared" si="16"/>
        <v/>
      </c>
      <c r="W30" s="11" t="str">
        <f t="shared" si="16"/>
        <v/>
      </c>
      <c r="X30" s="11" t="str">
        <f t="shared" si="16"/>
        <v/>
      </c>
      <c r="Y30" s="11" t="str">
        <f t="shared" si="16"/>
        <v/>
      </c>
      <c r="Z30" s="11" t="str">
        <f t="shared" si="16"/>
        <v/>
      </c>
      <c r="AA30" s="11" t="str">
        <f t="shared" si="16"/>
        <v/>
      </c>
      <c r="AB30" s="11" t="str">
        <f t="shared" si="16"/>
        <v/>
      </c>
      <c r="AC30" s="11" t="str">
        <f t="shared" si="16"/>
        <v/>
      </c>
      <c r="AD30" s="6"/>
      <c r="AE30" s="11">
        <f t="shared" ref="AE30:BA30" si="17">IF(AE7="","",(AE7/$AE$23))</f>
        <v>2.0381898057932353</v>
      </c>
      <c r="AF30" s="11">
        <f t="shared" si="17"/>
        <v>5.4581687571514363</v>
      </c>
      <c r="AG30" s="11">
        <f t="shared" si="17"/>
        <v>0.12077687171776459</v>
      </c>
      <c r="AH30" s="11">
        <f t="shared" si="17"/>
        <v>0.80207466053669951</v>
      </c>
      <c r="AI30" s="11">
        <f t="shared" si="17"/>
        <v>2.7192639120713644</v>
      </c>
      <c r="AJ30" s="11">
        <f t="shared" si="17"/>
        <v>0.10769109895362301</v>
      </c>
      <c r="AK30" s="11">
        <f t="shared" si="17"/>
        <v>3.5076326830154105</v>
      </c>
      <c r="AL30" s="11">
        <f t="shared" si="17"/>
        <v>4.7739681424978153</v>
      </c>
      <c r="AM30" s="11" t="str">
        <f t="shared" si="17"/>
        <v/>
      </c>
      <c r="AN30" s="11" t="str">
        <f t="shared" si="17"/>
        <v/>
      </c>
      <c r="AO30" s="11" t="str">
        <f t="shared" si="17"/>
        <v/>
      </c>
      <c r="AP30" s="11" t="str">
        <f t="shared" si="17"/>
        <v/>
      </c>
      <c r="AQ30" s="11" t="str">
        <f t="shared" si="17"/>
        <v/>
      </c>
      <c r="AR30" s="11" t="str">
        <f t="shared" si="17"/>
        <v/>
      </c>
      <c r="AS30" s="11" t="str">
        <f t="shared" si="17"/>
        <v/>
      </c>
      <c r="AT30" s="11" t="str">
        <f t="shared" si="17"/>
        <v/>
      </c>
      <c r="AU30" s="11" t="str">
        <f t="shared" si="17"/>
        <v/>
      </c>
      <c r="AV30" s="11" t="str">
        <f t="shared" si="17"/>
        <v/>
      </c>
      <c r="AW30" s="11" t="str">
        <f t="shared" si="17"/>
        <v/>
      </c>
      <c r="AX30" s="11" t="str">
        <f t="shared" si="17"/>
        <v/>
      </c>
      <c r="AY30" s="11" t="str">
        <f t="shared" si="17"/>
        <v/>
      </c>
      <c r="AZ30" s="11" t="str">
        <f t="shared" si="17"/>
        <v/>
      </c>
      <c r="BA30" s="11" t="str">
        <f t="shared" si="17"/>
        <v/>
      </c>
    </row>
    <row r="31" spans="1:53" x14ac:dyDescent="0.35">
      <c r="A31" s="230"/>
      <c r="B31" s="11">
        <f t="shared" ref="B31:AC31" si="18">IF(B8="","",(B8/$AE$23))</f>
        <v>0.2941051460275334</v>
      </c>
      <c r="C31" s="11">
        <f t="shared" si="18"/>
        <v>0.23521217134018388</v>
      </c>
      <c r="D31" s="11">
        <f t="shared" si="18"/>
        <v>0.27045444537963714</v>
      </c>
      <c r="E31" s="11">
        <f t="shared" si="18"/>
        <v>3.7062026717376813</v>
      </c>
      <c r="F31" s="11">
        <f t="shared" si="18"/>
        <v>3.074364878087815</v>
      </c>
      <c r="G31" s="11">
        <f t="shared" si="18"/>
        <v>5.3896888634741336</v>
      </c>
      <c r="H31" s="11">
        <f t="shared" si="18"/>
        <v>5.8743651105647112</v>
      </c>
      <c r="I31" s="11">
        <f t="shared" si="18"/>
        <v>0.95442655971465051</v>
      </c>
      <c r="J31" s="11">
        <f t="shared" si="18"/>
        <v>0.63715753801521102</v>
      </c>
      <c r="K31" s="11">
        <f t="shared" si="18"/>
        <v>2.3950283836702662</v>
      </c>
      <c r="L31" s="11">
        <f t="shared" si="18"/>
        <v>5.090770528004434</v>
      </c>
      <c r="M31" s="11">
        <f t="shared" si="18"/>
        <v>4.1871678534127934</v>
      </c>
      <c r="N31" s="11" t="str">
        <f t="shared" si="18"/>
        <v/>
      </c>
      <c r="O31" s="11" t="str">
        <f t="shared" si="18"/>
        <v/>
      </c>
      <c r="P31" s="11" t="str">
        <f t="shared" si="18"/>
        <v/>
      </c>
      <c r="Q31" s="11" t="str">
        <f t="shared" si="18"/>
        <v/>
      </c>
      <c r="R31" s="11" t="str">
        <f t="shared" si="18"/>
        <v/>
      </c>
      <c r="S31" s="11" t="str">
        <f t="shared" si="18"/>
        <v/>
      </c>
      <c r="T31" s="11" t="str">
        <f t="shared" si="18"/>
        <v/>
      </c>
      <c r="U31" s="11" t="str">
        <f t="shared" si="18"/>
        <v/>
      </c>
      <c r="V31" s="11" t="str">
        <f t="shared" si="18"/>
        <v/>
      </c>
      <c r="W31" s="11" t="str">
        <f t="shared" si="18"/>
        <v/>
      </c>
      <c r="X31" s="11" t="str">
        <f t="shared" si="18"/>
        <v/>
      </c>
      <c r="Y31" s="11" t="str">
        <f t="shared" si="18"/>
        <v/>
      </c>
      <c r="Z31" s="11" t="str">
        <f t="shared" si="18"/>
        <v/>
      </c>
      <c r="AA31" s="11" t="str">
        <f t="shared" si="18"/>
        <v/>
      </c>
      <c r="AB31" s="11" t="str">
        <f t="shared" si="18"/>
        <v/>
      </c>
      <c r="AC31" s="11" t="str">
        <f t="shared" si="18"/>
        <v/>
      </c>
      <c r="AD31" s="6"/>
      <c r="AE31" s="11">
        <f t="shared" ref="AE31:BA31" si="19">IF(AE8="","",(AE8/$AE$23))</f>
        <v>1.458704050501568</v>
      </c>
      <c r="AF31" s="11">
        <f t="shared" si="19"/>
        <v>4.8032161832796465</v>
      </c>
      <c r="AG31" s="11">
        <f t="shared" si="19"/>
        <v>7.5734549375118157E-2</v>
      </c>
      <c r="AH31" s="11">
        <f t="shared" si="19"/>
        <v>2.7380610457107544</v>
      </c>
      <c r="AI31" s="11">
        <f t="shared" si="19"/>
        <v>4.0208815643235809</v>
      </c>
      <c r="AJ31" s="11">
        <f t="shared" si="19"/>
        <v>0.51756652789070456</v>
      </c>
      <c r="AK31" s="11">
        <f t="shared" si="19"/>
        <v>0.62589357351418851</v>
      </c>
      <c r="AL31" s="11">
        <f t="shared" si="19"/>
        <v>3.2376141318178568</v>
      </c>
      <c r="AM31" s="11" t="str">
        <f t="shared" si="19"/>
        <v/>
      </c>
      <c r="AN31" s="11" t="str">
        <f t="shared" si="19"/>
        <v/>
      </c>
      <c r="AO31" s="11" t="str">
        <f t="shared" si="19"/>
        <v/>
      </c>
      <c r="AP31" s="11" t="str">
        <f t="shared" si="19"/>
        <v/>
      </c>
      <c r="AQ31" s="11" t="str">
        <f t="shared" si="19"/>
        <v/>
      </c>
      <c r="AR31" s="11" t="str">
        <f t="shared" si="19"/>
        <v/>
      </c>
      <c r="AS31" s="11" t="str">
        <f t="shared" si="19"/>
        <v/>
      </c>
      <c r="AT31" s="11" t="str">
        <f t="shared" si="19"/>
        <v/>
      </c>
      <c r="AU31" s="11" t="str">
        <f t="shared" si="19"/>
        <v/>
      </c>
      <c r="AV31" s="11" t="str">
        <f t="shared" si="19"/>
        <v/>
      </c>
      <c r="AW31" s="11" t="str">
        <f t="shared" si="19"/>
        <v/>
      </c>
      <c r="AX31" s="11" t="str">
        <f t="shared" si="19"/>
        <v/>
      </c>
      <c r="AY31" s="11" t="str">
        <f t="shared" si="19"/>
        <v/>
      </c>
      <c r="AZ31" s="11" t="str">
        <f t="shared" si="19"/>
        <v/>
      </c>
      <c r="BA31" s="11" t="str">
        <f t="shared" si="19"/>
        <v/>
      </c>
    </row>
    <row r="32" spans="1:53" x14ac:dyDescent="0.35">
      <c r="A32" s="230"/>
      <c r="B32" s="11">
        <f t="shared" ref="B32:AC32" si="20">IF(B9="","",(B9/$AE$23))</f>
        <v>0.40893206215985622</v>
      </c>
      <c r="C32" s="11" t="str">
        <f t="shared" si="20"/>
        <v/>
      </c>
      <c r="D32" s="11">
        <f t="shared" si="20"/>
        <v>0.16897598561065891</v>
      </c>
      <c r="E32" s="11">
        <f t="shared" si="20"/>
        <v>0.29884859240056577</v>
      </c>
      <c r="F32" s="11">
        <f t="shared" si="20"/>
        <v>4.1561932128339292</v>
      </c>
      <c r="G32" s="11">
        <f t="shared" si="20"/>
        <v>6.4298732445719207</v>
      </c>
      <c r="H32" s="11">
        <f t="shared" si="20"/>
        <v>5.8144507669833434</v>
      </c>
      <c r="I32" s="11">
        <f t="shared" si="20"/>
        <v>0.66466888460842499</v>
      </c>
      <c r="J32" s="11">
        <f t="shared" si="20"/>
        <v>0.52756043439592959</v>
      </c>
      <c r="K32" s="11">
        <f t="shared" si="20"/>
        <v>2.6269649249410865</v>
      </c>
      <c r="L32" s="11">
        <f t="shared" si="20"/>
        <v>1.8619394345375722</v>
      </c>
      <c r="M32" s="11">
        <f t="shared" si="20"/>
        <v>2.1716160972570768</v>
      </c>
      <c r="N32" s="11" t="str">
        <f t="shared" si="20"/>
        <v/>
      </c>
      <c r="O32" s="11" t="str">
        <f t="shared" si="20"/>
        <v/>
      </c>
      <c r="P32" s="11" t="str">
        <f t="shared" si="20"/>
        <v/>
      </c>
      <c r="Q32" s="11" t="str">
        <f t="shared" si="20"/>
        <v/>
      </c>
      <c r="R32" s="11" t="str">
        <f t="shared" si="20"/>
        <v/>
      </c>
      <c r="S32" s="11" t="str">
        <f t="shared" si="20"/>
        <v/>
      </c>
      <c r="T32" s="11" t="str">
        <f t="shared" si="20"/>
        <v/>
      </c>
      <c r="U32" s="11" t="str">
        <f t="shared" si="20"/>
        <v/>
      </c>
      <c r="V32" s="11" t="str">
        <f t="shared" si="20"/>
        <v/>
      </c>
      <c r="W32" s="11" t="str">
        <f t="shared" si="20"/>
        <v/>
      </c>
      <c r="X32" s="11" t="str">
        <f t="shared" si="20"/>
        <v/>
      </c>
      <c r="Y32" s="11" t="str">
        <f t="shared" si="20"/>
        <v/>
      </c>
      <c r="Z32" s="11" t="str">
        <f t="shared" si="20"/>
        <v/>
      </c>
      <c r="AA32" s="11" t="str">
        <f t="shared" si="20"/>
        <v/>
      </c>
      <c r="AB32" s="11" t="str">
        <f t="shared" si="20"/>
        <v/>
      </c>
      <c r="AC32" s="11" t="str">
        <f t="shared" si="20"/>
        <v/>
      </c>
      <c r="AD32" s="6"/>
      <c r="AE32" s="11">
        <f t="shared" ref="AE32:BA32" si="21">IF(AE9="","",(AE9/$AE$23))</f>
        <v>0.46433100085081952</v>
      </c>
      <c r="AF32" s="11">
        <f t="shared" si="21"/>
        <v>2.5820269877841495</v>
      </c>
      <c r="AG32" s="11">
        <f t="shared" si="21"/>
        <v>0.38222459620560079</v>
      </c>
      <c r="AH32" s="11">
        <f t="shared" si="21"/>
        <v>0.16625646475043809</v>
      </c>
      <c r="AI32" s="11">
        <f t="shared" si="21"/>
        <v>3.6291686988639724</v>
      </c>
      <c r="AJ32" s="11">
        <f t="shared" si="21"/>
        <v>2.5221314564780077</v>
      </c>
      <c r="AK32" s="11">
        <f t="shared" si="21"/>
        <v>0.26963129362947075</v>
      </c>
      <c r="AL32" s="11">
        <f t="shared" si="21"/>
        <v>1.4177453683910737</v>
      </c>
      <c r="AM32" s="11" t="str">
        <f t="shared" si="21"/>
        <v/>
      </c>
      <c r="AN32" s="11" t="str">
        <f t="shared" si="21"/>
        <v/>
      </c>
      <c r="AO32" s="11" t="str">
        <f t="shared" si="21"/>
        <v/>
      </c>
      <c r="AP32" s="11" t="str">
        <f t="shared" si="21"/>
        <v/>
      </c>
      <c r="AQ32" s="11" t="str">
        <f t="shared" si="21"/>
        <v/>
      </c>
      <c r="AR32" s="11" t="str">
        <f t="shared" si="21"/>
        <v/>
      </c>
      <c r="AS32" s="11" t="str">
        <f t="shared" si="21"/>
        <v/>
      </c>
      <c r="AT32" s="11" t="str">
        <f t="shared" si="21"/>
        <v/>
      </c>
      <c r="AU32" s="11" t="str">
        <f t="shared" si="21"/>
        <v/>
      </c>
      <c r="AV32" s="11" t="str">
        <f t="shared" si="21"/>
        <v/>
      </c>
      <c r="AW32" s="11" t="str">
        <f t="shared" si="21"/>
        <v/>
      </c>
      <c r="AX32" s="11" t="str">
        <f t="shared" si="21"/>
        <v/>
      </c>
      <c r="AY32" s="11" t="str">
        <f t="shared" si="21"/>
        <v/>
      </c>
      <c r="AZ32" s="11" t="str">
        <f t="shared" si="21"/>
        <v/>
      </c>
      <c r="BA32" s="11" t="str">
        <f t="shared" si="21"/>
        <v/>
      </c>
    </row>
    <row r="33" spans="1:53" x14ac:dyDescent="0.35">
      <c r="A33" s="230"/>
      <c r="B33" s="11">
        <f t="shared" ref="B33:AC33" si="22">IF(B10="","",(B10/$AE$23))</f>
        <v>0.17214195388052958</v>
      </c>
      <c r="C33" s="11">
        <f t="shared" si="22"/>
        <v>0.7546447851661876</v>
      </c>
      <c r="D33" s="11">
        <f t="shared" si="22"/>
        <v>0.17650869591304544</v>
      </c>
      <c r="E33" s="11">
        <f t="shared" si="22"/>
        <v>0.17790768681954336</v>
      </c>
      <c r="F33" s="11">
        <f t="shared" si="22"/>
        <v>2.0239778201133838</v>
      </c>
      <c r="G33" s="11">
        <f t="shared" si="22"/>
        <v>4.157393986596575</v>
      </c>
      <c r="H33" s="11">
        <f t="shared" si="22"/>
        <v>5.5408799076197992</v>
      </c>
      <c r="I33" s="11">
        <f t="shared" si="22"/>
        <v>0.47944597574155579</v>
      </c>
      <c r="J33" s="11">
        <f t="shared" si="22"/>
        <v>1.8984171244562467</v>
      </c>
      <c r="K33" s="11">
        <f t="shared" si="22"/>
        <v>0.37448403320375756</v>
      </c>
      <c r="L33" s="11">
        <f t="shared" si="22"/>
        <v>5.3587637771812329</v>
      </c>
      <c r="M33" s="11">
        <f t="shared" si="22"/>
        <v>4.6496130383811254</v>
      </c>
      <c r="N33" s="11" t="str">
        <f t="shared" si="22"/>
        <v/>
      </c>
      <c r="O33" s="11" t="str">
        <f t="shared" si="22"/>
        <v/>
      </c>
      <c r="P33" s="11" t="str">
        <f t="shared" si="22"/>
        <v/>
      </c>
      <c r="Q33" s="11" t="str">
        <f t="shared" si="22"/>
        <v/>
      </c>
      <c r="R33" s="11" t="str">
        <f t="shared" si="22"/>
        <v/>
      </c>
      <c r="S33" s="11" t="str">
        <f t="shared" si="22"/>
        <v/>
      </c>
      <c r="T33" s="11" t="str">
        <f t="shared" si="22"/>
        <v/>
      </c>
      <c r="U33" s="11" t="str">
        <f t="shared" si="22"/>
        <v/>
      </c>
      <c r="V33" s="11" t="str">
        <f t="shared" si="22"/>
        <v/>
      </c>
      <c r="W33" s="11" t="str">
        <f t="shared" si="22"/>
        <v/>
      </c>
      <c r="X33" s="11" t="str">
        <f t="shared" si="22"/>
        <v/>
      </c>
      <c r="Y33" s="11" t="str">
        <f t="shared" si="22"/>
        <v/>
      </c>
      <c r="Z33" s="11" t="str">
        <f t="shared" si="22"/>
        <v/>
      </c>
      <c r="AA33" s="11" t="str">
        <f t="shared" si="22"/>
        <v/>
      </c>
      <c r="AB33" s="11" t="str">
        <f t="shared" si="22"/>
        <v/>
      </c>
      <c r="AC33" s="11" t="str">
        <f t="shared" si="22"/>
        <v/>
      </c>
      <c r="AD33" s="6"/>
      <c r="AE33" s="11">
        <f t="shared" ref="AE33:BA33" si="23">IF(AE10="","",(AE10/$AE$23))</f>
        <v>2.8204840471829602</v>
      </c>
      <c r="AF33" s="11">
        <f t="shared" si="23"/>
        <v>4.1185493912691866</v>
      </c>
      <c r="AG33" s="11">
        <f t="shared" si="23"/>
        <v>4.422398837028204E-2</v>
      </c>
      <c r="AH33" s="11">
        <f t="shared" si="23"/>
        <v>0.56458941574594468</v>
      </c>
      <c r="AI33" s="11">
        <f t="shared" si="23"/>
        <v>3.7425365165762678</v>
      </c>
      <c r="AJ33" s="11">
        <f t="shared" si="23"/>
        <v>5.4307367891829599E-2</v>
      </c>
      <c r="AK33" s="11">
        <f t="shared" si="23"/>
        <v>0.46586947789558425</v>
      </c>
      <c r="AL33" s="11">
        <f t="shared" si="23"/>
        <v>2.1587434538061752</v>
      </c>
      <c r="AM33" s="11" t="str">
        <f t="shared" si="23"/>
        <v/>
      </c>
      <c r="AN33" s="11" t="str">
        <f t="shared" si="23"/>
        <v/>
      </c>
      <c r="AO33" s="11" t="str">
        <f t="shared" si="23"/>
        <v/>
      </c>
      <c r="AP33" s="11" t="str">
        <f t="shared" si="23"/>
        <v/>
      </c>
      <c r="AQ33" s="11" t="str">
        <f t="shared" si="23"/>
        <v/>
      </c>
      <c r="AR33" s="11" t="str">
        <f t="shared" si="23"/>
        <v/>
      </c>
      <c r="AS33" s="11" t="str">
        <f t="shared" si="23"/>
        <v/>
      </c>
      <c r="AT33" s="11" t="str">
        <f t="shared" si="23"/>
        <v/>
      </c>
      <c r="AU33" s="11" t="str">
        <f t="shared" si="23"/>
        <v/>
      </c>
      <c r="AV33" s="11" t="str">
        <f t="shared" si="23"/>
        <v/>
      </c>
      <c r="AW33" s="11" t="str">
        <f t="shared" si="23"/>
        <v/>
      </c>
      <c r="AX33" s="11" t="str">
        <f t="shared" si="23"/>
        <v/>
      </c>
      <c r="AY33" s="11" t="str">
        <f t="shared" si="23"/>
        <v/>
      </c>
      <c r="AZ33" s="11" t="str">
        <f t="shared" si="23"/>
        <v/>
      </c>
      <c r="BA33" s="11" t="str">
        <f t="shared" si="23"/>
        <v/>
      </c>
    </row>
    <row r="34" spans="1:53" x14ac:dyDescent="0.35">
      <c r="A34" s="230"/>
      <c r="B34" s="11">
        <f t="shared" ref="B34:AC34" si="24">IF(B11="","",(B11/$AE$23))</f>
        <v>0.14327153511117693</v>
      </c>
      <c r="C34" s="11">
        <f t="shared" si="24"/>
        <v>0.25444657566960116</v>
      </c>
      <c r="D34" s="11">
        <f t="shared" si="24"/>
        <v>0.91745722704218369</v>
      </c>
      <c r="E34" s="11">
        <f t="shared" si="24"/>
        <v>1.7004172394405435</v>
      </c>
      <c r="F34" s="11">
        <f t="shared" si="24"/>
        <v>3.7501990774613172</v>
      </c>
      <c r="G34" s="11" t="str">
        <f t="shared" si="24"/>
        <v/>
      </c>
      <c r="H34" s="11">
        <f t="shared" si="24"/>
        <v>7.192884445018227</v>
      </c>
      <c r="I34" s="11">
        <f t="shared" si="24"/>
        <v>0.19195082085833495</v>
      </c>
      <c r="J34" s="11">
        <f t="shared" si="24"/>
        <v>0.24864000632826583</v>
      </c>
      <c r="K34" s="11">
        <f t="shared" si="24"/>
        <v>0.23623445790616529</v>
      </c>
      <c r="L34" s="11">
        <f t="shared" si="24"/>
        <v>0.25117140443621894</v>
      </c>
      <c r="M34" s="11">
        <f t="shared" si="24"/>
        <v>3.3207818240874545</v>
      </c>
      <c r="N34" s="11" t="str">
        <f t="shared" si="24"/>
        <v/>
      </c>
      <c r="O34" s="11" t="str">
        <f t="shared" si="24"/>
        <v/>
      </c>
      <c r="P34" s="11" t="str">
        <f t="shared" si="24"/>
        <v/>
      </c>
      <c r="Q34" s="11" t="str">
        <f t="shared" si="24"/>
        <v/>
      </c>
      <c r="R34" s="11" t="str">
        <f t="shared" si="24"/>
        <v/>
      </c>
      <c r="S34" s="11" t="str">
        <f t="shared" si="24"/>
        <v/>
      </c>
      <c r="T34" s="11" t="str">
        <f t="shared" si="24"/>
        <v/>
      </c>
      <c r="U34" s="11" t="str">
        <f t="shared" si="24"/>
        <v/>
      </c>
      <c r="V34" s="11" t="str">
        <f t="shared" si="24"/>
        <v/>
      </c>
      <c r="W34" s="11" t="str">
        <f t="shared" si="24"/>
        <v/>
      </c>
      <c r="X34" s="11" t="str">
        <f t="shared" si="24"/>
        <v/>
      </c>
      <c r="Y34" s="11" t="str">
        <f t="shared" si="24"/>
        <v/>
      </c>
      <c r="Z34" s="11" t="str">
        <f t="shared" si="24"/>
        <v/>
      </c>
      <c r="AA34" s="11" t="str">
        <f t="shared" si="24"/>
        <v/>
      </c>
      <c r="AB34" s="11" t="str">
        <f t="shared" si="24"/>
        <v/>
      </c>
      <c r="AC34" s="11" t="str">
        <f t="shared" si="24"/>
        <v/>
      </c>
      <c r="AD34" s="6"/>
      <c r="AE34" s="11">
        <f t="shared" ref="AE34:BA34" si="25">IF(AE11="","",(AE11/$AE$23))</f>
        <v>3.4170433187508627E-2</v>
      </c>
      <c r="AF34" s="11">
        <f t="shared" si="25"/>
        <v>5.0502383339384105</v>
      </c>
      <c r="AG34" s="11">
        <f t="shared" si="25"/>
        <v>0.11727847677955749</v>
      </c>
      <c r="AH34" s="11">
        <f t="shared" si="25"/>
        <v>0.60971639332711158</v>
      </c>
      <c r="AI34" s="11">
        <f t="shared" si="25"/>
        <v>1.7082867353530873</v>
      </c>
      <c r="AJ34" s="11">
        <f t="shared" si="25"/>
        <v>4.4301513297655566</v>
      </c>
      <c r="AK34" s="11">
        <f t="shared" si="25"/>
        <v>1.2651452389473254</v>
      </c>
      <c r="AL34" s="11">
        <f t="shared" si="25"/>
        <v>2.5970524896585632</v>
      </c>
      <c r="AM34" s="11" t="str">
        <f t="shared" si="25"/>
        <v/>
      </c>
      <c r="AN34" s="11" t="str">
        <f t="shared" si="25"/>
        <v/>
      </c>
      <c r="AO34" s="11" t="str">
        <f t="shared" si="25"/>
        <v/>
      </c>
      <c r="AP34" s="11" t="str">
        <f t="shared" si="25"/>
        <v/>
      </c>
      <c r="AQ34" s="11" t="str">
        <f t="shared" si="25"/>
        <v/>
      </c>
      <c r="AR34" s="11" t="str">
        <f t="shared" si="25"/>
        <v/>
      </c>
      <c r="AS34" s="11" t="str">
        <f t="shared" si="25"/>
        <v/>
      </c>
      <c r="AT34" s="11" t="str">
        <f t="shared" si="25"/>
        <v/>
      </c>
      <c r="AU34" s="11" t="str">
        <f t="shared" si="25"/>
        <v/>
      </c>
      <c r="AV34" s="11" t="str">
        <f t="shared" si="25"/>
        <v/>
      </c>
      <c r="AW34" s="11" t="str">
        <f t="shared" si="25"/>
        <v/>
      </c>
      <c r="AX34" s="11" t="str">
        <f t="shared" si="25"/>
        <v/>
      </c>
      <c r="AY34" s="11" t="str">
        <f t="shared" si="25"/>
        <v/>
      </c>
      <c r="AZ34" s="11" t="str">
        <f t="shared" si="25"/>
        <v/>
      </c>
      <c r="BA34" s="11" t="str">
        <f t="shared" si="25"/>
        <v/>
      </c>
    </row>
    <row r="35" spans="1:53" x14ac:dyDescent="0.35">
      <c r="A35" s="230"/>
      <c r="B35" s="11">
        <f t="shared" ref="B35:AC35" si="26">IF(B12="","",(B12/$AE$23))</f>
        <v>0.11436073877548392</v>
      </c>
      <c r="C35" s="11">
        <f t="shared" si="26"/>
        <v>9.2665597079209197E-2</v>
      </c>
      <c r="D35" s="11">
        <f t="shared" si="26"/>
        <v>0.21267368911057261</v>
      </c>
      <c r="E35" s="11">
        <f t="shared" si="26"/>
        <v>3.1219929706021796</v>
      </c>
      <c r="F35" s="11">
        <f t="shared" si="26"/>
        <v>3.656233139211555</v>
      </c>
      <c r="G35" s="11">
        <f t="shared" si="26"/>
        <v>2.0104013222674126</v>
      </c>
      <c r="H35" s="11">
        <f t="shared" si="26"/>
        <v>5.385322121441618</v>
      </c>
      <c r="I35" s="11">
        <f t="shared" si="26"/>
        <v>6.7169458115165101E-2</v>
      </c>
      <c r="J35" s="11">
        <f t="shared" si="26"/>
        <v>0.47645895350432999</v>
      </c>
      <c r="K35" s="11">
        <f t="shared" si="26"/>
        <v>2.7775016689776448</v>
      </c>
      <c r="L35" s="11">
        <f t="shared" si="26"/>
        <v>2.3335943753193593</v>
      </c>
      <c r="M35" s="11">
        <f t="shared" si="26"/>
        <v>4.9173686105196923</v>
      </c>
      <c r="N35" s="11" t="str">
        <f t="shared" si="26"/>
        <v/>
      </c>
      <c r="O35" s="11" t="str">
        <f t="shared" si="26"/>
        <v/>
      </c>
      <c r="P35" s="11" t="str">
        <f t="shared" si="26"/>
        <v/>
      </c>
      <c r="Q35" s="11" t="str">
        <f t="shared" si="26"/>
        <v/>
      </c>
      <c r="R35" s="11" t="str">
        <f t="shared" si="26"/>
        <v/>
      </c>
      <c r="S35" s="11" t="str">
        <f t="shared" si="26"/>
        <v/>
      </c>
      <c r="T35" s="11" t="str">
        <f t="shared" si="26"/>
        <v/>
      </c>
      <c r="U35" s="11" t="str">
        <f t="shared" si="26"/>
        <v/>
      </c>
      <c r="V35" s="11" t="str">
        <f t="shared" si="26"/>
        <v/>
      </c>
      <c r="W35" s="11" t="str">
        <f t="shared" si="26"/>
        <v/>
      </c>
      <c r="X35" s="11" t="str">
        <f t="shared" si="26"/>
        <v/>
      </c>
      <c r="Y35" s="11" t="str">
        <f t="shared" si="26"/>
        <v/>
      </c>
      <c r="Z35" s="11" t="str">
        <f t="shared" si="26"/>
        <v/>
      </c>
      <c r="AA35" s="11" t="str">
        <f t="shared" si="26"/>
        <v/>
      </c>
      <c r="AB35" s="11" t="str">
        <f t="shared" si="26"/>
        <v/>
      </c>
      <c r="AC35" s="11" t="str">
        <f t="shared" si="26"/>
        <v/>
      </c>
      <c r="AD35" s="6"/>
      <c r="AE35" s="11">
        <f t="shared" ref="AE35:BA35" si="27">IF(AE12="","",(AE12/$AE$23))</f>
        <v>0.66722918938318998</v>
      </c>
      <c r="AF35" s="11">
        <f t="shared" si="27"/>
        <v>4.6462786773061753</v>
      </c>
      <c r="AG35" s="11">
        <f t="shared" si="27"/>
        <v>0.27217140962106556</v>
      </c>
      <c r="AH35" s="11">
        <f t="shared" si="27"/>
        <v>1.3239083630520123</v>
      </c>
      <c r="AI35" s="11">
        <f t="shared" si="27"/>
        <v>0.40810845157370873</v>
      </c>
      <c r="AJ35" s="11">
        <f t="shared" si="27"/>
        <v>0.67202264887816665</v>
      </c>
      <c r="AK35" s="11">
        <f t="shared" si="27"/>
        <v>3.3271539087755455</v>
      </c>
      <c r="AL35" s="11">
        <f t="shared" si="27"/>
        <v>0.14097873171341699</v>
      </c>
      <c r="AM35" s="11" t="str">
        <f t="shared" si="27"/>
        <v/>
      </c>
      <c r="AN35" s="11" t="str">
        <f t="shared" si="27"/>
        <v/>
      </c>
      <c r="AO35" s="11" t="str">
        <f t="shared" si="27"/>
        <v/>
      </c>
      <c r="AP35" s="11" t="str">
        <f t="shared" si="27"/>
        <v/>
      </c>
      <c r="AQ35" s="11" t="str">
        <f t="shared" si="27"/>
        <v/>
      </c>
      <c r="AR35" s="11" t="str">
        <f t="shared" si="27"/>
        <v/>
      </c>
      <c r="AS35" s="11" t="str">
        <f t="shared" si="27"/>
        <v/>
      </c>
      <c r="AT35" s="11" t="str">
        <f t="shared" si="27"/>
        <v/>
      </c>
      <c r="AU35" s="11" t="str">
        <f t="shared" si="27"/>
        <v/>
      </c>
      <c r="AV35" s="11" t="str">
        <f t="shared" si="27"/>
        <v/>
      </c>
      <c r="AW35" s="11" t="str">
        <f t="shared" si="27"/>
        <v/>
      </c>
      <c r="AX35" s="11" t="str">
        <f t="shared" si="27"/>
        <v/>
      </c>
      <c r="AY35" s="11" t="str">
        <f t="shared" si="27"/>
        <v/>
      </c>
      <c r="AZ35" s="11" t="str">
        <f t="shared" si="27"/>
        <v/>
      </c>
      <c r="BA35" s="11" t="str">
        <f t="shared" si="27"/>
        <v/>
      </c>
    </row>
    <row r="36" spans="1:53" s="1" customFormat="1" x14ac:dyDescent="0.35">
      <c r="A36" s="230"/>
      <c r="B36" s="11" t="str">
        <f t="shared" ref="B36:AC36" si="28">IF(B13="","",(B13/$AE$23))</f>
        <v/>
      </c>
      <c r="C36" s="11" t="str">
        <f t="shared" si="28"/>
        <v/>
      </c>
      <c r="D36" s="11" t="str">
        <f t="shared" si="28"/>
        <v/>
      </c>
      <c r="E36" s="11" t="str">
        <f t="shared" si="28"/>
        <v/>
      </c>
      <c r="F36" s="11" t="str">
        <f t="shared" si="28"/>
        <v/>
      </c>
      <c r="G36" s="11" t="str">
        <f t="shared" si="28"/>
        <v/>
      </c>
      <c r="H36" s="11" t="str">
        <f t="shared" si="28"/>
        <v/>
      </c>
      <c r="I36" s="11" t="str">
        <f t="shared" si="28"/>
        <v/>
      </c>
      <c r="J36" s="11" t="str">
        <f t="shared" si="28"/>
        <v/>
      </c>
      <c r="K36" s="11" t="str">
        <f t="shared" si="28"/>
        <v/>
      </c>
      <c r="L36" s="11" t="str">
        <f t="shared" si="28"/>
        <v/>
      </c>
      <c r="M36" s="11" t="str">
        <f t="shared" si="28"/>
        <v/>
      </c>
      <c r="N36" s="11" t="str">
        <f t="shared" si="28"/>
        <v/>
      </c>
      <c r="O36" s="11" t="str">
        <f t="shared" si="28"/>
        <v/>
      </c>
      <c r="P36" s="11" t="str">
        <f t="shared" si="28"/>
        <v/>
      </c>
      <c r="Q36" s="11" t="str">
        <f t="shared" si="28"/>
        <v/>
      </c>
      <c r="R36" s="11" t="str">
        <f t="shared" si="28"/>
        <v/>
      </c>
      <c r="S36" s="11" t="str">
        <f t="shared" si="28"/>
        <v/>
      </c>
      <c r="T36" s="11" t="str">
        <f t="shared" si="28"/>
        <v/>
      </c>
      <c r="U36" s="11" t="str">
        <f t="shared" si="28"/>
        <v/>
      </c>
      <c r="V36" s="11" t="str">
        <f t="shared" si="28"/>
        <v/>
      </c>
      <c r="W36" s="11" t="str">
        <f t="shared" si="28"/>
        <v/>
      </c>
      <c r="X36" s="11" t="str">
        <f t="shared" si="28"/>
        <v/>
      </c>
      <c r="Y36" s="11" t="str">
        <f t="shared" si="28"/>
        <v/>
      </c>
      <c r="Z36" s="11" t="str">
        <f t="shared" si="28"/>
        <v/>
      </c>
      <c r="AA36" s="11" t="str">
        <f t="shared" si="28"/>
        <v/>
      </c>
      <c r="AB36" s="11" t="str">
        <f t="shared" si="28"/>
        <v/>
      </c>
      <c r="AC36" s="11" t="str">
        <f t="shared" si="28"/>
        <v/>
      </c>
      <c r="AD36" s="6"/>
      <c r="AE36" s="11">
        <f t="shared" ref="AE36:BA36" si="29">IF(AE13="","",(AE13/$AE$23))</f>
        <v>9.591094397381722E-2</v>
      </c>
      <c r="AF36" s="11" t="str">
        <f t="shared" si="29"/>
        <v/>
      </c>
      <c r="AG36" s="11" t="str">
        <f t="shared" si="29"/>
        <v/>
      </c>
      <c r="AH36" s="11" t="str">
        <f t="shared" si="29"/>
        <v/>
      </c>
      <c r="AI36" s="11" t="str">
        <f t="shared" si="29"/>
        <v/>
      </c>
      <c r="AJ36" s="11" t="str">
        <f t="shared" si="29"/>
        <v/>
      </c>
      <c r="AK36" s="11" t="str">
        <f t="shared" si="29"/>
        <v/>
      </c>
      <c r="AL36" s="11" t="str">
        <f t="shared" si="29"/>
        <v/>
      </c>
      <c r="AM36" s="11" t="str">
        <f t="shared" si="29"/>
        <v/>
      </c>
      <c r="AN36" s="11" t="str">
        <f t="shared" si="29"/>
        <v/>
      </c>
      <c r="AO36" s="11" t="str">
        <f t="shared" si="29"/>
        <v/>
      </c>
      <c r="AP36" s="11" t="str">
        <f t="shared" si="29"/>
        <v/>
      </c>
      <c r="AQ36" s="11" t="str">
        <f t="shared" si="29"/>
        <v/>
      </c>
      <c r="AR36" s="11" t="str">
        <f t="shared" si="29"/>
        <v/>
      </c>
      <c r="AS36" s="11" t="str">
        <f t="shared" si="29"/>
        <v/>
      </c>
      <c r="AT36" s="11" t="str">
        <f t="shared" si="29"/>
        <v/>
      </c>
      <c r="AU36" s="11" t="str">
        <f t="shared" si="29"/>
        <v/>
      </c>
      <c r="AV36" s="11" t="str">
        <f t="shared" si="29"/>
        <v/>
      </c>
      <c r="AW36" s="11" t="str">
        <f t="shared" si="29"/>
        <v/>
      </c>
      <c r="AX36" s="11" t="str">
        <f t="shared" si="29"/>
        <v/>
      </c>
      <c r="AY36" s="11" t="str">
        <f t="shared" si="29"/>
        <v/>
      </c>
      <c r="AZ36" s="11" t="str">
        <f t="shared" si="29"/>
        <v/>
      </c>
      <c r="BA36" s="11" t="str">
        <f t="shared" si="29"/>
        <v/>
      </c>
    </row>
    <row r="37" spans="1:53" s="1" customFormat="1" x14ac:dyDescent="0.35">
      <c r="A37" s="230"/>
      <c r="B37" s="11" t="str">
        <f t="shared" ref="B37:AC37" si="30">IF(B14="","",(B14/$AE$23))</f>
        <v/>
      </c>
      <c r="C37" s="11" t="str">
        <f t="shared" si="30"/>
        <v/>
      </c>
      <c r="D37" s="11" t="str">
        <f t="shared" si="30"/>
        <v/>
      </c>
      <c r="E37" s="11" t="str">
        <f t="shared" si="30"/>
        <v/>
      </c>
      <c r="F37" s="11" t="str">
        <f t="shared" si="30"/>
        <v/>
      </c>
      <c r="G37" s="11" t="str">
        <f t="shared" si="30"/>
        <v/>
      </c>
      <c r="H37" s="11" t="str">
        <f t="shared" si="30"/>
        <v/>
      </c>
      <c r="I37" s="11" t="str">
        <f t="shared" si="30"/>
        <v/>
      </c>
      <c r="J37" s="11" t="str">
        <f t="shared" si="30"/>
        <v/>
      </c>
      <c r="K37" s="11" t="str">
        <f t="shared" si="30"/>
        <v/>
      </c>
      <c r="L37" s="11" t="str">
        <f t="shared" si="30"/>
        <v/>
      </c>
      <c r="M37" s="11" t="str">
        <f t="shared" si="30"/>
        <v/>
      </c>
      <c r="N37" s="11" t="str">
        <f t="shared" si="30"/>
        <v/>
      </c>
      <c r="O37" s="11" t="str">
        <f t="shared" si="30"/>
        <v/>
      </c>
      <c r="P37" s="11" t="str">
        <f t="shared" si="30"/>
        <v/>
      </c>
      <c r="Q37" s="11" t="str">
        <f t="shared" si="30"/>
        <v/>
      </c>
      <c r="R37" s="11" t="str">
        <f t="shared" si="30"/>
        <v/>
      </c>
      <c r="S37" s="11" t="str">
        <f t="shared" si="30"/>
        <v/>
      </c>
      <c r="T37" s="11" t="str">
        <f t="shared" si="30"/>
        <v/>
      </c>
      <c r="U37" s="11" t="str">
        <f t="shared" si="30"/>
        <v/>
      </c>
      <c r="V37" s="11" t="str">
        <f t="shared" si="30"/>
        <v/>
      </c>
      <c r="W37" s="11" t="str">
        <f t="shared" si="30"/>
        <v/>
      </c>
      <c r="X37" s="11" t="str">
        <f t="shared" si="30"/>
        <v/>
      </c>
      <c r="Y37" s="11" t="str">
        <f t="shared" si="30"/>
        <v/>
      </c>
      <c r="Z37" s="11" t="str">
        <f t="shared" si="30"/>
        <v/>
      </c>
      <c r="AA37" s="11" t="str">
        <f t="shared" si="30"/>
        <v/>
      </c>
      <c r="AB37" s="11" t="str">
        <f t="shared" si="30"/>
        <v/>
      </c>
      <c r="AC37" s="11" t="str">
        <f t="shared" si="30"/>
        <v/>
      </c>
      <c r="AD37" s="6"/>
      <c r="AE37" s="11">
        <f t="shared" ref="AE37:BA37" si="31">IF(AE14="","",(AE14/$AE$23))</f>
        <v>9.2824354328683883E-2</v>
      </c>
      <c r="AF37" s="11" t="str">
        <f t="shared" si="31"/>
        <v/>
      </c>
      <c r="AG37" s="11" t="str">
        <f t="shared" si="31"/>
        <v/>
      </c>
      <c r="AH37" s="11" t="str">
        <f t="shared" si="31"/>
        <v/>
      </c>
      <c r="AI37" s="11" t="str">
        <f t="shared" si="31"/>
        <v/>
      </c>
      <c r="AJ37" s="11" t="str">
        <f t="shared" si="31"/>
        <v/>
      </c>
      <c r="AK37" s="11" t="str">
        <f t="shared" si="31"/>
        <v/>
      </c>
      <c r="AL37" s="11" t="str">
        <f t="shared" si="31"/>
        <v/>
      </c>
      <c r="AM37" s="11" t="str">
        <f t="shared" si="31"/>
        <v/>
      </c>
      <c r="AN37" s="11" t="str">
        <f t="shared" si="31"/>
        <v/>
      </c>
      <c r="AO37" s="11" t="str">
        <f t="shared" si="31"/>
        <v/>
      </c>
      <c r="AP37" s="11" t="str">
        <f t="shared" si="31"/>
        <v/>
      </c>
      <c r="AQ37" s="11" t="str">
        <f t="shared" si="31"/>
        <v/>
      </c>
      <c r="AR37" s="11" t="str">
        <f t="shared" si="31"/>
        <v/>
      </c>
      <c r="AS37" s="11" t="str">
        <f t="shared" si="31"/>
        <v/>
      </c>
      <c r="AT37" s="11" t="str">
        <f t="shared" si="31"/>
        <v/>
      </c>
      <c r="AU37" s="11" t="str">
        <f t="shared" si="31"/>
        <v/>
      </c>
      <c r="AV37" s="11" t="str">
        <f t="shared" si="31"/>
        <v/>
      </c>
      <c r="AW37" s="11" t="str">
        <f t="shared" si="31"/>
        <v/>
      </c>
      <c r="AX37" s="11" t="str">
        <f t="shared" si="31"/>
        <v/>
      </c>
      <c r="AY37" s="11" t="str">
        <f t="shared" si="31"/>
        <v/>
      </c>
      <c r="AZ37" s="11" t="str">
        <f t="shared" si="31"/>
        <v/>
      </c>
      <c r="BA37" s="11" t="str">
        <f t="shared" si="31"/>
        <v/>
      </c>
    </row>
    <row r="38" spans="1:53" s="1" customFormat="1" x14ac:dyDescent="0.35">
      <c r="A38" s="230"/>
      <c r="B38" s="11" t="str">
        <f t="shared" ref="B38:J38" si="32">IF(B15="","",(B15/$AE$23))</f>
        <v/>
      </c>
      <c r="C38" s="11" t="str">
        <f t="shared" si="32"/>
        <v/>
      </c>
      <c r="D38" s="11" t="str">
        <f t="shared" si="32"/>
        <v/>
      </c>
      <c r="E38" s="11" t="str">
        <f t="shared" si="32"/>
        <v/>
      </c>
      <c r="F38" s="11" t="str">
        <f t="shared" si="32"/>
        <v/>
      </c>
      <c r="G38" s="11" t="str">
        <f t="shared" si="32"/>
        <v/>
      </c>
      <c r="H38" s="11" t="str">
        <f t="shared" si="32"/>
        <v/>
      </c>
      <c r="I38" s="11" t="str">
        <f t="shared" si="32"/>
        <v/>
      </c>
      <c r="J38" s="11" t="str">
        <f t="shared" si="32"/>
        <v/>
      </c>
      <c r="K38" s="11" t="str">
        <f t="shared" ref="K38:AC38" si="33">IF(K15="","",(K15/$AE$23))</f>
        <v/>
      </c>
      <c r="L38" s="11" t="str">
        <f t="shared" si="33"/>
        <v/>
      </c>
      <c r="M38" s="11" t="str">
        <f t="shared" si="33"/>
        <v/>
      </c>
      <c r="N38" s="11" t="str">
        <f t="shared" si="33"/>
        <v/>
      </c>
      <c r="O38" s="11" t="str">
        <f t="shared" si="33"/>
        <v/>
      </c>
      <c r="P38" s="11" t="str">
        <f t="shared" si="33"/>
        <v/>
      </c>
      <c r="Q38" s="11" t="str">
        <f t="shared" si="33"/>
        <v/>
      </c>
      <c r="R38" s="11" t="str">
        <f t="shared" si="33"/>
        <v/>
      </c>
      <c r="S38" s="11" t="str">
        <f t="shared" si="33"/>
        <v/>
      </c>
      <c r="T38" s="11" t="str">
        <f t="shared" si="33"/>
        <v/>
      </c>
      <c r="U38" s="11" t="str">
        <f t="shared" si="33"/>
        <v/>
      </c>
      <c r="V38" s="11" t="str">
        <f t="shared" si="33"/>
        <v/>
      </c>
      <c r="W38" s="11" t="str">
        <f t="shared" si="33"/>
        <v/>
      </c>
      <c r="X38" s="11" t="str">
        <f t="shared" si="33"/>
        <v/>
      </c>
      <c r="Y38" s="11" t="str">
        <f t="shared" si="33"/>
        <v/>
      </c>
      <c r="Z38" s="11" t="str">
        <f t="shared" si="33"/>
        <v/>
      </c>
      <c r="AA38" s="11" t="str">
        <f t="shared" si="33"/>
        <v/>
      </c>
      <c r="AB38" s="11" t="str">
        <f t="shared" si="33"/>
        <v/>
      </c>
      <c r="AC38" s="11" t="str">
        <f t="shared" si="33"/>
        <v/>
      </c>
      <c r="AD38" s="6"/>
      <c r="AE38" s="11">
        <f t="shared" ref="AE38:AH38" si="34">IF(AE15="","",(AE15/$AE$23))</f>
        <v>2.4395496977563269</v>
      </c>
      <c r="AF38" s="11" t="str">
        <f t="shared" si="34"/>
        <v/>
      </c>
      <c r="AG38" s="11" t="str">
        <f t="shared" si="34"/>
        <v/>
      </c>
      <c r="AH38" s="11" t="str">
        <f t="shared" si="34"/>
        <v/>
      </c>
      <c r="AI38" s="11" t="str">
        <f t="shared" ref="AI38:BA38" si="35">IF(AI15="","",(AI15/$AE$23))</f>
        <v/>
      </c>
      <c r="AJ38" s="11" t="str">
        <f t="shared" si="35"/>
        <v/>
      </c>
      <c r="AK38" s="11" t="str">
        <f t="shared" si="35"/>
        <v/>
      </c>
      <c r="AL38" s="11" t="str">
        <f t="shared" si="35"/>
        <v/>
      </c>
      <c r="AM38" s="11" t="str">
        <f t="shared" si="35"/>
        <v/>
      </c>
      <c r="AN38" s="11" t="str">
        <f t="shared" si="35"/>
        <v/>
      </c>
      <c r="AO38" s="11" t="str">
        <f t="shared" si="35"/>
        <v/>
      </c>
      <c r="AP38" s="11" t="str">
        <f t="shared" si="35"/>
        <v/>
      </c>
      <c r="AQ38" s="11" t="str">
        <f t="shared" si="35"/>
        <v/>
      </c>
      <c r="AR38" s="11" t="str">
        <f t="shared" si="35"/>
        <v/>
      </c>
      <c r="AS38" s="11" t="str">
        <f t="shared" si="35"/>
        <v/>
      </c>
      <c r="AT38" s="11" t="str">
        <f t="shared" si="35"/>
        <v/>
      </c>
      <c r="AU38" s="11" t="str">
        <f t="shared" si="35"/>
        <v/>
      </c>
      <c r="AV38" s="11" t="str">
        <f t="shared" si="35"/>
        <v/>
      </c>
      <c r="AW38" s="11" t="str">
        <f t="shared" si="35"/>
        <v/>
      </c>
      <c r="AX38" s="11" t="str">
        <f t="shared" si="35"/>
        <v/>
      </c>
      <c r="AY38" s="11" t="str">
        <f t="shared" si="35"/>
        <v/>
      </c>
      <c r="AZ38" s="11" t="str">
        <f t="shared" si="35"/>
        <v/>
      </c>
      <c r="BA38" s="11" t="str">
        <f t="shared" si="35"/>
        <v/>
      </c>
    </row>
    <row r="39" spans="1:53" s="1" customFormat="1" x14ac:dyDescent="0.35">
      <c r="A39" s="230"/>
      <c r="B39" s="11" t="str">
        <f t="shared" ref="B39:J39" si="36">IF(B16="","",(B16/$AE$23))</f>
        <v/>
      </c>
      <c r="C39" s="11" t="str">
        <f t="shared" si="36"/>
        <v/>
      </c>
      <c r="D39" s="11" t="str">
        <f t="shared" si="36"/>
        <v/>
      </c>
      <c r="E39" s="11" t="str">
        <f t="shared" si="36"/>
        <v/>
      </c>
      <c r="F39" s="11" t="str">
        <f t="shared" si="36"/>
        <v/>
      </c>
      <c r="G39" s="11" t="str">
        <f t="shared" si="36"/>
        <v/>
      </c>
      <c r="H39" s="11" t="str">
        <f t="shared" si="36"/>
        <v/>
      </c>
      <c r="I39" s="11" t="str">
        <f t="shared" si="36"/>
        <v/>
      </c>
      <c r="J39" s="11" t="str">
        <f t="shared" si="36"/>
        <v/>
      </c>
      <c r="K39" s="11" t="str">
        <f t="shared" ref="K39:AC39" si="37">IF(K16="","",(K16/$AE$23))</f>
        <v/>
      </c>
      <c r="L39" s="11" t="str">
        <f t="shared" si="37"/>
        <v/>
      </c>
      <c r="M39" s="11" t="str">
        <f t="shared" si="37"/>
        <v/>
      </c>
      <c r="N39" s="11" t="str">
        <f t="shared" si="37"/>
        <v/>
      </c>
      <c r="O39" s="11" t="str">
        <f t="shared" si="37"/>
        <v/>
      </c>
      <c r="P39" s="11" t="str">
        <f t="shared" si="37"/>
        <v/>
      </c>
      <c r="Q39" s="11" t="str">
        <f t="shared" si="37"/>
        <v/>
      </c>
      <c r="R39" s="11" t="str">
        <f t="shared" si="37"/>
        <v/>
      </c>
      <c r="S39" s="11" t="str">
        <f t="shared" si="37"/>
        <v/>
      </c>
      <c r="T39" s="11" t="str">
        <f t="shared" si="37"/>
        <v/>
      </c>
      <c r="U39" s="11" t="str">
        <f t="shared" si="37"/>
        <v/>
      </c>
      <c r="V39" s="11" t="str">
        <f t="shared" si="37"/>
        <v/>
      </c>
      <c r="W39" s="11" t="str">
        <f t="shared" si="37"/>
        <v/>
      </c>
      <c r="X39" s="11" t="str">
        <f t="shared" si="37"/>
        <v/>
      </c>
      <c r="Y39" s="11" t="str">
        <f t="shared" si="37"/>
        <v/>
      </c>
      <c r="Z39" s="11" t="str">
        <f t="shared" si="37"/>
        <v/>
      </c>
      <c r="AA39" s="11" t="str">
        <f t="shared" si="37"/>
        <v/>
      </c>
      <c r="AB39" s="11" t="str">
        <f t="shared" si="37"/>
        <v/>
      </c>
      <c r="AC39" s="11" t="str">
        <f t="shared" si="37"/>
        <v/>
      </c>
      <c r="AD39" s="6"/>
      <c r="AE39" s="11" t="str">
        <f t="shared" ref="AE39:AH39" si="38">IF(AE16="","",(AE16/$AE$23))</f>
        <v/>
      </c>
      <c r="AF39" s="11" t="str">
        <f t="shared" si="38"/>
        <v/>
      </c>
      <c r="AG39" s="11" t="str">
        <f t="shared" si="38"/>
        <v/>
      </c>
      <c r="AH39" s="11" t="str">
        <f t="shared" si="38"/>
        <v/>
      </c>
      <c r="AI39" s="11" t="str">
        <f t="shared" ref="AI39:BA39" si="39">IF(AI16="","",(AI16/$AE$23))</f>
        <v/>
      </c>
      <c r="AJ39" s="11" t="str">
        <f t="shared" si="39"/>
        <v/>
      </c>
      <c r="AK39" s="11" t="str">
        <f t="shared" si="39"/>
        <v/>
      </c>
      <c r="AL39" s="11" t="str">
        <f t="shared" si="39"/>
        <v/>
      </c>
      <c r="AM39" s="11" t="str">
        <f t="shared" si="39"/>
        <v/>
      </c>
      <c r="AN39" s="11" t="str">
        <f t="shared" si="39"/>
        <v/>
      </c>
      <c r="AO39" s="11" t="str">
        <f t="shared" si="39"/>
        <v/>
      </c>
      <c r="AP39" s="11" t="str">
        <f t="shared" si="39"/>
        <v/>
      </c>
      <c r="AQ39" s="11" t="str">
        <f t="shared" si="39"/>
        <v/>
      </c>
      <c r="AR39" s="11" t="str">
        <f t="shared" si="39"/>
        <v/>
      </c>
      <c r="AS39" s="11" t="str">
        <f t="shared" si="39"/>
        <v/>
      </c>
      <c r="AT39" s="11" t="str">
        <f t="shared" si="39"/>
        <v/>
      </c>
      <c r="AU39" s="11" t="str">
        <f t="shared" si="39"/>
        <v/>
      </c>
      <c r="AV39" s="11" t="str">
        <f t="shared" si="39"/>
        <v/>
      </c>
      <c r="AW39" s="11" t="str">
        <f t="shared" si="39"/>
        <v/>
      </c>
      <c r="AX39" s="11" t="str">
        <f t="shared" si="39"/>
        <v/>
      </c>
      <c r="AY39" s="11" t="str">
        <f t="shared" si="39"/>
        <v/>
      </c>
      <c r="AZ39" s="11" t="str">
        <f t="shared" si="39"/>
        <v/>
      </c>
      <c r="BA39" s="11" t="str">
        <f t="shared" si="39"/>
        <v/>
      </c>
    </row>
    <row r="40" spans="1:53" s="1" customFormat="1" x14ac:dyDescent="0.35">
      <c r="A40" s="230"/>
      <c r="B40" s="11" t="str">
        <f t="shared" ref="B40:J40" si="40">IF(B17="","",(B17/$AE$23))</f>
        <v/>
      </c>
      <c r="C40" s="11" t="str">
        <f t="shared" si="40"/>
        <v/>
      </c>
      <c r="D40" s="11" t="str">
        <f t="shared" si="40"/>
        <v/>
      </c>
      <c r="E40" s="11" t="str">
        <f t="shared" si="40"/>
        <v/>
      </c>
      <c r="F40" s="11" t="str">
        <f t="shared" si="40"/>
        <v/>
      </c>
      <c r="G40" s="11" t="str">
        <f t="shared" si="40"/>
        <v/>
      </c>
      <c r="H40" s="11" t="str">
        <f t="shared" si="40"/>
        <v/>
      </c>
      <c r="I40" s="11" t="str">
        <f t="shared" si="40"/>
        <v/>
      </c>
      <c r="J40" s="11" t="str">
        <f t="shared" si="40"/>
        <v/>
      </c>
      <c r="K40" s="11" t="str">
        <f t="shared" ref="K40:AC40" si="41">IF(K17="","",(K17/$AE$23))</f>
        <v/>
      </c>
      <c r="L40" s="11" t="str">
        <f t="shared" si="41"/>
        <v/>
      </c>
      <c r="M40" s="11" t="str">
        <f t="shared" si="41"/>
        <v/>
      </c>
      <c r="N40" s="11" t="str">
        <f t="shared" si="41"/>
        <v/>
      </c>
      <c r="O40" s="11" t="str">
        <f t="shared" si="41"/>
        <v/>
      </c>
      <c r="P40" s="11" t="str">
        <f t="shared" si="41"/>
        <v/>
      </c>
      <c r="Q40" s="11" t="str">
        <f t="shared" si="41"/>
        <v/>
      </c>
      <c r="R40" s="11" t="str">
        <f t="shared" si="41"/>
        <v/>
      </c>
      <c r="S40" s="11" t="str">
        <f t="shared" si="41"/>
        <v/>
      </c>
      <c r="T40" s="11" t="str">
        <f t="shared" si="41"/>
        <v/>
      </c>
      <c r="U40" s="11" t="str">
        <f t="shared" si="41"/>
        <v/>
      </c>
      <c r="V40" s="11" t="str">
        <f t="shared" si="41"/>
        <v/>
      </c>
      <c r="W40" s="11" t="str">
        <f t="shared" si="41"/>
        <v/>
      </c>
      <c r="X40" s="11" t="str">
        <f t="shared" si="41"/>
        <v/>
      </c>
      <c r="Y40" s="11" t="str">
        <f t="shared" si="41"/>
        <v/>
      </c>
      <c r="Z40" s="11" t="str">
        <f t="shared" si="41"/>
        <v/>
      </c>
      <c r="AA40" s="11" t="str">
        <f t="shared" si="41"/>
        <v/>
      </c>
      <c r="AB40" s="11" t="str">
        <f t="shared" si="41"/>
        <v/>
      </c>
      <c r="AC40" s="11" t="str">
        <f t="shared" si="41"/>
        <v/>
      </c>
      <c r="AD40" s="6"/>
      <c r="AE40" s="11">
        <f t="shared" ref="AE40:AH40" si="42">IF(AE17="","",(AE17/$AE$23))</f>
        <v>0.5212289566921694</v>
      </c>
      <c r="AF40" s="11" t="str">
        <f t="shared" si="42"/>
        <v/>
      </c>
      <c r="AG40" s="11" t="str">
        <f t="shared" si="42"/>
        <v/>
      </c>
      <c r="AH40" s="11" t="str">
        <f t="shared" si="42"/>
        <v/>
      </c>
      <c r="AI40" s="11" t="str">
        <f t="shared" ref="AI40:BA40" si="43">IF(AI17="","",(AI17/$AE$23))</f>
        <v/>
      </c>
      <c r="AJ40" s="11" t="str">
        <f t="shared" si="43"/>
        <v/>
      </c>
      <c r="AK40" s="11" t="str">
        <f t="shared" si="43"/>
        <v/>
      </c>
      <c r="AL40" s="11" t="str">
        <f t="shared" si="43"/>
        <v/>
      </c>
      <c r="AM40" s="11" t="str">
        <f t="shared" si="43"/>
        <v/>
      </c>
      <c r="AN40" s="11" t="str">
        <f t="shared" si="43"/>
        <v/>
      </c>
      <c r="AO40" s="11" t="str">
        <f t="shared" si="43"/>
        <v/>
      </c>
      <c r="AP40" s="11" t="str">
        <f t="shared" si="43"/>
        <v/>
      </c>
      <c r="AQ40" s="11" t="str">
        <f t="shared" si="43"/>
        <v/>
      </c>
      <c r="AR40" s="11" t="str">
        <f t="shared" si="43"/>
        <v/>
      </c>
      <c r="AS40" s="11" t="str">
        <f t="shared" si="43"/>
        <v/>
      </c>
      <c r="AT40" s="11" t="str">
        <f t="shared" si="43"/>
        <v/>
      </c>
      <c r="AU40" s="11" t="str">
        <f t="shared" si="43"/>
        <v/>
      </c>
      <c r="AV40" s="11" t="str">
        <f t="shared" si="43"/>
        <v/>
      </c>
      <c r="AW40" s="11" t="str">
        <f t="shared" si="43"/>
        <v/>
      </c>
      <c r="AX40" s="11" t="str">
        <f t="shared" si="43"/>
        <v/>
      </c>
      <c r="AY40" s="11" t="str">
        <f t="shared" si="43"/>
        <v/>
      </c>
      <c r="AZ40" s="11" t="str">
        <f t="shared" si="43"/>
        <v/>
      </c>
      <c r="BA40" s="11" t="str">
        <f t="shared" si="43"/>
        <v/>
      </c>
    </row>
    <row r="41" spans="1:53" s="1" customFormat="1" x14ac:dyDescent="0.35">
      <c r="A41" s="230"/>
      <c r="B41" s="11" t="str">
        <f t="shared" ref="B41:J41" si="44">IF(B18="","",(B18/$AE$23))</f>
        <v/>
      </c>
      <c r="C41" s="11" t="str">
        <f t="shared" si="44"/>
        <v/>
      </c>
      <c r="D41" s="11" t="str">
        <f t="shared" si="44"/>
        <v/>
      </c>
      <c r="E41" s="11" t="str">
        <f t="shared" si="44"/>
        <v/>
      </c>
      <c r="F41" s="11" t="str">
        <f t="shared" si="44"/>
        <v/>
      </c>
      <c r="G41" s="11" t="str">
        <f t="shared" si="44"/>
        <v/>
      </c>
      <c r="H41" s="11" t="str">
        <f t="shared" si="44"/>
        <v/>
      </c>
      <c r="I41" s="11" t="str">
        <f t="shared" si="44"/>
        <v/>
      </c>
      <c r="J41" s="11" t="str">
        <f t="shared" si="44"/>
        <v/>
      </c>
      <c r="K41" s="11" t="str">
        <f t="shared" ref="K41:AC41" si="45">IF(K18="","",(K18/$AE$23))</f>
        <v/>
      </c>
      <c r="L41" s="11" t="str">
        <f t="shared" si="45"/>
        <v/>
      </c>
      <c r="M41" s="11" t="str">
        <f t="shared" si="45"/>
        <v/>
      </c>
      <c r="N41" s="11" t="str">
        <f t="shared" si="45"/>
        <v/>
      </c>
      <c r="O41" s="11" t="str">
        <f t="shared" si="45"/>
        <v/>
      </c>
      <c r="P41" s="11" t="str">
        <f t="shared" si="45"/>
        <v/>
      </c>
      <c r="Q41" s="11" t="str">
        <f t="shared" si="45"/>
        <v/>
      </c>
      <c r="R41" s="11" t="str">
        <f t="shared" si="45"/>
        <v/>
      </c>
      <c r="S41" s="11" t="str">
        <f t="shared" si="45"/>
        <v/>
      </c>
      <c r="T41" s="11" t="str">
        <f t="shared" si="45"/>
        <v/>
      </c>
      <c r="U41" s="11" t="str">
        <f t="shared" si="45"/>
        <v/>
      </c>
      <c r="V41" s="11" t="str">
        <f t="shared" si="45"/>
        <v/>
      </c>
      <c r="W41" s="11" t="str">
        <f t="shared" si="45"/>
        <v/>
      </c>
      <c r="X41" s="11" t="str">
        <f t="shared" si="45"/>
        <v/>
      </c>
      <c r="Y41" s="11" t="str">
        <f t="shared" si="45"/>
        <v/>
      </c>
      <c r="Z41" s="11" t="str">
        <f t="shared" si="45"/>
        <v/>
      </c>
      <c r="AA41" s="11" t="str">
        <f t="shared" si="45"/>
        <v/>
      </c>
      <c r="AB41" s="11" t="str">
        <f t="shared" si="45"/>
        <v/>
      </c>
      <c r="AC41" s="11" t="str">
        <f t="shared" si="45"/>
        <v/>
      </c>
      <c r="AD41" s="6"/>
      <c r="AE41" s="11">
        <f t="shared" ref="AE41:AH41" si="46">IF(AE18="","",(AE18/$AE$23))</f>
        <v>0.73005163541302831</v>
      </c>
      <c r="AF41" s="11" t="str">
        <f t="shared" si="46"/>
        <v/>
      </c>
      <c r="AG41" s="11" t="str">
        <f t="shared" si="46"/>
        <v/>
      </c>
      <c r="AH41" s="11" t="str">
        <f t="shared" si="46"/>
        <v/>
      </c>
      <c r="AI41" s="11" t="str">
        <f t="shared" ref="AI41:BA41" si="47">IF(AI18="","",(AI18/$AE$23))</f>
        <v/>
      </c>
      <c r="AJ41" s="11" t="str">
        <f t="shared" si="47"/>
        <v/>
      </c>
      <c r="AK41" s="11" t="str">
        <f t="shared" si="47"/>
        <v/>
      </c>
      <c r="AL41" s="11" t="str">
        <f t="shared" si="47"/>
        <v/>
      </c>
      <c r="AM41" s="11" t="str">
        <f t="shared" si="47"/>
        <v/>
      </c>
      <c r="AN41" s="11" t="str">
        <f t="shared" si="47"/>
        <v/>
      </c>
      <c r="AO41" s="11" t="str">
        <f t="shared" si="47"/>
        <v/>
      </c>
      <c r="AP41" s="11" t="str">
        <f t="shared" si="47"/>
        <v/>
      </c>
      <c r="AQ41" s="11" t="str">
        <f t="shared" si="47"/>
        <v/>
      </c>
      <c r="AR41" s="11" t="str">
        <f t="shared" si="47"/>
        <v/>
      </c>
      <c r="AS41" s="11" t="str">
        <f t="shared" si="47"/>
        <v/>
      </c>
      <c r="AT41" s="11" t="str">
        <f t="shared" si="47"/>
        <v/>
      </c>
      <c r="AU41" s="11" t="str">
        <f t="shared" si="47"/>
        <v/>
      </c>
      <c r="AV41" s="11" t="str">
        <f t="shared" si="47"/>
        <v/>
      </c>
      <c r="AW41" s="11" t="str">
        <f t="shared" si="47"/>
        <v/>
      </c>
      <c r="AX41" s="11" t="str">
        <f t="shared" si="47"/>
        <v/>
      </c>
      <c r="AY41" s="11" t="str">
        <f t="shared" si="47"/>
        <v/>
      </c>
      <c r="AZ41" s="11" t="str">
        <f t="shared" si="47"/>
        <v/>
      </c>
      <c r="BA41" s="11" t="str">
        <f t="shared" si="47"/>
        <v/>
      </c>
    </row>
    <row r="42" spans="1:53" s="1" customFormat="1" x14ac:dyDescent="0.35">
      <c r="A42" s="230"/>
      <c r="B42" s="11" t="str">
        <f t="shared" ref="B42:J42" si="48">IF(B19="","",(B19/$AE$23))</f>
        <v/>
      </c>
      <c r="C42" s="11" t="str">
        <f t="shared" si="48"/>
        <v/>
      </c>
      <c r="D42" s="11" t="str">
        <f t="shared" si="48"/>
        <v/>
      </c>
      <c r="E42" s="11" t="str">
        <f t="shared" si="48"/>
        <v/>
      </c>
      <c r="F42" s="11" t="str">
        <f t="shared" si="48"/>
        <v/>
      </c>
      <c r="G42" s="11" t="str">
        <f t="shared" si="48"/>
        <v/>
      </c>
      <c r="H42" s="11" t="str">
        <f t="shared" si="48"/>
        <v/>
      </c>
      <c r="I42" s="11" t="str">
        <f t="shared" si="48"/>
        <v/>
      </c>
      <c r="J42" s="11" t="str">
        <f t="shared" si="48"/>
        <v/>
      </c>
      <c r="K42" s="11" t="str">
        <f t="shared" ref="K42:AC42" si="49">IF(K19="","",(K19/$AE$23))</f>
        <v/>
      </c>
      <c r="L42" s="11" t="str">
        <f t="shared" si="49"/>
        <v/>
      </c>
      <c r="M42" s="11" t="str">
        <f t="shared" si="49"/>
        <v/>
      </c>
      <c r="N42" s="11" t="str">
        <f t="shared" si="49"/>
        <v/>
      </c>
      <c r="O42" s="11" t="str">
        <f t="shared" si="49"/>
        <v/>
      </c>
      <c r="P42" s="11" t="str">
        <f t="shared" si="49"/>
        <v/>
      </c>
      <c r="Q42" s="11" t="str">
        <f t="shared" si="49"/>
        <v/>
      </c>
      <c r="R42" s="11" t="str">
        <f t="shared" si="49"/>
        <v/>
      </c>
      <c r="S42" s="11" t="str">
        <f t="shared" si="49"/>
        <v/>
      </c>
      <c r="T42" s="11" t="str">
        <f t="shared" si="49"/>
        <v/>
      </c>
      <c r="U42" s="11" t="str">
        <f t="shared" si="49"/>
        <v/>
      </c>
      <c r="V42" s="11" t="str">
        <f t="shared" si="49"/>
        <v/>
      </c>
      <c r="W42" s="11" t="str">
        <f t="shared" si="49"/>
        <v/>
      </c>
      <c r="X42" s="11" t="str">
        <f t="shared" si="49"/>
        <v/>
      </c>
      <c r="Y42" s="11" t="str">
        <f t="shared" si="49"/>
        <v/>
      </c>
      <c r="Z42" s="11" t="str">
        <f t="shared" si="49"/>
        <v/>
      </c>
      <c r="AA42" s="11" t="str">
        <f t="shared" si="49"/>
        <v/>
      </c>
      <c r="AB42" s="11" t="str">
        <f t="shared" si="49"/>
        <v/>
      </c>
      <c r="AC42" s="11" t="str">
        <f t="shared" si="49"/>
        <v/>
      </c>
      <c r="AD42" s="6"/>
      <c r="AE42" s="11">
        <f t="shared" ref="AE42:AH42" si="50">IF(AE19="","",(AE19/$AE$23))</f>
        <v>0.2553197405417118</v>
      </c>
      <c r="AF42" s="11" t="str">
        <f t="shared" si="50"/>
        <v/>
      </c>
      <c r="AG42" s="11" t="str">
        <f t="shared" si="50"/>
        <v/>
      </c>
      <c r="AH42" s="11" t="str">
        <f t="shared" si="50"/>
        <v/>
      </c>
      <c r="AI42" s="11" t="str">
        <f t="shared" ref="AI42:BA42" si="51">IF(AI19="","",(AI19/$AE$23))</f>
        <v/>
      </c>
      <c r="AJ42" s="11" t="str">
        <f t="shared" si="51"/>
        <v/>
      </c>
      <c r="AK42" s="11" t="str">
        <f t="shared" si="51"/>
        <v/>
      </c>
      <c r="AL42" s="11" t="str">
        <f t="shared" si="51"/>
        <v/>
      </c>
      <c r="AM42" s="11" t="str">
        <f t="shared" si="51"/>
        <v/>
      </c>
      <c r="AN42" s="11" t="str">
        <f t="shared" si="51"/>
        <v/>
      </c>
      <c r="AO42" s="11" t="str">
        <f t="shared" si="51"/>
        <v/>
      </c>
      <c r="AP42" s="11" t="str">
        <f t="shared" si="51"/>
        <v/>
      </c>
      <c r="AQ42" s="11" t="str">
        <f t="shared" si="51"/>
        <v/>
      </c>
      <c r="AR42" s="11" t="str">
        <f t="shared" si="51"/>
        <v/>
      </c>
      <c r="AS42" s="11" t="str">
        <f t="shared" si="51"/>
        <v/>
      </c>
      <c r="AT42" s="11" t="str">
        <f t="shared" si="51"/>
        <v/>
      </c>
      <c r="AU42" s="11" t="str">
        <f t="shared" si="51"/>
        <v/>
      </c>
      <c r="AV42" s="11" t="str">
        <f t="shared" si="51"/>
        <v/>
      </c>
      <c r="AW42" s="11" t="str">
        <f t="shared" si="51"/>
        <v/>
      </c>
      <c r="AX42" s="11" t="str">
        <f t="shared" si="51"/>
        <v/>
      </c>
      <c r="AY42" s="11" t="str">
        <f t="shared" si="51"/>
        <v/>
      </c>
      <c r="AZ42" s="11" t="str">
        <f t="shared" si="51"/>
        <v/>
      </c>
      <c r="BA42" s="11" t="str">
        <f t="shared" si="51"/>
        <v/>
      </c>
    </row>
    <row r="43" spans="1:53" s="1" customFormat="1" x14ac:dyDescent="0.35">
      <c r="A43" s="230"/>
      <c r="B43" s="11" t="str">
        <f t="shared" ref="B43:J43" si="52">IF(B20="","",(B20/$AE$23))</f>
        <v/>
      </c>
      <c r="C43" s="11" t="str">
        <f t="shared" si="52"/>
        <v/>
      </c>
      <c r="D43" s="11" t="str">
        <f t="shared" si="52"/>
        <v/>
      </c>
      <c r="E43" s="11" t="str">
        <f t="shared" si="52"/>
        <v/>
      </c>
      <c r="F43" s="11" t="str">
        <f t="shared" si="52"/>
        <v/>
      </c>
      <c r="G43" s="11" t="str">
        <f t="shared" si="52"/>
        <v/>
      </c>
      <c r="H43" s="11" t="str">
        <f t="shared" si="52"/>
        <v/>
      </c>
      <c r="I43" s="11" t="str">
        <f t="shared" si="52"/>
        <v/>
      </c>
      <c r="J43" s="11" t="str">
        <f t="shared" si="52"/>
        <v/>
      </c>
      <c r="K43" s="11" t="str">
        <f t="shared" ref="K43:AC43" si="53">IF(K20="","",(K20/$AE$23))</f>
        <v/>
      </c>
      <c r="L43" s="11" t="str">
        <f t="shared" si="53"/>
        <v/>
      </c>
      <c r="M43" s="11" t="str">
        <f t="shared" si="53"/>
        <v/>
      </c>
      <c r="N43" s="11" t="str">
        <f t="shared" si="53"/>
        <v/>
      </c>
      <c r="O43" s="11" t="str">
        <f t="shared" si="53"/>
        <v/>
      </c>
      <c r="P43" s="11" t="str">
        <f t="shared" si="53"/>
        <v/>
      </c>
      <c r="Q43" s="11" t="str">
        <f t="shared" si="53"/>
        <v/>
      </c>
      <c r="R43" s="11" t="str">
        <f t="shared" si="53"/>
        <v/>
      </c>
      <c r="S43" s="11" t="str">
        <f t="shared" si="53"/>
        <v/>
      </c>
      <c r="T43" s="11" t="str">
        <f t="shared" si="53"/>
        <v/>
      </c>
      <c r="U43" s="11" t="str">
        <f t="shared" si="53"/>
        <v/>
      </c>
      <c r="V43" s="11" t="str">
        <f t="shared" si="53"/>
        <v/>
      </c>
      <c r="W43" s="11" t="str">
        <f t="shared" si="53"/>
        <v/>
      </c>
      <c r="X43" s="11" t="str">
        <f t="shared" si="53"/>
        <v/>
      </c>
      <c r="Y43" s="11" t="str">
        <f t="shared" si="53"/>
        <v/>
      </c>
      <c r="Z43" s="11" t="str">
        <f t="shared" si="53"/>
        <v/>
      </c>
      <c r="AA43" s="11" t="str">
        <f t="shared" si="53"/>
        <v/>
      </c>
      <c r="AB43" s="11" t="str">
        <f t="shared" si="53"/>
        <v/>
      </c>
      <c r="AC43" s="11" t="str">
        <f t="shared" si="53"/>
        <v/>
      </c>
      <c r="AD43" s="6"/>
      <c r="AE43" s="11">
        <f t="shared" ref="AE43:AH43" si="54">IF(AE20="","",(AE20/$AE$23))</f>
        <v>0.95465414236129631</v>
      </c>
      <c r="AF43" s="11" t="str">
        <f t="shared" si="54"/>
        <v/>
      </c>
      <c r="AG43" s="11" t="str">
        <f t="shared" si="54"/>
        <v/>
      </c>
      <c r="AH43" s="11" t="str">
        <f t="shared" si="54"/>
        <v/>
      </c>
      <c r="AI43" s="11" t="str">
        <f t="shared" ref="AI43:BA43" si="55">IF(AI20="","",(AI20/$AE$23))</f>
        <v/>
      </c>
      <c r="AJ43" s="11" t="str">
        <f t="shared" si="55"/>
        <v/>
      </c>
      <c r="AK43" s="11" t="str">
        <f t="shared" si="55"/>
        <v/>
      </c>
      <c r="AL43" s="11" t="str">
        <f t="shared" si="55"/>
        <v/>
      </c>
      <c r="AM43" s="11" t="str">
        <f t="shared" si="55"/>
        <v/>
      </c>
      <c r="AN43" s="11" t="str">
        <f t="shared" si="55"/>
        <v/>
      </c>
      <c r="AO43" s="11" t="str">
        <f t="shared" si="55"/>
        <v/>
      </c>
      <c r="AP43" s="11" t="str">
        <f t="shared" si="55"/>
        <v/>
      </c>
      <c r="AQ43" s="11" t="str">
        <f t="shared" si="55"/>
        <v/>
      </c>
      <c r="AR43" s="11" t="str">
        <f t="shared" si="55"/>
        <v/>
      </c>
      <c r="AS43" s="11" t="str">
        <f t="shared" si="55"/>
        <v/>
      </c>
      <c r="AT43" s="11" t="str">
        <f t="shared" si="55"/>
        <v/>
      </c>
      <c r="AU43" s="11" t="str">
        <f t="shared" si="55"/>
        <v/>
      </c>
      <c r="AV43" s="11" t="str">
        <f t="shared" si="55"/>
        <v/>
      </c>
      <c r="AW43" s="11" t="str">
        <f t="shared" si="55"/>
        <v/>
      </c>
      <c r="AX43" s="11" t="str">
        <f t="shared" si="55"/>
        <v/>
      </c>
      <c r="AY43" s="11" t="str">
        <f t="shared" si="55"/>
        <v/>
      </c>
      <c r="AZ43" s="11" t="str">
        <f t="shared" si="55"/>
        <v/>
      </c>
      <c r="BA43" s="11" t="str">
        <f t="shared" si="55"/>
        <v/>
      </c>
    </row>
    <row r="44" spans="1:53" x14ac:dyDescent="0.35">
      <c r="A44" s="7"/>
      <c r="B44" s="3"/>
      <c r="C44" s="3"/>
      <c r="D44" s="3"/>
      <c r="E44" s="3"/>
      <c r="F44" s="3"/>
      <c r="G44" s="3"/>
      <c r="H44" s="3"/>
      <c r="I44" s="3"/>
      <c r="J44" s="3"/>
      <c r="AD44" s="7"/>
      <c r="AE44" s="3"/>
      <c r="AF44" s="3"/>
      <c r="AG44" s="3"/>
      <c r="AH44" s="3"/>
      <c r="AI44" s="3"/>
      <c r="AJ44" s="3"/>
      <c r="AK44" s="3"/>
      <c r="AL44" s="3"/>
      <c r="AM44" s="3"/>
      <c r="AN44" s="3"/>
      <c r="AO44" s="3"/>
      <c r="AP44" s="3"/>
      <c r="AQ44" s="3"/>
      <c r="AR44" s="3"/>
      <c r="AS44" s="3"/>
      <c r="AT44" s="3"/>
      <c r="AU44" s="3"/>
      <c r="AV44" s="3"/>
      <c r="AW44" s="3"/>
      <c r="AX44" s="3"/>
      <c r="AY44" s="3"/>
      <c r="AZ44" s="3"/>
      <c r="BA44" s="3"/>
    </row>
    <row r="45" spans="1:53" s="72" customFormat="1" x14ac:dyDescent="0.35">
      <c r="A45" s="73" t="str">
        <f t="shared" ref="A45:AC45" si="56">A4</f>
        <v>Noms des groupes</v>
      </c>
      <c r="B45" s="73" t="str">
        <f t="shared" si="56"/>
        <v>Témoin solvant</v>
      </c>
      <c r="C45" s="73" t="str">
        <f t="shared" si="56"/>
        <v>EE2-33,8ng/L</v>
      </c>
      <c r="D45" s="73" t="str">
        <f t="shared" si="56"/>
        <v>EE2-50,6ng/L</v>
      </c>
      <c r="E45" s="73" t="str">
        <f t="shared" si="56"/>
        <v>EE2-76ng/L</v>
      </c>
      <c r="F45" s="73" t="str">
        <f t="shared" si="56"/>
        <v>EE2-114ng/L</v>
      </c>
      <c r="G45" s="73" t="str">
        <f t="shared" si="56"/>
        <v>EE2-170,9ng/L</v>
      </c>
      <c r="H45" s="73" t="str">
        <f t="shared" si="56"/>
        <v>EE2-488ng/L</v>
      </c>
      <c r="I45" s="73" t="str">
        <f t="shared" si="56"/>
        <v>Testo-3.7µg/L</v>
      </c>
      <c r="J45" s="73" t="str">
        <f t="shared" si="56"/>
        <v>Testo-11µg/L</v>
      </c>
      <c r="K45" s="73" t="str">
        <f t="shared" si="56"/>
        <v>Testo-33µg/L</v>
      </c>
      <c r="L45" s="73" t="str">
        <f t="shared" si="56"/>
        <v>Testo-100µg/L</v>
      </c>
      <c r="M45" s="73" t="str">
        <f t="shared" si="56"/>
        <v>Testo-300µg/L</v>
      </c>
      <c r="N45" s="73" t="str">
        <f t="shared" si="56"/>
        <v xml:space="preserve"> </v>
      </c>
      <c r="O45" s="73" t="str">
        <f t="shared" si="56"/>
        <v xml:space="preserve"> </v>
      </c>
      <c r="P45" s="73" t="str">
        <f t="shared" si="56"/>
        <v xml:space="preserve"> </v>
      </c>
      <c r="Q45" s="73" t="str">
        <f t="shared" si="56"/>
        <v xml:space="preserve"> </v>
      </c>
      <c r="R45" s="73" t="str">
        <f t="shared" si="56"/>
        <v xml:space="preserve"> </v>
      </c>
      <c r="S45" s="73" t="str">
        <f t="shared" si="56"/>
        <v xml:space="preserve"> </v>
      </c>
      <c r="T45" s="73" t="str">
        <f t="shared" si="56"/>
        <v xml:space="preserve"> </v>
      </c>
      <c r="U45" s="73" t="str">
        <f t="shared" si="56"/>
        <v xml:space="preserve"> </v>
      </c>
      <c r="V45" s="73" t="str">
        <f t="shared" si="56"/>
        <v xml:space="preserve"> </v>
      </c>
      <c r="W45" s="73" t="str">
        <f t="shared" si="56"/>
        <v xml:space="preserve"> </v>
      </c>
      <c r="X45" s="73" t="str">
        <f t="shared" si="56"/>
        <v xml:space="preserve"> </v>
      </c>
      <c r="Y45" s="73" t="str">
        <f t="shared" si="56"/>
        <v xml:space="preserve"> </v>
      </c>
      <c r="Z45" s="73" t="str">
        <f t="shared" si="56"/>
        <v xml:space="preserve"> </v>
      </c>
      <c r="AA45" s="73" t="str">
        <f t="shared" si="56"/>
        <v xml:space="preserve"> </v>
      </c>
      <c r="AB45" s="73" t="str">
        <f t="shared" si="56"/>
        <v xml:space="preserve"> </v>
      </c>
      <c r="AC45" s="73" t="str">
        <f t="shared" si="56"/>
        <v xml:space="preserve"> </v>
      </c>
      <c r="AD45" s="73" t="str">
        <f>AD22</f>
        <v>Nom des groupes</v>
      </c>
      <c r="AE45" s="73" t="str">
        <f t="shared" ref="AE45:AT45" si="57">AE4</f>
        <v>Testo -30µg/L</v>
      </c>
      <c r="AF45" s="73" t="str">
        <f t="shared" si="57"/>
        <v>Testo 30µg/L + EE2 -64ng/L</v>
      </c>
      <c r="AG45" s="73" t="str">
        <f t="shared" si="57"/>
        <v>Testo 30µg/L + FAD-10mg/L</v>
      </c>
      <c r="AH45" s="73" t="str">
        <f t="shared" si="57"/>
        <v>Testo-3,7µg/L + Testostérone</v>
      </c>
      <c r="AI45" s="73" t="str">
        <f t="shared" si="57"/>
        <v>Testo-11µg/L + Testostérone</v>
      </c>
      <c r="AJ45" s="73" t="str">
        <f t="shared" si="57"/>
        <v>Testo-33µg/L + Testostérone</v>
      </c>
      <c r="AK45" s="73" t="str">
        <f t="shared" si="57"/>
        <v>Testo-100µg/L + Testostérone</v>
      </c>
      <c r="AL45" s="73" t="str">
        <f t="shared" si="57"/>
        <v>Testo-300µg/L + Testostérone</v>
      </c>
      <c r="AM45" s="73" t="str">
        <f t="shared" si="57"/>
        <v>0-00 + Testostérone</v>
      </c>
      <c r="AN45" s="73" t="str">
        <f t="shared" si="57"/>
        <v>0-00 + Testostérone</v>
      </c>
      <c r="AO45" s="73" t="str">
        <f t="shared" si="57"/>
        <v>0-00 + Testostérone</v>
      </c>
      <c r="AP45" s="73" t="str">
        <f t="shared" si="57"/>
        <v>0-00 + Testostérone</v>
      </c>
      <c r="AQ45" s="73" t="str">
        <f t="shared" si="57"/>
        <v>0-00 + Testostérone</v>
      </c>
      <c r="AR45" s="73" t="str">
        <f t="shared" si="57"/>
        <v>0-00 + Testostérone</v>
      </c>
      <c r="AS45" s="73" t="str">
        <f t="shared" si="57"/>
        <v>0-00 + Testostérone</v>
      </c>
      <c r="AT45" s="73" t="str">
        <f t="shared" si="57"/>
        <v>0-00 + Testostérone</v>
      </c>
      <c r="AU45" s="73" t="str">
        <f t="shared" ref="AU45:BA45" si="58">AU4</f>
        <v>0-00 + Testostérone</v>
      </c>
      <c r="AV45" s="73" t="str">
        <f t="shared" si="58"/>
        <v>0-00 + Testostérone</v>
      </c>
      <c r="AW45" s="73" t="str">
        <f t="shared" si="58"/>
        <v>0-00 + Testostérone</v>
      </c>
      <c r="AX45" s="73" t="str">
        <f t="shared" si="58"/>
        <v>0-00 + Testostérone</v>
      </c>
      <c r="AY45" s="73" t="str">
        <f t="shared" si="58"/>
        <v>0-00 + Testostérone</v>
      </c>
      <c r="AZ45" s="73" t="str">
        <f t="shared" si="58"/>
        <v>0-00 + Testostérone</v>
      </c>
      <c r="BA45" s="73" t="str">
        <f t="shared" si="58"/>
        <v>0-00 + Testostérone</v>
      </c>
    </row>
    <row r="46" spans="1:53" x14ac:dyDescent="0.35">
      <c r="A46" s="8" t="s">
        <v>0</v>
      </c>
      <c r="B46" s="10">
        <f t="shared" ref="B46:H46" si="59">AVERAGE(B28:B43)</f>
        <v>0.28711179742097781</v>
      </c>
      <c r="C46" s="10">
        <f t="shared" si="59"/>
        <v>0.27885507671434989</v>
      </c>
      <c r="D46" s="10">
        <f t="shared" si="59"/>
        <v>0.29579698899899443</v>
      </c>
      <c r="E46" s="10">
        <f t="shared" si="59"/>
        <v>1.589627535074531</v>
      </c>
      <c r="F46" s="10">
        <f t="shared" si="59"/>
        <v>3.3475787057035342</v>
      </c>
      <c r="G46" s="10">
        <f t="shared" si="59"/>
        <v>3.8854558950719187</v>
      </c>
      <c r="H46" s="10">
        <f t="shared" si="59"/>
        <v>5.9796625195592217</v>
      </c>
      <c r="I46" s="10">
        <f>AVERAGE(I28:I43)</f>
        <v>0.43039397179146738</v>
      </c>
      <c r="J46" s="9">
        <f>AVERAGE(J28:J43)</f>
        <v>0.73604910919976696</v>
      </c>
      <c r="K46" s="9">
        <f>AVERAGE(K28:K43)</f>
        <v>1.4927067791379698</v>
      </c>
      <c r="L46" s="9">
        <f t="shared" ref="L46:V46" si="60">AVERAGE(L28:L43)</f>
        <v>2.7022891028855716</v>
      </c>
      <c r="M46" s="9">
        <f t="shared" si="60"/>
        <v>3.573141482618833</v>
      </c>
      <c r="N46" s="9" t="e">
        <f t="shared" si="60"/>
        <v>#DIV/0!</v>
      </c>
      <c r="O46" s="9" t="e">
        <f t="shared" si="60"/>
        <v>#DIV/0!</v>
      </c>
      <c r="P46" s="9" t="e">
        <f t="shared" si="60"/>
        <v>#DIV/0!</v>
      </c>
      <c r="Q46" s="9" t="e">
        <f t="shared" si="60"/>
        <v>#DIV/0!</v>
      </c>
      <c r="R46" s="9" t="e">
        <f t="shared" si="60"/>
        <v>#DIV/0!</v>
      </c>
      <c r="S46" s="9" t="e">
        <f t="shared" si="60"/>
        <v>#DIV/0!</v>
      </c>
      <c r="T46" s="9" t="e">
        <f t="shared" si="60"/>
        <v>#DIV/0!</v>
      </c>
      <c r="U46" s="9" t="e">
        <f t="shared" si="60"/>
        <v>#DIV/0!</v>
      </c>
      <c r="V46" s="9" t="e">
        <f t="shared" si="60"/>
        <v>#DIV/0!</v>
      </c>
      <c r="W46" s="9" t="e">
        <f t="shared" ref="W46:AC46" si="61">AVERAGE(W28:W43)</f>
        <v>#DIV/0!</v>
      </c>
      <c r="X46" s="9" t="e">
        <f t="shared" si="61"/>
        <v>#DIV/0!</v>
      </c>
      <c r="Y46" s="9" t="e">
        <f t="shared" si="61"/>
        <v>#DIV/0!</v>
      </c>
      <c r="Z46" s="9" t="e">
        <f t="shared" si="61"/>
        <v>#DIV/0!</v>
      </c>
      <c r="AA46" s="9" t="e">
        <f t="shared" si="61"/>
        <v>#DIV/0!</v>
      </c>
      <c r="AB46" s="9" t="e">
        <f t="shared" si="61"/>
        <v>#DIV/0!</v>
      </c>
      <c r="AC46" s="9" t="e">
        <f t="shared" si="61"/>
        <v>#DIV/0!</v>
      </c>
      <c r="AD46" s="8" t="s">
        <v>0</v>
      </c>
      <c r="AE46" s="10">
        <f>AVERAGE(AE28:AE43)</f>
        <v>0.99999999999999989</v>
      </c>
      <c r="AF46" s="10">
        <f>AVERAGE(AF28:AF43)</f>
        <v>4.9194636556095812</v>
      </c>
      <c r="AG46" s="10">
        <f>AVERAGE(AG28:AG43)</f>
        <v>0.15808032301624825</v>
      </c>
      <c r="AH46" s="10">
        <f>AVERAGE(AH28:AH43)</f>
        <v>1.683718993642384</v>
      </c>
      <c r="AI46" s="10">
        <f t="shared" ref="AI46:AT46" si="62">AVERAGE(AI28:AI43)</f>
        <v>2.6470625144600248</v>
      </c>
      <c r="AJ46" s="10">
        <f t="shared" si="62"/>
        <v>1.6174808578599391</v>
      </c>
      <c r="AK46" s="10">
        <f t="shared" si="62"/>
        <v>1.6155421898078735</v>
      </c>
      <c r="AL46" s="10">
        <f t="shared" si="62"/>
        <v>2.7962542955268646</v>
      </c>
      <c r="AM46" s="10" t="e">
        <f t="shared" si="62"/>
        <v>#DIV/0!</v>
      </c>
      <c r="AN46" s="10" t="e">
        <f t="shared" si="62"/>
        <v>#DIV/0!</v>
      </c>
      <c r="AO46" s="10" t="e">
        <f t="shared" si="62"/>
        <v>#DIV/0!</v>
      </c>
      <c r="AP46" s="10" t="e">
        <f t="shared" si="62"/>
        <v>#DIV/0!</v>
      </c>
      <c r="AQ46" s="10" t="e">
        <f t="shared" si="62"/>
        <v>#DIV/0!</v>
      </c>
      <c r="AR46" s="10" t="e">
        <f t="shared" si="62"/>
        <v>#DIV/0!</v>
      </c>
      <c r="AS46" s="10" t="e">
        <f t="shared" si="62"/>
        <v>#DIV/0!</v>
      </c>
      <c r="AT46" s="10" t="e">
        <f t="shared" si="62"/>
        <v>#DIV/0!</v>
      </c>
      <c r="AU46" s="10" t="e">
        <f t="shared" ref="AU46:BA46" si="63">AVERAGE(AU28:AU43)</f>
        <v>#DIV/0!</v>
      </c>
      <c r="AV46" s="10" t="e">
        <f t="shared" si="63"/>
        <v>#DIV/0!</v>
      </c>
      <c r="AW46" s="10" t="e">
        <f t="shared" si="63"/>
        <v>#DIV/0!</v>
      </c>
      <c r="AX46" s="10" t="e">
        <f t="shared" si="63"/>
        <v>#DIV/0!</v>
      </c>
      <c r="AY46" s="10" t="e">
        <f t="shared" si="63"/>
        <v>#DIV/0!</v>
      </c>
      <c r="AZ46" s="10" t="e">
        <f t="shared" si="63"/>
        <v>#DIV/0!</v>
      </c>
      <c r="BA46" s="10" t="e">
        <f t="shared" si="63"/>
        <v>#DIV/0!</v>
      </c>
    </row>
    <row r="47" spans="1:53" x14ac:dyDescent="0.35">
      <c r="A47" s="8" t="s">
        <v>1</v>
      </c>
      <c r="B47" s="8">
        <f t="shared" ref="B47:K47" si="64">STDEV(B28:B43)</f>
        <v>0.15247416564713834</v>
      </c>
      <c r="C47" s="8">
        <f t="shared" si="64"/>
        <v>0.23167493214432031</v>
      </c>
      <c r="D47" s="8">
        <f t="shared" si="64"/>
        <v>0.25582960039780328</v>
      </c>
      <c r="E47" s="8">
        <f t="shared" si="64"/>
        <v>1.3865296246868726</v>
      </c>
      <c r="F47" s="8">
        <f t="shared" si="64"/>
        <v>0.81739444611859902</v>
      </c>
      <c r="G47" s="8">
        <f t="shared" si="64"/>
        <v>1.9690335713009768</v>
      </c>
      <c r="H47" s="8">
        <f t="shared" si="64"/>
        <v>0.77138091248368468</v>
      </c>
      <c r="I47" s="8">
        <f>STDEV(I28:I43)</f>
        <v>0.31211271462696305</v>
      </c>
      <c r="J47" s="8">
        <f t="shared" si="64"/>
        <v>0.58982217048878605</v>
      </c>
      <c r="K47" s="8">
        <f t="shared" si="64"/>
        <v>1.0059343574706876</v>
      </c>
      <c r="L47" s="8">
        <f t="shared" ref="L47:V47" si="65">STDEV(L28:L43)</f>
        <v>1.8670990546537733</v>
      </c>
      <c r="M47" s="8">
        <f t="shared" si="65"/>
        <v>1.1479768640681822</v>
      </c>
      <c r="N47" s="8" t="e">
        <f t="shared" si="65"/>
        <v>#DIV/0!</v>
      </c>
      <c r="O47" s="8" t="e">
        <f t="shared" si="65"/>
        <v>#DIV/0!</v>
      </c>
      <c r="P47" s="8" t="e">
        <f t="shared" si="65"/>
        <v>#DIV/0!</v>
      </c>
      <c r="Q47" s="8" t="e">
        <f t="shared" si="65"/>
        <v>#DIV/0!</v>
      </c>
      <c r="R47" s="8" t="e">
        <f t="shared" si="65"/>
        <v>#DIV/0!</v>
      </c>
      <c r="S47" s="8" t="e">
        <f t="shared" si="65"/>
        <v>#DIV/0!</v>
      </c>
      <c r="T47" s="8" t="e">
        <f t="shared" si="65"/>
        <v>#DIV/0!</v>
      </c>
      <c r="U47" s="8" t="e">
        <f t="shared" si="65"/>
        <v>#DIV/0!</v>
      </c>
      <c r="V47" s="8" t="e">
        <f t="shared" si="65"/>
        <v>#DIV/0!</v>
      </c>
      <c r="W47" s="8" t="e">
        <f t="shared" ref="W47:AC47" si="66">STDEV(W28:W43)</f>
        <v>#DIV/0!</v>
      </c>
      <c r="X47" s="8" t="e">
        <f t="shared" si="66"/>
        <v>#DIV/0!</v>
      </c>
      <c r="Y47" s="8" t="e">
        <f t="shared" si="66"/>
        <v>#DIV/0!</v>
      </c>
      <c r="Z47" s="8" t="e">
        <f t="shared" si="66"/>
        <v>#DIV/0!</v>
      </c>
      <c r="AA47" s="8" t="e">
        <f t="shared" si="66"/>
        <v>#DIV/0!</v>
      </c>
      <c r="AB47" s="8" t="e">
        <f t="shared" si="66"/>
        <v>#DIV/0!</v>
      </c>
      <c r="AC47" s="8" t="e">
        <f t="shared" si="66"/>
        <v>#DIV/0!</v>
      </c>
      <c r="AD47" s="8" t="s">
        <v>1</v>
      </c>
      <c r="AE47" s="8">
        <f>STDEV(AE28:AE43)</f>
        <v>0.96649201804017648</v>
      </c>
      <c r="AF47" s="8">
        <f>STDEV(AF28:AF43)</f>
        <v>1.2816326829682434</v>
      </c>
      <c r="AG47" s="8">
        <f>STDEV(AG28:AG43)</f>
        <v>0.11625629434281284</v>
      </c>
      <c r="AH47" s="8">
        <f>STDEV(AH28:AH43)</f>
        <v>1.4325458218959974</v>
      </c>
      <c r="AI47" s="8">
        <f t="shared" ref="AI47:AT47" si="67">STDEV(AI28:AI43)</f>
        <v>1.2438273726088485</v>
      </c>
      <c r="AJ47" s="8">
        <f t="shared" si="67"/>
        <v>1.5629551643235724</v>
      </c>
      <c r="AK47" s="8">
        <f t="shared" si="67"/>
        <v>1.5098677153961384</v>
      </c>
      <c r="AL47" s="8">
        <f t="shared" si="67"/>
        <v>1.8033535490589316</v>
      </c>
      <c r="AM47" s="8" t="e">
        <f t="shared" si="67"/>
        <v>#DIV/0!</v>
      </c>
      <c r="AN47" s="8" t="e">
        <f t="shared" si="67"/>
        <v>#DIV/0!</v>
      </c>
      <c r="AO47" s="8" t="e">
        <f t="shared" si="67"/>
        <v>#DIV/0!</v>
      </c>
      <c r="AP47" s="8" t="e">
        <f t="shared" si="67"/>
        <v>#DIV/0!</v>
      </c>
      <c r="AQ47" s="8" t="e">
        <f t="shared" si="67"/>
        <v>#DIV/0!</v>
      </c>
      <c r="AR47" s="8" t="e">
        <f t="shared" si="67"/>
        <v>#DIV/0!</v>
      </c>
      <c r="AS47" s="8" t="e">
        <f t="shared" si="67"/>
        <v>#DIV/0!</v>
      </c>
      <c r="AT47" s="8" t="e">
        <f t="shared" si="67"/>
        <v>#DIV/0!</v>
      </c>
      <c r="AU47" s="8" t="e">
        <f t="shared" ref="AU47:BA47" si="68">STDEV(AU28:AU43)</f>
        <v>#DIV/0!</v>
      </c>
      <c r="AV47" s="8" t="e">
        <f t="shared" si="68"/>
        <v>#DIV/0!</v>
      </c>
      <c r="AW47" s="8" t="e">
        <f t="shared" si="68"/>
        <v>#DIV/0!</v>
      </c>
      <c r="AX47" s="8" t="e">
        <f t="shared" si="68"/>
        <v>#DIV/0!</v>
      </c>
      <c r="AY47" s="8" t="e">
        <f t="shared" si="68"/>
        <v>#DIV/0!</v>
      </c>
      <c r="AZ47" s="8" t="e">
        <f t="shared" si="68"/>
        <v>#DIV/0!</v>
      </c>
      <c r="BA47" s="8" t="e">
        <f t="shared" si="68"/>
        <v>#DIV/0!</v>
      </c>
    </row>
    <row r="48" spans="1:53" x14ac:dyDescent="0.35">
      <c r="A48" s="8" t="s">
        <v>2</v>
      </c>
      <c r="B48" s="8">
        <f t="shared" ref="B48:K48" si="69" xml:space="preserve"> B47/SQRT(COUNT(B28:B43))</f>
        <v>5.3907758242426218E-2</v>
      </c>
      <c r="C48" s="8">
        <f t="shared" si="69"/>
        <v>8.7564893637376504E-2</v>
      </c>
      <c r="D48" s="8">
        <f t="shared" si="69"/>
        <v>9.0449422634765686E-2</v>
      </c>
      <c r="E48" s="8">
        <f t="shared" si="69"/>
        <v>0.49021224996606311</v>
      </c>
      <c r="F48" s="8">
        <f t="shared" si="69"/>
        <v>0.28899257787734167</v>
      </c>
      <c r="G48" s="8">
        <f t="shared" si="69"/>
        <v>0.74422473611425033</v>
      </c>
      <c r="H48" s="8">
        <f t="shared" si="69"/>
        <v>0.27272433704754007</v>
      </c>
      <c r="I48" s="8">
        <f xml:space="preserve"> I47/SQRT(COUNT(I28:I43))</f>
        <v>0.11034850850363365</v>
      </c>
      <c r="J48" s="8">
        <f t="shared" si="69"/>
        <v>0.20853362822339427</v>
      </c>
      <c r="K48" s="8">
        <f t="shared" si="69"/>
        <v>0.35565150279802787</v>
      </c>
      <c r="L48" s="8">
        <f t="shared" ref="L48:V48" si="70" xml:space="preserve"> L47/SQRT(COUNT(L28:L43))</f>
        <v>0.66011920134633773</v>
      </c>
      <c r="M48" s="8">
        <f t="shared" si="70"/>
        <v>0.43389447045431573</v>
      </c>
      <c r="N48" s="8" t="e">
        <f t="shared" si="70"/>
        <v>#DIV/0!</v>
      </c>
      <c r="O48" s="8" t="e">
        <f t="shared" si="70"/>
        <v>#DIV/0!</v>
      </c>
      <c r="P48" s="8" t="e">
        <f t="shared" si="70"/>
        <v>#DIV/0!</v>
      </c>
      <c r="Q48" s="8" t="e">
        <f t="shared" si="70"/>
        <v>#DIV/0!</v>
      </c>
      <c r="R48" s="8" t="e">
        <f t="shared" si="70"/>
        <v>#DIV/0!</v>
      </c>
      <c r="S48" s="8" t="e">
        <f t="shared" si="70"/>
        <v>#DIV/0!</v>
      </c>
      <c r="T48" s="8" t="e">
        <f t="shared" si="70"/>
        <v>#DIV/0!</v>
      </c>
      <c r="U48" s="8" t="e">
        <f t="shared" si="70"/>
        <v>#DIV/0!</v>
      </c>
      <c r="V48" s="8" t="e">
        <f t="shared" si="70"/>
        <v>#DIV/0!</v>
      </c>
      <c r="W48" s="8" t="e">
        <f t="shared" ref="W48:AC48" si="71" xml:space="preserve"> W47/SQRT(COUNT(W28:W43))</f>
        <v>#DIV/0!</v>
      </c>
      <c r="X48" s="8" t="e">
        <f t="shared" si="71"/>
        <v>#DIV/0!</v>
      </c>
      <c r="Y48" s="8" t="e">
        <f t="shared" si="71"/>
        <v>#DIV/0!</v>
      </c>
      <c r="Z48" s="8" t="e">
        <f t="shared" si="71"/>
        <v>#DIV/0!</v>
      </c>
      <c r="AA48" s="8" t="e">
        <f t="shared" si="71"/>
        <v>#DIV/0!</v>
      </c>
      <c r="AB48" s="8" t="e">
        <f t="shared" si="71"/>
        <v>#DIV/0!</v>
      </c>
      <c r="AC48" s="8" t="e">
        <f t="shared" si="71"/>
        <v>#DIV/0!</v>
      </c>
      <c r="AD48" s="8" t="s">
        <v>2</v>
      </c>
      <c r="AE48" s="8">
        <f xml:space="preserve"> AE47/SQRT(COUNT(AE28:AE43))</f>
        <v>0.24954716600746679</v>
      </c>
      <c r="AF48" s="8">
        <f xml:space="preserve"> AF47/SQRT(COUNT(AF28:AF43))</f>
        <v>0.45312558055857671</v>
      </c>
      <c r="AG48" s="8">
        <f xml:space="preserve"> AG47/SQRT(COUNT(AG28:AG43))</f>
        <v>4.1102807042711111E-2</v>
      </c>
      <c r="AH48" s="8">
        <f xml:space="preserve"> AH47/SQRT(COUNT(AH28:AH43))</f>
        <v>0.50648143251155797</v>
      </c>
      <c r="AI48" s="8">
        <f t="shared" ref="AI48:AT48" si="72" xml:space="preserve"> AI47/SQRT(COUNT(AI28:AI43))</f>
        <v>0.43975938489858163</v>
      </c>
      <c r="AJ48" s="8">
        <f t="shared" si="72"/>
        <v>0.55258809769186634</v>
      </c>
      <c r="AK48" s="8">
        <f t="shared" si="72"/>
        <v>0.5338188501256248</v>
      </c>
      <c r="AL48" s="8">
        <f t="shared" si="72"/>
        <v>0.68160357381937864</v>
      </c>
      <c r="AM48" s="8" t="e">
        <f t="shared" si="72"/>
        <v>#DIV/0!</v>
      </c>
      <c r="AN48" s="8" t="e">
        <f t="shared" si="72"/>
        <v>#DIV/0!</v>
      </c>
      <c r="AO48" s="8" t="e">
        <f t="shared" si="72"/>
        <v>#DIV/0!</v>
      </c>
      <c r="AP48" s="8" t="e">
        <f t="shared" si="72"/>
        <v>#DIV/0!</v>
      </c>
      <c r="AQ48" s="8" t="e">
        <f t="shared" si="72"/>
        <v>#DIV/0!</v>
      </c>
      <c r="AR48" s="8" t="e">
        <f t="shared" si="72"/>
        <v>#DIV/0!</v>
      </c>
      <c r="AS48" s="8" t="e">
        <f t="shared" si="72"/>
        <v>#DIV/0!</v>
      </c>
      <c r="AT48" s="8" t="e">
        <f t="shared" si="72"/>
        <v>#DIV/0!</v>
      </c>
      <c r="AU48" s="8" t="e">
        <f t="shared" ref="AU48:BA48" si="73" xml:space="preserve"> AU47/SQRT(COUNT(AU28:AU43))</f>
        <v>#DIV/0!</v>
      </c>
      <c r="AV48" s="8" t="e">
        <f t="shared" si="73"/>
        <v>#DIV/0!</v>
      </c>
      <c r="AW48" s="8" t="e">
        <f t="shared" si="73"/>
        <v>#DIV/0!</v>
      </c>
      <c r="AX48" s="8" t="e">
        <f t="shared" si="73"/>
        <v>#DIV/0!</v>
      </c>
      <c r="AY48" s="8" t="e">
        <f t="shared" si="73"/>
        <v>#DIV/0!</v>
      </c>
      <c r="AZ48" s="8" t="e">
        <f t="shared" si="73"/>
        <v>#DIV/0!</v>
      </c>
      <c r="BA48" s="8" t="e">
        <f t="shared" si="73"/>
        <v>#DIV/0!</v>
      </c>
    </row>
    <row r="49" spans="1:53" s="1" customFormat="1" ht="15" thickBot="1" x14ac:dyDescent="0.4">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row>
    <row r="50" spans="1:53" ht="26.5" thickBot="1" x14ac:dyDescent="0.65">
      <c r="A50" s="224" t="s">
        <v>38</v>
      </c>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5"/>
      <c r="AL50" s="225"/>
      <c r="AM50" s="225"/>
      <c r="AN50" s="225"/>
      <c r="AO50" s="225"/>
      <c r="AP50" s="225"/>
      <c r="AQ50" s="225"/>
      <c r="AR50" s="225"/>
      <c r="AS50" s="225"/>
      <c r="AT50" s="225"/>
      <c r="AU50" s="225"/>
      <c r="AV50" s="225"/>
      <c r="AW50" s="225"/>
      <c r="AX50" s="225"/>
      <c r="AY50" s="225"/>
      <c r="AZ50" s="225"/>
      <c r="BA50" s="226"/>
    </row>
    <row r="51" spans="1:53" ht="15" thickBot="1" x14ac:dyDescent="0.4">
      <c r="A51"/>
      <c r="B51"/>
      <c r="C51"/>
      <c r="D51"/>
      <c r="E51"/>
      <c r="F51"/>
      <c r="G51"/>
      <c r="H51"/>
      <c r="I51"/>
      <c r="J51"/>
      <c r="K51"/>
      <c r="L51"/>
      <c r="M51"/>
      <c r="N51"/>
      <c r="O51"/>
      <c r="P51"/>
      <c r="Q51"/>
      <c r="R51"/>
      <c r="S51"/>
      <c r="T51"/>
      <c r="U51"/>
      <c r="V51"/>
      <c r="AC51"/>
      <c r="AI51"/>
      <c r="AJ51"/>
      <c r="AK51"/>
      <c r="AL51"/>
      <c r="AM51"/>
      <c r="AN51"/>
      <c r="AO51"/>
      <c r="AP51"/>
      <c r="AQ51"/>
      <c r="AR51"/>
      <c r="AS51"/>
      <c r="AT51"/>
    </row>
    <row r="52" spans="1:53" x14ac:dyDescent="0.35">
      <c r="A52" s="45" t="str">
        <f t="shared" ref="A52:H52" si="74">A27</f>
        <v>Noms des groupes</v>
      </c>
      <c r="B52" s="46" t="str">
        <f t="shared" si="74"/>
        <v>Témoin solvant</v>
      </c>
      <c r="C52" s="46" t="str">
        <f t="shared" si="74"/>
        <v>EE2-33,8ng/L</v>
      </c>
      <c r="D52" s="46" t="str">
        <f t="shared" si="74"/>
        <v>EE2-50,6ng/L</v>
      </c>
      <c r="E52" s="46" t="str">
        <f t="shared" si="74"/>
        <v>EE2-76ng/L</v>
      </c>
      <c r="F52" s="46" t="str">
        <f t="shared" si="74"/>
        <v>EE2-114ng/L</v>
      </c>
      <c r="G52" s="46" t="str">
        <f t="shared" si="74"/>
        <v>EE2-170,9ng/L</v>
      </c>
      <c r="H52" s="46" t="str">
        <f t="shared" si="74"/>
        <v>EE2-488ng/L</v>
      </c>
      <c r="I52" s="46" t="str">
        <f>I4</f>
        <v>Testo-3.7µg/L</v>
      </c>
      <c r="J52" s="46" t="str">
        <f>J4</f>
        <v>Testo-11µg/L</v>
      </c>
      <c r="K52" s="46" t="str">
        <f>K27</f>
        <v>Testo-33µg/L</v>
      </c>
      <c r="L52" s="46" t="str">
        <f t="shared" ref="L52:V52" si="75">L27</f>
        <v>Testo-100µg/L</v>
      </c>
      <c r="M52" s="46" t="str">
        <f t="shared" si="75"/>
        <v>Testo-300µg/L</v>
      </c>
      <c r="N52" s="46" t="str">
        <f t="shared" si="75"/>
        <v xml:space="preserve"> </v>
      </c>
      <c r="O52" s="46" t="str">
        <f t="shared" si="75"/>
        <v xml:space="preserve"> </v>
      </c>
      <c r="P52" s="46" t="str">
        <f t="shared" si="75"/>
        <v xml:space="preserve"> </v>
      </c>
      <c r="Q52" s="46" t="str">
        <f t="shared" si="75"/>
        <v xml:space="preserve"> </v>
      </c>
      <c r="R52" s="46" t="str">
        <f t="shared" si="75"/>
        <v xml:space="preserve"> </v>
      </c>
      <c r="S52" s="46" t="str">
        <f t="shared" si="75"/>
        <v xml:space="preserve"> </v>
      </c>
      <c r="T52" s="46" t="str">
        <f t="shared" si="75"/>
        <v xml:space="preserve"> </v>
      </c>
      <c r="U52" s="46" t="str">
        <f t="shared" si="75"/>
        <v xml:space="preserve"> </v>
      </c>
      <c r="V52" s="46" t="str">
        <f t="shared" si="75"/>
        <v xml:space="preserve"> </v>
      </c>
      <c r="W52" s="46" t="str">
        <f>W27</f>
        <v xml:space="preserve"> </v>
      </c>
      <c r="X52" s="46" t="str">
        <f t="shared" ref="X52:AC52" si="76">X27</f>
        <v xml:space="preserve"> </v>
      </c>
      <c r="Y52" s="46" t="str">
        <f t="shared" si="76"/>
        <v xml:space="preserve"> </v>
      </c>
      <c r="Z52" s="46" t="str">
        <f t="shared" si="76"/>
        <v xml:space="preserve"> </v>
      </c>
      <c r="AA52" s="46" t="str">
        <f t="shared" si="76"/>
        <v xml:space="preserve"> </v>
      </c>
      <c r="AB52" s="46" t="str">
        <f t="shared" si="76"/>
        <v xml:space="preserve"> </v>
      </c>
      <c r="AC52" s="46" t="str">
        <f t="shared" si="76"/>
        <v xml:space="preserve"> </v>
      </c>
      <c r="AD52" s="47"/>
      <c r="AE52" s="46" t="str">
        <f>AE27</f>
        <v>Testo -30µg/L</v>
      </c>
      <c r="AF52" s="46" t="str">
        <f>AF27</f>
        <v>Testo 30µg/L + EE2 -64ng/L</v>
      </c>
      <c r="AG52" s="46" t="str">
        <f>AG27</f>
        <v>Testo 30µg/L + FAD-10mg/L</v>
      </c>
      <c r="AH52" s="46" t="str">
        <f>AH27</f>
        <v>Testo-3,7µg/L + Testostérone</v>
      </c>
      <c r="AI52" s="46" t="str">
        <f t="shared" ref="AI52:AT52" si="77">AI27</f>
        <v>Testo-11µg/L + Testostérone</v>
      </c>
      <c r="AJ52" s="46" t="str">
        <f t="shared" si="77"/>
        <v>Testo-33µg/L + Testostérone</v>
      </c>
      <c r="AK52" s="46" t="str">
        <f t="shared" si="77"/>
        <v>Testo-100µg/L + Testostérone</v>
      </c>
      <c r="AL52" s="46" t="str">
        <f t="shared" si="77"/>
        <v>Testo-300µg/L + Testostérone</v>
      </c>
      <c r="AM52" s="46" t="str">
        <f t="shared" si="77"/>
        <v>0-00 + Testostérone</v>
      </c>
      <c r="AN52" s="46" t="str">
        <f t="shared" si="77"/>
        <v>0-00 + Testostérone</v>
      </c>
      <c r="AO52" s="46" t="str">
        <f t="shared" si="77"/>
        <v>0-00 + Testostérone</v>
      </c>
      <c r="AP52" s="46" t="str">
        <f t="shared" si="77"/>
        <v>0-00 + Testostérone</v>
      </c>
      <c r="AQ52" s="46" t="str">
        <f t="shared" si="77"/>
        <v>0-00 + Testostérone</v>
      </c>
      <c r="AR52" s="46" t="str">
        <f t="shared" si="77"/>
        <v>0-00 + Testostérone</v>
      </c>
      <c r="AS52" s="46" t="str">
        <f t="shared" si="77"/>
        <v>0-00 + Testostérone</v>
      </c>
      <c r="AT52" s="46" t="str">
        <f t="shared" si="77"/>
        <v>0-00 + Testostérone</v>
      </c>
      <c r="AU52" s="46" t="str">
        <f t="shared" ref="AU52:BA52" si="78">AU27</f>
        <v>0-00 + Testostérone</v>
      </c>
      <c r="AV52" s="46" t="str">
        <f t="shared" si="78"/>
        <v>0-00 + Testostérone</v>
      </c>
      <c r="AW52" s="46" t="str">
        <f t="shared" si="78"/>
        <v>0-00 + Testostérone</v>
      </c>
      <c r="AX52" s="46" t="str">
        <f t="shared" si="78"/>
        <v>0-00 + Testostérone</v>
      </c>
      <c r="AY52" s="46" t="str">
        <f t="shared" si="78"/>
        <v>0-00 + Testostérone</v>
      </c>
      <c r="AZ52" s="46" t="str">
        <f t="shared" si="78"/>
        <v>0-00 + Testostérone</v>
      </c>
      <c r="BA52" s="48" t="str">
        <f t="shared" si="78"/>
        <v>0-00 + Testostérone</v>
      </c>
    </row>
    <row r="53" spans="1:53" s="3" customFormat="1" x14ac:dyDescent="0.35">
      <c r="A53" s="64" t="s">
        <v>32</v>
      </c>
      <c r="B53" s="145">
        <f t="shared" ref="B53:AC53" si="79">B46</f>
        <v>0.28711179742097781</v>
      </c>
      <c r="C53" s="145">
        <f t="shared" si="79"/>
        <v>0.27885507671434989</v>
      </c>
      <c r="D53" s="145">
        <f t="shared" si="79"/>
        <v>0.29579698899899443</v>
      </c>
      <c r="E53" s="145">
        <f t="shared" si="79"/>
        <v>1.589627535074531</v>
      </c>
      <c r="F53" s="145">
        <f t="shared" si="79"/>
        <v>3.3475787057035342</v>
      </c>
      <c r="G53" s="145">
        <f t="shared" si="79"/>
        <v>3.8854558950719187</v>
      </c>
      <c r="H53" s="145">
        <f t="shared" si="79"/>
        <v>5.9796625195592217</v>
      </c>
      <c r="I53" s="145">
        <f t="shared" si="79"/>
        <v>0.43039397179146738</v>
      </c>
      <c r="J53" s="145">
        <f t="shared" si="79"/>
        <v>0.73604910919976696</v>
      </c>
      <c r="K53" s="145">
        <f t="shared" si="79"/>
        <v>1.4927067791379698</v>
      </c>
      <c r="L53" s="145">
        <f t="shared" si="79"/>
        <v>2.7022891028855716</v>
      </c>
      <c r="M53" s="145">
        <f t="shared" si="79"/>
        <v>3.573141482618833</v>
      </c>
      <c r="N53" s="145" t="e">
        <f t="shared" si="79"/>
        <v>#DIV/0!</v>
      </c>
      <c r="O53" s="145" t="e">
        <f t="shared" si="79"/>
        <v>#DIV/0!</v>
      </c>
      <c r="P53" s="145" t="e">
        <f t="shared" si="79"/>
        <v>#DIV/0!</v>
      </c>
      <c r="Q53" s="145" t="e">
        <f t="shared" si="79"/>
        <v>#DIV/0!</v>
      </c>
      <c r="R53" s="145" t="e">
        <f t="shared" si="79"/>
        <v>#DIV/0!</v>
      </c>
      <c r="S53" s="145" t="e">
        <f t="shared" si="79"/>
        <v>#DIV/0!</v>
      </c>
      <c r="T53" s="145" t="e">
        <f t="shared" si="79"/>
        <v>#DIV/0!</v>
      </c>
      <c r="U53" s="145" t="e">
        <f t="shared" si="79"/>
        <v>#DIV/0!</v>
      </c>
      <c r="V53" s="145" t="e">
        <f t="shared" si="79"/>
        <v>#DIV/0!</v>
      </c>
      <c r="W53" s="145" t="e">
        <f t="shared" si="79"/>
        <v>#DIV/0!</v>
      </c>
      <c r="X53" s="145" t="e">
        <f t="shared" si="79"/>
        <v>#DIV/0!</v>
      </c>
      <c r="Y53" s="145" t="e">
        <f t="shared" si="79"/>
        <v>#DIV/0!</v>
      </c>
      <c r="Z53" s="145" t="e">
        <f t="shared" si="79"/>
        <v>#DIV/0!</v>
      </c>
      <c r="AA53" s="145" t="e">
        <f t="shared" si="79"/>
        <v>#DIV/0!</v>
      </c>
      <c r="AB53" s="145" t="e">
        <f t="shared" si="79"/>
        <v>#DIV/0!</v>
      </c>
      <c r="AC53" s="145" t="e">
        <f t="shared" si="79"/>
        <v>#DIV/0!</v>
      </c>
      <c r="AD53" s="145"/>
      <c r="AE53" s="145">
        <f t="shared" ref="AE53:BA53" si="80">AE46</f>
        <v>0.99999999999999989</v>
      </c>
      <c r="AF53" s="145">
        <f t="shared" si="80"/>
        <v>4.9194636556095812</v>
      </c>
      <c r="AG53" s="145">
        <f t="shared" si="80"/>
        <v>0.15808032301624825</v>
      </c>
      <c r="AH53" s="145">
        <f t="shared" si="80"/>
        <v>1.683718993642384</v>
      </c>
      <c r="AI53" s="145">
        <f t="shared" si="80"/>
        <v>2.6470625144600248</v>
      </c>
      <c r="AJ53" s="145">
        <f t="shared" si="80"/>
        <v>1.6174808578599391</v>
      </c>
      <c r="AK53" s="145">
        <f t="shared" si="80"/>
        <v>1.6155421898078735</v>
      </c>
      <c r="AL53" s="145">
        <f t="shared" si="80"/>
        <v>2.7962542955268646</v>
      </c>
      <c r="AM53" s="145" t="e">
        <f t="shared" si="80"/>
        <v>#DIV/0!</v>
      </c>
      <c r="AN53" s="145" t="e">
        <f t="shared" si="80"/>
        <v>#DIV/0!</v>
      </c>
      <c r="AO53" s="145" t="e">
        <f t="shared" si="80"/>
        <v>#DIV/0!</v>
      </c>
      <c r="AP53" s="145" t="e">
        <f t="shared" si="80"/>
        <v>#DIV/0!</v>
      </c>
      <c r="AQ53" s="145" t="e">
        <f t="shared" si="80"/>
        <v>#DIV/0!</v>
      </c>
      <c r="AR53" s="145" t="e">
        <f t="shared" si="80"/>
        <v>#DIV/0!</v>
      </c>
      <c r="AS53" s="145" t="e">
        <f t="shared" si="80"/>
        <v>#DIV/0!</v>
      </c>
      <c r="AT53" s="145" t="e">
        <f t="shared" si="80"/>
        <v>#DIV/0!</v>
      </c>
      <c r="AU53" s="145" t="e">
        <f t="shared" si="80"/>
        <v>#DIV/0!</v>
      </c>
      <c r="AV53" s="145" t="e">
        <f t="shared" si="80"/>
        <v>#DIV/0!</v>
      </c>
      <c r="AW53" s="145" t="e">
        <f t="shared" si="80"/>
        <v>#DIV/0!</v>
      </c>
      <c r="AX53" s="145" t="e">
        <f t="shared" si="80"/>
        <v>#DIV/0!</v>
      </c>
      <c r="AY53" s="145" t="e">
        <f t="shared" si="80"/>
        <v>#DIV/0!</v>
      </c>
      <c r="AZ53" s="145" t="e">
        <f t="shared" si="80"/>
        <v>#DIV/0!</v>
      </c>
      <c r="BA53" s="145" t="e">
        <f t="shared" si="80"/>
        <v>#DIV/0!</v>
      </c>
    </row>
    <row r="54" spans="1:53" s="3" customFormat="1" x14ac:dyDescent="0.35">
      <c r="A54" s="64" t="s">
        <v>2</v>
      </c>
      <c r="B54" s="145">
        <f t="shared" ref="B54:AC54" si="81">B48</f>
        <v>5.3907758242426218E-2</v>
      </c>
      <c r="C54" s="145">
        <f t="shared" si="81"/>
        <v>8.7564893637376504E-2</v>
      </c>
      <c r="D54" s="145">
        <f t="shared" si="81"/>
        <v>9.0449422634765686E-2</v>
      </c>
      <c r="E54" s="145">
        <f t="shared" si="81"/>
        <v>0.49021224996606311</v>
      </c>
      <c r="F54" s="145">
        <f t="shared" si="81"/>
        <v>0.28899257787734167</v>
      </c>
      <c r="G54" s="145">
        <f t="shared" si="81"/>
        <v>0.74422473611425033</v>
      </c>
      <c r="H54" s="145">
        <f t="shared" si="81"/>
        <v>0.27272433704754007</v>
      </c>
      <c r="I54" s="145">
        <f t="shared" si="81"/>
        <v>0.11034850850363365</v>
      </c>
      <c r="J54" s="145">
        <f t="shared" si="81"/>
        <v>0.20853362822339427</v>
      </c>
      <c r="K54" s="145">
        <f t="shared" si="81"/>
        <v>0.35565150279802787</v>
      </c>
      <c r="L54" s="145">
        <f t="shared" si="81"/>
        <v>0.66011920134633773</v>
      </c>
      <c r="M54" s="145">
        <f t="shared" si="81"/>
        <v>0.43389447045431573</v>
      </c>
      <c r="N54" s="145" t="e">
        <f t="shared" si="81"/>
        <v>#DIV/0!</v>
      </c>
      <c r="O54" s="145" t="e">
        <f t="shared" si="81"/>
        <v>#DIV/0!</v>
      </c>
      <c r="P54" s="145" t="e">
        <f t="shared" si="81"/>
        <v>#DIV/0!</v>
      </c>
      <c r="Q54" s="145" t="e">
        <f t="shared" si="81"/>
        <v>#DIV/0!</v>
      </c>
      <c r="R54" s="145" t="e">
        <f t="shared" si="81"/>
        <v>#DIV/0!</v>
      </c>
      <c r="S54" s="145" t="e">
        <f t="shared" si="81"/>
        <v>#DIV/0!</v>
      </c>
      <c r="T54" s="145" t="e">
        <f t="shared" si="81"/>
        <v>#DIV/0!</v>
      </c>
      <c r="U54" s="145" t="e">
        <f t="shared" si="81"/>
        <v>#DIV/0!</v>
      </c>
      <c r="V54" s="145" t="e">
        <f t="shared" si="81"/>
        <v>#DIV/0!</v>
      </c>
      <c r="W54" s="145" t="e">
        <f t="shared" si="81"/>
        <v>#DIV/0!</v>
      </c>
      <c r="X54" s="145" t="e">
        <f t="shared" si="81"/>
        <v>#DIV/0!</v>
      </c>
      <c r="Y54" s="145" t="e">
        <f t="shared" si="81"/>
        <v>#DIV/0!</v>
      </c>
      <c r="Z54" s="145" t="e">
        <f t="shared" si="81"/>
        <v>#DIV/0!</v>
      </c>
      <c r="AA54" s="145" t="e">
        <f t="shared" si="81"/>
        <v>#DIV/0!</v>
      </c>
      <c r="AB54" s="145" t="e">
        <f t="shared" si="81"/>
        <v>#DIV/0!</v>
      </c>
      <c r="AC54" s="145" t="e">
        <f t="shared" si="81"/>
        <v>#DIV/0!</v>
      </c>
      <c r="AD54" s="145"/>
      <c r="AE54" s="145">
        <f t="shared" ref="AE54:BA54" si="82">AE48</f>
        <v>0.24954716600746679</v>
      </c>
      <c r="AF54" s="145">
        <f t="shared" si="82"/>
        <v>0.45312558055857671</v>
      </c>
      <c r="AG54" s="145">
        <f t="shared" si="82"/>
        <v>4.1102807042711111E-2</v>
      </c>
      <c r="AH54" s="145">
        <f t="shared" si="82"/>
        <v>0.50648143251155797</v>
      </c>
      <c r="AI54" s="145">
        <f t="shared" si="82"/>
        <v>0.43975938489858163</v>
      </c>
      <c r="AJ54" s="145">
        <f t="shared" si="82"/>
        <v>0.55258809769186634</v>
      </c>
      <c r="AK54" s="145">
        <f t="shared" si="82"/>
        <v>0.5338188501256248</v>
      </c>
      <c r="AL54" s="145">
        <f t="shared" si="82"/>
        <v>0.68160357381937864</v>
      </c>
      <c r="AM54" s="145" t="e">
        <f t="shared" si="82"/>
        <v>#DIV/0!</v>
      </c>
      <c r="AN54" s="145" t="e">
        <f t="shared" si="82"/>
        <v>#DIV/0!</v>
      </c>
      <c r="AO54" s="145" t="e">
        <f t="shared" si="82"/>
        <v>#DIV/0!</v>
      </c>
      <c r="AP54" s="145" t="e">
        <f t="shared" si="82"/>
        <v>#DIV/0!</v>
      </c>
      <c r="AQ54" s="145" t="e">
        <f t="shared" si="82"/>
        <v>#DIV/0!</v>
      </c>
      <c r="AR54" s="145" t="e">
        <f t="shared" si="82"/>
        <v>#DIV/0!</v>
      </c>
      <c r="AS54" s="145" t="e">
        <f t="shared" si="82"/>
        <v>#DIV/0!</v>
      </c>
      <c r="AT54" s="145" t="e">
        <f t="shared" si="82"/>
        <v>#DIV/0!</v>
      </c>
      <c r="AU54" s="145" t="e">
        <f t="shared" si="82"/>
        <v>#DIV/0!</v>
      </c>
      <c r="AV54" s="145" t="e">
        <f t="shared" si="82"/>
        <v>#DIV/0!</v>
      </c>
      <c r="AW54" s="145" t="e">
        <f t="shared" si="82"/>
        <v>#DIV/0!</v>
      </c>
      <c r="AX54" s="145" t="e">
        <f t="shared" si="82"/>
        <v>#DIV/0!</v>
      </c>
      <c r="AY54" s="145" t="e">
        <f t="shared" si="82"/>
        <v>#DIV/0!</v>
      </c>
      <c r="AZ54" s="145" t="e">
        <f t="shared" si="82"/>
        <v>#DIV/0!</v>
      </c>
      <c r="BA54" s="145" t="e">
        <f t="shared" si="82"/>
        <v>#DIV/0!</v>
      </c>
    </row>
    <row r="55" spans="1:53" s="3" customFormat="1" x14ac:dyDescent="0.35">
      <c r="A55" s="64" t="s">
        <v>79</v>
      </c>
      <c r="B55" s="145">
        <f t="shared" ref="B55:AC55" si="83">(B53*100/$B$53)-100</f>
        <v>0</v>
      </c>
      <c r="C55" s="145">
        <f t="shared" si="83"/>
        <v>-2.875785941502599</v>
      </c>
      <c r="D55" s="145">
        <f t="shared" si="83"/>
        <v>3.0250207953948802</v>
      </c>
      <c r="E55" s="145">
        <f t="shared" si="83"/>
        <v>453.66151769226633</v>
      </c>
      <c r="F55" s="145">
        <f t="shared" si="83"/>
        <v>1065.9495484942213</v>
      </c>
      <c r="G55" s="145">
        <f t="shared" si="83"/>
        <v>1253.2902270034092</v>
      </c>
      <c r="H55" s="145">
        <f t="shared" si="83"/>
        <v>1982.694815494307</v>
      </c>
      <c r="I55" s="145">
        <f t="shared" si="83"/>
        <v>49.904662802971501</v>
      </c>
      <c r="J55" s="145">
        <f t="shared" si="83"/>
        <v>156.36324101323316</v>
      </c>
      <c r="K55" s="145">
        <f t="shared" si="83"/>
        <v>419.90436915042119</v>
      </c>
      <c r="L55" s="145">
        <f t="shared" si="83"/>
        <v>841.19751510013316</v>
      </c>
      <c r="M55" s="145">
        <f t="shared" si="83"/>
        <v>1144.5122473945969</v>
      </c>
      <c r="N55" s="145" t="e">
        <f t="shared" si="83"/>
        <v>#DIV/0!</v>
      </c>
      <c r="O55" s="145" t="e">
        <f t="shared" si="83"/>
        <v>#DIV/0!</v>
      </c>
      <c r="P55" s="145" t="e">
        <f t="shared" si="83"/>
        <v>#DIV/0!</v>
      </c>
      <c r="Q55" s="145" t="e">
        <f t="shared" si="83"/>
        <v>#DIV/0!</v>
      </c>
      <c r="R55" s="145" t="e">
        <f t="shared" si="83"/>
        <v>#DIV/0!</v>
      </c>
      <c r="S55" s="145" t="e">
        <f t="shared" si="83"/>
        <v>#DIV/0!</v>
      </c>
      <c r="T55" s="145" t="e">
        <f t="shared" si="83"/>
        <v>#DIV/0!</v>
      </c>
      <c r="U55" s="145" t="e">
        <f t="shared" si="83"/>
        <v>#DIV/0!</v>
      </c>
      <c r="V55" s="145" t="e">
        <f t="shared" si="83"/>
        <v>#DIV/0!</v>
      </c>
      <c r="W55" s="145" t="e">
        <f t="shared" si="83"/>
        <v>#DIV/0!</v>
      </c>
      <c r="X55" s="145" t="e">
        <f t="shared" si="83"/>
        <v>#DIV/0!</v>
      </c>
      <c r="Y55" s="145" t="e">
        <f t="shared" si="83"/>
        <v>#DIV/0!</v>
      </c>
      <c r="Z55" s="145" t="e">
        <f t="shared" si="83"/>
        <v>#DIV/0!</v>
      </c>
      <c r="AA55" s="145" t="e">
        <f t="shared" si="83"/>
        <v>#DIV/0!</v>
      </c>
      <c r="AB55" s="145" t="e">
        <f t="shared" si="83"/>
        <v>#DIV/0!</v>
      </c>
      <c r="AC55" s="145" t="e">
        <f t="shared" si="83"/>
        <v>#DIV/0!</v>
      </c>
      <c r="AD55" s="145"/>
      <c r="AE55" s="145">
        <f>(AE53*100/$AE$53)-100</f>
        <v>0</v>
      </c>
      <c r="AF55" s="145">
        <f t="shared" ref="AF55:BA55" si="84">(AF53*100/$AE$53)-100</f>
        <v>391.94636556095816</v>
      </c>
      <c r="AG55" s="145">
        <f t="shared" si="84"/>
        <v>-84.19196769837518</v>
      </c>
      <c r="AH55" s="145">
        <f t="shared" si="84"/>
        <v>68.371899364238431</v>
      </c>
      <c r="AI55" s="145">
        <f t="shared" si="84"/>
        <v>164.70625144600257</v>
      </c>
      <c r="AJ55" s="145">
        <f t="shared" si="84"/>
        <v>61.748085785993936</v>
      </c>
      <c r="AK55" s="145">
        <f t="shared" si="84"/>
        <v>61.554218980787368</v>
      </c>
      <c r="AL55" s="145">
        <f t="shared" si="84"/>
        <v>179.62542955268651</v>
      </c>
      <c r="AM55" s="145" t="e">
        <f t="shared" si="84"/>
        <v>#DIV/0!</v>
      </c>
      <c r="AN55" s="145" t="e">
        <f t="shared" si="84"/>
        <v>#DIV/0!</v>
      </c>
      <c r="AO55" s="145" t="e">
        <f t="shared" si="84"/>
        <v>#DIV/0!</v>
      </c>
      <c r="AP55" s="145" t="e">
        <f t="shared" si="84"/>
        <v>#DIV/0!</v>
      </c>
      <c r="AQ55" s="145" t="e">
        <f t="shared" si="84"/>
        <v>#DIV/0!</v>
      </c>
      <c r="AR55" s="145" t="e">
        <f t="shared" si="84"/>
        <v>#DIV/0!</v>
      </c>
      <c r="AS55" s="145" t="e">
        <f t="shared" si="84"/>
        <v>#DIV/0!</v>
      </c>
      <c r="AT55" s="145" t="e">
        <f t="shared" si="84"/>
        <v>#DIV/0!</v>
      </c>
      <c r="AU55" s="145" t="e">
        <f t="shared" si="84"/>
        <v>#DIV/0!</v>
      </c>
      <c r="AV55" s="145" t="e">
        <f t="shared" si="84"/>
        <v>#DIV/0!</v>
      </c>
      <c r="AW55" s="145" t="e">
        <f t="shared" si="84"/>
        <v>#DIV/0!</v>
      </c>
      <c r="AX55" s="145" t="e">
        <f t="shared" si="84"/>
        <v>#DIV/0!</v>
      </c>
      <c r="AY55" s="145" t="e">
        <f t="shared" si="84"/>
        <v>#DIV/0!</v>
      </c>
      <c r="AZ55" s="145" t="e">
        <f t="shared" si="84"/>
        <v>#DIV/0!</v>
      </c>
      <c r="BA55" s="145" t="e">
        <f t="shared" si="84"/>
        <v>#DIV/0!</v>
      </c>
    </row>
    <row r="56" spans="1:53" s="3" customFormat="1" x14ac:dyDescent="0.35">
      <c r="A56" s="64" t="s">
        <v>81</v>
      </c>
      <c r="B56" s="145" t="e">
        <f ca="1">[1]!SWTEST(B28:B43)</f>
        <v>#NAME?</v>
      </c>
      <c r="C56" s="145" t="e">
        <f ca="1">[1]!SWTEST(C28:C43)</f>
        <v>#NAME?</v>
      </c>
      <c r="D56" s="145" t="e">
        <f ca="1">[1]!SWTEST(D28:D43)</f>
        <v>#NAME?</v>
      </c>
      <c r="E56" s="145" t="e">
        <f ca="1">[1]!SWTEST(E28:E43)</f>
        <v>#NAME?</v>
      </c>
      <c r="F56" s="145" t="e">
        <f ca="1">[1]!SWTEST(F28:F43)</f>
        <v>#NAME?</v>
      </c>
      <c r="G56" s="145" t="e">
        <f ca="1">[1]!SWTEST(G28:G43)</f>
        <v>#NAME?</v>
      </c>
      <c r="H56" s="145" t="e">
        <f ca="1">[1]!SWTEST(H28:H43)</f>
        <v>#NAME?</v>
      </c>
      <c r="I56" s="145" t="e">
        <f ca="1">[1]!SWTEST(I28:I43)</f>
        <v>#NAME?</v>
      </c>
      <c r="J56" s="145" t="e">
        <f ca="1">[1]!SWTEST(J28:J43)</f>
        <v>#NAME?</v>
      </c>
      <c r="K56" s="145" t="e">
        <f ca="1">[1]!SWTEST(K28:K43)</f>
        <v>#NAME?</v>
      </c>
      <c r="L56" s="145" t="e">
        <f ca="1">[1]!SWTEST(L28:L43)</f>
        <v>#NAME?</v>
      </c>
      <c r="M56" s="145" t="e">
        <f ca="1">[1]!SWTEST(M28:M43)</f>
        <v>#NAME?</v>
      </c>
      <c r="N56" s="145" t="e">
        <f ca="1">[1]!SWTEST(N28:N43)</f>
        <v>#NAME?</v>
      </c>
      <c r="O56" s="145" t="e">
        <f ca="1">[1]!SWTEST(O28:O43)</f>
        <v>#NAME?</v>
      </c>
      <c r="P56" s="145" t="e">
        <f ca="1">[1]!SWTEST(P28:P43)</f>
        <v>#NAME?</v>
      </c>
      <c r="Q56" s="145" t="e">
        <f ca="1">[1]!SWTEST(Q28:Q43)</f>
        <v>#NAME?</v>
      </c>
      <c r="R56" s="145" t="e">
        <f ca="1">[1]!SWTEST(R28:R43)</f>
        <v>#NAME?</v>
      </c>
      <c r="S56" s="145" t="e">
        <f ca="1">[1]!SWTEST(S28:S43)</f>
        <v>#NAME?</v>
      </c>
      <c r="T56" s="145" t="e">
        <f ca="1">[1]!SWTEST(T28:T43)</f>
        <v>#NAME?</v>
      </c>
      <c r="U56" s="145" t="e">
        <f ca="1">[1]!SWTEST(U28:U43)</f>
        <v>#NAME?</v>
      </c>
      <c r="V56" s="145" t="e">
        <f ca="1">[1]!SWTEST(V28:V43)</f>
        <v>#NAME?</v>
      </c>
      <c r="W56" s="145" t="e">
        <f ca="1">[1]!SWTEST(W28:W43)</f>
        <v>#NAME?</v>
      </c>
      <c r="X56" s="145" t="e">
        <f ca="1">[1]!SWTEST(X28:X43)</f>
        <v>#NAME?</v>
      </c>
      <c r="Y56" s="145" t="e">
        <f ca="1">[1]!SWTEST(Y28:Y43)</f>
        <v>#NAME?</v>
      </c>
      <c r="Z56" s="145" t="e">
        <f ca="1">[1]!SWTEST(Z28:Z43)</f>
        <v>#NAME?</v>
      </c>
      <c r="AA56" s="145" t="e">
        <f ca="1">[1]!SWTEST(AA28:AA43)</f>
        <v>#NAME?</v>
      </c>
      <c r="AB56" s="145" t="e">
        <f ca="1">[1]!SWTEST(AB28:AB43)</f>
        <v>#NAME?</v>
      </c>
      <c r="AC56" s="145" t="e">
        <f ca="1">[1]!SWTEST(AC28:AC43)</f>
        <v>#NAME?</v>
      </c>
      <c r="AD56" s="145"/>
      <c r="AE56" s="145" t="e">
        <f ca="1">[1]!SWTEST(AE28:AE43)</f>
        <v>#NAME?</v>
      </c>
      <c r="AF56" s="145" t="e">
        <f ca="1">[1]!SWTEST(AF28:AF43)</f>
        <v>#NAME?</v>
      </c>
      <c r="AG56" s="145" t="e">
        <f ca="1">[1]!SWTEST(AG28:AG43)</f>
        <v>#NAME?</v>
      </c>
      <c r="AH56" s="145" t="e">
        <f ca="1">[1]!SWTEST(AH28:AH43)</f>
        <v>#NAME?</v>
      </c>
      <c r="AI56" s="145" t="e">
        <f ca="1">[1]!SWTEST(AI28:AI43)</f>
        <v>#NAME?</v>
      </c>
      <c r="AJ56" s="145" t="e">
        <f ca="1">[1]!SWTEST(AJ28:AJ43)</f>
        <v>#NAME?</v>
      </c>
      <c r="AK56" s="145" t="e">
        <f ca="1">[1]!SWTEST(AK28:AK43)</f>
        <v>#NAME?</v>
      </c>
      <c r="AL56" s="145" t="e">
        <f ca="1">[1]!SWTEST(AL28:AL43)</f>
        <v>#NAME?</v>
      </c>
      <c r="AM56" s="145" t="e">
        <f ca="1">[1]!SWTEST(AM28:AM43)</f>
        <v>#NAME?</v>
      </c>
      <c r="AN56" s="145" t="e">
        <f ca="1">[1]!SWTEST(AN28:AN43)</f>
        <v>#NAME?</v>
      </c>
      <c r="AO56" s="145" t="e">
        <f ca="1">[1]!SWTEST(AO28:AO43)</f>
        <v>#NAME?</v>
      </c>
      <c r="AP56" s="145" t="e">
        <f ca="1">[1]!SWTEST(AP28:AP43)</f>
        <v>#NAME?</v>
      </c>
      <c r="AQ56" s="145" t="e">
        <f ca="1">[1]!SWTEST(AQ28:AQ43)</f>
        <v>#NAME?</v>
      </c>
      <c r="AR56" s="145" t="e">
        <f ca="1">[1]!SWTEST(AR28:AR43)</f>
        <v>#NAME?</v>
      </c>
      <c r="AS56" s="145" t="e">
        <f ca="1">[1]!SWTEST(AS28:AS43)</f>
        <v>#NAME?</v>
      </c>
      <c r="AT56" s="145" t="e">
        <f ca="1">[1]!SWTEST(AT28:AT43)</f>
        <v>#NAME?</v>
      </c>
      <c r="AU56" s="145" t="e">
        <f ca="1">[1]!SWTEST(AU28:AU43)</f>
        <v>#NAME?</v>
      </c>
      <c r="AV56" s="145" t="e">
        <f ca="1">[1]!SWTEST(AV28:AV43)</f>
        <v>#NAME?</v>
      </c>
      <c r="AW56" s="145" t="e">
        <f ca="1">[1]!SWTEST(AW28:AW43)</f>
        <v>#NAME?</v>
      </c>
      <c r="AX56" s="145" t="e">
        <f ca="1">[1]!SWTEST(AX28:AX43)</f>
        <v>#NAME?</v>
      </c>
      <c r="AY56" s="145" t="e">
        <f ca="1">[1]!SWTEST(AY28:AY43)</f>
        <v>#NAME?</v>
      </c>
      <c r="AZ56" s="145" t="e">
        <f ca="1">[1]!SWTEST(AZ28:AZ43)</f>
        <v>#NAME?</v>
      </c>
      <c r="BA56" s="145" t="e">
        <f ca="1">[1]!SWTEST(BA28:BA43)</f>
        <v>#NAME?</v>
      </c>
    </row>
    <row r="57" spans="1:53" s="3" customFormat="1" x14ac:dyDescent="0.35">
      <c r="A57" s="64" t="s">
        <v>85</v>
      </c>
      <c r="B57" s="145" t="e">
        <f t="shared" ref="B57:AC57" ca="1" si="85">IF(B56&gt;0.05,"Oui","Non")</f>
        <v>#NAME?</v>
      </c>
      <c r="C57" s="145" t="e">
        <f t="shared" ca="1" si="85"/>
        <v>#NAME?</v>
      </c>
      <c r="D57" s="145" t="e">
        <f t="shared" ca="1" si="85"/>
        <v>#NAME?</v>
      </c>
      <c r="E57" s="145" t="e">
        <f t="shared" ca="1" si="85"/>
        <v>#NAME?</v>
      </c>
      <c r="F57" s="145" t="e">
        <f t="shared" ca="1" si="85"/>
        <v>#NAME?</v>
      </c>
      <c r="G57" s="145" t="e">
        <f t="shared" ca="1" si="85"/>
        <v>#NAME?</v>
      </c>
      <c r="H57" s="145" t="e">
        <f t="shared" ca="1" si="85"/>
        <v>#NAME?</v>
      </c>
      <c r="I57" s="145" t="e">
        <f t="shared" ca="1" si="85"/>
        <v>#NAME?</v>
      </c>
      <c r="J57" s="145" t="e">
        <f t="shared" ca="1" si="85"/>
        <v>#NAME?</v>
      </c>
      <c r="K57" s="145" t="e">
        <f t="shared" ca="1" si="85"/>
        <v>#NAME?</v>
      </c>
      <c r="L57" s="145" t="e">
        <f t="shared" ca="1" si="85"/>
        <v>#NAME?</v>
      </c>
      <c r="M57" s="145" t="e">
        <f t="shared" ca="1" si="85"/>
        <v>#NAME?</v>
      </c>
      <c r="N57" s="145" t="e">
        <f t="shared" ca="1" si="85"/>
        <v>#NAME?</v>
      </c>
      <c r="O57" s="145" t="e">
        <f t="shared" ca="1" si="85"/>
        <v>#NAME?</v>
      </c>
      <c r="P57" s="145" t="e">
        <f t="shared" ca="1" si="85"/>
        <v>#NAME?</v>
      </c>
      <c r="Q57" s="145" t="e">
        <f t="shared" ca="1" si="85"/>
        <v>#NAME?</v>
      </c>
      <c r="R57" s="145" t="e">
        <f t="shared" ca="1" si="85"/>
        <v>#NAME?</v>
      </c>
      <c r="S57" s="145" t="e">
        <f t="shared" ca="1" si="85"/>
        <v>#NAME?</v>
      </c>
      <c r="T57" s="145" t="e">
        <f t="shared" ca="1" si="85"/>
        <v>#NAME?</v>
      </c>
      <c r="U57" s="145" t="e">
        <f t="shared" ca="1" si="85"/>
        <v>#NAME?</v>
      </c>
      <c r="V57" s="145" t="e">
        <f t="shared" ca="1" si="85"/>
        <v>#NAME?</v>
      </c>
      <c r="W57" s="145" t="e">
        <f t="shared" ca="1" si="85"/>
        <v>#NAME?</v>
      </c>
      <c r="X57" s="145" t="e">
        <f t="shared" ca="1" si="85"/>
        <v>#NAME?</v>
      </c>
      <c r="Y57" s="145" t="e">
        <f t="shared" ca="1" si="85"/>
        <v>#NAME?</v>
      </c>
      <c r="Z57" s="145" t="e">
        <f t="shared" ca="1" si="85"/>
        <v>#NAME?</v>
      </c>
      <c r="AA57" s="145" t="e">
        <f t="shared" ca="1" si="85"/>
        <v>#NAME?</v>
      </c>
      <c r="AB57" s="145" t="e">
        <f t="shared" ca="1" si="85"/>
        <v>#NAME?</v>
      </c>
      <c r="AC57" s="145" t="e">
        <f t="shared" ca="1" si="85"/>
        <v>#NAME?</v>
      </c>
      <c r="AD57" s="145"/>
      <c r="AE57" s="145" t="e">
        <f t="shared" ref="AE57:BA57" ca="1" si="86">IF(AE56&gt;0.05,"Oui","Non")</f>
        <v>#NAME?</v>
      </c>
      <c r="AF57" s="145" t="e">
        <f t="shared" ca="1" si="86"/>
        <v>#NAME?</v>
      </c>
      <c r="AG57" s="145" t="e">
        <f t="shared" ca="1" si="86"/>
        <v>#NAME?</v>
      </c>
      <c r="AH57" s="145" t="e">
        <f t="shared" ca="1" si="86"/>
        <v>#NAME?</v>
      </c>
      <c r="AI57" s="145" t="e">
        <f t="shared" ca="1" si="86"/>
        <v>#NAME?</v>
      </c>
      <c r="AJ57" s="145" t="e">
        <f t="shared" ca="1" si="86"/>
        <v>#NAME?</v>
      </c>
      <c r="AK57" s="145" t="e">
        <f t="shared" ca="1" si="86"/>
        <v>#NAME?</v>
      </c>
      <c r="AL57" s="145" t="e">
        <f t="shared" ca="1" si="86"/>
        <v>#NAME?</v>
      </c>
      <c r="AM57" s="145" t="e">
        <f t="shared" ca="1" si="86"/>
        <v>#NAME?</v>
      </c>
      <c r="AN57" s="145" t="e">
        <f t="shared" ca="1" si="86"/>
        <v>#NAME?</v>
      </c>
      <c r="AO57" s="145" t="e">
        <f t="shared" ca="1" si="86"/>
        <v>#NAME?</v>
      </c>
      <c r="AP57" s="145" t="e">
        <f t="shared" ca="1" si="86"/>
        <v>#NAME?</v>
      </c>
      <c r="AQ57" s="145" t="e">
        <f t="shared" ca="1" si="86"/>
        <v>#NAME?</v>
      </c>
      <c r="AR57" s="145" t="e">
        <f t="shared" ca="1" si="86"/>
        <v>#NAME?</v>
      </c>
      <c r="AS57" s="145" t="e">
        <f t="shared" ca="1" si="86"/>
        <v>#NAME?</v>
      </c>
      <c r="AT57" s="145" t="e">
        <f t="shared" ca="1" si="86"/>
        <v>#NAME?</v>
      </c>
      <c r="AU57" s="145" t="e">
        <f t="shared" ca="1" si="86"/>
        <v>#NAME?</v>
      </c>
      <c r="AV57" s="145" t="e">
        <f t="shared" ca="1" si="86"/>
        <v>#NAME?</v>
      </c>
      <c r="AW57" s="145" t="e">
        <f t="shared" ca="1" si="86"/>
        <v>#NAME?</v>
      </c>
      <c r="AX57" s="145" t="e">
        <f t="shared" ca="1" si="86"/>
        <v>#NAME?</v>
      </c>
      <c r="AY57" s="145" t="e">
        <f t="shared" ca="1" si="86"/>
        <v>#NAME?</v>
      </c>
      <c r="AZ57" s="145" t="e">
        <f t="shared" ca="1" si="86"/>
        <v>#NAME?</v>
      </c>
      <c r="BA57" s="145" t="e">
        <f t="shared" ca="1" si="86"/>
        <v>#NAME?</v>
      </c>
    </row>
    <row r="58" spans="1:53" s="3" customFormat="1" x14ac:dyDescent="0.35">
      <c r="A58" s="64"/>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52"/>
      <c r="AE58" s="153"/>
      <c r="AF58" s="145"/>
      <c r="AG58" s="145"/>
      <c r="AH58" s="145"/>
      <c r="AI58" s="145"/>
      <c r="AJ58" s="145"/>
      <c r="AK58" s="145"/>
      <c r="AL58" s="145"/>
      <c r="AM58" s="145"/>
      <c r="AN58" s="145"/>
      <c r="AO58" s="145"/>
      <c r="AP58" s="145"/>
      <c r="AQ58" s="145"/>
      <c r="AR58" s="145"/>
      <c r="AS58" s="145"/>
      <c r="AT58" s="145"/>
      <c r="AU58" s="154"/>
      <c r="AV58" s="154"/>
      <c r="AW58" s="154"/>
      <c r="AX58" s="154"/>
      <c r="AY58" s="154"/>
      <c r="AZ58" s="154"/>
      <c r="BA58" s="155"/>
    </row>
    <row r="59" spans="1:53" s="3" customFormat="1" x14ac:dyDescent="0.35">
      <c r="A59" s="64" t="s">
        <v>82</v>
      </c>
      <c r="B59" s="156"/>
      <c r="C59" s="156" t="e">
        <f t="shared" ref="C59:AC59" ca="1" si="87">IF($B57="Non",IF(C$57="Non","Mann Withney",IF(C$57="Oui","Mann Withney","")),IF($B$57="Oui",IF(C$57="Oui","T-Test Welch",IF(C$57="Non","Mann Withney",""))))</f>
        <v>#NAME?</v>
      </c>
      <c r="D59" s="156" t="e">
        <f t="shared" ca="1" si="87"/>
        <v>#NAME?</v>
      </c>
      <c r="E59" s="156" t="e">
        <f t="shared" ca="1" si="87"/>
        <v>#NAME?</v>
      </c>
      <c r="F59" s="156" t="e">
        <f t="shared" ca="1" si="87"/>
        <v>#NAME?</v>
      </c>
      <c r="G59" s="156" t="e">
        <f t="shared" ca="1" si="87"/>
        <v>#NAME?</v>
      </c>
      <c r="H59" s="156" t="e">
        <f t="shared" ca="1" si="87"/>
        <v>#NAME?</v>
      </c>
      <c r="I59" s="156" t="e">
        <f t="shared" ca="1" si="87"/>
        <v>#NAME?</v>
      </c>
      <c r="J59" s="156" t="e">
        <f t="shared" ca="1" si="87"/>
        <v>#NAME?</v>
      </c>
      <c r="K59" s="156" t="e">
        <f t="shared" ca="1" si="87"/>
        <v>#NAME?</v>
      </c>
      <c r="L59" s="156" t="e">
        <f t="shared" ca="1" si="87"/>
        <v>#NAME?</v>
      </c>
      <c r="M59" s="156" t="e">
        <f t="shared" ca="1" si="87"/>
        <v>#NAME?</v>
      </c>
      <c r="N59" s="156" t="e">
        <f t="shared" ca="1" si="87"/>
        <v>#NAME?</v>
      </c>
      <c r="O59" s="156" t="e">
        <f t="shared" ca="1" si="87"/>
        <v>#NAME?</v>
      </c>
      <c r="P59" s="156" t="e">
        <f t="shared" ca="1" si="87"/>
        <v>#NAME?</v>
      </c>
      <c r="Q59" s="156" t="e">
        <f t="shared" ca="1" si="87"/>
        <v>#NAME?</v>
      </c>
      <c r="R59" s="156" t="e">
        <f t="shared" ca="1" si="87"/>
        <v>#NAME?</v>
      </c>
      <c r="S59" s="156" t="e">
        <f t="shared" ca="1" si="87"/>
        <v>#NAME?</v>
      </c>
      <c r="T59" s="156" t="e">
        <f t="shared" ca="1" si="87"/>
        <v>#NAME?</v>
      </c>
      <c r="U59" s="156" t="e">
        <f t="shared" ca="1" si="87"/>
        <v>#NAME?</v>
      </c>
      <c r="V59" s="156" t="e">
        <f t="shared" ca="1" si="87"/>
        <v>#NAME?</v>
      </c>
      <c r="W59" s="156" t="e">
        <f t="shared" ca="1" si="87"/>
        <v>#NAME?</v>
      </c>
      <c r="X59" s="156" t="e">
        <f t="shared" ca="1" si="87"/>
        <v>#NAME?</v>
      </c>
      <c r="Y59" s="156" t="e">
        <f t="shared" ca="1" si="87"/>
        <v>#NAME?</v>
      </c>
      <c r="Z59" s="156" t="e">
        <f t="shared" ca="1" si="87"/>
        <v>#NAME?</v>
      </c>
      <c r="AA59" s="156" t="e">
        <f t="shared" ca="1" si="87"/>
        <v>#NAME?</v>
      </c>
      <c r="AB59" s="156" t="e">
        <f t="shared" ca="1" si="87"/>
        <v>#NAME?</v>
      </c>
      <c r="AC59" s="156" t="e">
        <f t="shared" ca="1" si="87"/>
        <v>#NAME?</v>
      </c>
      <c r="AD59" s="156"/>
      <c r="AE59" s="156" t="e">
        <f ca="1">IF($B57="Non",IF(AE$57="Non","Mann Withney",IF(AE$57="Oui","Mann Withney","")),IF($B$57="Oui",IF(AE$57="Oui","T-Test Welch",IF(AE$57="Non","Mann Withney",""))))</f>
        <v>#NAME?</v>
      </c>
      <c r="AF59" s="156" t="e">
        <f ca="1">IF($AE57="Non",IF(AF$57="Non","Mann Withney",IF(AF$57="Oui","Mann Withney","")),IF($AE$57="Oui",IF(AF$57="Oui","T-Test Welch",IF(AF$57="Non","Mann Withney",""))))</f>
        <v>#NAME?</v>
      </c>
      <c r="AG59" s="156" t="e">
        <f t="shared" ref="AG59:BA59" ca="1" si="88">IF($AE57="Non",IF(AG$57="Non","Mann Withney",IF(AG$57="Oui","Mann Withney","")),IF($AE$57="Oui",IF(AG$57="Oui","T-Test Welch",IF(AG$57="Non","Mann Withney",""))))</f>
        <v>#NAME?</v>
      </c>
      <c r="AH59" s="156" t="e">
        <f t="shared" ca="1" si="88"/>
        <v>#NAME?</v>
      </c>
      <c r="AI59" s="156" t="e">
        <f t="shared" ca="1" si="88"/>
        <v>#NAME?</v>
      </c>
      <c r="AJ59" s="156" t="e">
        <f t="shared" ca="1" si="88"/>
        <v>#NAME?</v>
      </c>
      <c r="AK59" s="156" t="e">
        <f t="shared" ca="1" si="88"/>
        <v>#NAME?</v>
      </c>
      <c r="AL59" s="156" t="e">
        <f t="shared" ca="1" si="88"/>
        <v>#NAME?</v>
      </c>
      <c r="AM59" s="156" t="e">
        <f t="shared" ca="1" si="88"/>
        <v>#NAME?</v>
      </c>
      <c r="AN59" s="156" t="e">
        <f t="shared" ca="1" si="88"/>
        <v>#NAME?</v>
      </c>
      <c r="AO59" s="156" t="e">
        <f t="shared" ca="1" si="88"/>
        <v>#NAME?</v>
      </c>
      <c r="AP59" s="156" t="e">
        <f t="shared" ca="1" si="88"/>
        <v>#NAME?</v>
      </c>
      <c r="AQ59" s="156" t="e">
        <f t="shared" ca="1" si="88"/>
        <v>#NAME?</v>
      </c>
      <c r="AR59" s="156" t="e">
        <f t="shared" ca="1" si="88"/>
        <v>#NAME?</v>
      </c>
      <c r="AS59" s="156" t="e">
        <f t="shared" ca="1" si="88"/>
        <v>#NAME?</v>
      </c>
      <c r="AT59" s="156" t="e">
        <f t="shared" ca="1" si="88"/>
        <v>#NAME?</v>
      </c>
      <c r="AU59" s="156" t="e">
        <f t="shared" ca="1" si="88"/>
        <v>#NAME?</v>
      </c>
      <c r="AV59" s="156" t="e">
        <f t="shared" ca="1" si="88"/>
        <v>#NAME?</v>
      </c>
      <c r="AW59" s="156" t="e">
        <f t="shared" ca="1" si="88"/>
        <v>#NAME?</v>
      </c>
      <c r="AX59" s="156" t="e">
        <f t="shared" ca="1" si="88"/>
        <v>#NAME?</v>
      </c>
      <c r="AY59" s="156" t="e">
        <f t="shared" ca="1" si="88"/>
        <v>#NAME?</v>
      </c>
      <c r="AZ59" s="156" t="e">
        <f t="shared" ca="1" si="88"/>
        <v>#NAME?</v>
      </c>
      <c r="BA59" s="156" t="e">
        <f t="shared" ca="1" si="88"/>
        <v>#NAME?</v>
      </c>
    </row>
    <row r="60" spans="1:53" s="3" customFormat="1" x14ac:dyDescent="0.35">
      <c r="A60" s="64" t="s">
        <v>83</v>
      </c>
      <c r="B60" s="157"/>
      <c r="C60" s="157" t="e">
        <f ca="1">IF(C59="Mann Withney",[1]!MTEST($B28:$B43,C28:C43,2), IF(C59="T-Test Welch",_xlfn.T.TEST($B28:$B43,C28:C43,2,3),""))</f>
        <v>#NAME?</v>
      </c>
      <c r="D60" s="157" t="e">
        <f ca="1">IF(D59="Mann Withney",[1]!MTEST($B28:$B43,D28:D43,2), IF(D59="T-Test Welch",_xlfn.T.TEST($B28:$B43,D28:D43,2,3),""))</f>
        <v>#NAME?</v>
      </c>
      <c r="E60" s="157" t="e">
        <f ca="1">IF(E59="Mann Withney",[1]!MTEST($B28:$B43,E28:E43,2), IF(E59="T-Test Welch",_xlfn.T.TEST($B28:$B43,E28:E43,2,3),""))</f>
        <v>#NAME?</v>
      </c>
      <c r="F60" s="157" t="e">
        <f ca="1">IF(F59="Mann Withney",[1]!MTEST($B28:$B43,F28:F43,2), IF(F59="T-Test Welch",_xlfn.T.TEST($B28:$B43,F28:F43,2,3),""))</f>
        <v>#NAME?</v>
      </c>
      <c r="G60" s="157" t="e">
        <f ca="1">IF(G59="Mann Withney",[1]!MTEST($B28:$B43,G28:G43,2), IF(G59="T-Test Welch",_xlfn.T.TEST($B28:$B43,G28:G43,2,3),""))</f>
        <v>#NAME?</v>
      </c>
      <c r="H60" s="157" t="e">
        <f ca="1">IF(H59="Mann Withney",[1]!MTEST($B28:$B43,H28:H43,2), IF(H59="T-Test Welch",_xlfn.T.TEST($B28:$B43,H28:H43,2,3),""))</f>
        <v>#NAME?</v>
      </c>
      <c r="I60" s="157" t="e">
        <f ca="1">IF(I59="Mann Withney",[1]!MTEST($B28:$B43,I28:I43,2), IF(I59="T-Test Welch",_xlfn.T.TEST($B28:$B43,I28:I43,2,3),""))</f>
        <v>#NAME?</v>
      </c>
      <c r="J60" s="157" t="e">
        <f ca="1">IF(J59="Mann Withney",[1]!MTEST($B28:$B43,J28:J43,2), IF(J59="T-Test Welch",_xlfn.T.TEST($B28:$B43,J28:J43,2,3),""))</f>
        <v>#NAME?</v>
      </c>
      <c r="K60" s="157" t="e">
        <f ca="1">IF(K59="Mann Withney",[1]!MTEST($B28:$B43,K28:K43,2), IF(K59="T-Test Welch",_xlfn.T.TEST($B28:$B43,K28:K43,2,3),""))</f>
        <v>#NAME?</v>
      </c>
      <c r="L60" s="157" t="e">
        <f ca="1">IF(L59="Mann Withney",[1]!MTEST($B28:$B43,L28:L43,2), IF(L59="T-Test Welch",_xlfn.T.TEST($B28:$B43,L28:L43,2,3),""))</f>
        <v>#NAME?</v>
      </c>
      <c r="M60" s="157" t="e">
        <f ca="1">IF(M59="Mann Withney",[1]!MTEST($B28:$B43,M28:M43,2), IF(M59="T-Test Welch",_xlfn.T.TEST($B28:$B43,M28:M43,2,3),""))</f>
        <v>#NAME?</v>
      </c>
      <c r="N60" s="157" t="e">
        <f ca="1">IF(N59="Mann Withney",[1]!MTEST($B28:$B43,N28:N43,2), IF(N59="T-Test Welch",_xlfn.T.TEST($B28:$B43,N28:N43,2,3),""))</f>
        <v>#NAME?</v>
      </c>
      <c r="O60" s="157" t="e">
        <f ca="1">IF(O59="Mann Withney",[1]!MTEST($B28:$B43,O28:O43,2), IF(O59="T-Test Welch",_xlfn.T.TEST($B28:$B43,O28:O43,2,3),""))</f>
        <v>#NAME?</v>
      </c>
      <c r="P60" s="157" t="e">
        <f ca="1">IF(P59="Mann Withney",[1]!MTEST($B28:$B43,P28:P43,2), IF(P59="T-Test Welch",_xlfn.T.TEST($B28:$B43,P28:P43,2,3),""))</f>
        <v>#NAME?</v>
      </c>
      <c r="Q60" s="157" t="e">
        <f ca="1">IF(Q59="Mann Withney",[1]!MTEST($B28:$B43,Q28:Q43,2), IF(Q59="T-Test Welch",_xlfn.T.TEST($B28:$B43,Q28:Q43,2,3),""))</f>
        <v>#NAME?</v>
      </c>
      <c r="R60" s="157" t="e">
        <f ca="1">IF(R59="Mann Withney",[1]!MTEST($B28:$B43,R28:R43,2), IF(R59="T-Test Welch",_xlfn.T.TEST($B28:$B43,R28:R43,2,3),""))</f>
        <v>#NAME?</v>
      </c>
      <c r="S60" s="157" t="e">
        <f ca="1">IF(S59="Mann Withney",[1]!MTEST($B28:$B43,S28:S43,2), IF(S59="T-Test Welch",_xlfn.T.TEST($B28:$B43,S28:S43,2,3),""))</f>
        <v>#NAME?</v>
      </c>
      <c r="T60" s="157" t="e">
        <f ca="1">IF(T59="Mann Withney",[1]!MTEST($B28:$B43,T28:T43,2), IF(T59="T-Test Welch",_xlfn.T.TEST($B28:$B43,T28:T43,2,3),""))</f>
        <v>#NAME?</v>
      </c>
      <c r="U60" s="157" t="e">
        <f ca="1">IF(U59="Mann Withney",[1]!MTEST($B28:$B43,U28:U43,2), IF(U59="T-Test Welch",_xlfn.T.TEST($B28:$B43,U28:U43,2,3),""))</f>
        <v>#NAME?</v>
      </c>
      <c r="V60" s="157" t="e">
        <f ca="1">IF(V59="Mann Withney",[1]!MTEST($B28:$B43,V28:V43,2), IF(V59="T-Test Welch",_xlfn.T.TEST($B28:$B43,V28:V43,2,3),""))</f>
        <v>#NAME?</v>
      </c>
      <c r="W60" s="157" t="e">
        <f ca="1">IF(W59="Mann Withney",[1]!MTEST($B28:$B43,W28:W43,2), IF(W59="T-Test Welch",_xlfn.T.TEST($B28:$B43,W28:W43,2,3),""))</f>
        <v>#NAME?</v>
      </c>
      <c r="X60" s="157" t="e">
        <f ca="1">IF(X59="Mann Withney",[1]!MTEST($B28:$B43,X28:X43,2), IF(X59="T-Test Welch",_xlfn.T.TEST($B28:$B43,X28:X43,2,3),""))</f>
        <v>#NAME?</v>
      </c>
      <c r="Y60" s="157" t="e">
        <f ca="1">IF(Y59="Mann Withney",[1]!MTEST($B28:$B43,Y28:Y43,2), IF(Y59="T-Test Welch",_xlfn.T.TEST($B28:$B43,Y28:Y43,2,3),""))</f>
        <v>#NAME?</v>
      </c>
      <c r="Z60" s="157" t="e">
        <f ca="1">IF(Z59="Mann Withney",[1]!MTEST($B28:$B43,Z28:Z43,2), IF(Z59="T-Test Welch",_xlfn.T.TEST($B28:$B43,Z28:Z43,2,3),""))</f>
        <v>#NAME?</v>
      </c>
      <c r="AA60" s="157" t="e">
        <f ca="1">IF(AA59="Mann Withney",[1]!MTEST($B28:$B43,AA28:AA43,2), IF(AA59="T-Test Welch",_xlfn.T.TEST($B28:$B43,AA28:AA43,2,3),""))</f>
        <v>#NAME?</v>
      </c>
      <c r="AB60" s="157" t="e">
        <f ca="1">IF(AB59="Mann Withney",[1]!MTEST($B28:$B43,AB28:AB43,2), IF(AB59="T-Test Welch",_xlfn.T.TEST($B28:$B43,AB28:AB43,2,3),""))</f>
        <v>#NAME?</v>
      </c>
      <c r="AC60" s="157" t="e">
        <f ca="1">IF(AC59="Mann Withney",[1]!MTEST($B28:$B43,AC28:AC43,2), IF(AC59="T-Test Welch",_xlfn.T.TEST($B28:$B43,AC28:AC43,2,3),""))</f>
        <v>#NAME?</v>
      </c>
      <c r="AD60" s="157"/>
      <c r="AE60" s="157" t="e">
        <f ca="1">IF(AE59="Mann Withney",[1]!MTEST($B28:$B43,AE28:AE43,2), IF(AE59="T-Test Welch",_xlfn.T.TEST($B28:$B43,AE28:AE43,2,3),""))</f>
        <v>#NAME?</v>
      </c>
      <c r="AF60" s="157" t="e">
        <f ca="1">IF(AF59="Mann Withney",[1]!MTEST($AE28:$AE43,AF28:AF43,2), IF(AF59="T-Test Welch",_xlfn.T.TEST($AE28:$AE43,AF28:AF43,2,3),""))</f>
        <v>#NAME?</v>
      </c>
      <c r="AG60" s="157" t="e">
        <f ca="1">IF(AG59="Mann Withney",[1]!MTEST($AE28:$AE43,AG28:AG43,2), IF(AG59="T-Test Welch",_xlfn.T.TEST($AE28:$AE43,AG28:AG43,2,3),""))</f>
        <v>#NAME?</v>
      </c>
      <c r="AH60" s="157" t="e">
        <f ca="1">IF(AH59="Mann Withney",[1]!MTEST($AE28:$AE43,AH28:AH43,2), IF(AH59="T-Test Welch",_xlfn.T.TEST($AE28:$AE43,AH28:AH43,2,3),""))</f>
        <v>#NAME?</v>
      </c>
      <c r="AI60" s="157" t="e">
        <f ca="1">IF(AI59="Mann Withney",[1]!MTEST($AE28:$AE43,AI28:AI43,2), IF(AI59="T-Test Welch",_xlfn.T.TEST($AE28:$AE43,AI28:AI43,2,3),""))</f>
        <v>#NAME?</v>
      </c>
      <c r="AJ60" s="157" t="e">
        <f ca="1">IF(AJ59="Mann Withney",[1]!MTEST($AE28:$AE43,AJ28:AJ43,2), IF(AJ59="T-Test Welch",_xlfn.T.TEST($AE28:$AE43,AJ28:AJ43,2,3),""))</f>
        <v>#NAME?</v>
      </c>
      <c r="AK60" s="157" t="e">
        <f ca="1">IF(AK59="Mann Withney",[1]!MTEST($AE28:$AE43,AK28:AK43,2), IF(AK59="T-Test Welch",_xlfn.T.TEST($AE28:$AE43,AK28:AK43,2,3),""))</f>
        <v>#NAME?</v>
      </c>
      <c r="AL60" s="157" t="e">
        <f ca="1">IF(AL59="Mann Withney",[1]!MTEST($AE28:$AE43,AL28:AL43,2), IF(AL59="T-Test Welch",_xlfn.T.TEST($AE28:$AE43,AL28:AL43,2,3),""))</f>
        <v>#NAME?</v>
      </c>
      <c r="AM60" s="157" t="e">
        <f ca="1">IF(AM59="Mann Withney",[1]!MTEST($AE28:$AE43,AM28:AM43,2), IF(AM59="T-Test Welch",_xlfn.T.TEST($AE28:$AE43,AM28:AM43,2,3),""))</f>
        <v>#NAME?</v>
      </c>
      <c r="AN60" s="157" t="e">
        <f ca="1">IF(AN59="Mann Withney",[1]!MTEST($AE28:$AE43,AN28:AN43,2), IF(AN59="T-Test Welch",_xlfn.T.TEST($AE28:$AE43,AN28:AN43,2,3),""))</f>
        <v>#NAME?</v>
      </c>
      <c r="AO60" s="157" t="e">
        <f ca="1">IF(AO59="Mann Withney",[1]!MTEST($AE28:$AE43,AO28:AO43,2), IF(AO59="T-Test Welch",_xlfn.T.TEST($AE28:$AE43,AO28:AO43,2,3),""))</f>
        <v>#NAME?</v>
      </c>
      <c r="AP60" s="157" t="e">
        <f ca="1">IF(AP59="Mann Withney",[1]!MTEST($AE28:$AE43,AP28:AP43,2), IF(AP59="T-Test Welch",_xlfn.T.TEST($AE28:$AE43,AP28:AP43,2,3),""))</f>
        <v>#NAME?</v>
      </c>
      <c r="AQ60" s="157" t="e">
        <f ca="1">IF(AQ59="Mann Withney",[1]!MTEST($AE28:$AE43,AQ28:AQ43,2), IF(AQ59="T-Test Welch",_xlfn.T.TEST($AE28:$AE43,AQ28:AQ43,2,3),""))</f>
        <v>#NAME?</v>
      </c>
      <c r="AR60" s="157" t="e">
        <f ca="1">IF(AR59="Mann Withney",[1]!MTEST($AE28:$AE43,AR28:AR43,2), IF(AR59="T-Test Welch",_xlfn.T.TEST($AE28:$AE43,AR28:AR43,2,3),""))</f>
        <v>#NAME?</v>
      </c>
      <c r="AS60" s="157" t="e">
        <f ca="1">IF(AS59="Mann Withney",[1]!MTEST($AE28:$AE43,AS28:AS43,2), IF(AS59="T-Test Welch",_xlfn.T.TEST($AE28:$AE43,AS28:AS43,2,3),""))</f>
        <v>#NAME?</v>
      </c>
      <c r="AT60" s="157" t="e">
        <f ca="1">IF(AT59="Mann Withney",[1]!MTEST($AE28:$AE43,AT28:AT43,2), IF(AT59="T-Test Welch",_xlfn.T.TEST($AE28:$AE43,AT28:AT43,2,3),""))</f>
        <v>#NAME?</v>
      </c>
      <c r="AU60" s="157" t="e">
        <f ca="1">IF(AU59="Mann Withney",[1]!MTEST($AE28:$AE43,AU28:AU43,2), IF(AU59="T-Test Welch",_xlfn.T.TEST($AE28:$AE43,AU28:AU43,2,3),""))</f>
        <v>#NAME?</v>
      </c>
      <c r="AV60" s="157" t="e">
        <f ca="1">IF(AV59="Mann Withney",[1]!MTEST($AE28:$AE43,AV28:AV43,2), IF(AV59="T-Test Welch",_xlfn.T.TEST($AE28:$AE43,AV28:AV43,2,3),""))</f>
        <v>#NAME?</v>
      </c>
      <c r="AW60" s="157" t="e">
        <f ca="1">IF(AW59="Mann Withney",[1]!MTEST($AE28:$AE43,AW28:AW43,2), IF(AW59="T-Test Welch",_xlfn.T.TEST($AE28:$AE43,AW28:AW43,2,3),""))</f>
        <v>#NAME?</v>
      </c>
      <c r="AX60" s="157" t="e">
        <f ca="1">IF(AX59="Mann Withney",[1]!MTEST($AE28:$AE43,AX28:AX43,2), IF(AX59="T-Test Welch",_xlfn.T.TEST($AE28:$AE43,AX28:AX43,2,3),""))</f>
        <v>#NAME?</v>
      </c>
      <c r="AY60" s="157" t="e">
        <f ca="1">IF(AY59="Mann Withney",[1]!MTEST($AE28:$AE43,AY28:AY43,2), IF(AY59="T-Test Welch",_xlfn.T.TEST($AE28:$AE43,AY28:AY43,2,3),""))</f>
        <v>#NAME?</v>
      </c>
      <c r="AZ60" s="157" t="e">
        <f ca="1">IF(AZ59="Mann Withney",[1]!MTEST($AE28:$AE43,AZ28:AZ43,2), IF(AZ59="T-Test Welch",_xlfn.T.TEST($AE28:$AE43,AZ28:AZ43,2,3),""))</f>
        <v>#NAME?</v>
      </c>
      <c r="BA60" s="157" t="e">
        <f ca="1">IF(BA59="Mann Withney",[1]!MTEST($AE28:$AE43,BA28:BA43,2), IF(BA59="T-Test Welch",_xlfn.T.TEST($AE28:$AE43,BA28:BA43,2,3),""))</f>
        <v>#NAME?</v>
      </c>
    </row>
    <row r="61" spans="1:53" s="3" customFormat="1" ht="15" thickBot="1" x14ac:dyDescent="0.4">
      <c r="A61" s="65" t="s">
        <v>84</v>
      </c>
      <c r="B61" s="146"/>
      <c r="C61" s="146" t="e">
        <f t="shared" ref="C61:AC61" ca="1" si="89">IF(C60&gt;0.05,"NS",IF(C60&gt;0.01,"*",IF(C60&gt;0.001,"**","***")))</f>
        <v>#NAME?</v>
      </c>
      <c r="D61" s="146" t="e">
        <f t="shared" ca="1" si="89"/>
        <v>#NAME?</v>
      </c>
      <c r="E61" s="146" t="e">
        <f t="shared" ca="1" si="89"/>
        <v>#NAME?</v>
      </c>
      <c r="F61" s="146" t="e">
        <f t="shared" ca="1" si="89"/>
        <v>#NAME?</v>
      </c>
      <c r="G61" s="146" t="e">
        <f t="shared" ca="1" si="89"/>
        <v>#NAME?</v>
      </c>
      <c r="H61" s="146" t="e">
        <f t="shared" ca="1" si="89"/>
        <v>#NAME?</v>
      </c>
      <c r="I61" s="146" t="e">
        <f t="shared" ca="1" si="89"/>
        <v>#NAME?</v>
      </c>
      <c r="J61" s="146" t="e">
        <f t="shared" ca="1" si="89"/>
        <v>#NAME?</v>
      </c>
      <c r="K61" s="146" t="e">
        <f t="shared" ca="1" si="89"/>
        <v>#NAME?</v>
      </c>
      <c r="L61" s="146" t="e">
        <f t="shared" ca="1" si="89"/>
        <v>#NAME?</v>
      </c>
      <c r="M61" s="146" t="e">
        <f t="shared" ca="1" si="89"/>
        <v>#NAME?</v>
      </c>
      <c r="N61" s="146" t="e">
        <f t="shared" ca="1" si="89"/>
        <v>#NAME?</v>
      </c>
      <c r="O61" s="146" t="e">
        <f t="shared" ca="1" si="89"/>
        <v>#NAME?</v>
      </c>
      <c r="P61" s="146" t="e">
        <f t="shared" ca="1" si="89"/>
        <v>#NAME?</v>
      </c>
      <c r="Q61" s="146" t="e">
        <f t="shared" ca="1" si="89"/>
        <v>#NAME?</v>
      </c>
      <c r="R61" s="146" t="e">
        <f t="shared" ca="1" si="89"/>
        <v>#NAME?</v>
      </c>
      <c r="S61" s="146" t="e">
        <f t="shared" ca="1" si="89"/>
        <v>#NAME?</v>
      </c>
      <c r="T61" s="146" t="e">
        <f t="shared" ca="1" si="89"/>
        <v>#NAME?</v>
      </c>
      <c r="U61" s="146" t="e">
        <f t="shared" ca="1" si="89"/>
        <v>#NAME?</v>
      </c>
      <c r="V61" s="146" t="e">
        <f t="shared" ca="1" si="89"/>
        <v>#NAME?</v>
      </c>
      <c r="W61" s="146" t="e">
        <f t="shared" ca="1" si="89"/>
        <v>#NAME?</v>
      </c>
      <c r="X61" s="146" t="e">
        <f t="shared" ca="1" si="89"/>
        <v>#NAME?</v>
      </c>
      <c r="Y61" s="146" t="e">
        <f t="shared" ca="1" si="89"/>
        <v>#NAME?</v>
      </c>
      <c r="Z61" s="146" t="e">
        <f t="shared" ca="1" si="89"/>
        <v>#NAME?</v>
      </c>
      <c r="AA61" s="146" t="e">
        <f t="shared" ca="1" si="89"/>
        <v>#NAME?</v>
      </c>
      <c r="AB61" s="146" t="e">
        <f t="shared" ca="1" si="89"/>
        <v>#NAME?</v>
      </c>
      <c r="AC61" s="146" t="e">
        <f t="shared" ca="1" si="89"/>
        <v>#NAME?</v>
      </c>
      <c r="AD61" s="146"/>
      <c r="AE61" s="146" t="e">
        <f ca="1">IF(AE60&gt;0.05,"NS",IF(AE60&gt;0.01,"*",IF(AE60&gt;0.001,"**","***")))</f>
        <v>#NAME?</v>
      </c>
      <c r="AF61" s="146" t="e">
        <f ca="1">IF(AF60&gt;0.05,"NS",IF(AF60&gt;0.01,"*",IF(AF60&gt;0.001,"**","***")))</f>
        <v>#NAME?</v>
      </c>
      <c r="AG61" s="146" t="e">
        <f t="shared" ref="AG61" ca="1" si="90">IF(AG60&gt;0.05,"NS",IF(AG60&gt;0.01,"*",IF(AG60&gt;0.001,"**","***")))</f>
        <v>#NAME?</v>
      </c>
      <c r="AH61" s="146" t="e">
        <f t="shared" ref="AH61" ca="1" si="91">IF(AH60&gt;0.05,"NS",IF(AH60&gt;0.01,"*",IF(AH60&gt;0.001,"**","***")))</f>
        <v>#NAME?</v>
      </c>
      <c r="AI61" s="146" t="e">
        <f t="shared" ref="AI61" ca="1" si="92">IF(AI60&gt;0.05,"NS",IF(AI60&gt;0.01,"*",IF(AI60&gt;0.001,"**","***")))</f>
        <v>#NAME?</v>
      </c>
      <c r="AJ61" s="146" t="e">
        <f t="shared" ref="AJ61" ca="1" si="93">IF(AJ60&gt;0.05,"NS",IF(AJ60&gt;0.01,"*",IF(AJ60&gt;0.001,"**","***")))</f>
        <v>#NAME?</v>
      </c>
      <c r="AK61" s="146" t="e">
        <f t="shared" ref="AK61" ca="1" si="94">IF(AK60&gt;0.05,"NS",IF(AK60&gt;0.01,"*",IF(AK60&gt;0.001,"**","***")))</f>
        <v>#NAME?</v>
      </c>
      <c r="AL61" s="146" t="e">
        <f t="shared" ref="AL61" ca="1" si="95">IF(AL60&gt;0.05,"NS",IF(AL60&gt;0.01,"*",IF(AL60&gt;0.001,"**","***")))</f>
        <v>#NAME?</v>
      </c>
      <c r="AM61" s="146" t="e">
        <f t="shared" ref="AM61" ca="1" si="96">IF(AM60&gt;0.05,"NS",IF(AM60&gt;0.01,"*",IF(AM60&gt;0.001,"**","***")))</f>
        <v>#NAME?</v>
      </c>
      <c r="AN61" s="146" t="e">
        <f t="shared" ref="AN61" ca="1" si="97">IF(AN60&gt;0.05,"NS",IF(AN60&gt;0.01,"*",IF(AN60&gt;0.001,"**","***")))</f>
        <v>#NAME?</v>
      </c>
      <c r="AO61" s="146" t="e">
        <f t="shared" ref="AO61" ca="1" si="98">IF(AO60&gt;0.05,"NS",IF(AO60&gt;0.01,"*",IF(AO60&gt;0.001,"**","***")))</f>
        <v>#NAME?</v>
      </c>
      <c r="AP61" s="146" t="e">
        <f t="shared" ref="AP61" ca="1" si="99">IF(AP60&gt;0.05,"NS",IF(AP60&gt;0.01,"*",IF(AP60&gt;0.001,"**","***")))</f>
        <v>#NAME?</v>
      </c>
      <c r="AQ61" s="146" t="e">
        <f t="shared" ref="AQ61" ca="1" si="100">IF(AQ60&gt;0.05,"NS",IF(AQ60&gt;0.01,"*",IF(AQ60&gt;0.001,"**","***")))</f>
        <v>#NAME?</v>
      </c>
      <c r="AR61" s="146" t="e">
        <f t="shared" ref="AR61" ca="1" si="101">IF(AR60&gt;0.05,"NS",IF(AR60&gt;0.01,"*",IF(AR60&gt;0.001,"**","***")))</f>
        <v>#NAME?</v>
      </c>
      <c r="AS61" s="146" t="e">
        <f t="shared" ref="AS61" ca="1" si="102">IF(AS60&gt;0.05,"NS",IF(AS60&gt;0.01,"*",IF(AS60&gt;0.001,"**","***")))</f>
        <v>#NAME?</v>
      </c>
      <c r="AT61" s="146" t="e">
        <f t="shared" ref="AT61" ca="1" si="103">IF(AT60&gt;0.05,"NS",IF(AT60&gt;0.01,"*",IF(AT60&gt;0.001,"**","***")))</f>
        <v>#NAME?</v>
      </c>
      <c r="AU61" s="146" t="e">
        <f t="shared" ref="AU61" ca="1" si="104">IF(AU60&gt;0.05,"NS",IF(AU60&gt;0.01,"*",IF(AU60&gt;0.001,"**","***")))</f>
        <v>#NAME?</v>
      </c>
      <c r="AV61" s="146" t="e">
        <f t="shared" ref="AV61" ca="1" si="105">IF(AV60&gt;0.05,"NS",IF(AV60&gt;0.01,"*",IF(AV60&gt;0.001,"**","***")))</f>
        <v>#NAME?</v>
      </c>
      <c r="AW61" s="146" t="e">
        <f t="shared" ref="AW61" ca="1" si="106">IF(AW60&gt;0.05,"NS",IF(AW60&gt;0.01,"*",IF(AW60&gt;0.001,"**","***")))</f>
        <v>#NAME?</v>
      </c>
      <c r="AX61" s="146" t="e">
        <f t="shared" ref="AX61" ca="1" si="107">IF(AX60&gt;0.05,"NS",IF(AX60&gt;0.01,"*",IF(AX60&gt;0.001,"**","***")))</f>
        <v>#NAME?</v>
      </c>
      <c r="AY61" s="146" t="e">
        <f t="shared" ref="AY61" ca="1" si="108">IF(AY60&gt;0.05,"NS",IF(AY60&gt;0.01,"*",IF(AY60&gt;0.001,"**","***")))</f>
        <v>#NAME?</v>
      </c>
      <c r="AZ61" s="146" t="e">
        <f t="shared" ref="AZ61" ca="1" si="109">IF(AZ60&gt;0.05,"NS",IF(AZ60&gt;0.01,"*",IF(AZ60&gt;0.001,"**","***")))</f>
        <v>#NAME?</v>
      </c>
      <c r="BA61" s="146" t="e">
        <f t="shared" ref="BA61" ca="1" si="110">IF(BA60&gt;0.05,"NS",IF(BA60&gt;0.01,"*",IF(BA60&gt;0.001,"**","***")))</f>
        <v>#NAME?</v>
      </c>
    </row>
    <row r="63" spans="1:53" x14ac:dyDescent="0.35">
      <c r="A63" s="2" t="s">
        <v>39</v>
      </c>
    </row>
    <row r="64" spans="1:53" x14ac:dyDescent="0.35">
      <c r="A64" s="1" t="s">
        <v>23</v>
      </c>
      <c r="B64" s="1">
        <f>B46+(3*B47)</f>
        <v>0.74453429436239282</v>
      </c>
    </row>
    <row r="65" spans="1:53" x14ac:dyDescent="0.35">
      <c r="A65" s="1" t="s">
        <v>24</v>
      </c>
      <c r="B65" s="1">
        <f>B46+(10*B47)</f>
        <v>1.8118534538923612</v>
      </c>
    </row>
    <row r="66" spans="1:53" ht="15" thickBot="1" x14ac:dyDescent="0.4"/>
    <row r="67" spans="1:53" s="1" customFormat="1" ht="26.5" thickBot="1" x14ac:dyDescent="0.65">
      <c r="A67" s="224" t="s">
        <v>52</v>
      </c>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225"/>
      <c r="AD67" s="225"/>
      <c r="AE67" s="225"/>
      <c r="AF67" s="225"/>
      <c r="AG67" s="225"/>
      <c r="AH67" s="225"/>
      <c r="AI67" s="225"/>
      <c r="AJ67" s="225"/>
      <c r="AK67" s="225"/>
      <c r="AL67" s="225"/>
      <c r="AM67" s="225"/>
      <c r="AN67" s="225"/>
      <c r="AO67" s="225"/>
      <c r="AP67" s="225"/>
      <c r="AQ67" s="225"/>
      <c r="AR67" s="225"/>
      <c r="AS67" s="225"/>
      <c r="AT67" s="225"/>
      <c r="AU67" s="225"/>
      <c r="AV67" s="225"/>
      <c r="AW67" s="225"/>
      <c r="AX67" s="225"/>
      <c r="AY67" s="225"/>
      <c r="AZ67" s="225"/>
      <c r="BA67" s="226"/>
    </row>
    <row r="68" spans="1:53" ht="16.5" x14ac:dyDescent="0.35">
      <c r="A68" s="12"/>
      <c r="B68" s="12"/>
      <c r="C68" s="12"/>
      <c r="D68" s="12"/>
      <c r="E68" s="12"/>
      <c r="F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row>
    <row r="69" spans="1:53" ht="16.5" x14ac:dyDescent="0.35">
      <c r="A69" s="12"/>
      <c r="B69" s="12"/>
      <c r="C69" s="12"/>
      <c r="D69" s="12"/>
      <c r="E69" s="12"/>
      <c r="F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row>
    <row r="70" spans="1:53" ht="16.5" x14ac:dyDescent="0.35">
      <c r="A70" s="12"/>
      <c r="B70" s="12"/>
      <c r="C70" s="12"/>
      <c r="D70" s="12"/>
      <c r="E70" s="12"/>
      <c r="F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row>
    <row r="71" spans="1:53" ht="16.5" x14ac:dyDescent="0.35">
      <c r="A71" s="12"/>
      <c r="B71" s="12"/>
      <c r="C71" s="12"/>
      <c r="D71" s="12"/>
      <c r="E71" s="12"/>
      <c r="F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row>
    <row r="72" spans="1:53" ht="16.5" x14ac:dyDescent="0.35">
      <c r="A72" s="12"/>
      <c r="B72" s="12"/>
      <c r="C72" s="12"/>
      <c r="D72" s="12"/>
      <c r="E72" s="12"/>
      <c r="F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row>
    <row r="73" spans="1:53" ht="16.5" x14ac:dyDescent="0.35">
      <c r="A73" s="12"/>
      <c r="B73" s="12"/>
      <c r="C73" s="12"/>
      <c r="D73" s="12"/>
      <c r="E73" s="12"/>
      <c r="F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row>
    <row r="74" spans="1:53" ht="16.5" x14ac:dyDescent="0.35">
      <c r="A74" s="12"/>
      <c r="B74" s="12"/>
      <c r="C74" s="12"/>
      <c r="D74" s="12"/>
      <c r="E74" s="12"/>
      <c r="F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row>
  </sheetData>
  <protectedRanges>
    <protectedRange sqref="AE51:BA51" name="Plage2"/>
    <protectedRange sqref="AH5:BA21" name="Plage1"/>
    <protectedRange sqref="B51:J51" name="Plage2_1"/>
    <protectedRange sqref="AE5:AE21 J5:J12 B13:J21" name="Plage1_1"/>
    <protectedRange sqref="B5:I12" name="Plage1_1_1"/>
  </protectedRanges>
  <mergeCells count="9">
    <mergeCell ref="A1:BA1"/>
    <mergeCell ref="A67:BA67"/>
    <mergeCell ref="A50:BA50"/>
    <mergeCell ref="A5:A20"/>
    <mergeCell ref="A28:A43"/>
    <mergeCell ref="B3:AC3"/>
    <mergeCell ref="B26:AC26"/>
    <mergeCell ref="AE26:BA26"/>
    <mergeCell ref="AE3:BA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30"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L1" zoomScale="80" zoomScaleNormal="80" workbookViewId="0">
      <selection activeCell="Z5" sqref="Z5:AD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J1" s="1" t="s">
        <v>1658</v>
      </c>
      <c r="K1" s="122"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1</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 t="s">
        <v>1693</v>
      </c>
      <c r="D2" s="1" t="s">
        <v>227</v>
      </c>
      <c r="E2" s="1" t="s">
        <v>1694</v>
      </c>
      <c r="F2" s="1" t="s">
        <v>112</v>
      </c>
      <c r="G2" s="1">
        <v>1319</v>
      </c>
      <c r="K2" s="161" t="s">
        <v>120</v>
      </c>
      <c r="L2" s="161"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1695</v>
      </c>
      <c r="D3" s="1" t="s">
        <v>1696</v>
      </c>
      <c r="E3" s="1" t="s">
        <v>1697</v>
      </c>
      <c r="F3" s="1" t="s">
        <v>112</v>
      </c>
      <c r="G3" s="1">
        <v>45185</v>
      </c>
      <c r="K3" s="122" t="s">
        <v>154</v>
      </c>
      <c r="L3" s="122"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1</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1698</v>
      </c>
      <c r="D4" s="1">
        <v>0</v>
      </c>
      <c r="E4" s="1">
        <v>0</v>
      </c>
      <c r="F4" s="1" t="s">
        <v>112</v>
      </c>
      <c r="G4" s="1">
        <v>0</v>
      </c>
      <c r="K4" s="122" t="s">
        <v>100</v>
      </c>
      <c r="L4" s="1" t="s">
        <v>1659</v>
      </c>
      <c r="M4" s="1" t="s">
        <v>1660</v>
      </c>
      <c r="N4" s="1" t="s">
        <v>1661</v>
      </c>
      <c r="O4" s="1" t="s">
        <v>1662</v>
      </c>
      <c r="P4" s="1" t="s">
        <v>1663</v>
      </c>
      <c r="Q4" s="1" t="s">
        <v>1664</v>
      </c>
      <c r="R4" s="1" t="s">
        <v>1665</v>
      </c>
      <c r="S4" s="1" t="s">
        <v>1666</v>
      </c>
      <c r="T4" s="1" t="s">
        <v>1667</v>
      </c>
      <c r="U4" s="1" t="s">
        <v>1668</v>
      </c>
      <c r="V4" s="1" t="s">
        <v>1669</v>
      </c>
      <c r="W4" s="1" t="s">
        <v>1670</v>
      </c>
      <c r="X4" s="1" t="s">
        <v>1671</v>
      </c>
      <c r="Y4" s="1" t="s">
        <v>1672</v>
      </c>
      <c r="Z4" s="1" t="s">
        <v>1673</v>
      </c>
      <c r="AA4" s="1" t="s">
        <v>1674</v>
      </c>
      <c r="AB4" s="1" t="s">
        <v>1675</v>
      </c>
      <c r="AC4" s="1" t="s">
        <v>1676</v>
      </c>
      <c r="AD4" s="1" t="s">
        <v>1677</v>
      </c>
      <c r="AE4" s="1" t="s">
        <v>1678</v>
      </c>
      <c r="AF4" s="1" t="s">
        <v>1679</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1</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 t="s">
        <v>1699</v>
      </c>
      <c r="D5" s="1" t="s">
        <v>1700</v>
      </c>
      <c r="E5" s="1" t="s">
        <v>1701</v>
      </c>
      <c r="F5" s="1" t="s">
        <v>112</v>
      </c>
      <c r="G5" s="1">
        <v>22257</v>
      </c>
      <c r="K5" s="149" t="s">
        <v>164</v>
      </c>
      <c r="L5" s="44">
        <v>15501.333333333334</v>
      </c>
      <c r="M5" s="44">
        <v>1089548</v>
      </c>
      <c r="N5" s="44"/>
      <c r="O5" s="44">
        <v>4298855</v>
      </c>
      <c r="P5" s="44">
        <v>203876.33333333334</v>
      </c>
      <c r="Q5" s="44"/>
      <c r="R5" s="44">
        <v>103939</v>
      </c>
      <c r="S5" s="44">
        <v>21500</v>
      </c>
      <c r="T5" s="44">
        <v>681.5</v>
      </c>
      <c r="U5" s="44">
        <v>2371169.6666666665</v>
      </c>
      <c r="V5" s="44">
        <v>4905797</v>
      </c>
      <c r="W5" s="44">
        <v>2232951.5</v>
      </c>
      <c r="X5" s="44">
        <v>2577018</v>
      </c>
      <c r="Y5" s="44">
        <v>3861232</v>
      </c>
      <c r="Z5" s="44">
        <v>2333224</v>
      </c>
      <c r="AA5" s="44">
        <v>1801936.3333333333</v>
      </c>
      <c r="AB5" s="44">
        <v>1124076.6666666667</v>
      </c>
      <c r="AC5" s="44">
        <v>2075828.3333333333</v>
      </c>
      <c r="AD5" s="44">
        <v>2851267</v>
      </c>
      <c r="AE5" s="44">
        <v>190682</v>
      </c>
      <c r="AF5" s="44">
        <v>607310</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1702</v>
      </c>
      <c r="D6" s="1">
        <v>0</v>
      </c>
      <c r="E6" s="1">
        <v>0</v>
      </c>
      <c r="F6" s="1" t="s">
        <v>112</v>
      </c>
      <c r="G6" s="1">
        <v>0</v>
      </c>
      <c r="K6" s="149" t="s">
        <v>1680</v>
      </c>
      <c r="L6" s="44">
        <v>147826</v>
      </c>
      <c r="M6" s="44">
        <v>2689627</v>
      </c>
      <c r="N6" s="44">
        <v>2816868.3333333335</v>
      </c>
      <c r="O6" s="44">
        <v>2413161</v>
      </c>
      <c r="P6" s="44">
        <v>241851</v>
      </c>
      <c r="Q6" s="44">
        <v>137385.66666666666</v>
      </c>
      <c r="R6" s="44">
        <v>27935</v>
      </c>
      <c r="S6" s="44">
        <v>76425.333333333328</v>
      </c>
      <c r="T6" s="44">
        <v>1144610.6666666667</v>
      </c>
      <c r="U6" s="44">
        <v>2254022.6666666665</v>
      </c>
      <c r="V6" s="44">
        <v>3645697.3333333335</v>
      </c>
      <c r="W6" s="44">
        <v>1066613.3333333333</v>
      </c>
      <c r="X6" s="44">
        <v>2571578</v>
      </c>
      <c r="Y6" s="44">
        <v>1238938.6666666667</v>
      </c>
      <c r="Z6" s="44">
        <v>1690650</v>
      </c>
      <c r="AA6" s="44">
        <v>2357168.3333333335</v>
      </c>
      <c r="AB6" s="44">
        <v>382070.66666666669</v>
      </c>
      <c r="AC6" s="44">
        <v>1976741.6666666667</v>
      </c>
      <c r="AD6" s="44">
        <v>3229048</v>
      </c>
      <c r="AE6" s="44">
        <v>92583.333333333328</v>
      </c>
      <c r="AF6" s="44">
        <v>789267.66666666663</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1703</v>
      </c>
      <c r="D7" s="1" t="s">
        <v>1704</v>
      </c>
      <c r="E7" s="1" t="s">
        <v>1705</v>
      </c>
      <c r="F7" s="1" t="s">
        <v>112</v>
      </c>
      <c r="G7" s="1">
        <v>421221</v>
      </c>
      <c r="K7" s="149" t="s">
        <v>1681</v>
      </c>
      <c r="L7" s="44">
        <v>92294.666666666672</v>
      </c>
      <c r="M7" s="44">
        <v>403289.66666666669</v>
      </c>
      <c r="N7" s="44">
        <v>1682056</v>
      </c>
      <c r="O7" s="44">
        <v>1623864</v>
      </c>
      <c r="P7" s="44">
        <v>219377.66666666666</v>
      </c>
      <c r="Q7" s="44">
        <v>212513.66666666666</v>
      </c>
      <c r="R7" s="44">
        <v>233105</v>
      </c>
      <c r="S7" s="44"/>
      <c r="T7" s="44">
        <v>30144.666666666668</v>
      </c>
      <c r="U7" s="44">
        <v>2903604.3333333335</v>
      </c>
      <c r="V7" s="44">
        <v>4604478.333333333</v>
      </c>
      <c r="W7" s="44"/>
      <c r="X7" s="44">
        <v>1876811.6666666667</v>
      </c>
      <c r="Y7" s="44">
        <v>2594743.6666666665</v>
      </c>
      <c r="Z7" s="44">
        <v>2144308.3333333335</v>
      </c>
      <c r="AA7" s="44">
        <v>1204554.3333333333</v>
      </c>
      <c r="AB7" s="44">
        <v>1929271</v>
      </c>
      <c r="AC7" s="44">
        <v>2944254.3333333335</v>
      </c>
      <c r="AD7" s="44">
        <v>1243091.5</v>
      </c>
      <c r="AE7" s="44">
        <v>196666.33333333334</v>
      </c>
      <c r="AF7" s="44">
        <v>224936.33333333334</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 t="s">
        <v>1706</v>
      </c>
      <c r="D8" s="1" t="s">
        <v>1707</v>
      </c>
      <c r="E8" s="1" t="s">
        <v>1708</v>
      </c>
      <c r="F8" s="1" t="s">
        <v>112</v>
      </c>
      <c r="G8" s="1">
        <v>6640</v>
      </c>
      <c r="K8" s="149" t="s">
        <v>1682</v>
      </c>
      <c r="L8" s="44">
        <v>162750.66666666666</v>
      </c>
      <c r="M8" s="44">
        <v>1163580.3333333333</v>
      </c>
      <c r="N8" s="44">
        <v>3321443.3333333335</v>
      </c>
      <c r="O8" s="44">
        <v>2701833.3333333335</v>
      </c>
      <c r="P8" s="44">
        <v>26345.333333333332</v>
      </c>
      <c r="Q8" s="44">
        <v>183155</v>
      </c>
      <c r="R8" s="44">
        <v>57867.333333333336</v>
      </c>
      <c r="S8" s="44">
        <v>103859.66666666667</v>
      </c>
      <c r="T8" s="44">
        <v>0</v>
      </c>
      <c r="U8" s="44"/>
      <c r="V8" s="44">
        <v>4401373.666666667</v>
      </c>
      <c r="W8" s="44">
        <v>894288</v>
      </c>
      <c r="X8" s="44">
        <v>2441420.5</v>
      </c>
      <c r="Y8" s="44">
        <v>2475721.6666666665</v>
      </c>
      <c r="Z8" s="44"/>
      <c r="AA8" s="44">
        <v>1156500</v>
      </c>
      <c r="AB8" s="44">
        <v>888231.66666666663</v>
      </c>
      <c r="AC8" s="44">
        <v>2542248</v>
      </c>
      <c r="AD8" s="44">
        <v>71465.333333333328</v>
      </c>
      <c r="AE8" s="44">
        <v>30448</v>
      </c>
      <c r="AF8" s="44">
        <v>157660.33333333334</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1709</v>
      </c>
      <c r="D9" s="1" t="s">
        <v>1710</v>
      </c>
      <c r="E9" s="1" t="s">
        <v>1711</v>
      </c>
      <c r="F9" s="1" t="s">
        <v>112</v>
      </c>
      <c r="G9" s="1">
        <v>15660</v>
      </c>
      <c r="K9" s="149" t="s">
        <v>1683</v>
      </c>
      <c r="L9" s="44">
        <v>119656.33333333333</v>
      </c>
      <c r="M9" s="44">
        <v>2416528</v>
      </c>
      <c r="N9" s="44">
        <v>100096</v>
      </c>
      <c r="O9" s="44">
        <v>5410689.333333333</v>
      </c>
      <c r="P9" s="44">
        <v>44182.666666666664</v>
      </c>
      <c r="Q9" s="44">
        <v>305468.5</v>
      </c>
      <c r="R9" s="44">
        <v>190653.33333333334</v>
      </c>
      <c r="S9" s="44">
        <v>140464.66666666666</v>
      </c>
      <c r="T9" s="44">
        <v>512109.33333333331</v>
      </c>
      <c r="U9" s="44">
        <v>4632590</v>
      </c>
      <c r="V9" s="44">
        <v>3895566</v>
      </c>
      <c r="W9" s="44">
        <v>649942.33333333337</v>
      </c>
      <c r="X9" s="44">
        <v>2495246.3333333335</v>
      </c>
      <c r="Y9" s="44">
        <v>2391249.6666666665</v>
      </c>
      <c r="Z9" s="44">
        <v>2063333.3333333333</v>
      </c>
      <c r="AA9" s="44">
        <v>2909941.6666666665</v>
      </c>
      <c r="AB9" s="44">
        <v>3486890.3333333335</v>
      </c>
      <c r="AC9" s="44">
        <v>1675819</v>
      </c>
      <c r="AD9" s="44"/>
      <c r="AE9" s="44">
        <v>182094.66666666666</v>
      </c>
      <c r="AF9" s="44">
        <v>239493.66666666666</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1712</v>
      </c>
      <c r="D10" s="1" t="s">
        <v>291</v>
      </c>
      <c r="E10" s="1" t="s">
        <v>1713</v>
      </c>
      <c r="F10" s="1" t="s">
        <v>112</v>
      </c>
      <c r="G10" s="1">
        <v>254584</v>
      </c>
      <c r="K10" s="149" t="s">
        <v>1684</v>
      </c>
      <c r="L10" s="44">
        <v>879.66666666666663</v>
      </c>
      <c r="M10" s="44">
        <v>2694465</v>
      </c>
      <c r="N10" s="44">
        <v>890474</v>
      </c>
      <c r="O10" s="44">
        <v>4275610</v>
      </c>
      <c r="P10" s="44">
        <v>327642.66666666669</v>
      </c>
      <c r="Q10" s="44">
        <v>0</v>
      </c>
      <c r="R10" s="44">
        <v>118467</v>
      </c>
      <c r="S10" s="44">
        <v>182570.66666666666</v>
      </c>
      <c r="T10" s="44">
        <v>7412</v>
      </c>
      <c r="U10" s="44">
        <v>2242097</v>
      </c>
      <c r="V10" s="44">
        <v>3894419.3333333335</v>
      </c>
      <c r="W10" s="44">
        <v>1260568.6666666667</v>
      </c>
      <c r="X10" s="44">
        <v>2470448</v>
      </c>
      <c r="Y10" s="44">
        <v>2718149.3333333335</v>
      </c>
      <c r="Z10" s="44">
        <v>3024385.3333333335</v>
      </c>
      <c r="AA10" s="44">
        <v>817069.33333333337</v>
      </c>
      <c r="AB10" s="44">
        <v>1521742.3333333333</v>
      </c>
      <c r="AC10" s="44">
        <v>1821626.3333333333</v>
      </c>
      <c r="AD10" s="44">
        <v>2529998</v>
      </c>
      <c r="AE10" s="44">
        <v>237619</v>
      </c>
      <c r="AF10" s="44">
        <v>108409</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 t="s">
        <v>1714</v>
      </c>
      <c r="D11" s="1" t="s">
        <v>1715</v>
      </c>
      <c r="E11" s="1" t="s">
        <v>1716</v>
      </c>
      <c r="F11" s="1" t="s">
        <v>112</v>
      </c>
      <c r="G11" s="1">
        <v>162549</v>
      </c>
      <c r="K11" s="149" t="s">
        <v>1685</v>
      </c>
      <c r="L11" s="44">
        <v>230113.33333333334</v>
      </c>
      <c r="M11" s="44">
        <v>1236184.6666666667</v>
      </c>
      <c r="N11" s="44">
        <v>252262.33333333334</v>
      </c>
      <c r="O11" s="44">
        <v>3285227.6666666665</v>
      </c>
      <c r="P11" s="44">
        <v>138900</v>
      </c>
      <c r="Q11" s="44">
        <v>62618.5</v>
      </c>
      <c r="R11" s="44">
        <v>144480.66666666666</v>
      </c>
      <c r="S11" s="44">
        <v>476138.5</v>
      </c>
      <c r="T11" s="44">
        <v>178756.66666666666</v>
      </c>
      <c r="U11" s="44">
        <v>2650166.6666666665</v>
      </c>
      <c r="V11" s="44">
        <v>4533409.666666667</v>
      </c>
      <c r="W11" s="44">
        <v>1817610.6666666667</v>
      </c>
      <c r="X11" s="44">
        <v>2268983</v>
      </c>
      <c r="Y11" s="44">
        <v>4146162.3333333335</v>
      </c>
      <c r="Z11" s="44">
        <v>1201151</v>
      </c>
      <c r="AA11" s="44">
        <v>2188069.5</v>
      </c>
      <c r="AB11" s="44">
        <v>452158.33333333331</v>
      </c>
      <c r="AC11" s="44">
        <v>2122700.3333333335</v>
      </c>
      <c r="AD11" s="44">
        <v>1744061.6666666667</v>
      </c>
      <c r="AE11" s="44"/>
      <c r="AF11" s="44">
        <v>206500.33333333334</v>
      </c>
      <c r="AG11"/>
    </row>
    <row r="12" spans="1:144" x14ac:dyDescent="0.35">
      <c r="A12" s="1" t="str">
        <f t="shared" si="0"/>
        <v>1</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1717</v>
      </c>
      <c r="D12" s="1" t="s">
        <v>1718</v>
      </c>
      <c r="E12" s="1" t="s">
        <v>1719</v>
      </c>
      <c r="F12" s="1" t="s">
        <v>112</v>
      </c>
      <c r="G12" s="1">
        <v>143623</v>
      </c>
      <c r="K12" s="149" t="s">
        <v>1686</v>
      </c>
      <c r="L12" s="44"/>
      <c r="M12" s="44">
        <v>183991</v>
      </c>
      <c r="N12" s="44">
        <v>894519</v>
      </c>
      <c r="O12" s="44">
        <v>3774690.6666666665</v>
      </c>
      <c r="P12" s="44">
        <v>168309.33333333334</v>
      </c>
      <c r="Q12" s="44">
        <v>142750.33333333334</v>
      </c>
      <c r="R12" s="44">
        <v>8565.3333333333339</v>
      </c>
      <c r="S12" s="44">
        <v>199478.33333333334</v>
      </c>
      <c r="T12" s="44">
        <v>131236</v>
      </c>
      <c r="U12" s="44">
        <v>2647989.3333333335</v>
      </c>
      <c r="V12" s="44">
        <v>5059268.333333333</v>
      </c>
      <c r="W12" s="44">
        <v>1809102.6666666667</v>
      </c>
      <c r="X12" s="44">
        <v>2822203.6666666665</v>
      </c>
      <c r="Y12" s="44">
        <v>2188231.3333333335</v>
      </c>
      <c r="Z12" s="44">
        <v>1049381.3333333333</v>
      </c>
      <c r="AA12" s="44">
        <v>2034313.3333333333</v>
      </c>
      <c r="AB12" s="44">
        <v>1484077.3333333333</v>
      </c>
      <c r="AC12" s="44">
        <v>1463774.3333333333</v>
      </c>
      <c r="AD12" s="44">
        <v>1867604.3333333333</v>
      </c>
      <c r="AE12" s="44">
        <v>74580</v>
      </c>
      <c r="AF12" s="44">
        <v>653684.33333333337</v>
      </c>
      <c r="AG12"/>
    </row>
    <row r="13" spans="1:144" x14ac:dyDescent="0.35">
      <c r="A13" s="1" t="str">
        <f t="shared" si="0"/>
        <v>1</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1720</v>
      </c>
      <c r="D13" s="1" t="s">
        <v>147</v>
      </c>
      <c r="E13" s="1" t="s">
        <v>1721</v>
      </c>
      <c r="F13" s="1" t="s">
        <v>112</v>
      </c>
      <c r="G13" s="1">
        <v>182080</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 t="s">
        <v>1722</v>
      </c>
      <c r="D14" s="1" t="s">
        <v>224</v>
      </c>
      <c r="E14" s="1" t="s">
        <v>1723</v>
      </c>
      <c r="F14" s="1" t="s">
        <v>112</v>
      </c>
      <c r="G14" s="1">
        <v>143644</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1724</v>
      </c>
      <c r="D15" s="1" t="s">
        <v>610</v>
      </c>
      <c r="E15" s="1" t="s">
        <v>1725</v>
      </c>
      <c r="F15" s="1" t="s">
        <v>112</v>
      </c>
      <c r="G15" s="1">
        <v>135511</v>
      </c>
    </row>
    <row r="16" spans="1:144" x14ac:dyDescent="0.35">
      <c r="A16" s="1" t="str">
        <f t="shared" si="0"/>
        <v>1</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1726</v>
      </c>
      <c r="D16" s="1" t="s">
        <v>1727</v>
      </c>
      <c r="E16" s="1" t="s">
        <v>1728</v>
      </c>
      <c r="F16" s="1" t="s">
        <v>112</v>
      </c>
      <c r="G16" s="1">
        <v>79814</v>
      </c>
    </row>
    <row r="17" spans="1:10" x14ac:dyDescent="0.35">
      <c r="A17" s="1" t="str">
        <f t="shared" si="0"/>
        <v>1</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 t="s">
        <v>1729</v>
      </c>
      <c r="D17" s="1" t="s">
        <v>549</v>
      </c>
      <c r="E17" s="1">
        <v>30</v>
      </c>
      <c r="F17" s="1" t="s">
        <v>112</v>
      </c>
      <c r="G17" s="1">
        <v>649</v>
      </c>
    </row>
    <row r="18" spans="1:10" x14ac:dyDescent="0.35">
      <c r="A18" s="1" t="str">
        <f t="shared" si="0"/>
        <v>1</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1730</v>
      </c>
      <c r="D18" s="1">
        <v>0</v>
      </c>
      <c r="E18" s="1">
        <v>0</v>
      </c>
      <c r="F18" s="1" t="s">
        <v>112</v>
      </c>
      <c r="G18" s="1">
        <v>0</v>
      </c>
    </row>
    <row r="19" spans="1:10" x14ac:dyDescent="0.35">
      <c r="A19" s="1" t="str">
        <f t="shared" si="0"/>
        <v>1</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1731</v>
      </c>
      <c r="D19" s="1" t="s">
        <v>717</v>
      </c>
      <c r="E19" s="1" t="s">
        <v>1732</v>
      </c>
      <c r="F19" s="1" t="s">
        <v>112</v>
      </c>
      <c r="G19" s="1">
        <v>1990</v>
      </c>
    </row>
    <row r="20" spans="1:10" x14ac:dyDescent="0.35">
      <c r="A20" s="1" t="str">
        <f t="shared" si="0"/>
        <v>1</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 t="s">
        <v>1733</v>
      </c>
      <c r="D20" s="1" t="s">
        <v>224</v>
      </c>
      <c r="E20" s="1" t="s">
        <v>1734</v>
      </c>
      <c r="F20" s="1" t="s">
        <v>112</v>
      </c>
      <c r="G20" s="1">
        <v>144682</v>
      </c>
    </row>
    <row r="21" spans="1:10" x14ac:dyDescent="0.35">
      <c r="A21" s="1" t="str">
        <f t="shared" si="0"/>
        <v>1</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1735</v>
      </c>
      <c r="D21" s="1" t="s">
        <v>1736</v>
      </c>
      <c r="E21" s="1" t="s">
        <v>1737</v>
      </c>
      <c r="F21" s="1" t="s">
        <v>112</v>
      </c>
      <c r="G21" s="1">
        <v>304203</v>
      </c>
    </row>
    <row r="22" spans="1:10" x14ac:dyDescent="0.35">
      <c r="A22" s="1" t="str">
        <f t="shared" si="0"/>
        <v>1</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1738</v>
      </c>
      <c r="D22" s="1" t="s">
        <v>1604</v>
      </c>
      <c r="E22" s="1" t="s">
        <v>1739</v>
      </c>
      <c r="F22" s="1" t="s">
        <v>112</v>
      </c>
      <c r="G22" s="1">
        <v>241455</v>
      </c>
    </row>
    <row r="23" spans="1:10" x14ac:dyDescent="0.35">
      <c r="A23" s="1" t="str">
        <f t="shared" si="0"/>
        <v>1</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 t="s">
        <v>1740</v>
      </c>
    </row>
    <row r="24" spans="1:10" x14ac:dyDescent="0.35">
      <c r="A24" s="1" t="str">
        <f t="shared" si="0"/>
        <v>1</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1741</v>
      </c>
    </row>
    <row r="25" spans="1:10" x14ac:dyDescent="0.35">
      <c r="A25" s="1" t="str">
        <f t="shared" si="0"/>
        <v>1</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1742</v>
      </c>
    </row>
    <row r="26" spans="1:10" x14ac:dyDescent="0.3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 t="s">
        <v>112</v>
      </c>
    </row>
    <row r="27" spans="1:10" x14ac:dyDescent="0.3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237</v>
      </c>
      <c r="D27" s="1" t="s">
        <v>112</v>
      </c>
      <c r="E27" s="1" t="s">
        <v>238</v>
      </c>
      <c r="F27" s="1" t="s">
        <v>239</v>
      </c>
      <c r="G27" s="1" t="s">
        <v>240</v>
      </c>
      <c r="H27" s="1" t="s">
        <v>241</v>
      </c>
      <c r="I27" s="1" t="s">
        <v>242</v>
      </c>
      <c r="J27" s="1" t="s">
        <v>243</v>
      </c>
    </row>
    <row r="28" spans="1:10" x14ac:dyDescent="0.35">
      <c r="A28" s="1" t="str">
        <f t="shared" si="0"/>
        <v>1</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 t="s">
        <v>1743</v>
      </c>
      <c r="D28" s="1" t="s">
        <v>112</v>
      </c>
      <c r="E28" s="1" t="s">
        <v>1744</v>
      </c>
      <c r="F28" s="1" t="s">
        <v>1745</v>
      </c>
      <c r="G28" s="1" t="s">
        <v>1746</v>
      </c>
      <c r="H28" s="1" t="s">
        <v>1747</v>
      </c>
      <c r="I28" s="1">
        <v>18</v>
      </c>
      <c r="J28" s="1">
        <v>24</v>
      </c>
    </row>
    <row r="29" spans="1:10" x14ac:dyDescent="0.3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 t="s">
        <v>112</v>
      </c>
    </row>
    <row r="30" spans="1:10" x14ac:dyDescent="0.3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10" x14ac:dyDescent="0.3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10" x14ac:dyDescent="0.3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3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3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249</v>
      </c>
      <c r="D34" s="1" t="s">
        <v>110</v>
      </c>
      <c r="E34" s="1" t="s">
        <v>111</v>
      </c>
      <c r="F34" s="1" t="s">
        <v>112</v>
      </c>
      <c r="G34" s="1" t="s">
        <v>113</v>
      </c>
    </row>
    <row r="35" spans="1:7" x14ac:dyDescent="0.35">
      <c r="A35" s="1" t="str">
        <f t="shared" si="0"/>
        <v>13</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 t="s">
        <v>1748</v>
      </c>
      <c r="D35" s="1" t="s">
        <v>1749</v>
      </c>
      <c r="E35" s="1" t="s">
        <v>1750</v>
      </c>
      <c r="F35" s="1" t="s">
        <v>112</v>
      </c>
      <c r="G35" s="1">
        <v>1006590</v>
      </c>
    </row>
    <row r="36" spans="1:7" x14ac:dyDescent="0.35">
      <c r="A36" s="1" t="str">
        <f t="shared" si="0"/>
        <v>13</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1751</v>
      </c>
      <c r="D36" s="1" t="s">
        <v>1752</v>
      </c>
      <c r="E36" s="1" t="s">
        <v>1753</v>
      </c>
      <c r="F36" s="1" t="s">
        <v>112</v>
      </c>
      <c r="G36" s="1">
        <v>1131027</v>
      </c>
    </row>
    <row r="37" spans="1:7" x14ac:dyDescent="0.35">
      <c r="A37" s="1" t="str">
        <f t="shared" si="0"/>
        <v>13</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1754</v>
      </c>
      <c r="D37" s="1" t="s">
        <v>1755</v>
      </c>
      <c r="E37" s="1" t="s">
        <v>1756</v>
      </c>
      <c r="F37" s="1" t="s">
        <v>112</v>
      </c>
      <c r="G37" s="1">
        <v>1131027</v>
      </c>
    </row>
    <row r="38" spans="1:7" x14ac:dyDescent="0.35">
      <c r="A38" s="1" t="str">
        <f t="shared" si="0"/>
        <v>13</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 t="s">
        <v>1757</v>
      </c>
      <c r="D38" s="1" t="s">
        <v>1758</v>
      </c>
      <c r="E38" s="1" t="s">
        <v>1759</v>
      </c>
      <c r="F38" s="1" t="s">
        <v>112</v>
      </c>
      <c r="G38" s="1">
        <v>2509133</v>
      </c>
    </row>
    <row r="39" spans="1:7" x14ac:dyDescent="0.35">
      <c r="A39" s="1" t="str">
        <f t="shared" si="0"/>
        <v>13</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1760</v>
      </c>
      <c r="D39" s="1" t="s">
        <v>1761</v>
      </c>
      <c r="E39" s="1" t="s">
        <v>1762</v>
      </c>
      <c r="F39" s="1" t="s">
        <v>112</v>
      </c>
      <c r="G39" s="1">
        <v>2985769</v>
      </c>
    </row>
    <row r="40" spans="1:7" x14ac:dyDescent="0.35">
      <c r="A40" s="1" t="str">
        <f t="shared" si="0"/>
        <v>13</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1763</v>
      </c>
      <c r="D40" s="1" t="s">
        <v>1764</v>
      </c>
      <c r="E40" s="1" t="s">
        <v>1765</v>
      </c>
      <c r="F40" s="1" t="s">
        <v>112</v>
      </c>
      <c r="G40" s="1">
        <v>2573979</v>
      </c>
    </row>
    <row r="41" spans="1:7" x14ac:dyDescent="0.35">
      <c r="A41" s="1" t="str">
        <f t="shared" si="0"/>
        <v>13</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 t="s">
        <v>1766</v>
      </c>
      <c r="D41" s="1" t="s">
        <v>1767</v>
      </c>
      <c r="E41" s="1" t="s">
        <v>1768</v>
      </c>
      <c r="F41" s="1" t="s">
        <v>112</v>
      </c>
      <c r="G41" s="1">
        <v>558246</v>
      </c>
    </row>
    <row r="42" spans="1:7" x14ac:dyDescent="0.35">
      <c r="A42" s="1" t="str">
        <f t="shared" si="0"/>
        <v>13</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1769</v>
      </c>
      <c r="D42" s="1" t="s">
        <v>1770</v>
      </c>
      <c r="E42" s="1" t="s">
        <v>1771</v>
      </c>
      <c r="F42" s="1" t="s">
        <v>112</v>
      </c>
      <c r="G42" s="1">
        <v>224151</v>
      </c>
    </row>
    <row r="43" spans="1:7" x14ac:dyDescent="0.35">
      <c r="A43" s="1" t="str">
        <f t="shared" si="0"/>
        <v>13</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1772</v>
      </c>
      <c r="D43" s="1" t="s">
        <v>1773</v>
      </c>
      <c r="E43" s="1" t="s">
        <v>1774</v>
      </c>
      <c r="F43" s="1" t="s">
        <v>112</v>
      </c>
      <c r="G43" s="1">
        <v>427472</v>
      </c>
    </row>
    <row r="44" spans="1:7" x14ac:dyDescent="0.35">
      <c r="A44" s="1" t="str">
        <f t="shared" si="0"/>
        <v>13</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 t="s">
        <v>1775</v>
      </c>
      <c r="D44" s="1" t="s">
        <v>1776</v>
      </c>
      <c r="E44" s="1" t="s">
        <v>1777</v>
      </c>
      <c r="F44" s="1" t="s">
        <v>112</v>
      </c>
      <c r="G44" s="1">
        <v>1064667</v>
      </c>
    </row>
    <row r="45" spans="1:7" x14ac:dyDescent="0.35">
      <c r="A45" s="1" t="str">
        <f t="shared" si="0"/>
        <v>13</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1778</v>
      </c>
      <c r="D45" s="1" t="s">
        <v>1779</v>
      </c>
      <c r="E45" s="1" t="s">
        <v>1780</v>
      </c>
      <c r="F45" s="1" t="s">
        <v>112</v>
      </c>
      <c r="G45" s="1">
        <v>1389483</v>
      </c>
    </row>
    <row r="46" spans="1:7" x14ac:dyDescent="0.35">
      <c r="A46" s="1" t="str">
        <f t="shared" si="0"/>
        <v>13</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1781</v>
      </c>
      <c r="D46" s="1" t="s">
        <v>1782</v>
      </c>
      <c r="E46" s="1" t="s">
        <v>1783</v>
      </c>
      <c r="F46" s="1" t="s">
        <v>112</v>
      </c>
      <c r="G46" s="1">
        <v>1036591</v>
      </c>
    </row>
    <row r="47" spans="1:7" x14ac:dyDescent="0.35">
      <c r="A47" s="1" t="str">
        <f t="shared" si="0"/>
        <v>13</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 t="s">
        <v>1784</v>
      </c>
      <c r="D47" s="1" t="s">
        <v>1785</v>
      </c>
      <c r="E47" s="1" t="s">
        <v>1786</v>
      </c>
      <c r="F47" s="1" t="s">
        <v>112</v>
      </c>
      <c r="G47" s="1">
        <v>1830257</v>
      </c>
    </row>
    <row r="48" spans="1:7" x14ac:dyDescent="0.35">
      <c r="A48" s="1" t="str">
        <f t="shared" si="0"/>
        <v>13</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1787</v>
      </c>
      <c r="D48" s="1" t="s">
        <v>1788</v>
      </c>
      <c r="E48" s="1" t="s">
        <v>1789</v>
      </c>
      <c r="F48" s="1" t="s">
        <v>112</v>
      </c>
      <c r="G48" s="1">
        <v>2748900</v>
      </c>
    </row>
    <row r="49" spans="1:10" x14ac:dyDescent="0.35">
      <c r="A49" s="1" t="str">
        <f t="shared" si="0"/>
        <v>13</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1790</v>
      </c>
      <c r="D49" s="1" t="s">
        <v>1791</v>
      </c>
      <c r="E49" s="1" t="s">
        <v>1792</v>
      </c>
      <c r="F49" s="1" t="s">
        <v>112</v>
      </c>
      <c r="G49" s="1">
        <v>2670427</v>
      </c>
    </row>
    <row r="50" spans="1:10" x14ac:dyDescent="0.35">
      <c r="A50" s="1" t="str">
        <f t="shared" si="0"/>
        <v>13</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 t="s">
        <v>1793</v>
      </c>
      <c r="D50" s="1" t="s">
        <v>1794</v>
      </c>
      <c r="E50" s="1" t="s">
        <v>1795</v>
      </c>
      <c r="F50" s="1" t="s">
        <v>112</v>
      </c>
      <c r="G50" s="1">
        <v>2957607</v>
      </c>
    </row>
    <row r="51" spans="1:10" x14ac:dyDescent="0.35">
      <c r="A51" s="1" t="str">
        <f t="shared" si="0"/>
        <v>13</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1796</v>
      </c>
      <c r="D51" s="1" t="s">
        <v>1797</v>
      </c>
      <c r="E51" s="1" t="s">
        <v>1798</v>
      </c>
      <c r="F51" s="1" t="s">
        <v>112</v>
      </c>
      <c r="G51" s="1">
        <v>2671833</v>
      </c>
    </row>
    <row r="52" spans="1:10" x14ac:dyDescent="0.35">
      <c r="A52" s="1" t="str">
        <f t="shared" si="0"/>
        <v>13</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1799</v>
      </c>
      <c r="D52" s="1" t="s">
        <v>1800</v>
      </c>
      <c r="E52" s="1" t="s">
        <v>1801</v>
      </c>
      <c r="F52" s="1" t="s">
        <v>112</v>
      </c>
      <c r="G52" s="1">
        <v>2453955</v>
      </c>
    </row>
    <row r="53" spans="1:10" x14ac:dyDescent="0.35">
      <c r="A53" s="1" t="str">
        <f t="shared" si="0"/>
        <v>13</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 t="s">
        <v>1802</v>
      </c>
      <c r="D53" s="1" t="s">
        <v>1803</v>
      </c>
      <c r="E53" s="1" t="s">
        <v>1804</v>
      </c>
      <c r="F53" s="1" t="s">
        <v>112</v>
      </c>
      <c r="G53" s="1">
        <v>1199616</v>
      </c>
    </row>
    <row r="54" spans="1:10" x14ac:dyDescent="0.35">
      <c r="A54" s="1" t="str">
        <f t="shared" si="0"/>
        <v>13</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1805</v>
      </c>
      <c r="D54" s="1" t="s">
        <v>1806</v>
      </c>
      <c r="E54" s="1" t="s">
        <v>1807</v>
      </c>
      <c r="F54" s="1" t="s">
        <v>112</v>
      </c>
      <c r="G54" s="1">
        <v>1508404</v>
      </c>
    </row>
    <row r="55" spans="1:10" x14ac:dyDescent="0.35">
      <c r="A55" s="1" t="str">
        <f t="shared" si="0"/>
        <v>13</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1808</v>
      </c>
      <c r="D55" s="1" t="s">
        <v>1809</v>
      </c>
      <c r="E55" s="1" t="s">
        <v>1810</v>
      </c>
      <c r="F55" s="1" t="s">
        <v>112</v>
      </c>
      <c r="G55" s="1">
        <v>1000534</v>
      </c>
    </row>
    <row r="56" spans="1:10" x14ac:dyDescent="0.35">
      <c r="A56" s="1" t="str">
        <f t="shared" si="0"/>
        <v>13</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 t="s">
        <v>1811</v>
      </c>
      <c r="D56" s="1" t="s">
        <v>1812</v>
      </c>
      <c r="E56" s="1" t="s">
        <v>1813</v>
      </c>
      <c r="F56" s="1" t="s">
        <v>112</v>
      </c>
      <c r="G56" s="1">
        <v>150111</v>
      </c>
    </row>
    <row r="57" spans="1:10" x14ac:dyDescent="0.35">
      <c r="A57" s="1" t="str">
        <f t="shared" si="0"/>
        <v>13</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1814</v>
      </c>
      <c r="D57" s="1" t="s">
        <v>1815</v>
      </c>
      <c r="E57" s="1" t="s">
        <v>1816</v>
      </c>
      <c r="F57" s="1" t="s">
        <v>112</v>
      </c>
      <c r="G57" s="1">
        <v>252637</v>
      </c>
    </row>
    <row r="58" spans="1:10" x14ac:dyDescent="0.35">
      <c r="A58" s="1" t="str">
        <f t="shared" si="0"/>
        <v>13</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1817</v>
      </c>
      <c r="D58" s="1" t="s">
        <v>625</v>
      </c>
      <c r="E58" s="1" t="s">
        <v>1818</v>
      </c>
      <c r="F58" s="1" t="s">
        <v>112</v>
      </c>
      <c r="G58" s="1">
        <v>149225</v>
      </c>
    </row>
    <row r="59" spans="1:10" x14ac:dyDescent="0.3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 t="s">
        <v>112</v>
      </c>
    </row>
    <row r="60" spans="1:10" x14ac:dyDescent="0.3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237</v>
      </c>
      <c r="D60" s="1" t="s">
        <v>112</v>
      </c>
      <c r="E60" s="1" t="s">
        <v>238</v>
      </c>
      <c r="F60" s="1" t="s">
        <v>239</v>
      </c>
      <c r="G60" s="1" t="s">
        <v>240</v>
      </c>
      <c r="H60" s="1" t="s">
        <v>241</v>
      </c>
      <c r="I60" s="1" t="s">
        <v>242</v>
      </c>
      <c r="J60" s="1" t="s">
        <v>243</v>
      </c>
    </row>
    <row r="61" spans="1:10" x14ac:dyDescent="0.35">
      <c r="A61" s="1" t="str">
        <f t="shared" si="0"/>
        <v>13</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 t="s">
        <v>1819</v>
      </c>
      <c r="D61" s="1" t="s">
        <v>112</v>
      </c>
      <c r="E61" s="1" t="s">
        <v>1820</v>
      </c>
      <c r="F61" s="1" t="s">
        <v>1821</v>
      </c>
      <c r="G61" s="1" t="s">
        <v>1822</v>
      </c>
      <c r="H61" s="1" t="s">
        <v>1823</v>
      </c>
      <c r="I61" s="1">
        <v>24</v>
      </c>
      <c r="J61" s="1">
        <v>24</v>
      </c>
    </row>
    <row r="62" spans="1:10" x14ac:dyDescent="0.3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112</v>
      </c>
    </row>
    <row r="63" spans="1:10" x14ac:dyDescent="0.3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10" x14ac:dyDescent="0.3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3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3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3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249</v>
      </c>
      <c r="D67" s="1" t="s">
        <v>110</v>
      </c>
      <c r="E67" s="1" t="s">
        <v>111</v>
      </c>
      <c r="F67" s="1" t="s">
        <v>112</v>
      </c>
      <c r="G67" s="1" t="s">
        <v>113</v>
      </c>
    </row>
    <row r="68" spans="1:7" x14ac:dyDescent="0.35">
      <c r="A68" s="1" t="str">
        <f t="shared" si="1"/>
        <v>14</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 t="s">
        <v>1824</v>
      </c>
    </row>
    <row r="69" spans="1:7" x14ac:dyDescent="0.35">
      <c r="A69" s="1" t="str">
        <f t="shared" si="1"/>
        <v>14</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1825</v>
      </c>
    </row>
    <row r="70" spans="1:7" x14ac:dyDescent="0.35">
      <c r="A70" s="1" t="str">
        <f t="shared" si="1"/>
        <v>14</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1826</v>
      </c>
    </row>
    <row r="71" spans="1:7" x14ac:dyDescent="0.35">
      <c r="A71" s="1" t="str">
        <f t="shared" si="1"/>
        <v>14</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 t="s">
        <v>1827</v>
      </c>
      <c r="D71" s="1" t="s">
        <v>1828</v>
      </c>
      <c r="E71" s="1" t="s">
        <v>1829</v>
      </c>
      <c r="F71" s="1" t="s">
        <v>112</v>
      </c>
      <c r="G71" s="1">
        <v>2739599</v>
      </c>
    </row>
    <row r="72" spans="1:7" x14ac:dyDescent="0.35">
      <c r="A72" s="1" t="str">
        <f t="shared" si="1"/>
        <v>14</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1830</v>
      </c>
      <c r="D72" s="1" t="s">
        <v>824</v>
      </c>
      <c r="E72" s="1" t="s">
        <v>1831</v>
      </c>
      <c r="F72" s="1" t="s">
        <v>112</v>
      </c>
      <c r="G72" s="1">
        <v>2738020</v>
      </c>
    </row>
    <row r="73" spans="1:7" x14ac:dyDescent="0.35">
      <c r="A73" s="1" t="str">
        <f t="shared" si="1"/>
        <v>14</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1832</v>
      </c>
      <c r="D73" s="1" t="s">
        <v>1833</v>
      </c>
      <c r="E73" s="1" t="s">
        <v>1834</v>
      </c>
      <c r="F73" s="1" t="s">
        <v>112</v>
      </c>
      <c r="G73" s="1">
        <v>2972986</v>
      </c>
    </row>
    <row r="74" spans="1:7" x14ac:dyDescent="0.35">
      <c r="A74" s="1" t="str">
        <f t="shared" si="1"/>
        <v>14</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 t="s">
        <v>1835</v>
      </c>
      <c r="D74" s="1" t="s">
        <v>1836</v>
      </c>
      <c r="E74" s="1" t="s">
        <v>1837</v>
      </c>
      <c r="F74" s="1" t="s">
        <v>112</v>
      </c>
      <c r="G74" s="1">
        <v>1673959</v>
      </c>
    </row>
    <row r="75" spans="1:7" x14ac:dyDescent="0.35">
      <c r="A75" s="1" t="str">
        <f t="shared" si="1"/>
        <v>14</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1838</v>
      </c>
      <c r="D75" s="1" t="s">
        <v>1839</v>
      </c>
      <c r="E75" s="1" t="s">
        <v>1840</v>
      </c>
      <c r="F75" s="1" t="s">
        <v>112</v>
      </c>
      <c r="G75" s="1">
        <v>1464625</v>
      </c>
    </row>
    <row r="76" spans="1:7" x14ac:dyDescent="0.35">
      <c r="A76" s="1" t="str">
        <f t="shared" si="1"/>
        <v>14</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1841</v>
      </c>
      <c r="D76" s="1" t="s">
        <v>1842</v>
      </c>
      <c r="E76" s="1" t="s">
        <v>1843</v>
      </c>
      <c r="F76" s="1" t="s">
        <v>112</v>
      </c>
      <c r="G76" s="1">
        <v>1907584</v>
      </c>
    </row>
    <row r="77" spans="1:7" x14ac:dyDescent="0.35">
      <c r="A77" s="1" t="str">
        <f t="shared" si="1"/>
        <v>14</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 t="s">
        <v>1844</v>
      </c>
      <c r="D77" s="1" t="s">
        <v>1845</v>
      </c>
      <c r="E77" s="1" t="s">
        <v>1846</v>
      </c>
      <c r="F77" s="1" t="s">
        <v>112</v>
      </c>
      <c r="G77" s="1">
        <v>3194584</v>
      </c>
    </row>
    <row r="78" spans="1:7" x14ac:dyDescent="0.35">
      <c r="A78" s="1" t="str">
        <f t="shared" si="1"/>
        <v>14</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1847</v>
      </c>
      <c r="D78" s="1" t="s">
        <v>1848</v>
      </c>
      <c r="E78" s="1" t="s">
        <v>1849</v>
      </c>
      <c r="F78" s="1" t="s">
        <v>112</v>
      </c>
      <c r="G78" s="1">
        <v>3334638</v>
      </c>
    </row>
    <row r="79" spans="1:7" x14ac:dyDescent="0.35">
      <c r="A79" s="1" t="str">
        <f t="shared" si="1"/>
        <v>14</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1850</v>
      </c>
      <c r="D79" s="1" t="s">
        <v>1851</v>
      </c>
      <c r="E79" s="1" t="s">
        <v>1852</v>
      </c>
      <c r="F79" s="1" t="s">
        <v>112</v>
      </c>
      <c r="G79" s="1">
        <v>3435108</v>
      </c>
    </row>
    <row r="80" spans="1:7" x14ac:dyDescent="0.35">
      <c r="A80" s="1" t="str">
        <f t="shared" si="1"/>
        <v>14</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 t="s">
        <v>1853</v>
      </c>
      <c r="D80" s="1" t="s">
        <v>1854</v>
      </c>
      <c r="E80" s="1" t="s">
        <v>1855</v>
      </c>
      <c r="F80" s="1" t="s">
        <v>112</v>
      </c>
      <c r="G80" s="1">
        <v>72439</v>
      </c>
    </row>
    <row r="81" spans="1:10" x14ac:dyDescent="0.35">
      <c r="A81" s="1" t="str">
        <f t="shared" si="1"/>
        <v>14</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1856</v>
      </c>
      <c r="D81" s="1" t="s">
        <v>1857</v>
      </c>
      <c r="E81" s="1" t="s">
        <v>1858</v>
      </c>
      <c r="F81" s="1" t="s">
        <v>112</v>
      </c>
      <c r="G81" s="1">
        <v>208274</v>
      </c>
    </row>
    <row r="82" spans="1:10" x14ac:dyDescent="0.35">
      <c r="A82" s="1" t="str">
        <f t="shared" si="1"/>
        <v>14</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1859</v>
      </c>
      <c r="D82" s="1" t="s">
        <v>1860</v>
      </c>
      <c r="E82" s="1" t="s">
        <v>1861</v>
      </c>
      <c r="F82" s="1" t="s">
        <v>112</v>
      </c>
      <c r="G82" s="1">
        <v>19575</v>
      </c>
    </row>
    <row r="83" spans="1:10" x14ac:dyDescent="0.35">
      <c r="A83" s="1" t="str">
        <f t="shared" si="1"/>
        <v>14</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 t="s">
        <v>1862</v>
      </c>
      <c r="D83" s="1" t="s">
        <v>1863</v>
      </c>
      <c r="E83" s="1" t="s">
        <v>1864</v>
      </c>
      <c r="F83" s="1" t="s">
        <v>112</v>
      </c>
      <c r="G83" s="1">
        <v>1064148</v>
      </c>
    </row>
    <row r="84" spans="1:10" x14ac:dyDescent="0.35">
      <c r="A84" s="1" t="str">
        <f t="shared" si="1"/>
        <v>14</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1865</v>
      </c>
      <c r="D84" s="1" t="s">
        <v>1866</v>
      </c>
      <c r="E84" s="1" t="s">
        <v>1867</v>
      </c>
      <c r="F84" s="1" t="s">
        <v>112</v>
      </c>
      <c r="G84" s="1">
        <v>841835</v>
      </c>
    </row>
    <row r="85" spans="1:10" x14ac:dyDescent="0.35">
      <c r="A85" s="1" t="str">
        <f t="shared" si="1"/>
        <v>14</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1868</v>
      </c>
      <c r="D85" s="1" t="s">
        <v>1869</v>
      </c>
      <c r="E85" s="1" t="s">
        <v>1870</v>
      </c>
      <c r="F85" s="1" t="s">
        <v>112</v>
      </c>
      <c r="G85" s="1">
        <v>765439</v>
      </c>
    </row>
    <row r="86" spans="1:10" x14ac:dyDescent="0.35">
      <c r="A86" s="1" t="str">
        <f t="shared" si="1"/>
        <v>14</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 t="s">
        <v>1871</v>
      </c>
      <c r="D86" s="1" t="s">
        <v>607</v>
      </c>
      <c r="E86" s="1" t="s">
        <v>1872</v>
      </c>
      <c r="F86" s="1" t="s">
        <v>112</v>
      </c>
      <c r="G86" s="1">
        <v>292350</v>
      </c>
    </row>
    <row r="87" spans="1:10" x14ac:dyDescent="0.35">
      <c r="A87" s="1" t="str">
        <f t="shared" si="1"/>
        <v>14</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1873</v>
      </c>
      <c r="D87" s="1" t="s">
        <v>1874</v>
      </c>
      <c r="E87" s="1" t="s">
        <v>1875</v>
      </c>
      <c r="F87" s="1" t="s">
        <v>112</v>
      </c>
      <c r="G87" s="1">
        <v>169795</v>
      </c>
    </row>
    <row r="88" spans="1:10" x14ac:dyDescent="0.35">
      <c r="A88" s="1" t="str">
        <f t="shared" si="1"/>
        <v>14</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1876</v>
      </c>
      <c r="D88" s="1" t="s">
        <v>1877</v>
      </c>
      <c r="E88" s="1" t="s">
        <v>1878</v>
      </c>
      <c r="F88" s="1" t="s">
        <v>112</v>
      </c>
      <c r="G88" s="1">
        <v>294642</v>
      </c>
    </row>
    <row r="89" spans="1:10" x14ac:dyDescent="0.35">
      <c r="A89" s="1" t="str">
        <f t="shared" si="1"/>
        <v>14</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 t="s">
        <v>1879</v>
      </c>
      <c r="D89" s="1" t="s">
        <v>1880</v>
      </c>
      <c r="E89" s="1" t="s">
        <v>1881</v>
      </c>
      <c r="F89" s="1" t="s">
        <v>112</v>
      </c>
      <c r="G89" s="1">
        <v>718567</v>
      </c>
    </row>
    <row r="90" spans="1:10" x14ac:dyDescent="0.35">
      <c r="A90" s="1" t="str">
        <f t="shared" si="1"/>
        <v>14</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1882</v>
      </c>
      <c r="D90" s="1" t="s">
        <v>1883</v>
      </c>
      <c r="E90" s="1" t="s">
        <v>1884</v>
      </c>
      <c r="F90" s="1" t="s">
        <v>112</v>
      </c>
      <c r="G90" s="1">
        <v>875600</v>
      </c>
    </row>
    <row r="91" spans="1:10" x14ac:dyDescent="0.35">
      <c r="A91" s="1" t="str">
        <f t="shared" si="1"/>
        <v>14</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1885</v>
      </c>
      <c r="D91" s="1" t="s">
        <v>1886</v>
      </c>
      <c r="E91" s="1" t="s">
        <v>1887</v>
      </c>
      <c r="F91" s="1" t="s">
        <v>112</v>
      </c>
      <c r="G91" s="1">
        <v>1089390</v>
      </c>
    </row>
    <row r="92" spans="1:10" x14ac:dyDescent="0.3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112</v>
      </c>
    </row>
    <row r="93" spans="1:10" x14ac:dyDescent="0.3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237</v>
      </c>
      <c r="D93" s="1" t="s">
        <v>112</v>
      </c>
      <c r="E93" s="1" t="s">
        <v>238</v>
      </c>
      <c r="F93" s="1" t="s">
        <v>239</v>
      </c>
      <c r="G93" s="1" t="s">
        <v>240</v>
      </c>
      <c r="H93" s="1" t="s">
        <v>241</v>
      </c>
      <c r="I93" s="1" t="s">
        <v>242</v>
      </c>
      <c r="J93" s="1" t="s">
        <v>243</v>
      </c>
    </row>
    <row r="94" spans="1:10" x14ac:dyDescent="0.35">
      <c r="A94" s="1" t="str">
        <f t="shared" si="1"/>
        <v>14</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1888</v>
      </c>
      <c r="D94" s="1" t="s">
        <v>112</v>
      </c>
      <c r="E94" s="1" t="s">
        <v>1889</v>
      </c>
      <c r="F94" s="1" t="s">
        <v>1890</v>
      </c>
      <c r="G94" s="1" t="s">
        <v>1891</v>
      </c>
      <c r="H94" s="1" t="s">
        <v>1892</v>
      </c>
      <c r="I94" s="1">
        <v>24</v>
      </c>
      <c r="J94" s="1">
        <v>24</v>
      </c>
    </row>
    <row r="95" spans="1:10" x14ac:dyDescent="0.3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112</v>
      </c>
    </row>
    <row r="96" spans="1:10" x14ac:dyDescent="0.3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3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3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3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3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249</v>
      </c>
      <c r="D100" s="1" t="s">
        <v>110</v>
      </c>
      <c r="E100" s="1" t="s">
        <v>111</v>
      </c>
      <c r="F100" s="1" t="s">
        <v>112</v>
      </c>
      <c r="G100" s="1" t="s">
        <v>113</v>
      </c>
    </row>
    <row r="101" spans="1:7" x14ac:dyDescent="0.35">
      <c r="A101" s="1" t="str">
        <f t="shared" si="1"/>
        <v>15</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 t="s">
        <v>1893</v>
      </c>
      <c r="D101" s="1" t="s">
        <v>1894</v>
      </c>
      <c r="E101" s="1" t="s">
        <v>1895</v>
      </c>
      <c r="F101" s="1" t="s">
        <v>112</v>
      </c>
      <c r="G101" s="1">
        <v>4775016</v>
      </c>
    </row>
    <row r="102" spans="1:7" x14ac:dyDescent="0.35">
      <c r="A102" s="1" t="str">
        <f t="shared" si="1"/>
        <v>15</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1896</v>
      </c>
      <c r="D102" s="1" t="s">
        <v>1897</v>
      </c>
      <c r="E102" s="1" t="s">
        <v>1898</v>
      </c>
      <c r="F102" s="1" t="s">
        <v>112</v>
      </c>
      <c r="G102" s="1">
        <v>4019721</v>
      </c>
    </row>
    <row r="103" spans="1:7" x14ac:dyDescent="0.35">
      <c r="A103" s="1" t="str">
        <f t="shared" si="1"/>
        <v>15</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1899</v>
      </c>
      <c r="D103" s="1" t="s">
        <v>1900</v>
      </c>
      <c r="E103" s="1" t="s">
        <v>1901</v>
      </c>
      <c r="F103" s="1" t="s">
        <v>112</v>
      </c>
      <c r="G103" s="1">
        <v>4101828</v>
      </c>
    </row>
    <row r="104" spans="1:7" x14ac:dyDescent="0.35">
      <c r="A104" s="1" t="str">
        <f t="shared" si="1"/>
        <v>15</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 t="s">
        <v>1902</v>
      </c>
      <c r="D104" s="1" t="s">
        <v>1903</v>
      </c>
      <c r="E104" s="1" t="s">
        <v>1904</v>
      </c>
      <c r="F104" s="1" t="s">
        <v>112</v>
      </c>
      <c r="G104" s="1">
        <v>2381884</v>
      </c>
    </row>
    <row r="105" spans="1:7" x14ac:dyDescent="0.35">
      <c r="A105" s="1" t="str">
        <f t="shared" si="1"/>
        <v>15</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1905</v>
      </c>
      <c r="D105" s="1" t="s">
        <v>1906</v>
      </c>
      <c r="E105" s="1" t="s">
        <v>1907</v>
      </c>
      <c r="F105" s="1" t="s">
        <v>112</v>
      </c>
      <c r="G105" s="1">
        <v>2375525</v>
      </c>
    </row>
    <row r="106" spans="1:7" x14ac:dyDescent="0.35">
      <c r="A106" s="1" t="str">
        <f t="shared" si="1"/>
        <v>15</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1908</v>
      </c>
      <c r="D106" s="1" t="s">
        <v>1207</v>
      </c>
      <c r="E106" s="1" t="s">
        <v>1909</v>
      </c>
      <c r="F106" s="1" t="s">
        <v>112</v>
      </c>
      <c r="G106" s="1">
        <v>2482074</v>
      </c>
    </row>
    <row r="107" spans="1:7" x14ac:dyDescent="0.35">
      <c r="A107" s="1" t="str">
        <f t="shared" si="1"/>
        <v>15</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 t="s">
        <v>1910</v>
      </c>
      <c r="D107" s="1" t="s">
        <v>1911</v>
      </c>
      <c r="E107" s="1" t="s">
        <v>1912</v>
      </c>
      <c r="F107" s="1" t="s">
        <v>112</v>
      </c>
      <c r="G107" s="1">
        <v>1623864</v>
      </c>
    </row>
    <row r="108" spans="1:7" x14ac:dyDescent="0.35">
      <c r="A108" s="1" t="str">
        <f t="shared" si="1"/>
        <v>15</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1913</v>
      </c>
    </row>
    <row r="109" spans="1:7" x14ac:dyDescent="0.35">
      <c r="A109" s="1" t="str">
        <f t="shared" si="1"/>
        <v>15</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1914</v>
      </c>
    </row>
    <row r="110" spans="1:7" x14ac:dyDescent="0.35">
      <c r="A110" s="1" t="str">
        <f t="shared" si="1"/>
        <v>15</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 t="s">
        <v>1915</v>
      </c>
      <c r="D110" s="1" t="s">
        <v>1916</v>
      </c>
      <c r="E110" s="1" t="s">
        <v>1917</v>
      </c>
      <c r="F110" s="1" t="s">
        <v>112</v>
      </c>
      <c r="G110" s="1">
        <v>2927347</v>
      </c>
    </row>
    <row r="111" spans="1:7" x14ac:dyDescent="0.35">
      <c r="A111" s="1" t="str">
        <f t="shared" si="1"/>
        <v>15</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1918</v>
      </c>
      <c r="D111" s="1" t="s">
        <v>1919</v>
      </c>
      <c r="E111" s="1" t="s">
        <v>1920</v>
      </c>
      <c r="F111" s="1" t="s">
        <v>112</v>
      </c>
      <c r="G111" s="1">
        <v>2406542</v>
      </c>
    </row>
    <row r="112" spans="1:7" x14ac:dyDescent="0.35">
      <c r="A112" s="1" t="str">
        <f t="shared" si="1"/>
        <v>15</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1921</v>
      </c>
      <c r="D112" s="1" t="s">
        <v>1922</v>
      </c>
      <c r="E112" s="1" t="s">
        <v>1923</v>
      </c>
      <c r="F112" s="1" t="s">
        <v>112</v>
      </c>
      <c r="G112" s="1">
        <v>2771611</v>
      </c>
    </row>
    <row r="113" spans="1:10" x14ac:dyDescent="0.35">
      <c r="A113" s="1" t="str">
        <f t="shared" si="1"/>
        <v>15</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 t="s">
        <v>1924</v>
      </c>
      <c r="D113" s="1" t="s">
        <v>1925</v>
      </c>
      <c r="E113" s="1" t="s">
        <v>1926</v>
      </c>
      <c r="F113" s="1" t="s">
        <v>112</v>
      </c>
      <c r="G113" s="1">
        <v>5309685</v>
      </c>
    </row>
    <row r="114" spans="1:10" x14ac:dyDescent="0.35">
      <c r="A114" s="1" t="str">
        <f t="shared" si="1"/>
        <v>15</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1927</v>
      </c>
      <c r="D114" s="1" t="s">
        <v>1928</v>
      </c>
      <c r="E114" s="1" t="s">
        <v>1929</v>
      </c>
      <c r="F114" s="1" t="s">
        <v>112</v>
      </c>
      <c r="G114" s="1">
        <v>5245617</v>
      </c>
    </row>
    <row r="115" spans="1:10" x14ac:dyDescent="0.35">
      <c r="A115" s="1" t="str">
        <f t="shared" si="1"/>
        <v>15</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1930</v>
      </c>
      <c r="D115" s="1" t="s">
        <v>1931</v>
      </c>
      <c r="E115" s="1" t="s">
        <v>1932</v>
      </c>
      <c r="F115" s="1" t="s">
        <v>112</v>
      </c>
      <c r="G115" s="1">
        <v>5676766</v>
      </c>
    </row>
    <row r="116" spans="1:10" x14ac:dyDescent="0.35">
      <c r="A116" s="1" t="str">
        <f t="shared" si="1"/>
        <v>15</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 t="s">
        <v>1933</v>
      </c>
      <c r="D116" s="1" t="s">
        <v>1934</v>
      </c>
      <c r="E116" s="1" t="s">
        <v>1935</v>
      </c>
      <c r="F116" s="1" t="s">
        <v>112</v>
      </c>
      <c r="G116" s="1">
        <v>4233857</v>
      </c>
    </row>
    <row r="117" spans="1:10" x14ac:dyDescent="0.35">
      <c r="A117" s="1" t="str">
        <f t="shared" si="1"/>
        <v>15</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1936</v>
      </c>
      <c r="D117" s="1" t="s">
        <v>1937</v>
      </c>
      <c r="E117" s="1" t="s">
        <v>1938</v>
      </c>
      <c r="F117" s="1" t="s">
        <v>112</v>
      </c>
      <c r="G117" s="1">
        <v>4513229</v>
      </c>
    </row>
    <row r="118" spans="1:10" x14ac:dyDescent="0.35">
      <c r="A118" s="1" t="str">
        <f t="shared" si="1"/>
        <v>15</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1939</v>
      </c>
      <c r="D118" s="1" t="s">
        <v>1940</v>
      </c>
      <c r="E118" s="1" t="s">
        <v>1941</v>
      </c>
      <c r="F118" s="1" t="s">
        <v>112</v>
      </c>
      <c r="G118" s="1">
        <v>4079744</v>
      </c>
    </row>
    <row r="119" spans="1:10" x14ac:dyDescent="0.35">
      <c r="A119" s="1" t="str">
        <f t="shared" si="1"/>
        <v>15</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 t="s">
        <v>1942</v>
      </c>
      <c r="D119" s="1" t="s">
        <v>1943</v>
      </c>
      <c r="E119" s="1" t="s">
        <v>1944</v>
      </c>
      <c r="F119" s="1" t="s">
        <v>112</v>
      </c>
      <c r="G119" s="1">
        <v>3378654</v>
      </c>
    </row>
    <row r="120" spans="1:10" x14ac:dyDescent="0.35">
      <c r="A120" s="1" t="str">
        <f t="shared" si="1"/>
        <v>15</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1945</v>
      </c>
      <c r="D120" s="1" t="s">
        <v>1946</v>
      </c>
      <c r="E120" s="1" t="s">
        <v>1947</v>
      </c>
      <c r="F120" s="1" t="s">
        <v>112</v>
      </c>
      <c r="G120" s="1">
        <v>3620347</v>
      </c>
    </row>
    <row r="121" spans="1:10" x14ac:dyDescent="0.35">
      <c r="A121" s="1" t="str">
        <f t="shared" si="1"/>
        <v>15</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1948</v>
      </c>
      <c r="D121" s="1" t="s">
        <v>1949</v>
      </c>
      <c r="E121" s="1" t="s">
        <v>1950</v>
      </c>
      <c r="F121" s="1" t="s">
        <v>112</v>
      </c>
      <c r="G121" s="1">
        <v>2856682</v>
      </c>
    </row>
    <row r="122" spans="1:10" x14ac:dyDescent="0.35">
      <c r="A122" s="1" t="str">
        <f t="shared" si="1"/>
        <v>15</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 t="s">
        <v>1951</v>
      </c>
      <c r="D122" s="1" t="s">
        <v>1952</v>
      </c>
      <c r="E122" s="1" t="s">
        <v>1953</v>
      </c>
      <c r="F122" s="1" t="s">
        <v>112</v>
      </c>
      <c r="G122" s="1">
        <v>3742837</v>
      </c>
    </row>
    <row r="123" spans="1:10" x14ac:dyDescent="0.35">
      <c r="A123" s="1" t="str">
        <f t="shared" si="1"/>
        <v>15</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1954</v>
      </c>
      <c r="D123" s="1" t="s">
        <v>1955</v>
      </c>
      <c r="E123" s="1" t="s">
        <v>1956</v>
      </c>
      <c r="F123" s="1" t="s">
        <v>112</v>
      </c>
      <c r="G123" s="1">
        <v>4071741</v>
      </c>
    </row>
    <row r="124" spans="1:10" x14ac:dyDescent="0.35">
      <c r="A124" s="1" t="str">
        <f t="shared" si="1"/>
        <v>15</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1957</v>
      </c>
      <c r="D124" s="1" t="s">
        <v>1958</v>
      </c>
      <c r="E124" s="1" t="s">
        <v>1959</v>
      </c>
      <c r="F124" s="1" t="s">
        <v>112</v>
      </c>
      <c r="G124" s="1">
        <v>3509494</v>
      </c>
    </row>
    <row r="125" spans="1:10" x14ac:dyDescent="0.3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112</v>
      </c>
    </row>
    <row r="126" spans="1:10" x14ac:dyDescent="0.3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237</v>
      </c>
      <c r="D126" s="1" t="s">
        <v>112</v>
      </c>
      <c r="E126" s="1" t="s">
        <v>238</v>
      </c>
      <c r="F126" s="1" t="s">
        <v>239</v>
      </c>
      <c r="G126" s="1" t="s">
        <v>240</v>
      </c>
      <c r="H126" s="1" t="s">
        <v>241</v>
      </c>
      <c r="I126" s="1" t="s">
        <v>242</v>
      </c>
      <c r="J126" s="1" t="s">
        <v>243</v>
      </c>
    </row>
    <row r="127" spans="1:10" x14ac:dyDescent="0.35">
      <c r="A127" s="1" t="str">
        <f t="shared" si="1"/>
        <v>15</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 t="s">
        <v>1960</v>
      </c>
      <c r="D127" s="1" t="s">
        <v>112</v>
      </c>
      <c r="E127" s="1" t="s">
        <v>1961</v>
      </c>
      <c r="F127" s="1" t="s">
        <v>1962</v>
      </c>
      <c r="G127" s="1" t="s">
        <v>1963</v>
      </c>
      <c r="H127" s="1" t="s">
        <v>1964</v>
      </c>
      <c r="I127" s="1">
        <v>24</v>
      </c>
      <c r="J127" s="1">
        <v>24</v>
      </c>
    </row>
    <row r="128" spans="1:10" x14ac:dyDescent="0.3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 t="s">
        <v>112</v>
      </c>
    </row>
    <row r="129" spans="1:7" x14ac:dyDescent="0.3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3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3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3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3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249</v>
      </c>
      <c r="D133" s="1" t="s">
        <v>110</v>
      </c>
      <c r="E133" s="1" t="s">
        <v>111</v>
      </c>
      <c r="F133" s="1" t="s">
        <v>112</v>
      </c>
      <c r="G133" s="1" t="s">
        <v>113</v>
      </c>
    </row>
    <row r="134" spans="1:7" x14ac:dyDescent="0.35">
      <c r="A134" s="1" t="str">
        <f t="shared" si="2"/>
        <v>16</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 t="s">
        <v>1965</v>
      </c>
      <c r="D134" s="1" t="s">
        <v>303</v>
      </c>
      <c r="E134" s="1" t="s">
        <v>1966</v>
      </c>
      <c r="F134" s="1" t="s">
        <v>112</v>
      </c>
      <c r="G134" s="1">
        <v>4110</v>
      </c>
    </row>
    <row r="135" spans="1:7" x14ac:dyDescent="0.35">
      <c r="A135" s="1" t="str">
        <f t="shared" si="2"/>
        <v>16</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1967</v>
      </c>
      <c r="D135" s="1" t="s">
        <v>1968</v>
      </c>
      <c r="E135" s="1" t="s">
        <v>1969</v>
      </c>
      <c r="F135" s="1" t="s">
        <v>112</v>
      </c>
      <c r="G135" s="1">
        <v>345343</v>
      </c>
    </row>
    <row r="136" spans="1:7" x14ac:dyDescent="0.35">
      <c r="A136" s="1" t="str">
        <f t="shared" si="2"/>
        <v>16</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1970</v>
      </c>
      <c r="D136" s="1" t="s">
        <v>1971</v>
      </c>
      <c r="E136" s="1" t="s">
        <v>1972</v>
      </c>
      <c r="F136" s="1" t="s">
        <v>112</v>
      </c>
      <c r="G136" s="1">
        <v>262176</v>
      </c>
    </row>
    <row r="137" spans="1:7" x14ac:dyDescent="0.35">
      <c r="A137" s="1" t="str">
        <f t="shared" si="2"/>
        <v>16</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 t="s">
        <v>1973</v>
      </c>
      <c r="D137" s="1" t="s">
        <v>1406</v>
      </c>
      <c r="E137" s="1" t="s">
        <v>1974</v>
      </c>
      <c r="F137" s="1" t="s">
        <v>112</v>
      </c>
      <c r="G137" s="1">
        <v>68091</v>
      </c>
    </row>
    <row r="138" spans="1:7" x14ac:dyDescent="0.35">
      <c r="A138" s="1" t="str">
        <f t="shared" si="2"/>
        <v>16</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1975</v>
      </c>
      <c r="D138" s="1" t="s">
        <v>1976</v>
      </c>
      <c r="E138" s="1" t="s">
        <v>1977</v>
      </c>
      <c r="F138" s="1" t="s">
        <v>112</v>
      </c>
      <c r="G138" s="1">
        <v>245932</v>
      </c>
    </row>
    <row r="139" spans="1:7" x14ac:dyDescent="0.35">
      <c r="A139" s="1" t="str">
        <f t="shared" si="2"/>
        <v>16</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1978</v>
      </c>
      <c r="D139" s="1" t="s">
        <v>1979</v>
      </c>
      <c r="E139" s="1" t="s">
        <v>1980</v>
      </c>
      <c r="F139" s="1" t="s">
        <v>112</v>
      </c>
      <c r="G139" s="1">
        <v>411530</v>
      </c>
    </row>
    <row r="140" spans="1:7" x14ac:dyDescent="0.35">
      <c r="A140" s="1" t="str">
        <f t="shared" si="2"/>
        <v>16</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 t="s">
        <v>1981</v>
      </c>
      <c r="D140" s="1" t="s">
        <v>263</v>
      </c>
      <c r="E140" s="1" t="s">
        <v>1982</v>
      </c>
      <c r="F140" s="1" t="s">
        <v>112</v>
      </c>
      <c r="G140" s="1">
        <v>47218</v>
      </c>
    </row>
    <row r="141" spans="1:7" x14ac:dyDescent="0.35">
      <c r="A141" s="1" t="str">
        <f t="shared" si="2"/>
        <v>16</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1983</v>
      </c>
      <c r="D141" s="1" t="s">
        <v>1235</v>
      </c>
      <c r="E141" s="1" t="s">
        <v>1984</v>
      </c>
      <c r="F141" s="1" t="s">
        <v>112</v>
      </c>
      <c r="G141" s="1">
        <v>365437</v>
      </c>
    </row>
    <row r="142" spans="1:7" x14ac:dyDescent="0.35">
      <c r="A142" s="1" t="str">
        <f t="shared" si="2"/>
        <v>16</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1985</v>
      </c>
      <c r="D142" s="1" t="s">
        <v>1986</v>
      </c>
      <c r="E142" s="1" t="s">
        <v>1987</v>
      </c>
      <c r="F142" s="1" t="s">
        <v>112</v>
      </c>
      <c r="G142" s="1">
        <v>245478</v>
      </c>
    </row>
    <row r="143" spans="1:7" x14ac:dyDescent="0.35">
      <c r="A143" s="1" t="str">
        <f t="shared" si="2"/>
        <v>16</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 t="s">
        <v>1988</v>
      </c>
      <c r="D143" s="1" t="s">
        <v>1989</v>
      </c>
      <c r="E143" s="1" t="s">
        <v>1990</v>
      </c>
      <c r="F143" s="1" t="s">
        <v>112</v>
      </c>
      <c r="G143" s="1">
        <v>11529</v>
      </c>
    </row>
    <row r="144" spans="1:7" x14ac:dyDescent="0.35">
      <c r="A144" s="1" t="str">
        <f t="shared" si="2"/>
        <v>16</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1991</v>
      </c>
      <c r="D144" s="1" t="s">
        <v>1992</v>
      </c>
      <c r="E144" s="1" t="s">
        <v>1993</v>
      </c>
      <c r="F144" s="1" t="s">
        <v>112</v>
      </c>
      <c r="G144" s="1">
        <v>8176</v>
      </c>
    </row>
    <row r="145" spans="1:10" x14ac:dyDescent="0.35">
      <c r="A145" s="1" t="str">
        <f t="shared" si="2"/>
        <v>16</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1994</v>
      </c>
      <c r="D145" s="1" t="s">
        <v>1995</v>
      </c>
      <c r="E145" s="1" t="s">
        <v>1996</v>
      </c>
      <c r="F145" s="1" t="s">
        <v>112</v>
      </c>
      <c r="G145" s="1">
        <v>59331</v>
      </c>
    </row>
    <row r="146" spans="1:10" x14ac:dyDescent="0.35">
      <c r="A146" s="1" t="str">
        <f t="shared" si="2"/>
        <v>16</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 t="s">
        <v>1997</v>
      </c>
      <c r="D146" s="1" t="s">
        <v>549</v>
      </c>
      <c r="E146" s="1">
        <v>30</v>
      </c>
      <c r="F146" s="1" t="s">
        <v>112</v>
      </c>
      <c r="G146" s="1">
        <v>649</v>
      </c>
    </row>
    <row r="147" spans="1:10" x14ac:dyDescent="0.35">
      <c r="A147" s="1" t="str">
        <f t="shared" si="2"/>
        <v>16</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1998</v>
      </c>
      <c r="D147" s="1">
        <v>0</v>
      </c>
      <c r="E147" s="1">
        <v>0</v>
      </c>
      <c r="F147" s="1" t="s">
        <v>112</v>
      </c>
      <c r="G147" s="1">
        <v>0</v>
      </c>
    </row>
    <row r="148" spans="1:10" x14ac:dyDescent="0.35">
      <c r="A148" s="1" t="str">
        <f t="shared" si="2"/>
        <v>16</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1999</v>
      </c>
      <c r="D148" s="1" t="s">
        <v>2000</v>
      </c>
      <c r="E148" s="1" t="s">
        <v>2001</v>
      </c>
      <c r="F148" s="1" t="s">
        <v>112</v>
      </c>
      <c r="G148" s="1">
        <v>131899</v>
      </c>
    </row>
    <row r="149" spans="1:10" x14ac:dyDescent="0.35">
      <c r="A149" s="1" t="str">
        <f t="shared" si="2"/>
        <v>16</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2002</v>
      </c>
      <c r="D149" s="1" t="s">
        <v>691</v>
      </c>
      <c r="E149" s="1" t="s">
        <v>2003</v>
      </c>
      <c r="F149" s="1" t="s">
        <v>112</v>
      </c>
      <c r="G149" s="1">
        <v>409692</v>
      </c>
    </row>
    <row r="150" spans="1:10" x14ac:dyDescent="0.35">
      <c r="A150" s="1" t="str">
        <f t="shared" si="2"/>
        <v>16</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2004</v>
      </c>
      <c r="D150" s="1" t="s">
        <v>2005</v>
      </c>
      <c r="E150" s="1" t="s">
        <v>2006</v>
      </c>
      <c r="F150" s="1" t="s">
        <v>112</v>
      </c>
      <c r="G150" s="1">
        <v>262176</v>
      </c>
    </row>
    <row r="151" spans="1:10" x14ac:dyDescent="0.35">
      <c r="A151" s="1" t="str">
        <f t="shared" si="2"/>
        <v>16</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2007</v>
      </c>
      <c r="D151" s="1" t="s">
        <v>2008</v>
      </c>
      <c r="E151" s="1" t="s">
        <v>2009</v>
      </c>
      <c r="F151" s="1" t="s">
        <v>112</v>
      </c>
      <c r="G151" s="1">
        <v>311060</v>
      </c>
    </row>
    <row r="152" spans="1:10" x14ac:dyDescent="0.35">
      <c r="A152" s="1" t="str">
        <f t="shared" si="2"/>
        <v>16</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2010</v>
      </c>
      <c r="D152" s="1" t="s">
        <v>1570</v>
      </c>
      <c r="E152" s="1" t="s">
        <v>2011</v>
      </c>
      <c r="F152" s="1" t="s">
        <v>112</v>
      </c>
      <c r="G152" s="1">
        <v>194691</v>
      </c>
    </row>
    <row r="153" spans="1:10" x14ac:dyDescent="0.35">
      <c r="A153" s="1" t="str">
        <f t="shared" si="2"/>
        <v>16</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2012</v>
      </c>
      <c r="D153" s="1" t="s">
        <v>2013</v>
      </c>
      <c r="E153" s="1" t="s">
        <v>2014</v>
      </c>
      <c r="F153" s="1" t="s">
        <v>112</v>
      </c>
      <c r="G153" s="1">
        <v>153983</v>
      </c>
    </row>
    <row r="154" spans="1:10" x14ac:dyDescent="0.35">
      <c r="A154" s="1" t="str">
        <f t="shared" si="2"/>
        <v>16</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2015</v>
      </c>
      <c r="D154" s="1" t="s">
        <v>2016</v>
      </c>
      <c r="E154" s="1" t="s">
        <v>2017</v>
      </c>
      <c r="F154" s="1" t="s">
        <v>112</v>
      </c>
      <c r="G154" s="1">
        <v>68026</v>
      </c>
    </row>
    <row r="155" spans="1:10" x14ac:dyDescent="0.35">
      <c r="A155" s="1" t="str">
        <f t="shared" si="2"/>
        <v>16</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2018</v>
      </c>
      <c r="D155" s="1" t="s">
        <v>2019</v>
      </c>
      <c r="E155" s="1" t="s">
        <v>2020</v>
      </c>
      <c r="F155" s="1" t="s">
        <v>112</v>
      </c>
      <c r="G155" s="1">
        <v>229450</v>
      </c>
    </row>
    <row r="156" spans="1:10" x14ac:dyDescent="0.35">
      <c r="A156" s="1" t="str">
        <f t="shared" si="2"/>
        <v>16</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2021</v>
      </c>
      <c r="D156" s="1" t="s">
        <v>232</v>
      </c>
      <c r="E156" s="1" t="s">
        <v>2022</v>
      </c>
      <c r="F156" s="1" t="s">
        <v>112</v>
      </c>
      <c r="G156" s="1">
        <v>113124</v>
      </c>
    </row>
    <row r="157" spans="1:10" x14ac:dyDescent="0.35">
      <c r="A157" s="1" t="str">
        <f t="shared" si="2"/>
        <v>16</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2023</v>
      </c>
      <c r="D157" s="1" t="s">
        <v>2013</v>
      </c>
      <c r="E157" s="1" t="s">
        <v>2024</v>
      </c>
      <c r="F157" s="1" t="s">
        <v>112</v>
      </c>
      <c r="G157" s="1">
        <v>162354</v>
      </c>
    </row>
    <row r="158" spans="1:10" x14ac:dyDescent="0.3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112</v>
      </c>
    </row>
    <row r="159" spans="1:10" x14ac:dyDescent="0.3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237</v>
      </c>
      <c r="D159" s="1" t="s">
        <v>112</v>
      </c>
      <c r="E159" s="1" t="s">
        <v>238</v>
      </c>
      <c r="F159" s="1" t="s">
        <v>239</v>
      </c>
      <c r="G159" s="1" t="s">
        <v>240</v>
      </c>
      <c r="H159" s="1" t="s">
        <v>241</v>
      </c>
      <c r="I159" s="1" t="s">
        <v>242</v>
      </c>
      <c r="J159" s="1" t="s">
        <v>243</v>
      </c>
    </row>
    <row r="160" spans="1:10" x14ac:dyDescent="0.35">
      <c r="A160" s="1" t="str">
        <f t="shared" si="2"/>
        <v>16</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2025</v>
      </c>
      <c r="D160" s="1" t="s">
        <v>112</v>
      </c>
      <c r="E160" s="1" t="s">
        <v>2026</v>
      </c>
      <c r="F160" s="1" t="s">
        <v>2027</v>
      </c>
      <c r="G160" s="1" t="s">
        <v>2028</v>
      </c>
      <c r="H160" s="1" t="s">
        <v>2029</v>
      </c>
      <c r="I160" s="1">
        <v>23</v>
      </c>
      <c r="J160" s="1">
        <v>24</v>
      </c>
    </row>
    <row r="161" spans="1:7" x14ac:dyDescent="0.3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112</v>
      </c>
    </row>
    <row r="162" spans="1:7" x14ac:dyDescent="0.3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7" x14ac:dyDescent="0.3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7" x14ac:dyDescent="0.3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7" x14ac:dyDescent="0.3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7" x14ac:dyDescent="0.3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249</v>
      </c>
      <c r="D166" s="1" t="s">
        <v>110</v>
      </c>
      <c r="E166" s="1" t="s">
        <v>111</v>
      </c>
      <c r="F166" s="1" t="s">
        <v>112</v>
      </c>
      <c r="G166" s="1" t="s">
        <v>113</v>
      </c>
    </row>
    <row r="167" spans="1:7" x14ac:dyDescent="0.35">
      <c r="A167" s="1" t="str">
        <f t="shared" si="2"/>
        <v>2</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2030</v>
      </c>
    </row>
    <row r="168" spans="1:7" x14ac:dyDescent="0.35">
      <c r="A168" s="1" t="str">
        <f t="shared" si="2"/>
        <v>2</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2031</v>
      </c>
    </row>
    <row r="169" spans="1:7" x14ac:dyDescent="0.35">
      <c r="A169" s="1" t="str">
        <f t="shared" si="2"/>
        <v>2</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2032</v>
      </c>
    </row>
    <row r="170" spans="1:7" x14ac:dyDescent="0.35">
      <c r="A170" s="1" t="str">
        <f t="shared" si="2"/>
        <v>2</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 t="s">
        <v>2033</v>
      </c>
      <c r="D170" s="1" t="s">
        <v>2034</v>
      </c>
      <c r="E170" s="1" t="s">
        <v>2035</v>
      </c>
      <c r="F170" s="1" t="s">
        <v>112</v>
      </c>
      <c r="G170" s="1">
        <v>177062</v>
      </c>
    </row>
    <row r="171" spans="1:7" x14ac:dyDescent="0.35">
      <c r="A171" s="1" t="str">
        <f t="shared" si="2"/>
        <v>2</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2036</v>
      </c>
      <c r="D171" s="1" t="s">
        <v>662</v>
      </c>
      <c r="E171" s="1" t="s">
        <v>2037</v>
      </c>
      <c r="F171" s="1" t="s">
        <v>112</v>
      </c>
      <c r="G171" s="1">
        <v>120500</v>
      </c>
    </row>
    <row r="172" spans="1:7" x14ac:dyDescent="0.35">
      <c r="A172" s="1" t="str">
        <f t="shared" si="2"/>
        <v>2</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2038</v>
      </c>
      <c r="D172" s="1" t="s">
        <v>2039</v>
      </c>
      <c r="E172" s="1" t="s">
        <v>2040</v>
      </c>
      <c r="F172" s="1" t="s">
        <v>112</v>
      </c>
      <c r="G172" s="1">
        <v>114595</v>
      </c>
    </row>
    <row r="173" spans="1:7" x14ac:dyDescent="0.35">
      <c r="A173" s="1" t="str">
        <f t="shared" si="2"/>
        <v>2</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 t="s">
        <v>2041</v>
      </c>
      <c r="D173" s="1" t="s">
        <v>2042</v>
      </c>
      <c r="E173" s="1" t="s">
        <v>2043</v>
      </c>
      <c r="F173" s="1" t="s">
        <v>112</v>
      </c>
      <c r="G173" s="1">
        <v>351702</v>
      </c>
    </row>
    <row r="174" spans="1:7" x14ac:dyDescent="0.35">
      <c r="A174" s="1" t="str">
        <f t="shared" si="2"/>
        <v>2</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2044</v>
      </c>
      <c r="D174" s="1" t="s">
        <v>2045</v>
      </c>
      <c r="E174" s="1" t="s">
        <v>2046</v>
      </c>
      <c r="F174" s="1" t="s">
        <v>112</v>
      </c>
      <c r="G174" s="1">
        <v>101552</v>
      </c>
    </row>
    <row r="175" spans="1:7" x14ac:dyDescent="0.35">
      <c r="A175" s="1" t="str">
        <f t="shared" si="2"/>
        <v>2</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2047</v>
      </c>
      <c r="D175" s="1" t="s">
        <v>2048</v>
      </c>
      <c r="E175" s="1" t="s">
        <v>2049</v>
      </c>
      <c r="F175" s="1" t="s">
        <v>112</v>
      </c>
      <c r="G175" s="1">
        <v>184287</v>
      </c>
    </row>
    <row r="176" spans="1:7" x14ac:dyDescent="0.35">
      <c r="A176" s="1" t="str">
        <f t="shared" si="2"/>
        <v>2</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 t="s">
        <v>2050</v>
      </c>
      <c r="D176" s="1" t="s">
        <v>2051</v>
      </c>
      <c r="E176" s="1" t="s">
        <v>2052</v>
      </c>
      <c r="F176" s="1" t="s">
        <v>112</v>
      </c>
      <c r="G176" s="1">
        <v>285904</v>
      </c>
    </row>
    <row r="177" spans="1:10" x14ac:dyDescent="0.35">
      <c r="A177" s="1" t="str">
        <f t="shared" si="2"/>
        <v>2</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2053</v>
      </c>
      <c r="D177" s="1" t="s">
        <v>483</v>
      </c>
      <c r="E177" s="1" t="s">
        <v>2054</v>
      </c>
      <c r="F177" s="1" t="s">
        <v>112</v>
      </c>
      <c r="G177" s="1">
        <v>226422</v>
      </c>
    </row>
    <row r="178" spans="1:10" x14ac:dyDescent="0.35">
      <c r="A178" s="1" t="str">
        <f t="shared" si="2"/>
        <v>2</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2055</v>
      </c>
      <c r="D178" s="1" t="s">
        <v>229</v>
      </c>
      <c r="E178" s="1" t="s">
        <v>2056</v>
      </c>
      <c r="F178" s="1" t="s">
        <v>112</v>
      </c>
      <c r="G178" s="1">
        <v>37139</v>
      </c>
    </row>
    <row r="179" spans="1:10" x14ac:dyDescent="0.35">
      <c r="A179" s="1" t="str">
        <f t="shared" si="2"/>
        <v>2</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 t="s">
        <v>2057</v>
      </c>
      <c r="D179" s="1" t="s">
        <v>2058</v>
      </c>
      <c r="E179" s="1" t="s">
        <v>2059</v>
      </c>
      <c r="F179" s="1" t="s">
        <v>112</v>
      </c>
      <c r="G179" s="1">
        <v>603669</v>
      </c>
    </row>
    <row r="180" spans="1:10" x14ac:dyDescent="0.35">
      <c r="A180" s="1" t="str">
        <f t="shared" si="2"/>
        <v>2</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2060</v>
      </c>
      <c r="D180" s="1" t="s">
        <v>309</v>
      </c>
      <c r="E180" s="1" t="s">
        <v>2061</v>
      </c>
      <c r="F180" s="1" t="s">
        <v>112</v>
      </c>
      <c r="G180" s="1">
        <v>7268</v>
      </c>
    </row>
    <row r="181" spans="1:10" x14ac:dyDescent="0.35">
      <c r="A181" s="1" t="str">
        <f t="shared" si="2"/>
        <v>2</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2062</v>
      </c>
    </row>
    <row r="182" spans="1:10" x14ac:dyDescent="0.35">
      <c r="A182" s="1" t="str">
        <f t="shared" si="2"/>
        <v>2</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 t="s">
        <v>2063</v>
      </c>
      <c r="D182" s="1">
        <v>0</v>
      </c>
      <c r="E182" s="1">
        <v>0</v>
      </c>
      <c r="F182" s="1" t="s">
        <v>112</v>
      </c>
      <c r="G182" s="1">
        <v>0</v>
      </c>
    </row>
    <row r="183" spans="1:10" x14ac:dyDescent="0.35">
      <c r="A183" s="1" t="str">
        <f t="shared" si="2"/>
        <v>2</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2064</v>
      </c>
    </row>
    <row r="184" spans="1:10" x14ac:dyDescent="0.35">
      <c r="A184" s="1" t="str">
        <f t="shared" si="2"/>
        <v>2</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2065</v>
      </c>
    </row>
    <row r="185" spans="1:10" x14ac:dyDescent="0.35">
      <c r="A185" s="1" t="str">
        <f t="shared" si="2"/>
        <v>2</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 t="s">
        <v>2066</v>
      </c>
    </row>
    <row r="186" spans="1:10" x14ac:dyDescent="0.35">
      <c r="A186" s="1" t="str">
        <f t="shared" si="2"/>
        <v>2</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2067</v>
      </c>
      <c r="D186" s="1" t="s">
        <v>1409</v>
      </c>
      <c r="E186" s="1" t="s">
        <v>2068</v>
      </c>
      <c r="F186" s="1" t="s">
        <v>112</v>
      </c>
      <c r="G186" s="1">
        <v>125237</v>
      </c>
    </row>
    <row r="187" spans="1:10" x14ac:dyDescent="0.35">
      <c r="A187" s="1" t="str">
        <f t="shared" si="2"/>
        <v>2</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2069</v>
      </c>
      <c r="D187" s="1">
        <v>0</v>
      </c>
      <c r="E187" s="1">
        <v>0</v>
      </c>
      <c r="F187" s="1" t="s">
        <v>112</v>
      </c>
      <c r="G187" s="1">
        <v>0</v>
      </c>
    </row>
    <row r="188" spans="1:10" x14ac:dyDescent="0.35">
      <c r="A188" s="1" t="str">
        <f t="shared" si="2"/>
        <v>2</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 t="s">
        <v>2070</v>
      </c>
      <c r="D188" s="1" t="s">
        <v>1545</v>
      </c>
      <c r="E188" s="1" t="s">
        <v>2071</v>
      </c>
      <c r="F188" s="1" t="s">
        <v>112</v>
      </c>
      <c r="G188" s="1">
        <v>147754</v>
      </c>
    </row>
    <row r="189" spans="1:10" x14ac:dyDescent="0.35">
      <c r="A189" s="1" t="str">
        <f t="shared" si="2"/>
        <v>2</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2072</v>
      </c>
      <c r="D189" s="1" t="s">
        <v>1218</v>
      </c>
      <c r="E189" s="1" t="s">
        <v>2073</v>
      </c>
      <c r="F189" s="1" t="s">
        <v>112</v>
      </c>
      <c r="G189" s="1">
        <v>145959</v>
      </c>
    </row>
    <row r="190" spans="1:10" x14ac:dyDescent="0.35">
      <c r="A190" s="1" t="str">
        <f t="shared" si="2"/>
        <v>2</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2074</v>
      </c>
      <c r="D190" s="1" t="s">
        <v>2075</v>
      </c>
      <c r="E190" s="1" t="s">
        <v>2076</v>
      </c>
      <c r="F190" s="1" t="s">
        <v>112</v>
      </c>
      <c r="G190" s="1">
        <v>134538</v>
      </c>
    </row>
    <row r="191" spans="1:10" x14ac:dyDescent="0.3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 t="s">
        <v>112</v>
      </c>
    </row>
    <row r="192" spans="1:10" x14ac:dyDescent="0.3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237</v>
      </c>
      <c r="D192" s="1" t="s">
        <v>112</v>
      </c>
      <c r="E192" s="1" t="s">
        <v>238</v>
      </c>
      <c r="F192" s="1" t="s">
        <v>239</v>
      </c>
      <c r="G192" s="1" t="s">
        <v>240</v>
      </c>
      <c r="H192" s="1" t="s">
        <v>241</v>
      </c>
      <c r="I192" s="1" t="s">
        <v>242</v>
      </c>
      <c r="J192" s="1" t="s">
        <v>243</v>
      </c>
    </row>
    <row r="193" spans="1:10" x14ac:dyDescent="0.35">
      <c r="A193" s="1" t="str">
        <f t="shared" si="2"/>
        <v>2</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 t="s">
        <v>2077</v>
      </c>
      <c r="D193" s="1" t="s">
        <v>112</v>
      </c>
      <c r="E193" s="1" t="s">
        <v>2078</v>
      </c>
      <c r="F193" s="1" t="s">
        <v>2079</v>
      </c>
      <c r="G193" s="1" t="s">
        <v>2080</v>
      </c>
      <c r="H193" s="1" t="s">
        <v>2081</v>
      </c>
      <c r="I193" s="1">
        <v>21</v>
      </c>
      <c r="J193" s="1">
        <v>24</v>
      </c>
    </row>
    <row r="194" spans="1:10" x14ac:dyDescent="0.3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 t="s">
        <v>112</v>
      </c>
    </row>
    <row r="195" spans="1:10" x14ac:dyDescent="0.3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10" x14ac:dyDescent="0.3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10" x14ac:dyDescent="0.3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10" x14ac:dyDescent="0.3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10" x14ac:dyDescent="0.3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249</v>
      </c>
      <c r="D199" s="1" t="s">
        <v>110</v>
      </c>
      <c r="E199" s="1" t="s">
        <v>111</v>
      </c>
      <c r="F199" s="1" t="s">
        <v>112</v>
      </c>
      <c r="G199" s="1" t="s">
        <v>113</v>
      </c>
    </row>
    <row r="200" spans="1:10" x14ac:dyDescent="0.35">
      <c r="A200" s="1" t="str">
        <f t="shared" si="3"/>
        <v>3</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 t="s">
        <v>2082</v>
      </c>
      <c r="D200" s="1" t="s">
        <v>1551</v>
      </c>
      <c r="E200" s="1" t="s">
        <v>2083</v>
      </c>
      <c r="F200" s="1" t="s">
        <v>112</v>
      </c>
      <c r="G200" s="1">
        <v>269552</v>
      </c>
    </row>
    <row r="201" spans="1:10" x14ac:dyDescent="0.35">
      <c r="A201" s="1" t="str">
        <f t="shared" si="3"/>
        <v>3</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2084</v>
      </c>
      <c r="D201" s="1" t="s">
        <v>2085</v>
      </c>
      <c r="E201" s="1" t="s">
        <v>2086</v>
      </c>
      <c r="F201" s="1" t="s">
        <v>112</v>
      </c>
      <c r="G201" s="1">
        <v>22690</v>
      </c>
    </row>
    <row r="202" spans="1:10" x14ac:dyDescent="0.35">
      <c r="A202" s="1" t="str">
        <f t="shared" si="3"/>
        <v>3</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2087</v>
      </c>
      <c r="D202" s="1" t="s">
        <v>1860</v>
      </c>
      <c r="E202" s="1" t="s">
        <v>1861</v>
      </c>
      <c r="F202" s="1" t="s">
        <v>112</v>
      </c>
      <c r="G202" s="1">
        <v>19575</v>
      </c>
    </row>
    <row r="203" spans="1:10" x14ac:dyDescent="0.35">
      <c r="A203" s="1" t="str">
        <f t="shared" si="3"/>
        <v>3</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 t="s">
        <v>2088</v>
      </c>
      <c r="D203" s="1" t="s">
        <v>613</v>
      </c>
      <c r="E203" s="1" t="s">
        <v>2089</v>
      </c>
      <c r="F203" s="1" t="s">
        <v>112</v>
      </c>
      <c r="G203" s="1">
        <v>35733</v>
      </c>
    </row>
    <row r="204" spans="1:10" x14ac:dyDescent="0.35">
      <c r="A204" s="1" t="str">
        <f t="shared" si="3"/>
        <v>3</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2090</v>
      </c>
      <c r="D204" s="1" t="s">
        <v>1860</v>
      </c>
      <c r="E204" s="1" t="s">
        <v>2091</v>
      </c>
      <c r="F204" s="1" t="s">
        <v>112</v>
      </c>
      <c r="G204" s="1">
        <v>20137</v>
      </c>
    </row>
    <row r="205" spans="1:10" x14ac:dyDescent="0.35">
      <c r="A205" s="1" t="str">
        <f t="shared" si="3"/>
        <v>3</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2092</v>
      </c>
    </row>
    <row r="206" spans="1:10" x14ac:dyDescent="0.35">
      <c r="A206" s="1" t="str">
        <f t="shared" si="3"/>
        <v>3</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 t="s">
        <v>2093</v>
      </c>
      <c r="D206" s="1" t="s">
        <v>2094</v>
      </c>
      <c r="E206" s="1" t="s">
        <v>2095</v>
      </c>
      <c r="F206" s="1" t="s">
        <v>112</v>
      </c>
      <c r="G206" s="1">
        <v>233105</v>
      </c>
    </row>
    <row r="207" spans="1:10" x14ac:dyDescent="0.35">
      <c r="A207" s="1" t="str">
        <f t="shared" si="3"/>
        <v>3</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2096</v>
      </c>
    </row>
    <row r="208" spans="1:10" x14ac:dyDescent="0.35">
      <c r="A208" s="1" t="str">
        <f t="shared" si="3"/>
        <v>3</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2097</v>
      </c>
    </row>
    <row r="209" spans="1:7" x14ac:dyDescent="0.35">
      <c r="A209" s="1" t="str">
        <f t="shared" si="3"/>
        <v>3</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 t="s">
        <v>2098</v>
      </c>
      <c r="D209" s="1" t="s">
        <v>520</v>
      </c>
      <c r="E209" s="1" t="s">
        <v>2099</v>
      </c>
      <c r="F209" s="1" t="s">
        <v>112</v>
      </c>
      <c r="G209" s="1">
        <v>18234</v>
      </c>
    </row>
    <row r="210" spans="1:7" x14ac:dyDescent="0.35">
      <c r="A210" s="1" t="str">
        <f t="shared" si="3"/>
        <v>3</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2100</v>
      </c>
      <c r="D210" s="1" t="s">
        <v>1995</v>
      </c>
      <c r="E210" s="1">
        <v>32</v>
      </c>
      <c r="F210" s="1" t="s">
        <v>112</v>
      </c>
      <c r="G210" s="1">
        <v>56757</v>
      </c>
    </row>
    <row r="211" spans="1:7" x14ac:dyDescent="0.35">
      <c r="A211" s="1" t="str">
        <f t="shared" si="3"/>
        <v>3</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2101</v>
      </c>
      <c r="D211" s="1" t="s">
        <v>648</v>
      </c>
      <c r="E211" s="1" t="s">
        <v>2102</v>
      </c>
      <c r="F211" s="1" t="s">
        <v>112</v>
      </c>
      <c r="G211" s="1">
        <v>98611</v>
      </c>
    </row>
    <row r="212" spans="1:7" x14ac:dyDescent="0.35">
      <c r="A212" s="1" t="str">
        <f t="shared" si="3"/>
        <v>3</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 t="s">
        <v>2103</v>
      </c>
      <c r="D212" s="1" t="s">
        <v>557</v>
      </c>
      <c r="E212" s="1" t="s">
        <v>2104</v>
      </c>
      <c r="F212" s="1" t="s">
        <v>112</v>
      </c>
      <c r="G212" s="1">
        <v>217186</v>
      </c>
    </row>
    <row r="213" spans="1:7" x14ac:dyDescent="0.35">
      <c r="A213" s="1" t="str">
        <f t="shared" si="3"/>
        <v>3</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2105</v>
      </c>
      <c r="D213" s="1" t="s">
        <v>2013</v>
      </c>
      <c r="E213" s="1" t="s">
        <v>2106</v>
      </c>
      <c r="F213" s="1" t="s">
        <v>112</v>
      </c>
      <c r="G213" s="1">
        <v>165945</v>
      </c>
    </row>
    <row r="214" spans="1:7" x14ac:dyDescent="0.35">
      <c r="A214" s="1" t="str">
        <f t="shared" si="3"/>
        <v>3</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2107</v>
      </c>
      <c r="D214" s="1" t="s">
        <v>2108</v>
      </c>
      <c r="E214" s="1" t="s">
        <v>2109</v>
      </c>
      <c r="F214" s="1" t="s">
        <v>112</v>
      </c>
      <c r="G214" s="1">
        <v>188829</v>
      </c>
    </row>
    <row r="215" spans="1:7" x14ac:dyDescent="0.35">
      <c r="A215" s="1" t="str">
        <f t="shared" si="3"/>
        <v>3</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 t="s">
        <v>2110</v>
      </c>
      <c r="D215" s="1">
        <v>0</v>
      </c>
      <c r="E215" s="1">
        <v>0</v>
      </c>
      <c r="F215" s="1" t="s">
        <v>112</v>
      </c>
      <c r="G215" s="1">
        <v>0</v>
      </c>
    </row>
    <row r="216" spans="1:7" x14ac:dyDescent="0.35">
      <c r="A216" s="1" t="str">
        <f t="shared" si="3"/>
        <v>3</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2111</v>
      </c>
      <c r="D216" s="1" t="s">
        <v>2112</v>
      </c>
      <c r="E216" s="1" t="s">
        <v>2113</v>
      </c>
      <c r="F216" s="1" t="s">
        <v>112</v>
      </c>
      <c r="G216" s="1">
        <v>216429</v>
      </c>
    </row>
    <row r="217" spans="1:7" x14ac:dyDescent="0.35">
      <c r="A217" s="1" t="str">
        <f t="shared" si="3"/>
        <v>3</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2114</v>
      </c>
      <c r="D217" s="1" t="s">
        <v>151</v>
      </c>
      <c r="E217" s="1" t="s">
        <v>2115</v>
      </c>
      <c r="F217" s="1" t="s">
        <v>112</v>
      </c>
      <c r="G217" s="1">
        <v>138972</v>
      </c>
    </row>
    <row r="218" spans="1:7" x14ac:dyDescent="0.35">
      <c r="A218" s="1" t="str">
        <f t="shared" si="3"/>
        <v>3</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 t="s">
        <v>2116</v>
      </c>
      <c r="D218" s="1" t="s">
        <v>227</v>
      </c>
      <c r="E218" s="1">
        <v>32</v>
      </c>
      <c r="F218" s="1" t="s">
        <v>112</v>
      </c>
      <c r="G218" s="1">
        <v>1384</v>
      </c>
    </row>
    <row r="219" spans="1:7" x14ac:dyDescent="0.35">
      <c r="A219" s="1" t="str">
        <f t="shared" si="3"/>
        <v>3</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2117</v>
      </c>
      <c r="D219" s="1" t="s">
        <v>2118</v>
      </c>
      <c r="E219" s="1" t="s">
        <v>2119</v>
      </c>
      <c r="F219" s="1" t="s">
        <v>112</v>
      </c>
      <c r="G219" s="1">
        <v>212990</v>
      </c>
    </row>
    <row r="220" spans="1:7" x14ac:dyDescent="0.35">
      <c r="A220" s="1" t="str">
        <f t="shared" si="3"/>
        <v>3</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2120</v>
      </c>
      <c r="D220" s="1" t="s">
        <v>2121</v>
      </c>
      <c r="E220" s="1" t="s">
        <v>2122</v>
      </c>
      <c r="F220" s="1" t="s">
        <v>112</v>
      </c>
      <c r="G220" s="1">
        <v>219068</v>
      </c>
    </row>
    <row r="221" spans="1:7" x14ac:dyDescent="0.35">
      <c r="A221" s="1" t="str">
        <f t="shared" si="3"/>
        <v>3</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 t="s">
        <v>2123</v>
      </c>
      <c r="D221" s="1">
        <v>0</v>
      </c>
      <c r="E221" s="1">
        <v>0</v>
      </c>
      <c r="F221" s="1" t="s">
        <v>112</v>
      </c>
      <c r="G221" s="1">
        <v>0</v>
      </c>
    </row>
    <row r="222" spans="1:7" x14ac:dyDescent="0.35">
      <c r="A222" s="1" t="str">
        <f t="shared" si="3"/>
        <v>3</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2124</v>
      </c>
      <c r="D222" s="1" t="s">
        <v>309</v>
      </c>
      <c r="E222" s="1" t="s">
        <v>2125</v>
      </c>
      <c r="F222" s="1" t="s">
        <v>112</v>
      </c>
      <c r="G222" s="1">
        <v>7051</v>
      </c>
    </row>
    <row r="223" spans="1:7" x14ac:dyDescent="0.35">
      <c r="A223" s="1" t="str">
        <f t="shared" si="3"/>
        <v>3</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2126</v>
      </c>
      <c r="D223" s="1" t="s">
        <v>520</v>
      </c>
      <c r="E223" s="1" t="s">
        <v>2127</v>
      </c>
      <c r="F223" s="1" t="s">
        <v>112</v>
      </c>
      <c r="G223" s="1">
        <v>18645</v>
      </c>
    </row>
    <row r="224" spans="1:7" x14ac:dyDescent="0.3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 t="s">
        <v>112</v>
      </c>
    </row>
    <row r="225" spans="1:10" x14ac:dyDescent="0.3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237</v>
      </c>
      <c r="D225" s="1" t="s">
        <v>112</v>
      </c>
      <c r="E225" s="1" t="s">
        <v>238</v>
      </c>
      <c r="F225" s="1" t="s">
        <v>239</v>
      </c>
      <c r="G225" s="1" t="s">
        <v>240</v>
      </c>
      <c r="H225" s="1" t="s">
        <v>241</v>
      </c>
      <c r="I225" s="1" t="s">
        <v>242</v>
      </c>
      <c r="J225" s="1" t="s">
        <v>243</v>
      </c>
    </row>
    <row r="226" spans="1:10" x14ac:dyDescent="0.35">
      <c r="A226" s="1" t="str">
        <f t="shared" si="3"/>
        <v>3</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 t="s">
        <v>2128</v>
      </c>
      <c r="D226" s="1" t="s">
        <v>112</v>
      </c>
      <c r="E226" s="1" t="s">
        <v>2129</v>
      </c>
      <c r="F226" s="1" t="s">
        <v>2130</v>
      </c>
      <c r="G226" s="1" t="s">
        <v>2131</v>
      </c>
      <c r="H226" s="1" t="s">
        <v>2132</v>
      </c>
      <c r="I226" s="1">
        <v>21</v>
      </c>
      <c r="J226" s="1">
        <v>24</v>
      </c>
    </row>
    <row r="227" spans="1:10" x14ac:dyDescent="0.3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 t="s">
        <v>112</v>
      </c>
    </row>
    <row r="228" spans="1:10" x14ac:dyDescent="0.3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10" x14ac:dyDescent="0.3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10" x14ac:dyDescent="0.3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10" x14ac:dyDescent="0.3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10" x14ac:dyDescent="0.3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249</v>
      </c>
      <c r="D232" s="1" t="s">
        <v>110</v>
      </c>
      <c r="E232" s="1" t="s">
        <v>111</v>
      </c>
      <c r="F232" s="1" t="s">
        <v>112</v>
      </c>
      <c r="G232" s="1" t="s">
        <v>113</v>
      </c>
    </row>
    <row r="233" spans="1:10" x14ac:dyDescent="0.35">
      <c r="A233" s="1" t="str">
        <f t="shared" si="3"/>
        <v>4</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 t="s">
        <v>2133</v>
      </c>
      <c r="D233" s="1" t="s">
        <v>2134</v>
      </c>
      <c r="E233" s="1" t="s">
        <v>2135</v>
      </c>
      <c r="F233" s="1" t="s">
        <v>112</v>
      </c>
      <c r="G233" s="1">
        <v>3374</v>
      </c>
    </row>
    <row r="234" spans="1:10" x14ac:dyDescent="0.35">
      <c r="A234" s="1" t="str">
        <f t="shared" si="3"/>
        <v>4</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2136</v>
      </c>
      <c r="D234" s="1" t="s">
        <v>469</v>
      </c>
      <c r="E234" s="1" t="s">
        <v>2137</v>
      </c>
      <c r="F234" s="1" t="s">
        <v>112</v>
      </c>
      <c r="G234" s="1">
        <v>39626</v>
      </c>
    </row>
    <row r="235" spans="1:10" x14ac:dyDescent="0.35">
      <c r="A235" s="1" t="str">
        <f t="shared" si="3"/>
        <v>4</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2138</v>
      </c>
    </row>
    <row r="236" spans="1:10" x14ac:dyDescent="0.35">
      <c r="A236" s="1" t="str">
        <f t="shared" si="3"/>
        <v>4</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 t="s">
        <v>2139</v>
      </c>
      <c r="D236" s="1" t="s">
        <v>2140</v>
      </c>
      <c r="E236" s="1" t="s">
        <v>2141</v>
      </c>
      <c r="F236" s="1" t="s">
        <v>112</v>
      </c>
      <c r="G236" s="1">
        <v>73563</v>
      </c>
    </row>
    <row r="237" spans="1:10" x14ac:dyDescent="0.35">
      <c r="A237" s="1" t="str">
        <f t="shared" si="3"/>
        <v>4</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2142</v>
      </c>
      <c r="D237" s="1" t="s">
        <v>2143</v>
      </c>
      <c r="E237" s="1" t="s">
        <v>2144</v>
      </c>
      <c r="F237" s="1" t="s">
        <v>112</v>
      </c>
      <c r="G237" s="1">
        <v>44752</v>
      </c>
    </row>
    <row r="238" spans="1:10" x14ac:dyDescent="0.35">
      <c r="A238" s="1" t="str">
        <f t="shared" si="3"/>
        <v>4</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2145</v>
      </c>
      <c r="D238" s="1" t="s">
        <v>2045</v>
      </c>
      <c r="E238" s="1" t="s">
        <v>2146</v>
      </c>
      <c r="F238" s="1" t="s">
        <v>112</v>
      </c>
      <c r="G238" s="1">
        <v>110961</v>
      </c>
    </row>
    <row r="239" spans="1:10" x14ac:dyDescent="0.35">
      <c r="A239" s="1" t="str">
        <f t="shared" si="3"/>
        <v>4</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 t="s">
        <v>2147</v>
      </c>
    </row>
    <row r="240" spans="1:10" x14ac:dyDescent="0.35">
      <c r="A240" s="1" t="str">
        <f t="shared" si="3"/>
        <v>4</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2148</v>
      </c>
    </row>
    <row r="241" spans="1:7" x14ac:dyDescent="0.35">
      <c r="A241" s="1" t="str">
        <f t="shared" si="3"/>
        <v>4</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2149</v>
      </c>
    </row>
    <row r="242" spans="1:7" x14ac:dyDescent="0.35">
      <c r="A242" s="1" t="str">
        <f t="shared" si="3"/>
        <v>4</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 t="s">
        <v>2150</v>
      </c>
      <c r="D242" s="1" t="s">
        <v>1370</v>
      </c>
      <c r="E242" s="1" t="s">
        <v>2151</v>
      </c>
      <c r="F242" s="1" t="s">
        <v>112</v>
      </c>
      <c r="G242" s="1">
        <v>5321</v>
      </c>
    </row>
    <row r="243" spans="1:7" x14ac:dyDescent="0.35">
      <c r="A243" s="1" t="str">
        <f t="shared" si="3"/>
        <v>4</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2152</v>
      </c>
      <c r="D243" s="1" t="s">
        <v>1812</v>
      </c>
      <c r="E243" s="1" t="s">
        <v>2153</v>
      </c>
      <c r="F243" s="1" t="s">
        <v>112</v>
      </c>
      <c r="G243" s="1">
        <v>161943</v>
      </c>
    </row>
    <row r="244" spans="1:7" x14ac:dyDescent="0.35">
      <c r="A244" s="1" t="str">
        <f t="shared" si="3"/>
        <v>4</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2154</v>
      </c>
      <c r="D244" s="1" t="s">
        <v>372</v>
      </c>
      <c r="E244" s="1" t="s">
        <v>2155</v>
      </c>
      <c r="F244" s="1" t="s">
        <v>112</v>
      </c>
      <c r="G244" s="1">
        <v>144315</v>
      </c>
    </row>
    <row r="245" spans="1:7" x14ac:dyDescent="0.35">
      <c r="A245" s="1" t="str">
        <f t="shared" si="3"/>
        <v>4</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 t="s">
        <v>2156</v>
      </c>
      <c r="D245" s="1" t="s">
        <v>1570</v>
      </c>
      <c r="E245" s="1" t="s">
        <v>2157</v>
      </c>
      <c r="F245" s="1" t="s">
        <v>112</v>
      </c>
      <c r="G245" s="1">
        <v>195599</v>
      </c>
    </row>
    <row r="246" spans="1:7" x14ac:dyDescent="0.35">
      <c r="A246" s="1" t="str">
        <f t="shared" si="3"/>
        <v>4</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2158</v>
      </c>
      <c r="D246" s="1" t="s">
        <v>2159</v>
      </c>
      <c r="E246" s="1" t="s">
        <v>2160</v>
      </c>
      <c r="F246" s="1" t="s">
        <v>112</v>
      </c>
      <c r="G246" s="1">
        <v>9496</v>
      </c>
    </row>
    <row r="247" spans="1:7" x14ac:dyDescent="0.35">
      <c r="A247" s="1" t="str">
        <f t="shared" si="3"/>
        <v>4</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2161</v>
      </c>
      <c r="D247" s="1" t="s">
        <v>2162</v>
      </c>
      <c r="E247" s="1" t="s">
        <v>2163</v>
      </c>
      <c r="F247" s="1" t="s">
        <v>112</v>
      </c>
      <c r="G247" s="1">
        <v>216299</v>
      </c>
    </row>
    <row r="248" spans="1:7" x14ac:dyDescent="0.35">
      <c r="A248" s="1" t="str">
        <f t="shared" si="3"/>
        <v>4</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 t="s">
        <v>2164</v>
      </c>
      <c r="D248" s="1" t="s">
        <v>2165</v>
      </c>
      <c r="E248" s="1" t="s">
        <v>2166</v>
      </c>
      <c r="F248" s="1" t="s">
        <v>112</v>
      </c>
      <c r="G248" s="1">
        <v>233387</v>
      </c>
    </row>
    <row r="249" spans="1:7" x14ac:dyDescent="0.35">
      <c r="A249" s="1" t="str">
        <f t="shared" si="3"/>
        <v>4</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2167</v>
      </c>
      <c r="D249" s="1" t="s">
        <v>2168</v>
      </c>
      <c r="E249" s="1" t="s">
        <v>2169</v>
      </c>
      <c r="F249" s="1" t="s">
        <v>112</v>
      </c>
      <c r="G249" s="1">
        <v>160169</v>
      </c>
    </row>
    <row r="250" spans="1:7" x14ac:dyDescent="0.35">
      <c r="A250" s="1" t="str">
        <f t="shared" si="3"/>
        <v>4</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2170</v>
      </c>
      <c r="D250" s="1" t="s">
        <v>2171</v>
      </c>
      <c r="E250" s="1" t="s">
        <v>2172</v>
      </c>
      <c r="F250" s="1" t="s">
        <v>112</v>
      </c>
      <c r="G250" s="1">
        <v>154156</v>
      </c>
    </row>
    <row r="251" spans="1:7" x14ac:dyDescent="0.35">
      <c r="A251" s="1" t="str">
        <f t="shared" si="3"/>
        <v>4</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 t="s">
        <v>2173</v>
      </c>
      <c r="D251" s="1" t="s">
        <v>1616</v>
      </c>
      <c r="E251" s="1" t="s">
        <v>2174</v>
      </c>
      <c r="F251" s="1" t="s">
        <v>112</v>
      </c>
      <c r="G251" s="1">
        <v>496795</v>
      </c>
    </row>
    <row r="252" spans="1:7" x14ac:dyDescent="0.35">
      <c r="A252" s="1" t="str">
        <f t="shared" si="3"/>
        <v>4</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2175</v>
      </c>
      <c r="D252" s="1" t="s">
        <v>1049</v>
      </c>
      <c r="E252" s="1" t="s">
        <v>2176</v>
      </c>
      <c r="F252" s="1" t="s">
        <v>112</v>
      </c>
      <c r="G252" s="1">
        <v>455482</v>
      </c>
    </row>
    <row r="253" spans="1:7" x14ac:dyDescent="0.35">
      <c r="A253" s="1" t="str">
        <f t="shared" si="3"/>
        <v>4</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2177</v>
      </c>
    </row>
    <row r="254" spans="1:7" x14ac:dyDescent="0.35">
      <c r="A254" s="1" t="str">
        <f t="shared" si="3"/>
        <v>4</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 t="s">
        <v>2178</v>
      </c>
      <c r="D254" s="1" t="s">
        <v>2179</v>
      </c>
      <c r="E254" s="1" t="s">
        <v>2180</v>
      </c>
      <c r="F254" s="1" t="s">
        <v>112</v>
      </c>
      <c r="G254" s="1">
        <v>142801</v>
      </c>
    </row>
    <row r="255" spans="1:7" x14ac:dyDescent="0.35">
      <c r="A255" s="1" t="str">
        <f t="shared" si="3"/>
        <v>4</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2181</v>
      </c>
      <c r="D255" s="1" t="s">
        <v>1367</v>
      </c>
      <c r="E255" s="1" t="s">
        <v>2182</v>
      </c>
      <c r="F255" s="1" t="s">
        <v>112</v>
      </c>
      <c r="G255" s="1">
        <v>95691</v>
      </c>
    </row>
    <row r="256" spans="1:7" x14ac:dyDescent="0.35">
      <c r="A256" s="1" t="str">
        <f t="shared" si="3"/>
        <v>4</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2183</v>
      </c>
      <c r="D256" s="1" t="s">
        <v>2184</v>
      </c>
      <c r="E256" s="1" t="s">
        <v>2185</v>
      </c>
      <c r="F256" s="1" t="s">
        <v>112</v>
      </c>
      <c r="G256" s="1">
        <v>359943</v>
      </c>
    </row>
    <row r="257" spans="1:10" x14ac:dyDescent="0.3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 t="s">
        <v>112</v>
      </c>
    </row>
    <row r="258" spans="1:10" x14ac:dyDescent="0.3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237</v>
      </c>
      <c r="D258" s="1" t="s">
        <v>112</v>
      </c>
      <c r="E258" s="1" t="s">
        <v>238</v>
      </c>
      <c r="F258" s="1" t="s">
        <v>239</v>
      </c>
      <c r="G258" s="1" t="s">
        <v>240</v>
      </c>
      <c r="H258" s="1" t="s">
        <v>241</v>
      </c>
      <c r="I258" s="1" t="s">
        <v>242</v>
      </c>
      <c r="J258" s="1" t="s">
        <v>243</v>
      </c>
    </row>
    <row r="259" spans="1:10" x14ac:dyDescent="0.35">
      <c r="A259" s="1" t="str">
        <f t="shared" si="4"/>
        <v>4</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 t="s">
        <v>2186</v>
      </c>
      <c r="D259" s="1" t="s">
        <v>112</v>
      </c>
      <c r="E259" s="1" t="s">
        <v>2187</v>
      </c>
      <c r="F259" s="1" t="s">
        <v>2188</v>
      </c>
      <c r="G259" s="1" t="s">
        <v>2189</v>
      </c>
      <c r="H259" s="1" t="s">
        <v>2190</v>
      </c>
      <c r="I259" s="1">
        <v>22</v>
      </c>
      <c r="J259" s="1">
        <v>24</v>
      </c>
    </row>
    <row r="260" spans="1:10" x14ac:dyDescent="0.3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 t="s">
        <v>112</v>
      </c>
    </row>
    <row r="261" spans="1:10" x14ac:dyDescent="0.3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10" x14ac:dyDescent="0.3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10" x14ac:dyDescent="0.3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10" x14ac:dyDescent="0.3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10" x14ac:dyDescent="0.3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249</v>
      </c>
      <c r="D265" s="1" t="s">
        <v>110</v>
      </c>
      <c r="E265" s="1" t="s">
        <v>111</v>
      </c>
      <c r="F265" s="1" t="s">
        <v>112</v>
      </c>
      <c r="G265" s="1" t="s">
        <v>113</v>
      </c>
    </row>
    <row r="266" spans="1:10" x14ac:dyDescent="0.35">
      <c r="A266" s="1" t="str">
        <f t="shared" si="4"/>
        <v>5</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 t="s">
        <v>2191</v>
      </c>
      <c r="D266" s="1" t="s">
        <v>227</v>
      </c>
      <c r="E266" s="1" t="s">
        <v>1993</v>
      </c>
      <c r="F266" s="1" t="s">
        <v>112</v>
      </c>
      <c r="G266" s="1">
        <v>1363</v>
      </c>
    </row>
    <row r="267" spans="1:10" x14ac:dyDescent="0.35">
      <c r="A267" s="1" t="str">
        <f t="shared" si="4"/>
        <v>5</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2192</v>
      </c>
      <c r="D267" s="1">
        <v>0</v>
      </c>
      <c r="E267" s="1">
        <v>0</v>
      </c>
      <c r="F267" s="1" t="s">
        <v>112</v>
      </c>
      <c r="G267" s="1">
        <v>0</v>
      </c>
    </row>
    <row r="268" spans="1:10" x14ac:dyDescent="0.35">
      <c r="A268" s="1" t="str">
        <f t="shared" si="4"/>
        <v>5</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2193</v>
      </c>
    </row>
    <row r="269" spans="1:10" x14ac:dyDescent="0.35">
      <c r="A269" s="1" t="str">
        <f t="shared" si="4"/>
        <v>5</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 t="s">
        <v>2194</v>
      </c>
      <c r="D269" s="1" t="s">
        <v>2195</v>
      </c>
      <c r="E269" s="1" t="s">
        <v>2196</v>
      </c>
      <c r="F269" s="1" t="s">
        <v>112</v>
      </c>
      <c r="G269" s="1">
        <v>846097</v>
      </c>
    </row>
    <row r="270" spans="1:10" x14ac:dyDescent="0.35">
      <c r="A270" s="1" t="str">
        <f t="shared" si="4"/>
        <v>5</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2197</v>
      </c>
      <c r="D270" s="1" t="s">
        <v>2198</v>
      </c>
      <c r="E270" s="1" t="s">
        <v>2199</v>
      </c>
      <c r="F270" s="1" t="s">
        <v>112</v>
      </c>
      <c r="G270" s="1">
        <v>1385243</v>
      </c>
    </row>
    <row r="271" spans="1:10" x14ac:dyDescent="0.35">
      <c r="A271" s="1" t="str">
        <f t="shared" si="4"/>
        <v>5</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2200</v>
      </c>
      <c r="D271" s="1" t="s">
        <v>2201</v>
      </c>
      <c r="E271" s="1" t="s">
        <v>2202</v>
      </c>
      <c r="F271" s="1" t="s">
        <v>112</v>
      </c>
      <c r="G271" s="1">
        <v>1202492</v>
      </c>
    </row>
    <row r="272" spans="1:10" x14ac:dyDescent="0.35">
      <c r="A272" s="1" t="str">
        <f t="shared" si="4"/>
        <v>5</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 t="s">
        <v>2203</v>
      </c>
      <c r="D272" s="1" t="s">
        <v>2204</v>
      </c>
      <c r="E272" s="1" t="s">
        <v>2205</v>
      </c>
      <c r="F272" s="1" t="s">
        <v>112</v>
      </c>
      <c r="G272" s="1">
        <v>68653</v>
      </c>
    </row>
    <row r="273" spans="1:7" x14ac:dyDescent="0.35">
      <c r="A273" s="1" t="str">
        <f t="shared" si="4"/>
        <v>5</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2206</v>
      </c>
      <c r="D273" s="1" t="s">
        <v>2085</v>
      </c>
      <c r="E273" s="1" t="s">
        <v>2207</v>
      </c>
      <c r="F273" s="1" t="s">
        <v>112</v>
      </c>
      <c r="G273" s="1">
        <v>21781</v>
      </c>
    </row>
    <row r="274" spans="1:7" x14ac:dyDescent="0.35">
      <c r="A274" s="1" t="str">
        <f t="shared" si="4"/>
        <v>5</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2208</v>
      </c>
      <c r="D274" s="1">
        <v>0</v>
      </c>
      <c r="E274" s="1">
        <v>0</v>
      </c>
      <c r="F274" s="1" t="s">
        <v>112</v>
      </c>
      <c r="G274" s="1">
        <v>0</v>
      </c>
    </row>
    <row r="275" spans="1:7" x14ac:dyDescent="0.35">
      <c r="A275" s="1" t="str">
        <f t="shared" si="4"/>
        <v>5</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 t="s">
        <v>2209</v>
      </c>
      <c r="D275" s="1">
        <v>0</v>
      </c>
      <c r="E275" s="1">
        <v>0</v>
      </c>
      <c r="F275" s="1" t="s">
        <v>112</v>
      </c>
      <c r="G275" s="1">
        <v>0</v>
      </c>
    </row>
    <row r="276" spans="1:7" x14ac:dyDescent="0.35">
      <c r="A276" s="1" t="str">
        <f t="shared" si="4"/>
        <v>5</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2210</v>
      </c>
    </row>
    <row r="277" spans="1:7" x14ac:dyDescent="0.35">
      <c r="A277" s="1" t="str">
        <f t="shared" si="4"/>
        <v>5</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2211</v>
      </c>
      <c r="D277" s="1">
        <v>0</v>
      </c>
      <c r="E277" s="1">
        <v>0</v>
      </c>
      <c r="F277" s="1" t="s">
        <v>112</v>
      </c>
      <c r="G277" s="1">
        <v>0</v>
      </c>
    </row>
    <row r="278" spans="1:7" x14ac:dyDescent="0.35">
      <c r="A278" s="1" t="str">
        <f t="shared" si="4"/>
        <v>5</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 t="s">
        <v>2212</v>
      </c>
      <c r="D278" s="1" t="s">
        <v>2213</v>
      </c>
      <c r="E278" s="1" t="s">
        <v>2214</v>
      </c>
      <c r="F278" s="1" t="s">
        <v>112</v>
      </c>
      <c r="G278" s="1">
        <v>977260</v>
      </c>
    </row>
    <row r="279" spans="1:7" x14ac:dyDescent="0.35">
      <c r="A279" s="1" t="str">
        <f t="shared" si="4"/>
        <v>5</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2215</v>
      </c>
      <c r="D279" s="1" t="s">
        <v>643</v>
      </c>
      <c r="E279" s="1" t="s">
        <v>2216</v>
      </c>
      <c r="F279" s="1" t="s">
        <v>112</v>
      </c>
      <c r="G279" s="1">
        <v>110680</v>
      </c>
    </row>
    <row r="280" spans="1:7" x14ac:dyDescent="0.35">
      <c r="A280" s="1" t="str">
        <f t="shared" si="4"/>
        <v>5</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2217</v>
      </c>
      <c r="D280" s="1" t="s">
        <v>2218</v>
      </c>
      <c r="E280" s="1" t="s">
        <v>2219</v>
      </c>
      <c r="F280" s="1" t="s">
        <v>112</v>
      </c>
      <c r="G280" s="1">
        <v>448388</v>
      </c>
    </row>
    <row r="281" spans="1:7" x14ac:dyDescent="0.35">
      <c r="A281" s="1" t="str">
        <f t="shared" si="4"/>
        <v>5</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 t="s">
        <v>2220</v>
      </c>
      <c r="D281" s="1">
        <v>0</v>
      </c>
      <c r="E281" s="1">
        <v>0</v>
      </c>
      <c r="F281" s="1" t="s">
        <v>112</v>
      </c>
      <c r="G281" s="1">
        <v>0</v>
      </c>
    </row>
    <row r="282" spans="1:7" x14ac:dyDescent="0.35">
      <c r="A282" s="1" t="str">
        <f t="shared" si="4"/>
        <v>5</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2221</v>
      </c>
      <c r="D282" s="1" t="s">
        <v>2222</v>
      </c>
      <c r="E282" s="1" t="s">
        <v>2223</v>
      </c>
      <c r="F282" s="1" t="s">
        <v>112</v>
      </c>
      <c r="G282" s="1">
        <v>22236</v>
      </c>
    </row>
    <row r="283" spans="1:7" x14ac:dyDescent="0.35">
      <c r="A283" s="1" t="str">
        <f t="shared" si="4"/>
        <v>5</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2224</v>
      </c>
      <c r="D283" s="1">
        <v>0</v>
      </c>
      <c r="E283" s="1">
        <v>0</v>
      </c>
      <c r="F283" s="1" t="s">
        <v>112</v>
      </c>
      <c r="G283" s="1">
        <v>0</v>
      </c>
    </row>
    <row r="284" spans="1:7" x14ac:dyDescent="0.35">
      <c r="A284" s="1" t="str">
        <f t="shared" si="4"/>
        <v>5</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 t="s">
        <v>2225</v>
      </c>
      <c r="D284" s="1" t="s">
        <v>2226</v>
      </c>
      <c r="E284" s="1" t="s">
        <v>2227</v>
      </c>
      <c r="F284" s="1" t="s">
        <v>112</v>
      </c>
      <c r="G284" s="1">
        <v>259040</v>
      </c>
    </row>
    <row r="285" spans="1:7" x14ac:dyDescent="0.35">
      <c r="A285" s="1" t="str">
        <f t="shared" si="4"/>
        <v>5</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2228</v>
      </c>
      <c r="D285" s="1" t="s">
        <v>2229</v>
      </c>
      <c r="E285" s="1" t="s">
        <v>2230</v>
      </c>
      <c r="F285" s="1" t="s">
        <v>112</v>
      </c>
      <c r="G285" s="1">
        <v>144509</v>
      </c>
    </row>
    <row r="286" spans="1:7" x14ac:dyDescent="0.35">
      <c r="A286" s="1" t="str">
        <f t="shared" si="4"/>
        <v>5</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2231</v>
      </c>
      <c r="D286" s="1" t="s">
        <v>176</v>
      </c>
      <c r="E286" s="1" t="s">
        <v>2232</v>
      </c>
      <c r="F286" s="1" t="s">
        <v>112</v>
      </c>
      <c r="G286" s="1">
        <v>132721</v>
      </c>
    </row>
    <row r="287" spans="1:7" x14ac:dyDescent="0.35">
      <c r="A287" s="1" t="str">
        <f t="shared" si="4"/>
        <v>5</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 t="s">
        <v>2233</v>
      </c>
      <c r="D287" s="1" t="s">
        <v>2234</v>
      </c>
      <c r="E287" s="1" t="s">
        <v>2235</v>
      </c>
      <c r="F287" s="1" t="s">
        <v>112</v>
      </c>
      <c r="G287" s="1">
        <v>90781</v>
      </c>
    </row>
    <row r="288" spans="1:7" x14ac:dyDescent="0.35">
      <c r="A288" s="1" t="str">
        <f t="shared" si="4"/>
        <v>5</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2236</v>
      </c>
      <c r="D288" s="1" t="s">
        <v>2237</v>
      </c>
      <c r="E288" s="1" t="s">
        <v>2238</v>
      </c>
      <c r="F288" s="1" t="s">
        <v>112</v>
      </c>
      <c r="G288" s="1">
        <v>219327</v>
      </c>
    </row>
    <row r="289" spans="1:10" x14ac:dyDescent="0.35">
      <c r="A289" s="1" t="str">
        <f t="shared" si="4"/>
        <v>5</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2239</v>
      </c>
      <c r="D289" s="1" t="s">
        <v>502</v>
      </c>
      <c r="E289" s="1" t="s">
        <v>2240</v>
      </c>
      <c r="F289" s="1" t="s">
        <v>112</v>
      </c>
      <c r="G289" s="1">
        <v>83600</v>
      </c>
    </row>
    <row r="290" spans="1:10" x14ac:dyDescent="0.3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 t="s">
        <v>112</v>
      </c>
    </row>
    <row r="291" spans="1:10" x14ac:dyDescent="0.3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237</v>
      </c>
      <c r="D291" s="1" t="s">
        <v>112</v>
      </c>
      <c r="E291" s="1" t="s">
        <v>238</v>
      </c>
      <c r="F291" s="1" t="s">
        <v>239</v>
      </c>
      <c r="G291" s="1" t="s">
        <v>240</v>
      </c>
      <c r="H291" s="1" t="s">
        <v>241</v>
      </c>
      <c r="I291" s="1" t="s">
        <v>242</v>
      </c>
      <c r="J291" s="1" t="s">
        <v>243</v>
      </c>
    </row>
    <row r="292" spans="1:10" x14ac:dyDescent="0.35">
      <c r="A292" s="1" t="str">
        <f t="shared" si="4"/>
        <v>5</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 t="s">
        <v>2241</v>
      </c>
      <c r="D292" s="1" t="s">
        <v>112</v>
      </c>
      <c r="E292" s="1" t="s">
        <v>2242</v>
      </c>
      <c r="F292" s="1" t="s">
        <v>2243</v>
      </c>
      <c r="G292" s="1" t="s">
        <v>2244</v>
      </c>
      <c r="H292" s="1" t="s">
        <v>2245</v>
      </c>
      <c r="I292" s="1">
        <v>17</v>
      </c>
      <c r="J292" s="1">
        <v>24</v>
      </c>
    </row>
    <row r="293" spans="1:10" x14ac:dyDescent="0.3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 t="s">
        <v>112</v>
      </c>
    </row>
    <row r="294" spans="1:10" x14ac:dyDescent="0.3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10" x14ac:dyDescent="0.3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10" x14ac:dyDescent="0.3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10" x14ac:dyDescent="0.3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10" x14ac:dyDescent="0.3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249</v>
      </c>
      <c r="D298" s="1" t="s">
        <v>110</v>
      </c>
      <c r="E298" s="1" t="s">
        <v>111</v>
      </c>
      <c r="F298" s="1" t="s">
        <v>112</v>
      </c>
      <c r="G298" s="1" t="s">
        <v>113</v>
      </c>
    </row>
    <row r="299" spans="1:10" x14ac:dyDescent="0.35">
      <c r="A299" s="1" t="str">
        <f t="shared" si="4"/>
        <v>6</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 t="s">
        <v>2246</v>
      </c>
      <c r="D299" s="1" t="s">
        <v>2247</v>
      </c>
      <c r="E299" s="1" t="s">
        <v>2248</v>
      </c>
      <c r="F299" s="1" t="s">
        <v>112</v>
      </c>
      <c r="G299" s="1">
        <v>2138980</v>
      </c>
    </row>
    <row r="300" spans="1:10" x14ac:dyDescent="0.35">
      <c r="A300" s="1" t="str">
        <f t="shared" si="4"/>
        <v>6</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2249</v>
      </c>
      <c r="D300" s="1" t="s">
        <v>2250</v>
      </c>
      <c r="E300" s="1" t="s">
        <v>2251</v>
      </c>
      <c r="F300" s="1" t="s">
        <v>112</v>
      </c>
      <c r="G300" s="1">
        <v>2197013</v>
      </c>
    </row>
    <row r="301" spans="1:10" x14ac:dyDescent="0.35">
      <c r="A301" s="1" t="str">
        <f t="shared" si="4"/>
        <v>6</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2252</v>
      </c>
      <c r="D301" s="1" t="s">
        <v>2253</v>
      </c>
      <c r="E301" s="1" t="s">
        <v>2254</v>
      </c>
      <c r="F301" s="1" t="s">
        <v>112</v>
      </c>
      <c r="G301" s="1">
        <v>2777516</v>
      </c>
    </row>
    <row r="302" spans="1:10" x14ac:dyDescent="0.35">
      <c r="A302" s="1" t="str">
        <f t="shared" si="4"/>
        <v>6</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 t="s">
        <v>2255</v>
      </c>
      <c r="D302" s="1" t="s">
        <v>2256</v>
      </c>
      <c r="E302" s="1" t="s">
        <v>2257</v>
      </c>
      <c r="F302" s="1" t="s">
        <v>112</v>
      </c>
      <c r="G302" s="1">
        <v>2349180</v>
      </c>
    </row>
    <row r="303" spans="1:10" x14ac:dyDescent="0.35">
      <c r="A303" s="1" t="str">
        <f t="shared" si="4"/>
        <v>6</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2258</v>
      </c>
      <c r="D303" s="1" t="s">
        <v>2259</v>
      </c>
      <c r="E303" s="1" t="s">
        <v>2260</v>
      </c>
      <c r="F303" s="1" t="s">
        <v>112</v>
      </c>
      <c r="G303" s="1">
        <v>2259762</v>
      </c>
    </row>
    <row r="304" spans="1:10" x14ac:dyDescent="0.35">
      <c r="A304" s="1" t="str">
        <f t="shared" si="4"/>
        <v>6</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2261</v>
      </c>
      <c r="D304" s="1" t="s">
        <v>2262</v>
      </c>
      <c r="E304" s="1" t="s">
        <v>2263</v>
      </c>
      <c r="F304" s="1" t="s">
        <v>112</v>
      </c>
      <c r="G304" s="1">
        <v>2153126</v>
      </c>
    </row>
    <row r="305" spans="1:7" x14ac:dyDescent="0.35">
      <c r="A305" s="1" t="str">
        <f t="shared" si="4"/>
        <v>6</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 t="s">
        <v>2264</v>
      </c>
      <c r="D305" s="1" t="s">
        <v>2265</v>
      </c>
      <c r="E305" s="1" t="s">
        <v>2266</v>
      </c>
      <c r="F305" s="1" t="s">
        <v>112</v>
      </c>
      <c r="G305" s="1">
        <v>2835376</v>
      </c>
    </row>
    <row r="306" spans="1:7" x14ac:dyDescent="0.35">
      <c r="A306" s="1" t="str">
        <f t="shared" si="4"/>
        <v>6</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2267</v>
      </c>
      <c r="D306" s="1" t="s">
        <v>2268</v>
      </c>
      <c r="E306" s="1" t="s">
        <v>2269</v>
      </c>
      <c r="F306" s="1" t="s">
        <v>112</v>
      </c>
      <c r="G306" s="1">
        <v>2890230</v>
      </c>
    </row>
    <row r="307" spans="1:7" x14ac:dyDescent="0.35">
      <c r="A307" s="1" t="str">
        <f t="shared" si="4"/>
        <v>6</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2270</v>
      </c>
      <c r="D307" s="1" t="s">
        <v>2271</v>
      </c>
      <c r="E307" s="1" t="s">
        <v>2272</v>
      </c>
      <c r="F307" s="1" t="s">
        <v>112</v>
      </c>
      <c r="G307" s="1">
        <v>2985207</v>
      </c>
    </row>
    <row r="308" spans="1:7" x14ac:dyDescent="0.35">
      <c r="A308" s="1" t="str">
        <f t="shared" si="4"/>
        <v>6</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 t="s">
        <v>2273</v>
      </c>
    </row>
    <row r="309" spans="1:7" x14ac:dyDescent="0.35">
      <c r="A309" s="1" t="str">
        <f t="shared" si="4"/>
        <v>6</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2274</v>
      </c>
    </row>
    <row r="310" spans="1:7" x14ac:dyDescent="0.35">
      <c r="A310" s="1" t="str">
        <f t="shared" si="4"/>
        <v>6</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2275</v>
      </c>
    </row>
    <row r="311" spans="1:7" x14ac:dyDescent="0.35">
      <c r="A311" s="1" t="str">
        <f t="shared" si="4"/>
        <v>6</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 t="s">
        <v>2276</v>
      </c>
      <c r="D311" s="1" t="s">
        <v>2277</v>
      </c>
      <c r="E311" s="1" t="s">
        <v>2278</v>
      </c>
      <c r="F311" s="1" t="s">
        <v>112</v>
      </c>
      <c r="G311" s="1">
        <v>4977017</v>
      </c>
    </row>
    <row r="312" spans="1:7" x14ac:dyDescent="0.35">
      <c r="A312" s="1" t="str">
        <f t="shared" si="4"/>
        <v>6</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2279</v>
      </c>
      <c r="D312" s="1" t="s">
        <v>2280</v>
      </c>
      <c r="E312" s="1" t="s">
        <v>2281</v>
      </c>
      <c r="F312" s="1" t="s">
        <v>112</v>
      </c>
      <c r="G312" s="1">
        <v>4680039</v>
      </c>
    </row>
    <row r="313" spans="1:7" x14ac:dyDescent="0.35">
      <c r="A313" s="1" t="str">
        <f t="shared" si="4"/>
        <v>6</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2282</v>
      </c>
      <c r="D313" s="1" t="s">
        <v>947</v>
      </c>
      <c r="E313" s="1" t="s">
        <v>2283</v>
      </c>
      <c r="F313" s="1" t="s">
        <v>112</v>
      </c>
      <c r="G313" s="1">
        <v>4240714</v>
      </c>
    </row>
    <row r="314" spans="1:7" x14ac:dyDescent="0.35">
      <c r="A314" s="1" t="str">
        <f t="shared" si="4"/>
        <v>6</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 t="s">
        <v>2284</v>
      </c>
      <c r="D314" s="1" t="s">
        <v>2285</v>
      </c>
      <c r="E314" s="1" t="s">
        <v>2286</v>
      </c>
      <c r="F314" s="1" t="s">
        <v>112</v>
      </c>
      <c r="G314" s="1">
        <v>2138050</v>
      </c>
    </row>
    <row r="315" spans="1:7" x14ac:dyDescent="0.35">
      <c r="A315" s="1" t="str">
        <f t="shared" si="4"/>
        <v>6</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2287</v>
      </c>
      <c r="D315" s="1" t="s">
        <v>2288</v>
      </c>
      <c r="E315" s="1" t="s">
        <v>2289</v>
      </c>
      <c r="F315" s="1" t="s">
        <v>112</v>
      </c>
      <c r="G315" s="1">
        <v>2138353</v>
      </c>
    </row>
    <row r="316" spans="1:7" x14ac:dyDescent="0.35">
      <c r="A316" s="1" t="str">
        <f t="shared" si="4"/>
        <v>6</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2290</v>
      </c>
      <c r="D316" s="1" t="s">
        <v>2291</v>
      </c>
      <c r="E316" s="1" t="s">
        <v>2292</v>
      </c>
      <c r="F316" s="1" t="s">
        <v>112</v>
      </c>
      <c r="G316" s="1">
        <v>2449888</v>
      </c>
    </row>
    <row r="317" spans="1:7" x14ac:dyDescent="0.35">
      <c r="A317" s="1" t="str">
        <f t="shared" si="4"/>
        <v>6</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2293</v>
      </c>
      <c r="D317" s="1" t="s">
        <v>2294</v>
      </c>
      <c r="E317" s="1" t="s">
        <v>2295</v>
      </c>
      <c r="F317" s="1" t="s">
        <v>112</v>
      </c>
      <c r="G317" s="1">
        <v>2931262</v>
      </c>
    </row>
    <row r="318" spans="1:7" x14ac:dyDescent="0.35">
      <c r="A318" s="1" t="str">
        <f t="shared" si="4"/>
        <v>6</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2296</v>
      </c>
      <c r="D318" s="1" t="s">
        <v>1041</v>
      </c>
      <c r="E318" s="1" t="s">
        <v>2297</v>
      </c>
      <c r="F318" s="1" t="s">
        <v>112</v>
      </c>
      <c r="G318" s="1">
        <v>2709079</v>
      </c>
    </row>
    <row r="319" spans="1:7" x14ac:dyDescent="0.35">
      <c r="A319" s="1" t="str">
        <f t="shared" si="4"/>
        <v>6</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2298</v>
      </c>
      <c r="D319" s="1" t="s">
        <v>2299</v>
      </c>
      <c r="E319" s="1" t="s">
        <v>2300</v>
      </c>
      <c r="F319" s="1" t="s">
        <v>112</v>
      </c>
      <c r="G319" s="1">
        <v>2310159</v>
      </c>
    </row>
    <row r="320" spans="1:7" x14ac:dyDescent="0.35">
      <c r="A320" s="1" t="str">
        <f t="shared" si="4"/>
        <v>6</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2301</v>
      </c>
      <c r="D320" s="1" t="s">
        <v>2302</v>
      </c>
      <c r="E320" s="1" t="s">
        <v>2303</v>
      </c>
      <c r="F320" s="1" t="s">
        <v>112</v>
      </c>
      <c r="G320" s="1">
        <v>2920577</v>
      </c>
    </row>
    <row r="321" spans="1:10" x14ac:dyDescent="0.35">
      <c r="A321" s="1" t="str">
        <f t="shared" si="4"/>
        <v>6</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2304</v>
      </c>
      <c r="D321" s="1" t="s">
        <v>2305</v>
      </c>
      <c r="E321" s="1" t="s">
        <v>2306</v>
      </c>
      <c r="F321" s="1" t="s">
        <v>112</v>
      </c>
      <c r="G321" s="1">
        <v>2517222</v>
      </c>
    </row>
    <row r="322" spans="1:10" x14ac:dyDescent="0.35">
      <c r="A322" s="1" t="str">
        <f t="shared" ref="A322:A385" si="5">IFERROR(LEFT(RIGHT(C322,LEN(C322)-SEARCH("@",C322)),SEARCH("/",RIGHT(C322,LEN(C322)-SEARCH("@",C322)-1))),"")</f>
        <v>6</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2307</v>
      </c>
      <c r="D322" s="1" t="s">
        <v>2308</v>
      </c>
      <c r="E322" s="1" t="s">
        <v>2309</v>
      </c>
      <c r="F322" s="1" t="s">
        <v>112</v>
      </c>
      <c r="G322" s="1">
        <v>2506169</v>
      </c>
    </row>
    <row r="323" spans="1:10" x14ac:dyDescent="0.3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112</v>
      </c>
    </row>
    <row r="324" spans="1:10" x14ac:dyDescent="0.3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237</v>
      </c>
      <c r="D324" s="1" t="s">
        <v>112</v>
      </c>
      <c r="E324" s="1" t="s">
        <v>238</v>
      </c>
      <c r="F324" s="1" t="s">
        <v>239</v>
      </c>
      <c r="G324" s="1" t="s">
        <v>240</v>
      </c>
      <c r="H324" s="1" t="s">
        <v>241</v>
      </c>
      <c r="I324" s="1" t="s">
        <v>242</v>
      </c>
      <c r="J324" s="1" t="s">
        <v>243</v>
      </c>
    </row>
    <row r="325" spans="1:10" x14ac:dyDescent="0.35">
      <c r="A325" s="1" t="str">
        <f t="shared" si="5"/>
        <v>6</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 t="s">
        <v>2310</v>
      </c>
      <c r="D325" s="1" t="s">
        <v>112</v>
      </c>
      <c r="E325" s="1" t="s">
        <v>2311</v>
      </c>
      <c r="F325" s="1" t="s">
        <v>2312</v>
      </c>
      <c r="G325" s="1" t="s">
        <v>2313</v>
      </c>
      <c r="H325" s="1" t="s">
        <v>2314</v>
      </c>
      <c r="I325" s="1">
        <v>24</v>
      </c>
      <c r="J325" s="1">
        <v>24</v>
      </c>
    </row>
    <row r="326" spans="1:10" x14ac:dyDescent="0.3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112</v>
      </c>
    </row>
    <row r="327" spans="1:10" x14ac:dyDescent="0.3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10" x14ac:dyDescent="0.3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10" x14ac:dyDescent="0.3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10" x14ac:dyDescent="0.3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10" x14ac:dyDescent="0.3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249</v>
      </c>
      <c r="D331" s="1" t="s">
        <v>110</v>
      </c>
      <c r="E331" s="1" t="s">
        <v>111</v>
      </c>
      <c r="F331" s="1" t="s">
        <v>112</v>
      </c>
      <c r="G331" s="1" t="s">
        <v>113</v>
      </c>
    </row>
    <row r="332" spans="1:10" x14ac:dyDescent="0.35">
      <c r="A332" s="1" t="str">
        <f t="shared" si="5"/>
        <v>7</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2315</v>
      </c>
      <c r="D332" s="1" t="s">
        <v>2316</v>
      </c>
      <c r="E332" s="1" t="s">
        <v>2317</v>
      </c>
      <c r="F332" s="1" t="s">
        <v>112</v>
      </c>
      <c r="G332" s="1">
        <v>4757019</v>
      </c>
    </row>
    <row r="333" spans="1:10" x14ac:dyDescent="0.35">
      <c r="A333" s="1" t="str">
        <f t="shared" si="5"/>
        <v>7</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2318</v>
      </c>
      <c r="D333" s="1" t="s">
        <v>2319</v>
      </c>
      <c r="E333" s="1" t="s">
        <v>2320</v>
      </c>
      <c r="F333" s="1" t="s">
        <v>112</v>
      </c>
      <c r="G333" s="1">
        <v>4845940</v>
      </c>
    </row>
    <row r="334" spans="1:10" x14ac:dyDescent="0.35">
      <c r="A334" s="1" t="str">
        <f t="shared" si="5"/>
        <v>7</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2321</v>
      </c>
      <c r="D334" s="1" t="s">
        <v>2322</v>
      </c>
      <c r="E334" s="1" t="s">
        <v>2323</v>
      </c>
      <c r="F334" s="1" t="s">
        <v>112</v>
      </c>
      <c r="G334" s="1">
        <v>5114432</v>
      </c>
    </row>
    <row r="335" spans="1:10" x14ac:dyDescent="0.35">
      <c r="A335" s="1" t="str">
        <f t="shared" si="5"/>
        <v>7</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2324</v>
      </c>
      <c r="D335" s="1" t="s">
        <v>2325</v>
      </c>
      <c r="E335" s="1" t="s">
        <v>2326</v>
      </c>
      <c r="F335" s="1" t="s">
        <v>112</v>
      </c>
      <c r="G335" s="1">
        <v>3660881</v>
      </c>
    </row>
    <row r="336" spans="1:10" x14ac:dyDescent="0.35">
      <c r="A336" s="1" t="str">
        <f t="shared" si="5"/>
        <v>7</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2327</v>
      </c>
      <c r="D336" s="1" t="s">
        <v>2328</v>
      </c>
      <c r="E336" s="1" t="s">
        <v>2329</v>
      </c>
      <c r="F336" s="1" t="s">
        <v>112</v>
      </c>
      <c r="G336" s="1">
        <v>3654674</v>
      </c>
    </row>
    <row r="337" spans="1:7" x14ac:dyDescent="0.35">
      <c r="A337" s="1" t="str">
        <f t="shared" si="5"/>
        <v>7</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2330</v>
      </c>
      <c r="D337" s="1" t="s">
        <v>2331</v>
      </c>
      <c r="E337" s="1" t="s">
        <v>2332</v>
      </c>
      <c r="F337" s="1" t="s">
        <v>112</v>
      </c>
      <c r="G337" s="1">
        <v>3621537</v>
      </c>
    </row>
    <row r="338" spans="1:7" x14ac:dyDescent="0.35">
      <c r="A338" s="1" t="str">
        <f t="shared" si="5"/>
        <v>7</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 t="s">
        <v>2333</v>
      </c>
      <c r="D338" s="1" t="s">
        <v>2334</v>
      </c>
      <c r="E338" s="1" t="s">
        <v>2335</v>
      </c>
      <c r="F338" s="1" t="s">
        <v>112</v>
      </c>
      <c r="G338" s="1">
        <v>4894326</v>
      </c>
    </row>
    <row r="339" spans="1:7" x14ac:dyDescent="0.35">
      <c r="A339" s="1" t="str">
        <f t="shared" si="5"/>
        <v>7</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2336</v>
      </c>
      <c r="D339" s="1" t="s">
        <v>2337</v>
      </c>
      <c r="E339" s="1" t="s">
        <v>2338</v>
      </c>
      <c r="F339" s="1" t="s">
        <v>112</v>
      </c>
      <c r="G339" s="1">
        <v>4358078</v>
      </c>
    </row>
    <row r="340" spans="1:7" x14ac:dyDescent="0.35">
      <c r="A340" s="1" t="str">
        <f t="shared" si="5"/>
        <v>7</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2339</v>
      </c>
      <c r="D340" s="1" t="s">
        <v>2340</v>
      </c>
      <c r="E340" s="1" t="s">
        <v>2341</v>
      </c>
      <c r="F340" s="1" t="s">
        <v>112</v>
      </c>
      <c r="G340" s="1">
        <v>4561031</v>
      </c>
    </row>
    <row r="341" spans="1:7" x14ac:dyDescent="0.35">
      <c r="A341" s="1" t="str">
        <f t="shared" si="5"/>
        <v>7</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 t="s">
        <v>2342</v>
      </c>
      <c r="D341" s="1" t="s">
        <v>2343</v>
      </c>
      <c r="E341" s="1" t="s">
        <v>2344</v>
      </c>
      <c r="F341" s="1" t="s">
        <v>112</v>
      </c>
      <c r="G341" s="1">
        <v>4334999</v>
      </c>
    </row>
    <row r="342" spans="1:7" x14ac:dyDescent="0.35">
      <c r="A342" s="1" t="str">
        <f t="shared" si="5"/>
        <v>7</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2345</v>
      </c>
      <c r="D342" s="1" t="s">
        <v>2346</v>
      </c>
      <c r="E342" s="1" t="s">
        <v>2347</v>
      </c>
      <c r="F342" s="1" t="s">
        <v>112</v>
      </c>
      <c r="G342" s="1">
        <v>4601976</v>
      </c>
    </row>
    <row r="343" spans="1:7" x14ac:dyDescent="0.35">
      <c r="A343" s="1" t="str">
        <f t="shared" si="5"/>
        <v>7</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2348</v>
      </c>
      <c r="D343" s="1" t="s">
        <v>2349</v>
      </c>
      <c r="E343" s="1" t="s">
        <v>2350</v>
      </c>
      <c r="F343" s="1" t="s">
        <v>112</v>
      </c>
      <c r="G343" s="1">
        <v>4267146</v>
      </c>
    </row>
    <row r="344" spans="1:7" x14ac:dyDescent="0.35">
      <c r="A344" s="1" t="str">
        <f t="shared" si="5"/>
        <v>7</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 t="s">
        <v>2351</v>
      </c>
    </row>
    <row r="345" spans="1:7" x14ac:dyDescent="0.35">
      <c r="A345" s="1" t="str">
        <f t="shared" si="5"/>
        <v>7</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2352</v>
      </c>
      <c r="D345" s="1" t="s">
        <v>2353</v>
      </c>
      <c r="E345" s="1" t="s">
        <v>2354</v>
      </c>
      <c r="F345" s="1" t="s">
        <v>112</v>
      </c>
      <c r="G345" s="1">
        <v>3895566</v>
      </c>
    </row>
    <row r="346" spans="1:7" x14ac:dyDescent="0.35">
      <c r="A346" s="1" t="str">
        <f t="shared" si="5"/>
        <v>7</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2355</v>
      </c>
    </row>
    <row r="347" spans="1:7" x14ac:dyDescent="0.35">
      <c r="A347" s="1" t="str">
        <f t="shared" si="5"/>
        <v>7</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 t="s">
        <v>2356</v>
      </c>
      <c r="D347" s="1" t="s">
        <v>2357</v>
      </c>
      <c r="E347" s="1" t="s">
        <v>2358</v>
      </c>
      <c r="F347" s="1" t="s">
        <v>112</v>
      </c>
      <c r="G347" s="1">
        <v>4292604</v>
      </c>
    </row>
    <row r="348" spans="1:7" x14ac:dyDescent="0.35">
      <c r="A348" s="1" t="str">
        <f t="shared" si="5"/>
        <v>7</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2359</v>
      </c>
      <c r="D348" s="1" t="s">
        <v>830</v>
      </c>
      <c r="E348" s="1" t="s">
        <v>2360</v>
      </c>
      <c r="F348" s="1" t="s">
        <v>112</v>
      </c>
      <c r="G348" s="1">
        <v>3729967</v>
      </c>
    </row>
    <row r="349" spans="1:7" x14ac:dyDescent="0.35">
      <c r="A349" s="1" t="str">
        <f t="shared" si="5"/>
        <v>7</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2361</v>
      </c>
      <c r="D349" s="1" t="s">
        <v>2362</v>
      </c>
      <c r="E349" s="1" t="s">
        <v>2363</v>
      </c>
      <c r="F349" s="1" t="s">
        <v>112</v>
      </c>
      <c r="G349" s="1">
        <v>3660687</v>
      </c>
    </row>
    <row r="350" spans="1:7" x14ac:dyDescent="0.35">
      <c r="A350" s="1" t="str">
        <f t="shared" si="5"/>
        <v>7</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 t="s">
        <v>2364</v>
      </c>
      <c r="D350" s="1" t="s">
        <v>2365</v>
      </c>
      <c r="E350" s="1" t="s">
        <v>2366</v>
      </c>
      <c r="F350" s="1" t="s">
        <v>112</v>
      </c>
      <c r="G350" s="1">
        <v>4579092</v>
      </c>
    </row>
    <row r="351" spans="1:7" x14ac:dyDescent="0.35">
      <c r="A351" s="1" t="str">
        <f t="shared" si="5"/>
        <v>7</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2367</v>
      </c>
      <c r="D351" s="1" t="s">
        <v>2368</v>
      </c>
      <c r="E351" s="1" t="s">
        <v>2369</v>
      </c>
      <c r="F351" s="1" t="s">
        <v>112</v>
      </c>
      <c r="G351" s="1">
        <v>4708071</v>
      </c>
    </row>
    <row r="352" spans="1:7" x14ac:dyDescent="0.35">
      <c r="A352" s="1" t="str">
        <f t="shared" si="5"/>
        <v>7</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2370</v>
      </c>
      <c r="D352" s="1" t="s">
        <v>2371</v>
      </c>
      <c r="E352" s="1" t="s">
        <v>2372</v>
      </c>
      <c r="F352" s="1" t="s">
        <v>112</v>
      </c>
      <c r="G352" s="1">
        <v>4313066</v>
      </c>
    </row>
    <row r="353" spans="1:10" x14ac:dyDescent="0.35">
      <c r="A353" s="1" t="str">
        <f t="shared" si="5"/>
        <v>7</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 t="s">
        <v>2373</v>
      </c>
      <c r="D353" s="1" t="s">
        <v>2374</v>
      </c>
      <c r="E353" s="1" t="s">
        <v>2375</v>
      </c>
      <c r="F353" s="1" t="s">
        <v>112</v>
      </c>
      <c r="G353" s="1">
        <v>5612936</v>
      </c>
    </row>
    <row r="354" spans="1:10" x14ac:dyDescent="0.35">
      <c r="A354" s="1" t="str">
        <f t="shared" si="5"/>
        <v>7</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2376</v>
      </c>
      <c r="D354" s="1" t="s">
        <v>2377</v>
      </c>
      <c r="E354" s="1" t="s">
        <v>2378</v>
      </c>
      <c r="F354" s="1" t="s">
        <v>112</v>
      </c>
      <c r="G354" s="1">
        <v>4688799</v>
      </c>
    </row>
    <row r="355" spans="1:10" x14ac:dyDescent="0.35">
      <c r="A355" s="1" t="str">
        <f t="shared" si="5"/>
        <v>7</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2379</v>
      </c>
      <c r="D355" s="1" t="s">
        <v>2380</v>
      </c>
      <c r="E355" s="1" t="s">
        <v>2381</v>
      </c>
      <c r="F355" s="1" t="s">
        <v>112</v>
      </c>
      <c r="G355" s="1">
        <v>4876070</v>
      </c>
    </row>
    <row r="356" spans="1:10" x14ac:dyDescent="0.3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 t="s">
        <v>112</v>
      </c>
    </row>
    <row r="357" spans="1:10" x14ac:dyDescent="0.3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237</v>
      </c>
      <c r="D357" s="1" t="s">
        <v>112</v>
      </c>
      <c r="E357" s="1" t="s">
        <v>238</v>
      </c>
      <c r="F357" s="1" t="s">
        <v>239</v>
      </c>
      <c r="G357" s="1" t="s">
        <v>240</v>
      </c>
      <c r="H357" s="1" t="s">
        <v>241</v>
      </c>
      <c r="I357" s="1" t="s">
        <v>242</v>
      </c>
      <c r="J357" s="1" t="s">
        <v>243</v>
      </c>
    </row>
    <row r="358" spans="1:10" x14ac:dyDescent="0.35">
      <c r="A358" s="1" t="str">
        <f t="shared" si="5"/>
        <v>7</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 t="s">
        <v>2382</v>
      </c>
      <c r="D358" s="1" t="s">
        <v>112</v>
      </c>
      <c r="E358" s="1" t="s">
        <v>2383</v>
      </c>
      <c r="F358" s="1" t="s">
        <v>2384</v>
      </c>
      <c r="G358" s="1" t="s">
        <v>2385</v>
      </c>
      <c r="H358" s="1" t="s">
        <v>2386</v>
      </c>
      <c r="I358" s="1">
        <v>24</v>
      </c>
      <c r="J358" s="1">
        <v>24</v>
      </c>
    </row>
    <row r="359" spans="1:10" x14ac:dyDescent="0.3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 t="s">
        <v>112</v>
      </c>
    </row>
    <row r="360" spans="1:10" x14ac:dyDescent="0.3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10" x14ac:dyDescent="0.3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10" x14ac:dyDescent="0.3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10" x14ac:dyDescent="0.3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10" x14ac:dyDescent="0.3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249</v>
      </c>
      <c r="D364" s="1" t="s">
        <v>110</v>
      </c>
      <c r="E364" s="1" t="s">
        <v>111</v>
      </c>
      <c r="F364" s="1" t="s">
        <v>112</v>
      </c>
      <c r="G364" s="1" t="s">
        <v>113</v>
      </c>
    </row>
    <row r="365" spans="1:10" x14ac:dyDescent="0.35">
      <c r="A365" s="1" t="str">
        <f t="shared" si="5"/>
        <v>10</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 t="s">
        <v>2387</v>
      </c>
    </row>
    <row r="366" spans="1:10" x14ac:dyDescent="0.35">
      <c r="A366" s="1" t="str">
        <f t="shared" si="5"/>
        <v>10</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2388</v>
      </c>
      <c r="D366" s="1" t="s">
        <v>2389</v>
      </c>
      <c r="E366" s="1" t="s">
        <v>2390</v>
      </c>
      <c r="F366" s="1" t="s">
        <v>112</v>
      </c>
      <c r="G366" s="1">
        <v>2418071</v>
      </c>
    </row>
    <row r="367" spans="1:10" x14ac:dyDescent="0.35">
      <c r="A367" s="1" t="str">
        <f t="shared" si="5"/>
        <v>10</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2391</v>
      </c>
      <c r="D367" s="1" t="s">
        <v>2392</v>
      </c>
      <c r="E367" s="1" t="s">
        <v>2393</v>
      </c>
      <c r="F367" s="1" t="s">
        <v>112</v>
      </c>
      <c r="G367" s="1">
        <v>2047832</v>
      </c>
    </row>
    <row r="368" spans="1:10" x14ac:dyDescent="0.35">
      <c r="A368" s="1" t="str">
        <f t="shared" si="5"/>
        <v>10</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 t="s">
        <v>2394</v>
      </c>
      <c r="D368" s="1" t="s">
        <v>2395</v>
      </c>
      <c r="E368" s="1" t="s">
        <v>2396</v>
      </c>
      <c r="F368" s="1" t="s">
        <v>112</v>
      </c>
      <c r="G368" s="1">
        <v>954808</v>
      </c>
    </row>
    <row r="369" spans="1:7" x14ac:dyDescent="0.35">
      <c r="A369" s="1" t="str">
        <f t="shared" si="5"/>
        <v>10</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2397</v>
      </c>
      <c r="D369" s="1" t="s">
        <v>2398</v>
      </c>
      <c r="E369" s="1" t="s">
        <v>2399</v>
      </c>
      <c r="F369" s="1" t="s">
        <v>112</v>
      </c>
      <c r="G369" s="1">
        <v>930194</v>
      </c>
    </row>
    <row r="370" spans="1:7" x14ac:dyDescent="0.35">
      <c r="A370" s="1" t="str">
        <f t="shared" si="5"/>
        <v>10</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2400</v>
      </c>
      <c r="D370" s="1" t="s">
        <v>2401</v>
      </c>
      <c r="E370" s="1" t="s">
        <v>2402</v>
      </c>
      <c r="F370" s="1" t="s">
        <v>112</v>
      </c>
      <c r="G370" s="1">
        <v>1314838</v>
      </c>
    </row>
    <row r="371" spans="1:7" x14ac:dyDescent="0.35">
      <c r="A371" s="1" t="str">
        <f t="shared" si="5"/>
        <v>10</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 t="s">
        <v>2403</v>
      </c>
    </row>
    <row r="372" spans="1:7" x14ac:dyDescent="0.35">
      <c r="A372" s="1" t="str">
        <f t="shared" si="5"/>
        <v>10</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2404</v>
      </c>
    </row>
    <row r="373" spans="1:7" x14ac:dyDescent="0.35">
      <c r="A373" s="1" t="str">
        <f t="shared" si="5"/>
        <v>10</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2405</v>
      </c>
    </row>
    <row r="374" spans="1:7" x14ac:dyDescent="0.35">
      <c r="A374" s="1" t="str">
        <f t="shared" si="5"/>
        <v>10</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 t="s">
        <v>2406</v>
      </c>
      <c r="D374" s="1" t="s">
        <v>2407</v>
      </c>
      <c r="E374" s="1" t="s">
        <v>2408</v>
      </c>
      <c r="F374" s="1" t="s">
        <v>112</v>
      </c>
      <c r="G374" s="1">
        <v>1022726</v>
      </c>
    </row>
    <row r="375" spans="1:7" x14ac:dyDescent="0.35">
      <c r="A375" s="1" t="str">
        <f t="shared" si="5"/>
        <v>10</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2409</v>
      </c>
      <c r="D375" s="1" t="s">
        <v>2410</v>
      </c>
      <c r="E375" s="1" t="s">
        <v>2411</v>
      </c>
      <c r="F375" s="1" t="s">
        <v>112</v>
      </c>
      <c r="G375" s="1">
        <v>629279</v>
      </c>
    </row>
    <row r="376" spans="1:7" x14ac:dyDescent="0.35">
      <c r="A376" s="1" t="str">
        <f t="shared" si="5"/>
        <v>10</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2412</v>
      </c>
      <c r="D376" s="1" t="s">
        <v>2413</v>
      </c>
      <c r="E376" s="1" t="s">
        <v>2414</v>
      </c>
      <c r="F376" s="1" t="s">
        <v>112</v>
      </c>
      <c r="G376" s="1">
        <v>1030859</v>
      </c>
    </row>
    <row r="377" spans="1:7" x14ac:dyDescent="0.35">
      <c r="A377" s="1" t="str">
        <f t="shared" si="5"/>
        <v>10</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 t="s">
        <v>2415</v>
      </c>
      <c r="D377" s="1" t="s">
        <v>2416</v>
      </c>
      <c r="E377" s="1" t="s">
        <v>2417</v>
      </c>
      <c r="F377" s="1" t="s">
        <v>112</v>
      </c>
      <c r="G377" s="1">
        <v>898787</v>
      </c>
    </row>
    <row r="378" spans="1:7" x14ac:dyDescent="0.35">
      <c r="A378" s="1" t="str">
        <f t="shared" si="5"/>
        <v>10</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2418</v>
      </c>
      <c r="D378" s="1" t="s">
        <v>2419</v>
      </c>
      <c r="E378" s="1" t="s">
        <v>2420</v>
      </c>
      <c r="F378" s="1" t="s">
        <v>112</v>
      </c>
      <c r="G378" s="1">
        <v>628067</v>
      </c>
    </row>
    <row r="379" spans="1:7" x14ac:dyDescent="0.35">
      <c r="A379" s="1" t="str">
        <f t="shared" si="5"/>
        <v>10</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2421</v>
      </c>
      <c r="D379" s="1" t="s">
        <v>2422</v>
      </c>
      <c r="E379" s="1" t="s">
        <v>2423</v>
      </c>
      <c r="F379" s="1" t="s">
        <v>112</v>
      </c>
      <c r="G379" s="1">
        <v>422973</v>
      </c>
    </row>
    <row r="380" spans="1:7" x14ac:dyDescent="0.35">
      <c r="A380" s="1" t="str">
        <f t="shared" si="5"/>
        <v>10</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 t="s">
        <v>2424</v>
      </c>
      <c r="D380" s="1" t="s">
        <v>1752</v>
      </c>
      <c r="E380" s="1" t="s">
        <v>2425</v>
      </c>
      <c r="F380" s="1" t="s">
        <v>112</v>
      </c>
      <c r="G380" s="1">
        <v>1113810</v>
      </c>
    </row>
    <row r="381" spans="1:7" x14ac:dyDescent="0.35">
      <c r="A381" s="1" t="str">
        <f t="shared" si="5"/>
        <v>10</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2426</v>
      </c>
      <c r="D381" s="1" t="s">
        <v>2427</v>
      </c>
      <c r="E381" s="1" t="s">
        <v>2428</v>
      </c>
      <c r="F381" s="1" t="s">
        <v>112</v>
      </c>
      <c r="G381" s="1">
        <v>1238441</v>
      </c>
    </row>
    <row r="382" spans="1:7" x14ac:dyDescent="0.35">
      <c r="A382" s="1" t="str">
        <f t="shared" si="5"/>
        <v>10</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2429</v>
      </c>
      <c r="D382" s="1" t="s">
        <v>2430</v>
      </c>
      <c r="E382" s="1" t="s">
        <v>2431</v>
      </c>
      <c r="F382" s="1" t="s">
        <v>112</v>
      </c>
      <c r="G382" s="1">
        <v>1429455</v>
      </c>
    </row>
    <row r="383" spans="1:7" x14ac:dyDescent="0.35">
      <c r="A383" s="1" t="str">
        <f t="shared" si="5"/>
        <v>10</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 t="s">
        <v>2432</v>
      </c>
      <c r="D383" s="1" t="s">
        <v>2433</v>
      </c>
      <c r="E383" s="1" t="s">
        <v>2434</v>
      </c>
      <c r="F383" s="1" t="s">
        <v>112</v>
      </c>
      <c r="G383" s="1">
        <v>1817755</v>
      </c>
    </row>
    <row r="384" spans="1:7" x14ac:dyDescent="0.35">
      <c r="A384" s="1" t="str">
        <f t="shared" si="5"/>
        <v>10</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2435</v>
      </c>
      <c r="D384" s="1" t="s">
        <v>2436</v>
      </c>
      <c r="E384" s="1" t="s">
        <v>2437</v>
      </c>
      <c r="F384" s="1" t="s">
        <v>112</v>
      </c>
      <c r="G384" s="1">
        <v>1667211</v>
      </c>
    </row>
    <row r="385" spans="1:10" x14ac:dyDescent="0.35">
      <c r="A385" s="1" t="str">
        <f t="shared" si="5"/>
        <v>10</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2438</v>
      </c>
      <c r="D385" s="1" t="s">
        <v>2288</v>
      </c>
      <c r="E385" s="1" t="s">
        <v>2439</v>
      </c>
      <c r="F385" s="1" t="s">
        <v>112</v>
      </c>
      <c r="G385" s="1">
        <v>1967866</v>
      </c>
    </row>
    <row r="386" spans="1:10" x14ac:dyDescent="0.35">
      <c r="A386" s="1" t="str">
        <f t="shared" ref="A386:A449" si="6">IFERROR(LEFT(RIGHT(C386,LEN(C386)-SEARCH("@",C386)),SEARCH("/",RIGHT(C386,LEN(C386)-SEARCH("@",C386)-1))),"")</f>
        <v>10</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 t="s">
        <v>2440</v>
      </c>
      <c r="D386" s="1" t="s">
        <v>1500</v>
      </c>
      <c r="E386" s="1" t="s">
        <v>2441</v>
      </c>
      <c r="F386" s="1" t="s">
        <v>112</v>
      </c>
      <c r="G386" s="1">
        <v>1646403</v>
      </c>
    </row>
    <row r="387" spans="1:10" x14ac:dyDescent="0.35">
      <c r="A387" s="1" t="str">
        <f t="shared" si="6"/>
        <v>10</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2442</v>
      </c>
      <c r="D387" s="1" t="s">
        <v>2443</v>
      </c>
      <c r="E387" s="1" t="s">
        <v>2444</v>
      </c>
      <c r="F387" s="1" t="s">
        <v>112</v>
      </c>
      <c r="G387" s="1">
        <v>1910114</v>
      </c>
    </row>
    <row r="388" spans="1:10" x14ac:dyDescent="0.35">
      <c r="A388" s="1" t="str">
        <f t="shared" si="6"/>
        <v>10</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2445</v>
      </c>
      <c r="D388" s="1" t="s">
        <v>2446</v>
      </c>
      <c r="E388" s="1" t="s">
        <v>2447</v>
      </c>
      <c r="F388" s="1" t="s">
        <v>112</v>
      </c>
      <c r="G388" s="1">
        <v>1870791</v>
      </c>
    </row>
    <row r="389" spans="1:10" x14ac:dyDescent="0.3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 t="s">
        <v>112</v>
      </c>
    </row>
    <row r="390" spans="1:10" x14ac:dyDescent="0.3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237</v>
      </c>
      <c r="D390" s="1" t="s">
        <v>112</v>
      </c>
      <c r="E390" s="1" t="s">
        <v>238</v>
      </c>
      <c r="F390" s="1" t="s">
        <v>239</v>
      </c>
      <c r="G390" s="1" t="s">
        <v>240</v>
      </c>
      <c r="H390" s="1" t="s">
        <v>241</v>
      </c>
      <c r="I390" s="1" t="s">
        <v>242</v>
      </c>
      <c r="J390" s="1" t="s">
        <v>243</v>
      </c>
    </row>
    <row r="391" spans="1:10" x14ac:dyDescent="0.35">
      <c r="A391" s="1" t="str">
        <f t="shared" si="6"/>
        <v>10</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 t="s">
        <v>2448</v>
      </c>
      <c r="D391" s="1" t="s">
        <v>112</v>
      </c>
      <c r="E391" s="1" t="s">
        <v>2449</v>
      </c>
      <c r="F391" s="1" t="s">
        <v>2450</v>
      </c>
      <c r="G391" s="1">
        <v>1244056</v>
      </c>
      <c r="H391" s="1" t="s">
        <v>2451</v>
      </c>
      <c r="I391" s="1">
        <v>24</v>
      </c>
      <c r="J391" s="1">
        <v>24</v>
      </c>
    </row>
    <row r="392" spans="1:10" x14ac:dyDescent="0.3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 t="s">
        <v>112</v>
      </c>
    </row>
    <row r="393" spans="1:10" x14ac:dyDescent="0.3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10" x14ac:dyDescent="0.3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10" x14ac:dyDescent="0.3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10" x14ac:dyDescent="0.3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10" x14ac:dyDescent="0.3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249</v>
      </c>
      <c r="D397" s="1" t="s">
        <v>110</v>
      </c>
      <c r="E397" s="1" t="s">
        <v>111</v>
      </c>
      <c r="F397" s="1" t="s">
        <v>112</v>
      </c>
      <c r="G397" s="1" t="s">
        <v>113</v>
      </c>
    </row>
    <row r="398" spans="1:10" x14ac:dyDescent="0.35">
      <c r="A398" s="1" t="str">
        <f t="shared" si="6"/>
        <v>11</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 t="s">
        <v>2452</v>
      </c>
      <c r="D398" s="1" t="s">
        <v>2453</v>
      </c>
      <c r="E398" s="1" t="s">
        <v>2454</v>
      </c>
      <c r="F398" s="1" t="s">
        <v>112</v>
      </c>
      <c r="G398" s="1">
        <v>2230345</v>
      </c>
    </row>
    <row r="399" spans="1:10" x14ac:dyDescent="0.35">
      <c r="A399" s="1" t="str">
        <f t="shared" si="6"/>
        <v>11</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2455</v>
      </c>
    </row>
    <row r="400" spans="1:10" x14ac:dyDescent="0.35">
      <c r="A400" s="1" t="str">
        <f t="shared" si="6"/>
        <v>11</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2456</v>
      </c>
      <c r="D400" s="1" t="s">
        <v>2457</v>
      </c>
      <c r="E400" s="1" t="s">
        <v>2458</v>
      </c>
      <c r="F400" s="1" t="s">
        <v>112</v>
      </c>
      <c r="G400" s="1">
        <v>2923691</v>
      </c>
    </row>
    <row r="401" spans="1:7" x14ac:dyDescent="0.35">
      <c r="A401" s="1" t="str">
        <f t="shared" si="6"/>
        <v>11</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 t="s">
        <v>2459</v>
      </c>
      <c r="D401" s="1" t="s">
        <v>2460</v>
      </c>
      <c r="E401" s="1" t="s">
        <v>2461</v>
      </c>
      <c r="F401" s="1" t="s">
        <v>112</v>
      </c>
      <c r="G401" s="1">
        <v>2515362</v>
      </c>
    </row>
    <row r="402" spans="1:7" x14ac:dyDescent="0.35">
      <c r="A402" s="1" t="str">
        <f t="shared" si="6"/>
        <v>11</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2462</v>
      </c>
    </row>
    <row r="403" spans="1:7" x14ac:dyDescent="0.35">
      <c r="A403" s="1" t="str">
        <f t="shared" si="6"/>
        <v>11</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2463</v>
      </c>
      <c r="D403" s="1" t="s">
        <v>2464</v>
      </c>
      <c r="E403" s="1" t="s">
        <v>2465</v>
      </c>
      <c r="F403" s="1" t="s">
        <v>112</v>
      </c>
      <c r="G403" s="1">
        <v>2627794</v>
      </c>
    </row>
    <row r="404" spans="1:7" x14ac:dyDescent="0.35">
      <c r="A404" s="1" t="str">
        <f t="shared" si="6"/>
        <v>11</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 t="s">
        <v>2466</v>
      </c>
      <c r="D404" s="1" t="s">
        <v>434</v>
      </c>
      <c r="E404" s="1" t="s">
        <v>2467</v>
      </c>
      <c r="F404" s="1" t="s">
        <v>112</v>
      </c>
      <c r="G404" s="1">
        <v>1699223</v>
      </c>
    </row>
    <row r="405" spans="1:7" x14ac:dyDescent="0.35">
      <c r="A405" s="1" t="str">
        <f t="shared" si="6"/>
        <v>11</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2468</v>
      </c>
      <c r="D405" s="1" t="s">
        <v>2469</v>
      </c>
      <c r="E405" s="1" t="s">
        <v>2470</v>
      </c>
      <c r="F405" s="1" t="s">
        <v>112</v>
      </c>
      <c r="G405" s="1">
        <v>1903171</v>
      </c>
    </row>
    <row r="406" spans="1:7" x14ac:dyDescent="0.35">
      <c r="A406" s="1" t="str">
        <f t="shared" si="6"/>
        <v>11</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2471</v>
      </c>
      <c r="D406" s="1" t="s">
        <v>2472</v>
      </c>
      <c r="E406" s="1" t="s">
        <v>2473</v>
      </c>
      <c r="F406" s="1" t="s">
        <v>112</v>
      </c>
      <c r="G406" s="1">
        <v>2028041</v>
      </c>
    </row>
    <row r="407" spans="1:7" x14ac:dyDescent="0.35">
      <c r="A407" s="1" t="str">
        <f t="shared" si="6"/>
        <v>11</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 t="s">
        <v>2474</v>
      </c>
      <c r="D407" s="1" t="s">
        <v>2475</v>
      </c>
      <c r="E407" s="1" t="s">
        <v>2476</v>
      </c>
      <c r="F407" s="1" t="s">
        <v>112</v>
      </c>
      <c r="G407" s="1">
        <v>2126327</v>
      </c>
    </row>
    <row r="408" spans="1:7" x14ac:dyDescent="0.35">
      <c r="A408" s="1" t="str">
        <f t="shared" si="6"/>
        <v>11</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2477</v>
      </c>
    </row>
    <row r="409" spans="1:7" x14ac:dyDescent="0.35">
      <c r="A409" s="1" t="str">
        <f t="shared" si="6"/>
        <v>11</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2478</v>
      </c>
      <c r="D409" s="1" t="s">
        <v>2479</v>
      </c>
      <c r="E409" s="1" t="s">
        <v>2480</v>
      </c>
      <c r="F409" s="1" t="s">
        <v>112</v>
      </c>
      <c r="G409" s="1">
        <v>2756514</v>
      </c>
    </row>
    <row r="410" spans="1:7" x14ac:dyDescent="0.35">
      <c r="A410" s="1" t="str">
        <f t="shared" si="6"/>
        <v>11</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 t="s">
        <v>2481</v>
      </c>
      <c r="D410" s="1" t="s">
        <v>2482</v>
      </c>
      <c r="E410" s="1" t="s">
        <v>2483</v>
      </c>
      <c r="F410" s="1" t="s">
        <v>112</v>
      </c>
      <c r="G410" s="1">
        <v>2355712</v>
      </c>
    </row>
    <row r="411" spans="1:7" x14ac:dyDescent="0.35">
      <c r="A411" s="1" t="str">
        <f t="shared" si="6"/>
        <v>11</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2484</v>
      </c>
      <c r="D411" s="1" t="s">
        <v>2485</v>
      </c>
      <c r="E411" s="1" t="s">
        <v>2486</v>
      </c>
      <c r="F411" s="1" t="s">
        <v>112</v>
      </c>
      <c r="G411" s="1">
        <v>2452614</v>
      </c>
    </row>
    <row r="412" spans="1:7" x14ac:dyDescent="0.35">
      <c r="A412" s="1" t="str">
        <f t="shared" si="6"/>
        <v>11</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2487</v>
      </c>
      <c r="D412" s="1" t="s">
        <v>2488</v>
      </c>
      <c r="E412" s="1" t="s">
        <v>2489</v>
      </c>
      <c r="F412" s="1" t="s">
        <v>112</v>
      </c>
      <c r="G412" s="1">
        <v>2677413</v>
      </c>
    </row>
    <row r="413" spans="1:7" x14ac:dyDescent="0.35">
      <c r="A413" s="1" t="str">
        <f t="shared" si="6"/>
        <v>11</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 t="s">
        <v>2490</v>
      </c>
    </row>
    <row r="414" spans="1:7" x14ac:dyDescent="0.35">
      <c r="A414" s="1" t="str">
        <f t="shared" si="6"/>
        <v>11</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2491</v>
      </c>
      <c r="D414" s="1" t="s">
        <v>2492</v>
      </c>
      <c r="E414" s="1" t="s">
        <v>2493</v>
      </c>
      <c r="F414" s="1" t="s">
        <v>112</v>
      </c>
      <c r="G414" s="1">
        <v>2265256</v>
      </c>
    </row>
    <row r="415" spans="1:7" x14ac:dyDescent="0.35">
      <c r="A415" s="1" t="str">
        <f t="shared" si="6"/>
        <v>11</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2494</v>
      </c>
      <c r="D415" s="1" t="s">
        <v>2495</v>
      </c>
      <c r="E415" s="1" t="s">
        <v>2496</v>
      </c>
      <c r="F415" s="1" t="s">
        <v>112</v>
      </c>
      <c r="G415" s="1">
        <v>2675640</v>
      </c>
    </row>
    <row r="416" spans="1:7" x14ac:dyDescent="0.35">
      <c r="A416" s="1" t="str">
        <f t="shared" si="6"/>
        <v>11</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 t="s">
        <v>2497</v>
      </c>
      <c r="D416" s="1" t="s">
        <v>2498</v>
      </c>
      <c r="E416" s="1" t="s">
        <v>2499</v>
      </c>
      <c r="F416" s="1" t="s">
        <v>112</v>
      </c>
      <c r="G416" s="1">
        <v>2537208</v>
      </c>
    </row>
    <row r="417" spans="1:10" x14ac:dyDescent="0.35">
      <c r="A417" s="1" t="str">
        <f t="shared" si="6"/>
        <v>11</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2500</v>
      </c>
      <c r="D417" s="1" t="s">
        <v>2501</v>
      </c>
      <c r="E417" s="1" t="s">
        <v>2502</v>
      </c>
      <c r="F417" s="1" t="s">
        <v>112</v>
      </c>
      <c r="G417" s="1">
        <v>2196948</v>
      </c>
    </row>
    <row r="418" spans="1:10" x14ac:dyDescent="0.35">
      <c r="A418" s="1" t="str">
        <f t="shared" si="6"/>
        <v>11</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2503</v>
      </c>
      <c r="D418" s="1" t="s">
        <v>2504</v>
      </c>
      <c r="E418" s="1" t="s">
        <v>2505</v>
      </c>
      <c r="F418" s="1" t="s">
        <v>112</v>
      </c>
      <c r="G418" s="1">
        <v>2072793</v>
      </c>
    </row>
    <row r="419" spans="1:10" x14ac:dyDescent="0.35">
      <c r="A419" s="1" t="str">
        <f t="shared" si="6"/>
        <v>11</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 t="s">
        <v>2506</v>
      </c>
      <c r="D419" s="1" t="s">
        <v>2507</v>
      </c>
      <c r="E419" s="1" t="s">
        <v>2508</v>
      </c>
      <c r="F419" s="1" t="s">
        <v>112</v>
      </c>
      <c r="G419" s="1">
        <v>2510430</v>
      </c>
    </row>
    <row r="420" spans="1:10" x14ac:dyDescent="0.35">
      <c r="A420" s="1" t="str">
        <f t="shared" si="6"/>
        <v>11</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2509</v>
      </c>
      <c r="D420" s="1" t="s">
        <v>2510</v>
      </c>
      <c r="E420" s="1" t="s">
        <v>2511</v>
      </c>
      <c r="F420" s="1" t="s">
        <v>112</v>
      </c>
      <c r="G420" s="1">
        <v>3173127</v>
      </c>
    </row>
    <row r="421" spans="1:10" x14ac:dyDescent="0.35">
      <c r="A421" s="1" t="str">
        <f t="shared" si="6"/>
        <v>11</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2512</v>
      </c>
      <c r="D421" s="1" t="s">
        <v>2513</v>
      </c>
      <c r="E421" s="1" t="s">
        <v>2514</v>
      </c>
      <c r="F421" s="1" t="s">
        <v>112</v>
      </c>
      <c r="G421" s="1">
        <v>2783054</v>
      </c>
    </row>
    <row r="422" spans="1:10" x14ac:dyDescent="0.3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 t="s">
        <v>112</v>
      </c>
    </row>
    <row r="423" spans="1:10" x14ac:dyDescent="0.3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237</v>
      </c>
      <c r="D423" s="1" t="s">
        <v>112</v>
      </c>
      <c r="E423" s="1" t="s">
        <v>238</v>
      </c>
      <c r="F423" s="1" t="s">
        <v>239</v>
      </c>
      <c r="G423" s="1" t="s">
        <v>240</v>
      </c>
      <c r="H423" s="1" t="s">
        <v>241</v>
      </c>
      <c r="I423" s="1" t="s">
        <v>242</v>
      </c>
      <c r="J423" s="1" t="s">
        <v>243</v>
      </c>
    </row>
    <row r="424" spans="1:10" x14ac:dyDescent="0.35">
      <c r="A424" s="1" t="str">
        <f t="shared" si="6"/>
        <v>11</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 t="s">
        <v>2515</v>
      </c>
      <c r="D424" s="1" t="s">
        <v>112</v>
      </c>
      <c r="E424" s="1" t="s">
        <v>2516</v>
      </c>
      <c r="F424" s="1" t="s">
        <v>2517</v>
      </c>
      <c r="G424" s="1" t="s">
        <v>2518</v>
      </c>
      <c r="H424" s="1" t="s">
        <v>2519</v>
      </c>
      <c r="I424" s="1">
        <v>24</v>
      </c>
      <c r="J424" s="1">
        <v>24</v>
      </c>
    </row>
    <row r="425" spans="1:10" x14ac:dyDescent="0.3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 t="s">
        <v>112</v>
      </c>
    </row>
    <row r="426" spans="1:10" x14ac:dyDescent="0.3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10" x14ac:dyDescent="0.3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10" x14ac:dyDescent="0.3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10" x14ac:dyDescent="0.3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10" x14ac:dyDescent="0.3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249</v>
      </c>
      <c r="D430" s="1" t="s">
        <v>110</v>
      </c>
      <c r="E430" s="1" t="s">
        <v>111</v>
      </c>
      <c r="F430" s="1" t="s">
        <v>112</v>
      </c>
      <c r="G430" s="1" t="s">
        <v>113</v>
      </c>
    </row>
    <row r="431" spans="1:10" x14ac:dyDescent="0.35">
      <c r="A431" s="1" t="str">
        <f t="shared" si="6"/>
        <v>12</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 t="s">
        <v>2520</v>
      </c>
      <c r="D431" s="1" t="s">
        <v>1468</v>
      </c>
      <c r="E431" s="1" t="s">
        <v>2521</v>
      </c>
      <c r="F431" s="1" t="s">
        <v>112</v>
      </c>
      <c r="G431" s="1">
        <v>3780538</v>
      </c>
    </row>
    <row r="432" spans="1:10" x14ac:dyDescent="0.35">
      <c r="A432" s="1" t="str">
        <f t="shared" si="6"/>
        <v>12</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2522</v>
      </c>
      <c r="D432" s="1" t="s">
        <v>2523</v>
      </c>
      <c r="E432" s="1" t="s">
        <v>2524</v>
      </c>
      <c r="F432" s="1" t="s">
        <v>112</v>
      </c>
      <c r="G432" s="1">
        <v>4005943</v>
      </c>
    </row>
    <row r="433" spans="1:7" x14ac:dyDescent="0.35">
      <c r="A433" s="1" t="str">
        <f t="shared" si="6"/>
        <v>12</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2525</v>
      </c>
      <c r="D433" s="1" t="s">
        <v>2526</v>
      </c>
      <c r="E433" s="1" t="s">
        <v>2527</v>
      </c>
      <c r="F433" s="1" t="s">
        <v>112</v>
      </c>
      <c r="G433" s="1">
        <v>3797215</v>
      </c>
    </row>
    <row r="434" spans="1:7" x14ac:dyDescent="0.35">
      <c r="A434" s="1" t="str">
        <f t="shared" si="6"/>
        <v>12</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 t="s">
        <v>2528</v>
      </c>
      <c r="D434" s="1" t="s">
        <v>2529</v>
      </c>
      <c r="E434" s="1" t="s">
        <v>2530</v>
      </c>
      <c r="F434" s="1" t="s">
        <v>112</v>
      </c>
      <c r="G434" s="1">
        <v>1248975</v>
      </c>
    </row>
    <row r="435" spans="1:7" x14ac:dyDescent="0.35">
      <c r="A435" s="1" t="str">
        <f t="shared" si="6"/>
        <v>12</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2531</v>
      </c>
      <c r="D435" s="1" t="s">
        <v>2532</v>
      </c>
      <c r="E435" s="1" t="s">
        <v>2533</v>
      </c>
      <c r="F435" s="1" t="s">
        <v>112</v>
      </c>
      <c r="G435" s="1">
        <v>852045</v>
      </c>
    </row>
    <row r="436" spans="1:7" x14ac:dyDescent="0.35">
      <c r="A436" s="1" t="str">
        <f t="shared" si="6"/>
        <v>12</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2534</v>
      </c>
      <c r="D436" s="1" t="s">
        <v>795</v>
      </c>
      <c r="E436" s="1" t="s">
        <v>2535</v>
      </c>
      <c r="F436" s="1" t="s">
        <v>112</v>
      </c>
      <c r="G436" s="1">
        <v>1615796</v>
      </c>
    </row>
    <row r="437" spans="1:7" x14ac:dyDescent="0.35">
      <c r="A437" s="1" t="str">
        <f t="shared" si="6"/>
        <v>12</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 t="s">
        <v>2536</v>
      </c>
      <c r="D437" s="1" t="s">
        <v>2537</v>
      </c>
      <c r="E437" s="1" t="s">
        <v>2538</v>
      </c>
      <c r="F437" s="1" t="s">
        <v>112</v>
      </c>
      <c r="G437" s="1">
        <v>2501303</v>
      </c>
    </row>
    <row r="438" spans="1:7" x14ac:dyDescent="0.35">
      <c r="A438" s="1" t="str">
        <f t="shared" si="6"/>
        <v>12</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2539</v>
      </c>
      <c r="D438" s="1" t="s">
        <v>1454</v>
      </c>
      <c r="E438" s="1" t="s">
        <v>2540</v>
      </c>
      <c r="F438" s="1" t="s">
        <v>112</v>
      </c>
      <c r="G438" s="1">
        <v>2558535</v>
      </c>
    </row>
    <row r="439" spans="1:7" x14ac:dyDescent="0.35">
      <c r="A439" s="1" t="str">
        <f t="shared" si="6"/>
        <v>12</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2541</v>
      </c>
      <c r="D439" s="1" t="s">
        <v>2542</v>
      </c>
      <c r="E439" s="1" t="s">
        <v>2543</v>
      </c>
      <c r="F439" s="1" t="s">
        <v>112</v>
      </c>
      <c r="G439" s="1">
        <v>2724393</v>
      </c>
    </row>
    <row r="440" spans="1:7" x14ac:dyDescent="0.35">
      <c r="A440" s="1" t="str">
        <f t="shared" si="6"/>
        <v>12</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 t="s">
        <v>2544</v>
      </c>
      <c r="D440" s="1" t="s">
        <v>2545</v>
      </c>
      <c r="E440" s="1" t="s">
        <v>2546</v>
      </c>
      <c r="F440" s="1" t="s">
        <v>112</v>
      </c>
      <c r="G440" s="1">
        <v>2418741</v>
      </c>
    </row>
    <row r="441" spans="1:7" x14ac:dyDescent="0.35">
      <c r="A441" s="1" t="str">
        <f t="shared" si="6"/>
        <v>12</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2547</v>
      </c>
      <c r="D441" s="1" t="s">
        <v>2548</v>
      </c>
      <c r="E441" s="1" t="s">
        <v>2549</v>
      </c>
      <c r="F441" s="1" t="s">
        <v>112</v>
      </c>
      <c r="G441" s="1">
        <v>2555507</v>
      </c>
    </row>
    <row r="442" spans="1:7" x14ac:dyDescent="0.35">
      <c r="A442" s="1" t="str">
        <f t="shared" si="6"/>
        <v>12</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2550</v>
      </c>
      <c r="D442" s="1" t="s">
        <v>2551</v>
      </c>
      <c r="E442" s="1" t="s">
        <v>2552</v>
      </c>
      <c r="F442" s="1" t="s">
        <v>112</v>
      </c>
      <c r="G442" s="1">
        <v>2452917</v>
      </c>
    </row>
    <row r="443" spans="1:7" x14ac:dyDescent="0.35">
      <c r="A443" s="1" t="str">
        <f t="shared" si="6"/>
        <v>12</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 t="s">
        <v>2553</v>
      </c>
      <c r="D443" s="1" t="s">
        <v>2554</v>
      </c>
      <c r="E443" s="1" t="s">
        <v>2555</v>
      </c>
      <c r="F443" s="1" t="s">
        <v>112</v>
      </c>
      <c r="G443" s="1">
        <v>2280634</v>
      </c>
    </row>
    <row r="444" spans="1:7" x14ac:dyDescent="0.35">
      <c r="A444" s="1" t="str">
        <f t="shared" si="6"/>
        <v>12</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2556</v>
      </c>
      <c r="D444" s="1" t="s">
        <v>2557</v>
      </c>
      <c r="E444" s="1" t="s">
        <v>2558</v>
      </c>
      <c r="F444" s="1" t="s">
        <v>112</v>
      </c>
      <c r="G444" s="1">
        <v>2199220</v>
      </c>
    </row>
    <row r="445" spans="1:7" x14ac:dyDescent="0.35">
      <c r="A445" s="1" t="str">
        <f t="shared" si="6"/>
        <v>12</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2559</v>
      </c>
      <c r="D445" s="1" t="s">
        <v>1183</v>
      </c>
      <c r="E445" s="1" t="s">
        <v>2560</v>
      </c>
      <c r="F445" s="1" t="s">
        <v>112</v>
      </c>
      <c r="G445" s="1">
        <v>2693895</v>
      </c>
    </row>
    <row r="446" spans="1:7" x14ac:dyDescent="0.35">
      <c r="A446" s="1" t="str">
        <f t="shared" si="6"/>
        <v>12</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 t="s">
        <v>2561</v>
      </c>
      <c r="D446" s="1" t="s">
        <v>2562</v>
      </c>
      <c r="E446" s="1" t="s">
        <v>2563</v>
      </c>
      <c r="F446" s="1" t="s">
        <v>112</v>
      </c>
      <c r="G446" s="1">
        <v>2593922</v>
      </c>
    </row>
    <row r="447" spans="1:7" x14ac:dyDescent="0.35">
      <c r="A447" s="1" t="str">
        <f t="shared" si="6"/>
        <v>12</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2564</v>
      </c>
      <c r="D447" s="1" t="s">
        <v>2565</v>
      </c>
      <c r="E447" s="1" t="s">
        <v>2566</v>
      </c>
      <c r="F447" s="1" t="s">
        <v>112</v>
      </c>
      <c r="G447" s="1">
        <v>2711307</v>
      </c>
    </row>
    <row r="448" spans="1:7" x14ac:dyDescent="0.35">
      <c r="A448" s="1" t="str">
        <f t="shared" si="6"/>
        <v>12</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2567</v>
      </c>
      <c r="D448" s="1" t="s">
        <v>2568</v>
      </c>
      <c r="E448" s="1" t="s">
        <v>2569</v>
      </c>
      <c r="F448" s="1" t="s">
        <v>112</v>
      </c>
      <c r="G448" s="1">
        <v>2849219</v>
      </c>
    </row>
    <row r="449" spans="1:10" x14ac:dyDescent="0.35">
      <c r="A449" s="1" t="str">
        <f t="shared" si="6"/>
        <v>12</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 t="s">
        <v>2570</v>
      </c>
      <c r="D449" s="1" t="s">
        <v>2571</v>
      </c>
      <c r="E449" s="1" t="s">
        <v>2572</v>
      </c>
      <c r="F449" s="1" t="s">
        <v>112</v>
      </c>
      <c r="G449" s="1">
        <v>4369455</v>
      </c>
    </row>
    <row r="450" spans="1:10" x14ac:dyDescent="0.35">
      <c r="A450" s="1" t="str">
        <f t="shared" ref="A450:A513" si="7">IFERROR(LEFT(RIGHT(C450,LEN(C450)-SEARCH("@",C450)),SEARCH("/",RIGHT(C450,LEN(C450)-SEARCH("@",C450)-1))),"")</f>
        <v>12</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2573</v>
      </c>
      <c r="D450" s="1" t="s">
        <v>2574</v>
      </c>
      <c r="E450" s="1" t="s">
        <v>2575</v>
      </c>
      <c r="F450" s="1" t="s">
        <v>112</v>
      </c>
      <c r="G450" s="1">
        <v>3845795</v>
      </c>
    </row>
    <row r="451" spans="1:10" x14ac:dyDescent="0.35">
      <c r="A451" s="1" t="str">
        <f t="shared" si="7"/>
        <v>12</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2576</v>
      </c>
      <c r="D451" s="1" t="s">
        <v>2577</v>
      </c>
      <c r="E451" s="1" t="s">
        <v>2578</v>
      </c>
      <c r="F451" s="1" t="s">
        <v>112</v>
      </c>
      <c r="G451" s="1">
        <v>4223237</v>
      </c>
    </row>
    <row r="452" spans="1:10" x14ac:dyDescent="0.35">
      <c r="A452" s="1" t="str">
        <f t="shared" si="7"/>
        <v>12</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 t="s">
        <v>2579</v>
      </c>
      <c r="D452" s="1" t="s">
        <v>2580</v>
      </c>
      <c r="E452" s="1" t="s">
        <v>2581</v>
      </c>
      <c r="F452" s="1" t="s">
        <v>112</v>
      </c>
      <c r="G452" s="1">
        <v>2334817</v>
      </c>
    </row>
    <row r="453" spans="1:10" x14ac:dyDescent="0.35">
      <c r="A453" s="1" t="str">
        <f t="shared" si="7"/>
        <v>12</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2582</v>
      </c>
      <c r="D453" s="1" t="s">
        <v>2583</v>
      </c>
      <c r="E453" s="1" t="s">
        <v>2584</v>
      </c>
      <c r="F453" s="1" t="s">
        <v>112</v>
      </c>
      <c r="G453" s="1">
        <v>2176551</v>
      </c>
    </row>
    <row r="454" spans="1:10" x14ac:dyDescent="0.35">
      <c r="A454" s="1" t="str">
        <f t="shared" si="7"/>
        <v>12</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2585</v>
      </c>
      <c r="D454" s="1" t="s">
        <v>2586</v>
      </c>
      <c r="E454" s="1" t="s">
        <v>2587</v>
      </c>
      <c r="F454" s="1" t="s">
        <v>112</v>
      </c>
      <c r="G454" s="1">
        <v>2053326</v>
      </c>
    </row>
    <row r="455" spans="1:10" x14ac:dyDescent="0.3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 t="s">
        <v>112</v>
      </c>
    </row>
    <row r="456" spans="1:10" x14ac:dyDescent="0.3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237</v>
      </c>
      <c r="D456" s="1" t="s">
        <v>112</v>
      </c>
      <c r="E456" s="1" t="s">
        <v>238</v>
      </c>
      <c r="F456" s="1" t="s">
        <v>239</v>
      </c>
      <c r="G456" s="1" t="s">
        <v>240</v>
      </c>
      <c r="H456" s="1" t="s">
        <v>241</v>
      </c>
      <c r="I456" s="1" t="s">
        <v>242</v>
      </c>
      <c r="J456" s="1" t="s">
        <v>243</v>
      </c>
    </row>
    <row r="457" spans="1:10" x14ac:dyDescent="0.35">
      <c r="A457" s="1" t="str">
        <f t="shared" si="7"/>
        <v>12</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 t="s">
        <v>2588</v>
      </c>
      <c r="D457" s="1" t="s">
        <v>112</v>
      </c>
      <c r="E457" s="1" t="s">
        <v>2589</v>
      </c>
      <c r="F457" s="1" t="s">
        <v>2590</v>
      </c>
      <c r="G457" s="1" t="s">
        <v>2591</v>
      </c>
      <c r="H457" s="1" t="s">
        <v>2592</v>
      </c>
      <c r="I457" s="1">
        <v>24</v>
      </c>
      <c r="J457" s="1">
        <v>24</v>
      </c>
    </row>
    <row r="458" spans="1:10" x14ac:dyDescent="0.3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 t="s">
        <v>112</v>
      </c>
    </row>
    <row r="459" spans="1:10" x14ac:dyDescent="0.3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10" x14ac:dyDescent="0.3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10" x14ac:dyDescent="0.3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10" x14ac:dyDescent="0.3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10" x14ac:dyDescent="0.3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249</v>
      </c>
      <c r="D463" s="1" t="s">
        <v>110</v>
      </c>
      <c r="E463" s="1" t="s">
        <v>111</v>
      </c>
      <c r="F463" s="1" t="s">
        <v>112</v>
      </c>
      <c r="G463" s="1" t="s">
        <v>113</v>
      </c>
    </row>
    <row r="464" spans="1:10" x14ac:dyDescent="0.35">
      <c r="A464" s="1" t="str">
        <f t="shared" si="7"/>
        <v>17</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 t="s">
        <v>2593</v>
      </c>
      <c r="D464" s="1" t="s">
        <v>1282</v>
      </c>
      <c r="E464" s="1" t="s">
        <v>2594</v>
      </c>
      <c r="F464" s="1" t="s">
        <v>112</v>
      </c>
      <c r="G464" s="1">
        <v>2392288</v>
      </c>
    </row>
    <row r="465" spans="1:7" x14ac:dyDescent="0.35">
      <c r="A465" s="1" t="str">
        <f t="shared" si="7"/>
        <v>17</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2595</v>
      </c>
      <c r="D465" s="1" t="s">
        <v>2596</v>
      </c>
      <c r="E465" s="1" t="s">
        <v>2597</v>
      </c>
      <c r="F465" s="1" t="s">
        <v>112</v>
      </c>
      <c r="G465" s="1">
        <v>2449413</v>
      </c>
    </row>
    <row r="466" spans="1:7" x14ac:dyDescent="0.35">
      <c r="A466" s="1" t="str">
        <f t="shared" si="7"/>
        <v>17</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2598</v>
      </c>
      <c r="D466" s="1" t="s">
        <v>2554</v>
      </c>
      <c r="E466" s="1" t="s">
        <v>2599</v>
      </c>
      <c r="F466" s="1" t="s">
        <v>112</v>
      </c>
      <c r="G466" s="1">
        <v>2157971</v>
      </c>
    </row>
    <row r="467" spans="1:7" x14ac:dyDescent="0.35">
      <c r="A467" s="1" t="str">
        <f t="shared" si="7"/>
        <v>17</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 t="s">
        <v>2600</v>
      </c>
      <c r="D467" s="1" t="s">
        <v>2601</v>
      </c>
      <c r="E467" s="1" t="s">
        <v>2602</v>
      </c>
      <c r="F467" s="1" t="s">
        <v>112</v>
      </c>
      <c r="G467" s="1">
        <v>1605306</v>
      </c>
    </row>
    <row r="468" spans="1:7" x14ac:dyDescent="0.35">
      <c r="A468" s="1" t="str">
        <f t="shared" si="7"/>
        <v>17</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2603</v>
      </c>
      <c r="D468" s="1" t="s">
        <v>2604</v>
      </c>
      <c r="E468" s="1" t="s">
        <v>2605</v>
      </c>
      <c r="F468" s="1" t="s">
        <v>112</v>
      </c>
      <c r="G468" s="1">
        <v>1836010</v>
      </c>
    </row>
    <row r="469" spans="1:7" x14ac:dyDescent="0.35">
      <c r="A469" s="1" t="str">
        <f t="shared" si="7"/>
        <v>17</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2606</v>
      </c>
      <c r="D469" s="1" t="s">
        <v>2607</v>
      </c>
      <c r="E469" s="1" t="s">
        <v>2608</v>
      </c>
      <c r="F469" s="1" t="s">
        <v>112</v>
      </c>
      <c r="G469" s="1">
        <v>1630634</v>
      </c>
    </row>
    <row r="470" spans="1:7" x14ac:dyDescent="0.35">
      <c r="A470" s="1" t="str">
        <f t="shared" si="7"/>
        <v>17</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 t="s">
        <v>2609</v>
      </c>
      <c r="D470" s="1" t="s">
        <v>2610</v>
      </c>
      <c r="E470" s="1" t="s">
        <v>2611</v>
      </c>
      <c r="F470" s="1" t="s">
        <v>112</v>
      </c>
      <c r="G470" s="1">
        <v>1980628</v>
      </c>
    </row>
    <row r="471" spans="1:7" x14ac:dyDescent="0.35">
      <c r="A471" s="1" t="str">
        <f t="shared" si="7"/>
        <v>17</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2612</v>
      </c>
      <c r="D471" s="1" t="s">
        <v>2613</v>
      </c>
      <c r="E471" s="1" t="s">
        <v>2614</v>
      </c>
      <c r="F471" s="1" t="s">
        <v>112</v>
      </c>
      <c r="G471" s="1">
        <v>1894692</v>
      </c>
    </row>
    <row r="472" spans="1:7" x14ac:dyDescent="0.35">
      <c r="A472" s="1" t="str">
        <f t="shared" si="7"/>
        <v>17</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2615</v>
      </c>
      <c r="D472" s="1" t="s">
        <v>2616</v>
      </c>
      <c r="E472" s="1" t="s">
        <v>2617</v>
      </c>
      <c r="F472" s="1" t="s">
        <v>112</v>
      </c>
      <c r="G472" s="1">
        <v>2557605</v>
      </c>
    </row>
    <row r="473" spans="1:7" x14ac:dyDescent="0.35">
      <c r="A473" s="1" t="str">
        <f t="shared" si="7"/>
        <v>17</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 t="s">
        <v>2618</v>
      </c>
    </row>
    <row r="474" spans="1:7" x14ac:dyDescent="0.35">
      <c r="A474" s="1" t="str">
        <f t="shared" si="7"/>
        <v>17</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2619</v>
      </c>
    </row>
    <row r="475" spans="1:7" x14ac:dyDescent="0.35">
      <c r="A475" s="1" t="str">
        <f t="shared" si="7"/>
        <v>17</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2620</v>
      </c>
    </row>
    <row r="476" spans="1:7" x14ac:dyDescent="0.35">
      <c r="A476" s="1" t="str">
        <f t="shared" si="7"/>
        <v>17</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 t="s">
        <v>2621</v>
      </c>
      <c r="D476" s="1" t="s">
        <v>2622</v>
      </c>
      <c r="E476" s="1" t="s">
        <v>2623</v>
      </c>
      <c r="F476" s="1" t="s">
        <v>112</v>
      </c>
      <c r="G476" s="1">
        <v>2550965</v>
      </c>
    </row>
    <row r="477" spans="1:7" x14ac:dyDescent="0.35">
      <c r="A477" s="1" t="str">
        <f t="shared" si="7"/>
        <v>17</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2624</v>
      </c>
      <c r="D477" s="1" t="s">
        <v>2625</v>
      </c>
      <c r="E477" s="1" t="s">
        <v>2626</v>
      </c>
      <c r="F477" s="1" t="s">
        <v>112</v>
      </c>
      <c r="G477" s="1">
        <v>1817019</v>
      </c>
    </row>
    <row r="478" spans="1:7" x14ac:dyDescent="0.35">
      <c r="A478" s="1" t="str">
        <f t="shared" si="7"/>
        <v>17</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2627</v>
      </c>
      <c r="D478" s="1" t="s">
        <v>2628</v>
      </c>
      <c r="E478" s="1" t="s">
        <v>2629</v>
      </c>
      <c r="F478" s="1" t="s">
        <v>112</v>
      </c>
      <c r="G478" s="1">
        <v>1822016</v>
      </c>
    </row>
    <row r="479" spans="1:7" x14ac:dyDescent="0.35">
      <c r="A479" s="1" t="str">
        <f t="shared" si="7"/>
        <v>17</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 t="s">
        <v>2630</v>
      </c>
      <c r="D479" s="1" t="s">
        <v>2331</v>
      </c>
      <c r="E479" s="1" t="s">
        <v>2631</v>
      </c>
      <c r="F479" s="1" t="s">
        <v>112</v>
      </c>
      <c r="G479" s="1">
        <v>2984168</v>
      </c>
    </row>
    <row r="480" spans="1:7" x14ac:dyDescent="0.35">
      <c r="A480" s="1" t="str">
        <f t="shared" si="7"/>
        <v>17</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2632</v>
      </c>
      <c r="D480" s="1" t="s">
        <v>2633</v>
      </c>
      <c r="E480" s="1" t="s">
        <v>2634</v>
      </c>
      <c r="F480" s="1" t="s">
        <v>112</v>
      </c>
      <c r="G480" s="1">
        <v>2770984</v>
      </c>
    </row>
    <row r="481" spans="1:10" x14ac:dyDescent="0.35">
      <c r="A481" s="1" t="str">
        <f t="shared" si="7"/>
        <v>17</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2635</v>
      </c>
      <c r="D481" s="1" t="s">
        <v>2636</v>
      </c>
      <c r="E481" s="1" t="s">
        <v>2637</v>
      </c>
      <c r="F481" s="1" t="s">
        <v>112</v>
      </c>
      <c r="G481" s="1">
        <v>3318004</v>
      </c>
    </row>
    <row r="482" spans="1:10" x14ac:dyDescent="0.35">
      <c r="A482" s="1" t="str">
        <f t="shared" si="7"/>
        <v>17</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 t="s">
        <v>2638</v>
      </c>
      <c r="D482" s="1" t="s">
        <v>2639</v>
      </c>
      <c r="E482" s="1" t="s">
        <v>2640</v>
      </c>
      <c r="F482" s="1" t="s">
        <v>112</v>
      </c>
      <c r="G482" s="1">
        <v>1201151</v>
      </c>
    </row>
    <row r="483" spans="1:10" x14ac:dyDescent="0.35">
      <c r="A483" s="1" t="str">
        <f t="shared" si="7"/>
        <v>17</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2641</v>
      </c>
    </row>
    <row r="484" spans="1:10" x14ac:dyDescent="0.35">
      <c r="A484" s="1" t="str">
        <f t="shared" si="7"/>
        <v>17</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2642</v>
      </c>
    </row>
    <row r="485" spans="1:10" x14ac:dyDescent="0.35">
      <c r="A485" s="1" t="str">
        <f t="shared" si="7"/>
        <v>17</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2643</v>
      </c>
      <c r="D485" s="1" t="s">
        <v>2644</v>
      </c>
      <c r="E485" s="1" t="s">
        <v>2645</v>
      </c>
      <c r="F485" s="1" t="s">
        <v>112</v>
      </c>
      <c r="G485" s="1">
        <v>951066</v>
      </c>
    </row>
    <row r="486" spans="1:10" x14ac:dyDescent="0.35">
      <c r="A486" s="1" t="str">
        <f t="shared" si="7"/>
        <v>17</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2646</v>
      </c>
      <c r="D486" s="1" t="s">
        <v>2647</v>
      </c>
      <c r="E486" s="1" t="s">
        <v>2648</v>
      </c>
      <c r="F486" s="1" t="s">
        <v>112</v>
      </c>
      <c r="G486" s="1">
        <v>1036310</v>
      </c>
    </row>
    <row r="487" spans="1:10" x14ac:dyDescent="0.35">
      <c r="A487" s="1" t="str">
        <f t="shared" si="7"/>
        <v>17</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2649</v>
      </c>
      <c r="D487" s="1" t="s">
        <v>2650</v>
      </c>
      <c r="E487" s="1" t="s">
        <v>2651</v>
      </c>
      <c r="F487" s="1" t="s">
        <v>112</v>
      </c>
      <c r="G487" s="1">
        <v>1160768</v>
      </c>
    </row>
    <row r="488" spans="1:10" x14ac:dyDescent="0.3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 t="s">
        <v>112</v>
      </c>
    </row>
    <row r="489" spans="1:10" x14ac:dyDescent="0.3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237</v>
      </c>
      <c r="D489" s="1" t="s">
        <v>112</v>
      </c>
      <c r="E489" s="1" t="s">
        <v>238</v>
      </c>
      <c r="F489" s="1" t="s">
        <v>239</v>
      </c>
      <c r="G489" s="1" t="s">
        <v>240</v>
      </c>
      <c r="H489" s="1" t="s">
        <v>241</v>
      </c>
      <c r="I489" s="1" t="s">
        <v>242</v>
      </c>
      <c r="J489" s="1" t="s">
        <v>243</v>
      </c>
    </row>
    <row r="490" spans="1:10" x14ac:dyDescent="0.35">
      <c r="A490" s="1" t="str">
        <f t="shared" si="7"/>
        <v>17</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 t="s">
        <v>2652</v>
      </c>
      <c r="D490" s="1" t="s">
        <v>112</v>
      </c>
      <c r="E490" s="1" t="s">
        <v>2653</v>
      </c>
      <c r="F490" s="1" t="s">
        <v>2654</v>
      </c>
      <c r="G490" s="1" t="s">
        <v>2655</v>
      </c>
      <c r="H490" s="1" t="s">
        <v>2656</v>
      </c>
      <c r="I490" s="1">
        <v>24</v>
      </c>
      <c r="J490" s="1">
        <v>24</v>
      </c>
    </row>
    <row r="491" spans="1:10" x14ac:dyDescent="0.3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112</v>
      </c>
    </row>
    <row r="492" spans="1:10" x14ac:dyDescent="0.3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10" x14ac:dyDescent="0.3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10" x14ac:dyDescent="0.3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10" x14ac:dyDescent="0.3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10" x14ac:dyDescent="0.3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249</v>
      </c>
      <c r="D496" s="1" t="s">
        <v>110</v>
      </c>
      <c r="E496" s="1" t="s">
        <v>111</v>
      </c>
      <c r="F496" s="1" t="s">
        <v>112</v>
      </c>
      <c r="G496" s="1" t="s">
        <v>113</v>
      </c>
    </row>
    <row r="497" spans="1:7" x14ac:dyDescent="0.35">
      <c r="A497" s="1" t="str">
        <f t="shared" si="7"/>
        <v>18</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2657</v>
      </c>
      <c r="D497" s="1" t="s">
        <v>2658</v>
      </c>
      <c r="E497" s="1" t="s">
        <v>2659</v>
      </c>
      <c r="F497" s="1" t="s">
        <v>112</v>
      </c>
      <c r="G497" s="1">
        <v>1706361</v>
      </c>
    </row>
    <row r="498" spans="1:7" x14ac:dyDescent="0.35">
      <c r="A498" s="1" t="str">
        <f t="shared" si="7"/>
        <v>18</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2660</v>
      </c>
      <c r="D498" s="1" t="s">
        <v>2661</v>
      </c>
      <c r="E498" s="1" t="s">
        <v>2662</v>
      </c>
      <c r="F498" s="1" t="s">
        <v>112</v>
      </c>
      <c r="G498" s="1">
        <v>1614780</v>
      </c>
    </row>
    <row r="499" spans="1:7" x14ac:dyDescent="0.35">
      <c r="A499" s="1" t="str">
        <f t="shared" si="7"/>
        <v>18</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2663</v>
      </c>
      <c r="D499" s="1" t="s">
        <v>1297</v>
      </c>
      <c r="E499" s="1" t="s">
        <v>2664</v>
      </c>
      <c r="F499" s="1" t="s">
        <v>112</v>
      </c>
      <c r="G499" s="1">
        <v>2084668</v>
      </c>
    </row>
    <row r="500" spans="1:7" x14ac:dyDescent="0.35">
      <c r="A500" s="1" t="str">
        <f t="shared" si="7"/>
        <v>18</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2665</v>
      </c>
      <c r="D500" s="1" t="s">
        <v>2666</v>
      </c>
      <c r="E500" s="1" t="s">
        <v>2667</v>
      </c>
      <c r="F500" s="1" t="s">
        <v>112</v>
      </c>
      <c r="G500" s="1">
        <v>2254354</v>
      </c>
    </row>
    <row r="501" spans="1:7" x14ac:dyDescent="0.35">
      <c r="A501" s="1" t="str">
        <f t="shared" si="7"/>
        <v>18</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2668</v>
      </c>
      <c r="D501" s="1" t="s">
        <v>2669</v>
      </c>
      <c r="E501" s="1" t="s">
        <v>2670</v>
      </c>
      <c r="F501" s="1" t="s">
        <v>112</v>
      </c>
      <c r="G501" s="1">
        <v>2347017</v>
      </c>
    </row>
    <row r="502" spans="1:7" x14ac:dyDescent="0.35">
      <c r="A502" s="1" t="str">
        <f t="shared" si="7"/>
        <v>18</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2671</v>
      </c>
      <c r="D502" s="1" t="s">
        <v>2672</v>
      </c>
      <c r="E502" s="1" t="s">
        <v>2673</v>
      </c>
      <c r="F502" s="1" t="s">
        <v>112</v>
      </c>
      <c r="G502" s="1">
        <v>2470134</v>
      </c>
    </row>
    <row r="503" spans="1:7" x14ac:dyDescent="0.35">
      <c r="A503" s="1" t="str">
        <f t="shared" si="7"/>
        <v>18</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2674</v>
      </c>
      <c r="D503" s="1" t="s">
        <v>2675</v>
      </c>
      <c r="E503" s="1" t="s">
        <v>2676</v>
      </c>
      <c r="F503" s="1" t="s">
        <v>112</v>
      </c>
      <c r="G503" s="1">
        <v>1309993</v>
      </c>
    </row>
    <row r="504" spans="1:7" x14ac:dyDescent="0.35">
      <c r="A504" s="1" t="str">
        <f t="shared" si="7"/>
        <v>18</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2677</v>
      </c>
      <c r="D504" s="1" t="s">
        <v>2678</v>
      </c>
      <c r="E504" s="1" t="s">
        <v>2679</v>
      </c>
      <c r="F504" s="1" t="s">
        <v>112</v>
      </c>
      <c r="G504" s="1">
        <v>1194078</v>
      </c>
    </row>
    <row r="505" spans="1:7" x14ac:dyDescent="0.35">
      <c r="A505" s="1" t="str">
        <f t="shared" si="7"/>
        <v>18</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2680</v>
      </c>
      <c r="D505" s="1" t="s">
        <v>2681</v>
      </c>
      <c r="E505" s="1" t="s">
        <v>2682</v>
      </c>
      <c r="F505" s="1" t="s">
        <v>112</v>
      </c>
      <c r="G505" s="1">
        <v>1109592</v>
      </c>
    </row>
    <row r="506" spans="1:7" x14ac:dyDescent="0.35">
      <c r="A506" s="1" t="str">
        <f t="shared" si="7"/>
        <v>18</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 t="s">
        <v>2683</v>
      </c>
      <c r="D506" s="1" t="s">
        <v>2684</v>
      </c>
      <c r="E506" s="1" t="s">
        <v>2685</v>
      </c>
      <c r="F506" s="1" t="s">
        <v>112</v>
      </c>
      <c r="G506" s="1">
        <v>1222868</v>
      </c>
    </row>
    <row r="507" spans="1:7" x14ac:dyDescent="0.35">
      <c r="A507" s="1" t="str">
        <f t="shared" si="7"/>
        <v>18</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2686</v>
      </c>
      <c r="D507" s="1" t="s">
        <v>2675</v>
      </c>
      <c r="E507" s="1" t="s">
        <v>2687</v>
      </c>
      <c r="F507" s="1" t="s">
        <v>112</v>
      </c>
      <c r="G507" s="1">
        <v>1289704</v>
      </c>
    </row>
    <row r="508" spans="1:7" x14ac:dyDescent="0.35">
      <c r="A508" s="1" t="str">
        <f t="shared" si="7"/>
        <v>18</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2688</v>
      </c>
      <c r="D508" s="1" t="s">
        <v>2689</v>
      </c>
      <c r="E508" s="1" t="s">
        <v>2690</v>
      </c>
      <c r="F508" s="1" t="s">
        <v>112</v>
      </c>
      <c r="G508" s="1">
        <v>956928</v>
      </c>
    </row>
    <row r="509" spans="1:7" x14ac:dyDescent="0.35">
      <c r="A509" s="1" t="str">
        <f t="shared" si="7"/>
        <v>18</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 t="s">
        <v>2691</v>
      </c>
      <c r="D509" s="1" t="s">
        <v>2692</v>
      </c>
      <c r="E509" s="1" t="s">
        <v>2693</v>
      </c>
      <c r="F509" s="1" t="s">
        <v>112</v>
      </c>
      <c r="G509" s="1">
        <v>2774207</v>
      </c>
    </row>
    <row r="510" spans="1:7" x14ac:dyDescent="0.35">
      <c r="A510" s="1" t="str">
        <f t="shared" si="7"/>
        <v>18</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2694</v>
      </c>
      <c r="D510" s="1" t="s">
        <v>2568</v>
      </c>
      <c r="E510" s="1" t="s">
        <v>2695</v>
      </c>
      <c r="F510" s="1" t="s">
        <v>112</v>
      </c>
      <c r="G510" s="1">
        <v>2707522</v>
      </c>
    </row>
    <row r="511" spans="1:7" x14ac:dyDescent="0.35">
      <c r="A511" s="1" t="str">
        <f t="shared" si="7"/>
        <v>18</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2696</v>
      </c>
      <c r="D511" s="1" t="s">
        <v>422</v>
      </c>
      <c r="E511" s="1" t="s">
        <v>2697</v>
      </c>
      <c r="F511" s="1" t="s">
        <v>112</v>
      </c>
      <c r="G511" s="1">
        <v>3248096</v>
      </c>
    </row>
    <row r="512" spans="1:7" x14ac:dyDescent="0.35">
      <c r="A512" s="1" t="str">
        <f t="shared" si="7"/>
        <v>18</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 t="s">
        <v>2698</v>
      </c>
      <c r="D512" s="1" t="s">
        <v>2699</v>
      </c>
      <c r="E512" s="1" t="s">
        <v>2700</v>
      </c>
      <c r="F512" s="1" t="s">
        <v>112</v>
      </c>
      <c r="G512" s="1">
        <v>779412</v>
      </c>
    </row>
    <row r="513" spans="1:10" x14ac:dyDescent="0.35">
      <c r="A513" s="1" t="str">
        <f t="shared" si="7"/>
        <v>18</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2701</v>
      </c>
      <c r="D513" s="1" t="s">
        <v>2702</v>
      </c>
      <c r="E513" s="1" t="s">
        <v>2703</v>
      </c>
      <c r="F513" s="1" t="s">
        <v>112</v>
      </c>
      <c r="G513" s="1">
        <v>927122</v>
      </c>
    </row>
    <row r="514" spans="1:10" x14ac:dyDescent="0.35">
      <c r="A514" s="1" t="str">
        <f t="shared" ref="A514:A577" si="8">IFERROR(LEFT(RIGHT(C514,LEN(C514)-SEARCH("@",C514)),SEARCH("/",RIGHT(C514,LEN(C514)-SEARCH("@",C514)-1))),"")</f>
        <v>18</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2704</v>
      </c>
      <c r="D514" s="1" t="s">
        <v>2705</v>
      </c>
      <c r="E514" s="1" t="s">
        <v>2706</v>
      </c>
      <c r="F514" s="1" t="s">
        <v>112</v>
      </c>
      <c r="G514" s="1">
        <v>744674</v>
      </c>
    </row>
    <row r="515" spans="1:10" x14ac:dyDescent="0.35">
      <c r="A515" s="1" t="str">
        <f t="shared" si="8"/>
        <v>18</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 t="s">
        <v>2707</v>
      </c>
      <c r="D515" s="1" t="s">
        <v>2708</v>
      </c>
      <c r="E515" s="1" t="s">
        <v>2709</v>
      </c>
      <c r="F515" s="1" t="s">
        <v>112</v>
      </c>
      <c r="G515" s="1">
        <v>2123450</v>
      </c>
    </row>
    <row r="516" spans="1:10" x14ac:dyDescent="0.35">
      <c r="A516" s="1" t="str">
        <f t="shared" si="8"/>
        <v>18</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2710</v>
      </c>
      <c r="D516" s="1" t="s">
        <v>2711</v>
      </c>
      <c r="E516" s="1" t="s">
        <v>2712</v>
      </c>
      <c r="F516" s="1" t="s">
        <v>112</v>
      </c>
      <c r="G516" s="1">
        <v>2252689</v>
      </c>
    </row>
    <row r="517" spans="1:10" x14ac:dyDescent="0.35">
      <c r="A517" s="1" t="str">
        <f t="shared" si="8"/>
        <v>18</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2713</v>
      </c>
    </row>
    <row r="518" spans="1:10" x14ac:dyDescent="0.35">
      <c r="A518" s="1" t="str">
        <f t="shared" si="8"/>
        <v>18</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 t="s">
        <v>2714</v>
      </c>
      <c r="D518" s="1" t="s">
        <v>1163</v>
      </c>
      <c r="E518" s="1" t="s">
        <v>2715</v>
      </c>
      <c r="F518" s="1" t="s">
        <v>112</v>
      </c>
      <c r="G518" s="1">
        <v>2193509</v>
      </c>
    </row>
    <row r="519" spans="1:10" x14ac:dyDescent="0.35">
      <c r="A519" s="1" t="str">
        <f t="shared" si="8"/>
        <v>18</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2716</v>
      </c>
      <c r="D519" s="1" t="s">
        <v>2717</v>
      </c>
      <c r="E519" s="1" t="s">
        <v>2718</v>
      </c>
      <c r="F519" s="1" t="s">
        <v>112</v>
      </c>
      <c r="G519" s="1">
        <v>2047075</v>
      </c>
    </row>
    <row r="520" spans="1:10" x14ac:dyDescent="0.35">
      <c r="A520" s="1" t="str">
        <f t="shared" si="8"/>
        <v>18</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2719</v>
      </c>
      <c r="D520" s="1" t="s">
        <v>2720</v>
      </c>
      <c r="E520" s="1" t="s">
        <v>2721</v>
      </c>
      <c r="F520" s="1" t="s">
        <v>112</v>
      </c>
      <c r="G520" s="1">
        <v>1862356</v>
      </c>
    </row>
    <row r="521" spans="1:10" x14ac:dyDescent="0.3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 t="s">
        <v>112</v>
      </c>
    </row>
    <row r="522" spans="1:10" x14ac:dyDescent="0.3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237</v>
      </c>
      <c r="D522" s="1" t="s">
        <v>112</v>
      </c>
      <c r="E522" s="1" t="s">
        <v>238</v>
      </c>
      <c r="F522" s="1" t="s">
        <v>239</v>
      </c>
      <c r="G522" s="1" t="s">
        <v>240</v>
      </c>
      <c r="H522" s="1" t="s">
        <v>241</v>
      </c>
      <c r="I522" s="1" t="s">
        <v>242</v>
      </c>
      <c r="J522" s="1" t="s">
        <v>243</v>
      </c>
    </row>
    <row r="523" spans="1:10" x14ac:dyDescent="0.35">
      <c r="A523" s="1" t="str">
        <f t="shared" si="8"/>
        <v>18</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 t="s">
        <v>2722</v>
      </c>
      <c r="D523" s="1" t="s">
        <v>112</v>
      </c>
      <c r="E523" s="1" t="s">
        <v>2723</v>
      </c>
      <c r="F523" s="1" t="s">
        <v>2724</v>
      </c>
      <c r="G523" s="1" t="s">
        <v>2725</v>
      </c>
      <c r="H523" s="1" t="s">
        <v>2726</v>
      </c>
      <c r="I523" s="1">
        <v>24</v>
      </c>
      <c r="J523" s="1">
        <v>24</v>
      </c>
    </row>
    <row r="524" spans="1:10" x14ac:dyDescent="0.3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 t="s">
        <v>112</v>
      </c>
    </row>
    <row r="525" spans="1:10" x14ac:dyDescent="0.3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10" x14ac:dyDescent="0.3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10" x14ac:dyDescent="0.3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10" x14ac:dyDescent="0.3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3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249</v>
      </c>
      <c r="D529" s="1" t="s">
        <v>110</v>
      </c>
      <c r="E529" s="1" t="s">
        <v>111</v>
      </c>
      <c r="F529" s="1" t="s">
        <v>112</v>
      </c>
      <c r="G529" s="1" t="s">
        <v>113</v>
      </c>
    </row>
    <row r="530" spans="1:7" x14ac:dyDescent="0.35">
      <c r="A530" s="1" t="str">
        <f t="shared" si="8"/>
        <v>19</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 t="s">
        <v>2727</v>
      </c>
      <c r="D530" s="1" t="s">
        <v>2728</v>
      </c>
      <c r="E530" s="1" t="s">
        <v>2729</v>
      </c>
      <c r="F530" s="1" t="s">
        <v>112</v>
      </c>
      <c r="G530" s="1">
        <v>927663</v>
      </c>
    </row>
    <row r="531" spans="1:7" x14ac:dyDescent="0.35">
      <c r="A531" s="1" t="str">
        <f t="shared" si="8"/>
        <v>19</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2730</v>
      </c>
      <c r="D531" s="1" t="s">
        <v>2731</v>
      </c>
      <c r="E531" s="1" t="s">
        <v>2732</v>
      </c>
      <c r="F531" s="1" t="s">
        <v>112</v>
      </c>
      <c r="G531" s="1">
        <v>1095035</v>
      </c>
    </row>
    <row r="532" spans="1:7" x14ac:dyDescent="0.35">
      <c r="A532" s="1" t="str">
        <f t="shared" si="8"/>
        <v>19</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2733</v>
      </c>
      <c r="D532" s="1" t="s">
        <v>2734</v>
      </c>
      <c r="E532" s="1" t="s">
        <v>2735</v>
      </c>
      <c r="F532" s="1" t="s">
        <v>112</v>
      </c>
      <c r="G532" s="1">
        <v>1349532</v>
      </c>
    </row>
    <row r="533" spans="1:7" x14ac:dyDescent="0.35">
      <c r="A533" s="1" t="str">
        <f t="shared" si="8"/>
        <v>19</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 t="s">
        <v>2736</v>
      </c>
      <c r="D533" s="1" t="s">
        <v>2737</v>
      </c>
      <c r="E533" s="1" t="s">
        <v>2738</v>
      </c>
      <c r="F533" s="1" t="s">
        <v>112</v>
      </c>
      <c r="G533" s="1">
        <v>267108</v>
      </c>
    </row>
    <row r="534" spans="1:7" x14ac:dyDescent="0.35">
      <c r="A534" s="1" t="str">
        <f t="shared" si="8"/>
        <v>19</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2739</v>
      </c>
      <c r="D534" s="1" t="s">
        <v>1625</v>
      </c>
      <c r="E534" s="1" t="s">
        <v>2740</v>
      </c>
      <c r="F534" s="1" t="s">
        <v>112</v>
      </c>
      <c r="G534" s="1">
        <v>449534</v>
      </c>
    </row>
    <row r="535" spans="1:7" x14ac:dyDescent="0.35">
      <c r="A535" s="1" t="str">
        <f t="shared" si="8"/>
        <v>19</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2741</v>
      </c>
      <c r="D535" s="1" t="s">
        <v>2742</v>
      </c>
      <c r="E535" s="1" t="s">
        <v>2743</v>
      </c>
      <c r="F535" s="1" t="s">
        <v>112</v>
      </c>
      <c r="G535" s="1">
        <v>429570</v>
      </c>
    </row>
    <row r="536" spans="1:7" x14ac:dyDescent="0.35">
      <c r="A536" s="1" t="str">
        <f t="shared" si="8"/>
        <v>19</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 t="s">
        <v>2744</v>
      </c>
      <c r="D536" s="1" t="s">
        <v>2745</v>
      </c>
      <c r="E536" s="1" t="s">
        <v>2746</v>
      </c>
      <c r="F536" s="1" t="s">
        <v>112</v>
      </c>
      <c r="G536" s="1">
        <v>1829716</v>
      </c>
    </row>
    <row r="537" spans="1:7" x14ac:dyDescent="0.35">
      <c r="A537" s="1" t="str">
        <f t="shared" si="8"/>
        <v>19</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2747</v>
      </c>
      <c r="D537" s="1" t="s">
        <v>2748</v>
      </c>
      <c r="E537" s="1" t="s">
        <v>2749</v>
      </c>
      <c r="F537" s="1" t="s">
        <v>112</v>
      </c>
      <c r="G537" s="1">
        <v>1934361</v>
      </c>
    </row>
    <row r="538" spans="1:7" x14ac:dyDescent="0.35">
      <c r="A538" s="1" t="str">
        <f t="shared" si="8"/>
        <v>19</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2750</v>
      </c>
      <c r="D538" s="1" t="s">
        <v>2751</v>
      </c>
      <c r="E538" s="1" t="s">
        <v>2752</v>
      </c>
      <c r="F538" s="1" t="s">
        <v>112</v>
      </c>
      <c r="G538" s="1">
        <v>2023736</v>
      </c>
    </row>
    <row r="539" spans="1:7" x14ac:dyDescent="0.35">
      <c r="A539" s="1" t="str">
        <f t="shared" si="8"/>
        <v>19</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 t="s">
        <v>2753</v>
      </c>
      <c r="D539" s="1" t="s">
        <v>2754</v>
      </c>
      <c r="E539" s="1" t="s">
        <v>2755</v>
      </c>
      <c r="F539" s="1" t="s">
        <v>112</v>
      </c>
      <c r="G539" s="1">
        <v>769657</v>
      </c>
    </row>
    <row r="540" spans="1:7" x14ac:dyDescent="0.35">
      <c r="A540" s="1" t="str">
        <f t="shared" si="8"/>
        <v>19</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2756</v>
      </c>
      <c r="D540" s="1" t="s">
        <v>2757</v>
      </c>
      <c r="E540" s="1" t="s">
        <v>2758</v>
      </c>
      <c r="F540" s="1" t="s">
        <v>112</v>
      </c>
      <c r="G540" s="1">
        <v>921174</v>
      </c>
    </row>
    <row r="541" spans="1:7" x14ac:dyDescent="0.35">
      <c r="A541" s="1" t="str">
        <f t="shared" si="8"/>
        <v>19</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2759</v>
      </c>
      <c r="D541" s="1" t="s">
        <v>2760</v>
      </c>
      <c r="E541" s="1" t="s">
        <v>2761</v>
      </c>
      <c r="F541" s="1" t="s">
        <v>112</v>
      </c>
      <c r="G541" s="1">
        <v>973864</v>
      </c>
    </row>
    <row r="542" spans="1:7" x14ac:dyDescent="0.35">
      <c r="A542" s="1" t="str">
        <f t="shared" si="8"/>
        <v>19</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 t="s">
        <v>2762</v>
      </c>
      <c r="D542" s="1" t="s">
        <v>2763</v>
      </c>
      <c r="E542" s="1" t="s">
        <v>2764</v>
      </c>
      <c r="F542" s="1" t="s">
        <v>112</v>
      </c>
      <c r="G542" s="1">
        <v>3671437</v>
      </c>
    </row>
    <row r="543" spans="1:7" x14ac:dyDescent="0.35">
      <c r="A543" s="1" t="str">
        <f t="shared" si="8"/>
        <v>19</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2765</v>
      </c>
      <c r="D543" s="1" t="s">
        <v>2766</v>
      </c>
      <c r="E543" s="1" t="s">
        <v>2767</v>
      </c>
      <c r="F543" s="1" t="s">
        <v>112</v>
      </c>
      <c r="G543" s="1">
        <v>3399527</v>
      </c>
    </row>
    <row r="544" spans="1:7" x14ac:dyDescent="0.35">
      <c r="A544" s="1" t="str">
        <f t="shared" si="8"/>
        <v>19</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2768</v>
      </c>
      <c r="D544" s="1" t="s">
        <v>2769</v>
      </c>
      <c r="E544" s="1" t="s">
        <v>2770</v>
      </c>
      <c r="F544" s="1" t="s">
        <v>112</v>
      </c>
      <c r="G544" s="1">
        <v>3389707</v>
      </c>
    </row>
    <row r="545" spans="1:10" x14ac:dyDescent="0.35">
      <c r="A545" s="1" t="str">
        <f t="shared" si="8"/>
        <v>19</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 t="s">
        <v>2771</v>
      </c>
      <c r="D545" s="1" t="s">
        <v>2772</v>
      </c>
      <c r="E545" s="1" t="s">
        <v>2773</v>
      </c>
      <c r="F545" s="1" t="s">
        <v>112</v>
      </c>
      <c r="G545" s="1">
        <v>1492073</v>
      </c>
    </row>
    <row r="546" spans="1:10" x14ac:dyDescent="0.35">
      <c r="A546" s="1" t="str">
        <f t="shared" si="8"/>
        <v>19</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2774</v>
      </c>
      <c r="D546" s="1" t="s">
        <v>2775</v>
      </c>
      <c r="E546" s="1" t="s">
        <v>2776</v>
      </c>
      <c r="F546" s="1" t="s">
        <v>112</v>
      </c>
      <c r="G546" s="1">
        <v>1497308</v>
      </c>
    </row>
    <row r="547" spans="1:10" x14ac:dyDescent="0.35">
      <c r="A547" s="1" t="str">
        <f t="shared" si="8"/>
        <v>19</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2777</v>
      </c>
      <c r="D547" s="1" t="s">
        <v>1142</v>
      </c>
      <c r="E547" s="1" t="s">
        <v>2778</v>
      </c>
      <c r="F547" s="1" t="s">
        <v>112</v>
      </c>
      <c r="G547" s="1">
        <v>1575846</v>
      </c>
    </row>
    <row r="548" spans="1:10" x14ac:dyDescent="0.35">
      <c r="A548" s="1" t="str">
        <f t="shared" si="8"/>
        <v>19</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 t="s">
        <v>2779</v>
      </c>
      <c r="D548" s="1" t="s">
        <v>2780</v>
      </c>
      <c r="E548" s="1" t="s">
        <v>2781</v>
      </c>
      <c r="F548" s="1" t="s">
        <v>112</v>
      </c>
      <c r="G548" s="1">
        <v>449188</v>
      </c>
    </row>
    <row r="549" spans="1:10" x14ac:dyDescent="0.35">
      <c r="A549" s="1" t="str">
        <f t="shared" si="8"/>
        <v>19</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2782</v>
      </c>
      <c r="D549" s="1" t="s">
        <v>1055</v>
      </c>
      <c r="E549" s="1" t="s">
        <v>2783</v>
      </c>
      <c r="F549" s="1" t="s">
        <v>112</v>
      </c>
      <c r="G549" s="1">
        <v>420420</v>
      </c>
    </row>
    <row r="550" spans="1:10" x14ac:dyDescent="0.35">
      <c r="A550" s="1" t="str">
        <f t="shared" si="8"/>
        <v>19</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2784</v>
      </c>
      <c r="D550" s="1" t="s">
        <v>2785</v>
      </c>
      <c r="E550" s="1" t="s">
        <v>2786</v>
      </c>
      <c r="F550" s="1" t="s">
        <v>112</v>
      </c>
      <c r="G550" s="1">
        <v>486867</v>
      </c>
    </row>
    <row r="551" spans="1:10" x14ac:dyDescent="0.35">
      <c r="A551" s="1" t="str">
        <f t="shared" si="8"/>
        <v>19</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 t="s">
        <v>2787</v>
      </c>
      <c r="D551" s="1" t="s">
        <v>2788</v>
      </c>
      <c r="E551" s="1" t="s">
        <v>2789</v>
      </c>
      <c r="F551" s="1" t="s">
        <v>112</v>
      </c>
      <c r="G551" s="1">
        <v>1438128</v>
      </c>
    </row>
    <row r="552" spans="1:10" x14ac:dyDescent="0.35">
      <c r="A552" s="1" t="str">
        <f t="shared" si="8"/>
        <v>19</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2790</v>
      </c>
      <c r="D552" s="1" t="s">
        <v>2791</v>
      </c>
      <c r="E552" s="1" t="s">
        <v>2792</v>
      </c>
      <c r="F552" s="1" t="s">
        <v>112</v>
      </c>
      <c r="G552" s="1">
        <v>1549436</v>
      </c>
    </row>
    <row r="553" spans="1:10" x14ac:dyDescent="0.35">
      <c r="A553" s="1" t="str">
        <f t="shared" si="8"/>
        <v>19</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2793</v>
      </c>
      <c r="D553" s="1" t="s">
        <v>2794</v>
      </c>
      <c r="E553" s="1" t="s">
        <v>2795</v>
      </c>
      <c r="F553" s="1" t="s">
        <v>112</v>
      </c>
      <c r="G553" s="1">
        <v>1464668</v>
      </c>
    </row>
    <row r="554" spans="1:10" x14ac:dyDescent="0.3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 t="s">
        <v>112</v>
      </c>
    </row>
    <row r="555" spans="1:10" x14ac:dyDescent="0.3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237</v>
      </c>
      <c r="D555" s="1" t="s">
        <v>112</v>
      </c>
      <c r="E555" s="1" t="s">
        <v>238</v>
      </c>
      <c r="F555" s="1" t="s">
        <v>239</v>
      </c>
      <c r="G555" s="1" t="s">
        <v>240</v>
      </c>
      <c r="H555" s="1" t="s">
        <v>241</v>
      </c>
      <c r="I555" s="1" t="s">
        <v>242</v>
      </c>
      <c r="J555" s="1" t="s">
        <v>243</v>
      </c>
    </row>
    <row r="556" spans="1:10" x14ac:dyDescent="0.35">
      <c r="A556" s="1" t="str">
        <f t="shared" si="8"/>
        <v>19</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 t="s">
        <v>2796</v>
      </c>
      <c r="D556" s="1" t="s">
        <v>112</v>
      </c>
      <c r="E556" s="1" t="s">
        <v>2797</v>
      </c>
      <c r="F556" s="1" t="s">
        <v>2798</v>
      </c>
      <c r="G556" s="1" t="s">
        <v>2799</v>
      </c>
      <c r="H556" s="1" t="s">
        <v>2800</v>
      </c>
      <c r="I556" s="1">
        <v>24</v>
      </c>
      <c r="J556" s="1">
        <v>24</v>
      </c>
    </row>
    <row r="557" spans="1:10" x14ac:dyDescent="0.3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 t="s">
        <v>112</v>
      </c>
    </row>
    <row r="558" spans="1:10" x14ac:dyDescent="0.3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10" x14ac:dyDescent="0.3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10" x14ac:dyDescent="0.3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3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3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249</v>
      </c>
      <c r="D562" s="1" t="s">
        <v>110</v>
      </c>
      <c r="E562" s="1" t="s">
        <v>111</v>
      </c>
      <c r="F562" s="1" t="s">
        <v>112</v>
      </c>
      <c r="G562" s="1" t="s">
        <v>113</v>
      </c>
    </row>
    <row r="563" spans="1:7" x14ac:dyDescent="0.35">
      <c r="A563" s="1" t="str">
        <f t="shared" si="8"/>
        <v>20</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 t="s">
        <v>2801</v>
      </c>
      <c r="D563" s="1" t="s">
        <v>2802</v>
      </c>
      <c r="E563" s="1" t="s">
        <v>2803</v>
      </c>
      <c r="F563" s="1" t="s">
        <v>112</v>
      </c>
      <c r="G563" s="1">
        <v>1781979</v>
      </c>
    </row>
    <row r="564" spans="1:7" x14ac:dyDescent="0.35">
      <c r="A564" s="1" t="str">
        <f t="shared" si="8"/>
        <v>20</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2804</v>
      </c>
      <c r="D564" s="1" t="s">
        <v>2805</v>
      </c>
      <c r="E564" s="1" t="s">
        <v>2806</v>
      </c>
      <c r="F564" s="1" t="s">
        <v>112</v>
      </c>
      <c r="G564" s="1">
        <v>1986987</v>
      </c>
    </row>
    <row r="565" spans="1:7" x14ac:dyDescent="0.35">
      <c r="A565" s="1" t="str">
        <f t="shared" si="8"/>
        <v>20</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2807</v>
      </c>
      <c r="D565" s="1" t="s">
        <v>2808</v>
      </c>
      <c r="E565" s="1" t="s">
        <v>2809</v>
      </c>
      <c r="F565" s="1" t="s">
        <v>112</v>
      </c>
      <c r="G565" s="1">
        <v>2458519</v>
      </c>
    </row>
    <row r="566" spans="1:7" x14ac:dyDescent="0.35">
      <c r="A566" s="1" t="str">
        <f t="shared" si="8"/>
        <v>20</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 t="s">
        <v>2810</v>
      </c>
      <c r="D566" s="1" t="s">
        <v>2811</v>
      </c>
      <c r="E566" s="1" t="s">
        <v>2812</v>
      </c>
      <c r="F566" s="1" t="s">
        <v>112</v>
      </c>
      <c r="G566" s="1">
        <v>1748517</v>
      </c>
    </row>
    <row r="567" spans="1:7" x14ac:dyDescent="0.35">
      <c r="A567" s="1" t="str">
        <f t="shared" si="8"/>
        <v>20</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2813</v>
      </c>
      <c r="D567" s="1" t="s">
        <v>2814</v>
      </c>
      <c r="E567" s="1" t="s">
        <v>2815</v>
      </c>
      <c r="F567" s="1" t="s">
        <v>112</v>
      </c>
      <c r="G567" s="1">
        <v>2031372</v>
      </c>
    </row>
    <row r="568" spans="1:7" x14ac:dyDescent="0.35">
      <c r="A568" s="1" t="str">
        <f t="shared" si="8"/>
        <v>20</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2816</v>
      </c>
      <c r="D568" s="1" t="s">
        <v>2817</v>
      </c>
      <c r="E568" s="1" t="s">
        <v>2818</v>
      </c>
      <c r="F568" s="1" t="s">
        <v>112</v>
      </c>
      <c r="G568" s="1">
        <v>2150336</v>
      </c>
    </row>
    <row r="569" spans="1:7" x14ac:dyDescent="0.35">
      <c r="A569" s="1" t="str">
        <f t="shared" si="8"/>
        <v>20</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 t="s">
        <v>2819</v>
      </c>
      <c r="D569" s="1" t="s">
        <v>2820</v>
      </c>
      <c r="E569" s="1" t="s">
        <v>2821</v>
      </c>
      <c r="F569" s="1" t="s">
        <v>112</v>
      </c>
      <c r="G569" s="1">
        <v>2722490</v>
      </c>
    </row>
    <row r="570" spans="1:7" x14ac:dyDescent="0.35">
      <c r="A570" s="1" t="str">
        <f t="shared" si="8"/>
        <v>20</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2822</v>
      </c>
      <c r="D570" s="1" t="s">
        <v>1195</v>
      </c>
      <c r="E570" s="1" t="s">
        <v>2823</v>
      </c>
      <c r="F570" s="1" t="s">
        <v>112</v>
      </c>
      <c r="G570" s="1">
        <v>2999937</v>
      </c>
    </row>
    <row r="571" spans="1:7" x14ac:dyDescent="0.35">
      <c r="A571" s="1" t="str">
        <f t="shared" si="8"/>
        <v>20</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2824</v>
      </c>
      <c r="D571" s="1" t="s">
        <v>2825</v>
      </c>
      <c r="E571" s="1" t="s">
        <v>2826</v>
      </c>
      <c r="F571" s="1" t="s">
        <v>112</v>
      </c>
      <c r="G571" s="1">
        <v>3110336</v>
      </c>
    </row>
    <row r="572" spans="1:7" x14ac:dyDescent="0.35">
      <c r="A572" s="1" t="str">
        <f t="shared" si="8"/>
        <v>20</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 t="s">
        <v>2827</v>
      </c>
      <c r="D572" s="1" t="s">
        <v>2828</v>
      </c>
      <c r="E572" s="1" t="s">
        <v>2829</v>
      </c>
      <c r="F572" s="1" t="s">
        <v>112</v>
      </c>
      <c r="G572" s="1">
        <v>2473162</v>
      </c>
    </row>
    <row r="573" spans="1:7" x14ac:dyDescent="0.35">
      <c r="A573" s="1" t="str">
        <f t="shared" si="8"/>
        <v>20</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2830</v>
      </c>
      <c r="D573" s="1" t="s">
        <v>2672</v>
      </c>
      <c r="E573" s="1" t="s">
        <v>2831</v>
      </c>
      <c r="F573" s="1" t="s">
        <v>112</v>
      </c>
      <c r="G573" s="1">
        <v>2498945</v>
      </c>
    </row>
    <row r="574" spans="1:7" x14ac:dyDescent="0.35">
      <c r="A574" s="1" t="str">
        <f t="shared" si="8"/>
        <v>20</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2832</v>
      </c>
      <c r="D574" s="1" t="s">
        <v>2833</v>
      </c>
      <c r="E574" s="1" t="s">
        <v>2834</v>
      </c>
      <c r="F574" s="1" t="s">
        <v>112</v>
      </c>
      <c r="G574" s="1">
        <v>2654637</v>
      </c>
    </row>
    <row r="575" spans="1:7" x14ac:dyDescent="0.35">
      <c r="A575" s="1" t="str">
        <f t="shared" si="8"/>
        <v>20</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 t="s">
        <v>2835</v>
      </c>
      <c r="D575" s="1" t="s">
        <v>2836</v>
      </c>
      <c r="E575" s="1" t="s">
        <v>2837</v>
      </c>
      <c r="F575" s="1" t="s">
        <v>112</v>
      </c>
      <c r="G575" s="1">
        <v>1520127</v>
      </c>
    </row>
    <row r="576" spans="1:7" x14ac:dyDescent="0.35">
      <c r="A576" s="1" t="str">
        <f t="shared" si="8"/>
        <v>20</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2838</v>
      </c>
      <c r="D576" s="1" t="s">
        <v>2839</v>
      </c>
      <c r="E576" s="1" t="s">
        <v>2840</v>
      </c>
      <c r="F576" s="1" t="s">
        <v>112</v>
      </c>
      <c r="G576" s="1">
        <v>1641038</v>
      </c>
    </row>
    <row r="577" spans="1:10" x14ac:dyDescent="0.35">
      <c r="A577" s="1" t="str">
        <f t="shared" si="8"/>
        <v>20</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2841</v>
      </c>
      <c r="D577" s="1" t="s">
        <v>2842</v>
      </c>
      <c r="E577" s="1" t="s">
        <v>2843</v>
      </c>
      <c r="F577" s="1" t="s">
        <v>112</v>
      </c>
      <c r="G577" s="1">
        <v>1866292</v>
      </c>
    </row>
    <row r="578" spans="1:10" x14ac:dyDescent="0.35">
      <c r="A578" s="1" t="str">
        <f t="shared" ref="A578:A641" si="9">IFERROR(LEFT(RIGHT(C578,LEN(C578)-SEARCH("@",C578)),SEARCH("/",RIGHT(C578,LEN(C578)-SEARCH("@",C578)-1))),"")</f>
        <v>20</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 t="s">
        <v>2844</v>
      </c>
      <c r="D578" s="1" t="s">
        <v>2814</v>
      </c>
      <c r="E578" s="1" t="s">
        <v>2845</v>
      </c>
      <c r="F578" s="1" t="s">
        <v>112</v>
      </c>
      <c r="G578" s="1">
        <v>2085727</v>
      </c>
    </row>
    <row r="579" spans="1:10" x14ac:dyDescent="0.35">
      <c r="A579" s="1" t="str">
        <f t="shared" si="9"/>
        <v>20</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2846</v>
      </c>
      <c r="D579" s="1" t="s">
        <v>2847</v>
      </c>
      <c r="E579" s="1" t="s">
        <v>2848</v>
      </c>
      <c r="F579" s="1" t="s">
        <v>112</v>
      </c>
      <c r="G579" s="1">
        <v>1707075</v>
      </c>
    </row>
    <row r="580" spans="1:10" x14ac:dyDescent="0.35">
      <c r="A580" s="1" t="str">
        <f t="shared" si="9"/>
        <v>20</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2849</v>
      </c>
      <c r="D580" s="1" t="s">
        <v>2850</v>
      </c>
      <c r="E580" s="1" t="s">
        <v>2851</v>
      </c>
      <c r="F580" s="1" t="s">
        <v>112</v>
      </c>
      <c r="G580" s="1">
        <v>1672077</v>
      </c>
    </row>
    <row r="581" spans="1:10" x14ac:dyDescent="0.35">
      <c r="A581" s="1" t="str">
        <f t="shared" si="9"/>
        <v>20</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 t="s">
        <v>2852</v>
      </c>
      <c r="D581" s="1" t="s">
        <v>2853</v>
      </c>
      <c r="E581" s="1" t="s">
        <v>2854</v>
      </c>
      <c r="F581" s="1" t="s">
        <v>112</v>
      </c>
      <c r="G581" s="1">
        <v>1836811</v>
      </c>
    </row>
    <row r="582" spans="1:10" x14ac:dyDescent="0.35">
      <c r="A582" s="1" t="str">
        <f t="shared" si="9"/>
        <v>20</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2855</v>
      </c>
      <c r="D582" s="1" t="s">
        <v>2308</v>
      </c>
      <c r="E582" s="1" t="s">
        <v>2856</v>
      </c>
      <c r="F582" s="1" t="s">
        <v>112</v>
      </c>
      <c r="G582" s="1">
        <v>2501822</v>
      </c>
    </row>
    <row r="583" spans="1:10" x14ac:dyDescent="0.35">
      <c r="A583" s="1" t="str">
        <f t="shared" si="9"/>
        <v>20</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2857</v>
      </c>
      <c r="D583" s="1" t="s">
        <v>2858</v>
      </c>
      <c r="E583" s="1" t="s">
        <v>2859</v>
      </c>
      <c r="F583" s="1" t="s">
        <v>112</v>
      </c>
      <c r="G583" s="1">
        <v>2029468</v>
      </c>
    </row>
    <row r="584" spans="1:10" x14ac:dyDescent="0.35">
      <c r="A584" s="1" t="str">
        <f t="shared" si="9"/>
        <v>20</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 t="s">
        <v>2860</v>
      </c>
      <c r="D584" s="1" t="s">
        <v>2861</v>
      </c>
      <c r="E584" s="1" t="s">
        <v>2862</v>
      </c>
      <c r="F584" s="1" t="s">
        <v>112</v>
      </c>
      <c r="G584" s="1">
        <v>1318018</v>
      </c>
    </row>
    <row r="585" spans="1:10" x14ac:dyDescent="0.35">
      <c r="A585" s="1" t="str">
        <f t="shared" si="9"/>
        <v>20</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2863</v>
      </c>
      <c r="D585" s="1" t="s">
        <v>2430</v>
      </c>
      <c r="E585" s="1" t="s">
        <v>2864</v>
      </c>
      <c r="F585" s="1" t="s">
        <v>112</v>
      </c>
      <c r="G585" s="1">
        <v>1634852</v>
      </c>
    </row>
    <row r="586" spans="1:10" x14ac:dyDescent="0.35">
      <c r="A586" s="1" t="str">
        <f t="shared" si="9"/>
        <v>20</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2865</v>
      </c>
      <c r="D586" s="1" t="s">
        <v>2866</v>
      </c>
      <c r="E586" s="1" t="s">
        <v>2867</v>
      </c>
      <c r="F586" s="1" t="s">
        <v>112</v>
      </c>
      <c r="G586" s="1">
        <v>1438453</v>
      </c>
    </row>
    <row r="587" spans="1:10" x14ac:dyDescent="0.3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 t="s">
        <v>112</v>
      </c>
    </row>
    <row r="588" spans="1:10" x14ac:dyDescent="0.3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237</v>
      </c>
      <c r="D588" s="1" t="s">
        <v>112</v>
      </c>
      <c r="E588" s="1" t="s">
        <v>238</v>
      </c>
      <c r="F588" s="1" t="s">
        <v>239</v>
      </c>
      <c r="G588" s="1" t="s">
        <v>240</v>
      </c>
      <c r="H588" s="1" t="s">
        <v>241</v>
      </c>
      <c r="I588" s="1" t="s">
        <v>242</v>
      </c>
      <c r="J588" s="1" t="s">
        <v>243</v>
      </c>
    </row>
    <row r="589" spans="1:10" x14ac:dyDescent="0.35">
      <c r="A589" s="1" t="str">
        <f t="shared" si="9"/>
        <v>20</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 t="s">
        <v>2868</v>
      </c>
      <c r="D589" s="1" t="s">
        <v>112</v>
      </c>
      <c r="E589" s="1" t="s">
        <v>2869</v>
      </c>
      <c r="F589" s="1" t="s">
        <v>2870</v>
      </c>
      <c r="G589" s="1" t="s">
        <v>2871</v>
      </c>
      <c r="H589" s="1" t="s">
        <v>2872</v>
      </c>
      <c r="I589" s="1">
        <v>24</v>
      </c>
      <c r="J589" s="1">
        <v>24</v>
      </c>
    </row>
    <row r="590" spans="1:10" x14ac:dyDescent="0.3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 t="s">
        <v>112</v>
      </c>
    </row>
    <row r="591" spans="1:10" x14ac:dyDescent="0.3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10" x14ac:dyDescent="0.3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3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3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3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249</v>
      </c>
      <c r="D595" s="1" t="s">
        <v>110</v>
      </c>
      <c r="E595" s="1" t="s">
        <v>111</v>
      </c>
      <c r="F595" s="1" t="s">
        <v>112</v>
      </c>
      <c r="G595" s="1" t="s">
        <v>113</v>
      </c>
    </row>
    <row r="596" spans="1:7" x14ac:dyDescent="0.35">
      <c r="A596" s="1" t="str">
        <f t="shared" si="9"/>
        <v>21</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2873</v>
      </c>
      <c r="D596" s="1" t="s">
        <v>2874</v>
      </c>
      <c r="E596" s="1" t="s">
        <v>2875</v>
      </c>
      <c r="F596" s="1" t="s">
        <v>112</v>
      </c>
      <c r="G596" s="1">
        <v>2492391</v>
      </c>
    </row>
    <row r="597" spans="1:7" x14ac:dyDescent="0.35">
      <c r="A597" s="1" t="str">
        <f t="shared" si="9"/>
        <v>21</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2876</v>
      </c>
      <c r="D597" s="1" t="s">
        <v>2877</v>
      </c>
      <c r="E597" s="1" t="s">
        <v>2878</v>
      </c>
      <c r="F597" s="1" t="s">
        <v>112</v>
      </c>
      <c r="G597" s="1">
        <v>3302993</v>
      </c>
    </row>
    <row r="598" spans="1:7" x14ac:dyDescent="0.35">
      <c r="A598" s="1" t="str">
        <f t="shared" si="9"/>
        <v>21</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2879</v>
      </c>
      <c r="D598" s="1" t="s">
        <v>2880</v>
      </c>
      <c r="E598" s="1" t="s">
        <v>2881</v>
      </c>
      <c r="F598" s="1" t="s">
        <v>112</v>
      </c>
      <c r="G598" s="1">
        <v>2758417</v>
      </c>
    </row>
    <row r="599" spans="1:7" x14ac:dyDescent="0.35">
      <c r="A599" s="1" t="str">
        <f t="shared" si="9"/>
        <v>21</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2882</v>
      </c>
      <c r="D599" s="1" t="s">
        <v>2883</v>
      </c>
      <c r="E599" s="1" t="s">
        <v>2884</v>
      </c>
      <c r="F599" s="1" t="s">
        <v>112</v>
      </c>
      <c r="G599" s="1">
        <v>3189696</v>
      </c>
    </row>
    <row r="600" spans="1:7" x14ac:dyDescent="0.35">
      <c r="A600" s="1" t="str">
        <f t="shared" si="9"/>
        <v>21</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2885</v>
      </c>
      <c r="D600" s="1" t="s">
        <v>2886</v>
      </c>
      <c r="E600" s="1" t="s">
        <v>2887</v>
      </c>
      <c r="F600" s="1" t="s">
        <v>112</v>
      </c>
      <c r="G600" s="1">
        <v>3227678</v>
      </c>
    </row>
    <row r="601" spans="1:7" x14ac:dyDescent="0.35">
      <c r="A601" s="1" t="str">
        <f t="shared" si="9"/>
        <v>21</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2888</v>
      </c>
      <c r="D601" s="1" t="s">
        <v>2889</v>
      </c>
      <c r="E601" s="1" t="s">
        <v>2890</v>
      </c>
      <c r="F601" s="1" t="s">
        <v>112</v>
      </c>
      <c r="G601" s="1">
        <v>3269770</v>
      </c>
    </row>
    <row r="602" spans="1:7" x14ac:dyDescent="0.35">
      <c r="A602" s="1" t="str">
        <f t="shared" si="9"/>
        <v>21</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2891</v>
      </c>
    </row>
    <row r="603" spans="1:7" x14ac:dyDescent="0.35">
      <c r="A603" s="1" t="str">
        <f t="shared" si="9"/>
        <v>21</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2892</v>
      </c>
      <c r="D603" s="1" t="s">
        <v>2893</v>
      </c>
      <c r="E603" s="1" t="s">
        <v>2894</v>
      </c>
      <c r="F603" s="1" t="s">
        <v>112</v>
      </c>
      <c r="G603" s="1">
        <v>1220575</v>
      </c>
    </row>
    <row r="604" spans="1:7" x14ac:dyDescent="0.35">
      <c r="A604" s="1" t="str">
        <f t="shared" si="9"/>
        <v>21</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2895</v>
      </c>
      <c r="D604" s="1" t="s">
        <v>2896</v>
      </c>
      <c r="E604" s="1" t="s">
        <v>2897</v>
      </c>
      <c r="F604" s="1" t="s">
        <v>112</v>
      </c>
      <c r="G604" s="1">
        <v>1265608</v>
      </c>
    </row>
    <row r="605" spans="1:7" x14ac:dyDescent="0.35">
      <c r="A605" s="1" t="str">
        <f t="shared" si="9"/>
        <v>21</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2898</v>
      </c>
      <c r="D605" s="1" t="s">
        <v>571</v>
      </c>
      <c r="E605" s="1" t="s">
        <v>2899</v>
      </c>
      <c r="F605" s="1" t="s">
        <v>112</v>
      </c>
      <c r="G605" s="1">
        <v>105165</v>
      </c>
    </row>
    <row r="606" spans="1:7" x14ac:dyDescent="0.35">
      <c r="A606" s="1" t="str">
        <f t="shared" si="9"/>
        <v>21</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2900</v>
      </c>
      <c r="D606" s="1" t="s">
        <v>2901</v>
      </c>
      <c r="E606" s="1" t="s">
        <v>2902</v>
      </c>
      <c r="F606" s="1" t="s">
        <v>112</v>
      </c>
      <c r="G606" s="1">
        <v>65798</v>
      </c>
    </row>
    <row r="607" spans="1:7" x14ac:dyDescent="0.35">
      <c r="A607" s="1" t="str">
        <f t="shared" si="9"/>
        <v>21</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2903</v>
      </c>
      <c r="D607" s="1" t="s">
        <v>2143</v>
      </c>
      <c r="E607" s="1" t="s">
        <v>2904</v>
      </c>
      <c r="F607" s="1" t="s">
        <v>112</v>
      </c>
      <c r="G607" s="1">
        <v>43433</v>
      </c>
    </row>
    <row r="608" spans="1:7" x14ac:dyDescent="0.35">
      <c r="A608" s="1" t="str">
        <f t="shared" si="9"/>
        <v>21</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2905</v>
      </c>
    </row>
    <row r="609" spans="1:10" x14ac:dyDescent="0.35">
      <c r="A609" s="1" t="str">
        <f t="shared" si="9"/>
        <v>21</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2906</v>
      </c>
    </row>
    <row r="610" spans="1:10" x14ac:dyDescent="0.35">
      <c r="A610" s="1" t="str">
        <f t="shared" si="9"/>
        <v>21</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2907</v>
      </c>
    </row>
    <row r="611" spans="1:10" x14ac:dyDescent="0.35">
      <c r="A611" s="1" t="str">
        <f t="shared" si="9"/>
        <v>21</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2908</v>
      </c>
      <c r="D611" s="1" t="s">
        <v>2909</v>
      </c>
      <c r="E611" s="1" t="s">
        <v>2910</v>
      </c>
      <c r="F611" s="1" t="s">
        <v>112</v>
      </c>
      <c r="G611" s="1">
        <v>2180293</v>
      </c>
    </row>
    <row r="612" spans="1:10" x14ac:dyDescent="0.35">
      <c r="A612" s="1" t="str">
        <f t="shared" si="9"/>
        <v>21</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2911</v>
      </c>
      <c r="D612" s="1" t="s">
        <v>2912</v>
      </c>
      <c r="E612" s="1" t="s">
        <v>2913</v>
      </c>
      <c r="F612" s="1" t="s">
        <v>112</v>
      </c>
      <c r="G612" s="1">
        <v>2265342</v>
      </c>
    </row>
    <row r="613" spans="1:10" x14ac:dyDescent="0.35">
      <c r="A613" s="1" t="str">
        <f t="shared" si="9"/>
        <v>21</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2914</v>
      </c>
      <c r="D613" s="1" t="s">
        <v>2915</v>
      </c>
      <c r="E613" s="1" t="s">
        <v>2916</v>
      </c>
      <c r="F613" s="1" t="s">
        <v>112</v>
      </c>
      <c r="G613" s="1">
        <v>3144359</v>
      </c>
    </row>
    <row r="614" spans="1:10" x14ac:dyDescent="0.35">
      <c r="A614" s="1" t="str">
        <f t="shared" si="9"/>
        <v>21</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2917</v>
      </c>
      <c r="D614" s="1" t="s">
        <v>2918</v>
      </c>
      <c r="E614" s="1" t="s">
        <v>2919</v>
      </c>
      <c r="F614" s="1" t="s">
        <v>112</v>
      </c>
      <c r="G614" s="1">
        <v>1428373</v>
      </c>
    </row>
    <row r="615" spans="1:10" x14ac:dyDescent="0.35">
      <c r="A615" s="1" t="str">
        <f t="shared" si="9"/>
        <v>21</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2920</v>
      </c>
      <c r="D615" s="1" t="s">
        <v>2921</v>
      </c>
      <c r="E615" s="1" t="s">
        <v>2922</v>
      </c>
      <c r="F615" s="1" t="s">
        <v>112</v>
      </c>
      <c r="G615" s="1">
        <v>2015236</v>
      </c>
    </row>
    <row r="616" spans="1:10" x14ac:dyDescent="0.35">
      <c r="A616" s="1" t="str">
        <f t="shared" si="9"/>
        <v>21</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2923</v>
      </c>
      <c r="D616" s="1" t="s">
        <v>2924</v>
      </c>
      <c r="E616" s="1" t="s">
        <v>2925</v>
      </c>
      <c r="F616" s="1" t="s">
        <v>112</v>
      </c>
      <c r="G616" s="1">
        <v>1788576</v>
      </c>
    </row>
    <row r="617" spans="1:10" x14ac:dyDescent="0.35">
      <c r="A617" s="1" t="str">
        <f t="shared" si="9"/>
        <v>21</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2926</v>
      </c>
      <c r="D617" s="1" t="s">
        <v>2927</v>
      </c>
      <c r="E617" s="1" t="s">
        <v>2928</v>
      </c>
      <c r="F617" s="1" t="s">
        <v>112</v>
      </c>
      <c r="G617" s="1">
        <v>1620144</v>
      </c>
    </row>
    <row r="618" spans="1:10" x14ac:dyDescent="0.35">
      <c r="A618" s="1" t="str">
        <f t="shared" si="9"/>
        <v>21</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2929</v>
      </c>
      <c r="D618" s="1" t="s">
        <v>2930</v>
      </c>
      <c r="E618" s="1" t="s">
        <v>2931</v>
      </c>
      <c r="F618" s="1" t="s">
        <v>112</v>
      </c>
      <c r="G618" s="1">
        <v>2021768</v>
      </c>
    </row>
    <row r="619" spans="1:10" x14ac:dyDescent="0.35">
      <c r="A619" s="1" t="str">
        <f t="shared" si="9"/>
        <v>21</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2932</v>
      </c>
      <c r="D619" s="1" t="s">
        <v>2933</v>
      </c>
      <c r="E619" s="1" t="s">
        <v>2934</v>
      </c>
      <c r="F619" s="1" t="s">
        <v>112</v>
      </c>
      <c r="G619" s="1">
        <v>1960901</v>
      </c>
    </row>
    <row r="620" spans="1:10" x14ac:dyDescent="0.3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112</v>
      </c>
    </row>
    <row r="621" spans="1:10" x14ac:dyDescent="0.3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237</v>
      </c>
      <c r="D621" s="1" t="s">
        <v>112</v>
      </c>
      <c r="E621" s="1" t="s">
        <v>238</v>
      </c>
      <c r="F621" s="1" t="s">
        <v>239</v>
      </c>
      <c r="G621" s="1" t="s">
        <v>240</v>
      </c>
      <c r="H621" s="1" t="s">
        <v>241</v>
      </c>
      <c r="I621" s="1" t="s">
        <v>242</v>
      </c>
      <c r="J621" s="1" t="s">
        <v>243</v>
      </c>
    </row>
    <row r="622" spans="1:10" x14ac:dyDescent="0.35">
      <c r="A622" s="1" t="str">
        <f t="shared" si="9"/>
        <v>21</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2935</v>
      </c>
      <c r="D622" s="1" t="s">
        <v>112</v>
      </c>
      <c r="E622" s="1" t="s">
        <v>2936</v>
      </c>
      <c r="F622" s="1" t="s">
        <v>2937</v>
      </c>
      <c r="G622" s="1" t="s">
        <v>2938</v>
      </c>
      <c r="H622" s="1" t="s">
        <v>2939</v>
      </c>
      <c r="I622" s="1">
        <v>21</v>
      </c>
      <c r="J622" s="1">
        <v>24</v>
      </c>
    </row>
    <row r="623" spans="1:10" x14ac:dyDescent="0.3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112</v>
      </c>
    </row>
    <row r="624" spans="1:10" x14ac:dyDescent="0.3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3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3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3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3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249</v>
      </c>
      <c r="D628" s="1" t="s">
        <v>110</v>
      </c>
      <c r="E628" s="1" t="s">
        <v>111</v>
      </c>
      <c r="F628" s="1" t="s">
        <v>112</v>
      </c>
      <c r="G628" s="1" t="s">
        <v>113</v>
      </c>
    </row>
    <row r="629" spans="1:7" x14ac:dyDescent="0.35">
      <c r="A629" s="1" t="str">
        <f t="shared" si="9"/>
        <v>8</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2940</v>
      </c>
      <c r="D629" s="1" t="s">
        <v>640</v>
      </c>
      <c r="E629" s="1" t="s">
        <v>2941</v>
      </c>
      <c r="F629" s="1" t="s">
        <v>112</v>
      </c>
      <c r="G629" s="1">
        <v>106722</v>
      </c>
    </row>
    <row r="630" spans="1:7" x14ac:dyDescent="0.35">
      <c r="A630" s="1" t="str">
        <f t="shared" si="9"/>
        <v>8</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2942</v>
      </c>
      <c r="D630" s="1" t="s">
        <v>2943</v>
      </c>
      <c r="E630" s="1" t="s">
        <v>2944</v>
      </c>
      <c r="F630" s="1" t="s">
        <v>112</v>
      </c>
      <c r="G630" s="1">
        <v>170400</v>
      </c>
    </row>
    <row r="631" spans="1:7" x14ac:dyDescent="0.35">
      <c r="A631" s="1" t="str">
        <f t="shared" si="9"/>
        <v>8</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2945</v>
      </c>
      <c r="D631" s="1" t="s">
        <v>2946</v>
      </c>
      <c r="E631" s="1" t="s">
        <v>2947</v>
      </c>
      <c r="F631" s="1" t="s">
        <v>112</v>
      </c>
      <c r="G631" s="1">
        <v>294924</v>
      </c>
    </row>
    <row r="632" spans="1:7" x14ac:dyDescent="0.35">
      <c r="A632" s="1" t="str">
        <f t="shared" si="9"/>
        <v>8</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2948</v>
      </c>
      <c r="D632" s="1" t="s">
        <v>2949</v>
      </c>
      <c r="E632" s="1" t="s">
        <v>2950</v>
      </c>
      <c r="F632" s="1" t="s">
        <v>112</v>
      </c>
      <c r="G632" s="1">
        <v>12632</v>
      </c>
    </row>
    <row r="633" spans="1:7" x14ac:dyDescent="0.35">
      <c r="A633" s="1" t="str">
        <f t="shared" si="9"/>
        <v>8</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2951</v>
      </c>
      <c r="D633" s="1" t="s">
        <v>176</v>
      </c>
      <c r="E633" s="1" t="s">
        <v>2952</v>
      </c>
      <c r="F633" s="1" t="s">
        <v>112</v>
      </c>
      <c r="G633" s="1">
        <v>131683</v>
      </c>
    </row>
    <row r="634" spans="1:7" x14ac:dyDescent="0.35">
      <c r="A634" s="1" t="str">
        <f t="shared" si="9"/>
        <v>8</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2953</v>
      </c>
      <c r="D634" s="1" t="s">
        <v>2954</v>
      </c>
      <c r="E634" s="1" t="s">
        <v>2955</v>
      </c>
      <c r="F634" s="1" t="s">
        <v>112</v>
      </c>
      <c r="G634" s="1">
        <v>133435</v>
      </c>
    </row>
    <row r="635" spans="1:7" x14ac:dyDescent="0.35">
      <c r="A635" s="1" t="str">
        <f t="shared" si="9"/>
        <v>8</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2956</v>
      </c>
      <c r="D635" s="1" t="s">
        <v>2957</v>
      </c>
      <c r="E635" s="1" t="s">
        <v>2958</v>
      </c>
      <c r="F635" s="1" t="s">
        <v>112</v>
      </c>
      <c r="G635" s="1">
        <v>224973</v>
      </c>
    </row>
    <row r="636" spans="1:7" x14ac:dyDescent="0.35">
      <c r="A636" s="1" t="str">
        <f t="shared" si="9"/>
        <v>8</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2959</v>
      </c>
      <c r="D636" s="1" t="s">
        <v>2960</v>
      </c>
      <c r="E636" s="1" t="s">
        <v>2961</v>
      </c>
      <c r="F636" s="1" t="s">
        <v>112</v>
      </c>
      <c r="G636" s="1">
        <v>155173</v>
      </c>
    </row>
    <row r="637" spans="1:7" x14ac:dyDescent="0.35">
      <c r="A637" s="1" t="str">
        <f t="shared" si="9"/>
        <v>8</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2962</v>
      </c>
      <c r="D637" s="1" t="s">
        <v>2963</v>
      </c>
      <c r="E637" s="1" t="s">
        <v>2964</v>
      </c>
      <c r="F637" s="1" t="s">
        <v>112</v>
      </c>
      <c r="G637" s="1">
        <v>209853</v>
      </c>
    </row>
    <row r="638" spans="1:7" x14ac:dyDescent="0.35">
      <c r="A638" s="1" t="str">
        <f t="shared" si="9"/>
        <v>8</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2965</v>
      </c>
      <c r="D638" s="1" t="s">
        <v>2966</v>
      </c>
      <c r="E638" s="1" t="s">
        <v>2967</v>
      </c>
      <c r="F638" s="1" t="s">
        <v>112</v>
      </c>
      <c r="G638" s="1">
        <v>48646</v>
      </c>
    </row>
    <row r="639" spans="1:7" x14ac:dyDescent="0.35">
      <c r="A639" s="1" t="str">
        <f t="shared" si="9"/>
        <v>8</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2968</v>
      </c>
      <c r="D639" s="1" t="s">
        <v>227</v>
      </c>
      <c r="E639" s="1">
        <v>30</v>
      </c>
      <c r="F639" s="1" t="s">
        <v>112</v>
      </c>
      <c r="G639" s="1">
        <v>1298</v>
      </c>
    </row>
    <row r="640" spans="1:7" x14ac:dyDescent="0.35">
      <c r="A640" s="1" t="str">
        <f t="shared" si="9"/>
        <v>8</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2969</v>
      </c>
      <c r="D640" s="1" t="s">
        <v>475</v>
      </c>
      <c r="E640" s="1" t="s">
        <v>2970</v>
      </c>
      <c r="F640" s="1" t="s">
        <v>112</v>
      </c>
      <c r="G640" s="1">
        <v>41400</v>
      </c>
    </row>
    <row r="641" spans="1:10" x14ac:dyDescent="0.35">
      <c r="A641" s="1" t="str">
        <f t="shared" si="9"/>
        <v>8</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2971</v>
      </c>
      <c r="D641" s="1" t="s">
        <v>2972</v>
      </c>
      <c r="E641" s="1" t="s">
        <v>2973</v>
      </c>
      <c r="F641" s="1" t="s">
        <v>112</v>
      </c>
      <c r="G641" s="1">
        <v>175591</v>
      </c>
    </row>
    <row r="642" spans="1:10" x14ac:dyDescent="0.35">
      <c r="A642" s="1" t="str">
        <f t="shared" ref="A642:A705" si="10">IFERROR(LEFT(RIGHT(C642,LEN(C642)-SEARCH("@",C642)),SEARCH("/",RIGHT(C642,LEN(C642)-SEARCH("@",C642)-1))),"")</f>
        <v>8</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2974</v>
      </c>
      <c r="D642" s="1" t="s">
        <v>2975</v>
      </c>
      <c r="E642" s="1" t="s">
        <v>2976</v>
      </c>
      <c r="F642" s="1" t="s">
        <v>112</v>
      </c>
      <c r="G642" s="1">
        <v>222745</v>
      </c>
    </row>
    <row r="643" spans="1:10" x14ac:dyDescent="0.35">
      <c r="A643" s="1" t="str">
        <f t="shared" si="10"/>
        <v>8</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2977</v>
      </c>
      <c r="D643" s="1" t="s">
        <v>2013</v>
      </c>
      <c r="E643" s="1" t="s">
        <v>2978</v>
      </c>
      <c r="F643" s="1" t="s">
        <v>112</v>
      </c>
      <c r="G643" s="1">
        <v>147948</v>
      </c>
    </row>
    <row r="644" spans="1:10" x14ac:dyDescent="0.35">
      <c r="A644" s="1" t="str">
        <f t="shared" si="10"/>
        <v>8</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2979</v>
      </c>
      <c r="D644" s="1" t="s">
        <v>325</v>
      </c>
      <c r="E644" s="1" t="s">
        <v>2980</v>
      </c>
      <c r="F644" s="1" t="s">
        <v>112</v>
      </c>
      <c r="G644" s="1">
        <v>95756</v>
      </c>
    </row>
    <row r="645" spans="1:10" x14ac:dyDescent="0.35">
      <c r="A645" s="1" t="str">
        <f t="shared" si="10"/>
        <v>8</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2981</v>
      </c>
      <c r="D645" s="1" t="s">
        <v>2982</v>
      </c>
      <c r="E645" s="1" t="s">
        <v>2983</v>
      </c>
      <c r="F645" s="1" t="s">
        <v>112</v>
      </c>
      <c r="G645" s="1">
        <v>382611</v>
      </c>
    </row>
    <row r="646" spans="1:10" x14ac:dyDescent="0.35">
      <c r="A646" s="1" t="str">
        <f t="shared" si="10"/>
        <v>8</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2984</v>
      </c>
      <c r="D646" s="1" t="s">
        <v>2985</v>
      </c>
      <c r="E646" s="1" t="s">
        <v>2986</v>
      </c>
      <c r="F646" s="1" t="s">
        <v>112</v>
      </c>
      <c r="G646" s="1">
        <v>234490</v>
      </c>
    </row>
    <row r="647" spans="1:10" x14ac:dyDescent="0.35">
      <c r="A647" s="1" t="str">
        <f t="shared" si="10"/>
        <v>8</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2987</v>
      </c>
    </row>
    <row r="648" spans="1:10" x14ac:dyDescent="0.35">
      <c r="A648" s="1" t="str">
        <f t="shared" si="10"/>
        <v>8</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2988</v>
      </c>
    </row>
    <row r="649" spans="1:10" x14ac:dyDescent="0.35">
      <c r="A649" s="1" t="str">
        <f t="shared" si="10"/>
        <v>8</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2989</v>
      </c>
    </row>
    <row r="650" spans="1:10" x14ac:dyDescent="0.35">
      <c r="A650" s="1" t="str">
        <f t="shared" si="10"/>
        <v>8</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2990</v>
      </c>
      <c r="D650" s="1" t="s">
        <v>665</v>
      </c>
      <c r="E650" s="1" t="s">
        <v>2991</v>
      </c>
      <c r="F650" s="1" t="s">
        <v>112</v>
      </c>
      <c r="G650" s="1">
        <v>138129</v>
      </c>
    </row>
    <row r="651" spans="1:10" x14ac:dyDescent="0.35">
      <c r="A651" s="1" t="str">
        <f t="shared" si="10"/>
        <v>8</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2992</v>
      </c>
      <c r="D651" s="1" t="s">
        <v>1532</v>
      </c>
      <c r="E651" s="1" t="s">
        <v>2993</v>
      </c>
      <c r="F651" s="1" t="s">
        <v>112</v>
      </c>
      <c r="G651" s="1">
        <v>84919</v>
      </c>
    </row>
    <row r="652" spans="1:10" x14ac:dyDescent="0.35">
      <c r="A652" s="1" t="str">
        <f t="shared" si="10"/>
        <v>8</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2994</v>
      </c>
      <c r="D652" s="1" t="s">
        <v>549</v>
      </c>
      <c r="E652" s="1">
        <v>32</v>
      </c>
      <c r="F652" s="1" t="s">
        <v>112</v>
      </c>
      <c r="G652" s="1">
        <v>692</v>
      </c>
    </row>
    <row r="653" spans="1:10" x14ac:dyDescent="0.3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112</v>
      </c>
    </row>
    <row r="654" spans="1:10" x14ac:dyDescent="0.3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237</v>
      </c>
      <c r="D654" s="1" t="s">
        <v>112</v>
      </c>
      <c r="E654" s="1" t="s">
        <v>238</v>
      </c>
      <c r="F654" s="1" t="s">
        <v>239</v>
      </c>
      <c r="G654" s="1" t="s">
        <v>240</v>
      </c>
      <c r="H654" s="1" t="s">
        <v>241</v>
      </c>
      <c r="I654" s="1" t="s">
        <v>242</v>
      </c>
      <c r="J654" s="1" t="s">
        <v>243</v>
      </c>
    </row>
    <row r="655" spans="1:10" x14ac:dyDescent="0.35">
      <c r="A655" s="1" t="str">
        <f t="shared" si="10"/>
        <v>8</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2995</v>
      </c>
      <c r="D655" s="1" t="s">
        <v>112</v>
      </c>
      <c r="E655" s="1" t="s">
        <v>2996</v>
      </c>
      <c r="F655" s="1" t="s">
        <v>2997</v>
      </c>
      <c r="G655" s="1" t="s">
        <v>2998</v>
      </c>
      <c r="H655" s="1" t="s">
        <v>2999</v>
      </c>
      <c r="I655" s="1">
        <v>22</v>
      </c>
      <c r="J655" s="1">
        <v>24</v>
      </c>
    </row>
    <row r="656" spans="1:10" x14ac:dyDescent="0.3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112</v>
      </c>
    </row>
    <row r="657" spans="1:7" x14ac:dyDescent="0.3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3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3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3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3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249</v>
      </c>
      <c r="D661" s="1" t="s">
        <v>110</v>
      </c>
      <c r="E661" s="1" t="s">
        <v>111</v>
      </c>
      <c r="F661" s="1" t="s">
        <v>112</v>
      </c>
      <c r="G661" s="1" t="s">
        <v>113</v>
      </c>
    </row>
    <row r="662" spans="1:7" x14ac:dyDescent="0.35">
      <c r="A662" s="1" t="str">
        <f t="shared" si="10"/>
        <v>9</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3000</v>
      </c>
      <c r="D662" s="1" t="s">
        <v>3001</v>
      </c>
      <c r="E662" s="1" t="s">
        <v>3002</v>
      </c>
      <c r="F662" s="1" t="s">
        <v>112</v>
      </c>
      <c r="G662" s="1">
        <v>609855</v>
      </c>
    </row>
    <row r="663" spans="1:7" x14ac:dyDescent="0.35">
      <c r="A663" s="1" t="str">
        <f t="shared" si="10"/>
        <v>9</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3003</v>
      </c>
      <c r="D663" s="1" t="s">
        <v>3004</v>
      </c>
      <c r="E663" s="1" t="s">
        <v>3005</v>
      </c>
      <c r="F663" s="1" t="s">
        <v>112</v>
      </c>
      <c r="G663" s="1">
        <v>372013</v>
      </c>
    </row>
    <row r="664" spans="1:7" x14ac:dyDescent="0.35">
      <c r="A664" s="1" t="str">
        <f t="shared" si="10"/>
        <v>9</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3006</v>
      </c>
      <c r="D664" s="1" t="s">
        <v>3007</v>
      </c>
      <c r="E664" s="1" t="s">
        <v>3008</v>
      </c>
      <c r="F664" s="1" t="s">
        <v>112</v>
      </c>
      <c r="G664" s="1">
        <v>840062</v>
      </c>
    </row>
    <row r="665" spans="1:7" x14ac:dyDescent="0.35">
      <c r="A665" s="1" t="str">
        <f t="shared" si="10"/>
        <v>9</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3009</v>
      </c>
      <c r="D665" s="1" t="s">
        <v>653</v>
      </c>
      <c r="E665" s="1" t="s">
        <v>3010</v>
      </c>
      <c r="F665" s="1" t="s">
        <v>112</v>
      </c>
      <c r="G665" s="1">
        <v>787912</v>
      </c>
    </row>
    <row r="666" spans="1:7" x14ac:dyDescent="0.35">
      <c r="A666" s="1" t="str">
        <f t="shared" si="10"/>
        <v>9</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3011</v>
      </c>
      <c r="D666" s="1" t="s">
        <v>1596</v>
      </c>
      <c r="E666" s="1" t="s">
        <v>3012</v>
      </c>
      <c r="F666" s="1" t="s">
        <v>112</v>
      </c>
      <c r="G666" s="1">
        <v>900063</v>
      </c>
    </row>
    <row r="667" spans="1:7" x14ac:dyDescent="0.35">
      <c r="A667" s="1" t="str">
        <f t="shared" si="10"/>
        <v>9</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3013</v>
      </c>
      <c r="D667" s="1" t="s">
        <v>3014</v>
      </c>
      <c r="E667" s="1" t="s">
        <v>3015</v>
      </c>
      <c r="F667" s="1" t="s">
        <v>112</v>
      </c>
      <c r="G667" s="1">
        <v>679828</v>
      </c>
    </row>
    <row r="668" spans="1:7" x14ac:dyDescent="0.35">
      <c r="A668" s="1" t="str">
        <f t="shared" si="10"/>
        <v>9</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3016</v>
      </c>
      <c r="D668" s="1" t="s">
        <v>2121</v>
      </c>
      <c r="E668" s="1" t="s">
        <v>3017</v>
      </c>
      <c r="F668" s="1" t="s">
        <v>112</v>
      </c>
      <c r="G668" s="1">
        <v>226076</v>
      </c>
    </row>
    <row r="669" spans="1:7" x14ac:dyDescent="0.35">
      <c r="A669" s="1" t="str">
        <f t="shared" si="10"/>
        <v>9</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3018</v>
      </c>
      <c r="D669" s="1" t="s">
        <v>369</v>
      </c>
      <c r="E669" s="1" t="s">
        <v>3019</v>
      </c>
      <c r="F669" s="1" t="s">
        <v>112</v>
      </c>
      <c r="G669" s="1">
        <v>235203</v>
      </c>
    </row>
    <row r="670" spans="1:7" x14ac:dyDescent="0.35">
      <c r="A670" s="1" t="str">
        <f t="shared" si="10"/>
        <v>9</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3020</v>
      </c>
      <c r="D670" s="1" t="s">
        <v>1857</v>
      </c>
      <c r="E670" s="1" t="s">
        <v>3021</v>
      </c>
      <c r="F670" s="1" t="s">
        <v>112</v>
      </c>
      <c r="G670" s="1">
        <v>213530</v>
      </c>
    </row>
    <row r="671" spans="1:7" x14ac:dyDescent="0.35">
      <c r="A671" s="1" t="str">
        <f t="shared" si="10"/>
        <v>9</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3022</v>
      </c>
      <c r="D671" s="1" t="s">
        <v>3023</v>
      </c>
      <c r="E671" s="1" t="s">
        <v>3024</v>
      </c>
      <c r="F671" s="1" t="s">
        <v>112</v>
      </c>
      <c r="G671" s="1">
        <v>191143</v>
      </c>
    </row>
    <row r="672" spans="1:7" x14ac:dyDescent="0.35">
      <c r="A672" s="1" t="str">
        <f t="shared" si="10"/>
        <v>9</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3025</v>
      </c>
      <c r="D672" s="1" t="s">
        <v>1021</v>
      </c>
      <c r="E672" s="1" t="s">
        <v>3026</v>
      </c>
      <c r="F672" s="1" t="s">
        <v>112</v>
      </c>
      <c r="G672" s="1">
        <v>150263</v>
      </c>
    </row>
    <row r="673" spans="1:10" x14ac:dyDescent="0.35">
      <c r="A673" s="1" t="str">
        <f t="shared" si="10"/>
        <v>9</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3027</v>
      </c>
      <c r="D673" s="1" t="s">
        <v>610</v>
      </c>
      <c r="E673" s="1" t="s">
        <v>3028</v>
      </c>
      <c r="F673" s="1" t="s">
        <v>112</v>
      </c>
      <c r="G673" s="1">
        <v>131575</v>
      </c>
    </row>
    <row r="674" spans="1:10" x14ac:dyDescent="0.35">
      <c r="A674" s="1" t="str">
        <f t="shared" si="10"/>
        <v>9</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3029</v>
      </c>
      <c r="D674" s="1" t="s">
        <v>2019</v>
      </c>
      <c r="E674" s="1" t="s">
        <v>3030</v>
      </c>
      <c r="F674" s="1" t="s">
        <v>112</v>
      </c>
      <c r="G674" s="1">
        <v>223329</v>
      </c>
    </row>
    <row r="675" spans="1:10" x14ac:dyDescent="0.35">
      <c r="A675" s="1" t="str">
        <f t="shared" si="10"/>
        <v>9</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3031</v>
      </c>
      <c r="D675" s="1" t="s">
        <v>3032</v>
      </c>
      <c r="E675" s="1" t="s">
        <v>3033</v>
      </c>
      <c r="F675" s="1" t="s">
        <v>112</v>
      </c>
      <c r="G675" s="1">
        <v>312963</v>
      </c>
    </row>
    <row r="676" spans="1:10" x14ac:dyDescent="0.35">
      <c r="A676" s="1" t="str">
        <f t="shared" si="10"/>
        <v>9</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3034</v>
      </c>
      <c r="D676" s="1" t="s">
        <v>3035</v>
      </c>
      <c r="E676" s="1" t="s">
        <v>3036</v>
      </c>
      <c r="F676" s="1" t="s">
        <v>112</v>
      </c>
      <c r="G676" s="1">
        <v>182189</v>
      </c>
    </row>
    <row r="677" spans="1:10" x14ac:dyDescent="0.35">
      <c r="A677" s="1" t="str">
        <f t="shared" si="10"/>
        <v>9</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3037</v>
      </c>
      <c r="D677" s="1" t="s">
        <v>717</v>
      </c>
      <c r="E677" s="1" t="s">
        <v>3038</v>
      </c>
      <c r="F677" s="1" t="s">
        <v>112</v>
      </c>
      <c r="G677" s="1">
        <v>1968</v>
      </c>
    </row>
    <row r="678" spans="1:10" x14ac:dyDescent="0.35">
      <c r="A678" s="1" t="str">
        <f t="shared" si="10"/>
        <v>9</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3039</v>
      </c>
      <c r="D678" s="1" t="s">
        <v>3040</v>
      </c>
      <c r="E678" s="1" t="s">
        <v>3041</v>
      </c>
      <c r="F678" s="1" t="s">
        <v>112</v>
      </c>
      <c r="G678" s="1">
        <v>214850</v>
      </c>
    </row>
    <row r="679" spans="1:10" x14ac:dyDescent="0.35">
      <c r="A679" s="1" t="str">
        <f t="shared" si="10"/>
        <v>9</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3042</v>
      </c>
    </row>
    <row r="680" spans="1:10" x14ac:dyDescent="0.35">
      <c r="A680" s="1" t="str">
        <f t="shared" si="10"/>
        <v>9</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3043</v>
      </c>
      <c r="D680" s="1" t="s">
        <v>2179</v>
      </c>
      <c r="E680" s="1" t="s">
        <v>3044</v>
      </c>
      <c r="F680" s="1" t="s">
        <v>112</v>
      </c>
      <c r="G680" s="1">
        <v>134451</v>
      </c>
    </row>
    <row r="681" spans="1:10" x14ac:dyDescent="0.35">
      <c r="A681" s="1" t="str">
        <f t="shared" si="10"/>
        <v>9</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3045</v>
      </c>
      <c r="D681" s="1" t="s">
        <v>3046</v>
      </c>
      <c r="E681" s="1" t="s">
        <v>3047</v>
      </c>
      <c r="F681" s="1" t="s">
        <v>112</v>
      </c>
      <c r="G681" s="1">
        <v>246905</v>
      </c>
    </row>
    <row r="682" spans="1:10" x14ac:dyDescent="0.35">
      <c r="A682" s="1" t="str">
        <f t="shared" si="10"/>
        <v>9</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3048</v>
      </c>
      <c r="D682" s="1" t="s">
        <v>3049</v>
      </c>
      <c r="E682" s="1" t="s">
        <v>3050</v>
      </c>
      <c r="F682" s="1" t="s">
        <v>112</v>
      </c>
      <c r="G682" s="1">
        <v>238145</v>
      </c>
    </row>
    <row r="683" spans="1:10" x14ac:dyDescent="0.35">
      <c r="A683" s="1" t="str">
        <f t="shared" si="10"/>
        <v>9</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3051</v>
      </c>
      <c r="D683" s="1" t="s">
        <v>3052</v>
      </c>
      <c r="E683" s="1" t="s">
        <v>3053</v>
      </c>
      <c r="F683" s="1" t="s">
        <v>112</v>
      </c>
      <c r="G683" s="1">
        <v>468136</v>
      </c>
    </row>
    <row r="684" spans="1:10" x14ac:dyDescent="0.35">
      <c r="A684" s="1" t="str">
        <f t="shared" si="10"/>
        <v>9</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3054</v>
      </c>
      <c r="D684" s="1" t="s">
        <v>3055</v>
      </c>
      <c r="E684" s="1" t="s">
        <v>2001</v>
      </c>
      <c r="F684" s="1" t="s">
        <v>112</v>
      </c>
      <c r="G684" s="1">
        <v>925738</v>
      </c>
    </row>
    <row r="685" spans="1:10" x14ac:dyDescent="0.35">
      <c r="A685" s="1" t="str">
        <f t="shared" si="10"/>
        <v>9</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3056</v>
      </c>
      <c r="D685" s="1" t="s">
        <v>3057</v>
      </c>
      <c r="E685" s="1" t="s">
        <v>3058</v>
      </c>
      <c r="F685" s="1" t="s">
        <v>112</v>
      </c>
      <c r="G685" s="1">
        <v>567179</v>
      </c>
    </row>
    <row r="686" spans="1:10" x14ac:dyDescent="0.3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112</v>
      </c>
    </row>
    <row r="687" spans="1:10" x14ac:dyDescent="0.3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237</v>
      </c>
      <c r="D687" s="1" t="s">
        <v>112</v>
      </c>
      <c r="E687" s="1" t="s">
        <v>238</v>
      </c>
      <c r="F687" s="1" t="s">
        <v>239</v>
      </c>
      <c r="G687" s="1" t="s">
        <v>240</v>
      </c>
      <c r="H687" s="1" t="s">
        <v>241</v>
      </c>
      <c r="I687" s="1" t="s">
        <v>242</v>
      </c>
      <c r="J687" s="1" t="s">
        <v>243</v>
      </c>
    </row>
    <row r="688" spans="1:10" x14ac:dyDescent="0.35">
      <c r="A688" s="1" t="str">
        <f t="shared" si="10"/>
        <v>9</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3059</v>
      </c>
      <c r="D688" s="1" t="s">
        <v>112</v>
      </c>
      <c r="E688" s="1" t="s">
        <v>3060</v>
      </c>
      <c r="F688" s="1" t="s">
        <v>3061</v>
      </c>
      <c r="G688" s="1" t="s">
        <v>3062</v>
      </c>
      <c r="H688" s="1" t="s">
        <v>3063</v>
      </c>
      <c r="I688" s="1">
        <v>24</v>
      </c>
      <c r="J688" s="1">
        <v>24</v>
      </c>
    </row>
    <row r="689" spans="1:3" x14ac:dyDescent="0.3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s="1" t="s">
        <v>112</v>
      </c>
    </row>
    <row r="690" spans="1:3" x14ac:dyDescent="0.3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3" x14ac:dyDescent="0.3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3" x14ac:dyDescent="0.3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3" x14ac:dyDescent="0.3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3" x14ac:dyDescent="0.3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3" x14ac:dyDescent="0.3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3" x14ac:dyDescent="0.3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3" x14ac:dyDescent="0.3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3" x14ac:dyDescent="0.3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3" x14ac:dyDescent="0.3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3" x14ac:dyDescent="0.3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3" x14ac:dyDescent="0.3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3" x14ac:dyDescent="0.3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3" x14ac:dyDescent="0.3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3" x14ac:dyDescent="0.3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74"/>
  <sheetViews>
    <sheetView showGridLines="0" topLeftCell="Z1" zoomScale="70" zoomScaleNormal="70" zoomScaleSheetLayoutView="40" zoomScalePageLayoutView="30" workbookViewId="0">
      <selection activeCell="AM16" sqref="AM16"/>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28" width="26.453125" style="1" customWidth="1"/>
    <col min="29" max="29" width="26.453125" style="1" bestFit="1" customWidth="1"/>
    <col min="30" max="30" width="11.7265625" style="1" customWidth="1"/>
    <col min="31" max="31" width="14.81640625" style="1" customWidth="1"/>
    <col min="32" max="32" width="17.7265625" style="1" customWidth="1"/>
    <col min="33" max="34" width="25.81640625" style="1" bestFit="1" customWidth="1"/>
    <col min="35" max="52" width="25.81640625" style="1" customWidth="1"/>
    <col min="53" max="53" width="25.81640625" style="1" bestFit="1" customWidth="1"/>
    <col min="54" max="16384" width="9.1796875" style="1"/>
  </cols>
  <sheetData>
    <row r="1" spans="1:53" ht="26.5" thickBot="1" x14ac:dyDescent="0.65">
      <c r="A1" s="221" t="s">
        <v>43</v>
      </c>
      <c r="B1" s="222"/>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c r="AO1" s="222"/>
      <c r="AP1" s="222"/>
      <c r="AQ1" s="222"/>
      <c r="AR1" s="222"/>
      <c r="AS1" s="222"/>
      <c r="AT1" s="222"/>
      <c r="AU1" s="222"/>
      <c r="AV1" s="222"/>
      <c r="AW1" s="222"/>
      <c r="AX1" s="222"/>
      <c r="AY1" s="222"/>
      <c r="AZ1" s="222"/>
      <c r="BA1" s="223"/>
    </row>
    <row r="2" spans="1:53" customFormat="1" ht="15" thickBot="1" x14ac:dyDescent="0.4">
      <c r="X2" s="1"/>
      <c r="Y2" s="1"/>
      <c r="Z2" s="1"/>
      <c r="AA2" s="1"/>
      <c r="AB2" s="1"/>
      <c r="AU2" s="1"/>
      <c r="AV2" s="1"/>
      <c r="AW2" s="1"/>
      <c r="AX2" s="1"/>
      <c r="AY2" s="1"/>
      <c r="AZ2" s="1"/>
    </row>
    <row r="3" spans="1:53" ht="15" thickBot="1" x14ac:dyDescent="0.4">
      <c r="A3" s="53" t="s">
        <v>18</v>
      </c>
      <c r="B3" s="231" t="s">
        <v>6</v>
      </c>
      <c r="C3" s="232"/>
      <c r="D3" s="232"/>
      <c r="E3" s="232"/>
      <c r="F3" s="232"/>
      <c r="G3" s="232"/>
      <c r="H3" s="232"/>
      <c r="I3" s="232"/>
      <c r="J3" s="232"/>
      <c r="K3" s="232"/>
      <c r="L3" s="232"/>
      <c r="M3" s="232"/>
      <c r="N3" s="232"/>
      <c r="O3" s="232"/>
      <c r="P3" s="232"/>
      <c r="Q3" s="232"/>
      <c r="R3" s="232"/>
      <c r="S3" s="232"/>
      <c r="T3" s="232"/>
      <c r="U3" s="232"/>
      <c r="V3" s="232"/>
      <c r="W3" s="232"/>
      <c r="X3" s="232"/>
      <c r="Y3" s="232"/>
      <c r="Z3" s="232"/>
      <c r="AA3" s="232"/>
      <c r="AB3" s="232"/>
      <c r="AC3" s="233"/>
      <c r="AE3" s="231" t="s">
        <v>3</v>
      </c>
      <c r="AF3" s="232"/>
      <c r="AG3" s="232"/>
      <c r="AH3" s="232"/>
      <c r="AI3" s="232"/>
      <c r="AJ3" s="232"/>
      <c r="AK3" s="232"/>
      <c r="AL3" s="232"/>
      <c r="AM3" s="232"/>
      <c r="AN3" s="232"/>
      <c r="AO3" s="232"/>
      <c r="AP3" s="232"/>
      <c r="AQ3" s="232"/>
      <c r="AR3" s="232"/>
      <c r="AS3" s="232"/>
      <c r="AT3" s="232"/>
      <c r="AU3" s="232"/>
      <c r="AV3" s="232"/>
      <c r="AW3" s="232"/>
      <c r="AX3" s="232"/>
      <c r="AY3" s="232"/>
      <c r="AZ3" s="232"/>
      <c r="BA3" s="233"/>
    </row>
    <row r="4" spans="1:53"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Testo-3.7µg/L</v>
      </c>
      <c r="J4" s="35" t="str">
        <f>'Page de garde'!A16</f>
        <v>Testo-11µg/L</v>
      </c>
      <c r="K4" s="35" t="str">
        <f>'Page de garde'!A17</f>
        <v>Testo-33µg/L</v>
      </c>
      <c r="L4" s="35" t="str">
        <f>'Page de garde'!A18</f>
        <v>Testo-100µg/L</v>
      </c>
      <c r="M4" s="35" t="str">
        <f>'Page de garde'!A19</f>
        <v>Testo-300µg/L</v>
      </c>
      <c r="N4" s="35" t="str">
        <f>'Page de garde'!A20</f>
        <v xml:space="preserve"> </v>
      </c>
      <c r="O4" s="35" t="str">
        <f>'Page de garde'!A21</f>
        <v xml:space="preserve"> </v>
      </c>
      <c r="P4" s="35" t="str">
        <f>'Page de garde'!A22</f>
        <v xml:space="preserve"> </v>
      </c>
      <c r="Q4" s="35" t="str">
        <f>'Page de garde'!A23</f>
        <v xml:space="preserve"> </v>
      </c>
      <c r="R4" s="35" t="str">
        <f>'Page de garde'!A24</f>
        <v xml:space="preserve"> </v>
      </c>
      <c r="S4" s="35" t="str">
        <f>'Page de garde'!A25</f>
        <v xml:space="preserve"> </v>
      </c>
      <c r="T4" s="35" t="str">
        <f>'Page de garde'!A26</f>
        <v xml:space="preserve"> </v>
      </c>
      <c r="U4" s="35" t="str">
        <f>'Page de garde'!A27</f>
        <v xml:space="preserve"> </v>
      </c>
      <c r="V4" s="35" t="str">
        <f>'Page de garde'!A28</f>
        <v xml:space="preserve"> </v>
      </c>
      <c r="W4" s="35" t="str">
        <f>'Page de garde'!A29</f>
        <v xml:space="preserve"> </v>
      </c>
      <c r="X4" s="35" t="str">
        <f>'Page de garde'!A30</f>
        <v xml:space="preserve"> </v>
      </c>
      <c r="Y4" s="35" t="str">
        <f>'Page de garde'!A31</f>
        <v xml:space="preserve"> </v>
      </c>
      <c r="Z4" s="35" t="str">
        <f>'Page de garde'!A32</f>
        <v xml:space="preserve"> </v>
      </c>
      <c r="AA4" s="35" t="str">
        <f>'Page de garde'!A33</f>
        <v xml:space="preserve"> </v>
      </c>
      <c r="AB4" s="35" t="str">
        <f>'Page de garde'!A34</f>
        <v xml:space="preserve"> </v>
      </c>
      <c r="AC4" s="35" t="str">
        <f>'Page de garde'!A35</f>
        <v xml:space="preserve"> </v>
      </c>
      <c r="AD4" s="3"/>
      <c r="AE4" s="36" t="str">
        <f>'Page de garde'!A36</f>
        <v>Testo -30µg/L</v>
      </c>
      <c r="AF4" s="36" t="str">
        <f>'Page de garde'!A37</f>
        <v>Testo 30µg/L + EE2 -64ng/L</v>
      </c>
      <c r="AG4" s="36" t="str">
        <f>'Page de garde'!A38</f>
        <v>Testo 30µg/L + FAD-10mg/L</v>
      </c>
      <c r="AH4" s="36" t="str">
        <f>'Page de garde'!A39</f>
        <v>Testo-3,7µg/L + Testostérone</v>
      </c>
      <c r="AI4" s="36" t="str">
        <f>'Page de garde'!A40</f>
        <v>Testo-11µg/L + Testostérone</v>
      </c>
      <c r="AJ4" s="36" t="str">
        <f>'Page de garde'!A41</f>
        <v>Testo-33µg/L + Testostérone</v>
      </c>
      <c r="AK4" s="36" t="str">
        <f>'Page de garde'!A42</f>
        <v>Testo-100µg/L + Testostérone</v>
      </c>
      <c r="AL4" s="36" t="str">
        <f>'Page de garde'!A43</f>
        <v>Testo-300µg/L + Testostérone</v>
      </c>
      <c r="AM4" s="36" t="str">
        <f>'Page de garde'!A44</f>
        <v>0-00 + Testostérone</v>
      </c>
      <c r="AN4" s="36" t="str">
        <f>'Page de garde'!A45</f>
        <v>0-00 + Testostérone</v>
      </c>
      <c r="AO4" s="36" t="str">
        <f>'Page de garde'!A46</f>
        <v>0-00 + Testostérone</v>
      </c>
      <c r="AP4" s="36" t="str">
        <f>'Page de garde'!A47</f>
        <v>0-00 + Testostérone</v>
      </c>
      <c r="AQ4" s="36" t="str">
        <f>'Page de garde'!A48</f>
        <v>0-00 + Testostérone</v>
      </c>
      <c r="AR4" s="36" t="str">
        <f>'Page de garde'!A49</f>
        <v>0-00 + Testostérone</v>
      </c>
      <c r="AS4" s="36" t="str">
        <f>'Page de garde'!A50</f>
        <v>0-00 + Testostérone</v>
      </c>
      <c r="AT4" s="36" t="str">
        <f>'Page de garde'!A51</f>
        <v>0-00 + Testostérone</v>
      </c>
      <c r="AU4" s="36" t="str">
        <f>'Page de garde'!A52</f>
        <v>0-00 + Testostérone</v>
      </c>
      <c r="AV4" s="36" t="str">
        <f>'Page de garde'!A53</f>
        <v>0-00 + Testostérone</v>
      </c>
      <c r="AW4" s="36" t="str">
        <f>'Page de garde'!A54</f>
        <v>0-00 + Testostérone</v>
      </c>
      <c r="AX4" s="36" t="str">
        <f>'Page de garde'!A55</f>
        <v>0-00 + Testostérone</v>
      </c>
      <c r="AY4" s="36" t="str">
        <f>'Page de garde'!A56</f>
        <v>0-00 + Testostérone</v>
      </c>
      <c r="AZ4" s="36" t="str">
        <f>'Page de garde'!A57</f>
        <v>0-00 + Testostérone</v>
      </c>
      <c r="BA4" s="36" t="str">
        <f>'Page de garde'!A58</f>
        <v>0-00 + Testostérone</v>
      </c>
    </row>
    <row r="5" spans="1:53" x14ac:dyDescent="0.35">
      <c r="A5" s="234" t="s">
        <v>33</v>
      </c>
      <c r="B5" s="200">
        <v>15501.333333333334</v>
      </c>
      <c r="C5" s="200"/>
      <c r="D5" s="200">
        <v>103939</v>
      </c>
      <c r="E5" s="200">
        <v>21500</v>
      </c>
      <c r="F5" s="200">
        <v>681.5</v>
      </c>
      <c r="G5" s="200">
        <v>2371169.6666666665</v>
      </c>
      <c r="H5" s="200">
        <v>4905797</v>
      </c>
      <c r="I5" s="200">
        <v>190682</v>
      </c>
      <c r="J5" s="200">
        <v>607310</v>
      </c>
      <c r="K5" s="200">
        <v>2232951.5</v>
      </c>
      <c r="L5" s="200">
        <v>2577018</v>
      </c>
      <c r="M5" s="200">
        <v>3861232</v>
      </c>
      <c r="N5" s="13"/>
      <c r="O5" s="13"/>
      <c r="P5" s="13"/>
      <c r="Q5" s="13"/>
      <c r="R5" s="13"/>
      <c r="S5" s="13"/>
      <c r="T5" s="13"/>
      <c r="U5" s="13"/>
      <c r="V5" s="13"/>
      <c r="W5" s="13"/>
      <c r="X5" s="13"/>
      <c r="Y5" s="13"/>
      <c r="Z5" s="13"/>
      <c r="AA5" s="13"/>
      <c r="AB5" s="13"/>
      <c r="AC5" s="13"/>
      <c r="AD5" s="3"/>
      <c r="AE5" s="200">
        <v>1089548</v>
      </c>
      <c r="AF5" s="200">
        <v>4298855</v>
      </c>
      <c r="AG5" s="200">
        <v>203876.33333333334</v>
      </c>
      <c r="AH5" s="200">
        <v>2333224</v>
      </c>
      <c r="AI5" s="200">
        <v>1801936.3333333333</v>
      </c>
      <c r="AJ5" s="200">
        <v>1124076.6666666667</v>
      </c>
      <c r="AK5" s="200">
        <v>2075828.3333333333</v>
      </c>
      <c r="AL5" s="200">
        <v>2851267</v>
      </c>
      <c r="AM5" s="32"/>
      <c r="AN5" s="32"/>
      <c r="AO5" s="32"/>
      <c r="AP5" s="32"/>
      <c r="AQ5" s="32"/>
      <c r="AR5" s="32"/>
      <c r="AS5" s="32"/>
      <c r="AT5" s="32"/>
      <c r="AU5" s="32"/>
      <c r="AV5" s="32"/>
      <c r="AW5" s="32"/>
      <c r="AX5" s="32"/>
      <c r="AY5" s="32"/>
      <c r="AZ5" s="32"/>
      <c r="BA5" s="32"/>
    </row>
    <row r="6" spans="1:53" x14ac:dyDescent="0.35">
      <c r="A6" s="234"/>
      <c r="B6" s="200">
        <v>147826</v>
      </c>
      <c r="C6" s="200">
        <v>137385.66666666666</v>
      </c>
      <c r="D6" s="200">
        <v>27935</v>
      </c>
      <c r="E6" s="200">
        <v>76425.333333333328</v>
      </c>
      <c r="F6" s="200">
        <v>1144610.6666666667</v>
      </c>
      <c r="G6" s="200">
        <v>2254022.6666666665</v>
      </c>
      <c r="H6" s="200">
        <v>3645697.3333333335</v>
      </c>
      <c r="I6" s="200">
        <v>92583.333333333328</v>
      </c>
      <c r="J6" s="200">
        <v>789267.66666666663</v>
      </c>
      <c r="K6" s="200">
        <v>1066613.3333333333</v>
      </c>
      <c r="L6" s="200">
        <v>2571578</v>
      </c>
      <c r="M6" s="200">
        <v>1238938.6666666667</v>
      </c>
      <c r="N6" s="13"/>
      <c r="O6" s="13"/>
      <c r="P6" s="13"/>
      <c r="Q6" s="13"/>
      <c r="R6" s="13"/>
      <c r="S6" s="13"/>
      <c r="T6" s="13"/>
      <c r="U6" s="13"/>
      <c r="V6" s="13"/>
      <c r="W6" s="13"/>
      <c r="X6" s="13"/>
      <c r="Y6" s="13"/>
      <c r="Z6" s="13"/>
      <c r="AA6" s="13"/>
      <c r="AB6" s="13"/>
      <c r="AC6" s="13"/>
      <c r="AD6" s="3"/>
      <c r="AE6" s="200">
        <v>2689627</v>
      </c>
      <c r="AF6" s="200">
        <v>2413161</v>
      </c>
      <c r="AG6" s="200">
        <v>241851</v>
      </c>
      <c r="AH6" s="200">
        <v>1690650</v>
      </c>
      <c r="AI6" s="200">
        <v>2357168.3333333335</v>
      </c>
      <c r="AJ6" s="200">
        <v>382070.66666666669</v>
      </c>
      <c r="AK6" s="200">
        <v>1976741.6666666667</v>
      </c>
      <c r="AL6" s="200">
        <v>3229048</v>
      </c>
      <c r="AM6" s="32"/>
      <c r="AN6" s="32"/>
      <c r="AO6" s="32"/>
      <c r="AP6" s="32"/>
      <c r="AQ6" s="32"/>
      <c r="AR6" s="32"/>
      <c r="AS6" s="32"/>
      <c r="AT6" s="32"/>
      <c r="AU6" s="32"/>
      <c r="AV6" s="32"/>
      <c r="AW6" s="32"/>
      <c r="AX6" s="32"/>
      <c r="AY6" s="32"/>
      <c r="AZ6" s="32"/>
      <c r="BA6" s="32"/>
    </row>
    <row r="7" spans="1:53" x14ac:dyDescent="0.35">
      <c r="A7" s="234"/>
      <c r="B7" s="200">
        <v>92294.666666666672</v>
      </c>
      <c r="C7" s="200">
        <v>212513.66666666666</v>
      </c>
      <c r="D7" s="200">
        <v>233105</v>
      </c>
      <c r="E7" s="200"/>
      <c r="F7" s="200">
        <v>30144.666666666668</v>
      </c>
      <c r="G7" s="200">
        <v>2903604.3333333335</v>
      </c>
      <c r="H7" s="200">
        <v>4604478.333333333</v>
      </c>
      <c r="I7" s="200">
        <v>196666.33333333334</v>
      </c>
      <c r="J7" s="200">
        <v>224936.33333333334</v>
      </c>
      <c r="K7" s="200"/>
      <c r="L7" s="200">
        <v>1876811.6666666667</v>
      </c>
      <c r="M7" s="200">
        <v>2594743.6666666665</v>
      </c>
      <c r="N7" s="13"/>
      <c r="O7" s="13"/>
      <c r="P7" s="13"/>
      <c r="Q7" s="13"/>
      <c r="R7" s="13"/>
      <c r="S7" s="13"/>
      <c r="T7" s="13"/>
      <c r="U7" s="13"/>
      <c r="V7" s="13"/>
      <c r="W7" s="13"/>
      <c r="X7" s="13"/>
      <c r="Y7" s="13"/>
      <c r="Z7" s="13"/>
      <c r="AA7" s="13"/>
      <c r="AB7" s="13"/>
      <c r="AC7" s="13"/>
      <c r="AD7" s="3"/>
      <c r="AE7" s="200">
        <v>403289.66666666669</v>
      </c>
      <c r="AF7" s="200">
        <v>1623864</v>
      </c>
      <c r="AG7" s="200">
        <v>219377.66666666666</v>
      </c>
      <c r="AH7" s="200">
        <v>2144308.3333333335</v>
      </c>
      <c r="AI7" s="200">
        <v>1204554.3333333333</v>
      </c>
      <c r="AJ7" s="200">
        <v>1929271</v>
      </c>
      <c r="AK7" s="200">
        <v>2944254.3333333335</v>
      </c>
      <c r="AL7" s="200">
        <v>1243091.5</v>
      </c>
      <c r="AM7" s="32"/>
      <c r="AN7" s="32"/>
      <c r="AO7" s="32"/>
      <c r="AP7" s="32"/>
      <c r="AQ7" s="32"/>
      <c r="AR7" s="32"/>
      <c r="AS7" s="32"/>
      <c r="AT7" s="32"/>
      <c r="AU7" s="32"/>
      <c r="AV7" s="32"/>
      <c r="AW7" s="32"/>
      <c r="AX7" s="32"/>
      <c r="AY7" s="32"/>
      <c r="AZ7" s="32"/>
      <c r="BA7" s="32"/>
    </row>
    <row r="8" spans="1:53" x14ac:dyDescent="0.35">
      <c r="A8" s="234"/>
      <c r="B8" s="200">
        <v>162750.66666666666</v>
      </c>
      <c r="C8" s="200">
        <v>183155</v>
      </c>
      <c r="D8" s="200">
        <v>57867.333333333336</v>
      </c>
      <c r="E8" s="200">
        <v>103859.66666666667</v>
      </c>
      <c r="F8" s="200">
        <v>0</v>
      </c>
      <c r="G8" s="200"/>
      <c r="H8" s="200">
        <v>4401373.666666667</v>
      </c>
      <c r="I8" s="200">
        <v>30448</v>
      </c>
      <c r="J8" s="200">
        <v>157660.33333333334</v>
      </c>
      <c r="K8" s="200">
        <v>894288</v>
      </c>
      <c r="L8" s="200">
        <v>2441420.5</v>
      </c>
      <c r="M8" s="200">
        <v>2475721.6666666665</v>
      </c>
      <c r="N8" s="13"/>
      <c r="O8" s="13"/>
      <c r="P8" s="13"/>
      <c r="Q8" s="13"/>
      <c r="R8" s="13"/>
      <c r="S8" s="13"/>
      <c r="T8" s="13"/>
      <c r="U8" s="13"/>
      <c r="V8" s="13"/>
      <c r="W8" s="13"/>
      <c r="X8" s="13"/>
      <c r="Y8" s="13"/>
      <c r="Z8" s="13"/>
      <c r="AA8" s="13"/>
      <c r="AB8" s="13"/>
      <c r="AC8" s="13"/>
      <c r="AD8" s="3"/>
      <c r="AE8" s="200">
        <v>1163580.3333333333</v>
      </c>
      <c r="AF8" s="200">
        <v>2701833.3333333335</v>
      </c>
      <c r="AG8" s="200">
        <v>26345.333333333332</v>
      </c>
      <c r="AH8" s="200"/>
      <c r="AI8" s="200">
        <v>1156500</v>
      </c>
      <c r="AJ8" s="200">
        <v>888231.66666666663</v>
      </c>
      <c r="AK8" s="200">
        <v>2542248</v>
      </c>
      <c r="AL8" s="200">
        <v>71465.333333333328</v>
      </c>
      <c r="AM8" s="32"/>
      <c r="AN8" s="32"/>
      <c r="AO8" s="32"/>
      <c r="AP8" s="32"/>
      <c r="AQ8" s="32"/>
      <c r="AR8" s="32"/>
      <c r="AS8" s="32"/>
      <c r="AT8" s="32"/>
      <c r="AU8" s="32"/>
      <c r="AV8" s="32"/>
      <c r="AW8" s="32"/>
      <c r="AX8" s="32"/>
      <c r="AY8" s="32"/>
      <c r="AZ8" s="32"/>
      <c r="BA8" s="32"/>
    </row>
    <row r="9" spans="1:53" x14ac:dyDescent="0.35">
      <c r="A9" s="234"/>
      <c r="B9" s="200">
        <v>119656.33333333333</v>
      </c>
      <c r="C9" s="200">
        <v>305468.5</v>
      </c>
      <c r="D9" s="200">
        <v>190653.33333333334</v>
      </c>
      <c r="E9" s="200">
        <v>140464.66666666666</v>
      </c>
      <c r="F9" s="200">
        <v>512109.33333333331</v>
      </c>
      <c r="G9" s="200">
        <v>4632590</v>
      </c>
      <c r="H9" s="200">
        <v>3895566</v>
      </c>
      <c r="I9" s="200">
        <v>182094.66666666666</v>
      </c>
      <c r="J9" s="200">
        <v>239493.66666666666</v>
      </c>
      <c r="K9" s="200">
        <v>649942.33333333337</v>
      </c>
      <c r="L9" s="200">
        <v>2495246.3333333335</v>
      </c>
      <c r="M9" s="200">
        <v>2391249.6666666665</v>
      </c>
      <c r="N9" s="13"/>
      <c r="O9" s="13"/>
      <c r="P9" s="13"/>
      <c r="Q9" s="13"/>
      <c r="R9" s="13"/>
      <c r="S9" s="13"/>
      <c r="T9" s="13"/>
      <c r="U9" s="13"/>
      <c r="V9" s="13"/>
      <c r="W9" s="13"/>
      <c r="X9" s="13"/>
      <c r="Y9" s="13"/>
      <c r="Z9" s="13"/>
      <c r="AA9" s="13"/>
      <c r="AB9" s="13"/>
      <c r="AC9" s="13"/>
      <c r="AD9" s="3"/>
      <c r="AE9" s="200">
        <v>2416528</v>
      </c>
      <c r="AF9" s="200">
        <v>5410689.333333333</v>
      </c>
      <c r="AG9" s="200">
        <v>44182.666666666664</v>
      </c>
      <c r="AH9" s="200">
        <v>2063333.3333333333</v>
      </c>
      <c r="AI9" s="200">
        <v>2909941.6666666665</v>
      </c>
      <c r="AJ9" s="200">
        <v>3486890.3333333335</v>
      </c>
      <c r="AK9" s="200">
        <v>1675819</v>
      </c>
      <c r="AL9" s="200"/>
      <c r="AM9" s="32"/>
      <c r="AN9" s="32"/>
      <c r="AO9" s="32"/>
      <c r="AP9" s="32"/>
      <c r="AQ9" s="32"/>
      <c r="AR9" s="32"/>
      <c r="AS9" s="32"/>
      <c r="AT9" s="32"/>
      <c r="AU9" s="32"/>
      <c r="AV9" s="32"/>
      <c r="AW9" s="32"/>
      <c r="AX9" s="32"/>
      <c r="AY9" s="32"/>
      <c r="AZ9" s="32"/>
      <c r="BA9" s="32"/>
    </row>
    <row r="10" spans="1:53" x14ac:dyDescent="0.35">
      <c r="A10" s="234"/>
      <c r="B10" s="200">
        <v>879.66666666666663</v>
      </c>
      <c r="C10" s="200">
        <v>0</v>
      </c>
      <c r="D10" s="200">
        <v>118467</v>
      </c>
      <c r="E10" s="200">
        <v>182570.66666666666</v>
      </c>
      <c r="F10" s="200">
        <v>7412</v>
      </c>
      <c r="G10" s="200">
        <v>2242097</v>
      </c>
      <c r="H10" s="200">
        <v>3894419.3333333335</v>
      </c>
      <c r="I10" s="200">
        <v>237619</v>
      </c>
      <c r="J10" s="200">
        <v>108409</v>
      </c>
      <c r="K10" s="200">
        <v>1260568.6666666667</v>
      </c>
      <c r="L10" s="200">
        <v>2470448</v>
      </c>
      <c r="M10" s="200">
        <v>2718149.3333333335</v>
      </c>
      <c r="N10" s="13"/>
      <c r="O10" s="13"/>
      <c r="P10" s="13"/>
      <c r="Q10" s="13"/>
      <c r="R10" s="13"/>
      <c r="S10" s="13"/>
      <c r="T10" s="13"/>
      <c r="U10" s="13"/>
      <c r="V10" s="13"/>
      <c r="W10" s="13"/>
      <c r="X10" s="13"/>
      <c r="Y10" s="13"/>
      <c r="Z10" s="13"/>
      <c r="AA10" s="13"/>
      <c r="AB10" s="13"/>
      <c r="AC10" s="13"/>
      <c r="AD10" s="3"/>
      <c r="AE10" s="200">
        <v>2694465</v>
      </c>
      <c r="AF10" s="200">
        <v>4275610</v>
      </c>
      <c r="AG10" s="200">
        <v>327642.66666666669</v>
      </c>
      <c r="AH10" s="200">
        <v>3024385.3333333335</v>
      </c>
      <c r="AI10" s="200">
        <v>817069.33333333337</v>
      </c>
      <c r="AJ10" s="200">
        <v>1521742.3333333333</v>
      </c>
      <c r="AK10" s="200">
        <v>1821626.3333333333</v>
      </c>
      <c r="AL10" s="200">
        <v>2529998</v>
      </c>
      <c r="AM10" s="32"/>
      <c r="AN10" s="32"/>
      <c r="AO10" s="32"/>
      <c r="AP10" s="32"/>
      <c r="AQ10" s="32"/>
      <c r="AR10" s="32"/>
      <c r="AS10" s="32"/>
      <c r="AT10" s="32"/>
      <c r="AU10" s="32"/>
      <c r="AV10" s="32"/>
      <c r="AW10" s="32"/>
      <c r="AX10" s="32"/>
      <c r="AY10" s="32"/>
      <c r="AZ10" s="32"/>
      <c r="BA10" s="32"/>
    </row>
    <row r="11" spans="1:53" x14ac:dyDescent="0.35">
      <c r="A11" s="234"/>
      <c r="B11" s="200">
        <v>230113.33333333334</v>
      </c>
      <c r="C11" s="200">
        <v>62618.5</v>
      </c>
      <c r="D11" s="200">
        <v>144480.66666666666</v>
      </c>
      <c r="E11" s="200">
        <v>476138.5</v>
      </c>
      <c r="F11" s="200">
        <v>178756.66666666666</v>
      </c>
      <c r="G11" s="200">
        <v>2650166.6666666665</v>
      </c>
      <c r="H11" s="200">
        <v>4533409.666666667</v>
      </c>
      <c r="I11" s="200"/>
      <c r="J11" s="200">
        <v>206500.33333333334</v>
      </c>
      <c r="K11" s="200">
        <v>1817610.6666666667</v>
      </c>
      <c r="L11" s="200">
        <v>2268983</v>
      </c>
      <c r="M11" s="200">
        <v>4146162.3333333335</v>
      </c>
      <c r="N11" s="13"/>
      <c r="O11" s="13"/>
      <c r="P11" s="13"/>
      <c r="Q11" s="13"/>
      <c r="R11" s="13"/>
      <c r="S11" s="13"/>
      <c r="T11" s="13"/>
      <c r="U11" s="13"/>
      <c r="V11" s="13"/>
      <c r="W11" s="13"/>
      <c r="X11" s="13"/>
      <c r="Y11" s="13"/>
      <c r="Z11" s="13"/>
      <c r="AA11" s="13"/>
      <c r="AB11" s="13"/>
      <c r="AC11" s="13"/>
      <c r="AD11" s="3"/>
      <c r="AE11" s="200">
        <v>1236184.6666666667</v>
      </c>
      <c r="AF11" s="200">
        <v>3285227.6666666665</v>
      </c>
      <c r="AG11" s="200">
        <v>138900</v>
      </c>
      <c r="AH11" s="200">
        <v>1201151</v>
      </c>
      <c r="AI11" s="200">
        <v>2188069.5</v>
      </c>
      <c r="AJ11" s="200">
        <v>452158.33333333331</v>
      </c>
      <c r="AK11" s="200">
        <v>2122700.3333333335</v>
      </c>
      <c r="AL11" s="200">
        <v>1744061.6666666667</v>
      </c>
      <c r="AM11" s="32"/>
      <c r="AN11" s="32"/>
      <c r="AO11" s="32"/>
      <c r="AP11" s="32"/>
      <c r="AQ11" s="32"/>
      <c r="AR11" s="32"/>
      <c r="AS11" s="32"/>
      <c r="AT11" s="32"/>
      <c r="AU11" s="32"/>
      <c r="AV11" s="32"/>
      <c r="AW11" s="32"/>
      <c r="AX11" s="32"/>
      <c r="AY11" s="32"/>
      <c r="AZ11" s="32"/>
      <c r="BA11" s="32"/>
    </row>
    <row r="12" spans="1:53" x14ac:dyDescent="0.35">
      <c r="A12" s="234"/>
      <c r="B12" s="200"/>
      <c r="C12" s="200">
        <v>142750.33333333334</v>
      </c>
      <c r="D12" s="200">
        <v>8565.3333333333339</v>
      </c>
      <c r="E12" s="200">
        <v>199478.33333333334</v>
      </c>
      <c r="F12" s="200">
        <v>131236</v>
      </c>
      <c r="G12" s="200">
        <v>2647989.3333333335</v>
      </c>
      <c r="H12" s="200">
        <v>5059268.333333333</v>
      </c>
      <c r="I12" s="200">
        <v>74580</v>
      </c>
      <c r="J12" s="200">
        <v>653684.33333333337</v>
      </c>
      <c r="K12" s="200">
        <v>1809102.6666666667</v>
      </c>
      <c r="L12" s="200">
        <v>2822203.6666666665</v>
      </c>
      <c r="M12" s="200">
        <v>2188231.3333333335</v>
      </c>
      <c r="N12" s="13"/>
      <c r="O12" s="13"/>
      <c r="P12" s="13"/>
      <c r="Q12" s="13"/>
      <c r="R12" s="13"/>
      <c r="S12" s="13"/>
      <c r="T12" s="13"/>
      <c r="U12" s="13"/>
      <c r="V12" s="13"/>
      <c r="W12" s="13"/>
      <c r="X12" s="13"/>
      <c r="Y12" s="13"/>
      <c r="Z12" s="13"/>
      <c r="AA12" s="13"/>
      <c r="AB12" s="13"/>
      <c r="AC12" s="13"/>
      <c r="AD12" s="3"/>
      <c r="AE12" s="200">
        <v>183991</v>
      </c>
      <c r="AF12" s="200">
        <v>3774690.6666666665</v>
      </c>
      <c r="AG12" s="200">
        <v>168309.33333333334</v>
      </c>
      <c r="AH12" s="200">
        <v>1049381.3333333333</v>
      </c>
      <c r="AI12" s="200">
        <v>2034313.3333333333</v>
      </c>
      <c r="AJ12" s="200">
        <v>1484077.3333333333</v>
      </c>
      <c r="AK12" s="200">
        <v>1463774.3333333333</v>
      </c>
      <c r="AL12" s="200">
        <v>1867604.3333333333</v>
      </c>
      <c r="AM12" s="32"/>
      <c r="AN12" s="32"/>
      <c r="AO12" s="32"/>
      <c r="AP12" s="32"/>
      <c r="AQ12" s="32"/>
      <c r="AR12" s="32"/>
      <c r="AS12" s="32"/>
      <c r="AT12" s="32"/>
      <c r="AU12" s="32"/>
      <c r="AV12" s="32"/>
      <c r="AW12" s="32"/>
      <c r="AX12" s="32"/>
      <c r="AY12" s="32"/>
      <c r="AZ12" s="32"/>
      <c r="BA12" s="32"/>
    </row>
    <row r="13" spans="1:53" ht="16.5" x14ac:dyDescent="0.35">
      <c r="A13" s="234"/>
      <c r="B13" s="14"/>
      <c r="C13" s="13"/>
      <c r="D13" s="32"/>
      <c r="E13" s="32"/>
      <c r="F13" s="32"/>
      <c r="G13" s="32"/>
      <c r="H13" s="32"/>
      <c r="I13" s="32"/>
      <c r="J13" s="32"/>
      <c r="K13" s="13"/>
      <c r="L13" s="13"/>
      <c r="M13" s="13"/>
      <c r="N13" s="13"/>
      <c r="O13" s="13"/>
      <c r="P13" s="13"/>
      <c r="Q13" s="13"/>
      <c r="R13" s="13"/>
      <c r="S13" s="13"/>
      <c r="T13" s="13"/>
      <c r="U13" s="13"/>
      <c r="V13" s="13"/>
      <c r="W13" s="13"/>
      <c r="X13" s="13"/>
      <c r="Y13" s="13"/>
      <c r="Z13" s="13"/>
      <c r="AA13" s="13"/>
      <c r="AB13" s="13"/>
      <c r="AC13" s="13"/>
      <c r="AD13" s="3"/>
      <c r="AE13" s="200"/>
      <c r="AF13" s="13"/>
      <c r="AG13" s="13"/>
      <c r="AH13" s="32"/>
      <c r="AI13" s="32"/>
      <c r="AJ13" s="32"/>
      <c r="AK13" s="32"/>
      <c r="AL13" s="32"/>
      <c r="AM13" s="32"/>
      <c r="AN13" s="32"/>
      <c r="AO13" s="32"/>
      <c r="AP13" s="32"/>
      <c r="AQ13" s="32"/>
      <c r="AR13" s="32"/>
      <c r="AS13" s="32"/>
      <c r="AT13" s="32"/>
      <c r="AU13" s="32"/>
      <c r="AV13" s="32"/>
      <c r="AW13" s="32"/>
      <c r="AX13" s="32"/>
      <c r="AY13" s="32"/>
      <c r="AZ13" s="32"/>
      <c r="BA13" s="32"/>
    </row>
    <row r="14" spans="1:53" ht="16.5" x14ac:dyDescent="0.35">
      <c r="A14" s="234"/>
      <c r="B14" s="14"/>
      <c r="C14" s="32"/>
      <c r="D14" s="32"/>
      <c r="E14" s="32"/>
      <c r="F14" s="32"/>
      <c r="G14" s="32"/>
      <c r="H14" s="32"/>
      <c r="I14" s="32"/>
      <c r="J14" s="32"/>
      <c r="K14" s="13"/>
      <c r="L14" s="13"/>
      <c r="M14" s="13"/>
      <c r="N14" s="13"/>
      <c r="O14" s="13"/>
      <c r="P14" s="13"/>
      <c r="Q14" s="13"/>
      <c r="R14" s="13"/>
      <c r="S14" s="13"/>
      <c r="T14" s="13"/>
      <c r="U14" s="13"/>
      <c r="V14" s="13"/>
      <c r="W14" s="13"/>
      <c r="X14" s="13"/>
      <c r="Y14" s="13"/>
      <c r="Z14" s="13"/>
      <c r="AA14" s="13"/>
      <c r="AB14" s="13"/>
      <c r="AC14" s="13"/>
      <c r="AD14" s="3"/>
      <c r="AE14" s="200">
        <v>2816868.3333333335</v>
      </c>
      <c r="AF14" s="13"/>
      <c r="AG14" s="13"/>
      <c r="AH14" s="32"/>
      <c r="AI14" s="32"/>
      <c r="AJ14" s="32"/>
      <c r="AK14" s="32"/>
      <c r="AL14" s="32"/>
      <c r="AM14" s="32"/>
      <c r="AN14" s="32"/>
      <c r="AO14" s="32"/>
      <c r="AP14" s="32"/>
      <c r="AQ14" s="32"/>
      <c r="AR14" s="32"/>
      <c r="AS14" s="32"/>
      <c r="AT14" s="32"/>
      <c r="AU14" s="32"/>
      <c r="AV14" s="32"/>
      <c r="AW14" s="32"/>
      <c r="AX14" s="32"/>
      <c r="AY14" s="32"/>
      <c r="AZ14" s="32"/>
      <c r="BA14" s="32"/>
    </row>
    <row r="15" spans="1:53" ht="16.5" x14ac:dyDescent="0.35">
      <c r="A15" s="234"/>
      <c r="B15" s="14"/>
      <c r="C15" s="32"/>
      <c r="D15" s="32"/>
      <c r="E15" s="32"/>
      <c r="F15" s="32"/>
      <c r="G15" s="32"/>
      <c r="H15" s="32"/>
      <c r="I15" s="32"/>
      <c r="J15" s="32"/>
      <c r="K15" s="13"/>
      <c r="L15" s="13"/>
      <c r="M15" s="13"/>
      <c r="N15" s="13"/>
      <c r="O15" s="13"/>
      <c r="P15" s="13"/>
      <c r="Q15" s="13"/>
      <c r="R15" s="13"/>
      <c r="S15" s="13"/>
      <c r="T15" s="13"/>
      <c r="U15" s="13"/>
      <c r="V15" s="13"/>
      <c r="W15" s="13"/>
      <c r="X15" s="13"/>
      <c r="Y15" s="13"/>
      <c r="Z15" s="13"/>
      <c r="AA15" s="13"/>
      <c r="AB15" s="13"/>
      <c r="AC15" s="13"/>
      <c r="AD15" s="3"/>
      <c r="AE15" s="200">
        <v>1682056</v>
      </c>
      <c r="AF15" s="13"/>
      <c r="AG15" s="13"/>
      <c r="AH15" s="32"/>
      <c r="AI15" s="32"/>
      <c r="AJ15" s="32"/>
      <c r="AK15" s="32"/>
      <c r="AL15" s="32"/>
      <c r="AM15" s="32"/>
      <c r="AN15" s="32"/>
      <c r="AO15" s="32"/>
      <c r="AP15" s="32"/>
      <c r="AQ15" s="32"/>
      <c r="AR15" s="32"/>
      <c r="AS15" s="32"/>
      <c r="AT15" s="32"/>
      <c r="AU15" s="32"/>
      <c r="AV15" s="32"/>
      <c r="AW15" s="32"/>
      <c r="AX15" s="32"/>
      <c r="AY15" s="32"/>
      <c r="AZ15" s="32"/>
      <c r="BA15" s="32"/>
    </row>
    <row r="16" spans="1:53" ht="16.5" x14ac:dyDescent="0.35">
      <c r="A16" s="234"/>
      <c r="B16" s="14"/>
      <c r="C16" s="32"/>
      <c r="D16" s="32"/>
      <c r="E16" s="32"/>
      <c r="F16" s="32"/>
      <c r="G16" s="32"/>
      <c r="H16" s="32"/>
      <c r="I16" s="32"/>
      <c r="J16" s="32"/>
      <c r="K16" s="13"/>
      <c r="L16" s="13"/>
      <c r="M16" s="13"/>
      <c r="N16" s="13"/>
      <c r="O16" s="13"/>
      <c r="P16" s="13"/>
      <c r="Q16" s="13"/>
      <c r="R16" s="13"/>
      <c r="S16" s="13"/>
      <c r="T16" s="13"/>
      <c r="U16" s="13"/>
      <c r="V16" s="13"/>
      <c r="W16" s="13"/>
      <c r="X16" s="13"/>
      <c r="Y16" s="13"/>
      <c r="Z16" s="13"/>
      <c r="AA16" s="13"/>
      <c r="AB16" s="13"/>
      <c r="AC16" s="13"/>
      <c r="AD16" s="3"/>
      <c r="AE16" s="200">
        <v>3321443.3333333335</v>
      </c>
      <c r="AF16" s="13"/>
      <c r="AG16" s="13"/>
      <c r="AH16" s="32"/>
      <c r="AI16" s="32"/>
      <c r="AJ16" s="32"/>
      <c r="AK16" s="32"/>
      <c r="AL16" s="32"/>
      <c r="AM16" s="32"/>
      <c r="AN16" s="32"/>
      <c r="AO16" s="32"/>
      <c r="AP16" s="32"/>
      <c r="AQ16" s="32"/>
      <c r="AR16" s="32"/>
      <c r="AS16" s="32"/>
      <c r="AT16" s="32"/>
      <c r="AU16" s="32"/>
      <c r="AV16" s="32"/>
      <c r="AW16" s="32"/>
      <c r="AX16" s="32"/>
      <c r="AY16" s="32"/>
      <c r="AZ16" s="32"/>
      <c r="BA16" s="32"/>
    </row>
    <row r="17" spans="1:53" ht="16.5" x14ac:dyDescent="0.35">
      <c r="A17" s="234"/>
      <c r="B17" s="14"/>
      <c r="C17" s="32"/>
      <c r="D17" s="32"/>
      <c r="E17" s="32"/>
      <c r="F17" s="32"/>
      <c r="G17" s="32"/>
      <c r="H17" s="32"/>
      <c r="I17" s="32"/>
      <c r="J17" s="32"/>
      <c r="K17" s="13"/>
      <c r="L17" s="13"/>
      <c r="M17" s="13"/>
      <c r="N17" s="13"/>
      <c r="O17" s="13"/>
      <c r="P17" s="13"/>
      <c r="Q17" s="13"/>
      <c r="R17" s="13"/>
      <c r="S17" s="13"/>
      <c r="T17" s="13"/>
      <c r="U17" s="13"/>
      <c r="V17" s="13"/>
      <c r="W17" s="13"/>
      <c r="X17" s="13"/>
      <c r="Y17" s="13"/>
      <c r="Z17" s="13"/>
      <c r="AA17" s="13"/>
      <c r="AB17" s="13"/>
      <c r="AC17" s="13"/>
      <c r="AD17" s="3"/>
      <c r="AE17" s="200">
        <v>100096</v>
      </c>
      <c r="AF17" s="13"/>
      <c r="AG17" s="13"/>
      <c r="AH17" s="32"/>
      <c r="AI17" s="32"/>
      <c r="AJ17" s="32"/>
      <c r="AK17" s="32"/>
      <c r="AL17" s="32"/>
      <c r="AM17" s="32"/>
      <c r="AN17" s="32"/>
      <c r="AO17" s="32"/>
      <c r="AP17" s="32"/>
      <c r="AQ17" s="32"/>
      <c r="AR17" s="32"/>
      <c r="AS17" s="32"/>
      <c r="AT17" s="32"/>
      <c r="AU17" s="32"/>
      <c r="AV17" s="32"/>
      <c r="AW17" s="32"/>
      <c r="AX17" s="32"/>
      <c r="AY17" s="32"/>
      <c r="AZ17" s="32"/>
      <c r="BA17" s="32"/>
    </row>
    <row r="18" spans="1:53" ht="16.5" x14ac:dyDescent="0.35">
      <c r="A18" s="234"/>
      <c r="B18" s="14"/>
      <c r="C18" s="32"/>
      <c r="D18" s="32"/>
      <c r="E18" s="32"/>
      <c r="F18" s="32"/>
      <c r="G18" s="32"/>
      <c r="H18" s="32"/>
      <c r="I18" s="32"/>
      <c r="J18" s="32"/>
      <c r="K18" s="13"/>
      <c r="L18" s="13"/>
      <c r="M18" s="13"/>
      <c r="N18" s="13"/>
      <c r="O18" s="13"/>
      <c r="P18" s="13"/>
      <c r="Q18" s="13"/>
      <c r="R18" s="13"/>
      <c r="S18" s="13"/>
      <c r="T18" s="13"/>
      <c r="U18" s="13"/>
      <c r="V18" s="13"/>
      <c r="W18" s="13"/>
      <c r="X18" s="13"/>
      <c r="Y18" s="13"/>
      <c r="Z18" s="13"/>
      <c r="AA18" s="13"/>
      <c r="AB18" s="13"/>
      <c r="AC18" s="13"/>
      <c r="AD18" s="3"/>
      <c r="AE18" s="200">
        <v>890474</v>
      </c>
      <c r="AF18" s="13"/>
      <c r="AG18" s="13"/>
      <c r="AH18" s="32"/>
      <c r="AI18" s="32"/>
      <c r="AJ18" s="32"/>
      <c r="AK18" s="32"/>
      <c r="AL18" s="32"/>
      <c r="AM18" s="32"/>
      <c r="AN18" s="32"/>
      <c r="AO18" s="32"/>
      <c r="AP18" s="32"/>
      <c r="AQ18" s="32"/>
      <c r="AR18" s="32"/>
      <c r="AS18" s="32"/>
      <c r="AT18" s="32"/>
      <c r="AU18" s="32"/>
      <c r="AV18" s="32"/>
      <c r="AW18" s="32"/>
      <c r="AX18" s="32"/>
      <c r="AY18" s="32"/>
      <c r="AZ18" s="32"/>
      <c r="BA18" s="32"/>
    </row>
    <row r="19" spans="1:53" ht="16.5" x14ac:dyDescent="0.35">
      <c r="A19" s="234"/>
      <c r="B19" s="14"/>
      <c r="C19" s="32"/>
      <c r="D19" s="32"/>
      <c r="E19" s="32"/>
      <c r="F19" s="32"/>
      <c r="G19" s="32"/>
      <c r="H19" s="32"/>
      <c r="I19" s="32"/>
      <c r="J19" s="32"/>
      <c r="K19" s="13"/>
      <c r="L19" s="13"/>
      <c r="M19" s="13"/>
      <c r="N19" s="13"/>
      <c r="O19" s="13"/>
      <c r="P19" s="13"/>
      <c r="Q19" s="13"/>
      <c r="R19" s="13"/>
      <c r="S19" s="13"/>
      <c r="T19" s="13"/>
      <c r="U19" s="13"/>
      <c r="V19" s="13"/>
      <c r="W19" s="13"/>
      <c r="X19" s="13"/>
      <c r="Y19" s="13"/>
      <c r="Z19" s="13"/>
      <c r="AA19" s="13"/>
      <c r="AB19" s="13"/>
      <c r="AC19" s="13"/>
      <c r="AD19" s="3"/>
      <c r="AE19" s="200">
        <v>252262.33333333334</v>
      </c>
      <c r="AF19" s="13"/>
      <c r="AG19" s="13"/>
      <c r="AH19" s="32"/>
      <c r="AI19" s="32"/>
      <c r="AJ19" s="32"/>
      <c r="AK19" s="32"/>
      <c r="AL19" s="32"/>
      <c r="AM19" s="32"/>
      <c r="AN19" s="32"/>
      <c r="AO19" s="32"/>
      <c r="AP19" s="32"/>
      <c r="AQ19" s="32"/>
      <c r="AR19" s="32"/>
      <c r="AS19" s="32"/>
      <c r="AT19" s="32"/>
      <c r="AU19" s="32"/>
      <c r="AV19" s="32"/>
      <c r="AW19" s="32"/>
      <c r="AX19" s="32"/>
      <c r="AY19" s="32"/>
      <c r="AZ19" s="32"/>
      <c r="BA19" s="32"/>
    </row>
    <row r="20" spans="1:53" ht="16.5" x14ac:dyDescent="0.35">
      <c r="A20" s="234"/>
      <c r="B20" s="14"/>
      <c r="C20" s="32"/>
      <c r="D20" s="32"/>
      <c r="E20" s="32"/>
      <c r="F20" s="32"/>
      <c r="G20" s="32"/>
      <c r="H20" s="32"/>
      <c r="I20" s="32"/>
      <c r="J20" s="32"/>
      <c r="K20" s="13"/>
      <c r="L20" s="13"/>
      <c r="M20" s="13"/>
      <c r="N20" s="13"/>
      <c r="O20" s="13"/>
      <c r="P20" s="13"/>
      <c r="Q20" s="13"/>
      <c r="R20" s="13"/>
      <c r="S20" s="13"/>
      <c r="T20" s="13"/>
      <c r="U20" s="13"/>
      <c r="V20" s="13"/>
      <c r="W20" s="13"/>
      <c r="X20" s="13"/>
      <c r="Y20" s="13"/>
      <c r="Z20" s="13"/>
      <c r="AA20" s="13"/>
      <c r="AB20" s="13"/>
      <c r="AC20" s="13"/>
      <c r="AD20" s="3"/>
      <c r="AE20" s="200">
        <v>894519</v>
      </c>
      <c r="AF20" s="13"/>
      <c r="AG20" s="13"/>
      <c r="AH20" s="32"/>
      <c r="AI20" s="32"/>
      <c r="AJ20" s="32"/>
      <c r="AK20" s="32"/>
      <c r="AL20" s="32"/>
      <c r="AM20" s="32"/>
      <c r="AN20" s="32"/>
      <c r="AO20" s="32"/>
      <c r="AP20" s="32"/>
      <c r="AQ20" s="32"/>
      <c r="AR20" s="32"/>
      <c r="AS20" s="32"/>
      <c r="AT20" s="32"/>
      <c r="AU20" s="32"/>
      <c r="AV20" s="32"/>
      <c r="AW20" s="32"/>
      <c r="AX20" s="32"/>
      <c r="AY20" s="32"/>
      <c r="AZ20" s="32"/>
      <c r="BA20" s="32"/>
    </row>
    <row r="21" spans="1:53" x14ac:dyDescent="0.35">
      <c r="A21" s="3"/>
      <c r="B21" s="7"/>
      <c r="C21" s="7"/>
      <c r="D21" s="7"/>
      <c r="E21" s="7"/>
      <c r="F21" s="7"/>
      <c r="G21" s="7"/>
      <c r="H21" s="7"/>
      <c r="I21" s="7"/>
      <c r="J21" s="7"/>
      <c r="AD21" s="3"/>
      <c r="AE21" s="7"/>
      <c r="AH21" s="7"/>
      <c r="AI21" s="7"/>
      <c r="AJ21" s="7"/>
      <c r="AK21" s="7"/>
      <c r="AL21" s="7"/>
      <c r="AM21" s="7"/>
      <c r="AN21" s="7"/>
      <c r="AO21" s="7"/>
      <c r="AP21" s="7"/>
      <c r="AQ21" s="7"/>
      <c r="AR21" s="7"/>
      <c r="AS21" s="7"/>
      <c r="AT21" s="7"/>
      <c r="AU21" s="7"/>
      <c r="AV21" s="7"/>
      <c r="AW21" s="7"/>
      <c r="AX21" s="7"/>
      <c r="AY21" s="7"/>
      <c r="AZ21" s="7"/>
      <c r="BA21" s="7"/>
    </row>
    <row r="22" spans="1:53" x14ac:dyDescent="0.35">
      <c r="A22" s="3" t="str">
        <f>A4</f>
        <v>Noms des groupes</v>
      </c>
      <c r="B22" s="3" t="str">
        <f t="shared" ref="B22:AT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Testo-3.7µg/L</v>
      </c>
      <c r="J22" s="3" t="str">
        <f t="shared" si="0"/>
        <v>Testo-11µg/L</v>
      </c>
      <c r="K22" s="3" t="str">
        <f t="shared" si="0"/>
        <v>Testo-33µg/L</v>
      </c>
      <c r="L22" s="3" t="str">
        <f t="shared" si="0"/>
        <v>Testo-100µg/L</v>
      </c>
      <c r="M22" s="3" t="str">
        <f t="shared" si="0"/>
        <v>Testo-300µg/L</v>
      </c>
      <c r="N22" s="3" t="str">
        <f t="shared" si="0"/>
        <v xml:space="preserve"> </v>
      </c>
      <c r="O22" s="3" t="str">
        <f t="shared" si="0"/>
        <v xml:space="preserve"> </v>
      </c>
      <c r="P22" s="3" t="str">
        <f t="shared" si="0"/>
        <v xml:space="preserve"> </v>
      </c>
      <c r="Q22" s="3" t="str">
        <f t="shared" ref="Q22:W22" si="1">Q4</f>
        <v xml:space="preserve"> </v>
      </c>
      <c r="R22" s="3" t="str">
        <f t="shared" si="1"/>
        <v xml:space="preserve"> </v>
      </c>
      <c r="S22" s="3" t="str">
        <f t="shared" si="1"/>
        <v xml:space="preserve"> </v>
      </c>
      <c r="T22" s="3" t="str">
        <f t="shared" si="1"/>
        <v xml:space="preserve"> </v>
      </c>
      <c r="U22" s="3" t="str">
        <f t="shared" si="1"/>
        <v xml:space="preserve"> </v>
      </c>
      <c r="V22" s="3" t="str">
        <f t="shared" si="1"/>
        <v xml:space="preserve"> </v>
      </c>
      <c r="W22" s="3" t="str">
        <f t="shared" si="1"/>
        <v xml:space="preserve"> </v>
      </c>
      <c r="X22" s="3" t="str">
        <f t="shared" ref="X22:AC22" si="2">X4</f>
        <v xml:space="preserve"> </v>
      </c>
      <c r="Y22" s="3" t="str">
        <f t="shared" si="2"/>
        <v xml:space="preserve"> </v>
      </c>
      <c r="Z22" s="3" t="str">
        <f t="shared" si="2"/>
        <v xml:space="preserve"> </v>
      </c>
      <c r="AA22" s="3" t="str">
        <f t="shared" si="2"/>
        <v xml:space="preserve"> </v>
      </c>
      <c r="AB22" s="3" t="str">
        <f t="shared" si="2"/>
        <v xml:space="preserve"> </v>
      </c>
      <c r="AC22" s="3" t="str">
        <f t="shared" si="2"/>
        <v xml:space="preserve"> </v>
      </c>
      <c r="AD22" s="3" t="s">
        <v>41</v>
      </c>
      <c r="AE22" s="3" t="str">
        <f t="shared" si="0"/>
        <v>Testo -30µg/L</v>
      </c>
      <c r="AF22" s="3" t="str">
        <f t="shared" si="0"/>
        <v>Testo 30µg/L + EE2 -64ng/L</v>
      </c>
      <c r="AG22" s="3" t="str">
        <f t="shared" si="0"/>
        <v>Testo 30µg/L + FAD-10mg/L</v>
      </c>
      <c r="AH22" s="3" t="str">
        <f t="shared" si="0"/>
        <v>Testo-3,7µg/L + Testostérone</v>
      </c>
      <c r="AI22" s="3" t="str">
        <f t="shared" si="0"/>
        <v>Testo-11µg/L + Testostérone</v>
      </c>
      <c r="AJ22" s="3" t="str">
        <f t="shared" si="0"/>
        <v>Testo-33µg/L + Testostérone</v>
      </c>
      <c r="AK22" s="3" t="str">
        <f t="shared" si="0"/>
        <v>Testo-100µg/L + Testostérone</v>
      </c>
      <c r="AL22" s="3" t="str">
        <f t="shared" si="0"/>
        <v>Testo-300µg/L + Testostérone</v>
      </c>
      <c r="AM22" s="3" t="str">
        <f t="shared" si="0"/>
        <v>0-00 + Testostérone</v>
      </c>
      <c r="AN22" s="3" t="str">
        <f t="shared" si="0"/>
        <v>0-00 + Testostérone</v>
      </c>
      <c r="AO22" s="3" t="str">
        <f t="shared" si="0"/>
        <v>0-00 + Testostérone</v>
      </c>
      <c r="AP22" s="3" t="str">
        <f t="shared" si="0"/>
        <v>0-00 + Testostérone</v>
      </c>
      <c r="AQ22" s="3" t="str">
        <f t="shared" si="0"/>
        <v>0-00 + Testostérone</v>
      </c>
      <c r="AR22" s="3" t="str">
        <f t="shared" si="0"/>
        <v>0-00 + Testostérone</v>
      </c>
      <c r="AS22" s="3" t="str">
        <f t="shared" si="0"/>
        <v>0-00 + Testostérone</v>
      </c>
      <c r="AT22" s="3" t="str">
        <f t="shared" si="0"/>
        <v>0-00 + Testostérone</v>
      </c>
      <c r="AU22" s="3" t="str">
        <f t="shared" ref="AU22:BA22" si="3">AU4</f>
        <v>0-00 + Testostérone</v>
      </c>
      <c r="AV22" s="3" t="str">
        <f t="shared" si="3"/>
        <v>0-00 + Testostérone</v>
      </c>
      <c r="AW22" s="3" t="str">
        <f t="shared" si="3"/>
        <v>0-00 + Testostérone</v>
      </c>
      <c r="AX22" s="3" t="str">
        <f t="shared" si="3"/>
        <v>0-00 + Testostérone</v>
      </c>
      <c r="AY22" s="3" t="str">
        <f t="shared" si="3"/>
        <v>0-00 + Testostérone</v>
      </c>
      <c r="AZ22" s="3" t="str">
        <f t="shared" si="3"/>
        <v>0-00 + Testostérone</v>
      </c>
      <c r="BA22" s="3" t="str">
        <f t="shared" si="3"/>
        <v>0-00 + Testostérone</v>
      </c>
    </row>
    <row r="23" spans="1:53" x14ac:dyDescent="0.35">
      <c r="A23" s="5" t="s">
        <v>0</v>
      </c>
      <c r="B23" s="5">
        <f t="shared" ref="B23:J23" si="4">AVERAGE(B5:B20)</f>
        <v>109860.28571428571</v>
      </c>
      <c r="C23" s="5">
        <f t="shared" si="4"/>
        <v>149127.38095238095</v>
      </c>
      <c r="D23" s="5">
        <f t="shared" si="4"/>
        <v>110626.58333333333</v>
      </c>
      <c r="E23" s="5">
        <f t="shared" si="4"/>
        <v>171491.02380952379</v>
      </c>
      <c r="F23" s="5">
        <f t="shared" si="4"/>
        <v>250618.85416666669</v>
      </c>
      <c r="G23" s="5">
        <f t="shared" si="4"/>
        <v>2814519.952380952</v>
      </c>
      <c r="H23" s="5">
        <f t="shared" si="4"/>
        <v>4367501.208333334</v>
      </c>
      <c r="I23" s="5">
        <f t="shared" si="4"/>
        <v>143524.76190476189</v>
      </c>
      <c r="J23" s="5">
        <f t="shared" si="4"/>
        <v>373407.70833333337</v>
      </c>
      <c r="K23" s="5"/>
      <c r="L23" s="5">
        <f>AVERAGE(L5:L20)</f>
        <v>2440463.6458333335</v>
      </c>
      <c r="M23" s="5"/>
      <c r="N23" s="5" t="e">
        <f>AVERAGE(N5:N20)</f>
        <v>#DIV/0!</v>
      </c>
      <c r="O23" s="5"/>
      <c r="P23" s="5" t="e">
        <f t="shared" ref="P23:AC23" si="5">AVERAGE(P5:P20)</f>
        <v>#DIV/0!</v>
      </c>
      <c r="Q23" s="5" t="e">
        <f t="shared" si="5"/>
        <v>#DIV/0!</v>
      </c>
      <c r="R23" s="5" t="e">
        <f t="shared" si="5"/>
        <v>#DIV/0!</v>
      </c>
      <c r="S23" s="5" t="e">
        <f t="shared" si="5"/>
        <v>#DIV/0!</v>
      </c>
      <c r="T23" s="5" t="e">
        <f t="shared" si="5"/>
        <v>#DIV/0!</v>
      </c>
      <c r="U23" s="5" t="e">
        <f t="shared" si="5"/>
        <v>#DIV/0!</v>
      </c>
      <c r="V23" s="5" t="e">
        <f t="shared" si="5"/>
        <v>#DIV/0!</v>
      </c>
      <c r="W23" s="5" t="e">
        <f t="shared" si="5"/>
        <v>#DIV/0!</v>
      </c>
      <c r="X23" s="5" t="e">
        <f t="shared" si="5"/>
        <v>#DIV/0!</v>
      </c>
      <c r="Y23" s="5" t="e">
        <f t="shared" si="5"/>
        <v>#DIV/0!</v>
      </c>
      <c r="Z23" s="5" t="e">
        <f t="shared" si="5"/>
        <v>#DIV/0!</v>
      </c>
      <c r="AA23" s="5" t="e">
        <f t="shared" si="5"/>
        <v>#DIV/0!</v>
      </c>
      <c r="AB23" s="5" t="e">
        <f t="shared" si="5"/>
        <v>#DIV/0!</v>
      </c>
      <c r="AC23" s="5" t="e">
        <f t="shared" si="5"/>
        <v>#DIV/0!</v>
      </c>
      <c r="AD23" s="5" t="s">
        <v>0</v>
      </c>
      <c r="AE23" s="5">
        <f>AVERAGE(AE5:AE20)</f>
        <v>1455662.1777777777</v>
      </c>
      <c r="AF23" s="5">
        <f>AVERAGE(AF5:AF20)</f>
        <v>3472991.3750000005</v>
      </c>
      <c r="AG23" s="5">
        <f>AVERAGE(AG5:AG20)</f>
        <v>171310.625</v>
      </c>
      <c r="AH23" s="5">
        <f>AVERAGE(AH5:AH20)</f>
        <v>1929490.4761904762</v>
      </c>
      <c r="AI23" s="5">
        <f>AVERAGE(AI5:AI20)</f>
        <v>1808694.1041666667</v>
      </c>
      <c r="AJ23" s="5">
        <f t="shared" ref="AJ23:AT23" si="6">AVERAGE(AJ5:AJ20)</f>
        <v>1408564.791666667</v>
      </c>
      <c r="AK23" s="5">
        <f t="shared" si="6"/>
        <v>2077874.041666667</v>
      </c>
      <c r="AL23" s="5">
        <f t="shared" si="6"/>
        <v>1933790.8333333333</v>
      </c>
      <c r="AM23" s="5" t="e">
        <f t="shared" si="6"/>
        <v>#DIV/0!</v>
      </c>
      <c r="AN23" s="5" t="e">
        <f t="shared" si="6"/>
        <v>#DIV/0!</v>
      </c>
      <c r="AO23" s="5" t="e">
        <f t="shared" si="6"/>
        <v>#DIV/0!</v>
      </c>
      <c r="AP23" s="5" t="e">
        <f t="shared" si="6"/>
        <v>#DIV/0!</v>
      </c>
      <c r="AQ23" s="5" t="e">
        <f t="shared" si="6"/>
        <v>#DIV/0!</v>
      </c>
      <c r="AR23" s="5" t="e">
        <f t="shared" si="6"/>
        <v>#DIV/0!</v>
      </c>
      <c r="AS23" s="5" t="e">
        <f t="shared" si="6"/>
        <v>#DIV/0!</v>
      </c>
      <c r="AT23" s="5" t="e">
        <f t="shared" si="6"/>
        <v>#DIV/0!</v>
      </c>
      <c r="AU23" s="5" t="e">
        <f t="shared" ref="AU23:BA23" si="7">AVERAGE(AU5:AU20)</f>
        <v>#DIV/0!</v>
      </c>
      <c r="AV23" s="5" t="e">
        <f t="shared" si="7"/>
        <v>#DIV/0!</v>
      </c>
      <c r="AW23" s="5" t="e">
        <f t="shared" si="7"/>
        <v>#DIV/0!</v>
      </c>
      <c r="AX23" s="5" t="e">
        <f t="shared" si="7"/>
        <v>#DIV/0!</v>
      </c>
      <c r="AY23" s="5" t="e">
        <f t="shared" si="7"/>
        <v>#DIV/0!</v>
      </c>
      <c r="AZ23" s="5" t="e">
        <f t="shared" si="7"/>
        <v>#DIV/0!</v>
      </c>
      <c r="BA23" s="5" t="e">
        <f t="shared" si="7"/>
        <v>#DIV/0!</v>
      </c>
    </row>
    <row r="24" spans="1:53" x14ac:dyDescent="0.35">
      <c r="A24" s="3" t="s">
        <v>1</v>
      </c>
      <c r="B24" s="3">
        <f t="shared" ref="B24:J24" si="8">STDEV(B5:B20)</f>
        <v>81531.674891924908</v>
      </c>
      <c r="C24" s="3">
        <f t="shared" si="8"/>
        <v>99598.813918487867</v>
      </c>
      <c r="D24" s="3">
        <f t="shared" si="8"/>
        <v>78098.356753997126</v>
      </c>
      <c r="E24" s="3">
        <f t="shared" si="8"/>
        <v>147641.20967463372</v>
      </c>
      <c r="F24" s="3">
        <f t="shared" si="8"/>
        <v>400009.28626938345</v>
      </c>
      <c r="G24" s="3">
        <f t="shared" si="8"/>
        <v>837301.6077588381</v>
      </c>
      <c r="H24" s="3">
        <f t="shared" si="8"/>
        <v>509995.1494998025</v>
      </c>
      <c r="I24" s="3">
        <f t="shared" si="8"/>
        <v>76945.823296441478</v>
      </c>
      <c r="J24" s="3">
        <f t="shared" si="8"/>
        <v>264793.93884148571</v>
      </c>
      <c r="K24" s="3"/>
      <c r="L24" s="3">
        <f>STDEV(L5:L20)</f>
        <v>275829.60434829799</v>
      </c>
      <c r="M24" s="3"/>
      <c r="N24" s="3" t="e">
        <f>STDEV(N5:N20)</f>
        <v>#DIV/0!</v>
      </c>
      <c r="O24" s="3"/>
      <c r="P24" s="3" t="e">
        <f t="shared" ref="P24:AC24" si="9">STDEV(P5:P20)</f>
        <v>#DIV/0!</v>
      </c>
      <c r="Q24" s="3" t="e">
        <f t="shared" si="9"/>
        <v>#DIV/0!</v>
      </c>
      <c r="R24" s="3" t="e">
        <f t="shared" si="9"/>
        <v>#DIV/0!</v>
      </c>
      <c r="S24" s="3" t="e">
        <f t="shared" si="9"/>
        <v>#DIV/0!</v>
      </c>
      <c r="T24" s="3" t="e">
        <f t="shared" si="9"/>
        <v>#DIV/0!</v>
      </c>
      <c r="U24" s="3" t="e">
        <f t="shared" si="9"/>
        <v>#DIV/0!</v>
      </c>
      <c r="V24" s="3" t="e">
        <f t="shared" si="9"/>
        <v>#DIV/0!</v>
      </c>
      <c r="W24" s="3" t="e">
        <f t="shared" si="9"/>
        <v>#DIV/0!</v>
      </c>
      <c r="X24" s="3" t="e">
        <f t="shared" si="9"/>
        <v>#DIV/0!</v>
      </c>
      <c r="Y24" s="3" t="e">
        <f t="shared" si="9"/>
        <v>#DIV/0!</v>
      </c>
      <c r="Z24" s="3" t="e">
        <f t="shared" si="9"/>
        <v>#DIV/0!</v>
      </c>
      <c r="AA24" s="3" t="e">
        <f t="shared" si="9"/>
        <v>#DIV/0!</v>
      </c>
      <c r="AB24" s="3" t="e">
        <f t="shared" si="9"/>
        <v>#DIV/0!</v>
      </c>
      <c r="AC24" s="3" t="e">
        <f t="shared" si="9"/>
        <v>#DIV/0!</v>
      </c>
      <c r="AD24" s="3" t="s">
        <v>1</v>
      </c>
      <c r="AE24" s="3">
        <f>STDEV(AE5:AE20)</f>
        <v>1078293.8863210254</v>
      </c>
      <c r="AF24" s="3">
        <f>STDEV(AF5:AF20)</f>
        <v>1215635.9671709531</v>
      </c>
      <c r="AG24" s="3">
        <f>STDEV(AG5:AG20)</f>
        <v>100727.72887712724</v>
      </c>
      <c r="AH24" s="3">
        <f>STDEV(AH5:AH20)</f>
        <v>681661.13252678455</v>
      </c>
      <c r="AI24" s="3">
        <f>STDEV(AI5:AI20)</f>
        <v>705297.02631635219</v>
      </c>
      <c r="AJ24" s="3">
        <f t="shared" ref="AJ24:AT24" si="10">STDEV(AJ5:AJ20)</f>
        <v>994927.62614510162</v>
      </c>
      <c r="AK24" s="3">
        <f t="shared" si="10"/>
        <v>475534.12344400998</v>
      </c>
      <c r="AL24" s="3">
        <f t="shared" si="10"/>
        <v>1069315.6905447412</v>
      </c>
      <c r="AM24" s="3" t="e">
        <f t="shared" si="10"/>
        <v>#DIV/0!</v>
      </c>
      <c r="AN24" s="3" t="e">
        <f t="shared" si="10"/>
        <v>#DIV/0!</v>
      </c>
      <c r="AO24" s="3" t="e">
        <f t="shared" si="10"/>
        <v>#DIV/0!</v>
      </c>
      <c r="AP24" s="3" t="e">
        <f t="shared" si="10"/>
        <v>#DIV/0!</v>
      </c>
      <c r="AQ24" s="3" t="e">
        <f t="shared" si="10"/>
        <v>#DIV/0!</v>
      </c>
      <c r="AR24" s="3" t="e">
        <f t="shared" si="10"/>
        <v>#DIV/0!</v>
      </c>
      <c r="AS24" s="3" t="e">
        <f t="shared" si="10"/>
        <v>#DIV/0!</v>
      </c>
      <c r="AT24" s="3" t="e">
        <f t="shared" si="10"/>
        <v>#DIV/0!</v>
      </c>
      <c r="AU24" s="3" t="e">
        <f t="shared" ref="AU24:BA24" si="11">STDEV(AU5:AU20)</f>
        <v>#DIV/0!</v>
      </c>
      <c r="AV24" s="3" t="e">
        <f t="shared" si="11"/>
        <v>#DIV/0!</v>
      </c>
      <c r="AW24" s="3" t="e">
        <f t="shared" si="11"/>
        <v>#DIV/0!</v>
      </c>
      <c r="AX24" s="3" t="e">
        <f t="shared" si="11"/>
        <v>#DIV/0!</v>
      </c>
      <c r="AY24" s="3" t="e">
        <f t="shared" si="11"/>
        <v>#DIV/0!</v>
      </c>
      <c r="AZ24" s="3" t="e">
        <f t="shared" si="11"/>
        <v>#DIV/0!</v>
      </c>
      <c r="BA24" s="3" t="e">
        <f t="shared" si="11"/>
        <v>#DIV/0!</v>
      </c>
    </row>
    <row r="25" spans="1:53" ht="15" thickBot="1" x14ac:dyDescent="0.4"/>
    <row r="26" spans="1:53" ht="15" thickBot="1" x14ac:dyDescent="0.4">
      <c r="B26" s="231" t="s">
        <v>6</v>
      </c>
      <c r="C26" s="232"/>
      <c r="D26" s="232"/>
      <c r="E26" s="232"/>
      <c r="F26" s="232"/>
      <c r="G26" s="232"/>
      <c r="H26" s="232"/>
      <c r="I26" s="232"/>
      <c r="J26" s="232"/>
      <c r="K26" s="232"/>
      <c r="L26" s="232"/>
      <c r="M26" s="232"/>
      <c r="N26" s="232"/>
      <c r="O26" s="232"/>
      <c r="P26" s="232"/>
      <c r="Q26" s="232"/>
      <c r="R26" s="232"/>
      <c r="S26" s="232"/>
      <c r="T26" s="232"/>
      <c r="U26" s="232"/>
      <c r="V26" s="232"/>
      <c r="W26" s="232"/>
      <c r="X26" s="232"/>
      <c r="Y26" s="232"/>
      <c r="Z26" s="232"/>
      <c r="AA26" s="232"/>
      <c r="AB26" s="232"/>
      <c r="AC26" s="233"/>
      <c r="AE26" s="231" t="s">
        <v>3</v>
      </c>
      <c r="AF26" s="232"/>
      <c r="AG26" s="232"/>
      <c r="AH26" s="232"/>
      <c r="AI26" s="232"/>
      <c r="AJ26" s="232"/>
      <c r="AK26" s="232"/>
      <c r="AL26" s="232"/>
      <c r="AM26" s="232"/>
      <c r="AN26" s="232"/>
      <c r="AO26" s="232"/>
      <c r="AP26" s="232"/>
      <c r="AQ26" s="232"/>
      <c r="AR26" s="232"/>
      <c r="AS26" s="232"/>
      <c r="AT26" s="232"/>
      <c r="AU26" s="232"/>
      <c r="AV26" s="232"/>
      <c r="AW26" s="232"/>
      <c r="AX26" s="232"/>
      <c r="AY26" s="232"/>
      <c r="AZ26" s="232"/>
      <c r="BA26" s="233"/>
    </row>
    <row r="27" spans="1:53" x14ac:dyDescent="0.35">
      <c r="A27" s="34" t="s">
        <v>41</v>
      </c>
      <c r="B27" s="35" t="str">
        <f>B4</f>
        <v>Témoin solvant</v>
      </c>
      <c r="C27" s="35" t="str">
        <f t="shared" ref="C27:P27" si="12">C4</f>
        <v>EE2-33,8ng/L</v>
      </c>
      <c r="D27" s="35" t="str">
        <f t="shared" si="12"/>
        <v>EE2-50,6ng/L</v>
      </c>
      <c r="E27" s="35" t="str">
        <f t="shared" si="12"/>
        <v>EE2-76ng/L</v>
      </c>
      <c r="F27" s="35" t="str">
        <f t="shared" si="12"/>
        <v>EE2-114ng/L</v>
      </c>
      <c r="G27" s="35" t="str">
        <f t="shared" si="12"/>
        <v>EE2-170,9ng/L</v>
      </c>
      <c r="H27" s="35" t="str">
        <f t="shared" si="12"/>
        <v>EE2-488ng/L</v>
      </c>
      <c r="I27" s="35" t="str">
        <f t="shared" si="12"/>
        <v>Testo-3.7µg/L</v>
      </c>
      <c r="J27" s="35" t="str">
        <f t="shared" si="12"/>
        <v>Testo-11µg/L</v>
      </c>
      <c r="K27" s="35" t="str">
        <f t="shared" si="12"/>
        <v>Testo-33µg/L</v>
      </c>
      <c r="L27" s="35" t="str">
        <f t="shared" si="12"/>
        <v>Testo-100µg/L</v>
      </c>
      <c r="M27" s="35" t="str">
        <f t="shared" si="12"/>
        <v>Testo-300µg/L</v>
      </c>
      <c r="N27" s="35" t="str">
        <f t="shared" si="12"/>
        <v xml:space="preserve"> </v>
      </c>
      <c r="O27" s="35" t="str">
        <f t="shared" si="12"/>
        <v xml:space="preserve"> </v>
      </c>
      <c r="P27" s="35" t="str">
        <f t="shared" si="12"/>
        <v xml:space="preserve"> </v>
      </c>
      <c r="Q27" s="35" t="str">
        <f t="shared" ref="Q27:W27" si="13">Q4</f>
        <v xml:space="preserve"> </v>
      </c>
      <c r="R27" s="35" t="str">
        <f t="shared" si="13"/>
        <v xml:space="preserve"> </v>
      </c>
      <c r="S27" s="35" t="str">
        <f t="shared" si="13"/>
        <v xml:space="preserve"> </v>
      </c>
      <c r="T27" s="35" t="str">
        <f t="shared" si="13"/>
        <v xml:space="preserve"> </v>
      </c>
      <c r="U27" s="35" t="str">
        <f t="shared" si="13"/>
        <v xml:space="preserve"> </v>
      </c>
      <c r="V27" s="35" t="str">
        <f t="shared" si="13"/>
        <v xml:space="preserve"> </v>
      </c>
      <c r="W27" s="35" t="str">
        <f t="shared" si="13"/>
        <v xml:space="preserve"> </v>
      </c>
      <c r="X27" s="35" t="str">
        <f t="shared" ref="X27:AC27" si="14">X4</f>
        <v xml:space="preserve"> </v>
      </c>
      <c r="Y27" s="35" t="str">
        <f t="shared" si="14"/>
        <v xml:space="preserve"> </v>
      </c>
      <c r="Z27" s="35" t="str">
        <f t="shared" si="14"/>
        <v xml:space="preserve"> </v>
      </c>
      <c r="AA27" s="35" t="str">
        <f t="shared" si="14"/>
        <v xml:space="preserve"> </v>
      </c>
      <c r="AB27" s="35" t="str">
        <f t="shared" si="14"/>
        <v xml:space="preserve"> </v>
      </c>
      <c r="AC27" s="35" t="str">
        <f t="shared" si="14"/>
        <v xml:space="preserve"> </v>
      </c>
      <c r="AD27" s="3"/>
      <c r="AE27" s="36" t="str">
        <f>AE4</f>
        <v>Testo -30µg/L</v>
      </c>
      <c r="AF27" s="36" t="str">
        <f t="shared" ref="AF27:AH27" si="15">AF4</f>
        <v>Testo 30µg/L + EE2 -64ng/L</v>
      </c>
      <c r="AG27" s="36" t="str">
        <f t="shared" si="15"/>
        <v>Testo 30µg/L + FAD-10mg/L</v>
      </c>
      <c r="AH27" s="36" t="str">
        <f t="shared" si="15"/>
        <v>Testo-3,7µg/L + Testostérone</v>
      </c>
      <c r="AI27" s="36" t="str">
        <f t="shared" ref="AI27:BA27" si="16">AI4</f>
        <v>Testo-11µg/L + Testostérone</v>
      </c>
      <c r="AJ27" s="36" t="str">
        <f t="shared" si="16"/>
        <v>Testo-33µg/L + Testostérone</v>
      </c>
      <c r="AK27" s="36" t="str">
        <f t="shared" si="16"/>
        <v>Testo-100µg/L + Testostérone</v>
      </c>
      <c r="AL27" s="36" t="str">
        <f t="shared" si="16"/>
        <v>Testo-300µg/L + Testostérone</v>
      </c>
      <c r="AM27" s="36" t="str">
        <f t="shared" si="16"/>
        <v>0-00 + Testostérone</v>
      </c>
      <c r="AN27" s="36" t="str">
        <f t="shared" si="16"/>
        <v>0-00 + Testostérone</v>
      </c>
      <c r="AO27" s="36" t="str">
        <f t="shared" si="16"/>
        <v>0-00 + Testostérone</v>
      </c>
      <c r="AP27" s="36" t="str">
        <f t="shared" si="16"/>
        <v>0-00 + Testostérone</v>
      </c>
      <c r="AQ27" s="36" t="str">
        <f t="shared" si="16"/>
        <v>0-00 + Testostérone</v>
      </c>
      <c r="AR27" s="36" t="str">
        <f t="shared" si="16"/>
        <v>0-00 + Testostérone</v>
      </c>
      <c r="AS27" s="36" t="str">
        <f t="shared" si="16"/>
        <v>0-00 + Testostérone</v>
      </c>
      <c r="AT27" s="36" t="str">
        <f t="shared" si="16"/>
        <v>0-00 + Testostérone</v>
      </c>
      <c r="AU27" s="36" t="str">
        <f t="shared" si="16"/>
        <v>0-00 + Testostérone</v>
      </c>
      <c r="AV27" s="36" t="str">
        <f t="shared" si="16"/>
        <v>0-00 + Testostérone</v>
      </c>
      <c r="AW27" s="36" t="str">
        <f t="shared" si="16"/>
        <v>0-00 + Testostérone</v>
      </c>
      <c r="AX27" s="36" t="str">
        <f t="shared" si="16"/>
        <v>0-00 + Testostérone</v>
      </c>
      <c r="AY27" s="36" t="str">
        <f t="shared" si="16"/>
        <v>0-00 + Testostérone</v>
      </c>
      <c r="AZ27" s="36" t="str">
        <f t="shared" si="16"/>
        <v>0-00 + Testostérone</v>
      </c>
      <c r="BA27" s="36" t="str">
        <f t="shared" si="16"/>
        <v>0-00 + Testostérone</v>
      </c>
    </row>
    <row r="28" spans="1:53" x14ac:dyDescent="0.35">
      <c r="A28" s="235" t="s">
        <v>34</v>
      </c>
      <c r="B28" s="11">
        <f t="shared" ref="B28:AC28" si="17">IF(B5="","",(B5/$AE$23))</f>
        <v>1.0648990933458035E-2</v>
      </c>
      <c r="C28" s="11" t="str">
        <f t="shared" si="17"/>
        <v/>
      </c>
      <c r="D28" s="11">
        <f t="shared" si="17"/>
        <v>7.1403242858637625E-2</v>
      </c>
      <c r="E28" s="11">
        <f t="shared" si="17"/>
        <v>1.4769910442285466E-2</v>
      </c>
      <c r="F28" s="11">
        <f t="shared" si="17"/>
        <v>4.6817181239151373E-4</v>
      </c>
      <c r="G28" s="11">
        <f t="shared" si="17"/>
        <v>1.6289285404711882</v>
      </c>
      <c r="H28" s="11">
        <f t="shared" si="17"/>
        <v>3.3701480157224517</v>
      </c>
      <c r="I28" s="11">
        <f t="shared" si="17"/>
        <v>0.13099330525376174</v>
      </c>
      <c r="J28" s="11">
        <f t="shared" si="17"/>
        <v>0.41720531677694817</v>
      </c>
      <c r="K28" s="11">
        <f t="shared" si="17"/>
        <v>1.5339764500914881</v>
      </c>
      <c r="L28" s="11">
        <f t="shared" si="17"/>
        <v>1.7703407008445398</v>
      </c>
      <c r="M28" s="11">
        <f t="shared" si="17"/>
        <v>2.6525605040412463</v>
      </c>
      <c r="N28" s="11" t="str">
        <f t="shared" si="17"/>
        <v/>
      </c>
      <c r="O28" s="11" t="str">
        <f t="shared" si="17"/>
        <v/>
      </c>
      <c r="P28" s="11" t="str">
        <f t="shared" si="17"/>
        <v/>
      </c>
      <c r="Q28" s="11" t="str">
        <f t="shared" si="17"/>
        <v/>
      </c>
      <c r="R28" s="11" t="str">
        <f t="shared" si="17"/>
        <v/>
      </c>
      <c r="S28" s="11" t="str">
        <f t="shared" si="17"/>
        <v/>
      </c>
      <c r="T28" s="11" t="str">
        <f t="shared" si="17"/>
        <v/>
      </c>
      <c r="U28" s="11" t="str">
        <f t="shared" si="17"/>
        <v/>
      </c>
      <c r="V28" s="11" t="str">
        <f t="shared" si="17"/>
        <v/>
      </c>
      <c r="W28" s="11" t="str">
        <f t="shared" si="17"/>
        <v/>
      </c>
      <c r="X28" s="11" t="str">
        <f t="shared" si="17"/>
        <v/>
      </c>
      <c r="Y28" s="11" t="str">
        <f t="shared" si="17"/>
        <v/>
      </c>
      <c r="Z28" s="11" t="str">
        <f t="shared" si="17"/>
        <v/>
      </c>
      <c r="AA28" s="11" t="str">
        <f t="shared" si="17"/>
        <v/>
      </c>
      <c r="AB28" s="11" t="str">
        <f t="shared" si="17"/>
        <v/>
      </c>
      <c r="AC28" s="11" t="str">
        <f t="shared" si="17"/>
        <v/>
      </c>
      <c r="AD28" s="6"/>
      <c r="AE28" s="11">
        <f t="shared" ref="AE28:AI37" si="18">IF(AE5="","",(AE5/$AE$23))</f>
        <v>0.7484895991893602</v>
      </c>
      <c r="AF28" s="11">
        <f t="shared" si="18"/>
        <v>2.9531955048544689</v>
      </c>
      <c r="AG28" s="11">
        <f t="shared" si="18"/>
        <v>0.14005745044813361</v>
      </c>
      <c r="AH28" s="11">
        <f t="shared" si="18"/>
        <v>1.602860907990282</v>
      </c>
      <c r="AI28" s="11">
        <f t="shared" si="18"/>
        <v>1.2378808495829574</v>
      </c>
      <c r="AJ28" s="11">
        <f t="shared" ref="AJ28:BA28" si="19">IF(AJ5="","",(AJ5/$AE$23))</f>
        <v>0.77220984636881118</v>
      </c>
      <c r="AK28" s="11">
        <f t="shared" si="19"/>
        <v>1.4260371431112573</v>
      </c>
      <c r="AL28" s="11">
        <f t="shared" si="19"/>
        <v>1.9587422435834396</v>
      </c>
      <c r="AM28" s="11" t="str">
        <f t="shared" si="19"/>
        <v/>
      </c>
      <c r="AN28" s="11" t="str">
        <f t="shared" si="19"/>
        <v/>
      </c>
      <c r="AO28" s="11" t="str">
        <f t="shared" si="19"/>
        <v/>
      </c>
      <c r="AP28" s="11" t="str">
        <f t="shared" si="19"/>
        <v/>
      </c>
      <c r="AQ28" s="11" t="str">
        <f t="shared" si="19"/>
        <v/>
      </c>
      <c r="AR28" s="11" t="str">
        <f t="shared" si="19"/>
        <v/>
      </c>
      <c r="AS28" s="11" t="str">
        <f t="shared" si="19"/>
        <v/>
      </c>
      <c r="AT28" s="11" t="str">
        <f t="shared" si="19"/>
        <v/>
      </c>
      <c r="AU28" s="11" t="str">
        <f t="shared" si="19"/>
        <v/>
      </c>
      <c r="AV28" s="11" t="str">
        <f t="shared" si="19"/>
        <v/>
      </c>
      <c r="AW28" s="11" t="str">
        <f t="shared" si="19"/>
        <v/>
      </c>
      <c r="AX28" s="11" t="str">
        <f t="shared" si="19"/>
        <v/>
      </c>
      <c r="AY28" s="11" t="str">
        <f t="shared" si="19"/>
        <v/>
      </c>
      <c r="AZ28" s="11" t="str">
        <f t="shared" si="19"/>
        <v/>
      </c>
      <c r="BA28" s="11" t="str">
        <f t="shared" si="19"/>
        <v/>
      </c>
    </row>
    <row r="29" spans="1:53" x14ac:dyDescent="0.35">
      <c r="A29" s="235"/>
      <c r="B29" s="11">
        <f t="shared" ref="B29:AC29" si="20">IF(B6="","",(B6/$AE$23))</f>
        <v>0.10155240842052517</v>
      </c>
      <c r="C29" s="11">
        <f t="shared" si="20"/>
        <v>9.4380185707923253E-2</v>
      </c>
      <c r="D29" s="11">
        <f t="shared" si="20"/>
        <v>1.9190578986290441E-2</v>
      </c>
      <c r="E29" s="11">
        <f t="shared" si="20"/>
        <v>5.2502108318844068E-2</v>
      </c>
      <c r="F29" s="11">
        <f t="shared" si="20"/>
        <v>0.78631614130006178</v>
      </c>
      <c r="G29" s="11">
        <f t="shared" si="20"/>
        <v>1.5484517637929363</v>
      </c>
      <c r="H29" s="11">
        <f t="shared" si="20"/>
        <v>2.5044940982796406</v>
      </c>
      <c r="I29" s="11">
        <f t="shared" si="20"/>
        <v>6.3602211245655627E-2</v>
      </c>
      <c r="J29" s="11">
        <f t="shared" si="20"/>
        <v>0.54220524426317596</v>
      </c>
      <c r="K29" s="11">
        <f t="shared" si="20"/>
        <v>0.73273411208748407</v>
      </c>
      <c r="L29" s="11">
        <f t="shared" si="20"/>
        <v>1.7666035700163523</v>
      </c>
      <c r="M29" s="11">
        <f t="shared" si="20"/>
        <v>0.85111689070470853</v>
      </c>
      <c r="N29" s="11" t="str">
        <f t="shared" si="20"/>
        <v/>
      </c>
      <c r="O29" s="11" t="str">
        <f t="shared" si="20"/>
        <v/>
      </c>
      <c r="P29" s="11" t="str">
        <f t="shared" si="20"/>
        <v/>
      </c>
      <c r="Q29" s="11" t="str">
        <f t="shared" si="20"/>
        <v/>
      </c>
      <c r="R29" s="11" t="str">
        <f t="shared" si="20"/>
        <v/>
      </c>
      <c r="S29" s="11" t="str">
        <f t="shared" si="20"/>
        <v/>
      </c>
      <c r="T29" s="11" t="str">
        <f t="shared" si="20"/>
        <v/>
      </c>
      <c r="U29" s="11" t="str">
        <f t="shared" si="20"/>
        <v/>
      </c>
      <c r="V29" s="11" t="str">
        <f t="shared" si="20"/>
        <v/>
      </c>
      <c r="W29" s="11" t="str">
        <f t="shared" si="20"/>
        <v/>
      </c>
      <c r="X29" s="11" t="str">
        <f t="shared" si="20"/>
        <v/>
      </c>
      <c r="Y29" s="11" t="str">
        <f t="shared" si="20"/>
        <v/>
      </c>
      <c r="Z29" s="11" t="str">
        <f t="shared" si="20"/>
        <v/>
      </c>
      <c r="AA29" s="11" t="str">
        <f t="shared" si="20"/>
        <v/>
      </c>
      <c r="AB29" s="11" t="str">
        <f t="shared" si="20"/>
        <v/>
      </c>
      <c r="AC29" s="11" t="str">
        <f t="shared" si="20"/>
        <v/>
      </c>
      <c r="AD29" s="6"/>
      <c r="AE29" s="11">
        <f t="shared" si="18"/>
        <v>1.8476999959606013</v>
      </c>
      <c r="AF29" s="11">
        <f t="shared" si="18"/>
        <v>1.6577754350146994</v>
      </c>
      <c r="AG29" s="11">
        <f t="shared" si="18"/>
        <v>0.16614500513382244</v>
      </c>
      <c r="AH29" s="11">
        <f t="shared" si="18"/>
        <v>1.1614301901976709</v>
      </c>
      <c r="AI29" s="11">
        <f t="shared" si="18"/>
        <v>1.6193100084057968</v>
      </c>
      <c r="AJ29" s="11">
        <f t="shared" ref="AJ29:BA29" si="21">IF(AJ6="","",(AJ6/$AE$23))</f>
        <v>0.26247207112981252</v>
      </c>
      <c r="AK29" s="11">
        <f t="shared" si="21"/>
        <v>1.357967320195385</v>
      </c>
      <c r="AL29" s="11">
        <f t="shared" si="21"/>
        <v>2.2182674313414417</v>
      </c>
      <c r="AM29" s="11" t="str">
        <f t="shared" si="21"/>
        <v/>
      </c>
      <c r="AN29" s="11" t="str">
        <f t="shared" si="21"/>
        <v/>
      </c>
      <c r="AO29" s="11" t="str">
        <f t="shared" si="21"/>
        <v/>
      </c>
      <c r="AP29" s="11" t="str">
        <f t="shared" si="21"/>
        <v/>
      </c>
      <c r="AQ29" s="11" t="str">
        <f t="shared" si="21"/>
        <v/>
      </c>
      <c r="AR29" s="11" t="str">
        <f t="shared" si="21"/>
        <v/>
      </c>
      <c r="AS29" s="11" t="str">
        <f t="shared" si="21"/>
        <v/>
      </c>
      <c r="AT29" s="11" t="str">
        <f t="shared" si="21"/>
        <v/>
      </c>
      <c r="AU29" s="11" t="str">
        <f t="shared" si="21"/>
        <v/>
      </c>
      <c r="AV29" s="11" t="str">
        <f t="shared" si="21"/>
        <v/>
      </c>
      <c r="AW29" s="11" t="str">
        <f t="shared" si="21"/>
        <v/>
      </c>
      <c r="AX29" s="11" t="str">
        <f t="shared" si="21"/>
        <v/>
      </c>
      <c r="AY29" s="11" t="str">
        <f t="shared" si="21"/>
        <v/>
      </c>
      <c r="AZ29" s="11" t="str">
        <f t="shared" si="21"/>
        <v/>
      </c>
      <c r="BA29" s="11" t="str">
        <f t="shared" si="21"/>
        <v/>
      </c>
    </row>
    <row r="30" spans="1:53" x14ac:dyDescent="0.35">
      <c r="A30" s="235"/>
      <c r="B30" s="11">
        <f t="shared" ref="B30:AC30" si="22">IF(B7="","",(B7/$AE$23))</f>
        <v>6.3403905161267732E-2</v>
      </c>
      <c r="C30" s="11">
        <f t="shared" si="22"/>
        <v>0.14599106160131964</v>
      </c>
      <c r="D30" s="11">
        <f t="shared" si="22"/>
        <v>0.16013674296041644</v>
      </c>
      <c r="E30" s="11" t="str">
        <f t="shared" si="22"/>
        <v/>
      </c>
      <c r="F30" s="11">
        <f t="shared" si="22"/>
        <v>2.0708559394382074E-2</v>
      </c>
      <c r="G30" s="11">
        <f t="shared" si="22"/>
        <v>1.9946965564262944</v>
      </c>
      <c r="H30" s="11">
        <f t="shared" si="22"/>
        <v>3.1631503542687058</v>
      </c>
      <c r="I30" s="11">
        <f t="shared" si="22"/>
        <v>0.13510437815562765</v>
      </c>
      <c r="J30" s="11">
        <f t="shared" si="22"/>
        <v>0.15452509295578626</v>
      </c>
      <c r="K30" s="11" t="str">
        <f t="shared" si="22"/>
        <v/>
      </c>
      <c r="L30" s="11">
        <f t="shared" si="22"/>
        <v>1.2893181504047995</v>
      </c>
      <c r="M30" s="11">
        <f t="shared" si="22"/>
        <v>1.7825177477839105</v>
      </c>
      <c r="N30" s="11" t="str">
        <f t="shared" si="22"/>
        <v/>
      </c>
      <c r="O30" s="11" t="str">
        <f t="shared" si="22"/>
        <v/>
      </c>
      <c r="P30" s="11" t="str">
        <f t="shared" si="22"/>
        <v/>
      </c>
      <c r="Q30" s="11" t="str">
        <f t="shared" si="22"/>
        <v/>
      </c>
      <c r="R30" s="11" t="str">
        <f t="shared" si="22"/>
        <v/>
      </c>
      <c r="S30" s="11" t="str">
        <f t="shared" si="22"/>
        <v/>
      </c>
      <c r="T30" s="11" t="str">
        <f t="shared" si="22"/>
        <v/>
      </c>
      <c r="U30" s="11" t="str">
        <f t="shared" si="22"/>
        <v/>
      </c>
      <c r="V30" s="11" t="str">
        <f t="shared" si="22"/>
        <v/>
      </c>
      <c r="W30" s="11" t="str">
        <f t="shared" si="22"/>
        <v/>
      </c>
      <c r="X30" s="11" t="str">
        <f t="shared" si="22"/>
        <v/>
      </c>
      <c r="Y30" s="11" t="str">
        <f t="shared" si="22"/>
        <v/>
      </c>
      <c r="Z30" s="11" t="str">
        <f t="shared" si="22"/>
        <v/>
      </c>
      <c r="AA30" s="11" t="str">
        <f t="shared" si="22"/>
        <v/>
      </c>
      <c r="AB30" s="11" t="str">
        <f t="shared" si="22"/>
        <v/>
      </c>
      <c r="AC30" s="11" t="str">
        <f t="shared" si="22"/>
        <v/>
      </c>
      <c r="AD30" s="6"/>
      <c r="AE30" s="11">
        <f t="shared" si="18"/>
        <v>0.27704894227748023</v>
      </c>
      <c r="AF30" s="11">
        <f t="shared" si="18"/>
        <v>1.1155500395558813</v>
      </c>
      <c r="AG30" s="11">
        <f t="shared" si="18"/>
        <v>0.15070644138159162</v>
      </c>
      <c r="AH30" s="11">
        <f t="shared" si="18"/>
        <v>1.4730810253013835</v>
      </c>
      <c r="AI30" s="11">
        <f t="shared" si="18"/>
        <v>0.82749579656745142</v>
      </c>
      <c r="AJ30" s="11">
        <f t="shared" ref="AJ30:BA30" si="23">IF(AJ7="","",(AJ7/$AE$23))</f>
        <v>1.3253562739022569</v>
      </c>
      <c r="AK30" s="11">
        <f t="shared" si="23"/>
        <v>2.0226219917508947</v>
      </c>
      <c r="AL30" s="11">
        <f t="shared" si="23"/>
        <v>0.85396977332866519</v>
      </c>
      <c r="AM30" s="11" t="str">
        <f t="shared" si="23"/>
        <v/>
      </c>
      <c r="AN30" s="11" t="str">
        <f t="shared" si="23"/>
        <v/>
      </c>
      <c r="AO30" s="11" t="str">
        <f t="shared" si="23"/>
        <v/>
      </c>
      <c r="AP30" s="11" t="str">
        <f t="shared" si="23"/>
        <v/>
      </c>
      <c r="AQ30" s="11" t="str">
        <f t="shared" si="23"/>
        <v/>
      </c>
      <c r="AR30" s="11" t="str">
        <f t="shared" si="23"/>
        <v/>
      </c>
      <c r="AS30" s="11" t="str">
        <f t="shared" si="23"/>
        <v/>
      </c>
      <c r="AT30" s="11" t="str">
        <f t="shared" si="23"/>
        <v/>
      </c>
      <c r="AU30" s="11" t="str">
        <f t="shared" si="23"/>
        <v/>
      </c>
      <c r="AV30" s="11" t="str">
        <f t="shared" si="23"/>
        <v/>
      </c>
      <c r="AW30" s="11" t="str">
        <f t="shared" si="23"/>
        <v/>
      </c>
      <c r="AX30" s="11" t="str">
        <f t="shared" si="23"/>
        <v/>
      </c>
      <c r="AY30" s="11" t="str">
        <f t="shared" si="23"/>
        <v/>
      </c>
      <c r="AZ30" s="11" t="str">
        <f t="shared" si="23"/>
        <v/>
      </c>
      <c r="BA30" s="11" t="str">
        <f t="shared" si="23"/>
        <v/>
      </c>
    </row>
    <row r="31" spans="1:53" x14ac:dyDescent="0.35">
      <c r="A31" s="235"/>
      <c r="B31" s="11">
        <f t="shared" ref="B31:AC31" si="24">IF(B8="","",(B8/$AE$23))</f>
        <v>0.11180524516692655</v>
      </c>
      <c r="C31" s="11">
        <f t="shared" si="24"/>
        <v>0.1258224626538044</v>
      </c>
      <c r="D31" s="11">
        <f t="shared" si="24"/>
        <v>3.9753271203126224E-2</v>
      </c>
      <c r="E31" s="11">
        <f t="shared" si="24"/>
        <v>7.13487430340599E-2</v>
      </c>
      <c r="F31" s="11">
        <f t="shared" si="24"/>
        <v>0</v>
      </c>
      <c r="G31" s="11" t="str">
        <f t="shared" si="24"/>
        <v/>
      </c>
      <c r="H31" s="11">
        <f t="shared" si="24"/>
        <v>3.0236230176604777</v>
      </c>
      <c r="I31" s="11">
        <f t="shared" si="24"/>
        <v>2.0916941076591065E-2</v>
      </c>
      <c r="J31" s="11">
        <f t="shared" si="24"/>
        <v>0.10830832575042826</v>
      </c>
      <c r="K31" s="11">
        <f t="shared" si="24"/>
        <v>0.61435133347025972</v>
      </c>
      <c r="L31" s="11">
        <f t="shared" si="24"/>
        <v>1.6771889366027815</v>
      </c>
      <c r="M31" s="11">
        <f t="shared" si="24"/>
        <v>1.7007528975205755</v>
      </c>
      <c r="N31" s="11" t="str">
        <f t="shared" si="24"/>
        <v/>
      </c>
      <c r="O31" s="11" t="str">
        <f t="shared" si="24"/>
        <v/>
      </c>
      <c r="P31" s="11" t="str">
        <f t="shared" si="24"/>
        <v/>
      </c>
      <c r="Q31" s="11" t="str">
        <f t="shared" si="24"/>
        <v/>
      </c>
      <c r="R31" s="11" t="str">
        <f t="shared" si="24"/>
        <v/>
      </c>
      <c r="S31" s="11" t="str">
        <f t="shared" si="24"/>
        <v/>
      </c>
      <c r="T31" s="11" t="str">
        <f t="shared" si="24"/>
        <v/>
      </c>
      <c r="U31" s="11" t="str">
        <f t="shared" si="24"/>
        <v/>
      </c>
      <c r="V31" s="11" t="str">
        <f t="shared" si="24"/>
        <v/>
      </c>
      <c r="W31" s="11" t="str">
        <f t="shared" si="24"/>
        <v/>
      </c>
      <c r="X31" s="11" t="str">
        <f t="shared" si="24"/>
        <v/>
      </c>
      <c r="Y31" s="11" t="str">
        <f t="shared" si="24"/>
        <v/>
      </c>
      <c r="Z31" s="11" t="str">
        <f t="shared" si="24"/>
        <v/>
      </c>
      <c r="AA31" s="11" t="str">
        <f t="shared" si="24"/>
        <v/>
      </c>
      <c r="AB31" s="11" t="str">
        <f t="shared" si="24"/>
        <v/>
      </c>
      <c r="AC31" s="11" t="str">
        <f t="shared" si="24"/>
        <v/>
      </c>
      <c r="AD31" s="6"/>
      <c r="AE31" s="11">
        <f t="shared" si="18"/>
        <v>0.79934778212734892</v>
      </c>
      <c r="AF31" s="11">
        <f t="shared" si="18"/>
        <v>1.856085412247207</v>
      </c>
      <c r="AG31" s="11">
        <f t="shared" si="18"/>
        <v>1.8098521576999597E-2</v>
      </c>
      <c r="AH31" s="11" t="str">
        <f t="shared" si="18"/>
        <v/>
      </c>
      <c r="AI31" s="11">
        <f t="shared" si="18"/>
        <v>0.79448378727921587</v>
      </c>
      <c r="AJ31" s="11">
        <f t="shared" ref="AJ31:BA31" si="25">IF(AJ8="","",(AJ8/$AE$23))</f>
        <v>0.61019079854272662</v>
      </c>
      <c r="AK31" s="11">
        <f t="shared" si="25"/>
        <v>1.7464546642827601</v>
      </c>
      <c r="AL31" s="11">
        <f t="shared" si="25"/>
        <v>4.9094724328437742E-2</v>
      </c>
      <c r="AM31" s="11" t="str">
        <f t="shared" si="25"/>
        <v/>
      </c>
      <c r="AN31" s="11" t="str">
        <f t="shared" si="25"/>
        <v/>
      </c>
      <c r="AO31" s="11" t="str">
        <f t="shared" si="25"/>
        <v/>
      </c>
      <c r="AP31" s="11" t="str">
        <f t="shared" si="25"/>
        <v/>
      </c>
      <c r="AQ31" s="11" t="str">
        <f t="shared" si="25"/>
        <v/>
      </c>
      <c r="AR31" s="11" t="str">
        <f t="shared" si="25"/>
        <v/>
      </c>
      <c r="AS31" s="11" t="str">
        <f t="shared" si="25"/>
        <v/>
      </c>
      <c r="AT31" s="11" t="str">
        <f t="shared" si="25"/>
        <v/>
      </c>
      <c r="AU31" s="11" t="str">
        <f t="shared" si="25"/>
        <v/>
      </c>
      <c r="AV31" s="11" t="str">
        <f t="shared" si="25"/>
        <v/>
      </c>
      <c r="AW31" s="11" t="str">
        <f t="shared" si="25"/>
        <v/>
      </c>
      <c r="AX31" s="11" t="str">
        <f t="shared" si="25"/>
        <v/>
      </c>
      <c r="AY31" s="11" t="str">
        <f t="shared" si="25"/>
        <v/>
      </c>
      <c r="AZ31" s="11" t="str">
        <f t="shared" si="25"/>
        <v/>
      </c>
      <c r="BA31" s="11" t="str">
        <f t="shared" si="25"/>
        <v/>
      </c>
    </row>
    <row r="32" spans="1:53" x14ac:dyDescent="0.35">
      <c r="A32" s="235"/>
      <c r="B32" s="11">
        <f t="shared" ref="B32:AC32" si="26">IF(B9="","",(B9/$AE$23))</f>
        <v>8.2200619869097227E-2</v>
      </c>
      <c r="C32" s="11">
        <f t="shared" si="26"/>
        <v>0.2098484831599664</v>
      </c>
      <c r="D32" s="11">
        <f t="shared" si="26"/>
        <v>0.13097361203983868</v>
      </c>
      <c r="E32" s="11">
        <f t="shared" si="26"/>
        <v>9.6495374277774285E-2</v>
      </c>
      <c r="F32" s="11">
        <f t="shared" si="26"/>
        <v>0.35180506930194644</v>
      </c>
      <c r="G32" s="11">
        <f t="shared" si="26"/>
        <v>3.1824622984105684</v>
      </c>
      <c r="H32" s="11">
        <f t="shared" si="26"/>
        <v>2.6761470205587079</v>
      </c>
      <c r="I32" s="11">
        <f t="shared" si="26"/>
        <v>0.12509404272951122</v>
      </c>
      <c r="J32" s="11">
        <f t="shared" si="26"/>
        <v>0.16452558177494114</v>
      </c>
      <c r="K32" s="11">
        <f t="shared" si="26"/>
        <v>0.44649256074341309</v>
      </c>
      <c r="L32" s="11">
        <f t="shared" si="26"/>
        <v>1.7141658081290476</v>
      </c>
      <c r="M32" s="11">
        <f t="shared" si="26"/>
        <v>1.642722949851704</v>
      </c>
      <c r="N32" s="11" t="str">
        <f t="shared" si="26"/>
        <v/>
      </c>
      <c r="O32" s="11" t="str">
        <f t="shared" si="26"/>
        <v/>
      </c>
      <c r="P32" s="11" t="str">
        <f t="shared" si="26"/>
        <v/>
      </c>
      <c r="Q32" s="11" t="str">
        <f t="shared" si="26"/>
        <v/>
      </c>
      <c r="R32" s="11" t="str">
        <f t="shared" si="26"/>
        <v/>
      </c>
      <c r="S32" s="11" t="str">
        <f t="shared" si="26"/>
        <v/>
      </c>
      <c r="T32" s="11" t="str">
        <f t="shared" si="26"/>
        <v/>
      </c>
      <c r="U32" s="11" t="str">
        <f t="shared" si="26"/>
        <v/>
      </c>
      <c r="V32" s="11" t="str">
        <f t="shared" si="26"/>
        <v/>
      </c>
      <c r="W32" s="11" t="str">
        <f t="shared" si="26"/>
        <v/>
      </c>
      <c r="X32" s="11" t="str">
        <f t="shared" si="26"/>
        <v/>
      </c>
      <c r="Y32" s="11" t="str">
        <f t="shared" si="26"/>
        <v/>
      </c>
      <c r="Z32" s="11" t="str">
        <f t="shared" si="26"/>
        <v/>
      </c>
      <c r="AA32" s="11" t="str">
        <f t="shared" si="26"/>
        <v/>
      </c>
      <c r="AB32" s="11" t="str">
        <f t="shared" si="26"/>
        <v/>
      </c>
      <c r="AC32" s="11" t="str">
        <f t="shared" si="26"/>
        <v/>
      </c>
      <c r="AD32" s="6"/>
      <c r="AE32" s="11">
        <f t="shared" si="18"/>
        <v>1.6600884716872191</v>
      </c>
      <c r="AF32" s="11">
        <f t="shared" si="18"/>
        <v>3.7169952039238408</v>
      </c>
      <c r="AG32" s="11">
        <f t="shared" si="18"/>
        <v>3.0352280454326416E-2</v>
      </c>
      <c r="AH32" s="11">
        <f t="shared" si="18"/>
        <v>1.417453420740264</v>
      </c>
      <c r="AI32" s="11">
        <f t="shared" si="18"/>
        <v>1.9990501306484452</v>
      </c>
      <c r="AJ32" s="11">
        <f t="shared" ref="AJ32:BA32" si="27">IF(AJ9="","",(AJ9/$AE$23))</f>
        <v>2.3953980439722908</v>
      </c>
      <c r="AK32" s="11">
        <f t="shared" si="27"/>
        <v>1.1512416998828088</v>
      </c>
      <c r="AL32" s="11" t="str">
        <f t="shared" si="27"/>
        <v/>
      </c>
      <c r="AM32" s="11" t="str">
        <f t="shared" si="27"/>
        <v/>
      </c>
      <c r="AN32" s="11" t="str">
        <f t="shared" si="27"/>
        <v/>
      </c>
      <c r="AO32" s="11" t="str">
        <f t="shared" si="27"/>
        <v/>
      </c>
      <c r="AP32" s="11" t="str">
        <f t="shared" si="27"/>
        <v/>
      </c>
      <c r="AQ32" s="11" t="str">
        <f t="shared" si="27"/>
        <v/>
      </c>
      <c r="AR32" s="11" t="str">
        <f t="shared" si="27"/>
        <v/>
      </c>
      <c r="AS32" s="11" t="str">
        <f t="shared" si="27"/>
        <v/>
      </c>
      <c r="AT32" s="11" t="str">
        <f t="shared" si="27"/>
        <v/>
      </c>
      <c r="AU32" s="11" t="str">
        <f t="shared" si="27"/>
        <v/>
      </c>
      <c r="AV32" s="11" t="str">
        <f t="shared" si="27"/>
        <v/>
      </c>
      <c r="AW32" s="11" t="str">
        <f t="shared" si="27"/>
        <v/>
      </c>
      <c r="AX32" s="11" t="str">
        <f t="shared" si="27"/>
        <v/>
      </c>
      <c r="AY32" s="11" t="str">
        <f t="shared" si="27"/>
        <v/>
      </c>
      <c r="AZ32" s="11" t="str">
        <f t="shared" si="27"/>
        <v/>
      </c>
      <c r="BA32" s="11" t="str">
        <f t="shared" si="27"/>
        <v/>
      </c>
    </row>
    <row r="33" spans="1:53" x14ac:dyDescent="0.35">
      <c r="A33" s="235"/>
      <c r="B33" s="11">
        <f t="shared" ref="B33:AC33" si="28">IF(B10="","",(B10/$AE$23))</f>
        <v>6.0430687840606727E-4</v>
      </c>
      <c r="C33" s="11">
        <f t="shared" si="28"/>
        <v>0</v>
      </c>
      <c r="D33" s="11">
        <f t="shared" si="28"/>
        <v>8.1383580482150331E-2</v>
      </c>
      <c r="E33" s="11">
        <f t="shared" si="28"/>
        <v>0.12542104167697762</v>
      </c>
      <c r="F33" s="11">
        <f t="shared" si="28"/>
        <v>5.0918407534055752E-3</v>
      </c>
      <c r="G33" s="11">
        <f t="shared" si="28"/>
        <v>1.540259157810089</v>
      </c>
      <c r="H33" s="11">
        <f t="shared" si="28"/>
        <v>2.6753592920017861</v>
      </c>
      <c r="I33" s="11">
        <f t="shared" si="28"/>
        <v>0.16323773718071768</v>
      </c>
      <c r="J33" s="11">
        <f t="shared" si="28"/>
        <v>7.4474010285475581E-2</v>
      </c>
      <c r="K33" s="11">
        <f t="shared" si="28"/>
        <v>0.86597610758222643</v>
      </c>
      <c r="L33" s="11">
        <f t="shared" si="28"/>
        <v>1.6971300331313137</v>
      </c>
      <c r="M33" s="11">
        <f t="shared" si="28"/>
        <v>1.8672940568414549</v>
      </c>
      <c r="N33" s="11" t="str">
        <f t="shared" si="28"/>
        <v/>
      </c>
      <c r="O33" s="11" t="str">
        <f t="shared" si="28"/>
        <v/>
      </c>
      <c r="P33" s="11" t="str">
        <f t="shared" si="28"/>
        <v/>
      </c>
      <c r="Q33" s="11" t="str">
        <f t="shared" si="28"/>
        <v/>
      </c>
      <c r="R33" s="11" t="str">
        <f t="shared" si="28"/>
        <v/>
      </c>
      <c r="S33" s="11" t="str">
        <f t="shared" si="28"/>
        <v/>
      </c>
      <c r="T33" s="11" t="str">
        <f t="shared" si="28"/>
        <v/>
      </c>
      <c r="U33" s="11" t="str">
        <f t="shared" si="28"/>
        <v/>
      </c>
      <c r="V33" s="11" t="str">
        <f t="shared" si="28"/>
        <v/>
      </c>
      <c r="W33" s="11" t="str">
        <f t="shared" si="28"/>
        <v/>
      </c>
      <c r="X33" s="11" t="str">
        <f t="shared" si="28"/>
        <v/>
      </c>
      <c r="Y33" s="11" t="str">
        <f t="shared" si="28"/>
        <v/>
      </c>
      <c r="Z33" s="11" t="str">
        <f t="shared" si="28"/>
        <v/>
      </c>
      <c r="AA33" s="11" t="str">
        <f t="shared" si="28"/>
        <v/>
      </c>
      <c r="AB33" s="11" t="str">
        <f t="shared" si="28"/>
        <v/>
      </c>
      <c r="AC33" s="11" t="str">
        <f t="shared" si="28"/>
        <v/>
      </c>
      <c r="AD33" s="6"/>
      <c r="AE33" s="11">
        <f t="shared" si="18"/>
        <v>1.851023569296405</v>
      </c>
      <c r="AF33" s="11">
        <f t="shared" si="18"/>
        <v>2.9372268272623332</v>
      </c>
      <c r="AG33" s="11">
        <f t="shared" si="18"/>
        <v>0.22508152761573286</v>
      </c>
      <c r="AH33" s="11">
        <f t="shared" si="18"/>
        <v>2.0776697914555817</v>
      </c>
      <c r="AI33" s="11">
        <f t="shared" si="18"/>
        <v>0.5613042269056383</v>
      </c>
      <c r="AJ33" s="11">
        <f t="shared" ref="AJ33:BA33" si="29">IF(AJ10="","",(AJ10/$AE$23))</f>
        <v>1.0453952548636209</v>
      </c>
      <c r="AK33" s="11">
        <f t="shared" si="29"/>
        <v>1.2514073396577761</v>
      </c>
      <c r="AL33" s="11">
        <f t="shared" si="29"/>
        <v>1.7380392501935509</v>
      </c>
      <c r="AM33" s="11" t="str">
        <f t="shared" si="29"/>
        <v/>
      </c>
      <c r="AN33" s="11" t="str">
        <f t="shared" si="29"/>
        <v/>
      </c>
      <c r="AO33" s="11" t="str">
        <f t="shared" si="29"/>
        <v/>
      </c>
      <c r="AP33" s="11" t="str">
        <f t="shared" si="29"/>
        <v/>
      </c>
      <c r="AQ33" s="11" t="str">
        <f t="shared" si="29"/>
        <v/>
      </c>
      <c r="AR33" s="11" t="str">
        <f t="shared" si="29"/>
        <v/>
      </c>
      <c r="AS33" s="11" t="str">
        <f t="shared" si="29"/>
        <v/>
      </c>
      <c r="AT33" s="11" t="str">
        <f t="shared" si="29"/>
        <v/>
      </c>
      <c r="AU33" s="11" t="str">
        <f t="shared" si="29"/>
        <v/>
      </c>
      <c r="AV33" s="11" t="str">
        <f t="shared" si="29"/>
        <v/>
      </c>
      <c r="AW33" s="11" t="str">
        <f t="shared" si="29"/>
        <v/>
      </c>
      <c r="AX33" s="11" t="str">
        <f t="shared" si="29"/>
        <v/>
      </c>
      <c r="AY33" s="11" t="str">
        <f t="shared" si="29"/>
        <v/>
      </c>
      <c r="AZ33" s="11" t="str">
        <f t="shared" si="29"/>
        <v/>
      </c>
      <c r="BA33" s="11" t="str">
        <f t="shared" si="29"/>
        <v/>
      </c>
    </row>
    <row r="34" spans="1:53" x14ac:dyDescent="0.35">
      <c r="A34" s="235"/>
      <c r="B34" s="11">
        <f t="shared" ref="B34:AC34" si="30">IF(B11="","",(B11/$AE$23))</f>
        <v>0.15808154999577284</v>
      </c>
      <c r="C34" s="11">
        <f t="shared" si="30"/>
        <v>4.3017192420011743E-2</v>
      </c>
      <c r="D34" s="11">
        <f t="shared" si="30"/>
        <v>9.9254256153877465E-2</v>
      </c>
      <c r="E34" s="11">
        <f t="shared" si="30"/>
        <v>0.32709409316856458</v>
      </c>
      <c r="F34" s="11">
        <f t="shared" si="30"/>
        <v>0.12280092826177405</v>
      </c>
      <c r="G34" s="11">
        <f t="shared" si="30"/>
        <v>1.8205918290138075</v>
      </c>
      <c r="H34" s="11">
        <f t="shared" si="30"/>
        <v>3.114328129063157</v>
      </c>
      <c r="I34" s="11" t="str">
        <f t="shared" si="30"/>
        <v/>
      </c>
      <c r="J34" s="11">
        <f t="shared" si="30"/>
        <v>0.14186006649467114</v>
      </c>
      <c r="K34" s="11">
        <f t="shared" si="30"/>
        <v>1.2486486867725324</v>
      </c>
      <c r="L34" s="11">
        <f t="shared" si="30"/>
        <v>1.5587291025613117</v>
      </c>
      <c r="M34" s="11">
        <f t="shared" si="30"/>
        <v>2.8482998298842173</v>
      </c>
      <c r="N34" s="11" t="str">
        <f t="shared" si="30"/>
        <v/>
      </c>
      <c r="O34" s="11" t="str">
        <f t="shared" si="30"/>
        <v/>
      </c>
      <c r="P34" s="11" t="str">
        <f t="shared" si="30"/>
        <v/>
      </c>
      <c r="Q34" s="11" t="str">
        <f t="shared" si="30"/>
        <v/>
      </c>
      <c r="R34" s="11" t="str">
        <f t="shared" si="30"/>
        <v/>
      </c>
      <c r="S34" s="11" t="str">
        <f t="shared" si="30"/>
        <v/>
      </c>
      <c r="T34" s="11" t="str">
        <f t="shared" si="30"/>
        <v/>
      </c>
      <c r="U34" s="11" t="str">
        <f t="shared" si="30"/>
        <v/>
      </c>
      <c r="V34" s="11" t="str">
        <f t="shared" si="30"/>
        <v/>
      </c>
      <c r="W34" s="11" t="str">
        <f t="shared" si="30"/>
        <v/>
      </c>
      <c r="X34" s="11" t="str">
        <f t="shared" si="30"/>
        <v/>
      </c>
      <c r="Y34" s="11" t="str">
        <f t="shared" si="30"/>
        <v/>
      </c>
      <c r="Z34" s="11" t="str">
        <f t="shared" si="30"/>
        <v/>
      </c>
      <c r="AA34" s="11" t="str">
        <f t="shared" si="30"/>
        <v/>
      </c>
      <c r="AB34" s="11" t="str">
        <f t="shared" si="30"/>
        <v/>
      </c>
      <c r="AC34" s="11" t="str">
        <f t="shared" si="30"/>
        <v/>
      </c>
      <c r="AD34" s="6"/>
      <c r="AE34" s="11">
        <f t="shared" si="18"/>
        <v>0.84922496822293858</v>
      </c>
      <c r="AF34" s="11">
        <f t="shared" si="18"/>
        <v>2.2568613218225635</v>
      </c>
      <c r="AG34" s="11">
        <f t="shared" si="18"/>
        <v>9.542049118295122E-2</v>
      </c>
      <c r="AH34" s="11">
        <f t="shared" si="18"/>
        <v>0.82515779989123861</v>
      </c>
      <c r="AI34" s="11">
        <f t="shared" si="18"/>
        <v>1.5031437468137832</v>
      </c>
      <c r="AJ34" s="11">
        <f t="shared" ref="AJ34:BA34" si="31">IF(AJ11="","",(AJ11/$AE$23))</f>
        <v>0.31062037623564615</v>
      </c>
      <c r="AK34" s="11">
        <f t="shared" si="31"/>
        <v>1.4582369218205973</v>
      </c>
      <c r="AL34" s="11">
        <f t="shared" si="31"/>
        <v>1.1981225405809206</v>
      </c>
      <c r="AM34" s="11" t="str">
        <f t="shared" si="31"/>
        <v/>
      </c>
      <c r="AN34" s="11" t="str">
        <f t="shared" si="31"/>
        <v/>
      </c>
      <c r="AO34" s="11" t="str">
        <f t="shared" si="31"/>
        <v/>
      </c>
      <c r="AP34" s="11" t="str">
        <f t="shared" si="31"/>
        <v/>
      </c>
      <c r="AQ34" s="11" t="str">
        <f t="shared" si="31"/>
        <v/>
      </c>
      <c r="AR34" s="11" t="str">
        <f t="shared" si="31"/>
        <v/>
      </c>
      <c r="AS34" s="11" t="str">
        <f t="shared" si="31"/>
        <v/>
      </c>
      <c r="AT34" s="11" t="str">
        <f t="shared" si="31"/>
        <v/>
      </c>
      <c r="AU34" s="11" t="str">
        <f t="shared" si="31"/>
        <v/>
      </c>
      <c r="AV34" s="11" t="str">
        <f t="shared" si="31"/>
        <v/>
      </c>
      <c r="AW34" s="11" t="str">
        <f t="shared" si="31"/>
        <v/>
      </c>
      <c r="AX34" s="11" t="str">
        <f t="shared" si="31"/>
        <v/>
      </c>
      <c r="AY34" s="11" t="str">
        <f t="shared" si="31"/>
        <v/>
      </c>
      <c r="AZ34" s="11" t="str">
        <f t="shared" si="31"/>
        <v/>
      </c>
      <c r="BA34" s="11" t="str">
        <f t="shared" si="31"/>
        <v/>
      </c>
    </row>
    <row r="35" spans="1:53" x14ac:dyDescent="0.35">
      <c r="A35" s="235"/>
      <c r="B35" s="11" t="str">
        <f t="shared" ref="B35:AC35" si="32">IF(B12="","",(B12/$AE$23))</f>
        <v/>
      </c>
      <c r="C35" s="11">
        <f t="shared" si="32"/>
        <v>9.8065564601847954E-2</v>
      </c>
      <c r="D35" s="11">
        <f t="shared" si="32"/>
        <v>5.8841491275188739E-3</v>
      </c>
      <c r="E35" s="11">
        <f t="shared" si="32"/>
        <v>0.13703614504696285</v>
      </c>
      <c r="F35" s="11">
        <f t="shared" si="32"/>
        <v>9.0155533339710478E-2</v>
      </c>
      <c r="G35" s="11">
        <f t="shared" si="32"/>
        <v>1.8190960607190945</v>
      </c>
      <c r="H35" s="11">
        <f t="shared" si="32"/>
        <v>3.4755786133406597</v>
      </c>
      <c r="I35" s="11">
        <f t="shared" si="32"/>
        <v>5.1234414920262789E-2</v>
      </c>
      <c r="J35" s="11">
        <f t="shared" si="32"/>
        <v>0.44906321213294947</v>
      </c>
      <c r="K35" s="11">
        <f t="shared" si="32"/>
        <v>1.2428039240728597</v>
      </c>
      <c r="L35" s="11">
        <f t="shared" si="32"/>
        <v>1.9387765305375035</v>
      </c>
      <c r="M35" s="11">
        <f t="shared" si="32"/>
        <v>1.5032549218761047</v>
      </c>
      <c r="N35" s="11" t="str">
        <f t="shared" si="32"/>
        <v/>
      </c>
      <c r="O35" s="11" t="str">
        <f t="shared" si="32"/>
        <v/>
      </c>
      <c r="P35" s="11" t="str">
        <f t="shared" si="32"/>
        <v/>
      </c>
      <c r="Q35" s="11" t="str">
        <f t="shared" si="32"/>
        <v/>
      </c>
      <c r="R35" s="11" t="str">
        <f t="shared" si="32"/>
        <v/>
      </c>
      <c r="S35" s="11" t="str">
        <f t="shared" si="32"/>
        <v/>
      </c>
      <c r="T35" s="11" t="str">
        <f t="shared" si="32"/>
        <v/>
      </c>
      <c r="U35" s="11" t="str">
        <f t="shared" si="32"/>
        <v/>
      </c>
      <c r="V35" s="11" t="str">
        <f t="shared" si="32"/>
        <v/>
      </c>
      <c r="W35" s="11" t="str">
        <f t="shared" si="32"/>
        <v/>
      </c>
      <c r="X35" s="11" t="str">
        <f t="shared" si="32"/>
        <v/>
      </c>
      <c r="Y35" s="11" t="str">
        <f t="shared" si="32"/>
        <v/>
      </c>
      <c r="Z35" s="11" t="str">
        <f t="shared" si="32"/>
        <v/>
      </c>
      <c r="AA35" s="11" t="str">
        <f t="shared" si="32"/>
        <v/>
      </c>
      <c r="AB35" s="11" t="str">
        <f t="shared" si="32"/>
        <v/>
      </c>
      <c r="AC35" s="11" t="str">
        <f t="shared" si="32"/>
        <v/>
      </c>
      <c r="AD35" s="6"/>
      <c r="AE35" s="11">
        <f t="shared" si="18"/>
        <v>0.12639677172960675</v>
      </c>
      <c r="AF35" s="11">
        <f t="shared" si="18"/>
        <v>2.5931089811161621</v>
      </c>
      <c r="AG35" s="11">
        <f t="shared" si="18"/>
        <v>0.11562389674112118</v>
      </c>
      <c r="AH35" s="11">
        <f t="shared" si="18"/>
        <v>0.72089620061113691</v>
      </c>
      <c r="AI35" s="11">
        <f t="shared" si="18"/>
        <v>1.3975174765060723</v>
      </c>
      <c r="AJ35" s="11">
        <f t="shared" ref="AJ35:BA35" si="33">IF(AJ12="","",(AJ12/$AE$23))</f>
        <v>1.0195204326864729</v>
      </c>
      <c r="AK35" s="11">
        <f t="shared" si="33"/>
        <v>1.0055728284209045</v>
      </c>
      <c r="AL35" s="11">
        <f t="shared" si="33"/>
        <v>1.2829929648817482</v>
      </c>
      <c r="AM35" s="11" t="str">
        <f t="shared" si="33"/>
        <v/>
      </c>
      <c r="AN35" s="11" t="str">
        <f t="shared" si="33"/>
        <v/>
      </c>
      <c r="AO35" s="11" t="str">
        <f t="shared" si="33"/>
        <v/>
      </c>
      <c r="AP35" s="11" t="str">
        <f t="shared" si="33"/>
        <v/>
      </c>
      <c r="AQ35" s="11" t="str">
        <f t="shared" si="33"/>
        <v/>
      </c>
      <c r="AR35" s="11" t="str">
        <f t="shared" si="33"/>
        <v/>
      </c>
      <c r="AS35" s="11" t="str">
        <f t="shared" si="33"/>
        <v/>
      </c>
      <c r="AT35" s="11" t="str">
        <f t="shared" si="33"/>
        <v/>
      </c>
      <c r="AU35" s="11" t="str">
        <f t="shared" si="33"/>
        <v/>
      </c>
      <c r="AV35" s="11" t="str">
        <f t="shared" si="33"/>
        <v/>
      </c>
      <c r="AW35" s="11" t="str">
        <f t="shared" si="33"/>
        <v/>
      </c>
      <c r="AX35" s="11" t="str">
        <f t="shared" si="33"/>
        <v/>
      </c>
      <c r="AY35" s="11" t="str">
        <f t="shared" si="33"/>
        <v/>
      </c>
      <c r="AZ35" s="11" t="str">
        <f t="shared" si="33"/>
        <v/>
      </c>
      <c r="BA35" s="11" t="str">
        <f t="shared" si="33"/>
        <v/>
      </c>
    </row>
    <row r="36" spans="1:53" x14ac:dyDescent="0.35">
      <c r="A36" s="235"/>
      <c r="B36" s="11" t="str">
        <f t="shared" ref="B36:AC36" si="34">IF(B13="","",(B13/$AE$23))</f>
        <v/>
      </c>
      <c r="C36" s="11" t="str">
        <f t="shared" si="34"/>
        <v/>
      </c>
      <c r="D36" s="11" t="str">
        <f t="shared" si="34"/>
        <v/>
      </c>
      <c r="E36" s="11" t="str">
        <f t="shared" si="34"/>
        <v/>
      </c>
      <c r="F36" s="11" t="str">
        <f t="shared" si="34"/>
        <v/>
      </c>
      <c r="G36" s="11" t="str">
        <f t="shared" si="34"/>
        <v/>
      </c>
      <c r="H36" s="11" t="str">
        <f t="shared" si="34"/>
        <v/>
      </c>
      <c r="I36" s="11" t="str">
        <f t="shared" si="34"/>
        <v/>
      </c>
      <c r="J36" s="11" t="str">
        <f t="shared" si="34"/>
        <v/>
      </c>
      <c r="K36" s="11" t="str">
        <f t="shared" si="34"/>
        <v/>
      </c>
      <c r="L36" s="11" t="str">
        <f t="shared" si="34"/>
        <v/>
      </c>
      <c r="M36" s="11" t="str">
        <f t="shared" si="34"/>
        <v/>
      </c>
      <c r="N36" s="11" t="str">
        <f t="shared" si="34"/>
        <v/>
      </c>
      <c r="O36" s="11" t="str">
        <f t="shared" si="34"/>
        <v/>
      </c>
      <c r="P36" s="11" t="str">
        <f t="shared" si="34"/>
        <v/>
      </c>
      <c r="Q36" s="11" t="str">
        <f t="shared" si="34"/>
        <v/>
      </c>
      <c r="R36" s="11" t="str">
        <f t="shared" si="34"/>
        <v/>
      </c>
      <c r="S36" s="11" t="str">
        <f t="shared" si="34"/>
        <v/>
      </c>
      <c r="T36" s="11" t="str">
        <f t="shared" si="34"/>
        <v/>
      </c>
      <c r="U36" s="11" t="str">
        <f t="shared" si="34"/>
        <v/>
      </c>
      <c r="V36" s="11" t="str">
        <f t="shared" si="34"/>
        <v/>
      </c>
      <c r="W36" s="11" t="str">
        <f t="shared" si="34"/>
        <v/>
      </c>
      <c r="X36" s="11" t="str">
        <f t="shared" si="34"/>
        <v/>
      </c>
      <c r="Y36" s="11" t="str">
        <f t="shared" si="34"/>
        <v/>
      </c>
      <c r="Z36" s="11" t="str">
        <f t="shared" si="34"/>
        <v/>
      </c>
      <c r="AA36" s="11" t="str">
        <f t="shared" si="34"/>
        <v/>
      </c>
      <c r="AB36" s="11" t="str">
        <f t="shared" si="34"/>
        <v/>
      </c>
      <c r="AC36" s="11" t="str">
        <f t="shared" si="34"/>
        <v/>
      </c>
      <c r="AD36" s="6"/>
      <c r="AE36" s="11" t="str">
        <f t="shared" si="18"/>
        <v/>
      </c>
      <c r="AF36" s="11" t="str">
        <f t="shared" si="18"/>
        <v/>
      </c>
      <c r="AG36" s="11" t="str">
        <f t="shared" si="18"/>
        <v/>
      </c>
      <c r="AH36" s="11" t="str">
        <f t="shared" si="18"/>
        <v/>
      </c>
      <c r="AI36" s="11" t="str">
        <f t="shared" si="18"/>
        <v/>
      </c>
      <c r="AJ36" s="11" t="str">
        <f t="shared" ref="AJ36:BA36" si="35">IF(AJ13="","",(AJ13/$AE$23))</f>
        <v/>
      </c>
      <c r="AK36" s="11" t="str">
        <f t="shared" si="35"/>
        <v/>
      </c>
      <c r="AL36" s="11" t="str">
        <f t="shared" si="35"/>
        <v/>
      </c>
      <c r="AM36" s="11" t="str">
        <f t="shared" si="35"/>
        <v/>
      </c>
      <c r="AN36" s="11" t="str">
        <f t="shared" si="35"/>
        <v/>
      </c>
      <c r="AO36" s="11" t="str">
        <f t="shared" si="35"/>
        <v/>
      </c>
      <c r="AP36" s="11" t="str">
        <f t="shared" si="35"/>
        <v/>
      </c>
      <c r="AQ36" s="11" t="str">
        <f t="shared" si="35"/>
        <v/>
      </c>
      <c r="AR36" s="11" t="str">
        <f t="shared" si="35"/>
        <v/>
      </c>
      <c r="AS36" s="11" t="str">
        <f t="shared" si="35"/>
        <v/>
      </c>
      <c r="AT36" s="11" t="str">
        <f t="shared" si="35"/>
        <v/>
      </c>
      <c r="AU36" s="11" t="str">
        <f t="shared" si="35"/>
        <v/>
      </c>
      <c r="AV36" s="11" t="str">
        <f t="shared" si="35"/>
        <v/>
      </c>
      <c r="AW36" s="11" t="str">
        <f t="shared" si="35"/>
        <v/>
      </c>
      <c r="AX36" s="11" t="str">
        <f t="shared" si="35"/>
        <v/>
      </c>
      <c r="AY36" s="11" t="str">
        <f t="shared" si="35"/>
        <v/>
      </c>
      <c r="AZ36" s="11" t="str">
        <f t="shared" si="35"/>
        <v/>
      </c>
      <c r="BA36" s="11" t="str">
        <f t="shared" si="35"/>
        <v/>
      </c>
    </row>
    <row r="37" spans="1:53" x14ac:dyDescent="0.35">
      <c r="A37" s="235"/>
      <c r="B37" s="11" t="str">
        <f t="shared" ref="B37:AC37" si="36">IF(B14="","",(B14/$AE$23))</f>
        <v/>
      </c>
      <c r="C37" s="11" t="str">
        <f t="shared" si="36"/>
        <v/>
      </c>
      <c r="D37" s="11" t="str">
        <f t="shared" si="36"/>
        <v/>
      </c>
      <c r="E37" s="11" t="str">
        <f t="shared" si="36"/>
        <v/>
      </c>
      <c r="F37" s="11" t="str">
        <f t="shared" si="36"/>
        <v/>
      </c>
      <c r="G37" s="11" t="str">
        <f t="shared" si="36"/>
        <v/>
      </c>
      <c r="H37" s="11" t="str">
        <f t="shared" si="36"/>
        <v/>
      </c>
      <c r="I37" s="11" t="str">
        <f t="shared" si="36"/>
        <v/>
      </c>
      <c r="J37" s="11" t="str">
        <f t="shared" si="36"/>
        <v/>
      </c>
      <c r="K37" s="11" t="str">
        <f t="shared" si="36"/>
        <v/>
      </c>
      <c r="L37" s="11" t="str">
        <f t="shared" si="36"/>
        <v/>
      </c>
      <c r="M37" s="11" t="str">
        <f t="shared" si="36"/>
        <v/>
      </c>
      <c r="N37" s="11" t="str">
        <f t="shared" si="36"/>
        <v/>
      </c>
      <c r="O37" s="11" t="str">
        <f t="shared" si="36"/>
        <v/>
      </c>
      <c r="P37" s="11" t="str">
        <f t="shared" si="36"/>
        <v/>
      </c>
      <c r="Q37" s="11" t="str">
        <f t="shared" si="36"/>
        <v/>
      </c>
      <c r="R37" s="11" t="str">
        <f t="shared" si="36"/>
        <v/>
      </c>
      <c r="S37" s="11" t="str">
        <f t="shared" si="36"/>
        <v/>
      </c>
      <c r="T37" s="11" t="str">
        <f t="shared" si="36"/>
        <v/>
      </c>
      <c r="U37" s="11" t="str">
        <f t="shared" si="36"/>
        <v/>
      </c>
      <c r="V37" s="11" t="str">
        <f t="shared" si="36"/>
        <v/>
      </c>
      <c r="W37" s="11" t="str">
        <f t="shared" si="36"/>
        <v/>
      </c>
      <c r="X37" s="11" t="str">
        <f t="shared" si="36"/>
        <v/>
      </c>
      <c r="Y37" s="11" t="str">
        <f t="shared" si="36"/>
        <v/>
      </c>
      <c r="Z37" s="11" t="str">
        <f t="shared" si="36"/>
        <v/>
      </c>
      <c r="AA37" s="11" t="str">
        <f t="shared" si="36"/>
        <v/>
      </c>
      <c r="AB37" s="11" t="str">
        <f t="shared" si="36"/>
        <v/>
      </c>
      <c r="AC37" s="11" t="str">
        <f t="shared" si="36"/>
        <v/>
      </c>
      <c r="AD37" s="6"/>
      <c r="AE37" s="11">
        <f t="shared" si="18"/>
        <v>1.9351113028392213</v>
      </c>
      <c r="AF37" s="11" t="str">
        <f t="shared" si="18"/>
        <v/>
      </c>
      <c r="AG37" s="11" t="str">
        <f t="shared" si="18"/>
        <v/>
      </c>
      <c r="AH37" s="11" t="str">
        <f t="shared" si="18"/>
        <v/>
      </c>
      <c r="AI37" s="11" t="str">
        <f t="shared" si="18"/>
        <v/>
      </c>
      <c r="AJ37" s="11" t="str">
        <f t="shared" ref="AJ37:BA37" si="37">IF(AJ14="","",(AJ14/$AE$23))</f>
        <v/>
      </c>
      <c r="AK37" s="11" t="str">
        <f t="shared" si="37"/>
        <v/>
      </c>
      <c r="AL37" s="11" t="str">
        <f t="shared" si="37"/>
        <v/>
      </c>
      <c r="AM37" s="11" t="str">
        <f t="shared" si="37"/>
        <v/>
      </c>
      <c r="AN37" s="11" t="str">
        <f t="shared" si="37"/>
        <v/>
      </c>
      <c r="AO37" s="11" t="str">
        <f t="shared" si="37"/>
        <v/>
      </c>
      <c r="AP37" s="11" t="str">
        <f t="shared" si="37"/>
        <v/>
      </c>
      <c r="AQ37" s="11" t="str">
        <f t="shared" si="37"/>
        <v/>
      </c>
      <c r="AR37" s="11" t="str">
        <f t="shared" si="37"/>
        <v/>
      </c>
      <c r="AS37" s="11" t="str">
        <f t="shared" si="37"/>
        <v/>
      </c>
      <c r="AT37" s="11" t="str">
        <f t="shared" si="37"/>
        <v/>
      </c>
      <c r="AU37" s="11" t="str">
        <f t="shared" si="37"/>
        <v/>
      </c>
      <c r="AV37" s="11" t="str">
        <f t="shared" si="37"/>
        <v/>
      </c>
      <c r="AW37" s="11" t="str">
        <f t="shared" si="37"/>
        <v/>
      </c>
      <c r="AX37" s="11" t="str">
        <f t="shared" si="37"/>
        <v/>
      </c>
      <c r="AY37" s="11" t="str">
        <f t="shared" si="37"/>
        <v/>
      </c>
      <c r="AZ37" s="11" t="str">
        <f t="shared" si="37"/>
        <v/>
      </c>
      <c r="BA37" s="11" t="str">
        <f t="shared" si="37"/>
        <v/>
      </c>
    </row>
    <row r="38" spans="1:53" x14ac:dyDescent="0.35">
      <c r="A38" s="235"/>
      <c r="B38" s="11" t="str">
        <f t="shared" ref="B38:J38" si="38">IF(B15="","",(B15/$AE$23))</f>
        <v/>
      </c>
      <c r="C38" s="11" t="str">
        <f t="shared" si="38"/>
        <v/>
      </c>
      <c r="D38" s="11" t="str">
        <f t="shared" si="38"/>
        <v/>
      </c>
      <c r="E38" s="11" t="str">
        <f t="shared" si="38"/>
        <v/>
      </c>
      <c r="F38" s="11" t="str">
        <f t="shared" si="38"/>
        <v/>
      </c>
      <c r="G38" s="11" t="str">
        <f t="shared" si="38"/>
        <v/>
      </c>
      <c r="H38" s="11" t="str">
        <f t="shared" si="38"/>
        <v/>
      </c>
      <c r="I38" s="11" t="str">
        <f t="shared" si="38"/>
        <v/>
      </c>
      <c r="J38" s="11" t="str">
        <f t="shared" si="38"/>
        <v/>
      </c>
      <c r="K38" s="11" t="str">
        <f t="shared" ref="K38:AC38" si="39">IF(K15="","",(K15/$AE$23))</f>
        <v/>
      </c>
      <c r="L38" s="11" t="str">
        <f t="shared" si="39"/>
        <v/>
      </c>
      <c r="M38" s="11" t="str">
        <f t="shared" si="39"/>
        <v/>
      </c>
      <c r="N38" s="11" t="str">
        <f t="shared" si="39"/>
        <v/>
      </c>
      <c r="O38" s="11" t="str">
        <f t="shared" si="39"/>
        <v/>
      </c>
      <c r="P38" s="11" t="str">
        <f t="shared" si="39"/>
        <v/>
      </c>
      <c r="Q38" s="11" t="str">
        <f t="shared" si="39"/>
        <v/>
      </c>
      <c r="R38" s="11" t="str">
        <f t="shared" si="39"/>
        <v/>
      </c>
      <c r="S38" s="11" t="str">
        <f t="shared" si="39"/>
        <v/>
      </c>
      <c r="T38" s="11" t="str">
        <f t="shared" si="39"/>
        <v/>
      </c>
      <c r="U38" s="11" t="str">
        <f t="shared" si="39"/>
        <v/>
      </c>
      <c r="V38" s="11" t="str">
        <f t="shared" si="39"/>
        <v/>
      </c>
      <c r="W38" s="11" t="str">
        <f t="shared" si="39"/>
        <v/>
      </c>
      <c r="X38" s="11" t="str">
        <f t="shared" si="39"/>
        <v/>
      </c>
      <c r="Y38" s="11" t="str">
        <f t="shared" si="39"/>
        <v/>
      </c>
      <c r="Z38" s="11" t="str">
        <f t="shared" si="39"/>
        <v/>
      </c>
      <c r="AA38" s="11" t="str">
        <f t="shared" si="39"/>
        <v/>
      </c>
      <c r="AB38" s="11" t="str">
        <f t="shared" si="39"/>
        <v/>
      </c>
      <c r="AC38" s="11" t="str">
        <f t="shared" si="39"/>
        <v/>
      </c>
      <c r="AD38" s="6"/>
      <c r="AE38" s="11">
        <f t="shared" ref="AE38:BA38" si="40">IF(AE15="","",(AE15/$AE$23))</f>
        <v>1.155526347856229</v>
      </c>
      <c r="AF38" s="11" t="str">
        <f t="shared" si="40"/>
        <v/>
      </c>
      <c r="AG38" s="11" t="str">
        <f t="shared" si="40"/>
        <v/>
      </c>
      <c r="AH38" s="11" t="str">
        <f t="shared" si="40"/>
        <v/>
      </c>
      <c r="AI38" s="11" t="str">
        <f t="shared" si="40"/>
        <v/>
      </c>
      <c r="AJ38" s="11" t="str">
        <f t="shared" si="40"/>
        <v/>
      </c>
      <c r="AK38" s="11" t="str">
        <f t="shared" si="40"/>
        <v/>
      </c>
      <c r="AL38" s="11" t="str">
        <f t="shared" si="40"/>
        <v/>
      </c>
      <c r="AM38" s="11" t="str">
        <f t="shared" si="40"/>
        <v/>
      </c>
      <c r="AN38" s="11" t="str">
        <f t="shared" si="40"/>
        <v/>
      </c>
      <c r="AO38" s="11" t="str">
        <f t="shared" si="40"/>
        <v/>
      </c>
      <c r="AP38" s="11" t="str">
        <f t="shared" si="40"/>
        <v/>
      </c>
      <c r="AQ38" s="11" t="str">
        <f t="shared" si="40"/>
        <v/>
      </c>
      <c r="AR38" s="11" t="str">
        <f t="shared" si="40"/>
        <v/>
      </c>
      <c r="AS38" s="11" t="str">
        <f t="shared" si="40"/>
        <v/>
      </c>
      <c r="AT38" s="11" t="str">
        <f t="shared" si="40"/>
        <v/>
      </c>
      <c r="AU38" s="11" t="str">
        <f t="shared" si="40"/>
        <v/>
      </c>
      <c r="AV38" s="11" t="str">
        <f t="shared" si="40"/>
        <v/>
      </c>
      <c r="AW38" s="11" t="str">
        <f t="shared" si="40"/>
        <v/>
      </c>
      <c r="AX38" s="11" t="str">
        <f t="shared" si="40"/>
        <v/>
      </c>
      <c r="AY38" s="11" t="str">
        <f t="shared" si="40"/>
        <v/>
      </c>
      <c r="AZ38" s="11" t="str">
        <f t="shared" si="40"/>
        <v/>
      </c>
      <c r="BA38" s="11" t="str">
        <f t="shared" si="40"/>
        <v/>
      </c>
    </row>
    <row r="39" spans="1:53" x14ac:dyDescent="0.35">
      <c r="A39" s="235"/>
      <c r="B39" s="11" t="str">
        <f t="shared" ref="B39:J39" si="41">IF(B16="","",(B16/$AE$23))</f>
        <v/>
      </c>
      <c r="C39" s="11" t="str">
        <f t="shared" si="41"/>
        <v/>
      </c>
      <c r="D39" s="11" t="str">
        <f t="shared" si="41"/>
        <v/>
      </c>
      <c r="E39" s="11" t="str">
        <f t="shared" si="41"/>
        <v/>
      </c>
      <c r="F39" s="11" t="str">
        <f t="shared" si="41"/>
        <v/>
      </c>
      <c r="G39" s="11" t="str">
        <f t="shared" si="41"/>
        <v/>
      </c>
      <c r="H39" s="11" t="str">
        <f t="shared" si="41"/>
        <v/>
      </c>
      <c r="I39" s="11" t="str">
        <f t="shared" si="41"/>
        <v/>
      </c>
      <c r="J39" s="11" t="str">
        <f t="shared" si="41"/>
        <v/>
      </c>
      <c r="K39" s="11" t="str">
        <f t="shared" ref="K39:AC39" si="42">IF(K16="","",(K16/$AE$23))</f>
        <v/>
      </c>
      <c r="L39" s="11" t="str">
        <f t="shared" si="42"/>
        <v/>
      </c>
      <c r="M39" s="11" t="str">
        <f t="shared" si="42"/>
        <v/>
      </c>
      <c r="N39" s="11" t="str">
        <f t="shared" si="42"/>
        <v/>
      </c>
      <c r="O39" s="11" t="str">
        <f t="shared" si="42"/>
        <v/>
      </c>
      <c r="P39" s="11" t="str">
        <f t="shared" si="42"/>
        <v/>
      </c>
      <c r="Q39" s="11" t="str">
        <f t="shared" si="42"/>
        <v/>
      </c>
      <c r="R39" s="11" t="str">
        <f t="shared" si="42"/>
        <v/>
      </c>
      <c r="S39" s="11" t="str">
        <f t="shared" si="42"/>
        <v/>
      </c>
      <c r="T39" s="11" t="str">
        <f t="shared" si="42"/>
        <v/>
      </c>
      <c r="U39" s="11" t="str">
        <f t="shared" si="42"/>
        <v/>
      </c>
      <c r="V39" s="11" t="str">
        <f t="shared" si="42"/>
        <v/>
      </c>
      <c r="W39" s="11" t="str">
        <f t="shared" si="42"/>
        <v/>
      </c>
      <c r="X39" s="11" t="str">
        <f t="shared" si="42"/>
        <v/>
      </c>
      <c r="Y39" s="11" t="str">
        <f t="shared" si="42"/>
        <v/>
      </c>
      <c r="Z39" s="11" t="str">
        <f t="shared" si="42"/>
        <v/>
      </c>
      <c r="AA39" s="11" t="str">
        <f t="shared" si="42"/>
        <v/>
      </c>
      <c r="AB39" s="11" t="str">
        <f t="shared" si="42"/>
        <v/>
      </c>
      <c r="AC39" s="11" t="str">
        <f t="shared" si="42"/>
        <v/>
      </c>
      <c r="AD39" s="6"/>
      <c r="AE39" s="11">
        <f t="shared" ref="AE39:BA39" si="43">IF(AE16="","",(AE16/$AE$23))</f>
        <v>2.2817404917422999</v>
      </c>
      <c r="AF39" s="11" t="str">
        <f t="shared" si="43"/>
        <v/>
      </c>
      <c r="AG39" s="11" t="str">
        <f t="shared" si="43"/>
        <v/>
      </c>
      <c r="AH39" s="11" t="str">
        <f t="shared" si="43"/>
        <v/>
      </c>
      <c r="AI39" s="11" t="str">
        <f t="shared" si="43"/>
        <v/>
      </c>
      <c r="AJ39" s="11" t="str">
        <f t="shared" si="43"/>
        <v/>
      </c>
      <c r="AK39" s="11" t="str">
        <f t="shared" si="43"/>
        <v/>
      </c>
      <c r="AL39" s="11" t="str">
        <f t="shared" si="43"/>
        <v/>
      </c>
      <c r="AM39" s="11" t="str">
        <f t="shared" si="43"/>
        <v/>
      </c>
      <c r="AN39" s="11" t="str">
        <f t="shared" si="43"/>
        <v/>
      </c>
      <c r="AO39" s="11" t="str">
        <f t="shared" si="43"/>
        <v/>
      </c>
      <c r="AP39" s="11" t="str">
        <f t="shared" si="43"/>
        <v/>
      </c>
      <c r="AQ39" s="11" t="str">
        <f t="shared" si="43"/>
        <v/>
      </c>
      <c r="AR39" s="11" t="str">
        <f t="shared" si="43"/>
        <v/>
      </c>
      <c r="AS39" s="11" t="str">
        <f t="shared" si="43"/>
        <v/>
      </c>
      <c r="AT39" s="11" t="str">
        <f t="shared" si="43"/>
        <v/>
      </c>
      <c r="AU39" s="11" t="str">
        <f t="shared" si="43"/>
        <v/>
      </c>
      <c r="AV39" s="11" t="str">
        <f t="shared" si="43"/>
        <v/>
      </c>
      <c r="AW39" s="11" t="str">
        <f t="shared" si="43"/>
        <v/>
      </c>
      <c r="AX39" s="11" t="str">
        <f t="shared" si="43"/>
        <v/>
      </c>
      <c r="AY39" s="11" t="str">
        <f t="shared" si="43"/>
        <v/>
      </c>
      <c r="AZ39" s="11" t="str">
        <f t="shared" si="43"/>
        <v/>
      </c>
      <c r="BA39" s="11" t="str">
        <f t="shared" si="43"/>
        <v/>
      </c>
    </row>
    <row r="40" spans="1:53" x14ac:dyDescent="0.35">
      <c r="A40" s="235"/>
      <c r="B40" s="11" t="str">
        <f t="shared" ref="B40:J40" si="44">IF(B17="","",(B17/$AE$23))</f>
        <v/>
      </c>
      <c r="C40" s="11" t="str">
        <f t="shared" si="44"/>
        <v/>
      </c>
      <c r="D40" s="11" t="str">
        <f t="shared" si="44"/>
        <v/>
      </c>
      <c r="E40" s="11" t="str">
        <f t="shared" si="44"/>
        <v/>
      </c>
      <c r="F40" s="11" t="str">
        <f t="shared" si="44"/>
        <v/>
      </c>
      <c r="G40" s="11" t="str">
        <f t="shared" si="44"/>
        <v/>
      </c>
      <c r="H40" s="11" t="str">
        <f t="shared" si="44"/>
        <v/>
      </c>
      <c r="I40" s="11" t="str">
        <f t="shared" si="44"/>
        <v/>
      </c>
      <c r="J40" s="11" t="str">
        <f t="shared" si="44"/>
        <v/>
      </c>
      <c r="K40" s="11" t="str">
        <f t="shared" ref="K40:AC40" si="45">IF(K17="","",(K17/$AE$23))</f>
        <v/>
      </c>
      <c r="L40" s="11" t="str">
        <f t="shared" si="45"/>
        <v/>
      </c>
      <c r="M40" s="11" t="str">
        <f t="shared" si="45"/>
        <v/>
      </c>
      <c r="N40" s="11" t="str">
        <f t="shared" si="45"/>
        <v/>
      </c>
      <c r="O40" s="11" t="str">
        <f t="shared" si="45"/>
        <v/>
      </c>
      <c r="P40" s="11" t="str">
        <f t="shared" si="45"/>
        <v/>
      </c>
      <c r="Q40" s="11" t="str">
        <f t="shared" si="45"/>
        <v/>
      </c>
      <c r="R40" s="11" t="str">
        <f t="shared" si="45"/>
        <v/>
      </c>
      <c r="S40" s="11" t="str">
        <f t="shared" si="45"/>
        <v/>
      </c>
      <c r="T40" s="11" t="str">
        <f t="shared" si="45"/>
        <v/>
      </c>
      <c r="U40" s="11" t="str">
        <f t="shared" si="45"/>
        <v/>
      </c>
      <c r="V40" s="11" t="str">
        <f t="shared" si="45"/>
        <v/>
      </c>
      <c r="W40" s="11" t="str">
        <f t="shared" si="45"/>
        <v/>
      </c>
      <c r="X40" s="11" t="str">
        <f t="shared" si="45"/>
        <v/>
      </c>
      <c r="Y40" s="11" t="str">
        <f t="shared" si="45"/>
        <v/>
      </c>
      <c r="Z40" s="11" t="str">
        <f t="shared" si="45"/>
        <v/>
      </c>
      <c r="AA40" s="11" t="str">
        <f t="shared" si="45"/>
        <v/>
      </c>
      <c r="AB40" s="11" t="str">
        <f t="shared" si="45"/>
        <v/>
      </c>
      <c r="AC40" s="11" t="str">
        <f t="shared" si="45"/>
        <v/>
      </c>
      <c r="AD40" s="6"/>
      <c r="AE40" s="11">
        <f t="shared" ref="AE40:BA40" si="46">IF(AE17="","",(AE17/$AE$23))</f>
        <v>6.8763207238651439E-2</v>
      </c>
      <c r="AF40" s="11" t="str">
        <f t="shared" si="46"/>
        <v/>
      </c>
      <c r="AG40" s="11" t="str">
        <f t="shared" si="46"/>
        <v/>
      </c>
      <c r="AH40" s="11" t="str">
        <f t="shared" si="46"/>
        <v/>
      </c>
      <c r="AI40" s="11" t="str">
        <f t="shared" si="46"/>
        <v/>
      </c>
      <c r="AJ40" s="11" t="str">
        <f t="shared" si="46"/>
        <v/>
      </c>
      <c r="AK40" s="11" t="str">
        <f t="shared" si="46"/>
        <v/>
      </c>
      <c r="AL40" s="11" t="str">
        <f t="shared" si="46"/>
        <v/>
      </c>
      <c r="AM40" s="11" t="str">
        <f t="shared" si="46"/>
        <v/>
      </c>
      <c r="AN40" s="11" t="str">
        <f t="shared" si="46"/>
        <v/>
      </c>
      <c r="AO40" s="11" t="str">
        <f t="shared" si="46"/>
        <v/>
      </c>
      <c r="AP40" s="11" t="str">
        <f t="shared" si="46"/>
        <v/>
      </c>
      <c r="AQ40" s="11" t="str">
        <f t="shared" si="46"/>
        <v/>
      </c>
      <c r="AR40" s="11" t="str">
        <f t="shared" si="46"/>
        <v/>
      </c>
      <c r="AS40" s="11" t="str">
        <f t="shared" si="46"/>
        <v/>
      </c>
      <c r="AT40" s="11" t="str">
        <f t="shared" si="46"/>
        <v/>
      </c>
      <c r="AU40" s="11" t="str">
        <f t="shared" si="46"/>
        <v/>
      </c>
      <c r="AV40" s="11" t="str">
        <f t="shared" si="46"/>
        <v/>
      </c>
      <c r="AW40" s="11" t="str">
        <f t="shared" si="46"/>
        <v/>
      </c>
      <c r="AX40" s="11" t="str">
        <f t="shared" si="46"/>
        <v/>
      </c>
      <c r="AY40" s="11" t="str">
        <f t="shared" si="46"/>
        <v/>
      </c>
      <c r="AZ40" s="11" t="str">
        <f t="shared" si="46"/>
        <v/>
      </c>
      <c r="BA40" s="11" t="str">
        <f t="shared" si="46"/>
        <v/>
      </c>
    </row>
    <row r="41" spans="1:53" x14ac:dyDescent="0.35">
      <c r="A41" s="235"/>
      <c r="B41" s="11" t="str">
        <f t="shared" ref="B41:J41" si="47">IF(B18="","",(B18/$AE$23))</f>
        <v/>
      </c>
      <c r="C41" s="11" t="str">
        <f t="shared" si="47"/>
        <v/>
      </c>
      <c r="D41" s="11" t="str">
        <f t="shared" si="47"/>
        <v/>
      </c>
      <c r="E41" s="11" t="str">
        <f t="shared" si="47"/>
        <v/>
      </c>
      <c r="F41" s="11" t="str">
        <f t="shared" si="47"/>
        <v/>
      </c>
      <c r="G41" s="11" t="str">
        <f t="shared" si="47"/>
        <v/>
      </c>
      <c r="H41" s="11" t="str">
        <f t="shared" si="47"/>
        <v/>
      </c>
      <c r="I41" s="11" t="str">
        <f t="shared" si="47"/>
        <v/>
      </c>
      <c r="J41" s="11" t="str">
        <f t="shared" si="47"/>
        <v/>
      </c>
      <c r="K41" s="11" t="str">
        <f t="shared" ref="K41:AC41" si="48">IF(K18="","",(K18/$AE$23))</f>
        <v/>
      </c>
      <c r="L41" s="11" t="str">
        <f t="shared" si="48"/>
        <v/>
      </c>
      <c r="M41" s="11" t="str">
        <f t="shared" si="48"/>
        <v/>
      </c>
      <c r="N41" s="11" t="str">
        <f t="shared" si="48"/>
        <v/>
      </c>
      <c r="O41" s="11" t="str">
        <f t="shared" si="48"/>
        <v/>
      </c>
      <c r="P41" s="11" t="str">
        <f t="shared" si="48"/>
        <v/>
      </c>
      <c r="Q41" s="11" t="str">
        <f t="shared" si="48"/>
        <v/>
      </c>
      <c r="R41" s="11" t="str">
        <f t="shared" si="48"/>
        <v/>
      </c>
      <c r="S41" s="11" t="str">
        <f t="shared" si="48"/>
        <v/>
      </c>
      <c r="T41" s="11" t="str">
        <f t="shared" si="48"/>
        <v/>
      </c>
      <c r="U41" s="11" t="str">
        <f t="shared" si="48"/>
        <v/>
      </c>
      <c r="V41" s="11" t="str">
        <f t="shared" si="48"/>
        <v/>
      </c>
      <c r="W41" s="11" t="str">
        <f t="shared" si="48"/>
        <v/>
      </c>
      <c r="X41" s="11" t="str">
        <f t="shared" si="48"/>
        <v/>
      </c>
      <c r="Y41" s="11" t="str">
        <f t="shared" si="48"/>
        <v/>
      </c>
      <c r="Z41" s="11" t="str">
        <f t="shared" si="48"/>
        <v/>
      </c>
      <c r="AA41" s="11" t="str">
        <f t="shared" si="48"/>
        <v/>
      </c>
      <c r="AB41" s="11" t="str">
        <f t="shared" si="48"/>
        <v/>
      </c>
      <c r="AC41" s="11" t="str">
        <f t="shared" si="48"/>
        <v/>
      </c>
      <c r="AD41" s="6"/>
      <c r="AE41" s="11">
        <f t="shared" ref="AE41:BA41" si="49">IF(AE18="","",(AE18/$AE$23))</f>
        <v>0.6117312200550562</v>
      </c>
      <c r="AF41" s="11" t="str">
        <f t="shared" si="49"/>
        <v/>
      </c>
      <c r="AG41" s="11" t="str">
        <f t="shared" si="49"/>
        <v/>
      </c>
      <c r="AH41" s="11" t="str">
        <f t="shared" si="49"/>
        <v/>
      </c>
      <c r="AI41" s="11" t="str">
        <f t="shared" si="49"/>
        <v/>
      </c>
      <c r="AJ41" s="11" t="str">
        <f t="shared" si="49"/>
        <v/>
      </c>
      <c r="AK41" s="11" t="str">
        <f t="shared" si="49"/>
        <v/>
      </c>
      <c r="AL41" s="11" t="str">
        <f t="shared" si="49"/>
        <v/>
      </c>
      <c r="AM41" s="11" t="str">
        <f t="shared" si="49"/>
        <v/>
      </c>
      <c r="AN41" s="11" t="str">
        <f t="shared" si="49"/>
        <v/>
      </c>
      <c r="AO41" s="11" t="str">
        <f t="shared" si="49"/>
        <v/>
      </c>
      <c r="AP41" s="11" t="str">
        <f t="shared" si="49"/>
        <v/>
      </c>
      <c r="AQ41" s="11" t="str">
        <f t="shared" si="49"/>
        <v/>
      </c>
      <c r="AR41" s="11" t="str">
        <f t="shared" si="49"/>
        <v/>
      </c>
      <c r="AS41" s="11" t="str">
        <f t="shared" si="49"/>
        <v/>
      </c>
      <c r="AT41" s="11" t="str">
        <f t="shared" si="49"/>
        <v/>
      </c>
      <c r="AU41" s="11" t="str">
        <f t="shared" si="49"/>
        <v/>
      </c>
      <c r="AV41" s="11" t="str">
        <f t="shared" si="49"/>
        <v/>
      </c>
      <c r="AW41" s="11" t="str">
        <f t="shared" si="49"/>
        <v/>
      </c>
      <c r="AX41" s="11" t="str">
        <f t="shared" si="49"/>
        <v/>
      </c>
      <c r="AY41" s="11" t="str">
        <f t="shared" si="49"/>
        <v/>
      </c>
      <c r="AZ41" s="11" t="str">
        <f t="shared" si="49"/>
        <v/>
      </c>
      <c r="BA41" s="11" t="str">
        <f t="shared" si="49"/>
        <v/>
      </c>
    </row>
    <row r="42" spans="1:53" x14ac:dyDescent="0.35">
      <c r="A42" s="235"/>
      <c r="B42" s="11" t="str">
        <f t="shared" ref="B42:J42" si="50">IF(B19="","",(B19/$AE$23))</f>
        <v/>
      </c>
      <c r="C42" s="11" t="str">
        <f t="shared" si="50"/>
        <v/>
      </c>
      <c r="D42" s="11" t="str">
        <f t="shared" si="50"/>
        <v/>
      </c>
      <c r="E42" s="11" t="str">
        <f t="shared" si="50"/>
        <v/>
      </c>
      <c r="F42" s="11" t="str">
        <f t="shared" si="50"/>
        <v/>
      </c>
      <c r="G42" s="11" t="str">
        <f t="shared" si="50"/>
        <v/>
      </c>
      <c r="H42" s="11" t="str">
        <f t="shared" si="50"/>
        <v/>
      </c>
      <c r="I42" s="11" t="str">
        <f t="shared" si="50"/>
        <v/>
      </c>
      <c r="J42" s="11" t="str">
        <f t="shared" si="50"/>
        <v/>
      </c>
      <c r="K42" s="11" t="str">
        <f t="shared" ref="K42:AC42" si="51">IF(K19="","",(K19/$AE$23))</f>
        <v/>
      </c>
      <c r="L42" s="11" t="str">
        <f t="shared" si="51"/>
        <v/>
      </c>
      <c r="M42" s="11" t="str">
        <f t="shared" si="51"/>
        <v/>
      </c>
      <c r="N42" s="11" t="str">
        <f t="shared" si="51"/>
        <v/>
      </c>
      <c r="O42" s="11" t="str">
        <f t="shared" si="51"/>
        <v/>
      </c>
      <c r="P42" s="11" t="str">
        <f t="shared" si="51"/>
        <v/>
      </c>
      <c r="Q42" s="11" t="str">
        <f t="shared" si="51"/>
        <v/>
      </c>
      <c r="R42" s="11" t="str">
        <f t="shared" si="51"/>
        <v/>
      </c>
      <c r="S42" s="11" t="str">
        <f t="shared" si="51"/>
        <v/>
      </c>
      <c r="T42" s="11" t="str">
        <f t="shared" si="51"/>
        <v/>
      </c>
      <c r="U42" s="11" t="str">
        <f t="shared" si="51"/>
        <v/>
      </c>
      <c r="V42" s="11" t="str">
        <f t="shared" si="51"/>
        <v/>
      </c>
      <c r="W42" s="11" t="str">
        <f t="shared" si="51"/>
        <v/>
      </c>
      <c r="X42" s="11" t="str">
        <f t="shared" si="51"/>
        <v/>
      </c>
      <c r="Y42" s="11" t="str">
        <f t="shared" si="51"/>
        <v/>
      </c>
      <c r="Z42" s="11" t="str">
        <f t="shared" si="51"/>
        <v/>
      </c>
      <c r="AA42" s="11" t="str">
        <f t="shared" si="51"/>
        <v/>
      </c>
      <c r="AB42" s="11" t="str">
        <f t="shared" si="51"/>
        <v/>
      </c>
      <c r="AC42" s="11" t="str">
        <f t="shared" si="51"/>
        <v/>
      </c>
      <c r="AD42" s="6"/>
      <c r="AE42" s="11">
        <f t="shared" ref="AE42:BA42" si="52">IF(AE19="","",(AE19/$AE$23))</f>
        <v>0.17329730564164172</v>
      </c>
      <c r="AF42" s="11" t="str">
        <f t="shared" si="52"/>
        <v/>
      </c>
      <c r="AG42" s="11" t="str">
        <f t="shared" si="52"/>
        <v/>
      </c>
      <c r="AH42" s="11" t="str">
        <f t="shared" si="52"/>
        <v/>
      </c>
      <c r="AI42" s="11" t="str">
        <f t="shared" si="52"/>
        <v/>
      </c>
      <c r="AJ42" s="11" t="str">
        <f t="shared" si="52"/>
        <v/>
      </c>
      <c r="AK42" s="11" t="str">
        <f t="shared" si="52"/>
        <v/>
      </c>
      <c r="AL42" s="11" t="str">
        <f t="shared" si="52"/>
        <v/>
      </c>
      <c r="AM42" s="11" t="str">
        <f t="shared" si="52"/>
        <v/>
      </c>
      <c r="AN42" s="11" t="str">
        <f t="shared" si="52"/>
        <v/>
      </c>
      <c r="AO42" s="11" t="str">
        <f t="shared" si="52"/>
        <v/>
      </c>
      <c r="AP42" s="11" t="str">
        <f t="shared" si="52"/>
        <v/>
      </c>
      <c r="AQ42" s="11" t="str">
        <f t="shared" si="52"/>
        <v/>
      </c>
      <c r="AR42" s="11" t="str">
        <f t="shared" si="52"/>
        <v/>
      </c>
      <c r="AS42" s="11" t="str">
        <f t="shared" si="52"/>
        <v/>
      </c>
      <c r="AT42" s="11" t="str">
        <f t="shared" si="52"/>
        <v/>
      </c>
      <c r="AU42" s="11" t="str">
        <f t="shared" si="52"/>
        <v/>
      </c>
      <c r="AV42" s="11" t="str">
        <f t="shared" si="52"/>
        <v/>
      </c>
      <c r="AW42" s="11" t="str">
        <f t="shared" si="52"/>
        <v/>
      </c>
      <c r="AX42" s="11" t="str">
        <f t="shared" si="52"/>
        <v/>
      </c>
      <c r="AY42" s="11" t="str">
        <f t="shared" si="52"/>
        <v/>
      </c>
      <c r="AZ42" s="11" t="str">
        <f t="shared" si="52"/>
        <v/>
      </c>
      <c r="BA42" s="11" t="str">
        <f t="shared" si="52"/>
        <v/>
      </c>
    </row>
    <row r="43" spans="1:53" x14ac:dyDescent="0.35">
      <c r="A43" s="235"/>
      <c r="B43" s="11" t="str">
        <f t="shared" ref="B43:J43" si="53">IF(B20="","",(B20/$AE$23))</f>
        <v/>
      </c>
      <c r="C43" s="11" t="str">
        <f t="shared" si="53"/>
        <v/>
      </c>
      <c r="D43" s="11" t="str">
        <f t="shared" si="53"/>
        <v/>
      </c>
      <c r="E43" s="11" t="str">
        <f t="shared" si="53"/>
        <v/>
      </c>
      <c r="F43" s="11" t="str">
        <f t="shared" si="53"/>
        <v/>
      </c>
      <c r="G43" s="11" t="str">
        <f t="shared" si="53"/>
        <v/>
      </c>
      <c r="H43" s="11" t="str">
        <f t="shared" si="53"/>
        <v/>
      </c>
      <c r="I43" s="11" t="str">
        <f t="shared" si="53"/>
        <v/>
      </c>
      <c r="J43" s="11" t="str">
        <f t="shared" si="53"/>
        <v/>
      </c>
      <c r="K43" s="11" t="str">
        <f t="shared" ref="K43:AC43" si="54">IF(K20="","",(K20/$AE$23))</f>
        <v/>
      </c>
      <c r="L43" s="11" t="str">
        <f t="shared" si="54"/>
        <v/>
      </c>
      <c r="M43" s="11" t="str">
        <f t="shared" si="54"/>
        <v/>
      </c>
      <c r="N43" s="11" t="str">
        <f t="shared" si="54"/>
        <v/>
      </c>
      <c r="O43" s="11" t="str">
        <f t="shared" si="54"/>
        <v/>
      </c>
      <c r="P43" s="11" t="str">
        <f t="shared" si="54"/>
        <v/>
      </c>
      <c r="Q43" s="11" t="str">
        <f t="shared" si="54"/>
        <v/>
      </c>
      <c r="R43" s="11" t="str">
        <f t="shared" si="54"/>
        <v/>
      </c>
      <c r="S43" s="11" t="str">
        <f t="shared" si="54"/>
        <v/>
      </c>
      <c r="T43" s="11" t="str">
        <f t="shared" si="54"/>
        <v/>
      </c>
      <c r="U43" s="11" t="str">
        <f t="shared" si="54"/>
        <v/>
      </c>
      <c r="V43" s="11" t="str">
        <f t="shared" si="54"/>
        <v/>
      </c>
      <c r="W43" s="11" t="str">
        <f t="shared" si="54"/>
        <v/>
      </c>
      <c r="X43" s="11" t="str">
        <f t="shared" si="54"/>
        <v/>
      </c>
      <c r="Y43" s="11" t="str">
        <f t="shared" si="54"/>
        <v/>
      </c>
      <c r="Z43" s="11" t="str">
        <f t="shared" si="54"/>
        <v/>
      </c>
      <c r="AA43" s="11" t="str">
        <f t="shared" si="54"/>
        <v/>
      </c>
      <c r="AB43" s="11" t="str">
        <f t="shared" si="54"/>
        <v/>
      </c>
      <c r="AC43" s="11" t="str">
        <f t="shared" si="54"/>
        <v/>
      </c>
      <c r="AD43" s="6"/>
      <c r="AE43" s="11">
        <f t="shared" ref="AE43:BA43" si="55">IF(AE20="","",(AE20/$AE$23))</f>
        <v>0.61451002413594202</v>
      </c>
      <c r="AF43" s="11" t="str">
        <f t="shared" si="55"/>
        <v/>
      </c>
      <c r="AG43" s="11" t="str">
        <f t="shared" si="55"/>
        <v/>
      </c>
      <c r="AH43" s="11" t="str">
        <f t="shared" si="55"/>
        <v/>
      </c>
      <c r="AI43" s="11" t="str">
        <f t="shared" si="55"/>
        <v/>
      </c>
      <c r="AJ43" s="11" t="str">
        <f t="shared" si="55"/>
        <v/>
      </c>
      <c r="AK43" s="11" t="str">
        <f t="shared" si="55"/>
        <v/>
      </c>
      <c r="AL43" s="11" t="str">
        <f t="shared" si="55"/>
        <v/>
      </c>
      <c r="AM43" s="11" t="str">
        <f t="shared" si="55"/>
        <v/>
      </c>
      <c r="AN43" s="11" t="str">
        <f t="shared" si="55"/>
        <v/>
      </c>
      <c r="AO43" s="11" t="str">
        <f t="shared" si="55"/>
        <v/>
      </c>
      <c r="AP43" s="11" t="str">
        <f t="shared" si="55"/>
        <v/>
      </c>
      <c r="AQ43" s="11" t="str">
        <f t="shared" si="55"/>
        <v/>
      </c>
      <c r="AR43" s="11" t="str">
        <f t="shared" si="55"/>
        <v/>
      </c>
      <c r="AS43" s="11" t="str">
        <f t="shared" si="55"/>
        <v/>
      </c>
      <c r="AT43" s="11" t="str">
        <f t="shared" si="55"/>
        <v/>
      </c>
      <c r="AU43" s="11" t="str">
        <f t="shared" si="55"/>
        <v/>
      </c>
      <c r="AV43" s="11" t="str">
        <f t="shared" si="55"/>
        <v/>
      </c>
      <c r="AW43" s="11" t="str">
        <f t="shared" si="55"/>
        <v/>
      </c>
      <c r="AX43" s="11" t="str">
        <f t="shared" si="55"/>
        <v/>
      </c>
      <c r="AY43" s="11" t="str">
        <f t="shared" si="55"/>
        <v/>
      </c>
      <c r="AZ43" s="11" t="str">
        <f t="shared" si="55"/>
        <v/>
      </c>
      <c r="BA43" s="11" t="str">
        <f t="shared" si="55"/>
        <v/>
      </c>
    </row>
    <row r="44" spans="1:53" x14ac:dyDescent="0.35">
      <c r="A44" s="7"/>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7"/>
      <c r="AE44" s="3"/>
      <c r="AF44" s="3"/>
      <c r="AG44" s="3"/>
      <c r="AH44" s="3"/>
      <c r="AI44" s="3"/>
      <c r="AJ44" s="3"/>
      <c r="AK44" s="3"/>
      <c r="AL44" s="3"/>
      <c r="AM44" s="3"/>
      <c r="AN44" s="3"/>
      <c r="AO44" s="3"/>
      <c r="AP44" s="3"/>
      <c r="AQ44" s="3"/>
      <c r="AR44" s="3"/>
      <c r="AS44" s="3"/>
      <c r="AT44" s="3"/>
      <c r="AU44" s="3"/>
      <c r="AV44" s="3"/>
      <c r="AW44" s="3"/>
      <c r="AX44" s="3"/>
      <c r="AY44" s="3"/>
      <c r="AZ44" s="3"/>
      <c r="BA44" s="3"/>
    </row>
    <row r="45" spans="1:53" x14ac:dyDescent="0.35">
      <c r="A45" s="7" t="str">
        <f>A4</f>
        <v>Noms des groupes</v>
      </c>
      <c r="B45" s="7" t="str">
        <f t="shared" ref="B45:AH45" si="56">B4</f>
        <v>Témoin solvant</v>
      </c>
      <c r="C45" s="7" t="str">
        <f t="shared" si="56"/>
        <v>EE2-33,8ng/L</v>
      </c>
      <c r="D45" s="7" t="str">
        <f t="shared" si="56"/>
        <v>EE2-50,6ng/L</v>
      </c>
      <c r="E45" s="7" t="str">
        <f t="shared" si="56"/>
        <v>EE2-76ng/L</v>
      </c>
      <c r="F45" s="7" t="str">
        <f t="shared" si="56"/>
        <v>EE2-114ng/L</v>
      </c>
      <c r="G45" s="7" t="str">
        <f t="shared" si="56"/>
        <v>EE2-170,9ng/L</v>
      </c>
      <c r="H45" s="7" t="str">
        <f t="shared" si="56"/>
        <v>EE2-488ng/L</v>
      </c>
      <c r="I45" s="7" t="str">
        <f t="shared" si="56"/>
        <v>Testo-3.7µg/L</v>
      </c>
      <c r="J45" s="7" t="str">
        <f t="shared" si="56"/>
        <v>Testo-11µg/L</v>
      </c>
      <c r="K45" s="7" t="str">
        <f t="shared" ref="K45:AC45" si="57">K4</f>
        <v>Testo-33µg/L</v>
      </c>
      <c r="L45" s="7" t="str">
        <f t="shared" si="57"/>
        <v>Testo-100µg/L</v>
      </c>
      <c r="M45" s="7" t="str">
        <f t="shared" si="57"/>
        <v>Testo-300µg/L</v>
      </c>
      <c r="N45" s="7" t="str">
        <f t="shared" si="57"/>
        <v xml:space="preserve"> </v>
      </c>
      <c r="O45" s="7" t="str">
        <f t="shared" si="57"/>
        <v xml:space="preserve"> </v>
      </c>
      <c r="P45" s="7" t="str">
        <f t="shared" si="57"/>
        <v xml:space="preserve"> </v>
      </c>
      <c r="Q45" s="7" t="str">
        <f t="shared" si="57"/>
        <v xml:space="preserve"> </v>
      </c>
      <c r="R45" s="7" t="str">
        <f t="shared" si="57"/>
        <v xml:space="preserve"> </v>
      </c>
      <c r="S45" s="7" t="str">
        <f t="shared" si="57"/>
        <v xml:space="preserve"> </v>
      </c>
      <c r="T45" s="7" t="str">
        <f t="shared" si="57"/>
        <v xml:space="preserve"> </v>
      </c>
      <c r="U45" s="7" t="str">
        <f t="shared" si="57"/>
        <v xml:space="preserve"> </v>
      </c>
      <c r="V45" s="7" t="str">
        <f t="shared" si="57"/>
        <v xml:space="preserve"> </v>
      </c>
      <c r="W45" s="7" t="str">
        <f t="shared" si="57"/>
        <v xml:space="preserve"> </v>
      </c>
      <c r="X45" s="7" t="str">
        <f t="shared" si="57"/>
        <v xml:space="preserve"> </v>
      </c>
      <c r="Y45" s="7" t="str">
        <f t="shared" si="57"/>
        <v xml:space="preserve"> </v>
      </c>
      <c r="Z45" s="7" t="str">
        <f t="shared" si="57"/>
        <v xml:space="preserve"> </v>
      </c>
      <c r="AA45" s="7" t="str">
        <f t="shared" si="57"/>
        <v xml:space="preserve"> </v>
      </c>
      <c r="AB45" s="7" t="str">
        <f t="shared" si="57"/>
        <v xml:space="preserve"> </v>
      </c>
      <c r="AC45" s="7" t="str">
        <f t="shared" si="57"/>
        <v xml:space="preserve"> </v>
      </c>
      <c r="AD45" s="7"/>
      <c r="AE45" s="7" t="str">
        <f t="shared" si="56"/>
        <v>Testo -30µg/L</v>
      </c>
      <c r="AF45" s="7" t="str">
        <f t="shared" si="56"/>
        <v>Testo 30µg/L + EE2 -64ng/L</v>
      </c>
      <c r="AG45" s="7" t="str">
        <f t="shared" si="56"/>
        <v>Testo 30µg/L + FAD-10mg/L</v>
      </c>
      <c r="AH45" s="7" t="str">
        <f t="shared" si="56"/>
        <v>Testo-3,7µg/L + Testostérone</v>
      </c>
      <c r="AI45" s="7" t="str">
        <f t="shared" ref="AI45:BA45" si="58">AI4</f>
        <v>Testo-11µg/L + Testostérone</v>
      </c>
      <c r="AJ45" s="7" t="str">
        <f t="shared" si="58"/>
        <v>Testo-33µg/L + Testostérone</v>
      </c>
      <c r="AK45" s="7" t="str">
        <f t="shared" si="58"/>
        <v>Testo-100µg/L + Testostérone</v>
      </c>
      <c r="AL45" s="7" t="str">
        <f t="shared" si="58"/>
        <v>Testo-300µg/L + Testostérone</v>
      </c>
      <c r="AM45" s="7" t="str">
        <f t="shared" si="58"/>
        <v>0-00 + Testostérone</v>
      </c>
      <c r="AN45" s="7" t="str">
        <f t="shared" si="58"/>
        <v>0-00 + Testostérone</v>
      </c>
      <c r="AO45" s="7" t="str">
        <f t="shared" si="58"/>
        <v>0-00 + Testostérone</v>
      </c>
      <c r="AP45" s="7" t="str">
        <f t="shared" si="58"/>
        <v>0-00 + Testostérone</v>
      </c>
      <c r="AQ45" s="7" t="str">
        <f t="shared" si="58"/>
        <v>0-00 + Testostérone</v>
      </c>
      <c r="AR45" s="7" t="str">
        <f t="shared" si="58"/>
        <v>0-00 + Testostérone</v>
      </c>
      <c r="AS45" s="7" t="str">
        <f t="shared" si="58"/>
        <v>0-00 + Testostérone</v>
      </c>
      <c r="AT45" s="7" t="str">
        <f t="shared" si="58"/>
        <v>0-00 + Testostérone</v>
      </c>
      <c r="AU45" s="7" t="str">
        <f t="shared" si="58"/>
        <v>0-00 + Testostérone</v>
      </c>
      <c r="AV45" s="7" t="str">
        <f t="shared" si="58"/>
        <v>0-00 + Testostérone</v>
      </c>
      <c r="AW45" s="7" t="str">
        <f t="shared" si="58"/>
        <v>0-00 + Testostérone</v>
      </c>
      <c r="AX45" s="7" t="str">
        <f t="shared" si="58"/>
        <v>0-00 + Testostérone</v>
      </c>
      <c r="AY45" s="7" t="str">
        <f t="shared" si="58"/>
        <v>0-00 + Testostérone</v>
      </c>
      <c r="AZ45" s="7" t="str">
        <f t="shared" si="58"/>
        <v>0-00 + Testostérone</v>
      </c>
      <c r="BA45" s="7" t="str">
        <f t="shared" si="58"/>
        <v>0-00 + Testostérone</v>
      </c>
    </row>
    <row r="46" spans="1:53" x14ac:dyDescent="0.35">
      <c r="A46" s="8" t="s">
        <v>0</v>
      </c>
      <c r="B46" s="10">
        <f t="shared" ref="B46:H46" si="59">AVERAGE(B28:B43)</f>
        <v>7.5471003775064799E-2</v>
      </c>
      <c r="C46" s="10">
        <f t="shared" si="59"/>
        <v>0.10244642144926765</v>
      </c>
      <c r="D46" s="10">
        <f t="shared" si="59"/>
        <v>7.5997429226482019E-2</v>
      </c>
      <c r="E46" s="10">
        <f t="shared" si="59"/>
        <v>0.11780963085220983</v>
      </c>
      <c r="F46" s="10">
        <f t="shared" si="59"/>
        <v>0.17216828052045899</v>
      </c>
      <c r="G46" s="10">
        <f t="shared" si="59"/>
        <v>1.9334980295205682</v>
      </c>
      <c r="H46" s="10">
        <f t="shared" si="59"/>
        <v>3.0003535676119482</v>
      </c>
      <c r="I46" s="10">
        <f>AVERAGE(I28:I43)</f>
        <v>9.8597575794589692E-2</v>
      </c>
      <c r="J46" s="9">
        <f>AVERAGE(J28:J43)</f>
        <v>0.256520856304297</v>
      </c>
      <c r="K46" s="9">
        <f t="shared" ref="K46:AC46" si="60">AVERAGE(K28:K43)</f>
        <v>0.95499759640289472</v>
      </c>
      <c r="L46" s="9">
        <f t="shared" si="60"/>
        <v>1.6765316040284564</v>
      </c>
      <c r="M46" s="9">
        <f t="shared" si="60"/>
        <v>1.8560649748129903</v>
      </c>
      <c r="N46" s="9" t="e">
        <f t="shared" si="60"/>
        <v>#DIV/0!</v>
      </c>
      <c r="O46" s="9" t="e">
        <f t="shared" si="60"/>
        <v>#DIV/0!</v>
      </c>
      <c r="P46" s="9" t="e">
        <f t="shared" si="60"/>
        <v>#DIV/0!</v>
      </c>
      <c r="Q46" s="9" t="e">
        <f t="shared" si="60"/>
        <v>#DIV/0!</v>
      </c>
      <c r="R46" s="9" t="e">
        <f t="shared" si="60"/>
        <v>#DIV/0!</v>
      </c>
      <c r="S46" s="9" t="e">
        <f t="shared" si="60"/>
        <v>#DIV/0!</v>
      </c>
      <c r="T46" s="9" t="e">
        <f t="shared" si="60"/>
        <v>#DIV/0!</v>
      </c>
      <c r="U46" s="9" t="e">
        <f t="shared" si="60"/>
        <v>#DIV/0!</v>
      </c>
      <c r="V46" s="9" t="e">
        <f t="shared" si="60"/>
        <v>#DIV/0!</v>
      </c>
      <c r="W46" s="9" t="e">
        <f t="shared" si="60"/>
        <v>#DIV/0!</v>
      </c>
      <c r="X46" s="9" t="e">
        <f t="shared" si="60"/>
        <v>#DIV/0!</v>
      </c>
      <c r="Y46" s="9" t="e">
        <f t="shared" si="60"/>
        <v>#DIV/0!</v>
      </c>
      <c r="Z46" s="9" t="e">
        <f t="shared" si="60"/>
        <v>#DIV/0!</v>
      </c>
      <c r="AA46" s="9" t="e">
        <f t="shared" si="60"/>
        <v>#DIV/0!</v>
      </c>
      <c r="AB46" s="9" t="e">
        <f t="shared" si="60"/>
        <v>#DIV/0!</v>
      </c>
      <c r="AC46" s="9" t="e">
        <f t="shared" si="60"/>
        <v>#DIV/0!</v>
      </c>
      <c r="AD46" s="8" t="s">
        <v>0</v>
      </c>
      <c r="AE46" s="10">
        <f t="shared" ref="AE46:AH46" si="61">AVERAGE(AE28:AE43)</f>
        <v>1</v>
      </c>
      <c r="AF46" s="10">
        <f t="shared" si="61"/>
        <v>2.3858498407246445</v>
      </c>
      <c r="AG46" s="10">
        <f t="shared" si="61"/>
        <v>0.11768570181683487</v>
      </c>
      <c r="AH46" s="10">
        <f t="shared" si="61"/>
        <v>1.3255070480267939</v>
      </c>
      <c r="AI46" s="10">
        <f t="shared" ref="AI46:BA46" si="62">AVERAGE(AI28:AI43)</f>
        <v>1.24252325283867</v>
      </c>
      <c r="AJ46" s="10">
        <f t="shared" si="62"/>
        <v>0.96764538721270466</v>
      </c>
      <c r="AK46" s="10">
        <f t="shared" si="62"/>
        <v>1.4274424886402981</v>
      </c>
      <c r="AL46" s="10">
        <f t="shared" si="62"/>
        <v>1.3284612754626006</v>
      </c>
      <c r="AM46" s="10" t="e">
        <f t="shared" si="62"/>
        <v>#DIV/0!</v>
      </c>
      <c r="AN46" s="10" t="e">
        <f t="shared" si="62"/>
        <v>#DIV/0!</v>
      </c>
      <c r="AO46" s="10" t="e">
        <f t="shared" si="62"/>
        <v>#DIV/0!</v>
      </c>
      <c r="AP46" s="10" t="e">
        <f t="shared" si="62"/>
        <v>#DIV/0!</v>
      </c>
      <c r="AQ46" s="10" t="e">
        <f t="shared" si="62"/>
        <v>#DIV/0!</v>
      </c>
      <c r="AR46" s="10" t="e">
        <f t="shared" si="62"/>
        <v>#DIV/0!</v>
      </c>
      <c r="AS46" s="10" t="e">
        <f t="shared" si="62"/>
        <v>#DIV/0!</v>
      </c>
      <c r="AT46" s="10" t="e">
        <f t="shared" si="62"/>
        <v>#DIV/0!</v>
      </c>
      <c r="AU46" s="10" t="e">
        <f t="shared" si="62"/>
        <v>#DIV/0!</v>
      </c>
      <c r="AV46" s="10" t="e">
        <f t="shared" si="62"/>
        <v>#DIV/0!</v>
      </c>
      <c r="AW46" s="10" t="e">
        <f t="shared" si="62"/>
        <v>#DIV/0!</v>
      </c>
      <c r="AX46" s="10" t="e">
        <f t="shared" si="62"/>
        <v>#DIV/0!</v>
      </c>
      <c r="AY46" s="10" t="e">
        <f t="shared" si="62"/>
        <v>#DIV/0!</v>
      </c>
      <c r="AZ46" s="10" t="e">
        <f t="shared" si="62"/>
        <v>#DIV/0!</v>
      </c>
      <c r="BA46" s="10" t="e">
        <f t="shared" si="62"/>
        <v>#DIV/0!</v>
      </c>
    </row>
    <row r="47" spans="1:53" x14ac:dyDescent="0.35">
      <c r="A47" s="8" t="s">
        <v>1</v>
      </c>
      <c r="B47" s="8">
        <f t="shared" ref="B47:J47" si="63">STDEV(B28:B43)</f>
        <v>5.6010024947128624E-2</v>
      </c>
      <c r="C47" s="8">
        <f t="shared" si="63"/>
        <v>6.8421654034135845E-2</v>
      </c>
      <c r="D47" s="8">
        <f t="shared" si="63"/>
        <v>5.3651429532381251E-2</v>
      </c>
      <c r="E47" s="8">
        <f t="shared" si="63"/>
        <v>0.10142546253418747</v>
      </c>
      <c r="F47" s="8">
        <f t="shared" si="63"/>
        <v>0.2747954108968057</v>
      </c>
      <c r="G47" s="8">
        <f t="shared" si="63"/>
        <v>0.57520324464091521</v>
      </c>
      <c r="H47" s="8">
        <f t="shared" si="63"/>
        <v>0.35035268298196343</v>
      </c>
      <c r="I47" s="8">
        <f t="shared" si="63"/>
        <v>5.2859670650993597E-2</v>
      </c>
      <c r="J47" s="8">
        <f t="shared" si="63"/>
        <v>0.18190617499296546</v>
      </c>
      <c r="K47" s="8">
        <f t="shared" ref="K47:AC47" si="64">STDEV(K28:K43)</f>
        <v>0.39501541906901211</v>
      </c>
      <c r="L47" s="8">
        <f t="shared" si="64"/>
        <v>0.18948737458397291</v>
      </c>
      <c r="M47" s="8">
        <f t="shared" si="64"/>
        <v>0.6356664296805119</v>
      </c>
      <c r="N47" s="8" t="e">
        <f t="shared" si="64"/>
        <v>#DIV/0!</v>
      </c>
      <c r="O47" s="8" t="e">
        <f t="shared" si="64"/>
        <v>#DIV/0!</v>
      </c>
      <c r="P47" s="8" t="e">
        <f t="shared" si="64"/>
        <v>#DIV/0!</v>
      </c>
      <c r="Q47" s="8" t="e">
        <f t="shared" si="64"/>
        <v>#DIV/0!</v>
      </c>
      <c r="R47" s="8" t="e">
        <f t="shared" si="64"/>
        <v>#DIV/0!</v>
      </c>
      <c r="S47" s="8" t="e">
        <f t="shared" si="64"/>
        <v>#DIV/0!</v>
      </c>
      <c r="T47" s="8" t="e">
        <f t="shared" si="64"/>
        <v>#DIV/0!</v>
      </c>
      <c r="U47" s="8" t="e">
        <f t="shared" si="64"/>
        <v>#DIV/0!</v>
      </c>
      <c r="V47" s="8" t="e">
        <f t="shared" si="64"/>
        <v>#DIV/0!</v>
      </c>
      <c r="W47" s="8" t="e">
        <f t="shared" si="64"/>
        <v>#DIV/0!</v>
      </c>
      <c r="X47" s="8" t="e">
        <f t="shared" si="64"/>
        <v>#DIV/0!</v>
      </c>
      <c r="Y47" s="8" t="e">
        <f t="shared" si="64"/>
        <v>#DIV/0!</v>
      </c>
      <c r="Z47" s="8" t="e">
        <f t="shared" si="64"/>
        <v>#DIV/0!</v>
      </c>
      <c r="AA47" s="8" t="e">
        <f t="shared" si="64"/>
        <v>#DIV/0!</v>
      </c>
      <c r="AB47" s="8" t="e">
        <f t="shared" si="64"/>
        <v>#DIV/0!</v>
      </c>
      <c r="AC47" s="8" t="e">
        <f t="shared" si="64"/>
        <v>#DIV/0!</v>
      </c>
      <c r="AD47" s="8" t="s">
        <v>1</v>
      </c>
      <c r="AE47" s="8">
        <f t="shared" ref="AE47:AH47" si="65">STDEV(AE28:AE43)</f>
        <v>0.7407583316942089</v>
      </c>
      <c r="AF47" s="8">
        <f t="shared" si="65"/>
        <v>0.83510857514121373</v>
      </c>
      <c r="AG47" s="8">
        <f t="shared" si="65"/>
        <v>6.9197187654417736E-2</v>
      </c>
      <c r="AH47" s="8">
        <f t="shared" si="65"/>
        <v>0.4682825060189531</v>
      </c>
      <c r="AI47" s="8">
        <f t="shared" ref="AI47:BA47" si="66">STDEV(AI28:AI43)</f>
        <v>0.48451971692571127</v>
      </c>
      <c r="AJ47" s="8">
        <f t="shared" si="66"/>
        <v>0.68348799696366702</v>
      </c>
      <c r="AK47" s="8">
        <f t="shared" si="66"/>
        <v>0.32667890304738517</v>
      </c>
      <c r="AL47" s="8">
        <f t="shared" si="66"/>
        <v>0.73459055738960288</v>
      </c>
      <c r="AM47" s="8" t="e">
        <f t="shared" si="66"/>
        <v>#DIV/0!</v>
      </c>
      <c r="AN47" s="8" t="e">
        <f t="shared" si="66"/>
        <v>#DIV/0!</v>
      </c>
      <c r="AO47" s="8" t="e">
        <f t="shared" si="66"/>
        <v>#DIV/0!</v>
      </c>
      <c r="AP47" s="8" t="e">
        <f t="shared" si="66"/>
        <v>#DIV/0!</v>
      </c>
      <c r="AQ47" s="8" t="e">
        <f t="shared" si="66"/>
        <v>#DIV/0!</v>
      </c>
      <c r="AR47" s="8" t="e">
        <f t="shared" si="66"/>
        <v>#DIV/0!</v>
      </c>
      <c r="AS47" s="8" t="e">
        <f t="shared" si="66"/>
        <v>#DIV/0!</v>
      </c>
      <c r="AT47" s="8" t="e">
        <f t="shared" si="66"/>
        <v>#DIV/0!</v>
      </c>
      <c r="AU47" s="8" t="e">
        <f t="shared" si="66"/>
        <v>#DIV/0!</v>
      </c>
      <c r="AV47" s="8" t="e">
        <f t="shared" si="66"/>
        <v>#DIV/0!</v>
      </c>
      <c r="AW47" s="8" t="e">
        <f t="shared" si="66"/>
        <v>#DIV/0!</v>
      </c>
      <c r="AX47" s="8" t="e">
        <f t="shared" si="66"/>
        <v>#DIV/0!</v>
      </c>
      <c r="AY47" s="8" t="e">
        <f t="shared" si="66"/>
        <v>#DIV/0!</v>
      </c>
      <c r="AZ47" s="8" t="e">
        <f t="shared" si="66"/>
        <v>#DIV/0!</v>
      </c>
      <c r="BA47" s="8" t="e">
        <f t="shared" si="66"/>
        <v>#DIV/0!</v>
      </c>
    </row>
    <row r="48" spans="1:53" x14ac:dyDescent="0.35">
      <c r="A48" s="8" t="s">
        <v>2</v>
      </c>
      <c r="B48" s="8">
        <f t="shared" ref="B48:J48" si="67" xml:space="preserve"> B47/SQRT(COUNT(B28:B43))</f>
        <v>2.1169799562375139E-2</v>
      </c>
      <c r="C48" s="8">
        <f t="shared" si="67"/>
        <v>2.586095440943182E-2</v>
      </c>
      <c r="D48" s="8">
        <f t="shared" si="67"/>
        <v>1.8968644821349492E-2</v>
      </c>
      <c r="E48" s="8">
        <f t="shared" si="67"/>
        <v>3.8335221496451286E-2</v>
      </c>
      <c r="F48" s="8">
        <f t="shared" si="67"/>
        <v>9.7154849242037503E-2</v>
      </c>
      <c r="G48" s="8">
        <f t="shared" si="67"/>
        <v>0.21740639123390113</v>
      </c>
      <c r="H48" s="8">
        <f t="shared" si="67"/>
        <v>0.12386837897172352</v>
      </c>
      <c r="I48" s="8">
        <f t="shared" si="67"/>
        <v>1.9979077561044108E-2</v>
      </c>
      <c r="J48" s="8">
        <f t="shared" si="67"/>
        <v>6.4313544938616324E-2</v>
      </c>
      <c r="K48" s="8">
        <f t="shared" ref="K48:AC48" si="68" xml:space="preserve"> K47/SQRT(COUNT(K28:K43))</f>
        <v>0.1493017946989382</v>
      </c>
      <c r="L48" s="8">
        <f t="shared" si="68"/>
        <v>6.6993903758781351E-2</v>
      </c>
      <c r="M48" s="8">
        <f t="shared" si="68"/>
        <v>0.2247420214998658</v>
      </c>
      <c r="N48" s="8" t="e">
        <f t="shared" si="68"/>
        <v>#DIV/0!</v>
      </c>
      <c r="O48" s="8" t="e">
        <f t="shared" si="68"/>
        <v>#DIV/0!</v>
      </c>
      <c r="P48" s="8" t="e">
        <f t="shared" si="68"/>
        <v>#DIV/0!</v>
      </c>
      <c r="Q48" s="8" t="e">
        <f t="shared" si="68"/>
        <v>#DIV/0!</v>
      </c>
      <c r="R48" s="8" t="e">
        <f t="shared" si="68"/>
        <v>#DIV/0!</v>
      </c>
      <c r="S48" s="8" t="e">
        <f t="shared" si="68"/>
        <v>#DIV/0!</v>
      </c>
      <c r="T48" s="8" t="e">
        <f t="shared" si="68"/>
        <v>#DIV/0!</v>
      </c>
      <c r="U48" s="8" t="e">
        <f t="shared" si="68"/>
        <v>#DIV/0!</v>
      </c>
      <c r="V48" s="8" t="e">
        <f t="shared" si="68"/>
        <v>#DIV/0!</v>
      </c>
      <c r="W48" s="8" t="e">
        <f t="shared" si="68"/>
        <v>#DIV/0!</v>
      </c>
      <c r="X48" s="8" t="e">
        <f t="shared" si="68"/>
        <v>#DIV/0!</v>
      </c>
      <c r="Y48" s="8" t="e">
        <f t="shared" si="68"/>
        <v>#DIV/0!</v>
      </c>
      <c r="Z48" s="8" t="e">
        <f t="shared" si="68"/>
        <v>#DIV/0!</v>
      </c>
      <c r="AA48" s="8" t="e">
        <f t="shared" si="68"/>
        <v>#DIV/0!</v>
      </c>
      <c r="AB48" s="8" t="e">
        <f t="shared" si="68"/>
        <v>#DIV/0!</v>
      </c>
      <c r="AC48" s="8" t="e">
        <f t="shared" si="68"/>
        <v>#DIV/0!</v>
      </c>
      <c r="AD48" s="8" t="s">
        <v>2</v>
      </c>
      <c r="AE48" s="8">
        <f t="shared" ref="AE48:AH48" si="69" xml:space="preserve"> AE47/SQRT(COUNT(AE28:AE43))</f>
        <v>0.19126297881440404</v>
      </c>
      <c r="AF48" s="8">
        <f t="shared" si="69"/>
        <v>0.29525546825469384</v>
      </c>
      <c r="AG48" s="8">
        <f t="shared" si="69"/>
        <v>2.4464900314738414E-2</v>
      </c>
      <c r="AH48" s="8">
        <f t="shared" si="69"/>
        <v>0.17699415060689389</v>
      </c>
      <c r="AI48" s="8">
        <f t="shared" ref="AI48:BA48" si="70" xml:space="preserve"> AI47/SQRT(COUNT(AI28:AI43))</f>
        <v>0.17130358872837842</v>
      </c>
      <c r="AJ48" s="8">
        <f t="shared" si="70"/>
        <v>0.24164949875630967</v>
      </c>
      <c r="AK48" s="8">
        <f t="shared" si="70"/>
        <v>0.11549843380769437</v>
      </c>
      <c r="AL48" s="8">
        <f t="shared" si="70"/>
        <v>0.27764913290131571</v>
      </c>
      <c r="AM48" s="8" t="e">
        <f t="shared" si="70"/>
        <v>#DIV/0!</v>
      </c>
      <c r="AN48" s="8" t="e">
        <f t="shared" si="70"/>
        <v>#DIV/0!</v>
      </c>
      <c r="AO48" s="8" t="e">
        <f t="shared" si="70"/>
        <v>#DIV/0!</v>
      </c>
      <c r="AP48" s="8" t="e">
        <f t="shared" si="70"/>
        <v>#DIV/0!</v>
      </c>
      <c r="AQ48" s="8" t="e">
        <f t="shared" si="70"/>
        <v>#DIV/0!</v>
      </c>
      <c r="AR48" s="8" t="e">
        <f t="shared" si="70"/>
        <v>#DIV/0!</v>
      </c>
      <c r="AS48" s="8" t="e">
        <f t="shared" si="70"/>
        <v>#DIV/0!</v>
      </c>
      <c r="AT48" s="8" t="e">
        <f t="shared" si="70"/>
        <v>#DIV/0!</v>
      </c>
      <c r="AU48" s="8" t="e">
        <f t="shared" si="70"/>
        <v>#DIV/0!</v>
      </c>
      <c r="AV48" s="8" t="e">
        <f t="shared" si="70"/>
        <v>#DIV/0!</v>
      </c>
      <c r="AW48" s="8" t="e">
        <f t="shared" si="70"/>
        <v>#DIV/0!</v>
      </c>
      <c r="AX48" s="8" t="e">
        <f t="shared" si="70"/>
        <v>#DIV/0!</v>
      </c>
      <c r="AY48" s="8" t="e">
        <f t="shared" si="70"/>
        <v>#DIV/0!</v>
      </c>
      <c r="AZ48" s="8" t="e">
        <f t="shared" si="70"/>
        <v>#DIV/0!</v>
      </c>
      <c r="BA48" s="8" t="e">
        <f t="shared" si="70"/>
        <v>#DIV/0!</v>
      </c>
    </row>
    <row r="49" spans="1:53" ht="15" thickBot="1" x14ac:dyDescent="0.4">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row>
    <row r="50" spans="1:53" ht="26.5" thickBot="1" x14ac:dyDescent="0.65">
      <c r="A50" s="224" t="s">
        <v>44</v>
      </c>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5"/>
      <c r="AL50" s="225"/>
      <c r="AM50" s="225"/>
      <c r="AN50" s="225"/>
      <c r="AO50" s="225"/>
      <c r="AP50" s="225"/>
      <c r="AQ50" s="225"/>
      <c r="AR50" s="225"/>
      <c r="AS50" s="225"/>
      <c r="AT50" s="225"/>
      <c r="AU50" s="225"/>
      <c r="AV50" s="225"/>
      <c r="AW50" s="225"/>
      <c r="AX50" s="225"/>
      <c r="AY50" s="225"/>
      <c r="AZ50" s="225"/>
      <c r="BA50" s="226"/>
    </row>
    <row r="51" spans="1:53" customFormat="1" ht="15" thickBot="1" x14ac:dyDescent="0.4">
      <c r="X51" s="1"/>
      <c r="Y51" s="1"/>
      <c r="Z51" s="1"/>
      <c r="AA51" s="1"/>
      <c r="AB51" s="1"/>
      <c r="AU51" s="1"/>
      <c r="AV51" s="1"/>
      <c r="AW51" s="1"/>
      <c r="AX51" s="1"/>
      <c r="AY51" s="1"/>
      <c r="AZ51" s="1"/>
    </row>
    <row r="52" spans="1:53" x14ac:dyDescent="0.35">
      <c r="A52" s="45" t="str">
        <f t="shared" ref="A52:H52" si="71">A27</f>
        <v>Noms des groupes</v>
      </c>
      <c r="B52" s="46" t="str">
        <f t="shared" si="71"/>
        <v>Témoin solvant</v>
      </c>
      <c r="C52" s="46" t="str">
        <f t="shared" si="71"/>
        <v>EE2-33,8ng/L</v>
      </c>
      <c r="D52" s="46" t="str">
        <f t="shared" si="71"/>
        <v>EE2-50,6ng/L</v>
      </c>
      <c r="E52" s="46" t="str">
        <f t="shared" si="71"/>
        <v>EE2-76ng/L</v>
      </c>
      <c r="F52" s="46" t="str">
        <f t="shared" si="71"/>
        <v>EE2-114ng/L</v>
      </c>
      <c r="G52" s="46" t="str">
        <f t="shared" si="71"/>
        <v>EE2-170,9ng/L</v>
      </c>
      <c r="H52" s="46" t="str">
        <f t="shared" si="71"/>
        <v>EE2-488ng/L</v>
      </c>
      <c r="I52" s="46" t="str">
        <f>I4</f>
        <v>Testo-3.7µg/L</v>
      </c>
      <c r="J52" s="46" t="str">
        <f>J4</f>
        <v>Testo-11µg/L</v>
      </c>
      <c r="K52" s="46" t="str">
        <f t="shared" ref="K52:P52" si="72">K4</f>
        <v>Testo-33µg/L</v>
      </c>
      <c r="L52" s="46" t="str">
        <f t="shared" si="72"/>
        <v>Testo-100µg/L</v>
      </c>
      <c r="M52" s="46" t="str">
        <f t="shared" si="72"/>
        <v>Testo-300µg/L</v>
      </c>
      <c r="N52" s="46" t="str">
        <f t="shared" si="72"/>
        <v xml:space="preserve"> </v>
      </c>
      <c r="O52" s="46" t="str">
        <f t="shared" si="72"/>
        <v xml:space="preserve"> </v>
      </c>
      <c r="P52" s="46" t="str">
        <f t="shared" si="72"/>
        <v xml:space="preserve"> </v>
      </c>
      <c r="Q52" s="46" t="str">
        <f t="shared" ref="Q52:W52" si="73">Q4</f>
        <v xml:space="preserve"> </v>
      </c>
      <c r="R52" s="46" t="str">
        <f t="shared" si="73"/>
        <v xml:space="preserve"> </v>
      </c>
      <c r="S52" s="46" t="str">
        <f t="shared" si="73"/>
        <v xml:space="preserve"> </v>
      </c>
      <c r="T52" s="46" t="str">
        <f t="shared" si="73"/>
        <v xml:space="preserve"> </v>
      </c>
      <c r="U52" s="46" t="str">
        <f t="shared" si="73"/>
        <v xml:space="preserve"> </v>
      </c>
      <c r="V52" s="46" t="str">
        <f t="shared" si="73"/>
        <v xml:space="preserve"> </v>
      </c>
      <c r="W52" s="46" t="str">
        <f t="shared" si="73"/>
        <v xml:space="preserve"> </v>
      </c>
      <c r="X52" s="46" t="str">
        <f t="shared" ref="X52:AC52" si="74">X4</f>
        <v xml:space="preserve"> </v>
      </c>
      <c r="Y52" s="46" t="str">
        <f t="shared" si="74"/>
        <v xml:space="preserve"> </v>
      </c>
      <c r="Z52" s="46" t="str">
        <f t="shared" si="74"/>
        <v xml:space="preserve"> </v>
      </c>
      <c r="AA52" s="46" t="str">
        <f t="shared" si="74"/>
        <v xml:space="preserve"> </v>
      </c>
      <c r="AB52" s="46" t="str">
        <f t="shared" si="74"/>
        <v xml:space="preserve"> </v>
      </c>
      <c r="AC52" s="46" t="str">
        <f t="shared" si="74"/>
        <v xml:space="preserve"> </v>
      </c>
      <c r="AD52" s="47"/>
      <c r="AE52" s="46" t="str">
        <f>AE27</f>
        <v>Testo -30µg/L</v>
      </c>
      <c r="AF52" s="46" t="str">
        <f>AF27</f>
        <v>Testo 30µg/L + EE2 -64ng/L</v>
      </c>
      <c r="AG52" s="46" t="str">
        <f>AG27</f>
        <v>Testo 30µg/L + FAD-10mg/L</v>
      </c>
      <c r="AH52" s="46" t="str">
        <f>AH27</f>
        <v>Testo-3,7µg/L + Testostérone</v>
      </c>
      <c r="AI52" s="46" t="str">
        <f t="shared" ref="AI52:AS52" si="75">AI27</f>
        <v>Testo-11µg/L + Testostérone</v>
      </c>
      <c r="AJ52" s="46" t="str">
        <f t="shared" si="75"/>
        <v>Testo-33µg/L + Testostérone</v>
      </c>
      <c r="AK52" s="46" t="str">
        <f t="shared" si="75"/>
        <v>Testo-100µg/L + Testostérone</v>
      </c>
      <c r="AL52" s="46" t="str">
        <f t="shared" si="75"/>
        <v>Testo-300µg/L + Testostérone</v>
      </c>
      <c r="AM52" s="46" t="str">
        <f t="shared" si="75"/>
        <v>0-00 + Testostérone</v>
      </c>
      <c r="AN52" s="46" t="str">
        <f t="shared" si="75"/>
        <v>0-00 + Testostérone</v>
      </c>
      <c r="AO52" s="46" t="str">
        <f t="shared" si="75"/>
        <v>0-00 + Testostérone</v>
      </c>
      <c r="AP52" s="46" t="str">
        <f t="shared" si="75"/>
        <v>0-00 + Testostérone</v>
      </c>
      <c r="AQ52" s="46" t="str">
        <f t="shared" si="75"/>
        <v>0-00 + Testostérone</v>
      </c>
      <c r="AR52" s="46" t="str">
        <f t="shared" si="75"/>
        <v>0-00 + Testostérone</v>
      </c>
      <c r="AS52" s="46" t="str">
        <f t="shared" si="75"/>
        <v>0-00 + Testostérone</v>
      </c>
      <c r="AT52" s="46" t="str">
        <f t="shared" ref="AT52:BA52" si="76">AT27</f>
        <v>0-00 + Testostérone</v>
      </c>
      <c r="AU52" s="46" t="str">
        <f t="shared" si="76"/>
        <v>0-00 + Testostérone</v>
      </c>
      <c r="AV52" s="46" t="str">
        <f t="shared" si="76"/>
        <v>0-00 + Testostérone</v>
      </c>
      <c r="AW52" s="46" t="str">
        <f t="shared" si="76"/>
        <v>0-00 + Testostérone</v>
      </c>
      <c r="AX52" s="46" t="str">
        <f t="shared" si="76"/>
        <v>0-00 + Testostérone</v>
      </c>
      <c r="AY52" s="46" t="str">
        <f t="shared" si="76"/>
        <v>0-00 + Testostérone</v>
      </c>
      <c r="AZ52" s="46" t="str">
        <f t="shared" si="76"/>
        <v>0-00 + Testostérone</v>
      </c>
      <c r="BA52" s="46" t="str">
        <f t="shared" si="76"/>
        <v>0-00 + Testostérone</v>
      </c>
    </row>
    <row r="53" spans="1:53" s="3" customFormat="1" x14ac:dyDescent="0.35">
      <c r="A53" s="64" t="s">
        <v>32</v>
      </c>
      <c r="B53" s="145">
        <f t="shared" ref="B53" si="77">B46</f>
        <v>7.5471003775064799E-2</v>
      </c>
      <c r="C53" s="145">
        <f t="shared" ref="C53:BA53" si="78">C46</f>
        <v>0.10244642144926765</v>
      </c>
      <c r="D53" s="145">
        <f t="shared" si="78"/>
        <v>7.5997429226482019E-2</v>
      </c>
      <c r="E53" s="145">
        <f t="shared" si="78"/>
        <v>0.11780963085220983</v>
      </c>
      <c r="F53" s="145">
        <f t="shared" si="78"/>
        <v>0.17216828052045899</v>
      </c>
      <c r="G53" s="145">
        <f t="shared" si="78"/>
        <v>1.9334980295205682</v>
      </c>
      <c r="H53" s="145">
        <f t="shared" si="78"/>
        <v>3.0003535676119482</v>
      </c>
      <c r="I53" s="145">
        <f t="shared" si="78"/>
        <v>9.8597575794589692E-2</v>
      </c>
      <c r="J53" s="145">
        <f t="shared" si="78"/>
        <v>0.256520856304297</v>
      </c>
      <c r="K53" s="145">
        <f t="shared" si="78"/>
        <v>0.95499759640289472</v>
      </c>
      <c r="L53" s="145">
        <f t="shared" si="78"/>
        <v>1.6765316040284564</v>
      </c>
      <c r="M53" s="145">
        <f t="shared" si="78"/>
        <v>1.8560649748129903</v>
      </c>
      <c r="N53" s="145" t="e">
        <f t="shared" si="78"/>
        <v>#DIV/0!</v>
      </c>
      <c r="O53" s="145" t="e">
        <f t="shared" si="78"/>
        <v>#DIV/0!</v>
      </c>
      <c r="P53" s="145" t="e">
        <f t="shared" si="78"/>
        <v>#DIV/0!</v>
      </c>
      <c r="Q53" s="145" t="e">
        <f t="shared" si="78"/>
        <v>#DIV/0!</v>
      </c>
      <c r="R53" s="145" t="e">
        <f t="shared" si="78"/>
        <v>#DIV/0!</v>
      </c>
      <c r="S53" s="145" t="e">
        <f t="shared" si="78"/>
        <v>#DIV/0!</v>
      </c>
      <c r="T53" s="145" t="e">
        <f t="shared" si="78"/>
        <v>#DIV/0!</v>
      </c>
      <c r="U53" s="145" t="e">
        <f t="shared" si="78"/>
        <v>#DIV/0!</v>
      </c>
      <c r="V53" s="145" t="e">
        <f t="shared" si="78"/>
        <v>#DIV/0!</v>
      </c>
      <c r="W53" s="145" t="e">
        <f t="shared" si="78"/>
        <v>#DIV/0!</v>
      </c>
      <c r="X53" s="145" t="e">
        <f t="shared" si="78"/>
        <v>#DIV/0!</v>
      </c>
      <c r="Y53" s="145" t="e">
        <f t="shared" si="78"/>
        <v>#DIV/0!</v>
      </c>
      <c r="Z53" s="145" t="e">
        <f t="shared" si="78"/>
        <v>#DIV/0!</v>
      </c>
      <c r="AA53" s="145" t="e">
        <f t="shared" si="78"/>
        <v>#DIV/0!</v>
      </c>
      <c r="AB53" s="145" t="e">
        <f t="shared" si="78"/>
        <v>#DIV/0!</v>
      </c>
      <c r="AC53" s="145" t="e">
        <f t="shared" si="78"/>
        <v>#DIV/0!</v>
      </c>
      <c r="AD53" s="145"/>
      <c r="AE53" s="145">
        <f t="shared" si="78"/>
        <v>1</v>
      </c>
      <c r="AF53" s="145">
        <f t="shared" si="78"/>
        <v>2.3858498407246445</v>
      </c>
      <c r="AG53" s="145">
        <f t="shared" si="78"/>
        <v>0.11768570181683487</v>
      </c>
      <c r="AH53" s="145">
        <f t="shared" si="78"/>
        <v>1.3255070480267939</v>
      </c>
      <c r="AI53" s="145">
        <f t="shared" si="78"/>
        <v>1.24252325283867</v>
      </c>
      <c r="AJ53" s="145">
        <f t="shared" si="78"/>
        <v>0.96764538721270466</v>
      </c>
      <c r="AK53" s="145">
        <f t="shared" si="78"/>
        <v>1.4274424886402981</v>
      </c>
      <c r="AL53" s="145">
        <f t="shared" si="78"/>
        <v>1.3284612754626006</v>
      </c>
      <c r="AM53" s="145" t="e">
        <f t="shared" si="78"/>
        <v>#DIV/0!</v>
      </c>
      <c r="AN53" s="145" t="e">
        <f t="shared" si="78"/>
        <v>#DIV/0!</v>
      </c>
      <c r="AO53" s="145" t="e">
        <f t="shared" si="78"/>
        <v>#DIV/0!</v>
      </c>
      <c r="AP53" s="145" t="e">
        <f t="shared" si="78"/>
        <v>#DIV/0!</v>
      </c>
      <c r="AQ53" s="145" t="e">
        <f t="shared" si="78"/>
        <v>#DIV/0!</v>
      </c>
      <c r="AR53" s="145" t="e">
        <f t="shared" si="78"/>
        <v>#DIV/0!</v>
      </c>
      <c r="AS53" s="145" t="e">
        <f t="shared" si="78"/>
        <v>#DIV/0!</v>
      </c>
      <c r="AT53" s="145" t="e">
        <f t="shared" si="78"/>
        <v>#DIV/0!</v>
      </c>
      <c r="AU53" s="145" t="e">
        <f t="shared" si="78"/>
        <v>#DIV/0!</v>
      </c>
      <c r="AV53" s="145" t="e">
        <f t="shared" si="78"/>
        <v>#DIV/0!</v>
      </c>
      <c r="AW53" s="145" t="e">
        <f t="shared" si="78"/>
        <v>#DIV/0!</v>
      </c>
      <c r="AX53" s="145" t="e">
        <f t="shared" si="78"/>
        <v>#DIV/0!</v>
      </c>
      <c r="AY53" s="145" t="e">
        <f t="shared" si="78"/>
        <v>#DIV/0!</v>
      </c>
      <c r="AZ53" s="145" t="e">
        <f t="shared" si="78"/>
        <v>#DIV/0!</v>
      </c>
      <c r="BA53" s="145" t="e">
        <f t="shared" si="78"/>
        <v>#DIV/0!</v>
      </c>
    </row>
    <row r="54" spans="1:53" s="3" customFormat="1" x14ac:dyDescent="0.35">
      <c r="A54" s="64" t="s">
        <v>2</v>
      </c>
      <c r="B54" s="145">
        <f t="shared" ref="B54" si="79">B48</f>
        <v>2.1169799562375139E-2</v>
      </c>
      <c r="C54" s="145">
        <f t="shared" ref="C54:BA54" si="80">C48</f>
        <v>2.586095440943182E-2</v>
      </c>
      <c r="D54" s="145">
        <f t="shared" si="80"/>
        <v>1.8968644821349492E-2</v>
      </c>
      <c r="E54" s="145">
        <f t="shared" si="80"/>
        <v>3.8335221496451286E-2</v>
      </c>
      <c r="F54" s="145">
        <f t="shared" si="80"/>
        <v>9.7154849242037503E-2</v>
      </c>
      <c r="G54" s="145">
        <f t="shared" si="80"/>
        <v>0.21740639123390113</v>
      </c>
      <c r="H54" s="145">
        <f t="shared" si="80"/>
        <v>0.12386837897172352</v>
      </c>
      <c r="I54" s="145">
        <f t="shared" si="80"/>
        <v>1.9979077561044108E-2</v>
      </c>
      <c r="J54" s="145">
        <f t="shared" si="80"/>
        <v>6.4313544938616324E-2</v>
      </c>
      <c r="K54" s="145">
        <f t="shared" si="80"/>
        <v>0.1493017946989382</v>
      </c>
      <c r="L54" s="145">
        <f t="shared" si="80"/>
        <v>6.6993903758781351E-2</v>
      </c>
      <c r="M54" s="145">
        <f t="shared" si="80"/>
        <v>0.2247420214998658</v>
      </c>
      <c r="N54" s="145" t="e">
        <f t="shared" si="80"/>
        <v>#DIV/0!</v>
      </c>
      <c r="O54" s="145" t="e">
        <f t="shared" si="80"/>
        <v>#DIV/0!</v>
      </c>
      <c r="P54" s="145" t="e">
        <f t="shared" si="80"/>
        <v>#DIV/0!</v>
      </c>
      <c r="Q54" s="145" t="e">
        <f t="shared" si="80"/>
        <v>#DIV/0!</v>
      </c>
      <c r="R54" s="145" t="e">
        <f t="shared" si="80"/>
        <v>#DIV/0!</v>
      </c>
      <c r="S54" s="145" t="e">
        <f t="shared" si="80"/>
        <v>#DIV/0!</v>
      </c>
      <c r="T54" s="145" t="e">
        <f t="shared" si="80"/>
        <v>#DIV/0!</v>
      </c>
      <c r="U54" s="145" t="e">
        <f t="shared" si="80"/>
        <v>#DIV/0!</v>
      </c>
      <c r="V54" s="145" t="e">
        <f t="shared" si="80"/>
        <v>#DIV/0!</v>
      </c>
      <c r="W54" s="145" t="e">
        <f t="shared" si="80"/>
        <v>#DIV/0!</v>
      </c>
      <c r="X54" s="145" t="e">
        <f t="shared" si="80"/>
        <v>#DIV/0!</v>
      </c>
      <c r="Y54" s="145" t="e">
        <f t="shared" si="80"/>
        <v>#DIV/0!</v>
      </c>
      <c r="Z54" s="145" t="e">
        <f t="shared" si="80"/>
        <v>#DIV/0!</v>
      </c>
      <c r="AA54" s="145" t="e">
        <f t="shared" si="80"/>
        <v>#DIV/0!</v>
      </c>
      <c r="AB54" s="145" t="e">
        <f t="shared" si="80"/>
        <v>#DIV/0!</v>
      </c>
      <c r="AC54" s="145" t="e">
        <f t="shared" si="80"/>
        <v>#DIV/0!</v>
      </c>
      <c r="AD54" s="145"/>
      <c r="AE54" s="145">
        <f t="shared" si="80"/>
        <v>0.19126297881440404</v>
      </c>
      <c r="AF54" s="145">
        <f t="shared" si="80"/>
        <v>0.29525546825469384</v>
      </c>
      <c r="AG54" s="145">
        <f t="shared" si="80"/>
        <v>2.4464900314738414E-2</v>
      </c>
      <c r="AH54" s="145">
        <f t="shared" si="80"/>
        <v>0.17699415060689389</v>
      </c>
      <c r="AI54" s="145">
        <f t="shared" si="80"/>
        <v>0.17130358872837842</v>
      </c>
      <c r="AJ54" s="145">
        <f t="shared" si="80"/>
        <v>0.24164949875630967</v>
      </c>
      <c r="AK54" s="145">
        <f t="shared" si="80"/>
        <v>0.11549843380769437</v>
      </c>
      <c r="AL54" s="145">
        <f t="shared" si="80"/>
        <v>0.27764913290131571</v>
      </c>
      <c r="AM54" s="145" t="e">
        <f t="shared" si="80"/>
        <v>#DIV/0!</v>
      </c>
      <c r="AN54" s="145" t="e">
        <f t="shared" si="80"/>
        <v>#DIV/0!</v>
      </c>
      <c r="AO54" s="145" t="e">
        <f t="shared" si="80"/>
        <v>#DIV/0!</v>
      </c>
      <c r="AP54" s="145" t="e">
        <f t="shared" si="80"/>
        <v>#DIV/0!</v>
      </c>
      <c r="AQ54" s="145" t="e">
        <f t="shared" si="80"/>
        <v>#DIV/0!</v>
      </c>
      <c r="AR54" s="145" t="e">
        <f t="shared" si="80"/>
        <v>#DIV/0!</v>
      </c>
      <c r="AS54" s="145" t="e">
        <f t="shared" si="80"/>
        <v>#DIV/0!</v>
      </c>
      <c r="AT54" s="145" t="e">
        <f t="shared" si="80"/>
        <v>#DIV/0!</v>
      </c>
      <c r="AU54" s="145" t="e">
        <f t="shared" si="80"/>
        <v>#DIV/0!</v>
      </c>
      <c r="AV54" s="145" t="e">
        <f t="shared" si="80"/>
        <v>#DIV/0!</v>
      </c>
      <c r="AW54" s="145" t="e">
        <f t="shared" si="80"/>
        <v>#DIV/0!</v>
      </c>
      <c r="AX54" s="145" t="e">
        <f t="shared" si="80"/>
        <v>#DIV/0!</v>
      </c>
      <c r="AY54" s="145" t="e">
        <f t="shared" si="80"/>
        <v>#DIV/0!</v>
      </c>
      <c r="AZ54" s="145" t="e">
        <f t="shared" si="80"/>
        <v>#DIV/0!</v>
      </c>
      <c r="BA54" s="145" t="e">
        <f t="shared" si="80"/>
        <v>#DIV/0!</v>
      </c>
    </row>
    <row r="55" spans="1:53" s="3" customFormat="1" x14ac:dyDescent="0.35">
      <c r="A55" s="64" t="s">
        <v>79</v>
      </c>
      <c r="B55" s="145">
        <f>(B53*100/$B53)-100</f>
        <v>0</v>
      </c>
      <c r="C55" s="145">
        <f t="shared" ref="C55:AC55" si="81">(C53*100/$B53)-100</f>
        <v>35.742757250984624</v>
      </c>
      <c r="D55" s="145">
        <f t="shared" si="81"/>
        <v>0.69752014029943155</v>
      </c>
      <c r="E55" s="145">
        <f t="shared" si="81"/>
        <v>56.099196988729432</v>
      </c>
      <c r="F55" s="145">
        <f t="shared" si="81"/>
        <v>128.12507043578296</v>
      </c>
      <c r="G55" s="145">
        <f t="shared" si="81"/>
        <v>2461.9084586223366</v>
      </c>
      <c r="H55" s="145">
        <f t="shared" si="81"/>
        <v>3875.5050516543524</v>
      </c>
      <c r="I55" s="145">
        <f t="shared" si="81"/>
        <v>30.642989840776153</v>
      </c>
      <c r="J55" s="145">
        <f t="shared" si="81"/>
        <v>239.89326161453556</v>
      </c>
      <c r="K55" s="145">
        <f t="shared" si="81"/>
        <v>1165.3834567368251</v>
      </c>
      <c r="L55" s="145">
        <f t="shared" si="81"/>
        <v>2121.4248124024198</v>
      </c>
      <c r="M55" s="145">
        <f t="shared" si="81"/>
        <v>2359.3087172191867</v>
      </c>
      <c r="N55" s="145" t="e">
        <f t="shared" si="81"/>
        <v>#DIV/0!</v>
      </c>
      <c r="O55" s="145" t="e">
        <f t="shared" si="81"/>
        <v>#DIV/0!</v>
      </c>
      <c r="P55" s="145" t="e">
        <f t="shared" si="81"/>
        <v>#DIV/0!</v>
      </c>
      <c r="Q55" s="145" t="e">
        <f t="shared" si="81"/>
        <v>#DIV/0!</v>
      </c>
      <c r="R55" s="145" t="e">
        <f t="shared" si="81"/>
        <v>#DIV/0!</v>
      </c>
      <c r="S55" s="145" t="e">
        <f t="shared" si="81"/>
        <v>#DIV/0!</v>
      </c>
      <c r="T55" s="145" t="e">
        <f t="shared" si="81"/>
        <v>#DIV/0!</v>
      </c>
      <c r="U55" s="145" t="e">
        <f t="shared" si="81"/>
        <v>#DIV/0!</v>
      </c>
      <c r="V55" s="145" t="e">
        <f t="shared" si="81"/>
        <v>#DIV/0!</v>
      </c>
      <c r="W55" s="145" t="e">
        <f t="shared" si="81"/>
        <v>#DIV/0!</v>
      </c>
      <c r="X55" s="145" t="e">
        <f t="shared" si="81"/>
        <v>#DIV/0!</v>
      </c>
      <c r="Y55" s="145" t="e">
        <f t="shared" si="81"/>
        <v>#DIV/0!</v>
      </c>
      <c r="Z55" s="145" t="e">
        <f t="shared" si="81"/>
        <v>#DIV/0!</v>
      </c>
      <c r="AA55" s="145" t="e">
        <f t="shared" si="81"/>
        <v>#DIV/0!</v>
      </c>
      <c r="AB55" s="145" t="e">
        <f t="shared" si="81"/>
        <v>#DIV/0!</v>
      </c>
      <c r="AC55" s="145" t="e">
        <f t="shared" si="81"/>
        <v>#DIV/0!</v>
      </c>
      <c r="AD55" s="145"/>
      <c r="AE55" s="145">
        <f>(AE53*100/$AE53)-100</f>
        <v>0</v>
      </c>
      <c r="AF55" s="145">
        <f t="shared" ref="AF55:BA55" si="82">(AF53*100/$AE53)-100</f>
        <v>138.58498407246444</v>
      </c>
      <c r="AG55" s="145">
        <f t="shared" si="82"/>
        <v>-88.231429818316514</v>
      </c>
      <c r="AH55" s="145">
        <f t="shared" si="82"/>
        <v>32.550704802679377</v>
      </c>
      <c r="AI55" s="145">
        <f t="shared" si="82"/>
        <v>24.252325283867009</v>
      </c>
      <c r="AJ55" s="145">
        <f t="shared" si="82"/>
        <v>-3.2354612787295309</v>
      </c>
      <c r="AK55" s="145">
        <f t="shared" si="82"/>
        <v>42.7442488640298</v>
      </c>
      <c r="AL55" s="145">
        <f t="shared" si="82"/>
        <v>32.84612754626005</v>
      </c>
      <c r="AM55" s="145" t="e">
        <f t="shared" si="82"/>
        <v>#DIV/0!</v>
      </c>
      <c r="AN55" s="145" t="e">
        <f t="shared" si="82"/>
        <v>#DIV/0!</v>
      </c>
      <c r="AO55" s="145" t="e">
        <f t="shared" si="82"/>
        <v>#DIV/0!</v>
      </c>
      <c r="AP55" s="145" t="e">
        <f t="shared" si="82"/>
        <v>#DIV/0!</v>
      </c>
      <c r="AQ55" s="145" t="e">
        <f t="shared" si="82"/>
        <v>#DIV/0!</v>
      </c>
      <c r="AR55" s="145" t="e">
        <f t="shared" si="82"/>
        <v>#DIV/0!</v>
      </c>
      <c r="AS55" s="145" t="e">
        <f t="shared" si="82"/>
        <v>#DIV/0!</v>
      </c>
      <c r="AT55" s="145" t="e">
        <f t="shared" si="82"/>
        <v>#DIV/0!</v>
      </c>
      <c r="AU55" s="145" t="e">
        <f t="shared" si="82"/>
        <v>#DIV/0!</v>
      </c>
      <c r="AV55" s="145" t="e">
        <f t="shared" si="82"/>
        <v>#DIV/0!</v>
      </c>
      <c r="AW55" s="145" t="e">
        <f t="shared" si="82"/>
        <v>#DIV/0!</v>
      </c>
      <c r="AX55" s="145" t="e">
        <f t="shared" si="82"/>
        <v>#DIV/0!</v>
      </c>
      <c r="AY55" s="145" t="e">
        <f t="shared" si="82"/>
        <v>#DIV/0!</v>
      </c>
      <c r="AZ55" s="145" t="e">
        <f t="shared" si="82"/>
        <v>#DIV/0!</v>
      </c>
      <c r="BA55" s="145" t="e">
        <f t="shared" si="82"/>
        <v>#DIV/0!</v>
      </c>
    </row>
    <row r="56" spans="1:53" s="3" customFormat="1" x14ac:dyDescent="0.35">
      <c r="A56" s="64" t="s">
        <v>81</v>
      </c>
      <c r="B56" s="145" t="e">
        <f ca="1">[1]!SWTEST(B28:B43)</f>
        <v>#NAME?</v>
      </c>
      <c r="C56" s="145" t="e">
        <f ca="1">[1]!SWTEST(C28:C43)</f>
        <v>#NAME?</v>
      </c>
      <c r="D56" s="145" t="e">
        <f ca="1">[1]!SWTEST(D28:D43)</f>
        <v>#NAME?</v>
      </c>
      <c r="E56" s="145" t="e">
        <f ca="1">[1]!SWTEST(E28:E43)</f>
        <v>#NAME?</v>
      </c>
      <c r="F56" s="145" t="e">
        <f ca="1">[1]!SWTEST(F28:F43)</f>
        <v>#NAME?</v>
      </c>
      <c r="G56" s="145" t="e">
        <f ca="1">[1]!SWTEST(G28:G43)</f>
        <v>#NAME?</v>
      </c>
      <c r="H56" s="145" t="e">
        <f ca="1">[1]!SWTEST(H28:H43)</f>
        <v>#NAME?</v>
      </c>
      <c r="I56" s="145" t="e">
        <f ca="1">[1]!SWTEST(I28:I43)</f>
        <v>#NAME?</v>
      </c>
      <c r="J56" s="145" t="e">
        <f ca="1">[1]!SWTEST(J28:J43)</f>
        <v>#NAME?</v>
      </c>
      <c r="K56" s="145" t="e">
        <f ca="1">[1]!SWTEST(K28:K43)</f>
        <v>#NAME?</v>
      </c>
      <c r="L56" s="145" t="e">
        <f ca="1">[1]!SWTEST(L28:L43)</f>
        <v>#NAME?</v>
      </c>
      <c r="M56" s="145" t="e">
        <f ca="1">[1]!SWTEST(M28:M43)</f>
        <v>#NAME?</v>
      </c>
      <c r="N56" s="145" t="e">
        <f ca="1">[1]!SWTEST(N28:N43)</f>
        <v>#NAME?</v>
      </c>
      <c r="O56" s="145" t="e">
        <f ca="1">[1]!SWTEST(O28:O43)</f>
        <v>#NAME?</v>
      </c>
      <c r="P56" s="145" t="e">
        <f ca="1">[1]!SWTEST(P28:P43)</f>
        <v>#NAME?</v>
      </c>
      <c r="Q56" s="145" t="e">
        <f ca="1">[1]!SWTEST(Q28:Q43)</f>
        <v>#NAME?</v>
      </c>
      <c r="R56" s="145" t="e">
        <f ca="1">[1]!SWTEST(R28:R43)</f>
        <v>#NAME?</v>
      </c>
      <c r="S56" s="145" t="e">
        <f ca="1">[1]!SWTEST(S28:S43)</f>
        <v>#NAME?</v>
      </c>
      <c r="T56" s="145" t="e">
        <f ca="1">[1]!SWTEST(T28:T43)</f>
        <v>#NAME?</v>
      </c>
      <c r="U56" s="145" t="e">
        <f ca="1">[1]!SWTEST(U28:U43)</f>
        <v>#NAME?</v>
      </c>
      <c r="V56" s="145" t="e">
        <f ca="1">[1]!SWTEST(V28:V43)</f>
        <v>#NAME?</v>
      </c>
      <c r="W56" s="145" t="e">
        <f ca="1">[1]!SWTEST(W28:W43)</f>
        <v>#NAME?</v>
      </c>
      <c r="X56" s="145" t="e">
        <f ca="1">[1]!SWTEST(X28:X43)</f>
        <v>#NAME?</v>
      </c>
      <c r="Y56" s="145" t="e">
        <f ca="1">[1]!SWTEST(Y28:Y43)</f>
        <v>#NAME?</v>
      </c>
      <c r="Z56" s="145" t="e">
        <f ca="1">[1]!SWTEST(Z28:Z43)</f>
        <v>#NAME?</v>
      </c>
      <c r="AA56" s="145" t="e">
        <f ca="1">[1]!SWTEST(AA28:AA43)</f>
        <v>#NAME?</v>
      </c>
      <c r="AB56" s="145" t="e">
        <f ca="1">[1]!SWTEST(AB28:AB43)</f>
        <v>#NAME?</v>
      </c>
      <c r="AC56" s="145" t="e">
        <f ca="1">[1]!SWTEST(AC28:AC43)</f>
        <v>#NAME?</v>
      </c>
      <c r="AD56" s="145"/>
      <c r="AE56" s="145" t="e">
        <f ca="1">[1]!SWTEST(AE28:AE43)</f>
        <v>#NAME?</v>
      </c>
      <c r="AF56" s="145" t="e">
        <f ca="1">[1]!SWTEST(AF28:AF43)</f>
        <v>#NAME?</v>
      </c>
      <c r="AG56" s="145" t="e">
        <f ca="1">[1]!SWTEST(AG28:AG43)</f>
        <v>#NAME?</v>
      </c>
      <c r="AH56" s="145" t="e">
        <f ca="1">[1]!SWTEST(AH28:AH43)</f>
        <v>#NAME?</v>
      </c>
      <c r="AI56" s="145" t="e">
        <f ca="1">[1]!SWTEST(AI28:AI43)</f>
        <v>#NAME?</v>
      </c>
      <c r="AJ56" s="145" t="e">
        <f ca="1">[1]!SWTEST(AJ28:AJ43)</f>
        <v>#NAME?</v>
      </c>
      <c r="AK56" s="145" t="e">
        <f ca="1">[1]!SWTEST(AK28:AK43)</f>
        <v>#NAME?</v>
      </c>
      <c r="AL56" s="145" t="e">
        <f ca="1">[1]!SWTEST(AL28:AL43)</f>
        <v>#NAME?</v>
      </c>
      <c r="AM56" s="145" t="e">
        <f ca="1">[1]!SWTEST(AM28:AM43)</f>
        <v>#NAME?</v>
      </c>
      <c r="AN56" s="145" t="e">
        <f ca="1">[1]!SWTEST(AN28:AN43)</f>
        <v>#NAME?</v>
      </c>
      <c r="AO56" s="145" t="e">
        <f ca="1">[1]!SWTEST(AO28:AO43)</f>
        <v>#NAME?</v>
      </c>
      <c r="AP56" s="145" t="e">
        <f ca="1">[1]!SWTEST(AP28:AP43)</f>
        <v>#NAME?</v>
      </c>
      <c r="AQ56" s="145" t="e">
        <f ca="1">[1]!SWTEST(AQ28:AQ43)</f>
        <v>#NAME?</v>
      </c>
      <c r="AR56" s="145" t="e">
        <f ca="1">[1]!SWTEST(AR28:AR43)</f>
        <v>#NAME?</v>
      </c>
      <c r="AS56" s="145" t="e">
        <f ca="1">[1]!SWTEST(AS28:AS43)</f>
        <v>#NAME?</v>
      </c>
      <c r="AT56" s="145" t="e">
        <f ca="1">[1]!SWTEST(AT28:AT43)</f>
        <v>#NAME?</v>
      </c>
      <c r="AU56" s="145" t="e">
        <f ca="1">[1]!SWTEST(AU28:AU43)</f>
        <v>#NAME?</v>
      </c>
      <c r="AV56" s="145" t="e">
        <f ca="1">[1]!SWTEST(AV28:AV43)</f>
        <v>#NAME?</v>
      </c>
      <c r="AW56" s="145" t="e">
        <f ca="1">[1]!SWTEST(AW28:AW43)</f>
        <v>#NAME?</v>
      </c>
      <c r="AX56" s="145" t="e">
        <f ca="1">[1]!SWTEST(AX28:AX43)</f>
        <v>#NAME?</v>
      </c>
      <c r="AY56" s="145" t="e">
        <f ca="1">[1]!SWTEST(AY28:AY43)</f>
        <v>#NAME?</v>
      </c>
      <c r="AZ56" s="145" t="e">
        <f ca="1">[1]!SWTEST(AZ28:AZ43)</f>
        <v>#NAME?</v>
      </c>
      <c r="BA56" s="145" t="e">
        <f ca="1">[1]!SWTEST(BA28:BA43)</f>
        <v>#NAME?</v>
      </c>
    </row>
    <row r="57" spans="1:53" s="3" customFormat="1" x14ac:dyDescent="0.35">
      <c r="A57" s="64" t="s">
        <v>85</v>
      </c>
      <c r="B57" s="145" t="e">
        <f ca="1">IF(B56&gt;0.05,"Oui","Non")</f>
        <v>#NAME?</v>
      </c>
      <c r="C57" s="145" t="e">
        <f t="shared" ref="C57:BA57" ca="1" si="83">IF(C56&gt;0.05,"Oui","Non")</f>
        <v>#NAME?</v>
      </c>
      <c r="D57" s="145" t="e">
        <f t="shared" ca="1" si="83"/>
        <v>#NAME?</v>
      </c>
      <c r="E57" s="145" t="e">
        <f t="shared" ca="1" si="83"/>
        <v>#NAME?</v>
      </c>
      <c r="F57" s="145" t="e">
        <f t="shared" ca="1" si="83"/>
        <v>#NAME?</v>
      </c>
      <c r="G57" s="145" t="e">
        <f t="shared" ca="1" si="83"/>
        <v>#NAME?</v>
      </c>
      <c r="H57" s="145" t="e">
        <f t="shared" ca="1" si="83"/>
        <v>#NAME?</v>
      </c>
      <c r="I57" s="145" t="e">
        <f t="shared" ca="1" si="83"/>
        <v>#NAME?</v>
      </c>
      <c r="J57" s="145" t="e">
        <f t="shared" ca="1" si="83"/>
        <v>#NAME?</v>
      </c>
      <c r="K57" s="145" t="e">
        <f t="shared" ca="1" si="83"/>
        <v>#NAME?</v>
      </c>
      <c r="L57" s="145" t="e">
        <f t="shared" ca="1" si="83"/>
        <v>#NAME?</v>
      </c>
      <c r="M57" s="145" t="e">
        <f t="shared" ca="1" si="83"/>
        <v>#NAME?</v>
      </c>
      <c r="N57" s="145" t="e">
        <f t="shared" ca="1" si="83"/>
        <v>#NAME?</v>
      </c>
      <c r="O57" s="145" t="e">
        <f t="shared" ca="1" si="83"/>
        <v>#NAME?</v>
      </c>
      <c r="P57" s="145" t="e">
        <f t="shared" ca="1" si="83"/>
        <v>#NAME?</v>
      </c>
      <c r="Q57" s="145" t="e">
        <f t="shared" ca="1" si="83"/>
        <v>#NAME?</v>
      </c>
      <c r="R57" s="145" t="e">
        <f t="shared" ca="1" si="83"/>
        <v>#NAME?</v>
      </c>
      <c r="S57" s="145" t="e">
        <f t="shared" ca="1" si="83"/>
        <v>#NAME?</v>
      </c>
      <c r="T57" s="145" t="e">
        <f t="shared" ca="1" si="83"/>
        <v>#NAME?</v>
      </c>
      <c r="U57" s="145" t="e">
        <f t="shared" ca="1" si="83"/>
        <v>#NAME?</v>
      </c>
      <c r="V57" s="145" t="e">
        <f t="shared" ca="1" si="83"/>
        <v>#NAME?</v>
      </c>
      <c r="W57" s="145" t="e">
        <f t="shared" ca="1" si="83"/>
        <v>#NAME?</v>
      </c>
      <c r="X57" s="145" t="e">
        <f t="shared" ca="1" si="83"/>
        <v>#NAME?</v>
      </c>
      <c r="Y57" s="145" t="e">
        <f t="shared" ca="1" si="83"/>
        <v>#NAME?</v>
      </c>
      <c r="Z57" s="145" t="e">
        <f t="shared" ca="1" si="83"/>
        <v>#NAME?</v>
      </c>
      <c r="AA57" s="145" t="e">
        <f t="shared" ca="1" si="83"/>
        <v>#NAME?</v>
      </c>
      <c r="AB57" s="145" t="e">
        <f t="shared" ca="1" si="83"/>
        <v>#NAME?</v>
      </c>
      <c r="AC57" s="145" t="e">
        <f t="shared" ca="1" si="83"/>
        <v>#NAME?</v>
      </c>
      <c r="AD57" s="145"/>
      <c r="AE57" s="145" t="e">
        <f t="shared" ca="1" si="83"/>
        <v>#NAME?</v>
      </c>
      <c r="AF57" s="145" t="e">
        <f t="shared" ca="1" si="83"/>
        <v>#NAME?</v>
      </c>
      <c r="AG57" s="145" t="e">
        <f t="shared" ca="1" si="83"/>
        <v>#NAME?</v>
      </c>
      <c r="AH57" s="145" t="e">
        <f t="shared" ca="1" si="83"/>
        <v>#NAME?</v>
      </c>
      <c r="AI57" s="145" t="e">
        <f t="shared" ca="1" si="83"/>
        <v>#NAME?</v>
      </c>
      <c r="AJ57" s="145" t="e">
        <f t="shared" ca="1" si="83"/>
        <v>#NAME?</v>
      </c>
      <c r="AK57" s="145" t="e">
        <f t="shared" ca="1" si="83"/>
        <v>#NAME?</v>
      </c>
      <c r="AL57" s="145" t="e">
        <f t="shared" ca="1" si="83"/>
        <v>#NAME?</v>
      </c>
      <c r="AM57" s="145" t="e">
        <f t="shared" ca="1" si="83"/>
        <v>#NAME?</v>
      </c>
      <c r="AN57" s="145" t="e">
        <f t="shared" ca="1" si="83"/>
        <v>#NAME?</v>
      </c>
      <c r="AO57" s="145" t="e">
        <f t="shared" ca="1" si="83"/>
        <v>#NAME?</v>
      </c>
      <c r="AP57" s="145" t="e">
        <f t="shared" ca="1" si="83"/>
        <v>#NAME?</v>
      </c>
      <c r="AQ57" s="145" t="e">
        <f t="shared" ca="1" si="83"/>
        <v>#NAME?</v>
      </c>
      <c r="AR57" s="145" t="e">
        <f t="shared" ca="1" si="83"/>
        <v>#NAME?</v>
      </c>
      <c r="AS57" s="145" t="e">
        <f t="shared" ca="1" si="83"/>
        <v>#NAME?</v>
      </c>
      <c r="AT57" s="145" t="e">
        <f t="shared" ca="1" si="83"/>
        <v>#NAME?</v>
      </c>
      <c r="AU57" s="145" t="e">
        <f t="shared" ca="1" si="83"/>
        <v>#NAME?</v>
      </c>
      <c r="AV57" s="145" t="e">
        <f t="shared" ca="1" si="83"/>
        <v>#NAME?</v>
      </c>
      <c r="AW57" s="145" t="e">
        <f t="shared" ca="1" si="83"/>
        <v>#NAME?</v>
      </c>
      <c r="AX57" s="145" t="e">
        <f t="shared" ca="1" si="83"/>
        <v>#NAME?</v>
      </c>
      <c r="AY57" s="145" t="e">
        <f t="shared" ca="1" si="83"/>
        <v>#NAME?</v>
      </c>
      <c r="AZ57" s="145" t="e">
        <f t="shared" ca="1" si="83"/>
        <v>#NAME?</v>
      </c>
      <c r="BA57" s="145" t="e">
        <f t="shared" ca="1" si="83"/>
        <v>#NAME?</v>
      </c>
    </row>
    <row r="58" spans="1:53" s="3" customFormat="1" x14ac:dyDescent="0.35">
      <c r="A58" s="64"/>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52"/>
      <c r="AE58" s="153"/>
      <c r="AF58" s="145"/>
      <c r="AG58" s="145"/>
      <c r="AH58" s="145"/>
      <c r="AI58" s="145"/>
      <c r="AJ58" s="145"/>
      <c r="AK58" s="145"/>
      <c r="AL58" s="145"/>
      <c r="AM58" s="145"/>
      <c r="AN58" s="145"/>
      <c r="AO58" s="145"/>
      <c r="AP58" s="145"/>
      <c r="AQ58" s="145"/>
      <c r="AR58" s="145"/>
      <c r="AS58" s="145"/>
      <c r="AT58" s="145"/>
      <c r="AU58" s="154"/>
      <c r="AV58" s="154"/>
      <c r="AW58" s="154"/>
      <c r="AX58" s="154"/>
      <c r="AY58" s="154"/>
      <c r="AZ58" s="154"/>
      <c r="BA58" s="155"/>
    </row>
    <row r="59" spans="1:53" s="3" customFormat="1" x14ac:dyDescent="0.35">
      <c r="A59" s="64" t="s">
        <v>82</v>
      </c>
      <c r="B59" s="156"/>
      <c r="C59" s="156" t="e">
        <f t="shared" ref="C59:AE59" ca="1" si="84">IF($B57="Non",IF(C57="Non","MW",IF(C57="Oui","MW","")),IF($B57="Oui",IF(C57="Oui","T-Test Welch",IF(C57="Non","MW",""))))</f>
        <v>#NAME?</v>
      </c>
      <c r="D59" s="156" t="e">
        <f t="shared" ca="1" si="84"/>
        <v>#NAME?</v>
      </c>
      <c r="E59" s="156" t="e">
        <f t="shared" ca="1" si="84"/>
        <v>#NAME?</v>
      </c>
      <c r="F59" s="156" t="e">
        <f t="shared" ca="1" si="84"/>
        <v>#NAME?</v>
      </c>
      <c r="G59" s="156" t="e">
        <f t="shared" ca="1" si="84"/>
        <v>#NAME?</v>
      </c>
      <c r="H59" s="156" t="e">
        <f t="shared" ca="1" si="84"/>
        <v>#NAME?</v>
      </c>
      <c r="I59" s="156" t="e">
        <f t="shared" ca="1" si="84"/>
        <v>#NAME?</v>
      </c>
      <c r="J59" s="156" t="e">
        <f t="shared" ca="1" si="84"/>
        <v>#NAME?</v>
      </c>
      <c r="K59" s="156" t="e">
        <f t="shared" ca="1" si="84"/>
        <v>#NAME?</v>
      </c>
      <c r="L59" s="156" t="e">
        <f t="shared" ca="1" si="84"/>
        <v>#NAME?</v>
      </c>
      <c r="M59" s="156" t="e">
        <f t="shared" ca="1" si="84"/>
        <v>#NAME?</v>
      </c>
      <c r="N59" s="156" t="e">
        <f t="shared" ca="1" si="84"/>
        <v>#NAME?</v>
      </c>
      <c r="O59" s="156" t="e">
        <f t="shared" ca="1" si="84"/>
        <v>#NAME?</v>
      </c>
      <c r="P59" s="156" t="e">
        <f t="shared" ca="1" si="84"/>
        <v>#NAME?</v>
      </c>
      <c r="Q59" s="156" t="e">
        <f t="shared" ca="1" si="84"/>
        <v>#NAME?</v>
      </c>
      <c r="R59" s="156" t="e">
        <f t="shared" ca="1" si="84"/>
        <v>#NAME?</v>
      </c>
      <c r="S59" s="156" t="e">
        <f t="shared" ca="1" si="84"/>
        <v>#NAME?</v>
      </c>
      <c r="T59" s="156" t="e">
        <f t="shared" ca="1" si="84"/>
        <v>#NAME?</v>
      </c>
      <c r="U59" s="156" t="e">
        <f t="shared" ca="1" si="84"/>
        <v>#NAME?</v>
      </c>
      <c r="V59" s="156" t="e">
        <f t="shared" ca="1" si="84"/>
        <v>#NAME?</v>
      </c>
      <c r="W59" s="156" t="e">
        <f t="shared" ca="1" si="84"/>
        <v>#NAME?</v>
      </c>
      <c r="X59" s="156" t="e">
        <f t="shared" ca="1" si="84"/>
        <v>#NAME?</v>
      </c>
      <c r="Y59" s="156" t="e">
        <f t="shared" ca="1" si="84"/>
        <v>#NAME?</v>
      </c>
      <c r="Z59" s="156" t="e">
        <f t="shared" ca="1" si="84"/>
        <v>#NAME?</v>
      </c>
      <c r="AA59" s="156" t="e">
        <f t="shared" ca="1" si="84"/>
        <v>#NAME?</v>
      </c>
      <c r="AB59" s="156" t="e">
        <f t="shared" ca="1" si="84"/>
        <v>#NAME?</v>
      </c>
      <c r="AC59" s="156" t="e">
        <f t="shared" ca="1" si="84"/>
        <v>#NAME?</v>
      </c>
      <c r="AD59" s="156"/>
      <c r="AE59" s="156" t="e">
        <f t="shared" ca="1" si="84"/>
        <v>#NAME?</v>
      </c>
      <c r="AF59" s="156" t="e">
        <f ca="1">IF($AE57="Non",IF(AF57="Non","MW",IF(AF57="Oui","MW","")),IF($AE57="Oui",IF(AF57="Oui","T-Test Welch",IF(AF57="Non","MW",""))))</f>
        <v>#NAME?</v>
      </c>
      <c r="AG59" s="156" t="e">
        <f t="shared" ref="AG59:BA59" ca="1" si="85">IF($AE57="Non",IF(AG57="Non","MW",IF(AG57="Oui","MW","")),IF($AE57="Oui",IF(AG57="Oui","T-Test Welch",IF(AG57="Non","MW",""))))</f>
        <v>#NAME?</v>
      </c>
      <c r="AH59" s="156" t="e">
        <f t="shared" ca="1" si="85"/>
        <v>#NAME?</v>
      </c>
      <c r="AI59" s="156" t="e">
        <f t="shared" ca="1" si="85"/>
        <v>#NAME?</v>
      </c>
      <c r="AJ59" s="156" t="e">
        <f t="shared" ca="1" si="85"/>
        <v>#NAME?</v>
      </c>
      <c r="AK59" s="156" t="e">
        <f t="shared" ca="1" si="85"/>
        <v>#NAME?</v>
      </c>
      <c r="AL59" s="156" t="e">
        <f t="shared" ca="1" si="85"/>
        <v>#NAME?</v>
      </c>
      <c r="AM59" s="156" t="e">
        <f t="shared" ca="1" si="85"/>
        <v>#NAME?</v>
      </c>
      <c r="AN59" s="156" t="e">
        <f t="shared" ca="1" si="85"/>
        <v>#NAME?</v>
      </c>
      <c r="AO59" s="156" t="e">
        <f t="shared" ca="1" si="85"/>
        <v>#NAME?</v>
      </c>
      <c r="AP59" s="156" t="e">
        <f t="shared" ca="1" si="85"/>
        <v>#NAME?</v>
      </c>
      <c r="AQ59" s="156" t="e">
        <f t="shared" ca="1" si="85"/>
        <v>#NAME?</v>
      </c>
      <c r="AR59" s="156" t="e">
        <f t="shared" ca="1" si="85"/>
        <v>#NAME?</v>
      </c>
      <c r="AS59" s="156" t="e">
        <f t="shared" ca="1" si="85"/>
        <v>#NAME?</v>
      </c>
      <c r="AT59" s="156" t="e">
        <f t="shared" ca="1" si="85"/>
        <v>#NAME?</v>
      </c>
      <c r="AU59" s="156" t="e">
        <f t="shared" ca="1" si="85"/>
        <v>#NAME?</v>
      </c>
      <c r="AV59" s="156" t="e">
        <f t="shared" ca="1" si="85"/>
        <v>#NAME?</v>
      </c>
      <c r="AW59" s="156" t="e">
        <f t="shared" ca="1" si="85"/>
        <v>#NAME?</v>
      </c>
      <c r="AX59" s="156" t="e">
        <f t="shared" ca="1" si="85"/>
        <v>#NAME?</v>
      </c>
      <c r="AY59" s="156" t="e">
        <f t="shared" ca="1" si="85"/>
        <v>#NAME?</v>
      </c>
      <c r="AZ59" s="156" t="e">
        <f t="shared" ca="1" si="85"/>
        <v>#NAME?</v>
      </c>
      <c r="BA59" s="156" t="e">
        <f t="shared" ca="1" si="85"/>
        <v>#NAME?</v>
      </c>
    </row>
    <row r="60" spans="1:53" s="3" customFormat="1" x14ac:dyDescent="0.35">
      <c r="A60" s="64" t="s">
        <v>83</v>
      </c>
      <c r="B60" s="157"/>
      <c r="C60" s="157" t="e">
        <f ca="1">IF(C59="MW",[1]!MTEST($B28:$B43,C28:C43,2), IF(C59="T-Test Welch",_xlfn.T.TEST($B28:$B43,C28:C43,2,3),""))</f>
        <v>#NAME?</v>
      </c>
      <c r="D60" s="157" t="e">
        <f ca="1">IF(D59="MW",[1]!MTEST($B28:$B43,D28:D43,2), IF(D59="T-Test Welch",_xlfn.T.TEST($B28:$B43,D28:D43,2,3),""))</f>
        <v>#NAME?</v>
      </c>
      <c r="E60" s="157" t="e">
        <f ca="1">IF(E59="MW",[1]!MTEST($B28:$B43,E28:E43,2), IF(E59="T-Test Welch",_xlfn.T.TEST($B28:$B43,E28:E43,2,3),""))</f>
        <v>#NAME?</v>
      </c>
      <c r="F60" s="157" t="e">
        <f ca="1">IF(F59="MW",[1]!MTEST($B28:$B43,F28:F43,2), IF(F59="T-Test Welch",_xlfn.T.TEST($B28:$B43,F28:F43,2,3),""))</f>
        <v>#NAME?</v>
      </c>
      <c r="G60" s="157" t="e">
        <f ca="1">IF(G59="MW",[1]!MTEST($B28:$B43,G28:G43,2), IF(G59="T-Test Welch",_xlfn.T.TEST($B28:$B43,G28:G43,2,3),""))</f>
        <v>#NAME?</v>
      </c>
      <c r="H60" s="157" t="e">
        <f ca="1">IF(H59="MW",[1]!MTEST($B28:$B43,H28:H43,2), IF(H59="T-Test Welch",_xlfn.T.TEST($B28:$B43,H28:H43,2,3),""))</f>
        <v>#NAME?</v>
      </c>
      <c r="I60" s="157" t="e">
        <f ca="1">IF(I59="MW",[1]!MTEST($B28:$B43,I28:I43,2), IF(I59="T-Test Welch",_xlfn.T.TEST($B28:$B43,I28:I43,2,3),""))</f>
        <v>#NAME?</v>
      </c>
      <c r="J60" s="157" t="e">
        <f ca="1">IF(J59="MW",[1]!MTEST($B28:$B43,J28:J43,2), IF(J59="T-Test Welch",_xlfn.T.TEST($B28:$B43,J28:J43,2,3),""))</f>
        <v>#NAME?</v>
      </c>
      <c r="K60" s="157" t="e">
        <f ca="1">IF(K59="MW",[1]!MTEST($B28:$B43,K28:K43,2), IF(K59="T-Test Welch",_xlfn.T.TEST($B28:$B43,K28:K43,2,3),""))</f>
        <v>#NAME?</v>
      </c>
      <c r="L60" s="157" t="e">
        <f ca="1">IF(L59="MW",[1]!MTEST($B28:$B43,L28:L43,2), IF(L59="T-Test Welch",_xlfn.T.TEST($B28:$B43,L28:L43,2,3),""))</f>
        <v>#NAME?</v>
      </c>
      <c r="M60" s="157" t="e">
        <f ca="1">IF(M59="MW",[1]!MTEST($B28:$B43,M28:M43,2), IF(M59="T-Test Welch",_xlfn.T.TEST($B28:$B43,M28:M43,2,3),""))</f>
        <v>#NAME?</v>
      </c>
      <c r="N60" s="157" t="e">
        <f ca="1">IF(N59="MW",[1]!MTEST($B28:$B43,N28:N43,2), IF(N59="T-Test Welch",_xlfn.T.TEST($B28:$B43,N28:N43,2,3),""))</f>
        <v>#NAME?</v>
      </c>
      <c r="O60" s="157" t="e">
        <f ca="1">IF(O59="MW",[1]!MTEST($B28:$B43,O28:O43,2), IF(O59="T-Test Welch",_xlfn.T.TEST($B28:$B43,O28:O43,2,3),""))</f>
        <v>#NAME?</v>
      </c>
      <c r="P60" s="157" t="e">
        <f ca="1">IF(P59="MW",[1]!MTEST($B28:$B43,P28:P43,2), IF(P59="T-Test Welch",_xlfn.T.TEST($B28:$B43,P28:P43,2,3),""))</f>
        <v>#NAME?</v>
      </c>
      <c r="Q60" s="157" t="e">
        <f ca="1">IF(Q59="MW",[1]!MTEST($B28:$B43,Q28:Q43,2), IF(Q59="T-Test Welch",_xlfn.T.TEST($B28:$B43,Q28:Q43,2,3),""))</f>
        <v>#NAME?</v>
      </c>
      <c r="R60" s="157" t="e">
        <f ca="1">IF(R59="MW",[1]!MTEST($B28:$B43,R28:R43,2), IF(R59="T-Test Welch",_xlfn.T.TEST($B28:$B43,R28:R43,2,3),""))</f>
        <v>#NAME?</v>
      </c>
      <c r="S60" s="157" t="e">
        <f ca="1">IF(S59="MW",[1]!MTEST($B28:$B43,S28:S43,2), IF(S59="T-Test Welch",_xlfn.T.TEST($B28:$B43,S28:S43,2,3),""))</f>
        <v>#NAME?</v>
      </c>
      <c r="T60" s="157" t="e">
        <f ca="1">IF(T59="MW",[1]!MTEST($B28:$B43,T28:T43,2), IF(T59="T-Test Welch",_xlfn.T.TEST($B28:$B43,T28:T43,2,3),""))</f>
        <v>#NAME?</v>
      </c>
      <c r="U60" s="157" t="e">
        <f ca="1">IF(U59="MW",[1]!MTEST($B28:$B43,U28:U43,2), IF(U59="T-Test Welch",_xlfn.T.TEST($B28:$B43,U28:U43,2,3),""))</f>
        <v>#NAME?</v>
      </c>
      <c r="V60" s="157" t="e">
        <f ca="1">IF(V59="MW",[1]!MTEST($B28:$B43,V28:V43,2), IF(V59="T-Test Welch",_xlfn.T.TEST($B28:$B43,V28:V43,2,3),""))</f>
        <v>#NAME?</v>
      </c>
      <c r="W60" s="157" t="e">
        <f ca="1">IF(W59="MW",[1]!MTEST($B28:$B43,W28:W43,2), IF(W59="T-Test Welch",_xlfn.T.TEST($B28:$B43,W28:W43,2,3),""))</f>
        <v>#NAME?</v>
      </c>
      <c r="X60" s="157" t="e">
        <f ca="1">IF(X59="MW",[1]!MTEST($B28:$B43,X28:X43,2), IF(X59="T-Test Welch",_xlfn.T.TEST($B28:$B43,X28:X43,2,3),""))</f>
        <v>#NAME?</v>
      </c>
      <c r="Y60" s="157" t="e">
        <f ca="1">IF(Y59="MW",[1]!MTEST($B28:$B43,Y28:Y43,2), IF(Y59="T-Test Welch",_xlfn.T.TEST($B28:$B43,Y28:Y43,2,3),""))</f>
        <v>#NAME?</v>
      </c>
      <c r="Z60" s="157" t="e">
        <f ca="1">IF(Z59="MW",[1]!MTEST($B28:$B43,Z28:Z43,2), IF(Z59="T-Test Welch",_xlfn.T.TEST($B28:$B43,Z28:Z43,2,3),""))</f>
        <v>#NAME?</v>
      </c>
      <c r="AA60" s="157" t="e">
        <f ca="1">IF(AA59="MW",[1]!MTEST($B28:$B43,AA28:AA43,2), IF(AA59="T-Test Welch",_xlfn.T.TEST($B28:$B43,AA28:AA43,2,3),""))</f>
        <v>#NAME?</v>
      </c>
      <c r="AB60" s="157" t="e">
        <f ca="1">IF(AB59="MW",[1]!MTEST($B28:$B43,AB28:AB43,2), IF(AB59="T-Test Welch",_xlfn.T.TEST($B28:$B43,AB28:AB43,2,3),""))</f>
        <v>#NAME?</v>
      </c>
      <c r="AC60" s="157" t="e">
        <f ca="1">IF(AC59="MW",[1]!MTEST($B28:$B43,AC28:AC43,2), IF(AC59="T-Test Welch",_xlfn.T.TEST($B28:$B43,AC28:AC43,2,3),""))</f>
        <v>#NAME?</v>
      </c>
      <c r="AD60" s="157"/>
      <c r="AE60" s="157" t="e">
        <f ca="1">IF(AE59="MW",[1]!MTEST($B28:$B43,AE28:AE43,2), IF(AE59="T-Test Welch",_xlfn.T.TEST($B28:$B43,AE28:AE43,2,3),""))</f>
        <v>#NAME?</v>
      </c>
      <c r="AF60" s="157" t="e">
        <f ca="1">IF(AF59="MW",[1]!MTEST($AE28:$AE43,AF28:AF43,2), IF(AF59="T-Test Welch",_xlfn.T.TEST($AE28:$AE43,AF28:AF43,2,3),""))</f>
        <v>#NAME?</v>
      </c>
      <c r="AG60" s="157" t="e">
        <f ca="1">IF(AG59="MW",[1]!MTEST($AE28:$AE43,AG28:AG43,2), IF(AG59="T-Test Welch",_xlfn.T.TEST($AE28:$AE43,AG28:AG43,2,3),""))</f>
        <v>#NAME?</v>
      </c>
      <c r="AH60" s="157" t="e">
        <f ca="1">IF(AH59="MW",[1]!MTEST($AE28:$AE43,AH28:AH43,2), IF(AH59="T-Test Welch",_xlfn.T.TEST($AE28:$AE43,AH28:AH43,2,3),""))</f>
        <v>#NAME?</v>
      </c>
      <c r="AI60" s="157" t="e">
        <f ca="1">IF(AI59="MW",[1]!MTEST($AE28:$AE43,AI28:AI43,2), IF(AI59="T-Test Welch",_xlfn.T.TEST($AE28:$AE43,AI28:AI43,2,3),""))</f>
        <v>#NAME?</v>
      </c>
      <c r="AJ60" s="157" t="e">
        <f ca="1">IF(AJ59="MW",[1]!MTEST($AE28:$AE43,AJ28:AJ43,2), IF(AJ59="T-Test Welch",_xlfn.T.TEST($AE28:$AE43,AJ28:AJ43,2,3),""))</f>
        <v>#NAME?</v>
      </c>
      <c r="AK60" s="157" t="e">
        <f ca="1">IF(AK59="MW",[1]!MTEST($AE28:$AE43,AK28:AK43,2), IF(AK59="T-Test Welch",_xlfn.T.TEST($AE28:$AE43,AK28:AK43,2,3),""))</f>
        <v>#NAME?</v>
      </c>
      <c r="AL60" s="157" t="e">
        <f ca="1">IF(AL59="MW",[1]!MTEST($AE28:$AE43,AL28:AL43,2), IF(AL59="T-Test Welch",_xlfn.T.TEST($AE28:$AE43,AL28:AL43,2,3),""))</f>
        <v>#NAME?</v>
      </c>
      <c r="AM60" s="157" t="e">
        <f ca="1">IF(AM59="MW",[1]!MTEST($AE28:$AE43,AM28:AM43,2), IF(AM59="T-Test Welch",_xlfn.T.TEST($AE28:$AE43,AM28:AM43,2,3),""))</f>
        <v>#NAME?</v>
      </c>
      <c r="AN60" s="157" t="e">
        <f ca="1">IF(AN59="MW",[1]!MTEST($AE28:$AE43,AN28:AN43,2), IF(AN59="T-Test Welch",_xlfn.T.TEST($AE28:$AE43,AN28:AN43,2,3),""))</f>
        <v>#NAME?</v>
      </c>
      <c r="AO60" s="157" t="e">
        <f ca="1">IF(AO59="MW",[1]!MTEST($AE28:$AE43,AO28:AO43,2), IF(AO59="T-Test Welch",_xlfn.T.TEST($AE28:$AE43,AO28:AO43,2,3),""))</f>
        <v>#NAME?</v>
      </c>
      <c r="AP60" s="157" t="e">
        <f ca="1">IF(AP59="MW",[1]!MTEST($AE28:$AE43,AP28:AP43,2), IF(AP59="T-Test Welch",_xlfn.T.TEST($AE28:$AE43,AP28:AP43,2,3),""))</f>
        <v>#NAME?</v>
      </c>
      <c r="AQ60" s="157" t="e">
        <f ca="1">IF(AQ59="MW",[1]!MTEST($AE28:$AE43,AQ28:AQ43,2), IF(AQ59="T-Test Welch",_xlfn.T.TEST($AE28:$AE43,AQ28:AQ43,2,3),""))</f>
        <v>#NAME?</v>
      </c>
      <c r="AR60" s="157" t="e">
        <f ca="1">IF(AR59="MW",[1]!MTEST($AE28:$AE43,AR28:AR43,2), IF(AR59="T-Test Welch",_xlfn.T.TEST($AE28:$AE43,AR28:AR43,2,3),""))</f>
        <v>#NAME?</v>
      </c>
      <c r="AS60" s="157" t="e">
        <f ca="1">IF(AS59="MW",[1]!MTEST($AE28:$AE43,AS28:AS43,2), IF(AS59="T-Test Welch",_xlfn.T.TEST($AE28:$AE43,AS28:AS43,2,3),""))</f>
        <v>#NAME?</v>
      </c>
      <c r="AT60" s="157" t="e">
        <f ca="1">IF(AT59="MW",[1]!MTEST($AE28:$AE43,AT28:AT43,2), IF(AT59="T-Test Welch",_xlfn.T.TEST($AE28:$AE43,AT28:AT43,2,3),""))</f>
        <v>#NAME?</v>
      </c>
      <c r="AU60" s="157" t="e">
        <f ca="1">IF(AU59="MW",[1]!MTEST($AE28:$AE43,AU28:AU43,2), IF(AU59="T-Test Welch",_xlfn.T.TEST($AE28:$AE43,AU28:AU43,2,3),""))</f>
        <v>#NAME?</v>
      </c>
      <c r="AV60" s="157" t="e">
        <f ca="1">IF(AV59="MW",[1]!MTEST($AE28:$AE43,AV28:AV43,2), IF(AV59="T-Test Welch",_xlfn.T.TEST($AE28:$AE43,AV28:AV43,2,3),""))</f>
        <v>#NAME?</v>
      </c>
      <c r="AW60" s="157" t="e">
        <f ca="1">IF(AW59="MW",[1]!MTEST($AE28:$AE43,AW28:AW43,2), IF(AW59="T-Test Welch",_xlfn.T.TEST($AE28:$AE43,AW28:AW43,2,3),""))</f>
        <v>#NAME?</v>
      </c>
      <c r="AX60" s="157" t="e">
        <f ca="1">IF(AX59="MW",[1]!MTEST($AE28:$AE43,AX28:AX43,2), IF(AX59="T-Test Welch",_xlfn.T.TEST($AE28:$AE43,AX28:AX43,2,3),""))</f>
        <v>#NAME?</v>
      </c>
      <c r="AY60" s="157" t="e">
        <f ca="1">IF(AY59="MW",[1]!MTEST($AE28:$AE43,AY28:AY43,2), IF(AY59="T-Test Welch",_xlfn.T.TEST($AE28:$AE43,AY28:AY43,2,3),""))</f>
        <v>#NAME?</v>
      </c>
      <c r="AZ60" s="157" t="e">
        <f ca="1">IF(AZ59="MW",[1]!MTEST($AE28:$AE43,AZ28:AZ43,2), IF(AZ59="T-Test Welch",_xlfn.T.TEST($AE28:$AE43,AZ28:AZ43,2,3),""))</f>
        <v>#NAME?</v>
      </c>
      <c r="BA60" s="157" t="e">
        <f ca="1">IF(BA59="MW",[1]!MTEST($AE28:$AE43,BA28:BA43,2), IF(BA59="T-Test Welch",_xlfn.T.TEST($AE28:$AE43,BA28:BA43,2,3),""))</f>
        <v>#NAME?</v>
      </c>
    </row>
    <row r="61" spans="1:53" s="3" customFormat="1" ht="15" thickBot="1" x14ac:dyDescent="0.4">
      <c r="A61" s="65" t="s">
        <v>84</v>
      </c>
      <c r="B61" s="146"/>
      <c r="C61" s="146" t="e">
        <f t="shared" ref="C61:AE61" ca="1" si="86">IF(C60&gt;0.05,"NS",IF(C60&gt;0.01,"*",IF(C60&gt;0.001,"**","***")))</f>
        <v>#NAME?</v>
      </c>
      <c r="D61" s="146" t="e">
        <f t="shared" ca="1" si="86"/>
        <v>#NAME?</v>
      </c>
      <c r="E61" s="146" t="e">
        <f t="shared" ca="1" si="86"/>
        <v>#NAME?</v>
      </c>
      <c r="F61" s="146" t="e">
        <f t="shared" ca="1" si="86"/>
        <v>#NAME?</v>
      </c>
      <c r="G61" s="146" t="e">
        <f t="shared" ca="1" si="86"/>
        <v>#NAME?</v>
      </c>
      <c r="H61" s="146" t="e">
        <f t="shared" ca="1" si="86"/>
        <v>#NAME?</v>
      </c>
      <c r="I61" s="146" t="e">
        <f t="shared" ca="1" si="86"/>
        <v>#NAME?</v>
      </c>
      <c r="J61" s="146" t="e">
        <f t="shared" ca="1" si="86"/>
        <v>#NAME?</v>
      </c>
      <c r="K61" s="146" t="e">
        <f t="shared" ca="1" si="86"/>
        <v>#NAME?</v>
      </c>
      <c r="L61" s="146" t="e">
        <f t="shared" ca="1" si="86"/>
        <v>#NAME?</v>
      </c>
      <c r="M61" s="146" t="e">
        <f t="shared" ca="1" si="86"/>
        <v>#NAME?</v>
      </c>
      <c r="N61" s="146" t="e">
        <f t="shared" ca="1" si="86"/>
        <v>#NAME?</v>
      </c>
      <c r="O61" s="146" t="e">
        <f t="shared" ca="1" si="86"/>
        <v>#NAME?</v>
      </c>
      <c r="P61" s="146" t="e">
        <f t="shared" ca="1" si="86"/>
        <v>#NAME?</v>
      </c>
      <c r="Q61" s="146" t="e">
        <f t="shared" ca="1" si="86"/>
        <v>#NAME?</v>
      </c>
      <c r="R61" s="146" t="e">
        <f t="shared" ca="1" si="86"/>
        <v>#NAME?</v>
      </c>
      <c r="S61" s="146" t="e">
        <f t="shared" ca="1" si="86"/>
        <v>#NAME?</v>
      </c>
      <c r="T61" s="146" t="e">
        <f t="shared" ca="1" si="86"/>
        <v>#NAME?</v>
      </c>
      <c r="U61" s="146" t="e">
        <f t="shared" ca="1" si="86"/>
        <v>#NAME?</v>
      </c>
      <c r="V61" s="146" t="e">
        <f t="shared" ca="1" si="86"/>
        <v>#NAME?</v>
      </c>
      <c r="W61" s="146" t="e">
        <f t="shared" ca="1" si="86"/>
        <v>#NAME?</v>
      </c>
      <c r="X61" s="146" t="e">
        <f t="shared" ca="1" si="86"/>
        <v>#NAME?</v>
      </c>
      <c r="Y61" s="146" t="e">
        <f t="shared" ca="1" si="86"/>
        <v>#NAME?</v>
      </c>
      <c r="Z61" s="146" t="e">
        <f t="shared" ca="1" si="86"/>
        <v>#NAME?</v>
      </c>
      <c r="AA61" s="146" t="e">
        <f t="shared" ca="1" si="86"/>
        <v>#NAME?</v>
      </c>
      <c r="AB61" s="146" t="e">
        <f t="shared" ca="1" si="86"/>
        <v>#NAME?</v>
      </c>
      <c r="AC61" s="146" t="e">
        <f t="shared" ca="1" si="86"/>
        <v>#NAME?</v>
      </c>
      <c r="AD61" s="146"/>
      <c r="AE61" s="146" t="e">
        <f t="shared" ca="1" si="86"/>
        <v>#NAME?</v>
      </c>
      <c r="AF61" s="146" t="e">
        <f ca="1">IF(AF60&gt;0.05,"NS",IF(AF60&gt;0.01,"*",IF(AF60&gt;0.001,"**","***")))</f>
        <v>#NAME?</v>
      </c>
      <c r="AG61" s="146" t="e">
        <f t="shared" ref="AG61:BA61" ca="1" si="87">IF(AG60&gt;0.05,"NS",IF(AG60&gt;0.01,"*",IF(AG60&gt;0.001,"**","***")))</f>
        <v>#NAME?</v>
      </c>
      <c r="AH61" s="146" t="e">
        <f t="shared" ca="1" si="87"/>
        <v>#NAME?</v>
      </c>
      <c r="AI61" s="146" t="e">
        <f t="shared" ca="1" si="87"/>
        <v>#NAME?</v>
      </c>
      <c r="AJ61" s="146" t="e">
        <f t="shared" ca="1" si="87"/>
        <v>#NAME?</v>
      </c>
      <c r="AK61" s="146" t="e">
        <f t="shared" ca="1" si="87"/>
        <v>#NAME?</v>
      </c>
      <c r="AL61" s="146" t="e">
        <f t="shared" ca="1" si="87"/>
        <v>#NAME?</v>
      </c>
      <c r="AM61" s="146" t="e">
        <f t="shared" ca="1" si="87"/>
        <v>#NAME?</v>
      </c>
      <c r="AN61" s="146" t="e">
        <f t="shared" ca="1" si="87"/>
        <v>#NAME?</v>
      </c>
      <c r="AO61" s="146" t="e">
        <f t="shared" ca="1" si="87"/>
        <v>#NAME?</v>
      </c>
      <c r="AP61" s="146" t="e">
        <f t="shared" ca="1" si="87"/>
        <v>#NAME?</v>
      </c>
      <c r="AQ61" s="146" t="e">
        <f t="shared" ca="1" si="87"/>
        <v>#NAME?</v>
      </c>
      <c r="AR61" s="146" t="e">
        <f t="shared" ca="1" si="87"/>
        <v>#NAME?</v>
      </c>
      <c r="AS61" s="146" t="e">
        <f t="shared" ca="1" si="87"/>
        <v>#NAME?</v>
      </c>
      <c r="AT61" s="146" t="e">
        <f t="shared" ca="1" si="87"/>
        <v>#NAME?</v>
      </c>
      <c r="AU61" s="146" t="e">
        <f t="shared" ca="1" si="87"/>
        <v>#NAME?</v>
      </c>
      <c r="AV61" s="146" t="e">
        <f t="shared" ca="1" si="87"/>
        <v>#NAME?</v>
      </c>
      <c r="AW61" s="146" t="e">
        <f t="shared" ca="1" si="87"/>
        <v>#NAME?</v>
      </c>
      <c r="AX61" s="146" t="e">
        <f t="shared" ca="1" si="87"/>
        <v>#NAME?</v>
      </c>
      <c r="AY61" s="146" t="e">
        <f t="shared" ca="1" si="87"/>
        <v>#NAME?</v>
      </c>
      <c r="AZ61" s="146" t="e">
        <f t="shared" ca="1" si="87"/>
        <v>#NAME?</v>
      </c>
      <c r="BA61" s="146" t="e">
        <f t="shared" ca="1" si="87"/>
        <v>#NAME?</v>
      </c>
    </row>
    <row r="63" spans="1:53" x14ac:dyDescent="0.35">
      <c r="A63" s="2" t="s">
        <v>39</v>
      </c>
    </row>
    <row r="64" spans="1:53" x14ac:dyDescent="0.35">
      <c r="A64" s="1" t="s">
        <v>23</v>
      </c>
      <c r="B64" s="1">
        <f>B46+(3*B47)</f>
        <v>0.24350107861645068</v>
      </c>
    </row>
    <row r="65" spans="1:53" x14ac:dyDescent="0.35">
      <c r="A65" s="1" t="s">
        <v>24</v>
      </c>
      <c r="B65" s="1">
        <f>B46+(10*B47)</f>
        <v>0.635571253246351</v>
      </c>
    </row>
    <row r="66" spans="1:53" ht="15" thickBot="1" x14ac:dyDescent="0.4"/>
    <row r="67" spans="1:53" ht="26.5" thickBot="1" x14ac:dyDescent="0.65">
      <c r="A67" s="224" t="s">
        <v>45</v>
      </c>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225"/>
      <c r="AD67" s="225"/>
      <c r="AE67" s="225"/>
      <c r="AF67" s="225"/>
      <c r="AG67" s="225"/>
      <c r="AH67" s="225"/>
      <c r="AI67" s="225"/>
      <c r="AJ67" s="225"/>
      <c r="AK67" s="225"/>
      <c r="AL67" s="225"/>
      <c r="AM67" s="225"/>
      <c r="AN67" s="225"/>
      <c r="AO67" s="225"/>
      <c r="AP67" s="225"/>
      <c r="AQ67" s="225"/>
      <c r="AR67" s="225"/>
      <c r="AS67" s="225"/>
      <c r="AT67" s="225"/>
      <c r="AU67" s="225"/>
      <c r="AV67" s="225"/>
      <c r="AW67" s="225"/>
      <c r="AX67" s="225"/>
      <c r="AY67" s="225"/>
      <c r="AZ67" s="225"/>
      <c r="BA67" s="226"/>
    </row>
    <row r="68" spans="1:53" ht="16.5" x14ac:dyDescent="0.35">
      <c r="A68" s="12"/>
      <c r="B68" s="12"/>
      <c r="C68" s="12"/>
      <c r="D68" s="12"/>
      <c r="E68" s="12"/>
      <c r="F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row>
    <row r="69" spans="1:53" ht="16.5" x14ac:dyDescent="0.35">
      <c r="A69" s="12"/>
      <c r="B69" s="12"/>
      <c r="C69" s="12"/>
      <c r="D69" s="12"/>
      <c r="E69" s="12"/>
      <c r="F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row>
    <row r="70" spans="1:53" ht="16.5" x14ac:dyDescent="0.35">
      <c r="A70" s="12"/>
      <c r="B70" s="12"/>
      <c r="C70" s="12"/>
      <c r="D70" s="12"/>
      <c r="E70" s="12"/>
      <c r="F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row>
    <row r="71" spans="1:53" ht="16.5" x14ac:dyDescent="0.35">
      <c r="A71" s="12"/>
      <c r="B71" s="12"/>
      <c r="C71" s="12"/>
      <c r="D71" s="12"/>
      <c r="E71" s="12"/>
      <c r="F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row>
    <row r="72" spans="1:53" ht="16.5" x14ac:dyDescent="0.35">
      <c r="A72" s="12"/>
      <c r="B72" s="12"/>
      <c r="C72" s="12"/>
      <c r="D72" s="12"/>
      <c r="E72" s="12"/>
      <c r="F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row>
    <row r="73" spans="1:53" ht="16.5" x14ac:dyDescent="0.35">
      <c r="A73" s="12"/>
      <c r="B73" s="12"/>
      <c r="C73" s="12"/>
      <c r="D73" s="12"/>
      <c r="E73" s="12"/>
      <c r="F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row>
    <row r="74" spans="1:53" ht="16.5" x14ac:dyDescent="0.35">
      <c r="A74" s="12"/>
      <c r="B74" s="12"/>
      <c r="C74" s="12"/>
      <c r="D74" s="12"/>
      <c r="E74" s="12"/>
      <c r="F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row>
  </sheetData>
  <protectedRanges>
    <protectedRange sqref="AE51:BA51" name="Plage2"/>
    <protectedRange sqref="AH5:BA20" name="Plage1"/>
    <protectedRange sqref="B51:J51" name="Plage2_1"/>
    <protectedRange sqref="AE5:AE20 B5:J20" name="Plage1_1"/>
  </protectedRanges>
  <mergeCells count="9">
    <mergeCell ref="A1:BA1"/>
    <mergeCell ref="A67:BA67"/>
    <mergeCell ref="A5:A20"/>
    <mergeCell ref="B3:AC3"/>
    <mergeCell ref="AE3:BA3"/>
    <mergeCell ref="B26:AC26"/>
    <mergeCell ref="AE26:BA26"/>
    <mergeCell ref="A28:A43"/>
    <mergeCell ref="A50:BA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30"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K1" zoomScale="80" zoomScaleNormal="80" workbookViewId="0">
      <selection activeCell="Z5" sqref="Z5:AD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J1" s="1" t="s">
        <v>1658</v>
      </c>
      <c r="K1" s="122"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1</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3069</v>
      </c>
      <c r="D2" s="1" t="s">
        <v>3070</v>
      </c>
      <c r="E2" s="1" t="s">
        <v>3071</v>
      </c>
      <c r="F2" s="1" t="s">
        <v>112</v>
      </c>
      <c r="G2" s="1">
        <v>221360</v>
      </c>
      <c r="K2" s="161" t="s">
        <v>120</v>
      </c>
      <c r="L2" s="161"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3072</v>
      </c>
      <c r="D3" s="1" t="s">
        <v>3073</v>
      </c>
      <c r="E3" s="1" t="s">
        <v>3074</v>
      </c>
      <c r="F3" s="1" t="s">
        <v>112</v>
      </c>
      <c r="G3" s="1">
        <v>336475</v>
      </c>
      <c r="K3" s="122" t="s">
        <v>154</v>
      </c>
      <c r="L3" s="122"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1</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3075</v>
      </c>
      <c r="D4" s="1" t="s">
        <v>717</v>
      </c>
      <c r="E4" s="1">
        <v>39</v>
      </c>
      <c r="F4" s="1" t="s">
        <v>112</v>
      </c>
      <c r="G4" s="1">
        <v>2531</v>
      </c>
      <c r="K4" s="122" t="s">
        <v>100</v>
      </c>
      <c r="L4" s="1" t="s">
        <v>1659</v>
      </c>
      <c r="M4" s="1" t="s">
        <v>1660</v>
      </c>
      <c r="N4" s="1" t="s">
        <v>1661</v>
      </c>
      <c r="O4" s="1" t="s">
        <v>1662</v>
      </c>
      <c r="P4" s="1" t="s">
        <v>1663</v>
      </c>
      <c r="Q4" s="1" t="s">
        <v>1664</v>
      </c>
      <c r="R4" s="1" t="s">
        <v>1665</v>
      </c>
      <c r="S4" s="1" t="s">
        <v>1666</v>
      </c>
      <c r="T4" s="1" t="s">
        <v>1667</v>
      </c>
      <c r="U4" s="1" t="s">
        <v>1668</v>
      </c>
      <c r="V4" s="1" t="s">
        <v>1669</v>
      </c>
      <c r="W4" s="1" t="s">
        <v>1670</v>
      </c>
      <c r="X4" s="1" t="s">
        <v>1671</v>
      </c>
      <c r="Y4" s="1" t="s">
        <v>1672</v>
      </c>
      <c r="Z4" s="1" t="s">
        <v>1673</v>
      </c>
      <c r="AA4" s="1" t="s">
        <v>1674</v>
      </c>
      <c r="AB4" s="1" t="s">
        <v>1675</v>
      </c>
      <c r="AC4" s="1" t="s">
        <v>1676</v>
      </c>
      <c r="AD4" s="1" t="s">
        <v>1677</v>
      </c>
      <c r="AE4" s="1" t="s">
        <v>1678</v>
      </c>
      <c r="AF4" s="1" t="s">
        <v>1679</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1</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 t="s">
        <v>3076</v>
      </c>
      <c r="D5" s="1" t="s">
        <v>2975</v>
      </c>
      <c r="E5" s="1" t="s">
        <v>3077</v>
      </c>
      <c r="F5" s="1" t="s">
        <v>112</v>
      </c>
      <c r="G5" s="1">
        <v>219587</v>
      </c>
      <c r="K5" s="149" t="s">
        <v>164</v>
      </c>
      <c r="L5" s="44">
        <v>186788.66666666666</v>
      </c>
      <c r="M5" s="44">
        <v>422215.66666666669</v>
      </c>
      <c r="N5" s="44">
        <v>863645.66666666663</v>
      </c>
      <c r="O5" s="44">
        <v>3171721.3333333335</v>
      </c>
      <c r="P5" s="44">
        <v>272082</v>
      </c>
      <c r="Q5" s="44">
        <v>182318.33333333334</v>
      </c>
      <c r="R5" s="44">
        <v>30678.666666666668</v>
      </c>
      <c r="S5" s="44">
        <v>159239.33333333334</v>
      </c>
      <c r="T5" s="44">
        <v>571389.66666666663</v>
      </c>
      <c r="U5" s="44">
        <v>2933893.6666666665</v>
      </c>
      <c r="V5" s="44">
        <v>4452795</v>
      </c>
      <c r="W5" s="44">
        <v>417911</v>
      </c>
      <c r="X5" s="44">
        <v>3660023.3333333335</v>
      </c>
      <c r="Y5" s="44">
        <v>4115570.6666666665</v>
      </c>
      <c r="Z5" s="44">
        <v>204618.66666666666</v>
      </c>
      <c r="AA5" s="44">
        <v>1127144.5</v>
      </c>
      <c r="AB5" s="44">
        <v>2511685</v>
      </c>
      <c r="AC5" s="44">
        <v>3184778.6666666665</v>
      </c>
      <c r="AD5" s="44">
        <v>1624426.6666666667</v>
      </c>
      <c r="AE5" s="44">
        <v>479974.33333333331</v>
      </c>
      <c r="AF5" s="44">
        <v>969862.66666666663</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3078</v>
      </c>
      <c r="D6" s="1" t="s">
        <v>3079</v>
      </c>
      <c r="E6" s="1" t="s">
        <v>3080</v>
      </c>
      <c r="F6" s="1" t="s">
        <v>112</v>
      </c>
      <c r="G6" s="1">
        <v>265983</v>
      </c>
      <c r="K6" s="149" t="s">
        <v>1680</v>
      </c>
      <c r="L6" s="44">
        <v>285796</v>
      </c>
      <c r="M6" s="44">
        <v>1704209</v>
      </c>
      <c r="N6" s="44">
        <v>2295753.6666666665</v>
      </c>
      <c r="O6" s="44">
        <v>4704920.333333333</v>
      </c>
      <c r="P6" s="44">
        <v>202218</v>
      </c>
      <c r="Q6" s="44">
        <v>33663.666666666664</v>
      </c>
      <c r="R6" s="44">
        <v>643489.33333333337</v>
      </c>
      <c r="S6" s="44">
        <v>929609.33333333337</v>
      </c>
      <c r="T6" s="44">
        <v>2308530</v>
      </c>
      <c r="U6" s="44">
        <v>3693218</v>
      </c>
      <c r="V6" s="44">
        <v>3993376</v>
      </c>
      <c r="W6" s="44">
        <v>2421906.3333333335</v>
      </c>
      <c r="X6" s="44">
        <v>3679100.6666666665</v>
      </c>
      <c r="Y6" s="44">
        <v>2826839.6666666665</v>
      </c>
      <c r="Z6" s="44">
        <v>681356</v>
      </c>
      <c r="AA6" s="44">
        <v>3022554.3333333335</v>
      </c>
      <c r="AB6" s="44">
        <v>117695.66666666667</v>
      </c>
      <c r="AC6" s="44">
        <v>2443846.3333333335</v>
      </c>
      <c r="AD6" s="44">
        <v>4723392</v>
      </c>
      <c r="AE6" s="44">
        <v>91819</v>
      </c>
      <c r="AF6" s="44">
        <v>102561.66666666667</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3081</v>
      </c>
      <c r="D7" s="1" t="s">
        <v>3082</v>
      </c>
      <c r="E7" s="1" t="s">
        <v>3083</v>
      </c>
      <c r="F7" s="1" t="s">
        <v>112</v>
      </c>
      <c r="G7" s="1">
        <v>371818</v>
      </c>
      <c r="K7" s="149" t="s">
        <v>1681</v>
      </c>
      <c r="L7" s="44">
        <v>241616.5</v>
      </c>
      <c r="M7" s="44">
        <v>1350585</v>
      </c>
      <c r="N7" s="44">
        <v>2210741.3333333335</v>
      </c>
      <c r="O7" s="44">
        <v>4637096.333333333</v>
      </c>
      <c r="P7" s="44">
        <v>154653.66666666666</v>
      </c>
      <c r="Q7" s="44">
        <v>132259.33333333334</v>
      </c>
      <c r="R7" s="44">
        <v>149952.66666666666</v>
      </c>
      <c r="S7" s="44">
        <v>463802.66666666669</v>
      </c>
      <c r="T7" s="44">
        <v>2311652</v>
      </c>
      <c r="U7" s="44">
        <v>3003181</v>
      </c>
      <c r="V7" s="44">
        <v>2346483</v>
      </c>
      <c r="W7" s="44">
        <v>275053</v>
      </c>
      <c r="X7" s="44">
        <v>3182997.6666666665</v>
      </c>
      <c r="Y7" s="44">
        <v>4250916</v>
      </c>
      <c r="Z7" s="44">
        <v>2445620</v>
      </c>
      <c r="AA7" s="44">
        <v>1722994</v>
      </c>
      <c r="AB7" s="44">
        <v>3668596</v>
      </c>
      <c r="AC7" s="44">
        <v>1993836.3333333333</v>
      </c>
      <c r="AD7" s="44">
        <v>2942574</v>
      </c>
      <c r="AE7" s="44">
        <v>145597.66666666666</v>
      </c>
      <c r="AF7" s="44">
        <v>345710.66666666669</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 t="s">
        <v>3084</v>
      </c>
      <c r="D8" s="1" t="s">
        <v>3085</v>
      </c>
      <c r="E8" s="1" t="s">
        <v>3086</v>
      </c>
      <c r="F8" s="1" t="s">
        <v>112</v>
      </c>
      <c r="G8" s="1">
        <v>341687</v>
      </c>
      <c r="K8" s="149" t="s">
        <v>1682</v>
      </c>
      <c r="L8" s="44"/>
      <c r="M8" s="44">
        <v>3397948.3333333335</v>
      </c>
      <c r="N8" s="44">
        <v>4224956.5</v>
      </c>
      <c r="O8" s="44">
        <v>3897281.6666666665</v>
      </c>
      <c r="P8" s="44">
        <v>68083.666666666672</v>
      </c>
      <c r="Q8" s="44">
        <v>219925.33333333334</v>
      </c>
      <c r="R8" s="44">
        <v>152794</v>
      </c>
      <c r="S8" s="44">
        <v>1012956.6666666666</v>
      </c>
      <c r="T8" s="44">
        <v>4124258.3333333335</v>
      </c>
      <c r="U8" s="44">
        <v>1289149</v>
      </c>
      <c r="V8" s="44">
        <v>4714783.333333333</v>
      </c>
      <c r="W8" s="44">
        <v>766585</v>
      </c>
      <c r="X8" s="44">
        <v>1414782.3333333333</v>
      </c>
      <c r="Y8" s="44">
        <v>2636525.3333333335</v>
      </c>
      <c r="Z8" s="44"/>
      <c r="AA8" s="44">
        <v>975292</v>
      </c>
      <c r="AB8" s="44">
        <v>365963.66666666669</v>
      </c>
      <c r="AC8" s="44">
        <v>3360889</v>
      </c>
      <c r="AD8" s="44">
        <v>2892010.6666666665</v>
      </c>
      <c r="AE8" s="44">
        <v>105856.66666666667</v>
      </c>
      <c r="AF8" s="44">
        <v>217762.33333333334</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3087</v>
      </c>
      <c r="K9" s="149" t="s">
        <v>1683</v>
      </c>
      <c r="L9" s="44">
        <v>35285.666666666664</v>
      </c>
      <c r="M9" s="44">
        <v>836276.66666666663</v>
      </c>
      <c r="N9" s="44">
        <v>2149283.3333333335</v>
      </c>
      <c r="O9" s="44">
        <v>4072563</v>
      </c>
      <c r="P9" s="44">
        <v>27870</v>
      </c>
      <c r="Q9" s="44">
        <v>710434</v>
      </c>
      <c r="R9" s="44">
        <v>402186.33333333331</v>
      </c>
      <c r="S9" s="44">
        <v>414998.66666666669</v>
      </c>
      <c r="T9" s="44">
        <v>2195729.6666666665</v>
      </c>
      <c r="U9" s="44">
        <v>5059001.333333333</v>
      </c>
      <c r="V9" s="44"/>
      <c r="W9" s="44">
        <v>2234880</v>
      </c>
      <c r="X9" s="44">
        <v>3792247</v>
      </c>
      <c r="Y9" s="44">
        <v>2666425.3333333335</v>
      </c>
      <c r="Z9" s="44">
        <v>1206472</v>
      </c>
      <c r="AA9" s="44">
        <v>586538</v>
      </c>
      <c r="AB9" s="44">
        <v>3772116.6666666665</v>
      </c>
      <c r="AC9" s="44">
        <v>3706390.6666666665</v>
      </c>
      <c r="AD9" s="44">
        <v>1254490.5</v>
      </c>
      <c r="AE9" s="44">
        <v>130104</v>
      </c>
      <c r="AF9" s="44">
        <v>271743.33333333331</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3088</v>
      </c>
      <c r="D10" s="1" t="s">
        <v>191</v>
      </c>
      <c r="E10" s="1" t="s">
        <v>3089</v>
      </c>
      <c r="F10" s="1" t="s">
        <v>112</v>
      </c>
      <c r="G10" s="1">
        <v>141546</v>
      </c>
      <c r="K10" s="149" t="s">
        <v>1684</v>
      </c>
      <c r="L10" s="44">
        <v>13919</v>
      </c>
      <c r="M10" s="44">
        <v>1452368</v>
      </c>
      <c r="N10" s="44">
        <v>1940619.6666666667</v>
      </c>
      <c r="O10" s="44">
        <v>2518685.6666666665</v>
      </c>
      <c r="P10" s="44">
        <v>122886.33333333333</v>
      </c>
      <c r="Q10" s="44">
        <v>582623</v>
      </c>
      <c r="R10" s="44">
        <v>152981.33333333334</v>
      </c>
      <c r="S10" s="44">
        <v>1028717.6666666666</v>
      </c>
      <c r="T10" s="44">
        <v>1511576.3333333333</v>
      </c>
      <c r="U10" s="44">
        <v>4806025.666666667</v>
      </c>
      <c r="V10" s="44">
        <v>3322460</v>
      </c>
      <c r="W10" s="44">
        <v>1636712.6666666667</v>
      </c>
      <c r="X10" s="44">
        <v>2526999</v>
      </c>
      <c r="Y10" s="44">
        <v>3016858.3333333335</v>
      </c>
      <c r="Z10" s="44">
        <v>2144654.6666666665</v>
      </c>
      <c r="AA10" s="44">
        <v>65008.5</v>
      </c>
      <c r="AB10" s="44">
        <v>1745648</v>
      </c>
      <c r="AC10" s="44">
        <v>1927562.3333333333</v>
      </c>
      <c r="AD10" s="44">
        <v>3380233.6666666665</v>
      </c>
      <c r="AE10" s="44">
        <v>163666.33333333334</v>
      </c>
      <c r="AF10" s="44">
        <v>330559</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 t="s">
        <v>3090</v>
      </c>
      <c r="K11" s="149" t="s">
        <v>1685</v>
      </c>
      <c r="L11" s="44">
        <v>40231.666666666664</v>
      </c>
      <c r="M11" s="44">
        <v>1731192</v>
      </c>
      <c r="N11" s="44">
        <v>1695805.3333333333</v>
      </c>
      <c r="O11" s="44">
        <v>3911334</v>
      </c>
      <c r="P11" s="44">
        <v>57247</v>
      </c>
      <c r="Q11" s="44">
        <v>279746.66666666669</v>
      </c>
      <c r="R11" s="44">
        <v>369229.66666666669</v>
      </c>
      <c r="S11" s="44">
        <v>2110270.3333333335</v>
      </c>
      <c r="T11" s="44">
        <v>1713469.6666666667</v>
      </c>
      <c r="U11" s="44">
        <v>2120941</v>
      </c>
      <c r="V11" s="44">
        <v>4618415.333333333</v>
      </c>
      <c r="W11" s="44">
        <v>2369187.3333333335</v>
      </c>
      <c r="X11" s="44">
        <v>2848945.3333333335</v>
      </c>
      <c r="Y11" s="44">
        <v>1916690</v>
      </c>
      <c r="Z11" s="44">
        <v>191799.66666666666</v>
      </c>
      <c r="AA11" s="44">
        <v>896905</v>
      </c>
      <c r="AB11" s="44">
        <v>1706844</v>
      </c>
      <c r="AC11" s="44">
        <v>1044356</v>
      </c>
      <c r="AD11" s="44">
        <v>3256712.3333333335</v>
      </c>
      <c r="AE11" s="44">
        <v>122512</v>
      </c>
      <c r="AF11" s="44">
        <v>242846</v>
      </c>
      <c r="AG11"/>
    </row>
    <row r="12" spans="1:144" x14ac:dyDescent="0.35">
      <c r="A12" s="1" t="str">
        <f t="shared" si="0"/>
        <v>1</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3091</v>
      </c>
      <c r="K12" s="149" t="s">
        <v>1686</v>
      </c>
      <c r="L12" s="44">
        <v>179347.66666666666</v>
      </c>
      <c r="M12" s="44">
        <v>3280425.6666666665</v>
      </c>
      <c r="N12" s="44">
        <v>390160</v>
      </c>
      <c r="O12" s="44">
        <v>4231644</v>
      </c>
      <c r="P12" s="44">
        <v>202109.5</v>
      </c>
      <c r="Q12" s="44">
        <v>411227.66666666669</v>
      </c>
      <c r="R12" s="44">
        <v>98207</v>
      </c>
      <c r="S12" s="44">
        <v>417795.66666666669</v>
      </c>
      <c r="T12" s="44">
        <v>3282920.6666666665</v>
      </c>
      <c r="U12" s="44">
        <v>3838052</v>
      </c>
      <c r="V12" s="44">
        <v>3175996.6666666665</v>
      </c>
      <c r="W12" s="44">
        <v>384500.33333333331</v>
      </c>
      <c r="X12" s="44">
        <v>3183213.6666666665</v>
      </c>
      <c r="Y12" s="44">
        <v>3464150.3333333335</v>
      </c>
      <c r="Z12" s="44">
        <v>67362.666666666672</v>
      </c>
      <c r="AA12" s="44">
        <v>2810718.6666666665</v>
      </c>
      <c r="AB12" s="44">
        <v>3217764</v>
      </c>
      <c r="AC12" s="44">
        <v>2128425</v>
      </c>
      <c r="AD12" s="44">
        <v>2580042.6666666665</v>
      </c>
      <c r="AE12" s="44">
        <v>161013</v>
      </c>
      <c r="AF12" s="44">
        <v>890214.33333333337</v>
      </c>
      <c r="AG12"/>
    </row>
    <row r="13" spans="1:144" x14ac:dyDescent="0.35">
      <c r="A13" s="1" t="str">
        <f t="shared" si="0"/>
        <v>1</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3092</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 t="s">
        <v>3093</v>
      </c>
      <c r="D14" s="1" t="s">
        <v>613</v>
      </c>
      <c r="E14" s="1" t="s">
        <v>3094</v>
      </c>
      <c r="F14" s="1" t="s">
        <v>112</v>
      </c>
      <c r="G14" s="1">
        <v>33375</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3095</v>
      </c>
      <c r="D15" s="1" t="s">
        <v>3096</v>
      </c>
      <c r="E15" s="1" t="s">
        <v>3097</v>
      </c>
      <c r="F15" s="1" t="s">
        <v>112</v>
      </c>
      <c r="G15" s="1">
        <v>72482</v>
      </c>
    </row>
    <row r="16" spans="1:144" x14ac:dyDescent="0.35">
      <c r="A16" s="1" t="str">
        <f t="shared" si="0"/>
        <v>1</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3098</v>
      </c>
      <c r="D16" s="1">
        <v>0</v>
      </c>
      <c r="E16" s="1">
        <v>0</v>
      </c>
      <c r="F16" s="1" t="s">
        <v>112</v>
      </c>
      <c r="G16" s="1">
        <v>0</v>
      </c>
    </row>
    <row r="17" spans="1:10" x14ac:dyDescent="0.35">
      <c r="A17" s="1" t="str">
        <f t="shared" si="0"/>
        <v>1</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 t="s">
        <v>3099</v>
      </c>
      <c r="D17" s="1" t="s">
        <v>3100</v>
      </c>
      <c r="E17" s="1" t="s">
        <v>3101</v>
      </c>
      <c r="F17" s="1" t="s">
        <v>112</v>
      </c>
      <c r="G17" s="1">
        <v>27838</v>
      </c>
    </row>
    <row r="18" spans="1:10" x14ac:dyDescent="0.35">
      <c r="A18" s="1" t="str">
        <f t="shared" si="0"/>
        <v>1</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3102</v>
      </c>
    </row>
    <row r="19" spans="1:10" x14ac:dyDescent="0.35">
      <c r="A19" s="1" t="str">
        <f t="shared" si="0"/>
        <v>1</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3103</v>
      </c>
      <c r="D19" s="1">
        <v>0</v>
      </c>
      <c r="E19" s="1">
        <v>0</v>
      </c>
      <c r="F19" s="1" t="s">
        <v>112</v>
      </c>
      <c r="G19" s="1">
        <v>0</v>
      </c>
    </row>
    <row r="20" spans="1:10" x14ac:dyDescent="0.35">
      <c r="A20" s="1" t="str">
        <f t="shared" si="0"/>
        <v>1</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 t="s">
        <v>3104</v>
      </c>
      <c r="D20" s="1" t="s">
        <v>1370</v>
      </c>
      <c r="E20" s="1" t="s">
        <v>3105</v>
      </c>
      <c r="F20" s="1" t="s">
        <v>112</v>
      </c>
      <c r="G20" s="1">
        <v>5516</v>
      </c>
    </row>
    <row r="21" spans="1:10" x14ac:dyDescent="0.35">
      <c r="A21" s="1" t="str">
        <f t="shared" si="0"/>
        <v>1</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3106</v>
      </c>
      <c r="D21" s="1" t="s">
        <v>1518</v>
      </c>
      <c r="E21" s="1" t="s">
        <v>3107</v>
      </c>
      <c r="F21" s="1" t="s">
        <v>112</v>
      </c>
      <c r="G21" s="1">
        <v>38674</v>
      </c>
    </row>
    <row r="22" spans="1:10" x14ac:dyDescent="0.35">
      <c r="A22" s="1" t="str">
        <f t="shared" si="0"/>
        <v>1</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3108</v>
      </c>
      <c r="D22" s="1" t="s">
        <v>3109</v>
      </c>
      <c r="E22" s="1" t="s">
        <v>3110</v>
      </c>
      <c r="F22" s="1" t="s">
        <v>112</v>
      </c>
      <c r="G22" s="1">
        <v>76505</v>
      </c>
    </row>
    <row r="23" spans="1:10" x14ac:dyDescent="0.35">
      <c r="A23" s="1" t="str">
        <f t="shared" si="0"/>
        <v>1</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 t="s">
        <v>3111</v>
      </c>
      <c r="D23" s="1" t="s">
        <v>3112</v>
      </c>
      <c r="E23" s="1" t="s">
        <v>3113</v>
      </c>
      <c r="F23" s="1" t="s">
        <v>112</v>
      </c>
      <c r="G23" s="1">
        <v>263863</v>
      </c>
    </row>
    <row r="24" spans="1:10" x14ac:dyDescent="0.35">
      <c r="A24" s="1" t="str">
        <f t="shared" si="0"/>
        <v>1</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3114</v>
      </c>
      <c r="D24" s="1" t="s">
        <v>3115</v>
      </c>
      <c r="E24" s="1" t="s">
        <v>3116</v>
      </c>
      <c r="F24" s="1" t="s">
        <v>112</v>
      </c>
      <c r="G24" s="1">
        <v>271498</v>
      </c>
    </row>
    <row r="25" spans="1:10" x14ac:dyDescent="0.35">
      <c r="A25" s="1" t="str">
        <f t="shared" si="0"/>
        <v>1</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3117</v>
      </c>
      <c r="D25" s="1" t="s">
        <v>551</v>
      </c>
      <c r="E25" s="1">
        <v>31</v>
      </c>
      <c r="F25" s="1" t="s">
        <v>112</v>
      </c>
      <c r="G25" s="1">
        <v>2682</v>
      </c>
    </row>
    <row r="26" spans="1:10" x14ac:dyDescent="0.3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 t="s">
        <v>112</v>
      </c>
    </row>
    <row r="27" spans="1:10" x14ac:dyDescent="0.3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237</v>
      </c>
      <c r="D27" s="1" t="s">
        <v>112</v>
      </c>
      <c r="E27" s="1" t="s">
        <v>238</v>
      </c>
      <c r="F27" s="1" t="s">
        <v>239</v>
      </c>
      <c r="G27" s="1" t="s">
        <v>240</v>
      </c>
      <c r="H27" s="1" t="s">
        <v>241</v>
      </c>
      <c r="I27" s="1" t="s">
        <v>242</v>
      </c>
      <c r="J27" s="1" t="s">
        <v>243</v>
      </c>
    </row>
    <row r="28" spans="1:10" x14ac:dyDescent="0.35">
      <c r="A28" s="1" t="str">
        <f t="shared" si="0"/>
        <v>1</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 t="s">
        <v>3118</v>
      </c>
      <c r="D28" s="1" t="s">
        <v>112</v>
      </c>
      <c r="E28" s="1" t="s">
        <v>3119</v>
      </c>
      <c r="F28" s="1" t="s">
        <v>3120</v>
      </c>
      <c r="G28" s="1">
        <v>231576</v>
      </c>
      <c r="H28" s="1" t="s">
        <v>3121</v>
      </c>
      <c r="I28" s="1">
        <v>21</v>
      </c>
      <c r="J28" s="1">
        <v>24</v>
      </c>
    </row>
    <row r="29" spans="1:10" x14ac:dyDescent="0.3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 t="s">
        <v>112</v>
      </c>
    </row>
    <row r="30" spans="1:10" x14ac:dyDescent="0.3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10" x14ac:dyDescent="0.3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10" x14ac:dyDescent="0.3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3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3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249</v>
      </c>
      <c r="D34" s="1" t="s">
        <v>110</v>
      </c>
      <c r="E34" s="1" t="s">
        <v>111</v>
      </c>
      <c r="F34" s="1" t="s">
        <v>112</v>
      </c>
      <c r="G34" s="1" t="s">
        <v>113</v>
      </c>
    </row>
    <row r="35" spans="1:7" x14ac:dyDescent="0.35">
      <c r="A35" s="1" t="str">
        <f t="shared" si="0"/>
        <v>13</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 t="s">
        <v>3122</v>
      </c>
      <c r="D35" s="1" t="s">
        <v>1238</v>
      </c>
      <c r="E35" s="1" t="s">
        <v>3123</v>
      </c>
      <c r="F35" s="1" t="s">
        <v>112</v>
      </c>
      <c r="G35" s="1">
        <v>435518</v>
      </c>
    </row>
    <row r="36" spans="1:7" x14ac:dyDescent="0.35">
      <c r="A36" s="1" t="str">
        <f t="shared" si="0"/>
        <v>13</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3124</v>
      </c>
      <c r="D36" s="1" t="s">
        <v>3125</v>
      </c>
      <c r="E36" s="1" t="s">
        <v>3126</v>
      </c>
      <c r="F36" s="1" t="s">
        <v>112</v>
      </c>
      <c r="G36" s="1">
        <v>494568</v>
      </c>
    </row>
    <row r="37" spans="1:7" x14ac:dyDescent="0.35">
      <c r="A37" s="1" t="str">
        <f t="shared" si="0"/>
        <v>13</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3127</v>
      </c>
      <c r="D37" s="1" t="s">
        <v>543</v>
      </c>
      <c r="E37" s="1" t="s">
        <v>3128</v>
      </c>
      <c r="F37" s="1" t="s">
        <v>112</v>
      </c>
      <c r="G37" s="1">
        <v>336561</v>
      </c>
    </row>
    <row r="38" spans="1:7" x14ac:dyDescent="0.35">
      <c r="A38" s="1" t="str">
        <f t="shared" si="0"/>
        <v>13</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 t="s">
        <v>3129</v>
      </c>
      <c r="D38" s="1" t="s">
        <v>3130</v>
      </c>
      <c r="E38" s="1" t="s">
        <v>3131</v>
      </c>
      <c r="F38" s="1" t="s">
        <v>112</v>
      </c>
      <c r="G38" s="1">
        <v>1963346</v>
      </c>
    </row>
    <row r="39" spans="1:7" x14ac:dyDescent="0.35">
      <c r="A39" s="1" t="str">
        <f t="shared" si="0"/>
        <v>13</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3132</v>
      </c>
    </row>
    <row r="40" spans="1:7" x14ac:dyDescent="0.35">
      <c r="A40" s="1" t="str">
        <f t="shared" si="0"/>
        <v>13</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3133</v>
      </c>
      <c r="D40" s="1" t="s">
        <v>254</v>
      </c>
      <c r="E40" s="1" t="s">
        <v>3134</v>
      </c>
      <c r="F40" s="1" t="s">
        <v>112</v>
      </c>
      <c r="G40" s="1">
        <v>1445072</v>
      </c>
    </row>
    <row r="41" spans="1:7" x14ac:dyDescent="0.35">
      <c r="A41" s="1" t="str">
        <f t="shared" si="0"/>
        <v>13</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 t="s">
        <v>3135</v>
      </c>
      <c r="D41" s="1" t="s">
        <v>3136</v>
      </c>
      <c r="E41" s="1" t="s">
        <v>3137</v>
      </c>
      <c r="F41" s="1" t="s">
        <v>112</v>
      </c>
      <c r="G41" s="1">
        <v>1262991</v>
      </c>
    </row>
    <row r="42" spans="1:7" x14ac:dyDescent="0.35">
      <c r="A42" s="1" t="str">
        <f t="shared" si="0"/>
        <v>13</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3138</v>
      </c>
      <c r="D42" s="1" t="s">
        <v>3139</v>
      </c>
      <c r="E42" s="1" t="s">
        <v>3140</v>
      </c>
      <c r="F42" s="1" t="s">
        <v>112</v>
      </c>
      <c r="G42" s="1">
        <v>1138273</v>
      </c>
    </row>
    <row r="43" spans="1:7" x14ac:dyDescent="0.35">
      <c r="A43" s="1" t="str">
        <f t="shared" si="0"/>
        <v>13</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3141</v>
      </c>
      <c r="D43" s="1" t="s">
        <v>3142</v>
      </c>
      <c r="E43" s="1" t="s">
        <v>3143</v>
      </c>
      <c r="F43" s="1" t="s">
        <v>112</v>
      </c>
      <c r="G43" s="1">
        <v>1650491</v>
      </c>
    </row>
    <row r="44" spans="1:7" x14ac:dyDescent="0.35">
      <c r="A44" s="1" t="str">
        <f t="shared" si="0"/>
        <v>13</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 t="s">
        <v>3144</v>
      </c>
      <c r="D44" s="1" t="s">
        <v>3145</v>
      </c>
      <c r="E44" s="1" t="s">
        <v>3146</v>
      </c>
      <c r="F44" s="1" t="s">
        <v>112</v>
      </c>
      <c r="G44" s="1">
        <v>3642561</v>
      </c>
    </row>
    <row r="45" spans="1:7" x14ac:dyDescent="0.35">
      <c r="A45" s="1" t="str">
        <f t="shared" si="0"/>
        <v>13</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3147</v>
      </c>
      <c r="D45" s="1" t="s">
        <v>3148</v>
      </c>
      <c r="E45" s="1" t="s">
        <v>3149</v>
      </c>
      <c r="F45" s="1" t="s">
        <v>112</v>
      </c>
      <c r="G45" s="1">
        <v>3421352</v>
      </c>
    </row>
    <row r="46" spans="1:7" x14ac:dyDescent="0.35">
      <c r="A46" s="1" t="str">
        <f t="shared" si="0"/>
        <v>13</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3150</v>
      </c>
      <c r="D46" s="1" t="s">
        <v>3151</v>
      </c>
      <c r="E46" s="1" t="s">
        <v>3152</v>
      </c>
      <c r="F46" s="1" t="s">
        <v>112</v>
      </c>
      <c r="G46" s="1">
        <v>3129932</v>
      </c>
    </row>
    <row r="47" spans="1:7" x14ac:dyDescent="0.35">
      <c r="A47" s="1" t="str">
        <f t="shared" si="0"/>
        <v>13</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 t="s">
        <v>3153</v>
      </c>
      <c r="D47" s="1" t="s">
        <v>978</v>
      </c>
      <c r="E47" s="1" t="s">
        <v>3154</v>
      </c>
      <c r="F47" s="1" t="s">
        <v>112</v>
      </c>
      <c r="G47" s="1">
        <v>1038862</v>
      </c>
    </row>
    <row r="48" spans="1:7" x14ac:dyDescent="0.35">
      <c r="A48" s="1" t="str">
        <f t="shared" si="0"/>
        <v>13</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3155</v>
      </c>
      <c r="D48" s="1" t="s">
        <v>1880</v>
      </c>
      <c r="E48" s="1" t="s">
        <v>3156</v>
      </c>
      <c r="F48" s="1" t="s">
        <v>112</v>
      </c>
      <c r="G48" s="1">
        <v>738380</v>
      </c>
    </row>
    <row r="49" spans="1:10" x14ac:dyDescent="0.35">
      <c r="A49" s="1" t="str">
        <f t="shared" si="0"/>
        <v>13</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3157</v>
      </c>
      <c r="D49" s="1" t="s">
        <v>3158</v>
      </c>
      <c r="E49" s="1" t="s">
        <v>3159</v>
      </c>
      <c r="F49" s="1" t="s">
        <v>112</v>
      </c>
      <c r="G49" s="1">
        <v>731588</v>
      </c>
    </row>
    <row r="50" spans="1:10" x14ac:dyDescent="0.35">
      <c r="A50" s="1" t="str">
        <f t="shared" si="0"/>
        <v>13</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 t="s">
        <v>3160</v>
      </c>
      <c r="D50" s="1" t="s">
        <v>3161</v>
      </c>
      <c r="E50" s="1" t="s">
        <v>3162</v>
      </c>
      <c r="F50" s="1" t="s">
        <v>112</v>
      </c>
      <c r="G50" s="1">
        <v>1408106</v>
      </c>
    </row>
    <row r="51" spans="1:10" x14ac:dyDescent="0.35">
      <c r="A51" s="1" t="str">
        <f t="shared" si="0"/>
        <v>13</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3163</v>
      </c>
      <c r="D51" s="1" t="s">
        <v>1079</v>
      </c>
      <c r="E51" s="1" t="s">
        <v>3164</v>
      </c>
      <c r="F51" s="1" t="s">
        <v>112</v>
      </c>
      <c r="G51" s="1">
        <v>1532024</v>
      </c>
    </row>
    <row r="52" spans="1:10" x14ac:dyDescent="0.35">
      <c r="A52" s="1" t="str">
        <f t="shared" si="0"/>
        <v>13</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3165</v>
      </c>
      <c r="D52" s="1" t="s">
        <v>1308</v>
      </c>
      <c r="E52" s="1" t="s">
        <v>3166</v>
      </c>
      <c r="F52" s="1" t="s">
        <v>112</v>
      </c>
      <c r="G52" s="1">
        <v>1416974</v>
      </c>
    </row>
    <row r="53" spans="1:10" x14ac:dyDescent="0.35">
      <c r="A53" s="1" t="str">
        <f t="shared" si="0"/>
        <v>13</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 t="s">
        <v>3167</v>
      </c>
      <c r="D53" s="1" t="s">
        <v>3168</v>
      </c>
      <c r="E53" s="1" t="s">
        <v>3169</v>
      </c>
      <c r="F53" s="1" t="s">
        <v>112</v>
      </c>
      <c r="G53" s="1">
        <v>1897526</v>
      </c>
    </row>
    <row r="54" spans="1:10" x14ac:dyDescent="0.35">
      <c r="A54" s="1" t="str">
        <f t="shared" si="0"/>
        <v>13</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3170</v>
      </c>
      <c r="D54" s="1" t="s">
        <v>3171</v>
      </c>
      <c r="E54" s="1" t="s">
        <v>3172</v>
      </c>
      <c r="F54" s="1" t="s">
        <v>112</v>
      </c>
      <c r="G54" s="1">
        <v>1440335</v>
      </c>
    </row>
    <row r="55" spans="1:10" x14ac:dyDescent="0.35">
      <c r="A55" s="1" t="str">
        <f t="shared" si="0"/>
        <v>13</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3173</v>
      </c>
      <c r="D55" s="1" t="s">
        <v>3174</v>
      </c>
      <c r="E55" s="1" t="s">
        <v>3175</v>
      </c>
      <c r="F55" s="1" t="s">
        <v>112</v>
      </c>
      <c r="G55" s="1">
        <v>1855715</v>
      </c>
    </row>
    <row r="56" spans="1:10" x14ac:dyDescent="0.35">
      <c r="A56" s="1" t="str">
        <f t="shared" si="0"/>
        <v>13</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 t="s">
        <v>3176</v>
      </c>
      <c r="D56" s="1" t="s">
        <v>3177</v>
      </c>
      <c r="E56" s="1" t="s">
        <v>3178</v>
      </c>
      <c r="F56" s="1" t="s">
        <v>112</v>
      </c>
      <c r="G56" s="1">
        <v>3547692</v>
      </c>
    </row>
    <row r="57" spans="1:10" x14ac:dyDescent="0.35">
      <c r="A57" s="1" t="str">
        <f t="shared" si="0"/>
        <v>13</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3179</v>
      </c>
      <c r="D57" s="1" t="s">
        <v>3180</v>
      </c>
      <c r="E57" s="1" t="s">
        <v>3181</v>
      </c>
      <c r="F57" s="1" t="s">
        <v>112</v>
      </c>
      <c r="G57" s="1">
        <v>3177085</v>
      </c>
    </row>
    <row r="58" spans="1:10" x14ac:dyDescent="0.35">
      <c r="A58" s="1" t="str">
        <f t="shared" si="0"/>
        <v>13</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3182</v>
      </c>
      <c r="D58" s="1" t="s">
        <v>3183</v>
      </c>
      <c r="E58" s="1" t="s">
        <v>3184</v>
      </c>
      <c r="F58" s="1" t="s">
        <v>112</v>
      </c>
      <c r="G58" s="1">
        <v>3116500</v>
      </c>
    </row>
    <row r="59" spans="1:10" x14ac:dyDescent="0.3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 t="s">
        <v>112</v>
      </c>
    </row>
    <row r="60" spans="1:10" x14ac:dyDescent="0.3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237</v>
      </c>
      <c r="D60" s="1" t="s">
        <v>112</v>
      </c>
      <c r="E60" s="1" t="s">
        <v>238</v>
      </c>
      <c r="F60" s="1" t="s">
        <v>239</v>
      </c>
      <c r="G60" s="1" t="s">
        <v>240</v>
      </c>
      <c r="H60" s="1" t="s">
        <v>241</v>
      </c>
      <c r="I60" s="1" t="s">
        <v>242</v>
      </c>
      <c r="J60" s="1" t="s">
        <v>243</v>
      </c>
    </row>
    <row r="61" spans="1:10" x14ac:dyDescent="0.35">
      <c r="A61" s="1" t="str">
        <f t="shared" si="0"/>
        <v>13</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 t="s">
        <v>3185</v>
      </c>
      <c r="D61" s="1" t="s">
        <v>112</v>
      </c>
      <c r="E61" s="1" t="s">
        <v>3186</v>
      </c>
      <c r="F61" s="1" t="s">
        <v>3187</v>
      </c>
      <c r="G61" s="1" t="s">
        <v>3188</v>
      </c>
      <c r="H61" s="1" t="s">
        <v>3189</v>
      </c>
      <c r="I61" s="1">
        <v>24</v>
      </c>
      <c r="J61" s="1">
        <v>24</v>
      </c>
    </row>
    <row r="62" spans="1:10" x14ac:dyDescent="0.3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 t="s">
        <v>112</v>
      </c>
    </row>
    <row r="63" spans="1:10" x14ac:dyDescent="0.3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10" x14ac:dyDescent="0.3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3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3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3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249</v>
      </c>
      <c r="D67" s="1" t="s">
        <v>110</v>
      </c>
      <c r="E67" s="1" t="s">
        <v>111</v>
      </c>
      <c r="F67" s="1" t="s">
        <v>112</v>
      </c>
      <c r="G67" s="1" t="s">
        <v>113</v>
      </c>
    </row>
    <row r="68" spans="1:7" x14ac:dyDescent="0.35">
      <c r="A68" s="1" t="str">
        <f t="shared" si="1"/>
        <v>14</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 t="s">
        <v>3190</v>
      </c>
      <c r="D68" s="1" t="s">
        <v>3191</v>
      </c>
      <c r="E68" s="1" t="s">
        <v>3192</v>
      </c>
      <c r="F68" s="1" t="s">
        <v>112</v>
      </c>
      <c r="G68" s="1">
        <v>625190</v>
      </c>
    </row>
    <row r="69" spans="1:7" x14ac:dyDescent="0.35">
      <c r="A69" s="1" t="str">
        <f t="shared" si="1"/>
        <v>14</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3193</v>
      </c>
      <c r="D69" s="1" t="s">
        <v>3194</v>
      </c>
      <c r="E69" s="1" t="s">
        <v>3195</v>
      </c>
      <c r="F69" s="1" t="s">
        <v>112</v>
      </c>
      <c r="G69" s="1">
        <v>901318</v>
      </c>
    </row>
    <row r="70" spans="1:7" x14ac:dyDescent="0.35">
      <c r="A70" s="1" t="str">
        <f t="shared" si="1"/>
        <v>14</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3196</v>
      </c>
      <c r="D70" s="1" t="s">
        <v>3197</v>
      </c>
      <c r="E70" s="1" t="s">
        <v>3198</v>
      </c>
      <c r="F70" s="1" t="s">
        <v>112</v>
      </c>
      <c r="G70" s="1">
        <v>1064429</v>
      </c>
    </row>
    <row r="71" spans="1:7" x14ac:dyDescent="0.35">
      <c r="A71" s="1" t="str">
        <f t="shared" si="1"/>
        <v>14</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 t="s">
        <v>3199</v>
      </c>
      <c r="D71" s="1" t="s">
        <v>3200</v>
      </c>
      <c r="E71" s="1" t="s">
        <v>3201</v>
      </c>
      <c r="F71" s="1" t="s">
        <v>112</v>
      </c>
      <c r="G71" s="1">
        <v>2136579</v>
      </c>
    </row>
    <row r="72" spans="1:7" x14ac:dyDescent="0.35">
      <c r="A72" s="1" t="str">
        <f t="shared" si="1"/>
        <v>14</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3202</v>
      </c>
      <c r="D72" s="1" t="s">
        <v>3203</v>
      </c>
      <c r="E72" s="1" t="s">
        <v>3204</v>
      </c>
      <c r="F72" s="1" t="s">
        <v>112</v>
      </c>
      <c r="G72" s="1">
        <v>2674688</v>
      </c>
    </row>
    <row r="73" spans="1:7" x14ac:dyDescent="0.35">
      <c r="A73" s="1" t="str">
        <f t="shared" si="1"/>
        <v>14</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3205</v>
      </c>
      <c r="D73" s="1" t="s">
        <v>2557</v>
      </c>
      <c r="E73" s="1" t="s">
        <v>3206</v>
      </c>
      <c r="F73" s="1" t="s">
        <v>112</v>
      </c>
      <c r="G73" s="1">
        <v>2075994</v>
      </c>
    </row>
    <row r="74" spans="1:7" x14ac:dyDescent="0.35">
      <c r="A74" s="1" t="str">
        <f t="shared" si="1"/>
        <v>14</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 t="s">
        <v>3207</v>
      </c>
      <c r="D74" s="1" t="s">
        <v>3208</v>
      </c>
      <c r="E74" s="1" t="s">
        <v>3209</v>
      </c>
      <c r="F74" s="1" t="s">
        <v>112</v>
      </c>
      <c r="G74" s="1">
        <v>2069419</v>
      </c>
    </row>
    <row r="75" spans="1:7" x14ac:dyDescent="0.35">
      <c r="A75" s="1" t="str">
        <f t="shared" si="1"/>
        <v>14</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3210</v>
      </c>
      <c r="D75" s="1" t="s">
        <v>3211</v>
      </c>
      <c r="E75" s="1" t="s">
        <v>3212</v>
      </c>
      <c r="F75" s="1" t="s">
        <v>112</v>
      </c>
      <c r="G75" s="1">
        <v>2140603</v>
      </c>
    </row>
    <row r="76" spans="1:7" x14ac:dyDescent="0.35">
      <c r="A76" s="1" t="str">
        <f t="shared" si="1"/>
        <v>14</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3213</v>
      </c>
      <c r="D76" s="1" t="s">
        <v>3214</v>
      </c>
      <c r="E76" s="1" t="s">
        <v>3215</v>
      </c>
      <c r="F76" s="1" t="s">
        <v>112</v>
      </c>
      <c r="G76" s="1">
        <v>2422202</v>
      </c>
    </row>
    <row r="77" spans="1:7" x14ac:dyDescent="0.35">
      <c r="A77" s="1" t="str">
        <f t="shared" si="1"/>
        <v>14</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 t="s">
        <v>3216</v>
      </c>
    </row>
    <row r="78" spans="1:7" x14ac:dyDescent="0.35">
      <c r="A78" s="1" t="str">
        <f t="shared" si="1"/>
        <v>14</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3217</v>
      </c>
      <c r="D78" s="1" t="s">
        <v>3218</v>
      </c>
      <c r="E78" s="1" t="s">
        <v>3219</v>
      </c>
      <c r="F78" s="1" t="s">
        <v>112</v>
      </c>
      <c r="G78" s="1">
        <v>4113335</v>
      </c>
    </row>
    <row r="79" spans="1:7" x14ac:dyDescent="0.35">
      <c r="A79" s="1" t="str">
        <f t="shared" si="1"/>
        <v>14</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3220</v>
      </c>
      <c r="D79" s="1" t="s">
        <v>3221</v>
      </c>
      <c r="E79" s="1" t="s">
        <v>3222</v>
      </c>
      <c r="F79" s="1" t="s">
        <v>112</v>
      </c>
      <c r="G79" s="1">
        <v>4336578</v>
      </c>
    </row>
    <row r="80" spans="1:7" x14ac:dyDescent="0.35">
      <c r="A80" s="1" t="str">
        <f t="shared" si="1"/>
        <v>14</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 t="s">
        <v>3223</v>
      </c>
      <c r="D80" s="1" t="s">
        <v>3224</v>
      </c>
      <c r="E80" s="1" t="s">
        <v>3225</v>
      </c>
      <c r="F80" s="1" t="s">
        <v>112</v>
      </c>
      <c r="G80" s="1">
        <v>2753897</v>
      </c>
    </row>
    <row r="81" spans="1:10" x14ac:dyDescent="0.35">
      <c r="A81" s="1" t="str">
        <f t="shared" si="1"/>
        <v>14</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3226</v>
      </c>
      <c r="D81" s="1" t="s">
        <v>3227</v>
      </c>
      <c r="E81" s="1" t="s">
        <v>3228</v>
      </c>
      <c r="F81" s="1" t="s">
        <v>112</v>
      </c>
      <c r="G81" s="1">
        <v>2156565</v>
      </c>
    </row>
    <row r="82" spans="1:10" x14ac:dyDescent="0.35">
      <c r="A82" s="1" t="str">
        <f t="shared" si="1"/>
        <v>14</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3229</v>
      </c>
      <c r="D82" s="1" t="s">
        <v>3230</v>
      </c>
      <c r="E82" s="1" t="s">
        <v>3231</v>
      </c>
      <c r="F82" s="1" t="s">
        <v>112</v>
      </c>
      <c r="G82" s="1">
        <v>1537388</v>
      </c>
    </row>
    <row r="83" spans="1:10" x14ac:dyDescent="0.35">
      <c r="A83" s="1" t="str">
        <f t="shared" si="1"/>
        <v>14</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 t="s">
        <v>3232</v>
      </c>
      <c r="D83" s="1" t="s">
        <v>3233</v>
      </c>
      <c r="E83" s="1" t="s">
        <v>3234</v>
      </c>
      <c r="F83" s="1" t="s">
        <v>112</v>
      </c>
      <c r="G83" s="1">
        <v>1844165</v>
      </c>
    </row>
    <row r="84" spans="1:10" x14ac:dyDescent="0.35">
      <c r="A84" s="1" t="str">
        <f t="shared" si="1"/>
        <v>14</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3235</v>
      </c>
      <c r="D84" s="1" t="s">
        <v>3236</v>
      </c>
      <c r="E84" s="1" t="s">
        <v>3237</v>
      </c>
      <c r="F84" s="1" t="s">
        <v>112</v>
      </c>
      <c r="G84" s="1">
        <v>2102209</v>
      </c>
    </row>
    <row r="85" spans="1:10" x14ac:dyDescent="0.35">
      <c r="A85" s="1" t="str">
        <f t="shared" si="1"/>
        <v>14</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3238</v>
      </c>
      <c r="D85" s="1" t="s">
        <v>3239</v>
      </c>
      <c r="E85" s="1" t="s">
        <v>3240</v>
      </c>
      <c r="F85" s="1" t="s">
        <v>112</v>
      </c>
      <c r="G85" s="1">
        <v>1875485</v>
      </c>
    </row>
    <row r="86" spans="1:10" x14ac:dyDescent="0.35">
      <c r="A86" s="1" t="str">
        <f t="shared" si="1"/>
        <v>14</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 t="s">
        <v>3241</v>
      </c>
      <c r="D86" s="1" t="s">
        <v>1839</v>
      </c>
      <c r="E86" s="1" t="s">
        <v>3242</v>
      </c>
      <c r="F86" s="1" t="s">
        <v>112</v>
      </c>
      <c r="G86" s="1">
        <v>1587115</v>
      </c>
    </row>
    <row r="87" spans="1:10" x14ac:dyDescent="0.35">
      <c r="A87" s="1" t="str">
        <f t="shared" si="1"/>
        <v>14</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3243</v>
      </c>
      <c r="D87" s="1" t="s">
        <v>3244</v>
      </c>
      <c r="E87" s="1" t="s">
        <v>3245</v>
      </c>
      <c r="F87" s="1" t="s">
        <v>112</v>
      </c>
      <c r="G87" s="1">
        <v>1698790</v>
      </c>
    </row>
    <row r="88" spans="1:10" x14ac:dyDescent="0.35">
      <c r="A88" s="1" t="str">
        <f t="shared" si="1"/>
        <v>14</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3246</v>
      </c>
      <c r="D88" s="1" t="s">
        <v>3247</v>
      </c>
      <c r="E88" s="1" t="s">
        <v>3248</v>
      </c>
      <c r="F88" s="1" t="s">
        <v>112</v>
      </c>
      <c r="G88" s="1">
        <v>1801511</v>
      </c>
    </row>
    <row r="89" spans="1:10" x14ac:dyDescent="0.35">
      <c r="A89" s="1" t="str">
        <f t="shared" si="1"/>
        <v>14</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 t="s">
        <v>3249</v>
      </c>
      <c r="D89" s="1" t="s">
        <v>3250</v>
      </c>
      <c r="E89" s="1" t="s">
        <v>3251</v>
      </c>
      <c r="F89" s="1" t="s">
        <v>112</v>
      </c>
      <c r="G89" s="1">
        <v>451784</v>
      </c>
    </row>
    <row r="90" spans="1:10" x14ac:dyDescent="0.35">
      <c r="A90" s="1" t="str">
        <f t="shared" si="1"/>
        <v>14</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3252</v>
      </c>
      <c r="D90" s="1" t="s">
        <v>3253</v>
      </c>
      <c r="E90" s="1" t="s">
        <v>3254</v>
      </c>
      <c r="F90" s="1" t="s">
        <v>112</v>
      </c>
      <c r="G90" s="1">
        <v>371688</v>
      </c>
    </row>
    <row r="91" spans="1:10" x14ac:dyDescent="0.35">
      <c r="A91" s="1" t="str">
        <f t="shared" si="1"/>
        <v>14</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3255</v>
      </c>
      <c r="D91" s="1" t="s">
        <v>3256</v>
      </c>
      <c r="E91" s="1" t="s">
        <v>3257</v>
      </c>
      <c r="F91" s="1" t="s">
        <v>112</v>
      </c>
      <c r="G91" s="1">
        <v>347008</v>
      </c>
    </row>
    <row r="92" spans="1:10" x14ac:dyDescent="0.3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 t="s">
        <v>112</v>
      </c>
    </row>
    <row r="93" spans="1:10" x14ac:dyDescent="0.3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237</v>
      </c>
      <c r="D93" s="1" t="s">
        <v>112</v>
      </c>
      <c r="E93" s="1" t="s">
        <v>238</v>
      </c>
      <c r="F93" s="1" t="s">
        <v>239</v>
      </c>
      <c r="G93" s="1" t="s">
        <v>240</v>
      </c>
      <c r="H93" s="1" t="s">
        <v>241</v>
      </c>
      <c r="I93" s="1" t="s">
        <v>242</v>
      </c>
      <c r="J93" s="1" t="s">
        <v>243</v>
      </c>
    </row>
    <row r="94" spans="1:10" x14ac:dyDescent="0.35">
      <c r="A94" s="1" t="str">
        <f t="shared" si="1"/>
        <v>14</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 t="s">
        <v>3258</v>
      </c>
      <c r="D94" s="1" t="s">
        <v>112</v>
      </c>
      <c r="E94" s="1" t="s">
        <v>3259</v>
      </c>
      <c r="F94" s="1" t="s">
        <v>3260</v>
      </c>
      <c r="G94" s="1" t="s">
        <v>3261</v>
      </c>
      <c r="H94" s="1" t="s">
        <v>3262</v>
      </c>
      <c r="I94" s="1">
        <v>24</v>
      </c>
      <c r="J94" s="1">
        <v>24</v>
      </c>
    </row>
    <row r="95" spans="1:10" x14ac:dyDescent="0.3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 t="s">
        <v>112</v>
      </c>
    </row>
    <row r="96" spans="1:10" x14ac:dyDescent="0.3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3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3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3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3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249</v>
      </c>
      <c r="D100" s="1" t="s">
        <v>110</v>
      </c>
      <c r="E100" s="1" t="s">
        <v>111</v>
      </c>
      <c r="F100" s="1" t="s">
        <v>112</v>
      </c>
      <c r="G100" s="1" t="s">
        <v>113</v>
      </c>
    </row>
    <row r="101" spans="1:7" x14ac:dyDescent="0.35">
      <c r="A101" s="1" t="str">
        <f t="shared" si="1"/>
        <v>15</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 t="s">
        <v>3263</v>
      </c>
      <c r="D101" s="1" t="s">
        <v>3264</v>
      </c>
      <c r="E101" s="1" t="s">
        <v>3265</v>
      </c>
      <c r="F101" s="1" t="s">
        <v>112</v>
      </c>
      <c r="G101" s="1">
        <v>3269597</v>
      </c>
    </row>
    <row r="102" spans="1:7" x14ac:dyDescent="0.35">
      <c r="A102" s="1" t="str">
        <f t="shared" si="1"/>
        <v>15</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3266</v>
      </c>
      <c r="D102" s="1" t="s">
        <v>419</v>
      </c>
      <c r="E102" s="1" t="s">
        <v>3267</v>
      </c>
      <c r="F102" s="1" t="s">
        <v>112</v>
      </c>
      <c r="G102" s="1">
        <v>3341905</v>
      </c>
    </row>
    <row r="103" spans="1:7" x14ac:dyDescent="0.35">
      <c r="A103" s="1" t="str">
        <f t="shared" si="1"/>
        <v>15</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3268</v>
      </c>
      <c r="D103" s="1" t="s">
        <v>3269</v>
      </c>
      <c r="E103" s="1" t="s">
        <v>3270</v>
      </c>
      <c r="F103" s="1" t="s">
        <v>112</v>
      </c>
      <c r="G103" s="1">
        <v>2903662</v>
      </c>
    </row>
    <row r="104" spans="1:7" x14ac:dyDescent="0.35">
      <c r="A104" s="1" t="str">
        <f t="shared" si="1"/>
        <v>15</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 t="s">
        <v>3271</v>
      </c>
      <c r="D104" s="1" t="s">
        <v>3272</v>
      </c>
      <c r="E104" s="1" t="s">
        <v>3273</v>
      </c>
      <c r="F104" s="1" t="s">
        <v>112</v>
      </c>
      <c r="G104" s="1">
        <v>5111231</v>
      </c>
    </row>
    <row r="105" spans="1:7" x14ac:dyDescent="0.35">
      <c r="A105" s="1" t="str">
        <f t="shared" si="1"/>
        <v>15</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3274</v>
      </c>
      <c r="D105" s="1" t="s">
        <v>3275</v>
      </c>
      <c r="E105" s="1" t="s">
        <v>3276</v>
      </c>
      <c r="F105" s="1" t="s">
        <v>112</v>
      </c>
      <c r="G105" s="1">
        <v>4379924</v>
      </c>
    </row>
    <row r="106" spans="1:7" x14ac:dyDescent="0.35">
      <c r="A106" s="1" t="str">
        <f t="shared" si="1"/>
        <v>15</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3277</v>
      </c>
      <c r="D106" s="1" t="s">
        <v>3278</v>
      </c>
      <c r="E106" s="1" t="s">
        <v>3279</v>
      </c>
      <c r="F106" s="1" t="s">
        <v>112</v>
      </c>
      <c r="G106" s="1">
        <v>4623606</v>
      </c>
    </row>
    <row r="107" spans="1:7" x14ac:dyDescent="0.35">
      <c r="A107" s="1" t="str">
        <f t="shared" si="1"/>
        <v>15</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 t="s">
        <v>3280</v>
      </c>
      <c r="D107" s="1" t="s">
        <v>3281</v>
      </c>
      <c r="E107" s="1" t="s">
        <v>3282</v>
      </c>
      <c r="F107" s="1" t="s">
        <v>112</v>
      </c>
      <c r="G107" s="1">
        <v>4513164</v>
      </c>
    </row>
    <row r="108" spans="1:7" x14ac:dyDescent="0.35">
      <c r="A108" s="1" t="str">
        <f t="shared" si="1"/>
        <v>15</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3283</v>
      </c>
      <c r="D108" s="1" t="s">
        <v>3284</v>
      </c>
      <c r="E108" s="1" t="s">
        <v>3285</v>
      </c>
      <c r="F108" s="1" t="s">
        <v>112</v>
      </c>
      <c r="G108" s="1">
        <v>5115146</v>
      </c>
    </row>
    <row r="109" spans="1:7" x14ac:dyDescent="0.35">
      <c r="A109" s="1" t="str">
        <f t="shared" si="1"/>
        <v>15</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3286</v>
      </c>
      <c r="D109" s="1" t="s">
        <v>3287</v>
      </c>
      <c r="E109" s="1" t="s">
        <v>3288</v>
      </c>
      <c r="F109" s="1" t="s">
        <v>112</v>
      </c>
      <c r="G109" s="1">
        <v>4282979</v>
      </c>
    </row>
    <row r="110" spans="1:7" x14ac:dyDescent="0.35">
      <c r="A110" s="1" t="str">
        <f t="shared" si="1"/>
        <v>15</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 t="s">
        <v>3289</v>
      </c>
      <c r="D110" s="1" t="s">
        <v>3290</v>
      </c>
      <c r="E110" s="1" t="s">
        <v>3291</v>
      </c>
      <c r="F110" s="1" t="s">
        <v>112</v>
      </c>
      <c r="G110" s="1">
        <v>3568154</v>
      </c>
    </row>
    <row r="111" spans="1:7" x14ac:dyDescent="0.35">
      <c r="A111" s="1" t="str">
        <f t="shared" si="1"/>
        <v>15</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3292</v>
      </c>
      <c r="D111" s="1" t="s">
        <v>3293</v>
      </c>
      <c r="E111" s="1" t="s">
        <v>3294</v>
      </c>
      <c r="F111" s="1" t="s">
        <v>112</v>
      </c>
      <c r="G111" s="1">
        <v>4190597</v>
      </c>
    </row>
    <row r="112" spans="1:7" x14ac:dyDescent="0.35">
      <c r="A112" s="1" t="str">
        <f t="shared" si="1"/>
        <v>15</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3295</v>
      </c>
      <c r="D112" s="1" t="s">
        <v>3296</v>
      </c>
      <c r="E112" s="1" t="s">
        <v>3297</v>
      </c>
      <c r="F112" s="1" t="s">
        <v>112</v>
      </c>
      <c r="G112" s="1">
        <v>3933094</v>
      </c>
    </row>
    <row r="113" spans="1:10" x14ac:dyDescent="0.35">
      <c r="A113" s="1" t="str">
        <f t="shared" si="1"/>
        <v>15</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 t="s">
        <v>3298</v>
      </c>
      <c r="D113" s="1" t="s">
        <v>953</v>
      </c>
      <c r="E113" s="1" t="s">
        <v>3299</v>
      </c>
      <c r="F113" s="1" t="s">
        <v>112</v>
      </c>
      <c r="G113" s="1">
        <v>4072563</v>
      </c>
    </row>
    <row r="114" spans="1:10" x14ac:dyDescent="0.35">
      <c r="A114" s="1" t="str">
        <f t="shared" si="1"/>
        <v>15</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3300</v>
      </c>
    </row>
    <row r="115" spans="1:10" x14ac:dyDescent="0.35">
      <c r="A115" s="1" t="str">
        <f t="shared" si="1"/>
        <v>15</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3301</v>
      </c>
    </row>
    <row r="116" spans="1:10" x14ac:dyDescent="0.35">
      <c r="A116" s="1" t="str">
        <f t="shared" si="1"/>
        <v>15</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 t="s">
        <v>3302</v>
      </c>
      <c r="D116" s="1" t="s">
        <v>2285</v>
      </c>
      <c r="E116" s="1" t="s">
        <v>3303</v>
      </c>
      <c r="F116" s="1" t="s">
        <v>112</v>
      </c>
      <c r="G116" s="1">
        <v>2348271</v>
      </c>
    </row>
    <row r="117" spans="1:10" x14ac:dyDescent="0.35">
      <c r="A117" s="1" t="str">
        <f t="shared" si="1"/>
        <v>15</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3304</v>
      </c>
      <c r="D117" s="1" t="s">
        <v>3305</v>
      </c>
      <c r="E117" s="1" t="s">
        <v>3306</v>
      </c>
      <c r="F117" s="1" t="s">
        <v>112</v>
      </c>
      <c r="G117" s="1">
        <v>2630606</v>
      </c>
    </row>
    <row r="118" spans="1:10" x14ac:dyDescent="0.35">
      <c r="A118" s="1" t="str">
        <f t="shared" si="1"/>
        <v>15</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3307</v>
      </c>
      <c r="D118" s="1" t="s">
        <v>3308</v>
      </c>
      <c r="E118" s="1" t="s">
        <v>3309</v>
      </c>
      <c r="F118" s="1" t="s">
        <v>112</v>
      </c>
      <c r="G118" s="1">
        <v>2577180</v>
      </c>
    </row>
    <row r="119" spans="1:10" x14ac:dyDescent="0.35">
      <c r="A119" s="1" t="str">
        <f t="shared" si="1"/>
        <v>15</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 t="s">
        <v>3310</v>
      </c>
      <c r="D119" s="1" t="s">
        <v>3311</v>
      </c>
      <c r="E119" s="1" t="s">
        <v>3312</v>
      </c>
      <c r="F119" s="1" t="s">
        <v>112</v>
      </c>
      <c r="G119" s="1">
        <v>3889423</v>
      </c>
    </row>
    <row r="120" spans="1:10" x14ac:dyDescent="0.35">
      <c r="A120" s="1" t="str">
        <f t="shared" si="1"/>
        <v>15</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3313</v>
      </c>
      <c r="D120" s="1" t="s">
        <v>3314</v>
      </c>
      <c r="E120" s="1" t="s">
        <v>3315</v>
      </c>
      <c r="F120" s="1" t="s">
        <v>112</v>
      </c>
      <c r="G120" s="1">
        <v>3933245</v>
      </c>
    </row>
    <row r="121" spans="1:10" x14ac:dyDescent="0.35">
      <c r="A121" s="1" t="str">
        <f t="shared" si="1"/>
        <v>15</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3316</v>
      </c>
    </row>
    <row r="122" spans="1:10" x14ac:dyDescent="0.35">
      <c r="A122" s="1" t="str">
        <f t="shared" si="1"/>
        <v>15</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 t="s">
        <v>3317</v>
      </c>
      <c r="D122" s="1" t="s">
        <v>3318</v>
      </c>
      <c r="E122" s="1" t="s">
        <v>3319</v>
      </c>
      <c r="F122" s="1" t="s">
        <v>112</v>
      </c>
      <c r="G122" s="1">
        <v>4313715</v>
      </c>
    </row>
    <row r="123" spans="1:10" x14ac:dyDescent="0.35">
      <c r="A123" s="1" t="str">
        <f t="shared" si="1"/>
        <v>15</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3320</v>
      </c>
      <c r="D123" s="1" t="s">
        <v>3321</v>
      </c>
      <c r="E123" s="1" t="s">
        <v>3322</v>
      </c>
      <c r="F123" s="1" t="s">
        <v>112</v>
      </c>
      <c r="G123" s="1">
        <v>4268249</v>
      </c>
    </row>
    <row r="124" spans="1:10" x14ac:dyDescent="0.35">
      <c r="A124" s="1" t="str">
        <f t="shared" si="1"/>
        <v>15</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3323</v>
      </c>
      <c r="D124" s="1" t="s">
        <v>2349</v>
      </c>
      <c r="E124" s="1" t="s">
        <v>3324</v>
      </c>
      <c r="F124" s="1" t="s">
        <v>112</v>
      </c>
      <c r="G124" s="1">
        <v>4112968</v>
      </c>
    </row>
    <row r="125" spans="1:10" x14ac:dyDescent="0.3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112</v>
      </c>
    </row>
    <row r="126" spans="1:10" x14ac:dyDescent="0.3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237</v>
      </c>
      <c r="D126" s="1" t="s">
        <v>112</v>
      </c>
      <c r="E126" s="1" t="s">
        <v>238</v>
      </c>
      <c r="F126" s="1" t="s">
        <v>239</v>
      </c>
      <c r="G126" s="1" t="s">
        <v>240</v>
      </c>
      <c r="H126" s="1" t="s">
        <v>241</v>
      </c>
      <c r="I126" s="1" t="s">
        <v>242</v>
      </c>
      <c r="J126" s="1" t="s">
        <v>243</v>
      </c>
    </row>
    <row r="127" spans="1:10" x14ac:dyDescent="0.35">
      <c r="A127" s="1" t="str">
        <f t="shared" si="1"/>
        <v>15</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 t="s">
        <v>3325</v>
      </c>
      <c r="D127" s="1" t="s">
        <v>112</v>
      </c>
      <c r="E127" s="1" t="s">
        <v>3326</v>
      </c>
      <c r="F127" s="1" t="s">
        <v>3327</v>
      </c>
      <c r="G127" s="1" t="s">
        <v>3328</v>
      </c>
      <c r="H127" s="1" t="s">
        <v>3329</v>
      </c>
      <c r="I127" s="1">
        <v>24</v>
      </c>
      <c r="J127" s="1">
        <v>24</v>
      </c>
    </row>
    <row r="128" spans="1:10" x14ac:dyDescent="0.3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 t="s">
        <v>112</v>
      </c>
    </row>
    <row r="129" spans="1:7" x14ac:dyDescent="0.3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3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3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3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3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249</v>
      </c>
      <c r="D133" s="1" t="s">
        <v>110</v>
      </c>
      <c r="E133" s="1" t="s">
        <v>111</v>
      </c>
      <c r="F133" s="1" t="s">
        <v>112</v>
      </c>
      <c r="G133" s="1" t="s">
        <v>113</v>
      </c>
    </row>
    <row r="134" spans="1:7" x14ac:dyDescent="0.35">
      <c r="A134" s="1" t="str">
        <f t="shared" si="2"/>
        <v>16</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 t="s">
        <v>3330</v>
      </c>
    </row>
    <row r="135" spans="1:7" x14ac:dyDescent="0.35">
      <c r="A135" s="1" t="str">
        <f t="shared" si="2"/>
        <v>16</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3331</v>
      </c>
      <c r="D135" s="1" t="s">
        <v>1229</v>
      </c>
      <c r="E135" s="1" t="s">
        <v>3332</v>
      </c>
      <c r="F135" s="1" t="s">
        <v>112</v>
      </c>
      <c r="G135" s="1">
        <v>272082</v>
      </c>
    </row>
    <row r="136" spans="1:7" x14ac:dyDescent="0.35">
      <c r="A136" s="1" t="str">
        <f t="shared" si="2"/>
        <v>16</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3333</v>
      </c>
    </row>
    <row r="137" spans="1:7" x14ac:dyDescent="0.35">
      <c r="A137" s="1" t="str">
        <f t="shared" si="2"/>
        <v>16</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 t="s">
        <v>3334</v>
      </c>
      <c r="D137" s="1" t="s">
        <v>589</v>
      </c>
      <c r="E137" s="1" t="s">
        <v>3335</v>
      </c>
      <c r="F137" s="1" t="s">
        <v>112</v>
      </c>
      <c r="G137" s="1">
        <v>170487</v>
      </c>
    </row>
    <row r="138" spans="1:7" x14ac:dyDescent="0.35">
      <c r="A138" s="1" t="str">
        <f t="shared" si="2"/>
        <v>16</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3336</v>
      </c>
      <c r="D138" s="1" t="s">
        <v>149</v>
      </c>
      <c r="E138" s="1" t="s">
        <v>3337</v>
      </c>
      <c r="F138" s="1" t="s">
        <v>112</v>
      </c>
      <c r="G138" s="1">
        <v>186904</v>
      </c>
    </row>
    <row r="139" spans="1:7" x14ac:dyDescent="0.35">
      <c r="A139" s="1" t="str">
        <f t="shared" si="2"/>
        <v>16</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3338</v>
      </c>
      <c r="D139" s="1" t="s">
        <v>722</v>
      </c>
      <c r="E139" s="1" t="s">
        <v>3339</v>
      </c>
      <c r="F139" s="1" t="s">
        <v>112</v>
      </c>
      <c r="G139" s="1">
        <v>249263</v>
      </c>
    </row>
    <row r="140" spans="1:7" x14ac:dyDescent="0.35">
      <c r="A140" s="1" t="str">
        <f t="shared" si="2"/>
        <v>16</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 t="s">
        <v>3340</v>
      </c>
      <c r="D140" s="1" t="s">
        <v>3341</v>
      </c>
      <c r="E140" s="1" t="s">
        <v>3342</v>
      </c>
      <c r="F140" s="1" t="s">
        <v>112</v>
      </c>
      <c r="G140" s="1">
        <v>120197</v>
      </c>
    </row>
    <row r="141" spans="1:7" x14ac:dyDescent="0.35">
      <c r="A141" s="1" t="str">
        <f t="shared" si="2"/>
        <v>16</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3343</v>
      </c>
      <c r="D141" s="1" t="s">
        <v>3115</v>
      </c>
      <c r="E141" s="1" t="s">
        <v>3344</v>
      </c>
      <c r="F141" s="1" t="s">
        <v>112</v>
      </c>
      <c r="G141" s="1">
        <v>271152</v>
      </c>
    </row>
    <row r="142" spans="1:7" x14ac:dyDescent="0.35">
      <c r="A142" s="1" t="str">
        <f t="shared" si="2"/>
        <v>16</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3345</v>
      </c>
      <c r="D142" s="1" t="s">
        <v>1854</v>
      </c>
      <c r="E142" s="1" t="s">
        <v>3346</v>
      </c>
      <c r="F142" s="1" t="s">
        <v>112</v>
      </c>
      <c r="G142" s="1">
        <v>72612</v>
      </c>
    </row>
    <row r="143" spans="1:7" x14ac:dyDescent="0.35">
      <c r="A143" s="1" t="str">
        <f t="shared" si="2"/>
        <v>16</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 t="s">
        <v>3347</v>
      </c>
      <c r="D143" s="1" t="s">
        <v>648</v>
      </c>
      <c r="E143" s="1" t="s">
        <v>3348</v>
      </c>
      <c r="F143" s="1" t="s">
        <v>112</v>
      </c>
      <c r="G143" s="1">
        <v>102374</v>
      </c>
    </row>
    <row r="144" spans="1:7" x14ac:dyDescent="0.35">
      <c r="A144" s="1" t="str">
        <f t="shared" si="2"/>
        <v>16</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3349</v>
      </c>
      <c r="D144" s="1">
        <v>0</v>
      </c>
      <c r="E144" s="1">
        <v>0</v>
      </c>
      <c r="F144" s="1" t="s">
        <v>112</v>
      </c>
      <c r="G144" s="1">
        <v>0</v>
      </c>
    </row>
    <row r="145" spans="1:10" x14ac:dyDescent="0.35">
      <c r="A145" s="1" t="str">
        <f t="shared" si="2"/>
        <v>16</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3350</v>
      </c>
      <c r="D145" s="1" t="s">
        <v>3351</v>
      </c>
      <c r="E145" s="1" t="s">
        <v>3352</v>
      </c>
      <c r="F145" s="1" t="s">
        <v>112</v>
      </c>
      <c r="G145" s="1">
        <v>101877</v>
      </c>
    </row>
    <row r="146" spans="1:10" x14ac:dyDescent="0.35">
      <c r="A146" s="1" t="str">
        <f t="shared" si="2"/>
        <v>16</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 t="s">
        <v>3353</v>
      </c>
      <c r="D146" s="1" t="s">
        <v>3354</v>
      </c>
      <c r="E146" s="1" t="s">
        <v>3355</v>
      </c>
      <c r="F146" s="1" t="s">
        <v>112</v>
      </c>
      <c r="G146" s="1">
        <v>40945</v>
      </c>
    </row>
    <row r="147" spans="1:10" x14ac:dyDescent="0.35">
      <c r="A147" s="1" t="str">
        <f t="shared" si="2"/>
        <v>16</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3356</v>
      </c>
    </row>
    <row r="148" spans="1:10" x14ac:dyDescent="0.35">
      <c r="A148" s="1" t="str">
        <f t="shared" si="2"/>
        <v>16</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3357</v>
      </c>
      <c r="D148" s="1" t="s">
        <v>1710</v>
      </c>
      <c r="E148" s="1" t="s">
        <v>3358</v>
      </c>
      <c r="F148" s="1" t="s">
        <v>112</v>
      </c>
      <c r="G148" s="1">
        <v>14795</v>
      </c>
    </row>
    <row r="149" spans="1:10" x14ac:dyDescent="0.35">
      <c r="A149" s="1" t="str">
        <f t="shared" si="2"/>
        <v>16</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3359</v>
      </c>
      <c r="D149" s="1" t="s">
        <v>1995</v>
      </c>
      <c r="E149" s="1" t="s">
        <v>3360</v>
      </c>
      <c r="F149" s="1" t="s">
        <v>112</v>
      </c>
      <c r="G149" s="1">
        <v>59936</v>
      </c>
    </row>
    <row r="150" spans="1:10" x14ac:dyDescent="0.35">
      <c r="A150" s="1" t="str">
        <f t="shared" si="2"/>
        <v>16</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3361</v>
      </c>
      <c r="D150" s="1" t="s">
        <v>3362</v>
      </c>
      <c r="E150" s="1" t="s">
        <v>3363</v>
      </c>
      <c r="F150" s="1" t="s">
        <v>112</v>
      </c>
      <c r="G150" s="1">
        <v>180458</v>
      </c>
    </row>
    <row r="151" spans="1:10" x14ac:dyDescent="0.35">
      <c r="A151" s="1" t="str">
        <f t="shared" si="2"/>
        <v>16</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3364</v>
      </c>
      <c r="D151" s="1" t="s">
        <v>3365</v>
      </c>
      <c r="E151" s="1" t="s">
        <v>3366</v>
      </c>
      <c r="F151" s="1" t="s">
        <v>112</v>
      </c>
      <c r="G151" s="1">
        <v>128265</v>
      </c>
    </row>
    <row r="152" spans="1:10" x14ac:dyDescent="0.35">
      <c r="A152" s="1" t="str">
        <f t="shared" si="2"/>
        <v>16</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3367</v>
      </c>
      <c r="D152" s="1">
        <v>0</v>
      </c>
      <c r="E152" s="1">
        <v>0</v>
      </c>
      <c r="F152" s="1" t="s">
        <v>112</v>
      </c>
      <c r="G152" s="1">
        <v>0</v>
      </c>
    </row>
    <row r="153" spans="1:10" x14ac:dyDescent="0.35">
      <c r="A153" s="1" t="str">
        <f t="shared" si="2"/>
        <v>16</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3368</v>
      </c>
      <c r="D153" s="1">
        <v>0</v>
      </c>
      <c r="E153" s="1">
        <v>0</v>
      </c>
      <c r="F153" s="1" t="s">
        <v>112</v>
      </c>
      <c r="G153" s="1">
        <v>0</v>
      </c>
    </row>
    <row r="154" spans="1:10" x14ac:dyDescent="0.35">
      <c r="A154" s="1" t="str">
        <f t="shared" si="2"/>
        <v>16</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3369</v>
      </c>
      <c r="D154" s="1" t="s">
        <v>375</v>
      </c>
      <c r="E154" s="1" t="s">
        <v>3370</v>
      </c>
      <c r="F154" s="1" t="s">
        <v>112</v>
      </c>
      <c r="G154" s="1">
        <v>171741</v>
      </c>
    </row>
    <row r="155" spans="1:10" x14ac:dyDescent="0.35">
      <c r="A155" s="1" t="str">
        <f t="shared" si="2"/>
        <v>16</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3371</v>
      </c>
      <c r="D155" s="1" t="s">
        <v>3372</v>
      </c>
      <c r="E155" s="1" t="s">
        <v>3373</v>
      </c>
      <c r="F155" s="1" t="s">
        <v>112</v>
      </c>
      <c r="G155" s="1">
        <v>350685</v>
      </c>
    </row>
    <row r="156" spans="1:10" x14ac:dyDescent="0.35">
      <c r="A156" s="1" t="str">
        <f t="shared" si="2"/>
        <v>16</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3374</v>
      </c>
      <c r="D156" s="1" t="s">
        <v>496</v>
      </c>
      <c r="E156" s="1" t="s">
        <v>3375</v>
      </c>
      <c r="F156" s="1" t="s">
        <v>112</v>
      </c>
      <c r="G156" s="1">
        <v>53534</v>
      </c>
    </row>
    <row r="157" spans="1:10" x14ac:dyDescent="0.35">
      <c r="A157" s="1" t="str">
        <f t="shared" si="2"/>
        <v>16</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3376</v>
      </c>
    </row>
    <row r="158" spans="1:10" x14ac:dyDescent="0.3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112</v>
      </c>
    </row>
    <row r="159" spans="1:10" x14ac:dyDescent="0.3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237</v>
      </c>
      <c r="D159" s="1" t="s">
        <v>112</v>
      </c>
      <c r="E159" s="1" t="s">
        <v>238</v>
      </c>
      <c r="F159" s="1" t="s">
        <v>239</v>
      </c>
      <c r="G159" s="1" t="s">
        <v>240</v>
      </c>
      <c r="H159" s="1" t="s">
        <v>241</v>
      </c>
      <c r="I159" s="1" t="s">
        <v>242</v>
      </c>
      <c r="J159" s="1" t="s">
        <v>243</v>
      </c>
    </row>
    <row r="160" spans="1:10" x14ac:dyDescent="0.35">
      <c r="A160" s="1" t="str">
        <f t="shared" si="2"/>
        <v>16</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3377</v>
      </c>
      <c r="D160" s="1" t="s">
        <v>112</v>
      </c>
      <c r="E160" s="1" t="s">
        <v>3378</v>
      </c>
      <c r="F160" s="1" t="s">
        <v>3379</v>
      </c>
      <c r="G160" s="1" t="s">
        <v>3380</v>
      </c>
      <c r="H160" s="1" t="s">
        <v>3381</v>
      </c>
      <c r="I160" s="1">
        <v>20</v>
      </c>
      <c r="J160" s="1">
        <v>24</v>
      </c>
    </row>
    <row r="161" spans="1:7" x14ac:dyDescent="0.3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3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3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3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3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3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249</v>
      </c>
      <c r="D166" s="1" t="s">
        <v>110</v>
      </c>
      <c r="E166" s="1" t="s">
        <v>111</v>
      </c>
      <c r="F166" s="1" t="s">
        <v>112</v>
      </c>
      <c r="G166" s="1" t="s">
        <v>113</v>
      </c>
    </row>
    <row r="167" spans="1:7" x14ac:dyDescent="0.35">
      <c r="A167" s="1" t="str">
        <f t="shared" si="2"/>
        <v>2</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3382</v>
      </c>
      <c r="D167" s="1" t="s">
        <v>3383</v>
      </c>
      <c r="E167" s="1" t="s">
        <v>3384</v>
      </c>
      <c r="F167" s="1" t="s">
        <v>112</v>
      </c>
      <c r="G167" s="1">
        <v>148143</v>
      </c>
    </row>
    <row r="168" spans="1:7" x14ac:dyDescent="0.35">
      <c r="A168" s="1" t="str">
        <f t="shared" si="2"/>
        <v>2</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3385</v>
      </c>
      <c r="D168" s="1" t="s">
        <v>2943</v>
      </c>
      <c r="E168" s="1" t="s">
        <v>3386</v>
      </c>
      <c r="F168" s="1" t="s">
        <v>112</v>
      </c>
      <c r="G168" s="1">
        <v>172239</v>
      </c>
    </row>
    <row r="169" spans="1:7" x14ac:dyDescent="0.35">
      <c r="A169" s="1" t="str">
        <f t="shared" si="2"/>
        <v>2</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3387</v>
      </c>
      <c r="D169" s="1" t="s">
        <v>3388</v>
      </c>
      <c r="E169" s="1" t="s">
        <v>3389</v>
      </c>
      <c r="F169" s="1" t="s">
        <v>112</v>
      </c>
      <c r="G169" s="1">
        <v>226573</v>
      </c>
    </row>
    <row r="170" spans="1:7" x14ac:dyDescent="0.35">
      <c r="A170" s="1" t="str">
        <f t="shared" si="2"/>
        <v>2</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3390</v>
      </c>
      <c r="D170" s="1" t="s">
        <v>3391</v>
      </c>
      <c r="E170" s="1" t="s">
        <v>3392</v>
      </c>
      <c r="F170" s="1" t="s">
        <v>112</v>
      </c>
      <c r="G170" s="1">
        <v>85525</v>
      </c>
    </row>
    <row r="171" spans="1:7" x14ac:dyDescent="0.35">
      <c r="A171" s="1" t="str">
        <f t="shared" si="2"/>
        <v>2</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3393</v>
      </c>
      <c r="D171" s="1" t="s">
        <v>549</v>
      </c>
      <c r="E171" s="1">
        <v>36</v>
      </c>
      <c r="F171" s="1" t="s">
        <v>112</v>
      </c>
      <c r="G171" s="1">
        <v>779</v>
      </c>
    </row>
    <row r="172" spans="1:7" x14ac:dyDescent="0.35">
      <c r="A172" s="1" t="str">
        <f t="shared" si="2"/>
        <v>2</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3394</v>
      </c>
      <c r="D172" s="1" t="s">
        <v>3395</v>
      </c>
      <c r="E172" s="1" t="s">
        <v>3396</v>
      </c>
      <c r="F172" s="1" t="s">
        <v>112</v>
      </c>
      <c r="G172" s="1">
        <v>14687</v>
      </c>
    </row>
    <row r="173" spans="1:7" x14ac:dyDescent="0.35">
      <c r="A173" s="1" t="str">
        <f t="shared" si="2"/>
        <v>2</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 t="s">
        <v>3397</v>
      </c>
      <c r="D173" s="1" t="s">
        <v>3398</v>
      </c>
      <c r="E173" s="1" t="s">
        <v>3399</v>
      </c>
      <c r="F173" s="1" t="s">
        <v>112</v>
      </c>
      <c r="G173" s="1">
        <v>225794</v>
      </c>
    </row>
    <row r="174" spans="1:7" x14ac:dyDescent="0.35">
      <c r="A174" s="1" t="str">
        <f t="shared" si="2"/>
        <v>2</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3400</v>
      </c>
      <c r="D174" s="1" t="s">
        <v>260</v>
      </c>
      <c r="E174" s="1" t="s">
        <v>3401</v>
      </c>
      <c r="F174" s="1" t="s">
        <v>112</v>
      </c>
      <c r="G174" s="1">
        <v>39366</v>
      </c>
    </row>
    <row r="175" spans="1:7" x14ac:dyDescent="0.35">
      <c r="A175" s="1" t="str">
        <f t="shared" si="2"/>
        <v>2</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3402</v>
      </c>
      <c r="D175" s="1" t="s">
        <v>2075</v>
      </c>
      <c r="E175" s="1" t="s">
        <v>3403</v>
      </c>
      <c r="F175" s="1" t="s">
        <v>112</v>
      </c>
      <c r="G175" s="1">
        <v>131618</v>
      </c>
    </row>
    <row r="176" spans="1:7" x14ac:dyDescent="0.35">
      <c r="A176" s="1" t="str">
        <f t="shared" si="2"/>
        <v>2</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 t="s">
        <v>3404</v>
      </c>
      <c r="D176" s="1" t="s">
        <v>1971</v>
      </c>
      <c r="E176" s="1" t="s">
        <v>3405</v>
      </c>
      <c r="F176" s="1" t="s">
        <v>112</v>
      </c>
      <c r="G176" s="1">
        <v>254389</v>
      </c>
    </row>
    <row r="177" spans="1:10" x14ac:dyDescent="0.35">
      <c r="A177" s="1" t="str">
        <f t="shared" si="2"/>
        <v>2</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3406</v>
      </c>
      <c r="D177" s="1" t="s">
        <v>2954</v>
      </c>
      <c r="E177" s="1" t="s">
        <v>3407</v>
      </c>
      <c r="F177" s="1" t="s">
        <v>112</v>
      </c>
      <c r="G177" s="1">
        <v>119548</v>
      </c>
    </row>
    <row r="178" spans="1:10" x14ac:dyDescent="0.35">
      <c r="A178" s="1" t="str">
        <f t="shared" si="2"/>
        <v>2</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3408</v>
      </c>
      <c r="D178" s="1" t="s">
        <v>3409</v>
      </c>
      <c r="E178" s="1" t="s">
        <v>3410</v>
      </c>
      <c r="F178" s="1" t="s">
        <v>112</v>
      </c>
      <c r="G178" s="1">
        <v>285839</v>
      </c>
    </row>
    <row r="179" spans="1:10" x14ac:dyDescent="0.35">
      <c r="A179" s="1" t="str">
        <f t="shared" si="2"/>
        <v>2</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 t="s">
        <v>3411</v>
      </c>
      <c r="D179" s="1" t="s">
        <v>3004</v>
      </c>
      <c r="E179" s="1" t="s">
        <v>3412</v>
      </c>
      <c r="F179" s="1" t="s">
        <v>112</v>
      </c>
      <c r="G179" s="1">
        <v>393405</v>
      </c>
    </row>
    <row r="180" spans="1:10" x14ac:dyDescent="0.35">
      <c r="A180" s="1" t="str">
        <f t="shared" si="2"/>
        <v>2</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3413</v>
      </c>
      <c r="D180" s="1" t="s">
        <v>3414</v>
      </c>
      <c r="E180" s="1" t="s">
        <v>3415</v>
      </c>
      <c r="F180" s="1" t="s">
        <v>112</v>
      </c>
      <c r="G180" s="1">
        <v>1270259</v>
      </c>
    </row>
    <row r="181" spans="1:10" x14ac:dyDescent="0.35">
      <c r="A181" s="1" t="str">
        <f t="shared" si="2"/>
        <v>2</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3416</v>
      </c>
      <c r="D181" s="1" t="s">
        <v>3417</v>
      </c>
      <c r="E181" s="1" t="s">
        <v>3418</v>
      </c>
      <c r="F181" s="1" t="s">
        <v>112</v>
      </c>
      <c r="G181" s="1">
        <v>467638</v>
      </c>
    </row>
    <row r="182" spans="1:10" x14ac:dyDescent="0.35">
      <c r="A182" s="1" t="str">
        <f t="shared" si="2"/>
        <v>2</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 t="s">
        <v>3419</v>
      </c>
      <c r="D182" s="1" t="s">
        <v>3420</v>
      </c>
      <c r="E182" s="1" t="s">
        <v>3421</v>
      </c>
      <c r="F182" s="1" t="s">
        <v>112</v>
      </c>
      <c r="G182" s="1">
        <v>597721</v>
      </c>
    </row>
    <row r="183" spans="1:10" x14ac:dyDescent="0.35">
      <c r="A183" s="1" t="str">
        <f t="shared" si="2"/>
        <v>2</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3422</v>
      </c>
      <c r="D183" s="1" t="s">
        <v>3423</v>
      </c>
      <c r="E183" s="1" t="s">
        <v>3424</v>
      </c>
      <c r="F183" s="1" t="s">
        <v>112</v>
      </c>
      <c r="G183" s="1">
        <v>605961</v>
      </c>
    </row>
    <row r="184" spans="1:10" x14ac:dyDescent="0.35">
      <c r="A184" s="1" t="str">
        <f t="shared" si="2"/>
        <v>2</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3425</v>
      </c>
      <c r="D184" s="1" t="s">
        <v>3426</v>
      </c>
      <c r="E184" s="1" t="s">
        <v>3427</v>
      </c>
      <c r="F184" s="1" t="s">
        <v>112</v>
      </c>
      <c r="G184" s="1">
        <v>544187</v>
      </c>
    </row>
    <row r="185" spans="1:10" x14ac:dyDescent="0.35">
      <c r="A185" s="1" t="str">
        <f t="shared" si="2"/>
        <v>2</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3428</v>
      </c>
      <c r="D185" s="1" t="s">
        <v>3429</v>
      </c>
      <c r="E185" s="1" t="s">
        <v>3430</v>
      </c>
      <c r="F185" s="1" t="s">
        <v>112</v>
      </c>
      <c r="G185" s="1">
        <v>314239</v>
      </c>
    </row>
    <row r="186" spans="1:10" x14ac:dyDescent="0.35">
      <c r="A186" s="1" t="str">
        <f t="shared" si="2"/>
        <v>2</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3431</v>
      </c>
      <c r="D186" s="1" t="s">
        <v>2985</v>
      </c>
      <c r="E186" s="1" t="s">
        <v>3432</v>
      </c>
      <c r="F186" s="1" t="s">
        <v>112</v>
      </c>
      <c r="G186" s="1">
        <v>258261</v>
      </c>
    </row>
    <row r="187" spans="1:10" x14ac:dyDescent="0.35">
      <c r="A187" s="1" t="str">
        <f t="shared" si="2"/>
        <v>2</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3433</v>
      </c>
      <c r="D187" s="1" t="s">
        <v>3434</v>
      </c>
      <c r="E187" s="1" t="s">
        <v>3435</v>
      </c>
      <c r="F187" s="1" t="s">
        <v>112</v>
      </c>
      <c r="G187" s="1">
        <v>266740</v>
      </c>
    </row>
    <row r="188" spans="1:10" x14ac:dyDescent="0.35">
      <c r="A188" s="1" t="str">
        <f t="shared" si="2"/>
        <v>2</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3436</v>
      </c>
      <c r="D188" s="1" t="s">
        <v>3437</v>
      </c>
      <c r="E188" s="1" t="s">
        <v>3438</v>
      </c>
      <c r="F188" s="1" t="s">
        <v>112</v>
      </c>
      <c r="G188" s="1">
        <v>470775</v>
      </c>
    </row>
    <row r="189" spans="1:10" x14ac:dyDescent="0.35">
      <c r="A189" s="1" t="str">
        <f t="shared" si="2"/>
        <v>2</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3439</v>
      </c>
      <c r="D189" s="1" t="s">
        <v>3440</v>
      </c>
      <c r="E189" s="1" t="s">
        <v>3441</v>
      </c>
      <c r="F189" s="1" t="s">
        <v>112</v>
      </c>
      <c r="G189" s="1">
        <v>441488</v>
      </c>
    </row>
    <row r="190" spans="1:10" x14ac:dyDescent="0.35">
      <c r="A190" s="1" t="str">
        <f t="shared" si="2"/>
        <v>2</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3442</v>
      </c>
      <c r="D190" s="1" t="s">
        <v>3443</v>
      </c>
      <c r="E190" s="1" t="s">
        <v>3444</v>
      </c>
      <c r="F190" s="1" t="s">
        <v>112</v>
      </c>
      <c r="G190" s="1">
        <v>321420</v>
      </c>
    </row>
    <row r="191" spans="1:10" x14ac:dyDescent="0.3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 t="s">
        <v>112</v>
      </c>
    </row>
    <row r="192" spans="1:10" x14ac:dyDescent="0.3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237</v>
      </c>
      <c r="D192" s="1" t="s">
        <v>112</v>
      </c>
      <c r="E192" s="1" t="s">
        <v>238</v>
      </c>
      <c r="F192" s="1" t="s">
        <v>239</v>
      </c>
      <c r="G192" s="1" t="s">
        <v>240</v>
      </c>
      <c r="H192" s="1" t="s">
        <v>241</v>
      </c>
      <c r="I192" s="1" t="s">
        <v>242</v>
      </c>
      <c r="J192" s="1" t="s">
        <v>243</v>
      </c>
    </row>
    <row r="193" spans="1:10" x14ac:dyDescent="0.35">
      <c r="A193" s="1" t="str">
        <f t="shared" si="2"/>
        <v>2</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 t="s">
        <v>3445</v>
      </c>
      <c r="D193" s="1" t="s">
        <v>112</v>
      </c>
      <c r="E193" s="1" t="s">
        <v>3446</v>
      </c>
      <c r="F193" s="1" t="s">
        <v>3447</v>
      </c>
      <c r="G193" s="1" t="s">
        <v>3448</v>
      </c>
      <c r="H193" s="1" t="s">
        <v>3449</v>
      </c>
      <c r="I193" s="1">
        <v>24</v>
      </c>
      <c r="J193" s="1">
        <v>24</v>
      </c>
    </row>
    <row r="194" spans="1:10" x14ac:dyDescent="0.3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112</v>
      </c>
    </row>
    <row r="195" spans="1:10" x14ac:dyDescent="0.3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10" x14ac:dyDescent="0.3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10" x14ac:dyDescent="0.3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10" x14ac:dyDescent="0.3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10" x14ac:dyDescent="0.3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249</v>
      </c>
      <c r="D199" s="1" t="s">
        <v>110</v>
      </c>
      <c r="E199" s="1" t="s">
        <v>111</v>
      </c>
      <c r="F199" s="1" t="s">
        <v>112</v>
      </c>
      <c r="G199" s="1" t="s">
        <v>113</v>
      </c>
    </row>
    <row r="200" spans="1:10" x14ac:dyDescent="0.35">
      <c r="A200" s="1" t="str">
        <f t="shared" si="3"/>
        <v>3</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3450</v>
      </c>
      <c r="D200" s="1" t="s">
        <v>3451</v>
      </c>
      <c r="E200" s="1" t="s">
        <v>3452</v>
      </c>
      <c r="F200" s="1" t="s">
        <v>112</v>
      </c>
      <c r="G200" s="1">
        <v>71963</v>
      </c>
    </row>
    <row r="201" spans="1:10" x14ac:dyDescent="0.35">
      <c r="A201" s="1" t="str">
        <f t="shared" si="3"/>
        <v>3</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3453</v>
      </c>
      <c r="D201" s="1">
        <v>0</v>
      </c>
      <c r="E201" s="1">
        <v>0</v>
      </c>
      <c r="F201" s="1" t="s">
        <v>112</v>
      </c>
      <c r="G201" s="1">
        <v>0</v>
      </c>
    </row>
    <row r="202" spans="1:10" x14ac:dyDescent="0.35">
      <c r="A202" s="1" t="str">
        <f t="shared" si="3"/>
        <v>3</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3454</v>
      </c>
      <c r="D202" s="1" t="s">
        <v>3455</v>
      </c>
      <c r="E202" s="1">
        <v>32</v>
      </c>
      <c r="F202" s="1" t="s">
        <v>112</v>
      </c>
      <c r="G202" s="1">
        <v>20073</v>
      </c>
    </row>
    <row r="203" spans="1:10" x14ac:dyDescent="0.35">
      <c r="A203" s="1" t="str">
        <f t="shared" si="3"/>
        <v>3</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3456</v>
      </c>
      <c r="D203" s="1" t="s">
        <v>3457</v>
      </c>
      <c r="E203" s="1" t="s">
        <v>3458</v>
      </c>
      <c r="F203" s="1" t="s">
        <v>112</v>
      </c>
      <c r="G203" s="1">
        <v>489874</v>
      </c>
    </row>
    <row r="204" spans="1:10" x14ac:dyDescent="0.35">
      <c r="A204" s="1" t="str">
        <f t="shared" si="3"/>
        <v>3</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3459</v>
      </c>
      <c r="D204" s="1" t="s">
        <v>3460</v>
      </c>
      <c r="E204" s="1" t="s">
        <v>3461</v>
      </c>
      <c r="F204" s="1" t="s">
        <v>112</v>
      </c>
      <c r="G204" s="1">
        <v>687225</v>
      </c>
    </row>
    <row r="205" spans="1:10" x14ac:dyDescent="0.35">
      <c r="A205" s="1" t="str">
        <f t="shared" si="3"/>
        <v>3</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3462</v>
      </c>
      <c r="D205" s="1" t="s">
        <v>3463</v>
      </c>
      <c r="E205" s="1" t="s">
        <v>3464</v>
      </c>
      <c r="F205" s="1" t="s">
        <v>112</v>
      </c>
      <c r="G205" s="1">
        <v>753369</v>
      </c>
    </row>
    <row r="206" spans="1:10" x14ac:dyDescent="0.35">
      <c r="A206" s="1" t="str">
        <f t="shared" si="3"/>
        <v>3</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3465</v>
      </c>
      <c r="D206" s="1" t="s">
        <v>325</v>
      </c>
      <c r="E206" s="1" t="s">
        <v>3466</v>
      </c>
      <c r="F206" s="1" t="s">
        <v>112</v>
      </c>
      <c r="G206" s="1">
        <v>115871</v>
      </c>
    </row>
    <row r="207" spans="1:10" x14ac:dyDescent="0.35">
      <c r="A207" s="1" t="str">
        <f t="shared" si="3"/>
        <v>3</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3467</v>
      </c>
      <c r="D207" s="1" t="s">
        <v>1545</v>
      </c>
      <c r="E207" s="1" t="s">
        <v>3468</v>
      </c>
      <c r="F207" s="1" t="s">
        <v>112</v>
      </c>
      <c r="G207" s="1">
        <v>144942</v>
      </c>
    </row>
    <row r="208" spans="1:10" x14ac:dyDescent="0.35">
      <c r="A208" s="1" t="str">
        <f t="shared" si="3"/>
        <v>3</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3469</v>
      </c>
      <c r="D208" s="1" t="s">
        <v>3470</v>
      </c>
      <c r="E208" s="1" t="s">
        <v>3471</v>
      </c>
      <c r="F208" s="1" t="s">
        <v>112</v>
      </c>
      <c r="G208" s="1">
        <v>189045</v>
      </c>
    </row>
    <row r="209" spans="1:7" x14ac:dyDescent="0.35">
      <c r="A209" s="1" t="str">
        <f t="shared" si="3"/>
        <v>3</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3472</v>
      </c>
      <c r="D209" s="1" t="s">
        <v>372</v>
      </c>
      <c r="E209" s="1" t="s">
        <v>3473</v>
      </c>
      <c r="F209" s="1" t="s">
        <v>112</v>
      </c>
      <c r="G209" s="1">
        <v>152794</v>
      </c>
    </row>
    <row r="210" spans="1:7" x14ac:dyDescent="0.35">
      <c r="A210" s="1" t="str">
        <f t="shared" si="3"/>
        <v>3</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3474</v>
      </c>
    </row>
    <row r="211" spans="1:7" x14ac:dyDescent="0.35">
      <c r="A211" s="1" t="str">
        <f t="shared" si="3"/>
        <v>3</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3475</v>
      </c>
    </row>
    <row r="212" spans="1:7" x14ac:dyDescent="0.35">
      <c r="A212" s="1" t="str">
        <f t="shared" si="3"/>
        <v>3</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3476</v>
      </c>
      <c r="D212" s="1" t="s">
        <v>3477</v>
      </c>
      <c r="E212" s="1" t="s">
        <v>3478</v>
      </c>
      <c r="F212" s="1" t="s">
        <v>112</v>
      </c>
      <c r="G212" s="1">
        <v>312660</v>
      </c>
    </row>
    <row r="213" spans="1:7" x14ac:dyDescent="0.35">
      <c r="A213" s="1" t="str">
        <f t="shared" si="3"/>
        <v>3</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3479</v>
      </c>
      <c r="D213" s="1" t="s">
        <v>3480</v>
      </c>
      <c r="E213" s="1" t="s">
        <v>3481</v>
      </c>
      <c r="F213" s="1" t="s">
        <v>112</v>
      </c>
      <c r="G213" s="1">
        <v>407421</v>
      </c>
    </row>
    <row r="214" spans="1:7" x14ac:dyDescent="0.35">
      <c r="A214" s="1" t="str">
        <f t="shared" si="3"/>
        <v>3</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3482</v>
      </c>
      <c r="D214" s="1" t="s">
        <v>3483</v>
      </c>
      <c r="E214" s="1" t="s">
        <v>3484</v>
      </c>
      <c r="F214" s="1" t="s">
        <v>112</v>
      </c>
      <c r="G214" s="1">
        <v>486478</v>
      </c>
    </row>
    <row r="215" spans="1:7" x14ac:dyDescent="0.35">
      <c r="A215" s="1" t="str">
        <f t="shared" si="3"/>
        <v>3</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3485</v>
      </c>
      <c r="D215" s="1" t="s">
        <v>2118</v>
      </c>
      <c r="E215" s="1" t="s">
        <v>3486</v>
      </c>
      <c r="F215" s="1" t="s">
        <v>112</v>
      </c>
      <c r="G215" s="1">
        <v>197265</v>
      </c>
    </row>
    <row r="216" spans="1:7" x14ac:dyDescent="0.35">
      <c r="A216" s="1" t="str">
        <f t="shared" si="3"/>
        <v>3</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3487</v>
      </c>
      <c r="D216" s="1" t="s">
        <v>3488</v>
      </c>
      <c r="E216" s="1" t="s">
        <v>3489</v>
      </c>
      <c r="F216" s="1" t="s">
        <v>112</v>
      </c>
      <c r="G216" s="1">
        <v>112000</v>
      </c>
    </row>
    <row r="217" spans="1:7" x14ac:dyDescent="0.35">
      <c r="A217" s="1" t="str">
        <f t="shared" si="3"/>
        <v>3</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3490</v>
      </c>
      <c r="D217" s="1" t="s">
        <v>645</v>
      </c>
      <c r="E217" s="1" t="s">
        <v>3491</v>
      </c>
      <c r="F217" s="1" t="s">
        <v>112</v>
      </c>
      <c r="G217" s="1">
        <v>149679</v>
      </c>
    </row>
    <row r="218" spans="1:7" x14ac:dyDescent="0.35">
      <c r="A218" s="1" t="str">
        <f t="shared" si="3"/>
        <v>3</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3492</v>
      </c>
      <c r="D218" s="1" t="s">
        <v>3493</v>
      </c>
      <c r="E218" s="1" t="s">
        <v>3494</v>
      </c>
      <c r="F218" s="1" t="s">
        <v>112</v>
      </c>
      <c r="G218" s="1">
        <v>395892</v>
      </c>
    </row>
    <row r="219" spans="1:7" x14ac:dyDescent="0.35">
      <c r="A219" s="1" t="str">
        <f t="shared" si="3"/>
        <v>3</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3495</v>
      </c>
      <c r="D219" s="1" t="s">
        <v>206</v>
      </c>
      <c r="E219" s="1" t="s">
        <v>3496</v>
      </c>
      <c r="F219" s="1" t="s">
        <v>112</v>
      </c>
      <c r="G219" s="1">
        <v>296654</v>
      </c>
    </row>
    <row r="220" spans="1:7" x14ac:dyDescent="0.35">
      <c r="A220" s="1" t="str">
        <f t="shared" si="3"/>
        <v>3</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3497</v>
      </c>
      <c r="D220" s="1" t="s">
        <v>691</v>
      </c>
      <c r="E220" s="1" t="s">
        <v>3498</v>
      </c>
      <c r="F220" s="1" t="s">
        <v>112</v>
      </c>
      <c r="G220" s="1">
        <v>415143</v>
      </c>
    </row>
    <row r="221" spans="1:7" x14ac:dyDescent="0.35">
      <c r="A221" s="1" t="str">
        <f t="shared" si="3"/>
        <v>3</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3499</v>
      </c>
      <c r="D221" s="1" t="s">
        <v>3500</v>
      </c>
      <c r="E221" s="1" t="s">
        <v>3501</v>
      </c>
      <c r="F221" s="1" t="s">
        <v>112</v>
      </c>
      <c r="G221" s="1">
        <v>121495</v>
      </c>
    </row>
    <row r="222" spans="1:7" x14ac:dyDescent="0.35">
      <c r="A222" s="1" t="str">
        <f t="shared" si="3"/>
        <v>3</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3502</v>
      </c>
      <c r="D222" s="1" t="s">
        <v>3503</v>
      </c>
      <c r="E222" s="1" t="s">
        <v>3504</v>
      </c>
      <c r="F222" s="1" t="s">
        <v>112</v>
      </c>
      <c r="G222" s="1">
        <v>171698</v>
      </c>
    </row>
    <row r="223" spans="1:7" x14ac:dyDescent="0.35">
      <c r="A223" s="1" t="str">
        <f t="shared" si="3"/>
        <v>3</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3505</v>
      </c>
      <c r="D223" s="1" t="s">
        <v>227</v>
      </c>
      <c r="E223" s="1">
        <v>33</v>
      </c>
      <c r="F223" s="1" t="s">
        <v>112</v>
      </c>
      <c r="G223" s="1">
        <v>1428</v>
      </c>
    </row>
    <row r="224" spans="1:7" x14ac:dyDescent="0.3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 t="s">
        <v>112</v>
      </c>
    </row>
    <row r="225" spans="1:10" x14ac:dyDescent="0.3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237</v>
      </c>
      <c r="D225" s="1" t="s">
        <v>112</v>
      </c>
      <c r="E225" s="1" t="s">
        <v>238</v>
      </c>
      <c r="F225" s="1" t="s">
        <v>239</v>
      </c>
      <c r="G225" s="1" t="s">
        <v>240</v>
      </c>
      <c r="H225" s="1" t="s">
        <v>241</v>
      </c>
      <c r="I225" s="1" t="s">
        <v>242</v>
      </c>
      <c r="J225" s="1" t="s">
        <v>243</v>
      </c>
    </row>
    <row r="226" spans="1:10" x14ac:dyDescent="0.35">
      <c r="A226" s="1" t="str">
        <f t="shared" si="3"/>
        <v>3</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 t="s">
        <v>3506</v>
      </c>
      <c r="D226" s="1" t="s">
        <v>112</v>
      </c>
      <c r="E226" s="1" t="s">
        <v>3507</v>
      </c>
      <c r="F226" s="1" t="s">
        <v>3508</v>
      </c>
      <c r="G226" s="1" t="s">
        <v>3509</v>
      </c>
      <c r="H226" s="1" t="s">
        <v>3510</v>
      </c>
      <c r="I226" s="1">
        <v>22</v>
      </c>
      <c r="J226" s="1">
        <v>24</v>
      </c>
    </row>
    <row r="227" spans="1:10" x14ac:dyDescent="0.3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112</v>
      </c>
    </row>
    <row r="228" spans="1:10" x14ac:dyDescent="0.3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10" x14ac:dyDescent="0.3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10" x14ac:dyDescent="0.3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10" x14ac:dyDescent="0.3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10" x14ac:dyDescent="0.3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249</v>
      </c>
      <c r="D232" s="1" t="s">
        <v>110</v>
      </c>
      <c r="E232" s="1" t="s">
        <v>111</v>
      </c>
      <c r="F232" s="1" t="s">
        <v>112</v>
      </c>
      <c r="G232" s="1" t="s">
        <v>113</v>
      </c>
    </row>
    <row r="233" spans="1:10" x14ac:dyDescent="0.35">
      <c r="A233" s="1" t="str">
        <f t="shared" si="3"/>
        <v>4</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3511</v>
      </c>
      <c r="D233" s="1" t="s">
        <v>1710</v>
      </c>
      <c r="E233" s="1" t="s">
        <v>3512</v>
      </c>
      <c r="F233" s="1" t="s">
        <v>112</v>
      </c>
      <c r="G233" s="1">
        <v>14860</v>
      </c>
    </row>
    <row r="234" spans="1:10" x14ac:dyDescent="0.35">
      <c r="A234" s="1" t="str">
        <f t="shared" si="3"/>
        <v>4</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3513</v>
      </c>
      <c r="D234" s="1" t="s">
        <v>3514</v>
      </c>
      <c r="E234" s="1" t="s">
        <v>3515</v>
      </c>
      <c r="F234" s="1" t="s">
        <v>112</v>
      </c>
      <c r="G234" s="1">
        <v>403700</v>
      </c>
    </row>
    <row r="235" spans="1:10" x14ac:dyDescent="0.35">
      <c r="A235" s="1" t="str">
        <f t="shared" si="3"/>
        <v>4</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3516</v>
      </c>
      <c r="D235" s="1" t="s">
        <v>1406</v>
      </c>
      <c r="E235" s="1" t="s">
        <v>3517</v>
      </c>
      <c r="F235" s="1" t="s">
        <v>112</v>
      </c>
      <c r="G235" s="1">
        <v>59158</v>
      </c>
    </row>
    <row r="236" spans="1:10" x14ac:dyDescent="0.35">
      <c r="A236" s="1" t="str">
        <f t="shared" si="3"/>
        <v>4</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3518</v>
      </c>
      <c r="D236" s="1" t="s">
        <v>3519</v>
      </c>
      <c r="E236" s="1" t="s">
        <v>3520</v>
      </c>
      <c r="F236" s="1" t="s">
        <v>112</v>
      </c>
      <c r="G236" s="1">
        <v>919811</v>
      </c>
    </row>
    <row r="237" spans="1:10" x14ac:dyDescent="0.35">
      <c r="A237" s="1" t="str">
        <f t="shared" si="3"/>
        <v>4</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3521</v>
      </c>
      <c r="D237" s="1" t="s">
        <v>2413</v>
      </c>
      <c r="E237" s="1" t="s">
        <v>3522</v>
      </c>
      <c r="F237" s="1" t="s">
        <v>112</v>
      </c>
      <c r="G237" s="1">
        <v>907071</v>
      </c>
    </row>
    <row r="238" spans="1:10" x14ac:dyDescent="0.35">
      <c r="A238" s="1" t="str">
        <f t="shared" si="3"/>
        <v>4</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3523</v>
      </c>
      <c r="D238" s="1" t="s">
        <v>3524</v>
      </c>
      <c r="E238" s="1" t="s">
        <v>3525</v>
      </c>
      <c r="F238" s="1" t="s">
        <v>112</v>
      </c>
      <c r="G238" s="1">
        <v>961946</v>
      </c>
    </row>
    <row r="239" spans="1:10" x14ac:dyDescent="0.35">
      <c r="A239" s="1" t="str">
        <f t="shared" si="3"/>
        <v>4</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3526</v>
      </c>
      <c r="D239" s="1" t="s">
        <v>3527</v>
      </c>
      <c r="E239" s="1" t="s">
        <v>3528</v>
      </c>
      <c r="F239" s="1" t="s">
        <v>112</v>
      </c>
      <c r="G239" s="1">
        <v>576112</v>
      </c>
    </row>
    <row r="240" spans="1:10" x14ac:dyDescent="0.35">
      <c r="A240" s="1" t="str">
        <f t="shared" si="3"/>
        <v>4</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3529</v>
      </c>
      <c r="D240" s="1" t="s">
        <v>3530</v>
      </c>
      <c r="E240" s="1" t="s">
        <v>3531</v>
      </c>
      <c r="F240" s="1" t="s">
        <v>112</v>
      </c>
      <c r="G240" s="1">
        <v>414775</v>
      </c>
    </row>
    <row r="241" spans="1:7" x14ac:dyDescent="0.35">
      <c r="A241" s="1" t="str">
        <f t="shared" si="3"/>
        <v>4</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3532</v>
      </c>
      <c r="D241" s="1" t="s">
        <v>3533</v>
      </c>
      <c r="E241" s="1" t="s">
        <v>3534</v>
      </c>
      <c r="F241" s="1" t="s">
        <v>112</v>
      </c>
      <c r="G241" s="1">
        <v>400521</v>
      </c>
    </row>
    <row r="242" spans="1:7" x14ac:dyDescent="0.35">
      <c r="A242" s="1" t="str">
        <f t="shared" si="3"/>
        <v>4</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3535</v>
      </c>
      <c r="D242" s="1" t="s">
        <v>2416</v>
      </c>
      <c r="E242" s="1" t="s">
        <v>3536</v>
      </c>
      <c r="F242" s="1" t="s">
        <v>112</v>
      </c>
      <c r="G242" s="1">
        <v>850250</v>
      </c>
    </row>
    <row r="243" spans="1:7" x14ac:dyDescent="0.35">
      <c r="A243" s="1" t="str">
        <f t="shared" si="3"/>
        <v>4</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3537</v>
      </c>
      <c r="D243" s="1" t="s">
        <v>1779</v>
      </c>
      <c r="E243" s="1" t="s">
        <v>3538</v>
      </c>
      <c r="F243" s="1" t="s">
        <v>112</v>
      </c>
      <c r="G243" s="1">
        <v>1388509</v>
      </c>
    </row>
    <row r="244" spans="1:7" x14ac:dyDescent="0.35">
      <c r="A244" s="1" t="str">
        <f t="shared" si="3"/>
        <v>4</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3539</v>
      </c>
      <c r="D244" s="1" t="s">
        <v>3540</v>
      </c>
      <c r="E244" s="1" t="s">
        <v>3541</v>
      </c>
      <c r="F244" s="1" t="s">
        <v>112</v>
      </c>
      <c r="G244" s="1">
        <v>800111</v>
      </c>
    </row>
    <row r="245" spans="1:7" x14ac:dyDescent="0.35">
      <c r="A245" s="1" t="str">
        <f t="shared" si="3"/>
        <v>4</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3542</v>
      </c>
      <c r="D245" s="1" t="s">
        <v>3543</v>
      </c>
      <c r="E245" s="1" t="s">
        <v>3544</v>
      </c>
      <c r="F245" s="1" t="s">
        <v>112</v>
      </c>
      <c r="G245" s="1">
        <v>287094</v>
      </c>
    </row>
    <row r="246" spans="1:7" x14ac:dyDescent="0.35">
      <c r="A246" s="1" t="str">
        <f t="shared" si="3"/>
        <v>4</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3545</v>
      </c>
      <c r="D246" s="1" t="s">
        <v>3546</v>
      </c>
      <c r="E246" s="1" t="s">
        <v>3547</v>
      </c>
      <c r="F246" s="1" t="s">
        <v>112</v>
      </c>
      <c r="G246" s="1">
        <v>584721</v>
      </c>
    </row>
    <row r="247" spans="1:7" x14ac:dyDescent="0.35">
      <c r="A247" s="1" t="str">
        <f t="shared" si="3"/>
        <v>4</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3548</v>
      </c>
      <c r="D247" s="1" t="s">
        <v>3549</v>
      </c>
      <c r="E247" s="1" t="s">
        <v>3550</v>
      </c>
      <c r="F247" s="1" t="s">
        <v>112</v>
      </c>
      <c r="G247" s="1">
        <v>373181</v>
      </c>
    </row>
    <row r="248" spans="1:7" x14ac:dyDescent="0.35">
      <c r="A248" s="1" t="str">
        <f t="shared" si="3"/>
        <v>4</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3551</v>
      </c>
      <c r="D248" s="1" t="s">
        <v>3552</v>
      </c>
      <c r="E248" s="1" t="s">
        <v>3553</v>
      </c>
      <c r="F248" s="1" t="s">
        <v>112</v>
      </c>
      <c r="G248" s="1">
        <v>1131049</v>
      </c>
    </row>
    <row r="249" spans="1:7" x14ac:dyDescent="0.35">
      <c r="A249" s="1" t="str">
        <f t="shared" si="3"/>
        <v>4</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3554</v>
      </c>
      <c r="D249" s="1" t="s">
        <v>3555</v>
      </c>
      <c r="E249" s="1" t="s">
        <v>3556</v>
      </c>
      <c r="F249" s="1" t="s">
        <v>112</v>
      </c>
      <c r="G249" s="1">
        <v>1360888</v>
      </c>
    </row>
    <row r="250" spans="1:7" x14ac:dyDescent="0.35">
      <c r="A250" s="1" t="str">
        <f t="shared" si="3"/>
        <v>4</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3557</v>
      </c>
      <c r="D250" s="1" t="s">
        <v>3558</v>
      </c>
      <c r="E250" s="1" t="s">
        <v>3559</v>
      </c>
      <c r="F250" s="1" t="s">
        <v>112</v>
      </c>
      <c r="G250" s="1">
        <v>594216</v>
      </c>
    </row>
    <row r="251" spans="1:7" x14ac:dyDescent="0.35">
      <c r="A251" s="1" t="str">
        <f t="shared" si="3"/>
        <v>4</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3560</v>
      </c>
      <c r="D251" s="1" t="s">
        <v>1163</v>
      </c>
      <c r="E251" s="1" t="s">
        <v>3561</v>
      </c>
      <c r="F251" s="1" t="s">
        <v>112</v>
      </c>
      <c r="G251" s="1">
        <v>2035395</v>
      </c>
    </row>
    <row r="252" spans="1:7" x14ac:dyDescent="0.35">
      <c r="A252" s="1" t="str">
        <f t="shared" si="3"/>
        <v>4</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3562</v>
      </c>
      <c r="D252" s="1" t="s">
        <v>3563</v>
      </c>
      <c r="E252" s="1" t="s">
        <v>3564</v>
      </c>
      <c r="F252" s="1" t="s">
        <v>112</v>
      </c>
      <c r="G252" s="1">
        <v>2201253</v>
      </c>
    </row>
    <row r="253" spans="1:7" x14ac:dyDescent="0.35">
      <c r="A253" s="1" t="str">
        <f t="shared" si="3"/>
        <v>4</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3565</v>
      </c>
      <c r="D253" s="1" t="s">
        <v>2909</v>
      </c>
      <c r="E253" s="1" t="s">
        <v>3566</v>
      </c>
      <c r="F253" s="1" t="s">
        <v>112</v>
      </c>
      <c r="G253" s="1">
        <v>2094163</v>
      </c>
    </row>
    <row r="254" spans="1:7" x14ac:dyDescent="0.35">
      <c r="A254" s="1" t="str">
        <f t="shared" si="3"/>
        <v>4</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3567</v>
      </c>
      <c r="D254" s="1" t="s">
        <v>1625</v>
      </c>
      <c r="E254" s="1" t="s">
        <v>3568</v>
      </c>
      <c r="F254" s="1" t="s">
        <v>112</v>
      </c>
      <c r="G254" s="1">
        <v>456585</v>
      </c>
    </row>
    <row r="255" spans="1:7" x14ac:dyDescent="0.35">
      <c r="A255" s="1" t="str">
        <f t="shared" si="3"/>
        <v>4</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3569</v>
      </c>
      <c r="D255" s="1" t="s">
        <v>3570</v>
      </c>
      <c r="E255" s="1" t="s">
        <v>3571</v>
      </c>
      <c r="F255" s="1" t="s">
        <v>112</v>
      </c>
      <c r="G255" s="1">
        <v>590864</v>
      </c>
    </row>
    <row r="256" spans="1:7" x14ac:dyDescent="0.35">
      <c r="A256" s="1" t="str">
        <f t="shared" si="3"/>
        <v>4</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3572</v>
      </c>
      <c r="D256" s="1" t="s">
        <v>3573</v>
      </c>
      <c r="E256" s="1" t="s">
        <v>3574</v>
      </c>
      <c r="F256" s="1" t="s">
        <v>112</v>
      </c>
      <c r="G256" s="1">
        <v>205938</v>
      </c>
    </row>
    <row r="257" spans="1:10" x14ac:dyDescent="0.3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 t="s">
        <v>112</v>
      </c>
    </row>
    <row r="258" spans="1:10" x14ac:dyDescent="0.3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237</v>
      </c>
      <c r="D258" s="1" t="s">
        <v>112</v>
      </c>
      <c r="E258" s="1" t="s">
        <v>238</v>
      </c>
      <c r="F258" s="1" t="s">
        <v>239</v>
      </c>
      <c r="G258" s="1" t="s">
        <v>240</v>
      </c>
      <c r="H258" s="1" t="s">
        <v>241</v>
      </c>
      <c r="I258" s="1" t="s">
        <v>242</v>
      </c>
      <c r="J258" s="1" t="s">
        <v>243</v>
      </c>
    </row>
    <row r="259" spans="1:10" x14ac:dyDescent="0.35">
      <c r="A259" s="1" t="str">
        <f t="shared" si="4"/>
        <v>4</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 t="s">
        <v>3575</v>
      </c>
      <c r="D259" s="1" t="s">
        <v>112</v>
      </c>
      <c r="E259" s="1" t="s">
        <v>3576</v>
      </c>
      <c r="F259" s="1" t="s">
        <v>3577</v>
      </c>
      <c r="G259" s="1" t="s">
        <v>3578</v>
      </c>
      <c r="H259" s="1" t="s">
        <v>3579</v>
      </c>
      <c r="I259" s="1">
        <v>24</v>
      </c>
      <c r="J259" s="1">
        <v>24</v>
      </c>
    </row>
    <row r="260" spans="1:10" x14ac:dyDescent="0.3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112</v>
      </c>
    </row>
    <row r="261" spans="1:10" x14ac:dyDescent="0.3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10" x14ac:dyDescent="0.3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10" x14ac:dyDescent="0.3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10" x14ac:dyDescent="0.3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10" x14ac:dyDescent="0.3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249</v>
      </c>
      <c r="D265" s="1" t="s">
        <v>110</v>
      </c>
      <c r="E265" s="1" t="s">
        <v>111</v>
      </c>
      <c r="F265" s="1" t="s">
        <v>112</v>
      </c>
      <c r="G265" s="1" t="s">
        <v>113</v>
      </c>
    </row>
    <row r="266" spans="1:10" x14ac:dyDescent="0.35">
      <c r="A266" s="1" t="str">
        <f t="shared" si="4"/>
        <v>5</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3580</v>
      </c>
      <c r="D266" s="1" t="s">
        <v>1866</v>
      </c>
      <c r="E266" s="1" t="s">
        <v>3581</v>
      </c>
      <c r="F266" s="1" t="s">
        <v>112</v>
      </c>
      <c r="G266" s="1">
        <v>811986</v>
      </c>
    </row>
    <row r="267" spans="1:10" x14ac:dyDescent="0.35">
      <c r="A267" s="1" t="str">
        <f t="shared" si="4"/>
        <v>5</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3582</v>
      </c>
      <c r="D267" s="1" t="s">
        <v>3583</v>
      </c>
      <c r="E267" s="1" t="s">
        <v>3584</v>
      </c>
      <c r="F267" s="1" t="s">
        <v>112</v>
      </c>
      <c r="G267" s="1">
        <v>394659</v>
      </c>
    </row>
    <row r="268" spans="1:10" x14ac:dyDescent="0.35">
      <c r="A268" s="1" t="str">
        <f t="shared" si="4"/>
        <v>5</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3585</v>
      </c>
      <c r="D268" s="1" t="s">
        <v>3586</v>
      </c>
      <c r="E268" s="1" t="s">
        <v>3587</v>
      </c>
      <c r="F268" s="1" t="s">
        <v>112</v>
      </c>
      <c r="G268" s="1">
        <v>507524</v>
      </c>
    </row>
    <row r="269" spans="1:10" x14ac:dyDescent="0.35">
      <c r="A269" s="1" t="str">
        <f t="shared" si="4"/>
        <v>5</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3588</v>
      </c>
      <c r="D269" s="1" t="s">
        <v>3589</v>
      </c>
      <c r="E269" s="1" t="s">
        <v>3590</v>
      </c>
      <c r="F269" s="1" t="s">
        <v>112</v>
      </c>
      <c r="G269" s="1">
        <v>2259113</v>
      </c>
    </row>
    <row r="270" spans="1:10" x14ac:dyDescent="0.35">
      <c r="A270" s="1" t="str">
        <f t="shared" si="4"/>
        <v>5</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3591</v>
      </c>
      <c r="D270" s="1" t="s">
        <v>3592</v>
      </c>
      <c r="E270" s="1" t="s">
        <v>3593</v>
      </c>
      <c r="F270" s="1" t="s">
        <v>112</v>
      </c>
      <c r="G270" s="1">
        <v>2201318</v>
      </c>
    </row>
    <row r="271" spans="1:10" x14ac:dyDescent="0.35">
      <c r="A271" s="1" t="str">
        <f t="shared" si="4"/>
        <v>5</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3594</v>
      </c>
      <c r="D271" s="1" t="s">
        <v>3595</v>
      </c>
      <c r="E271" s="1" t="s">
        <v>3596</v>
      </c>
      <c r="F271" s="1" t="s">
        <v>112</v>
      </c>
      <c r="G271" s="1">
        <v>2465159</v>
      </c>
    </row>
    <row r="272" spans="1:10" x14ac:dyDescent="0.35">
      <c r="A272" s="1" t="str">
        <f t="shared" si="4"/>
        <v>5</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3597</v>
      </c>
      <c r="D272" s="1" t="s">
        <v>2562</v>
      </c>
      <c r="E272" s="1" t="s">
        <v>3598</v>
      </c>
      <c r="F272" s="1" t="s">
        <v>112</v>
      </c>
      <c r="G272" s="1">
        <v>2391423</v>
      </c>
    </row>
    <row r="273" spans="1:7" x14ac:dyDescent="0.35">
      <c r="A273" s="1" t="str">
        <f t="shared" si="4"/>
        <v>5</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3599</v>
      </c>
      <c r="D273" s="1" t="s">
        <v>3600</v>
      </c>
      <c r="E273" s="1" t="s">
        <v>3601</v>
      </c>
      <c r="F273" s="1" t="s">
        <v>112</v>
      </c>
      <c r="G273" s="1">
        <v>2418612</v>
      </c>
    </row>
    <row r="274" spans="1:7" x14ac:dyDescent="0.35">
      <c r="A274" s="1" t="str">
        <f t="shared" si="4"/>
        <v>5</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3602</v>
      </c>
      <c r="D274" s="1" t="s">
        <v>1273</v>
      </c>
      <c r="E274" s="1" t="s">
        <v>3603</v>
      </c>
      <c r="F274" s="1" t="s">
        <v>112</v>
      </c>
      <c r="G274" s="1">
        <v>2124921</v>
      </c>
    </row>
    <row r="275" spans="1:7" x14ac:dyDescent="0.35">
      <c r="A275" s="1" t="str">
        <f t="shared" si="4"/>
        <v>5</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3604</v>
      </c>
      <c r="D275" s="1" t="s">
        <v>3605</v>
      </c>
      <c r="E275" s="1" t="s">
        <v>3606</v>
      </c>
      <c r="F275" s="1" t="s">
        <v>112</v>
      </c>
      <c r="G275" s="1">
        <v>3713939</v>
      </c>
    </row>
    <row r="276" spans="1:7" x14ac:dyDescent="0.35">
      <c r="A276" s="1" t="str">
        <f t="shared" si="4"/>
        <v>5</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3607</v>
      </c>
      <c r="D276" s="1" t="s">
        <v>3608</v>
      </c>
      <c r="E276" s="1" t="s">
        <v>3609</v>
      </c>
      <c r="F276" s="1" t="s">
        <v>112</v>
      </c>
      <c r="G276" s="1">
        <v>4097827</v>
      </c>
    </row>
    <row r="277" spans="1:7" x14ac:dyDescent="0.35">
      <c r="A277" s="1" t="str">
        <f t="shared" si="4"/>
        <v>5</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3610</v>
      </c>
      <c r="D277" s="1" t="s">
        <v>3611</v>
      </c>
      <c r="E277" s="1" t="s">
        <v>3612</v>
      </c>
      <c r="F277" s="1" t="s">
        <v>112</v>
      </c>
      <c r="G277" s="1">
        <v>4561009</v>
      </c>
    </row>
    <row r="278" spans="1:7" x14ac:dyDescent="0.35">
      <c r="A278" s="1" t="str">
        <f t="shared" si="4"/>
        <v>5</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3613</v>
      </c>
      <c r="D278" s="1" t="s">
        <v>2302</v>
      </c>
      <c r="E278" s="1" t="s">
        <v>3614</v>
      </c>
      <c r="F278" s="1" t="s">
        <v>112</v>
      </c>
      <c r="G278" s="1">
        <v>2545860</v>
      </c>
    </row>
    <row r="279" spans="1:7" x14ac:dyDescent="0.35">
      <c r="A279" s="1" t="str">
        <f t="shared" si="4"/>
        <v>5</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3615</v>
      </c>
      <c r="D279" s="1" t="s">
        <v>3616</v>
      </c>
      <c r="E279" s="1" t="s">
        <v>3617</v>
      </c>
      <c r="F279" s="1" t="s">
        <v>112</v>
      </c>
      <c r="G279" s="1">
        <v>1871678</v>
      </c>
    </row>
    <row r="280" spans="1:7" x14ac:dyDescent="0.35">
      <c r="A280" s="1" t="str">
        <f t="shared" si="4"/>
        <v>5</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3618</v>
      </c>
      <c r="D280" s="1" t="s">
        <v>3619</v>
      </c>
      <c r="E280" s="1" t="s">
        <v>3620</v>
      </c>
      <c r="F280" s="1" t="s">
        <v>112</v>
      </c>
      <c r="G280" s="1">
        <v>2169651</v>
      </c>
    </row>
    <row r="281" spans="1:7" x14ac:dyDescent="0.35">
      <c r="A281" s="1" t="str">
        <f t="shared" si="4"/>
        <v>5</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3621</v>
      </c>
      <c r="D281" s="1" t="s">
        <v>3622</v>
      </c>
      <c r="E281" s="1" t="s">
        <v>3623</v>
      </c>
      <c r="F281" s="1" t="s">
        <v>112</v>
      </c>
      <c r="G281" s="1">
        <v>1877150</v>
      </c>
    </row>
    <row r="282" spans="1:7" x14ac:dyDescent="0.35">
      <c r="A282" s="1" t="str">
        <f t="shared" si="4"/>
        <v>5</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3624</v>
      </c>
      <c r="D282" s="1" t="s">
        <v>3625</v>
      </c>
      <c r="E282" s="1" t="s">
        <v>3626</v>
      </c>
      <c r="F282" s="1" t="s">
        <v>112</v>
      </c>
      <c r="G282" s="1">
        <v>1330087</v>
      </c>
    </row>
    <row r="283" spans="1:7" x14ac:dyDescent="0.35">
      <c r="A283" s="1" t="str">
        <f t="shared" si="4"/>
        <v>5</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3627</v>
      </c>
      <c r="D283" s="1" t="s">
        <v>3628</v>
      </c>
      <c r="E283" s="1" t="s">
        <v>3629</v>
      </c>
      <c r="F283" s="1" t="s">
        <v>112</v>
      </c>
      <c r="G283" s="1">
        <v>1327492</v>
      </c>
    </row>
    <row r="284" spans="1:7" x14ac:dyDescent="0.35">
      <c r="A284" s="1" t="str">
        <f t="shared" si="4"/>
        <v>5</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3630</v>
      </c>
      <c r="D284" s="1" t="s">
        <v>3631</v>
      </c>
      <c r="E284" s="1" t="s">
        <v>3632</v>
      </c>
      <c r="F284" s="1" t="s">
        <v>112</v>
      </c>
      <c r="G284" s="1">
        <v>1549652</v>
      </c>
    </row>
    <row r="285" spans="1:7" x14ac:dyDescent="0.35">
      <c r="A285" s="1" t="str">
        <f t="shared" si="4"/>
        <v>5</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3633</v>
      </c>
      <c r="D285" s="1" t="s">
        <v>3634</v>
      </c>
      <c r="E285" s="1" t="s">
        <v>3635</v>
      </c>
      <c r="F285" s="1" t="s">
        <v>112</v>
      </c>
      <c r="G285" s="1">
        <v>1522528</v>
      </c>
    </row>
    <row r="286" spans="1:7" x14ac:dyDescent="0.35">
      <c r="A286" s="1" t="str">
        <f t="shared" si="4"/>
        <v>5</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3636</v>
      </c>
      <c r="D286" s="1" t="s">
        <v>3637</v>
      </c>
      <c r="E286" s="1" t="s">
        <v>3638</v>
      </c>
      <c r="F286" s="1" t="s">
        <v>112</v>
      </c>
      <c r="G286" s="1">
        <v>2068229</v>
      </c>
    </row>
    <row r="287" spans="1:7" x14ac:dyDescent="0.35">
      <c r="A287" s="1" t="str">
        <f t="shared" si="4"/>
        <v>5</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3639</v>
      </c>
      <c r="D287" s="1" t="s">
        <v>3640</v>
      </c>
      <c r="E287" s="1" t="s">
        <v>3641</v>
      </c>
      <c r="F287" s="1" t="s">
        <v>112</v>
      </c>
      <c r="G287" s="1">
        <v>3359880</v>
      </c>
    </row>
    <row r="288" spans="1:7" x14ac:dyDescent="0.35">
      <c r="A288" s="1" t="str">
        <f t="shared" si="4"/>
        <v>5</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3642</v>
      </c>
      <c r="D288" s="1" t="s">
        <v>3643</v>
      </c>
      <c r="E288" s="1" t="s">
        <v>3644</v>
      </c>
      <c r="F288" s="1" t="s">
        <v>112</v>
      </c>
      <c r="G288" s="1">
        <v>3648033</v>
      </c>
    </row>
    <row r="289" spans="1:10" x14ac:dyDescent="0.35">
      <c r="A289" s="1" t="str">
        <f t="shared" si="4"/>
        <v>5</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3645</v>
      </c>
      <c r="D289" s="1" t="s">
        <v>3646</v>
      </c>
      <c r="E289" s="1" t="s">
        <v>3647</v>
      </c>
      <c r="F289" s="1" t="s">
        <v>112</v>
      </c>
      <c r="G289" s="1">
        <v>2840849</v>
      </c>
    </row>
    <row r="290" spans="1:10" x14ac:dyDescent="0.3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 t="s">
        <v>112</v>
      </c>
    </row>
    <row r="291" spans="1:10" x14ac:dyDescent="0.3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237</v>
      </c>
      <c r="D291" s="1" t="s">
        <v>112</v>
      </c>
      <c r="E291" s="1" t="s">
        <v>238</v>
      </c>
      <c r="F291" s="1" t="s">
        <v>239</v>
      </c>
      <c r="G291" s="1" t="s">
        <v>240</v>
      </c>
      <c r="H291" s="1" t="s">
        <v>241</v>
      </c>
      <c r="I291" s="1" t="s">
        <v>242</v>
      </c>
      <c r="J291" s="1" t="s">
        <v>243</v>
      </c>
    </row>
    <row r="292" spans="1:10" x14ac:dyDescent="0.35">
      <c r="A292" s="1" t="str">
        <f t="shared" si="4"/>
        <v>5</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 t="s">
        <v>3648</v>
      </c>
      <c r="D292" s="1" t="s">
        <v>112</v>
      </c>
      <c r="E292" s="1" t="s">
        <v>3649</v>
      </c>
      <c r="F292" s="1" t="s">
        <v>3650</v>
      </c>
      <c r="G292" s="1" t="s">
        <v>3651</v>
      </c>
      <c r="H292" s="1" t="s">
        <v>3652</v>
      </c>
      <c r="I292" s="1">
        <v>24</v>
      </c>
      <c r="J292" s="1">
        <v>24</v>
      </c>
    </row>
    <row r="293" spans="1:10" x14ac:dyDescent="0.3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112</v>
      </c>
    </row>
    <row r="294" spans="1:10" x14ac:dyDescent="0.3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10" x14ac:dyDescent="0.3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10" x14ac:dyDescent="0.3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10" x14ac:dyDescent="0.3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10" x14ac:dyDescent="0.3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249</v>
      </c>
      <c r="D298" s="1" t="s">
        <v>110</v>
      </c>
      <c r="E298" s="1" t="s">
        <v>111</v>
      </c>
      <c r="F298" s="1" t="s">
        <v>112</v>
      </c>
      <c r="G298" s="1" t="s">
        <v>113</v>
      </c>
    </row>
    <row r="299" spans="1:10" x14ac:dyDescent="0.35">
      <c r="A299" s="1" t="str">
        <f t="shared" si="4"/>
        <v>6</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3653</v>
      </c>
      <c r="D299" s="1" t="s">
        <v>3654</v>
      </c>
      <c r="E299" s="1" t="s">
        <v>3655</v>
      </c>
      <c r="F299" s="1" t="s">
        <v>112</v>
      </c>
      <c r="G299" s="1">
        <v>2774640</v>
      </c>
    </row>
    <row r="300" spans="1:10" x14ac:dyDescent="0.35">
      <c r="A300" s="1" t="str">
        <f t="shared" si="4"/>
        <v>6</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3656</v>
      </c>
      <c r="D300" s="1" t="s">
        <v>3657</v>
      </c>
      <c r="E300" s="1" t="s">
        <v>3658</v>
      </c>
      <c r="F300" s="1" t="s">
        <v>112</v>
      </c>
      <c r="G300" s="1">
        <v>2954103</v>
      </c>
    </row>
    <row r="301" spans="1:10" x14ac:dyDescent="0.35">
      <c r="A301" s="1" t="str">
        <f t="shared" si="4"/>
        <v>6</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3659</v>
      </c>
      <c r="D301" s="1" t="s">
        <v>3660</v>
      </c>
      <c r="E301" s="1" t="s">
        <v>3444</v>
      </c>
      <c r="F301" s="1" t="s">
        <v>112</v>
      </c>
      <c r="G301" s="1">
        <v>3072938</v>
      </c>
    </row>
    <row r="302" spans="1:10" x14ac:dyDescent="0.35">
      <c r="A302" s="1" t="str">
        <f t="shared" si="4"/>
        <v>6</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3661</v>
      </c>
      <c r="D302" s="1" t="s">
        <v>3662</v>
      </c>
      <c r="E302" s="1" t="s">
        <v>3663</v>
      </c>
      <c r="F302" s="1" t="s">
        <v>112</v>
      </c>
      <c r="G302" s="1">
        <v>3418886</v>
      </c>
    </row>
    <row r="303" spans="1:10" x14ac:dyDescent="0.35">
      <c r="A303" s="1" t="str">
        <f t="shared" si="4"/>
        <v>6</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3664</v>
      </c>
      <c r="D303" s="1" t="s">
        <v>3665</v>
      </c>
      <c r="E303" s="1" t="s">
        <v>3666</v>
      </c>
      <c r="F303" s="1" t="s">
        <v>112</v>
      </c>
      <c r="G303" s="1">
        <v>3902574</v>
      </c>
    </row>
    <row r="304" spans="1:10" x14ac:dyDescent="0.35">
      <c r="A304" s="1" t="str">
        <f t="shared" si="4"/>
        <v>6</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3667</v>
      </c>
      <c r="D304" s="1" t="s">
        <v>3668</v>
      </c>
      <c r="E304" s="1" t="s">
        <v>3669</v>
      </c>
      <c r="F304" s="1" t="s">
        <v>112</v>
      </c>
      <c r="G304" s="1">
        <v>3758194</v>
      </c>
    </row>
    <row r="305" spans="1:7" x14ac:dyDescent="0.35">
      <c r="A305" s="1" t="str">
        <f t="shared" si="4"/>
        <v>6</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3670</v>
      </c>
      <c r="D305" s="1" t="s">
        <v>3671</v>
      </c>
      <c r="E305" s="1" t="s">
        <v>3672</v>
      </c>
      <c r="F305" s="1" t="s">
        <v>112</v>
      </c>
      <c r="G305" s="1">
        <v>3000239</v>
      </c>
    </row>
    <row r="306" spans="1:7" x14ac:dyDescent="0.35">
      <c r="A306" s="1" t="str">
        <f t="shared" si="4"/>
        <v>6</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3673</v>
      </c>
      <c r="D306" s="1" t="s">
        <v>3674</v>
      </c>
      <c r="E306" s="1" t="s">
        <v>3675</v>
      </c>
      <c r="F306" s="1" t="s">
        <v>112</v>
      </c>
      <c r="G306" s="1">
        <v>2994053</v>
      </c>
    </row>
    <row r="307" spans="1:7" x14ac:dyDescent="0.35">
      <c r="A307" s="1" t="str">
        <f t="shared" si="4"/>
        <v>6</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3676</v>
      </c>
      <c r="D307" s="1" t="s">
        <v>813</v>
      </c>
      <c r="E307" s="1" t="s">
        <v>3677</v>
      </c>
      <c r="F307" s="1" t="s">
        <v>112</v>
      </c>
      <c r="G307" s="1">
        <v>3015251</v>
      </c>
    </row>
    <row r="308" spans="1:7" x14ac:dyDescent="0.35">
      <c r="A308" s="1" t="str">
        <f t="shared" si="4"/>
        <v>6</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3678</v>
      </c>
      <c r="D308" s="1" t="s">
        <v>3679</v>
      </c>
      <c r="E308" s="1" t="s">
        <v>3680</v>
      </c>
      <c r="F308" s="1" t="s">
        <v>112</v>
      </c>
      <c r="G308" s="1">
        <v>1426189</v>
      </c>
    </row>
    <row r="309" spans="1:7" x14ac:dyDescent="0.35">
      <c r="A309" s="1" t="str">
        <f t="shared" si="4"/>
        <v>6</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3681</v>
      </c>
      <c r="D309" s="1" t="s">
        <v>3682</v>
      </c>
      <c r="E309" s="1" t="s">
        <v>3683</v>
      </c>
      <c r="F309" s="1" t="s">
        <v>112</v>
      </c>
      <c r="G309" s="1">
        <v>1304131</v>
      </c>
    </row>
    <row r="310" spans="1:7" x14ac:dyDescent="0.35">
      <c r="A310" s="1" t="str">
        <f t="shared" si="4"/>
        <v>6</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3684</v>
      </c>
      <c r="D310" s="1" t="s">
        <v>3685</v>
      </c>
      <c r="E310" s="1" t="s">
        <v>3686</v>
      </c>
      <c r="F310" s="1" t="s">
        <v>112</v>
      </c>
      <c r="G310" s="1">
        <v>1137127</v>
      </c>
    </row>
    <row r="311" spans="1:7" x14ac:dyDescent="0.35">
      <c r="A311" s="1" t="str">
        <f t="shared" si="4"/>
        <v>6</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3687</v>
      </c>
      <c r="D311" s="1" t="s">
        <v>3688</v>
      </c>
      <c r="E311" s="1" t="s">
        <v>3689</v>
      </c>
      <c r="F311" s="1" t="s">
        <v>112</v>
      </c>
      <c r="G311" s="1">
        <v>5209841</v>
      </c>
    </row>
    <row r="312" spans="1:7" x14ac:dyDescent="0.35">
      <c r="A312" s="1" t="str">
        <f t="shared" si="4"/>
        <v>6</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3690</v>
      </c>
      <c r="D312" s="1" t="s">
        <v>3691</v>
      </c>
      <c r="E312" s="1" t="s">
        <v>3692</v>
      </c>
      <c r="F312" s="1" t="s">
        <v>112</v>
      </c>
      <c r="G312" s="1">
        <v>4787539</v>
      </c>
    </row>
    <row r="313" spans="1:7" x14ac:dyDescent="0.35">
      <c r="A313" s="1" t="str">
        <f t="shared" si="4"/>
        <v>6</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3693</v>
      </c>
      <c r="D313" s="1" t="s">
        <v>3694</v>
      </c>
      <c r="E313" s="1" t="s">
        <v>3695</v>
      </c>
      <c r="F313" s="1" t="s">
        <v>112</v>
      </c>
      <c r="G313" s="1">
        <v>5179624</v>
      </c>
    </row>
    <row r="314" spans="1:7" x14ac:dyDescent="0.35">
      <c r="A314" s="1" t="str">
        <f t="shared" si="4"/>
        <v>6</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3696</v>
      </c>
      <c r="D314" s="1" t="s">
        <v>3697</v>
      </c>
      <c r="E314" s="1" t="s">
        <v>3698</v>
      </c>
      <c r="F314" s="1" t="s">
        <v>112</v>
      </c>
      <c r="G314" s="1">
        <v>5059730</v>
      </c>
    </row>
    <row r="315" spans="1:7" x14ac:dyDescent="0.35">
      <c r="A315" s="1" t="str">
        <f t="shared" si="4"/>
        <v>6</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3699</v>
      </c>
      <c r="D315" s="1" t="s">
        <v>3700</v>
      </c>
      <c r="E315" s="1" t="s">
        <v>3701</v>
      </c>
      <c r="F315" s="1" t="s">
        <v>112</v>
      </c>
      <c r="G315" s="1">
        <v>4722844</v>
      </c>
    </row>
    <row r="316" spans="1:7" x14ac:dyDescent="0.35">
      <c r="A316" s="1" t="str">
        <f t="shared" si="4"/>
        <v>6</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3702</v>
      </c>
      <c r="D316" s="1" t="s">
        <v>3640</v>
      </c>
      <c r="E316" s="1" t="s">
        <v>3703</v>
      </c>
      <c r="F316" s="1" t="s">
        <v>112</v>
      </c>
      <c r="G316" s="1">
        <v>4635503</v>
      </c>
    </row>
    <row r="317" spans="1:7" x14ac:dyDescent="0.35">
      <c r="A317" s="1" t="str">
        <f t="shared" si="4"/>
        <v>6</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3704</v>
      </c>
      <c r="D317" s="1" t="s">
        <v>3705</v>
      </c>
      <c r="E317" s="1" t="s">
        <v>3706</v>
      </c>
      <c r="F317" s="1" t="s">
        <v>112</v>
      </c>
      <c r="G317" s="1">
        <v>1941283</v>
      </c>
    </row>
    <row r="318" spans="1:7" x14ac:dyDescent="0.35">
      <c r="A318" s="1" t="str">
        <f t="shared" si="4"/>
        <v>6</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3707</v>
      </c>
      <c r="D318" s="1" t="s">
        <v>3708</v>
      </c>
      <c r="E318" s="1" t="s">
        <v>3709</v>
      </c>
      <c r="F318" s="1" t="s">
        <v>112</v>
      </c>
      <c r="G318" s="1">
        <v>2286799</v>
      </c>
    </row>
    <row r="319" spans="1:7" x14ac:dyDescent="0.35">
      <c r="A319" s="1" t="str">
        <f t="shared" si="4"/>
        <v>6</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3710</v>
      </c>
      <c r="D319" s="1" t="s">
        <v>1919</v>
      </c>
      <c r="E319" s="1" t="s">
        <v>3711</v>
      </c>
      <c r="F319" s="1" t="s">
        <v>112</v>
      </c>
      <c r="G319" s="1">
        <v>2134741</v>
      </c>
    </row>
    <row r="320" spans="1:7" x14ac:dyDescent="0.35">
      <c r="A320" s="1" t="str">
        <f t="shared" si="4"/>
        <v>6</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3712</v>
      </c>
      <c r="D320" s="1" t="s">
        <v>3713</v>
      </c>
      <c r="E320" s="1" t="s">
        <v>3714</v>
      </c>
      <c r="F320" s="1" t="s">
        <v>112</v>
      </c>
      <c r="G320" s="1">
        <v>3673059</v>
      </c>
    </row>
    <row r="321" spans="1:10" x14ac:dyDescent="0.35">
      <c r="A321" s="1" t="str">
        <f t="shared" si="4"/>
        <v>6</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3715</v>
      </c>
      <c r="D321" s="1" t="s">
        <v>3716</v>
      </c>
      <c r="E321" s="1" t="s">
        <v>3717</v>
      </c>
      <c r="F321" s="1" t="s">
        <v>112</v>
      </c>
      <c r="G321" s="1">
        <v>3842897</v>
      </c>
    </row>
    <row r="322" spans="1:10" x14ac:dyDescent="0.35">
      <c r="A322" s="1" t="str">
        <f t="shared" ref="A322:A385" si="5">IFERROR(LEFT(RIGHT(C322,LEN(C322)-SEARCH("@",C322)),SEARCH("/",RIGHT(C322,LEN(C322)-SEARCH("@",C322)-1))),"")</f>
        <v>6</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3718</v>
      </c>
      <c r="D322" s="1" t="s">
        <v>3719</v>
      </c>
      <c r="E322" s="1" t="s">
        <v>3720</v>
      </c>
      <c r="F322" s="1" t="s">
        <v>112</v>
      </c>
      <c r="G322" s="1">
        <v>3998200</v>
      </c>
    </row>
    <row r="323" spans="1:10" x14ac:dyDescent="0.3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112</v>
      </c>
    </row>
    <row r="324" spans="1:10" x14ac:dyDescent="0.3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237</v>
      </c>
      <c r="D324" s="1" t="s">
        <v>112</v>
      </c>
      <c r="E324" s="1" t="s">
        <v>238</v>
      </c>
      <c r="F324" s="1" t="s">
        <v>239</v>
      </c>
      <c r="G324" s="1" t="s">
        <v>240</v>
      </c>
      <c r="H324" s="1" t="s">
        <v>241</v>
      </c>
      <c r="I324" s="1" t="s">
        <v>242</v>
      </c>
      <c r="J324" s="1" t="s">
        <v>243</v>
      </c>
    </row>
    <row r="325" spans="1:10" x14ac:dyDescent="0.35">
      <c r="A325" s="1" t="str">
        <f t="shared" si="5"/>
        <v>6</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 t="s">
        <v>3721</v>
      </c>
      <c r="D325" s="1" t="s">
        <v>112</v>
      </c>
      <c r="E325" s="1" t="s">
        <v>3722</v>
      </c>
      <c r="F325" s="1" t="s">
        <v>3723</v>
      </c>
      <c r="G325" s="1" t="s">
        <v>3724</v>
      </c>
      <c r="H325" s="1" t="s">
        <v>3725</v>
      </c>
      <c r="I325" s="1">
        <v>24</v>
      </c>
      <c r="J325" s="1">
        <v>24</v>
      </c>
    </row>
    <row r="326" spans="1:10" x14ac:dyDescent="0.3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10" x14ac:dyDescent="0.3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10" x14ac:dyDescent="0.3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10" x14ac:dyDescent="0.3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10" x14ac:dyDescent="0.3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10" x14ac:dyDescent="0.3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249</v>
      </c>
      <c r="D331" s="1" t="s">
        <v>110</v>
      </c>
      <c r="E331" s="1" t="s">
        <v>111</v>
      </c>
      <c r="F331" s="1" t="s">
        <v>112</v>
      </c>
      <c r="G331" s="1" t="s">
        <v>113</v>
      </c>
    </row>
    <row r="332" spans="1:10" x14ac:dyDescent="0.35">
      <c r="A332" s="1" t="str">
        <f t="shared" si="5"/>
        <v>7</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3726</v>
      </c>
      <c r="D332" s="1" t="s">
        <v>3727</v>
      </c>
      <c r="E332" s="1" t="s">
        <v>3728</v>
      </c>
      <c r="F332" s="1" t="s">
        <v>112</v>
      </c>
      <c r="G332" s="1">
        <v>3767906</v>
      </c>
    </row>
    <row r="333" spans="1:10" x14ac:dyDescent="0.35">
      <c r="A333" s="1" t="str">
        <f t="shared" si="5"/>
        <v>7</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3729</v>
      </c>
      <c r="D333" s="1" t="s">
        <v>3730</v>
      </c>
      <c r="E333" s="1" t="s">
        <v>3731</v>
      </c>
      <c r="F333" s="1" t="s">
        <v>112</v>
      </c>
      <c r="G333" s="1">
        <v>4926879</v>
      </c>
    </row>
    <row r="334" spans="1:10" x14ac:dyDescent="0.35">
      <c r="A334" s="1" t="str">
        <f t="shared" si="5"/>
        <v>7</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3732</v>
      </c>
      <c r="D334" s="1" t="s">
        <v>3733</v>
      </c>
      <c r="E334" s="1" t="s">
        <v>3734</v>
      </c>
      <c r="F334" s="1" t="s">
        <v>112</v>
      </c>
      <c r="G334" s="1">
        <v>4663600</v>
      </c>
    </row>
    <row r="335" spans="1:10" x14ac:dyDescent="0.35">
      <c r="A335" s="1" t="str">
        <f t="shared" si="5"/>
        <v>7</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3735</v>
      </c>
      <c r="D335" s="1" t="s">
        <v>3736</v>
      </c>
      <c r="E335" s="1" t="s">
        <v>3737</v>
      </c>
      <c r="F335" s="1" t="s">
        <v>112</v>
      </c>
      <c r="G335" s="1">
        <v>4231067</v>
      </c>
    </row>
    <row r="336" spans="1:10" x14ac:dyDescent="0.35">
      <c r="A336" s="1" t="str">
        <f t="shared" si="5"/>
        <v>7</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3738</v>
      </c>
    </row>
    <row r="337" spans="1:7" x14ac:dyDescent="0.35">
      <c r="A337" s="1" t="str">
        <f t="shared" si="5"/>
        <v>7</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3739</v>
      </c>
      <c r="D337" s="1" t="s">
        <v>3740</v>
      </c>
      <c r="E337" s="1" t="s">
        <v>3741</v>
      </c>
      <c r="F337" s="1" t="s">
        <v>112</v>
      </c>
      <c r="G337" s="1">
        <v>3755685</v>
      </c>
    </row>
    <row r="338" spans="1:7" x14ac:dyDescent="0.35">
      <c r="A338" s="1" t="str">
        <f t="shared" si="5"/>
        <v>7</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3742</v>
      </c>
      <c r="D338" s="1" t="s">
        <v>3743</v>
      </c>
      <c r="E338" s="1" t="s">
        <v>3744</v>
      </c>
      <c r="F338" s="1" t="s">
        <v>112</v>
      </c>
      <c r="G338" s="1">
        <v>2409700</v>
      </c>
    </row>
    <row r="339" spans="1:7" x14ac:dyDescent="0.35">
      <c r="A339" s="1" t="str">
        <f t="shared" si="5"/>
        <v>7</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3745</v>
      </c>
      <c r="D339" s="1" t="s">
        <v>3746</v>
      </c>
      <c r="E339" s="1" t="s">
        <v>3747</v>
      </c>
      <c r="F339" s="1" t="s">
        <v>112</v>
      </c>
      <c r="G339" s="1">
        <v>2267808</v>
      </c>
    </row>
    <row r="340" spans="1:7" x14ac:dyDescent="0.35">
      <c r="A340" s="1" t="str">
        <f t="shared" si="5"/>
        <v>7</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3748</v>
      </c>
      <c r="D340" s="1" t="s">
        <v>3749</v>
      </c>
      <c r="E340" s="1" t="s">
        <v>3750</v>
      </c>
      <c r="F340" s="1" t="s">
        <v>112</v>
      </c>
      <c r="G340" s="1">
        <v>2361941</v>
      </c>
    </row>
    <row r="341" spans="1:7" x14ac:dyDescent="0.35">
      <c r="A341" s="1" t="str">
        <f t="shared" si="5"/>
        <v>7</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3751</v>
      </c>
      <c r="D341" s="1" t="s">
        <v>3752</v>
      </c>
      <c r="E341" s="1" t="s">
        <v>3753</v>
      </c>
      <c r="F341" s="1" t="s">
        <v>112</v>
      </c>
      <c r="G341" s="1">
        <v>4603750</v>
      </c>
    </row>
    <row r="342" spans="1:7" x14ac:dyDescent="0.35">
      <c r="A342" s="1" t="str">
        <f t="shared" si="5"/>
        <v>7</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3754</v>
      </c>
      <c r="D342" s="1" t="s">
        <v>3733</v>
      </c>
      <c r="E342" s="1" t="s">
        <v>3755</v>
      </c>
      <c r="F342" s="1" t="s">
        <v>112</v>
      </c>
      <c r="G342" s="1">
        <v>4772506</v>
      </c>
    </row>
    <row r="343" spans="1:7" x14ac:dyDescent="0.35">
      <c r="A343" s="1" t="str">
        <f t="shared" si="5"/>
        <v>7</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3756</v>
      </c>
      <c r="D343" s="1" t="s">
        <v>3757</v>
      </c>
      <c r="E343" s="1" t="s">
        <v>3758</v>
      </c>
      <c r="F343" s="1" t="s">
        <v>112</v>
      </c>
      <c r="G343" s="1">
        <v>4768094</v>
      </c>
    </row>
    <row r="344" spans="1:7" x14ac:dyDescent="0.35">
      <c r="A344" s="1" t="str">
        <f t="shared" si="5"/>
        <v>7</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3759</v>
      </c>
    </row>
    <row r="345" spans="1:7" x14ac:dyDescent="0.35">
      <c r="A345" s="1" t="str">
        <f t="shared" si="5"/>
        <v>7</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3760</v>
      </c>
    </row>
    <row r="346" spans="1:7" x14ac:dyDescent="0.35">
      <c r="A346" s="1" t="str">
        <f t="shared" si="5"/>
        <v>7</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3761</v>
      </c>
    </row>
    <row r="347" spans="1:7" x14ac:dyDescent="0.35">
      <c r="A347" s="1" t="str">
        <f t="shared" si="5"/>
        <v>7</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3762</v>
      </c>
      <c r="D347" s="1" t="s">
        <v>3763</v>
      </c>
      <c r="E347" s="1" t="s">
        <v>3764</v>
      </c>
      <c r="F347" s="1" t="s">
        <v>112</v>
      </c>
      <c r="G347" s="1">
        <v>3741539</v>
      </c>
    </row>
    <row r="348" spans="1:7" x14ac:dyDescent="0.35">
      <c r="A348" s="1" t="str">
        <f t="shared" si="5"/>
        <v>7</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3765</v>
      </c>
      <c r="D348" s="1" t="s">
        <v>3766</v>
      </c>
      <c r="E348" s="1" t="s">
        <v>3767</v>
      </c>
      <c r="F348" s="1" t="s">
        <v>112</v>
      </c>
      <c r="G348" s="1">
        <v>3076269</v>
      </c>
    </row>
    <row r="349" spans="1:7" x14ac:dyDescent="0.35">
      <c r="A349" s="1" t="str">
        <f t="shared" si="5"/>
        <v>7</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3768</v>
      </c>
      <c r="D349" s="1" t="s">
        <v>1261</v>
      </c>
      <c r="E349" s="1" t="s">
        <v>3769</v>
      </c>
      <c r="F349" s="1" t="s">
        <v>112</v>
      </c>
      <c r="G349" s="1">
        <v>3149572</v>
      </c>
    </row>
    <row r="350" spans="1:7" x14ac:dyDescent="0.35">
      <c r="A350" s="1" t="str">
        <f t="shared" si="5"/>
        <v>7</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3770</v>
      </c>
      <c r="D350" s="1" t="s">
        <v>3771</v>
      </c>
      <c r="E350" s="1" t="s">
        <v>3772</v>
      </c>
      <c r="F350" s="1" t="s">
        <v>112</v>
      </c>
      <c r="G350" s="1">
        <v>4372721</v>
      </c>
    </row>
    <row r="351" spans="1:7" x14ac:dyDescent="0.35">
      <c r="A351" s="1" t="str">
        <f t="shared" si="5"/>
        <v>7</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3773</v>
      </c>
      <c r="D351" s="1" t="s">
        <v>3774</v>
      </c>
      <c r="E351" s="1" t="s">
        <v>3775</v>
      </c>
      <c r="F351" s="1" t="s">
        <v>112</v>
      </c>
      <c r="G351" s="1">
        <v>4875422</v>
      </c>
    </row>
    <row r="352" spans="1:7" x14ac:dyDescent="0.35">
      <c r="A352" s="1" t="str">
        <f t="shared" si="5"/>
        <v>7</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3776</v>
      </c>
      <c r="D352" s="1" t="s">
        <v>3771</v>
      </c>
      <c r="E352" s="1" t="s">
        <v>3777</v>
      </c>
      <c r="F352" s="1" t="s">
        <v>112</v>
      </c>
      <c r="G352" s="1">
        <v>4607103</v>
      </c>
    </row>
    <row r="353" spans="1:10" x14ac:dyDescent="0.35">
      <c r="A353" s="1" t="str">
        <f t="shared" si="5"/>
        <v>7</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3778</v>
      </c>
      <c r="D353" s="1" t="s">
        <v>3779</v>
      </c>
      <c r="E353" s="1" t="s">
        <v>3780</v>
      </c>
      <c r="F353" s="1" t="s">
        <v>112</v>
      </c>
      <c r="G353" s="1">
        <v>3335654</v>
      </c>
    </row>
    <row r="354" spans="1:10" x14ac:dyDescent="0.35">
      <c r="A354" s="1" t="str">
        <f t="shared" si="5"/>
        <v>7</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3781</v>
      </c>
      <c r="D354" s="1" t="s">
        <v>3782</v>
      </c>
      <c r="E354" s="1" t="s">
        <v>3783</v>
      </c>
      <c r="F354" s="1" t="s">
        <v>112</v>
      </c>
      <c r="G354" s="1">
        <v>3126580</v>
      </c>
    </row>
    <row r="355" spans="1:10" x14ac:dyDescent="0.35">
      <c r="A355" s="1" t="str">
        <f t="shared" si="5"/>
        <v>7</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3784</v>
      </c>
      <c r="D355" s="1" t="s">
        <v>3785</v>
      </c>
      <c r="E355" s="1" t="s">
        <v>3786</v>
      </c>
      <c r="F355" s="1" t="s">
        <v>112</v>
      </c>
      <c r="G355" s="1">
        <v>3065756</v>
      </c>
    </row>
    <row r="356" spans="1:10" x14ac:dyDescent="0.3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 t="s">
        <v>112</v>
      </c>
    </row>
    <row r="357" spans="1:10" x14ac:dyDescent="0.3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237</v>
      </c>
      <c r="D357" s="1" t="s">
        <v>112</v>
      </c>
      <c r="E357" s="1" t="s">
        <v>238</v>
      </c>
      <c r="F357" s="1" t="s">
        <v>239</v>
      </c>
      <c r="G357" s="1" t="s">
        <v>240</v>
      </c>
      <c r="H357" s="1" t="s">
        <v>241</v>
      </c>
      <c r="I357" s="1" t="s">
        <v>242</v>
      </c>
      <c r="J357" s="1" t="s">
        <v>243</v>
      </c>
    </row>
    <row r="358" spans="1:10" x14ac:dyDescent="0.35">
      <c r="A358" s="1" t="str">
        <f t="shared" si="5"/>
        <v>7</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 t="s">
        <v>3787</v>
      </c>
      <c r="D358" s="1" t="s">
        <v>112</v>
      </c>
      <c r="E358" s="1" t="s">
        <v>3788</v>
      </c>
      <c r="F358" s="1" t="s">
        <v>3789</v>
      </c>
      <c r="G358" s="1" t="s">
        <v>3790</v>
      </c>
      <c r="H358" s="1" t="s">
        <v>3791</v>
      </c>
      <c r="I358" s="1">
        <v>24</v>
      </c>
      <c r="J358" s="1">
        <v>24</v>
      </c>
    </row>
    <row r="359" spans="1:10" x14ac:dyDescent="0.3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112</v>
      </c>
    </row>
    <row r="360" spans="1:10" x14ac:dyDescent="0.3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10" x14ac:dyDescent="0.3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10" x14ac:dyDescent="0.3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10" x14ac:dyDescent="0.3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10" x14ac:dyDescent="0.3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249</v>
      </c>
      <c r="D364" s="1" t="s">
        <v>110</v>
      </c>
      <c r="E364" s="1" t="s">
        <v>111</v>
      </c>
      <c r="F364" s="1" t="s">
        <v>112</v>
      </c>
      <c r="G364" s="1" t="s">
        <v>113</v>
      </c>
    </row>
    <row r="365" spans="1:10" x14ac:dyDescent="0.35">
      <c r="A365" s="1" t="str">
        <f t="shared" si="5"/>
        <v>10</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3792</v>
      </c>
      <c r="D365" s="1" t="s">
        <v>1558</v>
      </c>
      <c r="E365" s="1" t="s">
        <v>3793</v>
      </c>
      <c r="F365" s="1" t="s">
        <v>112</v>
      </c>
      <c r="G365" s="1">
        <v>392085</v>
      </c>
    </row>
    <row r="366" spans="1:10" x14ac:dyDescent="0.35">
      <c r="A366" s="1" t="str">
        <f t="shared" si="5"/>
        <v>10</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3794</v>
      </c>
      <c r="D366" s="1" t="s">
        <v>3795</v>
      </c>
      <c r="E366" s="1" t="s">
        <v>3796</v>
      </c>
      <c r="F366" s="1" t="s">
        <v>112</v>
      </c>
      <c r="G366" s="1">
        <v>443737</v>
      </c>
    </row>
    <row r="367" spans="1:10" x14ac:dyDescent="0.35">
      <c r="A367" s="1" t="str">
        <f t="shared" si="5"/>
        <v>10</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3797</v>
      </c>
    </row>
    <row r="368" spans="1:10" x14ac:dyDescent="0.35">
      <c r="A368" s="1" t="str">
        <f t="shared" si="5"/>
        <v>10</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3798</v>
      </c>
      <c r="D368" s="1" t="s">
        <v>2507</v>
      </c>
      <c r="E368" s="1" t="s">
        <v>3799</v>
      </c>
      <c r="F368" s="1" t="s">
        <v>112</v>
      </c>
      <c r="G368" s="1">
        <v>2628897</v>
      </c>
    </row>
    <row r="369" spans="1:7" x14ac:dyDescent="0.35">
      <c r="A369" s="1" t="str">
        <f t="shared" si="5"/>
        <v>10</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3800</v>
      </c>
      <c r="D369" s="1" t="s">
        <v>807</v>
      </c>
      <c r="E369" s="1" t="s">
        <v>3801</v>
      </c>
      <c r="F369" s="1" t="s">
        <v>112</v>
      </c>
      <c r="G369" s="1">
        <v>2490228</v>
      </c>
    </row>
    <row r="370" spans="1:7" x14ac:dyDescent="0.35">
      <c r="A370" s="1" t="str">
        <f t="shared" si="5"/>
        <v>10</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3802</v>
      </c>
      <c r="D370" s="1" t="s">
        <v>3803</v>
      </c>
      <c r="E370" s="1" t="s">
        <v>3804</v>
      </c>
      <c r="F370" s="1" t="s">
        <v>112</v>
      </c>
      <c r="G370" s="1">
        <v>2146594</v>
      </c>
    </row>
    <row r="371" spans="1:7" x14ac:dyDescent="0.35">
      <c r="A371" s="1" t="str">
        <f t="shared" si="5"/>
        <v>10</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3805</v>
      </c>
      <c r="D371" s="1" t="s">
        <v>526</v>
      </c>
      <c r="E371" s="1" t="s">
        <v>3806</v>
      </c>
      <c r="F371" s="1" t="s">
        <v>112</v>
      </c>
      <c r="G371" s="1">
        <v>244245</v>
      </c>
    </row>
    <row r="372" spans="1:7" x14ac:dyDescent="0.35">
      <c r="A372" s="1" t="str">
        <f t="shared" si="5"/>
        <v>10</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3807</v>
      </c>
      <c r="D372" s="1" t="s">
        <v>3808</v>
      </c>
      <c r="E372" s="1" t="s">
        <v>3809</v>
      </c>
      <c r="F372" s="1" t="s">
        <v>112</v>
      </c>
      <c r="G372" s="1">
        <v>341406</v>
      </c>
    </row>
    <row r="373" spans="1:7" x14ac:dyDescent="0.35">
      <c r="A373" s="1" t="str">
        <f t="shared" si="5"/>
        <v>10</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3810</v>
      </c>
      <c r="D373" s="1" t="s">
        <v>1971</v>
      </c>
      <c r="E373" s="1" t="s">
        <v>3811</v>
      </c>
      <c r="F373" s="1" t="s">
        <v>112</v>
      </c>
      <c r="G373" s="1">
        <v>239508</v>
      </c>
    </row>
    <row r="374" spans="1:7" x14ac:dyDescent="0.35">
      <c r="A374" s="1" t="str">
        <f t="shared" si="5"/>
        <v>10</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3812</v>
      </c>
      <c r="D374" s="1" t="s">
        <v>3813</v>
      </c>
      <c r="E374" s="1" t="s">
        <v>3814</v>
      </c>
      <c r="F374" s="1" t="s">
        <v>112</v>
      </c>
      <c r="G374" s="1">
        <v>838137</v>
      </c>
    </row>
    <row r="375" spans="1:7" x14ac:dyDescent="0.35">
      <c r="A375" s="1" t="str">
        <f t="shared" si="5"/>
        <v>10</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3815</v>
      </c>
      <c r="D375" s="1" t="s">
        <v>3816</v>
      </c>
      <c r="E375" s="1" t="s">
        <v>3817</v>
      </c>
      <c r="F375" s="1" t="s">
        <v>112</v>
      </c>
      <c r="G375" s="1">
        <v>682315</v>
      </c>
    </row>
    <row r="376" spans="1:7" x14ac:dyDescent="0.35">
      <c r="A376" s="1" t="str">
        <f t="shared" si="5"/>
        <v>10</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3818</v>
      </c>
      <c r="D376" s="1" t="s">
        <v>3819</v>
      </c>
      <c r="E376" s="1" t="s">
        <v>3820</v>
      </c>
      <c r="F376" s="1" t="s">
        <v>112</v>
      </c>
      <c r="G376" s="1">
        <v>779303</v>
      </c>
    </row>
    <row r="377" spans="1:7" x14ac:dyDescent="0.35">
      <c r="A377" s="1" t="str">
        <f t="shared" si="5"/>
        <v>10</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3821</v>
      </c>
      <c r="D377" s="1" t="s">
        <v>3822</v>
      </c>
      <c r="E377" s="1" t="s">
        <v>3823</v>
      </c>
      <c r="F377" s="1" t="s">
        <v>112</v>
      </c>
      <c r="G377" s="1">
        <v>2123147</v>
      </c>
    </row>
    <row r="378" spans="1:7" x14ac:dyDescent="0.35">
      <c r="A378" s="1" t="str">
        <f t="shared" si="5"/>
        <v>10</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3824</v>
      </c>
      <c r="D378" s="1" t="s">
        <v>3825</v>
      </c>
      <c r="E378" s="1" t="s">
        <v>3826</v>
      </c>
      <c r="F378" s="1" t="s">
        <v>112</v>
      </c>
      <c r="G378" s="1">
        <v>2119557</v>
      </c>
    </row>
    <row r="379" spans="1:7" x14ac:dyDescent="0.35">
      <c r="A379" s="1" t="str">
        <f t="shared" si="5"/>
        <v>10</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3827</v>
      </c>
      <c r="D379" s="1" t="s">
        <v>845</v>
      </c>
      <c r="E379" s="1" t="s">
        <v>3828</v>
      </c>
      <c r="F379" s="1" t="s">
        <v>112</v>
      </c>
      <c r="G379" s="1">
        <v>2461936</v>
      </c>
    </row>
    <row r="380" spans="1:7" x14ac:dyDescent="0.35">
      <c r="A380" s="1" t="str">
        <f t="shared" si="5"/>
        <v>10</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3829</v>
      </c>
      <c r="D380" s="1" t="s">
        <v>3679</v>
      </c>
      <c r="E380" s="1" t="s">
        <v>3830</v>
      </c>
      <c r="F380" s="1" t="s">
        <v>112</v>
      </c>
      <c r="G380" s="1">
        <v>1645559</v>
      </c>
    </row>
    <row r="381" spans="1:7" x14ac:dyDescent="0.35">
      <c r="A381" s="1" t="str">
        <f t="shared" si="5"/>
        <v>10</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3831</v>
      </c>
      <c r="D381" s="1" t="s">
        <v>3832</v>
      </c>
      <c r="E381" s="1" t="s">
        <v>3833</v>
      </c>
      <c r="F381" s="1" t="s">
        <v>112</v>
      </c>
      <c r="G381" s="1">
        <v>1656569</v>
      </c>
    </row>
    <row r="382" spans="1:7" x14ac:dyDescent="0.35">
      <c r="A382" s="1" t="str">
        <f t="shared" si="5"/>
        <v>10</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3834</v>
      </c>
      <c r="D382" s="1" t="s">
        <v>3835</v>
      </c>
      <c r="E382" s="1" t="s">
        <v>3836</v>
      </c>
      <c r="F382" s="1" t="s">
        <v>112</v>
      </c>
      <c r="G382" s="1">
        <v>1608010</v>
      </c>
    </row>
    <row r="383" spans="1:7" x14ac:dyDescent="0.35">
      <c r="A383" s="1" t="str">
        <f t="shared" si="5"/>
        <v>10</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3837</v>
      </c>
      <c r="D383" s="1" t="s">
        <v>2537</v>
      </c>
      <c r="E383" s="1" t="s">
        <v>3838</v>
      </c>
      <c r="F383" s="1" t="s">
        <v>112</v>
      </c>
      <c r="G383" s="1">
        <v>2374162</v>
      </c>
    </row>
    <row r="384" spans="1:7" x14ac:dyDescent="0.35">
      <c r="A384" s="1" t="str">
        <f t="shared" si="5"/>
        <v>10</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3839</v>
      </c>
      <c r="D384" s="1" t="s">
        <v>3840</v>
      </c>
      <c r="E384" s="1" t="s">
        <v>3841</v>
      </c>
      <c r="F384" s="1" t="s">
        <v>112</v>
      </c>
      <c r="G384" s="1">
        <v>2269084</v>
      </c>
    </row>
    <row r="385" spans="1:10" x14ac:dyDescent="0.35">
      <c r="A385" s="1" t="str">
        <f t="shared" si="5"/>
        <v>10</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3842</v>
      </c>
      <c r="D385" s="1" t="s">
        <v>3843</v>
      </c>
      <c r="E385" s="1" t="s">
        <v>3844</v>
      </c>
      <c r="F385" s="1" t="s">
        <v>112</v>
      </c>
      <c r="G385" s="1">
        <v>2464316</v>
      </c>
    </row>
    <row r="386" spans="1:10" x14ac:dyDescent="0.35">
      <c r="A386" s="1" t="str">
        <f t="shared" ref="A386:A449" si="6">IFERROR(LEFT(RIGHT(C386,LEN(C386)-SEARCH("@",C386)),SEARCH("/",RIGHT(C386,LEN(C386)-SEARCH("@",C386)-1))),"")</f>
        <v>10</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3845</v>
      </c>
      <c r="D386" s="1" t="s">
        <v>3846</v>
      </c>
      <c r="E386" s="1" t="s">
        <v>3847</v>
      </c>
      <c r="F386" s="1" t="s">
        <v>112</v>
      </c>
      <c r="G386" s="1">
        <v>562464</v>
      </c>
    </row>
    <row r="387" spans="1:10" x14ac:dyDescent="0.35">
      <c r="A387" s="1" t="str">
        <f t="shared" si="6"/>
        <v>10</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3848</v>
      </c>
      <c r="D387" s="1" t="s">
        <v>3849</v>
      </c>
      <c r="E387" s="1" t="s">
        <v>3850</v>
      </c>
      <c r="F387" s="1" t="s">
        <v>112</v>
      </c>
      <c r="G387" s="1">
        <v>296027</v>
      </c>
    </row>
    <row r="388" spans="1:10" x14ac:dyDescent="0.35">
      <c r="A388" s="1" t="str">
        <f t="shared" si="6"/>
        <v>10</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3851</v>
      </c>
      <c r="D388" s="1" t="s">
        <v>3852</v>
      </c>
      <c r="E388" s="1" t="s">
        <v>3853</v>
      </c>
      <c r="F388" s="1" t="s">
        <v>112</v>
      </c>
      <c r="G388" s="1">
        <v>295010</v>
      </c>
    </row>
    <row r="389" spans="1:10" x14ac:dyDescent="0.3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 t="s">
        <v>112</v>
      </c>
    </row>
    <row r="390" spans="1:10" x14ac:dyDescent="0.3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237</v>
      </c>
      <c r="D390" s="1" t="s">
        <v>112</v>
      </c>
      <c r="E390" s="1" t="s">
        <v>238</v>
      </c>
      <c r="F390" s="1" t="s">
        <v>239</v>
      </c>
      <c r="G390" s="1" t="s">
        <v>240</v>
      </c>
      <c r="H390" s="1" t="s">
        <v>241</v>
      </c>
      <c r="I390" s="1" t="s">
        <v>242</v>
      </c>
      <c r="J390" s="1" t="s">
        <v>243</v>
      </c>
    </row>
    <row r="391" spans="1:10" x14ac:dyDescent="0.35">
      <c r="A391" s="1" t="str">
        <f t="shared" si="6"/>
        <v>10</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 t="s">
        <v>3854</v>
      </c>
      <c r="D391" s="1" t="s">
        <v>112</v>
      </c>
      <c r="E391" s="1" t="s">
        <v>3855</v>
      </c>
      <c r="F391" s="1" t="s">
        <v>3856</v>
      </c>
      <c r="G391" s="1" t="s">
        <v>3857</v>
      </c>
      <c r="H391" s="1" t="s">
        <v>3858</v>
      </c>
      <c r="I391" s="1">
        <v>24</v>
      </c>
      <c r="J391" s="1">
        <v>24</v>
      </c>
    </row>
    <row r="392" spans="1:10" x14ac:dyDescent="0.3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112</v>
      </c>
    </row>
    <row r="393" spans="1:10" x14ac:dyDescent="0.3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10" x14ac:dyDescent="0.3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10" x14ac:dyDescent="0.3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10" x14ac:dyDescent="0.3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10" x14ac:dyDescent="0.3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249</v>
      </c>
      <c r="D397" s="1" t="s">
        <v>110</v>
      </c>
      <c r="E397" s="1" t="s">
        <v>111</v>
      </c>
      <c r="F397" s="1" t="s">
        <v>112</v>
      </c>
      <c r="G397" s="1" t="s">
        <v>113</v>
      </c>
    </row>
    <row r="398" spans="1:10" x14ac:dyDescent="0.35">
      <c r="A398" s="1" t="str">
        <f t="shared" si="6"/>
        <v>11</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3859</v>
      </c>
      <c r="D398" s="1" t="s">
        <v>2523</v>
      </c>
      <c r="E398" s="1" t="s">
        <v>3860</v>
      </c>
      <c r="F398" s="1" t="s">
        <v>112</v>
      </c>
      <c r="G398" s="1">
        <v>3263259</v>
      </c>
    </row>
    <row r="399" spans="1:10" x14ac:dyDescent="0.35">
      <c r="A399" s="1" t="str">
        <f t="shared" si="6"/>
        <v>11</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3861</v>
      </c>
      <c r="D399" s="1" t="s">
        <v>3862</v>
      </c>
      <c r="E399" s="1" t="s">
        <v>3863</v>
      </c>
      <c r="F399" s="1" t="s">
        <v>112</v>
      </c>
      <c r="G399" s="1">
        <v>3769572</v>
      </c>
    </row>
    <row r="400" spans="1:10" x14ac:dyDescent="0.35">
      <c r="A400" s="1" t="str">
        <f t="shared" si="6"/>
        <v>11</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3864</v>
      </c>
      <c r="D400" s="1" t="s">
        <v>3865</v>
      </c>
      <c r="E400" s="1" t="s">
        <v>3866</v>
      </c>
      <c r="F400" s="1" t="s">
        <v>112</v>
      </c>
      <c r="G400" s="1">
        <v>3947239</v>
      </c>
    </row>
    <row r="401" spans="1:7" x14ac:dyDescent="0.35">
      <c r="A401" s="1" t="str">
        <f t="shared" si="6"/>
        <v>11</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3867</v>
      </c>
      <c r="D401" s="1" t="s">
        <v>3868</v>
      </c>
      <c r="E401" s="1" t="s">
        <v>3869</v>
      </c>
      <c r="F401" s="1" t="s">
        <v>112</v>
      </c>
      <c r="G401" s="1">
        <v>3690622</v>
      </c>
    </row>
    <row r="402" spans="1:7" x14ac:dyDescent="0.35">
      <c r="A402" s="1" t="str">
        <f t="shared" si="6"/>
        <v>11</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3870</v>
      </c>
      <c r="D402" s="1" t="s">
        <v>3871</v>
      </c>
      <c r="E402" s="1" t="s">
        <v>3872</v>
      </c>
      <c r="F402" s="1" t="s">
        <v>112</v>
      </c>
      <c r="G402" s="1">
        <v>3883777</v>
      </c>
    </row>
    <row r="403" spans="1:7" x14ac:dyDescent="0.35">
      <c r="A403" s="1" t="str">
        <f t="shared" si="6"/>
        <v>11</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3873</v>
      </c>
      <c r="D403" s="1" t="s">
        <v>3874</v>
      </c>
      <c r="E403" s="1" t="s">
        <v>3875</v>
      </c>
      <c r="F403" s="1" t="s">
        <v>112</v>
      </c>
      <c r="G403" s="1">
        <v>3462903</v>
      </c>
    </row>
    <row r="404" spans="1:7" x14ac:dyDescent="0.35">
      <c r="A404" s="1" t="str">
        <f t="shared" si="6"/>
        <v>11</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3876</v>
      </c>
      <c r="D404" s="1" t="s">
        <v>3877</v>
      </c>
      <c r="E404" s="1" t="s">
        <v>3878</v>
      </c>
      <c r="F404" s="1" t="s">
        <v>112</v>
      </c>
      <c r="G404" s="1">
        <v>2854649</v>
      </c>
    </row>
    <row r="405" spans="1:7" x14ac:dyDescent="0.35">
      <c r="A405" s="1" t="str">
        <f t="shared" si="6"/>
        <v>11</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3879</v>
      </c>
      <c r="D405" s="1" t="s">
        <v>3880</v>
      </c>
      <c r="E405" s="1" t="s">
        <v>3881</v>
      </c>
      <c r="F405" s="1" t="s">
        <v>112</v>
      </c>
      <c r="G405" s="1">
        <v>3229711</v>
      </c>
    </row>
    <row r="406" spans="1:7" x14ac:dyDescent="0.35">
      <c r="A406" s="1" t="str">
        <f t="shared" si="6"/>
        <v>11</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3882</v>
      </c>
      <c r="D406" s="1" t="s">
        <v>3883</v>
      </c>
      <c r="E406" s="1" t="s">
        <v>3884</v>
      </c>
      <c r="F406" s="1" t="s">
        <v>112</v>
      </c>
      <c r="G406" s="1">
        <v>3464633</v>
      </c>
    </row>
    <row r="407" spans="1:7" x14ac:dyDescent="0.35">
      <c r="A407" s="1" t="str">
        <f t="shared" si="6"/>
        <v>11</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3885</v>
      </c>
      <c r="D407" s="1" t="s">
        <v>3886</v>
      </c>
      <c r="E407" s="1" t="s">
        <v>3887</v>
      </c>
      <c r="F407" s="1" t="s">
        <v>112</v>
      </c>
      <c r="G407" s="1">
        <v>1414076</v>
      </c>
    </row>
    <row r="408" spans="1:7" x14ac:dyDescent="0.35">
      <c r="A408" s="1" t="str">
        <f t="shared" si="6"/>
        <v>11</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3888</v>
      </c>
      <c r="D408" s="1" t="s">
        <v>3889</v>
      </c>
      <c r="E408" s="1" t="s">
        <v>3890</v>
      </c>
      <c r="F408" s="1" t="s">
        <v>112</v>
      </c>
      <c r="G408" s="1">
        <v>1550755</v>
      </c>
    </row>
    <row r="409" spans="1:7" x14ac:dyDescent="0.35">
      <c r="A409" s="1" t="str">
        <f t="shared" si="6"/>
        <v>11</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3891</v>
      </c>
      <c r="D409" s="1" t="s">
        <v>3892</v>
      </c>
      <c r="E409" s="1" t="s">
        <v>3893</v>
      </c>
      <c r="F409" s="1" t="s">
        <v>112</v>
      </c>
      <c r="G409" s="1">
        <v>1279516</v>
      </c>
    </row>
    <row r="410" spans="1:7" x14ac:dyDescent="0.35">
      <c r="A410" s="1" t="str">
        <f t="shared" si="6"/>
        <v>11</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3894</v>
      </c>
      <c r="D410" s="1" t="s">
        <v>3895</v>
      </c>
      <c r="E410" s="1" t="s">
        <v>3896</v>
      </c>
      <c r="F410" s="1" t="s">
        <v>112</v>
      </c>
      <c r="G410" s="1">
        <v>3602481</v>
      </c>
    </row>
    <row r="411" spans="1:7" x14ac:dyDescent="0.35">
      <c r="A411" s="1" t="str">
        <f t="shared" si="6"/>
        <v>11</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3897</v>
      </c>
      <c r="D411" s="1" t="s">
        <v>3898</v>
      </c>
      <c r="E411" s="1" t="s">
        <v>3899</v>
      </c>
      <c r="F411" s="1" t="s">
        <v>112</v>
      </c>
      <c r="G411" s="1">
        <v>3595581</v>
      </c>
    </row>
    <row r="412" spans="1:7" x14ac:dyDescent="0.35">
      <c r="A412" s="1" t="str">
        <f t="shared" si="6"/>
        <v>11</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3900</v>
      </c>
      <c r="D412" s="1" t="s">
        <v>3901</v>
      </c>
      <c r="E412" s="1" t="s">
        <v>3902</v>
      </c>
      <c r="F412" s="1" t="s">
        <v>112</v>
      </c>
      <c r="G412" s="1">
        <v>4178679</v>
      </c>
    </row>
    <row r="413" spans="1:7" x14ac:dyDescent="0.35">
      <c r="A413" s="1" t="str">
        <f t="shared" si="6"/>
        <v>11</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3903</v>
      </c>
      <c r="D413" s="1" t="s">
        <v>932</v>
      </c>
      <c r="E413" s="1" t="s">
        <v>3904</v>
      </c>
      <c r="F413" s="1" t="s">
        <v>112</v>
      </c>
      <c r="G413" s="1">
        <v>2723031</v>
      </c>
    </row>
    <row r="414" spans="1:7" x14ac:dyDescent="0.35">
      <c r="A414" s="1" t="str">
        <f t="shared" si="6"/>
        <v>11</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3905</v>
      </c>
      <c r="D414" s="1" t="s">
        <v>3906</v>
      </c>
      <c r="E414" s="1" t="s">
        <v>3907</v>
      </c>
      <c r="F414" s="1" t="s">
        <v>112</v>
      </c>
      <c r="G414" s="1">
        <v>2497842</v>
      </c>
    </row>
    <row r="415" spans="1:7" x14ac:dyDescent="0.35">
      <c r="A415" s="1" t="str">
        <f t="shared" si="6"/>
        <v>11</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3908</v>
      </c>
      <c r="D415" s="1" t="s">
        <v>3909</v>
      </c>
      <c r="E415" s="1" t="s">
        <v>3910</v>
      </c>
      <c r="F415" s="1" t="s">
        <v>112</v>
      </c>
      <c r="G415" s="1">
        <v>2360124</v>
      </c>
    </row>
    <row r="416" spans="1:7" x14ac:dyDescent="0.35">
      <c r="A416" s="1" t="str">
        <f t="shared" si="6"/>
        <v>11</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3911</v>
      </c>
      <c r="D416" s="1" t="s">
        <v>3912</v>
      </c>
      <c r="E416" s="1" t="s">
        <v>3913</v>
      </c>
      <c r="F416" s="1" t="s">
        <v>112</v>
      </c>
      <c r="G416" s="1">
        <v>2912573</v>
      </c>
    </row>
    <row r="417" spans="1:10" x14ac:dyDescent="0.35">
      <c r="A417" s="1" t="str">
        <f t="shared" si="6"/>
        <v>11</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3914</v>
      </c>
      <c r="D417" s="1" t="s">
        <v>3915</v>
      </c>
      <c r="E417" s="1" t="s">
        <v>3916</v>
      </c>
      <c r="F417" s="1" t="s">
        <v>112</v>
      </c>
      <c r="G417" s="1">
        <v>2880713</v>
      </c>
    </row>
    <row r="418" spans="1:10" x14ac:dyDescent="0.35">
      <c r="A418" s="1" t="str">
        <f t="shared" si="6"/>
        <v>11</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3917</v>
      </c>
      <c r="D418" s="1" t="s">
        <v>3918</v>
      </c>
      <c r="E418" s="1" t="s">
        <v>3919</v>
      </c>
      <c r="F418" s="1" t="s">
        <v>112</v>
      </c>
      <c r="G418" s="1">
        <v>2753550</v>
      </c>
    </row>
    <row r="419" spans="1:10" x14ac:dyDescent="0.35">
      <c r="A419" s="1" t="str">
        <f t="shared" si="6"/>
        <v>11</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3920</v>
      </c>
      <c r="D419" s="1" t="s">
        <v>3921</v>
      </c>
      <c r="E419" s="1" t="s">
        <v>3922</v>
      </c>
      <c r="F419" s="1" t="s">
        <v>112</v>
      </c>
      <c r="G419" s="1">
        <v>2920468</v>
      </c>
    </row>
    <row r="420" spans="1:10" x14ac:dyDescent="0.35">
      <c r="A420" s="1" t="str">
        <f t="shared" si="6"/>
        <v>11</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3923</v>
      </c>
      <c r="D420" s="1" t="s">
        <v>3924</v>
      </c>
      <c r="E420" s="1" t="s">
        <v>3925</v>
      </c>
      <c r="F420" s="1" t="s">
        <v>112</v>
      </c>
      <c r="G420" s="1">
        <v>3356332</v>
      </c>
    </row>
    <row r="421" spans="1:10" x14ac:dyDescent="0.35">
      <c r="A421" s="1" t="str">
        <f t="shared" si="6"/>
        <v>11</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3926</v>
      </c>
      <c r="D421" s="1" t="s">
        <v>3927</v>
      </c>
      <c r="E421" s="1" t="s">
        <v>3928</v>
      </c>
      <c r="F421" s="1" t="s">
        <v>112</v>
      </c>
      <c r="G421" s="1">
        <v>3272841</v>
      </c>
    </row>
    <row r="422" spans="1:10" x14ac:dyDescent="0.3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 t="s">
        <v>112</v>
      </c>
    </row>
    <row r="423" spans="1:10" x14ac:dyDescent="0.3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237</v>
      </c>
      <c r="D423" s="1" t="s">
        <v>112</v>
      </c>
      <c r="E423" s="1" t="s">
        <v>238</v>
      </c>
      <c r="F423" s="1" t="s">
        <v>239</v>
      </c>
      <c r="G423" s="1" t="s">
        <v>240</v>
      </c>
      <c r="H423" s="1" t="s">
        <v>241</v>
      </c>
      <c r="I423" s="1" t="s">
        <v>242</v>
      </c>
      <c r="J423" s="1" t="s">
        <v>243</v>
      </c>
    </row>
    <row r="424" spans="1:10" x14ac:dyDescent="0.35">
      <c r="A424" s="1" t="str">
        <f t="shared" si="6"/>
        <v>11</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 t="s">
        <v>3929</v>
      </c>
      <c r="D424" s="1" t="s">
        <v>112</v>
      </c>
      <c r="E424" s="1" t="s">
        <v>3930</v>
      </c>
      <c r="F424" s="1" t="s">
        <v>3931</v>
      </c>
      <c r="G424" s="1" t="s">
        <v>3932</v>
      </c>
      <c r="H424" s="1" t="s">
        <v>3933</v>
      </c>
      <c r="I424" s="1">
        <v>24</v>
      </c>
      <c r="J424" s="1">
        <v>24</v>
      </c>
    </row>
    <row r="425" spans="1:10" x14ac:dyDescent="0.3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112</v>
      </c>
    </row>
    <row r="426" spans="1:10" x14ac:dyDescent="0.3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10" x14ac:dyDescent="0.3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10" x14ac:dyDescent="0.3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10" x14ac:dyDescent="0.3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10" x14ac:dyDescent="0.3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249</v>
      </c>
      <c r="D430" s="1" t="s">
        <v>110</v>
      </c>
      <c r="E430" s="1" t="s">
        <v>111</v>
      </c>
      <c r="F430" s="1" t="s">
        <v>112</v>
      </c>
      <c r="G430" s="1" t="s">
        <v>113</v>
      </c>
    </row>
    <row r="431" spans="1:10" x14ac:dyDescent="0.35">
      <c r="A431" s="1" t="str">
        <f t="shared" si="6"/>
        <v>12</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3934</v>
      </c>
      <c r="D431" s="1" t="s">
        <v>3935</v>
      </c>
      <c r="E431" s="1" t="s">
        <v>3936</v>
      </c>
      <c r="F431" s="1" t="s">
        <v>112</v>
      </c>
      <c r="G431" s="1">
        <v>4144418</v>
      </c>
    </row>
    <row r="432" spans="1:10" x14ac:dyDescent="0.35">
      <c r="A432" s="1" t="str">
        <f t="shared" si="6"/>
        <v>12</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3937</v>
      </c>
      <c r="D432" s="1" t="s">
        <v>3938</v>
      </c>
      <c r="E432" s="1" t="s">
        <v>3939</v>
      </c>
      <c r="F432" s="1" t="s">
        <v>112</v>
      </c>
      <c r="G432" s="1">
        <v>4073039</v>
      </c>
    </row>
    <row r="433" spans="1:7" x14ac:dyDescent="0.35">
      <c r="A433" s="1" t="str">
        <f t="shared" si="6"/>
        <v>12</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3940</v>
      </c>
      <c r="D433" s="1" t="s">
        <v>3941</v>
      </c>
      <c r="E433" s="1" t="s">
        <v>3942</v>
      </c>
      <c r="F433" s="1" t="s">
        <v>112</v>
      </c>
      <c r="G433" s="1">
        <v>4129255</v>
      </c>
    </row>
    <row r="434" spans="1:7" x14ac:dyDescent="0.35">
      <c r="A434" s="1" t="str">
        <f t="shared" si="6"/>
        <v>12</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3943</v>
      </c>
      <c r="D434" s="1" t="s">
        <v>3944</v>
      </c>
      <c r="E434" s="1" t="s">
        <v>3945</v>
      </c>
      <c r="F434" s="1" t="s">
        <v>112</v>
      </c>
      <c r="G434" s="1">
        <v>2893258</v>
      </c>
    </row>
    <row r="435" spans="1:7" x14ac:dyDescent="0.35">
      <c r="A435" s="1" t="str">
        <f t="shared" si="6"/>
        <v>12</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3946</v>
      </c>
      <c r="D435" s="1" t="s">
        <v>3947</v>
      </c>
      <c r="E435" s="1" t="s">
        <v>3948</v>
      </c>
      <c r="F435" s="1" t="s">
        <v>112</v>
      </c>
      <c r="G435" s="1">
        <v>2639496</v>
      </c>
    </row>
    <row r="436" spans="1:7" x14ac:dyDescent="0.35">
      <c r="A436" s="1" t="str">
        <f t="shared" si="6"/>
        <v>12</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3949</v>
      </c>
      <c r="D436" s="1" t="s">
        <v>3950</v>
      </c>
      <c r="E436" s="1" t="s">
        <v>3951</v>
      </c>
      <c r="F436" s="1" t="s">
        <v>112</v>
      </c>
      <c r="G436" s="1">
        <v>2947765</v>
      </c>
    </row>
    <row r="437" spans="1:7" x14ac:dyDescent="0.35">
      <c r="A437" s="1" t="str">
        <f t="shared" si="6"/>
        <v>12</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3952</v>
      </c>
      <c r="D437" s="1" t="s">
        <v>3953</v>
      </c>
      <c r="E437" s="1" t="s">
        <v>3954</v>
      </c>
      <c r="F437" s="1" t="s">
        <v>112</v>
      </c>
      <c r="G437" s="1">
        <v>4014595</v>
      </c>
    </row>
    <row r="438" spans="1:7" x14ac:dyDescent="0.35">
      <c r="A438" s="1" t="str">
        <f t="shared" si="6"/>
        <v>12</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3955</v>
      </c>
      <c r="D438" s="1" t="s">
        <v>3956</v>
      </c>
      <c r="E438" s="1" t="s">
        <v>3957</v>
      </c>
      <c r="F438" s="1" t="s">
        <v>112</v>
      </c>
      <c r="G438" s="1">
        <v>4250188</v>
      </c>
    </row>
    <row r="439" spans="1:7" x14ac:dyDescent="0.35">
      <c r="A439" s="1" t="str">
        <f t="shared" si="6"/>
        <v>12</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3958</v>
      </c>
      <c r="D439" s="1" t="s">
        <v>3959</v>
      </c>
      <c r="E439" s="1" t="s">
        <v>3960</v>
      </c>
      <c r="F439" s="1" t="s">
        <v>112</v>
      </c>
      <c r="G439" s="1">
        <v>4487965</v>
      </c>
    </row>
    <row r="440" spans="1:7" x14ac:dyDescent="0.35">
      <c r="A440" s="1" t="str">
        <f t="shared" si="6"/>
        <v>12</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3961</v>
      </c>
      <c r="D440" s="1" t="s">
        <v>3236</v>
      </c>
      <c r="E440" s="1" t="s">
        <v>3962</v>
      </c>
      <c r="F440" s="1" t="s">
        <v>112</v>
      </c>
      <c r="G440" s="1">
        <v>2427696</v>
      </c>
    </row>
    <row r="441" spans="1:7" x14ac:dyDescent="0.35">
      <c r="A441" s="1" t="str">
        <f t="shared" si="6"/>
        <v>12</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3963</v>
      </c>
      <c r="D441" s="1" t="s">
        <v>3964</v>
      </c>
      <c r="E441" s="1" t="s">
        <v>3965</v>
      </c>
      <c r="F441" s="1" t="s">
        <v>112</v>
      </c>
      <c r="G441" s="1">
        <v>2578456</v>
      </c>
    </row>
    <row r="442" spans="1:7" x14ac:dyDescent="0.35">
      <c r="A442" s="1" t="str">
        <f t="shared" si="6"/>
        <v>12</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3966</v>
      </c>
      <c r="D442" s="1" t="s">
        <v>3967</v>
      </c>
      <c r="E442" s="1" t="s">
        <v>3968</v>
      </c>
      <c r="F442" s="1" t="s">
        <v>112</v>
      </c>
      <c r="G442" s="1">
        <v>2903424</v>
      </c>
    </row>
    <row r="443" spans="1:7" x14ac:dyDescent="0.35">
      <c r="A443" s="1" t="str">
        <f t="shared" si="6"/>
        <v>12</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3969</v>
      </c>
      <c r="D443" s="1" t="s">
        <v>2548</v>
      </c>
      <c r="E443" s="1" t="s">
        <v>3970</v>
      </c>
      <c r="F443" s="1" t="s">
        <v>112</v>
      </c>
      <c r="G443" s="1">
        <v>2750198</v>
      </c>
    </row>
    <row r="444" spans="1:7" x14ac:dyDescent="0.35">
      <c r="A444" s="1" t="str">
        <f t="shared" si="6"/>
        <v>12</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3971</v>
      </c>
      <c r="D444" s="1" t="s">
        <v>3972</v>
      </c>
      <c r="E444" s="1" t="s">
        <v>3973</v>
      </c>
      <c r="F444" s="1" t="s">
        <v>112</v>
      </c>
      <c r="G444" s="1">
        <v>2657319</v>
      </c>
    </row>
    <row r="445" spans="1:7" x14ac:dyDescent="0.35">
      <c r="A445" s="1" t="str">
        <f t="shared" si="6"/>
        <v>12</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3974</v>
      </c>
      <c r="D445" s="1" t="s">
        <v>3972</v>
      </c>
      <c r="E445" s="1" t="s">
        <v>3975</v>
      </c>
      <c r="F445" s="1" t="s">
        <v>112</v>
      </c>
      <c r="G445" s="1">
        <v>2591759</v>
      </c>
    </row>
    <row r="446" spans="1:7" x14ac:dyDescent="0.35">
      <c r="A446" s="1" t="str">
        <f t="shared" si="6"/>
        <v>12</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3976</v>
      </c>
      <c r="D446" s="1" t="s">
        <v>3977</v>
      </c>
      <c r="E446" s="1" t="s">
        <v>3978</v>
      </c>
      <c r="F446" s="1" t="s">
        <v>112</v>
      </c>
      <c r="G446" s="1">
        <v>2955552</v>
      </c>
    </row>
    <row r="447" spans="1:7" x14ac:dyDescent="0.35">
      <c r="A447" s="1" t="str">
        <f t="shared" si="6"/>
        <v>12</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3979</v>
      </c>
      <c r="D447" s="1" t="s">
        <v>3980</v>
      </c>
      <c r="E447" s="1" t="s">
        <v>3981</v>
      </c>
      <c r="F447" s="1" t="s">
        <v>112</v>
      </c>
      <c r="G447" s="1">
        <v>3013758</v>
      </c>
    </row>
    <row r="448" spans="1:7" x14ac:dyDescent="0.35">
      <c r="A448" s="1" t="str">
        <f t="shared" si="6"/>
        <v>12</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3982</v>
      </c>
      <c r="D448" s="1" t="s">
        <v>3983</v>
      </c>
      <c r="E448" s="1" t="s">
        <v>3984</v>
      </c>
      <c r="F448" s="1" t="s">
        <v>112</v>
      </c>
      <c r="G448" s="1">
        <v>3081265</v>
      </c>
    </row>
    <row r="449" spans="1:10" x14ac:dyDescent="0.35">
      <c r="A449" s="1" t="str">
        <f t="shared" si="6"/>
        <v>12</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3985</v>
      </c>
      <c r="D449" s="1" t="s">
        <v>3986</v>
      </c>
      <c r="E449" s="1" t="s">
        <v>3987</v>
      </c>
      <c r="F449" s="1" t="s">
        <v>112</v>
      </c>
      <c r="G449" s="1">
        <v>1839125</v>
      </c>
    </row>
    <row r="450" spans="1:10" x14ac:dyDescent="0.35">
      <c r="A450" s="1" t="str">
        <f t="shared" ref="A450:A513" si="7">IFERROR(LEFT(RIGHT(C450,LEN(C450)-SEARCH("@",C450)),SEARCH("/",RIGHT(C450,LEN(C450)-SEARCH("@",C450)-1))),"")</f>
        <v>12</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3988</v>
      </c>
      <c r="D450" s="1" t="s">
        <v>1779</v>
      </c>
      <c r="E450" s="1" t="s">
        <v>3989</v>
      </c>
      <c r="F450" s="1" t="s">
        <v>112</v>
      </c>
      <c r="G450" s="1">
        <v>1395626</v>
      </c>
    </row>
    <row r="451" spans="1:10" x14ac:dyDescent="0.35">
      <c r="A451" s="1" t="str">
        <f t="shared" si="7"/>
        <v>12</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3990</v>
      </c>
      <c r="D451" s="1" t="s">
        <v>3991</v>
      </c>
      <c r="E451" s="1" t="s">
        <v>3992</v>
      </c>
      <c r="F451" s="1" t="s">
        <v>112</v>
      </c>
      <c r="G451" s="1">
        <v>2515319</v>
      </c>
    </row>
    <row r="452" spans="1:10" x14ac:dyDescent="0.35">
      <c r="A452" s="1" t="str">
        <f t="shared" si="7"/>
        <v>12</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3993</v>
      </c>
      <c r="D452" s="1" t="s">
        <v>750</v>
      </c>
      <c r="E452" s="1" t="s">
        <v>3994</v>
      </c>
      <c r="F452" s="1" t="s">
        <v>112</v>
      </c>
      <c r="G452" s="1">
        <v>3325921</v>
      </c>
    </row>
    <row r="453" spans="1:10" x14ac:dyDescent="0.35">
      <c r="A453" s="1" t="str">
        <f t="shared" si="7"/>
        <v>12</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3995</v>
      </c>
      <c r="D453" s="1" t="s">
        <v>3996</v>
      </c>
      <c r="E453" s="1" t="s">
        <v>3997</v>
      </c>
      <c r="F453" s="1" t="s">
        <v>112</v>
      </c>
      <c r="G453" s="1">
        <v>3445534</v>
      </c>
    </row>
    <row r="454" spans="1:10" x14ac:dyDescent="0.35">
      <c r="A454" s="1" t="str">
        <f t="shared" si="7"/>
        <v>12</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3998</v>
      </c>
      <c r="D454" s="1" t="s">
        <v>3999</v>
      </c>
      <c r="E454" s="1" t="s">
        <v>4000</v>
      </c>
      <c r="F454" s="1" t="s">
        <v>112</v>
      </c>
      <c r="G454" s="1">
        <v>3620996</v>
      </c>
    </row>
    <row r="455" spans="1:10" x14ac:dyDescent="0.3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 t="s">
        <v>112</v>
      </c>
    </row>
    <row r="456" spans="1:10" x14ac:dyDescent="0.3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237</v>
      </c>
      <c r="D456" s="1" t="s">
        <v>112</v>
      </c>
      <c r="E456" s="1" t="s">
        <v>238</v>
      </c>
      <c r="F456" s="1" t="s">
        <v>239</v>
      </c>
      <c r="G456" s="1" t="s">
        <v>240</v>
      </c>
      <c r="H456" s="1" t="s">
        <v>241</v>
      </c>
      <c r="I456" s="1" t="s">
        <v>242</v>
      </c>
      <c r="J456" s="1" t="s">
        <v>243</v>
      </c>
    </row>
    <row r="457" spans="1:10" x14ac:dyDescent="0.35">
      <c r="A457" s="1" t="str">
        <f t="shared" si="7"/>
        <v>12</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 t="s">
        <v>4001</v>
      </c>
      <c r="D457" s="1" t="s">
        <v>112</v>
      </c>
      <c r="E457" s="1" t="s">
        <v>4002</v>
      </c>
      <c r="F457" s="1" t="s">
        <v>4003</v>
      </c>
      <c r="G457" s="1" t="s">
        <v>4004</v>
      </c>
      <c r="H457" s="1" t="s">
        <v>4005</v>
      </c>
      <c r="I457" s="1">
        <v>24</v>
      </c>
      <c r="J457" s="1">
        <v>24</v>
      </c>
    </row>
    <row r="458" spans="1:10" x14ac:dyDescent="0.3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112</v>
      </c>
    </row>
    <row r="459" spans="1:10" x14ac:dyDescent="0.3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10" x14ac:dyDescent="0.3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10" x14ac:dyDescent="0.3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10" x14ac:dyDescent="0.3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10" x14ac:dyDescent="0.3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249</v>
      </c>
      <c r="D463" s="1" t="s">
        <v>110</v>
      </c>
      <c r="E463" s="1" t="s">
        <v>111</v>
      </c>
      <c r="F463" s="1" t="s">
        <v>112</v>
      </c>
      <c r="G463" s="1" t="s">
        <v>113</v>
      </c>
    </row>
    <row r="464" spans="1:10" x14ac:dyDescent="0.35">
      <c r="A464" s="1" t="str">
        <f t="shared" si="7"/>
        <v>17</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4006</v>
      </c>
      <c r="D464" s="1" t="s">
        <v>2171</v>
      </c>
      <c r="E464" s="1" t="s">
        <v>4007</v>
      </c>
      <c r="F464" s="1" t="s">
        <v>112</v>
      </c>
      <c r="G464" s="1">
        <v>133694</v>
      </c>
    </row>
    <row r="465" spans="1:7" x14ac:dyDescent="0.35">
      <c r="A465" s="1" t="str">
        <f t="shared" si="7"/>
        <v>17</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4008</v>
      </c>
      <c r="D465" s="1" t="s">
        <v>4009</v>
      </c>
      <c r="E465" s="1" t="s">
        <v>4010</v>
      </c>
      <c r="F465" s="1" t="s">
        <v>112</v>
      </c>
      <c r="G465" s="1">
        <v>266610</v>
      </c>
    </row>
    <row r="466" spans="1:7" x14ac:dyDescent="0.35">
      <c r="A466" s="1" t="str">
        <f t="shared" si="7"/>
        <v>17</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4011</v>
      </c>
      <c r="D466" s="1" t="s">
        <v>291</v>
      </c>
      <c r="E466" s="1" t="s">
        <v>4012</v>
      </c>
      <c r="F466" s="1" t="s">
        <v>112</v>
      </c>
      <c r="G466" s="1">
        <v>213552</v>
      </c>
    </row>
    <row r="467" spans="1:7" x14ac:dyDescent="0.35">
      <c r="A467" s="1" t="str">
        <f t="shared" si="7"/>
        <v>17</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4013</v>
      </c>
      <c r="D467" s="1" t="s">
        <v>676</v>
      </c>
      <c r="E467" s="1" t="s">
        <v>4014</v>
      </c>
      <c r="F467" s="1" t="s">
        <v>112</v>
      </c>
      <c r="G467" s="1">
        <v>706670</v>
      </c>
    </row>
    <row r="468" spans="1:7" x14ac:dyDescent="0.35">
      <c r="A468" s="1" t="str">
        <f t="shared" si="7"/>
        <v>17</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4015</v>
      </c>
      <c r="D468" s="1" t="s">
        <v>4016</v>
      </c>
      <c r="E468" s="1" t="s">
        <v>4017</v>
      </c>
      <c r="F468" s="1" t="s">
        <v>112</v>
      </c>
      <c r="G468" s="1">
        <v>710758</v>
      </c>
    </row>
    <row r="469" spans="1:7" x14ac:dyDescent="0.35">
      <c r="A469" s="1" t="str">
        <f t="shared" si="7"/>
        <v>17</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4018</v>
      </c>
      <c r="D469" s="1" t="s">
        <v>4019</v>
      </c>
      <c r="E469" s="1" t="s">
        <v>4020</v>
      </c>
      <c r="F469" s="1" t="s">
        <v>112</v>
      </c>
      <c r="G469" s="1">
        <v>626640</v>
      </c>
    </row>
    <row r="470" spans="1:7" x14ac:dyDescent="0.35">
      <c r="A470" s="1" t="str">
        <f t="shared" si="7"/>
        <v>17</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4021</v>
      </c>
      <c r="D470" s="1" t="s">
        <v>4022</v>
      </c>
      <c r="E470" s="1" t="s">
        <v>4023</v>
      </c>
      <c r="F470" s="1" t="s">
        <v>112</v>
      </c>
      <c r="G470" s="1">
        <v>2492975</v>
      </c>
    </row>
    <row r="471" spans="1:7" x14ac:dyDescent="0.35">
      <c r="A471" s="1" t="str">
        <f t="shared" si="7"/>
        <v>17</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4024</v>
      </c>
      <c r="D471" s="1" t="s">
        <v>4025</v>
      </c>
      <c r="E471" s="1" t="s">
        <v>4026</v>
      </c>
      <c r="F471" s="1" t="s">
        <v>112</v>
      </c>
      <c r="G471" s="1">
        <v>2269127</v>
      </c>
    </row>
    <row r="472" spans="1:7" x14ac:dyDescent="0.35">
      <c r="A472" s="1" t="str">
        <f t="shared" si="7"/>
        <v>17</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4027</v>
      </c>
      <c r="D472" s="1" t="s">
        <v>901</v>
      </c>
      <c r="E472" s="1" t="s">
        <v>4028</v>
      </c>
      <c r="F472" s="1" t="s">
        <v>112</v>
      </c>
      <c r="G472" s="1">
        <v>2574758</v>
      </c>
    </row>
    <row r="473" spans="1:7" x14ac:dyDescent="0.35">
      <c r="A473" s="1" t="str">
        <f t="shared" si="7"/>
        <v>17</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4029</v>
      </c>
    </row>
    <row r="474" spans="1:7" x14ac:dyDescent="0.35">
      <c r="A474" s="1" t="str">
        <f t="shared" si="7"/>
        <v>17</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4030</v>
      </c>
    </row>
    <row r="475" spans="1:7" x14ac:dyDescent="0.35">
      <c r="A475" s="1" t="str">
        <f t="shared" si="7"/>
        <v>17</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4031</v>
      </c>
    </row>
    <row r="476" spans="1:7" x14ac:dyDescent="0.35">
      <c r="A476" s="1" t="str">
        <f t="shared" si="7"/>
        <v>17</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4032</v>
      </c>
      <c r="D476" s="1" t="s">
        <v>4033</v>
      </c>
      <c r="E476" s="1" t="s">
        <v>4034</v>
      </c>
      <c r="F476" s="1" t="s">
        <v>112</v>
      </c>
      <c r="G476" s="1">
        <v>1329373</v>
      </c>
    </row>
    <row r="477" spans="1:7" x14ac:dyDescent="0.35">
      <c r="A477" s="1" t="str">
        <f t="shared" si="7"/>
        <v>17</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4035</v>
      </c>
      <c r="D477" s="1" t="s">
        <v>1755</v>
      </c>
      <c r="E477" s="1" t="s">
        <v>4036</v>
      </c>
      <c r="F477" s="1" t="s">
        <v>112</v>
      </c>
      <c r="G477" s="1">
        <v>1128583</v>
      </c>
    </row>
    <row r="478" spans="1:7" x14ac:dyDescent="0.35">
      <c r="A478" s="1" t="str">
        <f t="shared" si="7"/>
        <v>17</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4037</v>
      </c>
      <c r="D478" s="1" t="s">
        <v>1803</v>
      </c>
      <c r="E478" s="1" t="s">
        <v>4038</v>
      </c>
      <c r="F478" s="1" t="s">
        <v>112</v>
      </c>
      <c r="G478" s="1">
        <v>1161460</v>
      </c>
    </row>
    <row r="479" spans="1:7" x14ac:dyDescent="0.35">
      <c r="A479" s="1" t="str">
        <f t="shared" si="7"/>
        <v>17</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4039</v>
      </c>
      <c r="D479" s="1" t="s">
        <v>4040</v>
      </c>
      <c r="E479" s="1" t="s">
        <v>4041</v>
      </c>
      <c r="F479" s="1" t="s">
        <v>112</v>
      </c>
      <c r="G479" s="1">
        <v>2083197</v>
      </c>
    </row>
    <row r="480" spans="1:7" x14ac:dyDescent="0.35">
      <c r="A480" s="1" t="str">
        <f t="shared" si="7"/>
        <v>17</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4042</v>
      </c>
      <c r="D480" s="1" t="s">
        <v>4043</v>
      </c>
      <c r="E480" s="1" t="s">
        <v>4044</v>
      </c>
      <c r="F480" s="1" t="s">
        <v>112</v>
      </c>
      <c r="G480" s="1">
        <v>2217475</v>
      </c>
    </row>
    <row r="481" spans="1:10" x14ac:dyDescent="0.35">
      <c r="A481" s="1" t="str">
        <f t="shared" si="7"/>
        <v>17</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4045</v>
      </c>
      <c r="D481" s="1" t="s">
        <v>3972</v>
      </c>
      <c r="E481" s="1" t="s">
        <v>4046</v>
      </c>
      <c r="F481" s="1" t="s">
        <v>112</v>
      </c>
      <c r="G481" s="1">
        <v>2133292</v>
      </c>
    </row>
    <row r="482" spans="1:10" x14ac:dyDescent="0.35">
      <c r="A482" s="1" t="str">
        <f t="shared" si="7"/>
        <v>17</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4047</v>
      </c>
      <c r="D482" s="1" t="s">
        <v>3398</v>
      </c>
      <c r="E482" s="1" t="s">
        <v>4048</v>
      </c>
      <c r="F482" s="1" t="s">
        <v>112</v>
      </c>
      <c r="G482" s="1">
        <v>215304</v>
      </c>
    </row>
    <row r="483" spans="1:10" x14ac:dyDescent="0.35">
      <c r="A483" s="1" t="str">
        <f t="shared" si="7"/>
        <v>17</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4049</v>
      </c>
      <c r="D483" s="1" t="s">
        <v>1715</v>
      </c>
      <c r="E483" s="1" t="s">
        <v>4050</v>
      </c>
      <c r="F483" s="1" t="s">
        <v>112</v>
      </c>
      <c r="G483" s="1">
        <v>170033</v>
      </c>
    </row>
    <row r="484" spans="1:10" x14ac:dyDescent="0.35">
      <c r="A484" s="1" t="str">
        <f t="shared" si="7"/>
        <v>17</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4051</v>
      </c>
      <c r="D484" s="1" t="s">
        <v>4052</v>
      </c>
      <c r="E484" s="1" t="s">
        <v>4053</v>
      </c>
      <c r="F484" s="1" t="s">
        <v>112</v>
      </c>
      <c r="G484" s="1">
        <v>190062</v>
      </c>
    </row>
    <row r="485" spans="1:10" x14ac:dyDescent="0.35">
      <c r="A485" s="1" t="str">
        <f t="shared" si="7"/>
        <v>17</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4054</v>
      </c>
      <c r="D485" s="1" t="s">
        <v>4055</v>
      </c>
      <c r="E485" s="1" t="s">
        <v>4056</v>
      </c>
      <c r="F485" s="1" t="s">
        <v>112</v>
      </c>
      <c r="G485" s="1">
        <v>126167</v>
      </c>
    </row>
    <row r="486" spans="1:10" x14ac:dyDescent="0.35">
      <c r="A486" s="1" t="str">
        <f t="shared" si="7"/>
        <v>17</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4057</v>
      </c>
      <c r="D486" s="1" t="s">
        <v>4058</v>
      </c>
      <c r="E486" s="1" t="s">
        <v>4059</v>
      </c>
      <c r="F486" s="1" t="s">
        <v>112</v>
      </c>
      <c r="G486" s="1">
        <v>54875</v>
      </c>
    </row>
    <row r="487" spans="1:10" x14ac:dyDescent="0.35">
      <c r="A487" s="1" t="str">
        <f t="shared" si="7"/>
        <v>17</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4060</v>
      </c>
      <c r="D487" s="1" t="s">
        <v>1700</v>
      </c>
      <c r="E487" s="1" t="s">
        <v>4061</v>
      </c>
      <c r="F487" s="1" t="s">
        <v>112</v>
      </c>
      <c r="G487" s="1">
        <v>21046</v>
      </c>
    </row>
    <row r="488" spans="1:10" x14ac:dyDescent="0.3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112</v>
      </c>
    </row>
    <row r="489" spans="1:10" x14ac:dyDescent="0.3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237</v>
      </c>
      <c r="D489" s="1" t="s">
        <v>112</v>
      </c>
      <c r="E489" s="1" t="s">
        <v>238</v>
      </c>
      <c r="F489" s="1" t="s">
        <v>239</v>
      </c>
      <c r="G489" s="1" t="s">
        <v>240</v>
      </c>
      <c r="H489" s="1" t="s">
        <v>241</v>
      </c>
      <c r="I489" s="1" t="s">
        <v>242</v>
      </c>
      <c r="J489" s="1" t="s">
        <v>243</v>
      </c>
    </row>
    <row r="490" spans="1:10" x14ac:dyDescent="0.35">
      <c r="A490" s="1" t="str">
        <f t="shared" si="7"/>
        <v>17</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 t="s">
        <v>4062</v>
      </c>
      <c r="D490" s="1" t="s">
        <v>112</v>
      </c>
      <c r="E490" s="1" t="s">
        <v>4063</v>
      </c>
      <c r="F490" s="1" t="s">
        <v>4064</v>
      </c>
      <c r="G490" s="1" t="s">
        <v>4065</v>
      </c>
      <c r="H490" s="1" t="s">
        <v>4066</v>
      </c>
      <c r="I490" s="1">
        <v>22</v>
      </c>
      <c r="J490" s="1">
        <v>24</v>
      </c>
    </row>
    <row r="491" spans="1:10" x14ac:dyDescent="0.3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10" x14ac:dyDescent="0.3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10" x14ac:dyDescent="0.3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10" x14ac:dyDescent="0.3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10" x14ac:dyDescent="0.3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10" x14ac:dyDescent="0.3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249</v>
      </c>
      <c r="D496" s="1" t="s">
        <v>110</v>
      </c>
      <c r="E496" s="1" t="s">
        <v>111</v>
      </c>
      <c r="F496" s="1" t="s">
        <v>112</v>
      </c>
      <c r="G496" s="1" t="s">
        <v>113</v>
      </c>
    </row>
    <row r="497" spans="1:7" x14ac:dyDescent="0.35">
      <c r="A497" s="1" t="str">
        <f t="shared" si="7"/>
        <v>18</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4067</v>
      </c>
      <c r="D497" s="1" t="s">
        <v>4068</v>
      </c>
      <c r="E497" s="1" t="s">
        <v>4069</v>
      </c>
      <c r="F497" s="1" t="s">
        <v>112</v>
      </c>
      <c r="G497" s="1">
        <v>1165765</v>
      </c>
    </row>
    <row r="498" spans="1:7" x14ac:dyDescent="0.35">
      <c r="A498" s="1" t="str">
        <f t="shared" si="7"/>
        <v>18</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4070</v>
      </c>
    </row>
    <row r="499" spans="1:7" x14ac:dyDescent="0.35">
      <c r="A499" s="1" t="str">
        <f t="shared" si="7"/>
        <v>18</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4071</v>
      </c>
      <c r="D499" s="1" t="s">
        <v>4072</v>
      </c>
      <c r="E499" s="1" t="s">
        <v>4073</v>
      </c>
      <c r="F499" s="1" t="s">
        <v>112</v>
      </c>
      <c r="G499" s="1">
        <v>1088524</v>
      </c>
    </row>
    <row r="500" spans="1:7" x14ac:dyDescent="0.35">
      <c r="A500" s="1" t="str">
        <f t="shared" si="7"/>
        <v>18</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4074</v>
      </c>
      <c r="D500" s="1" t="s">
        <v>4075</v>
      </c>
      <c r="E500" s="1" t="s">
        <v>4076</v>
      </c>
      <c r="F500" s="1" t="s">
        <v>112</v>
      </c>
      <c r="G500" s="1">
        <v>3146263</v>
      </c>
    </row>
    <row r="501" spans="1:7" x14ac:dyDescent="0.35">
      <c r="A501" s="1" t="str">
        <f t="shared" si="7"/>
        <v>18</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4077</v>
      </c>
      <c r="D501" s="1" t="s">
        <v>4078</v>
      </c>
      <c r="E501" s="1" t="s">
        <v>4079</v>
      </c>
      <c r="F501" s="1" t="s">
        <v>112</v>
      </c>
      <c r="G501" s="1">
        <v>3009302</v>
      </c>
    </row>
    <row r="502" spans="1:7" x14ac:dyDescent="0.35">
      <c r="A502" s="1" t="str">
        <f t="shared" si="7"/>
        <v>18</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4080</v>
      </c>
      <c r="D502" s="1" t="s">
        <v>4081</v>
      </c>
      <c r="E502" s="1" t="s">
        <v>4082</v>
      </c>
      <c r="F502" s="1" t="s">
        <v>112</v>
      </c>
      <c r="G502" s="1">
        <v>2912098</v>
      </c>
    </row>
    <row r="503" spans="1:7" x14ac:dyDescent="0.35">
      <c r="A503" s="1" t="str">
        <f t="shared" si="7"/>
        <v>18</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4083</v>
      </c>
      <c r="D503" s="1" t="s">
        <v>4084</v>
      </c>
      <c r="E503" s="1" t="s">
        <v>4085</v>
      </c>
      <c r="F503" s="1" t="s">
        <v>112</v>
      </c>
      <c r="G503" s="1">
        <v>1737832</v>
      </c>
    </row>
    <row r="504" spans="1:7" x14ac:dyDescent="0.35">
      <c r="A504" s="1" t="str">
        <f t="shared" si="7"/>
        <v>18</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4086</v>
      </c>
      <c r="D504" s="1" t="s">
        <v>4087</v>
      </c>
      <c r="E504" s="1" t="s">
        <v>4088</v>
      </c>
      <c r="F504" s="1" t="s">
        <v>112</v>
      </c>
      <c r="G504" s="1">
        <v>1630591</v>
      </c>
    </row>
    <row r="505" spans="1:7" x14ac:dyDescent="0.35">
      <c r="A505" s="1" t="str">
        <f t="shared" si="7"/>
        <v>18</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4089</v>
      </c>
      <c r="D505" s="1" t="s">
        <v>4090</v>
      </c>
      <c r="E505" s="1" t="s">
        <v>4091</v>
      </c>
      <c r="F505" s="1" t="s">
        <v>112</v>
      </c>
      <c r="G505" s="1">
        <v>1800559</v>
      </c>
    </row>
    <row r="506" spans="1:7" x14ac:dyDescent="0.35">
      <c r="A506" s="1" t="str">
        <f t="shared" si="7"/>
        <v>18</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4092</v>
      </c>
      <c r="D506" s="1" t="s">
        <v>4093</v>
      </c>
      <c r="E506" s="1" t="s">
        <v>4094</v>
      </c>
      <c r="F506" s="1" t="s">
        <v>112</v>
      </c>
      <c r="G506" s="1">
        <v>1187157</v>
      </c>
    </row>
    <row r="507" spans="1:7" x14ac:dyDescent="0.35">
      <c r="A507" s="1" t="str">
        <f t="shared" si="7"/>
        <v>18</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4095</v>
      </c>
      <c r="D507" s="1" t="s">
        <v>653</v>
      </c>
      <c r="E507" s="1" t="s">
        <v>1577</v>
      </c>
      <c r="F507" s="1" t="s">
        <v>112</v>
      </c>
      <c r="G507" s="1">
        <v>754667</v>
      </c>
    </row>
    <row r="508" spans="1:7" x14ac:dyDescent="0.35">
      <c r="A508" s="1" t="str">
        <f t="shared" si="7"/>
        <v>18</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4096</v>
      </c>
      <c r="D508" s="1" t="s">
        <v>4097</v>
      </c>
      <c r="E508" s="1" t="s">
        <v>4098</v>
      </c>
      <c r="F508" s="1" t="s">
        <v>112</v>
      </c>
      <c r="G508" s="1">
        <v>984052</v>
      </c>
    </row>
    <row r="509" spans="1:7" x14ac:dyDescent="0.35">
      <c r="A509" s="1" t="str">
        <f t="shared" si="7"/>
        <v>18</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4099</v>
      </c>
    </row>
    <row r="510" spans="1:7" x14ac:dyDescent="0.35">
      <c r="A510" s="1" t="str">
        <f t="shared" si="7"/>
        <v>18</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4100</v>
      </c>
      <c r="D510" s="1" t="s">
        <v>156</v>
      </c>
      <c r="E510" s="1" t="s">
        <v>4101</v>
      </c>
      <c r="F510" s="1" t="s">
        <v>112</v>
      </c>
      <c r="G510" s="1">
        <v>586538</v>
      </c>
    </row>
    <row r="511" spans="1:7" x14ac:dyDescent="0.35">
      <c r="A511" s="1" t="str">
        <f t="shared" si="7"/>
        <v>18</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4102</v>
      </c>
    </row>
    <row r="512" spans="1:7" x14ac:dyDescent="0.35">
      <c r="A512" s="1" t="str">
        <f t="shared" si="7"/>
        <v>18</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4103</v>
      </c>
      <c r="D512" s="1" t="s">
        <v>2016</v>
      </c>
      <c r="E512" s="1" t="s">
        <v>4104</v>
      </c>
      <c r="F512" s="1" t="s">
        <v>112</v>
      </c>
      <c r="G512" s="1">
        <v>66166</v>
      </c>
    </row>
    <row r="513" spans="1:10" x14ac:dyDescent="0.35">
      <c r="A513" s="1" t="str">
        <f t="shared" si="7"/>
        <v>18</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4105</v>
      </c>
      <c r="D513" s="1" t="s">
        <v>4106</v>
      </c>
      <c r="E513" s="1" t="s">
        <v>4107</v>
      </c>
      <c r="F513" s="1" t="s">
        <v>112</v>
      </c>
      <c r="G513" s="1">
        <v>63851</v>
      </c>
    </row>
    <row r="514" spans="1:10" x14ac:dyDescent="0.35">
      <c r="A514" s="1" t="str">
        <f t="shared" ref="A514:A577" si="8">IFERROR(LEFT(RIGHT(C514,LEN(C514)-SEARCH("@",C514)),SEARCH("/",RIGHT(C514,LEN(C514)-SEARCH("@",C514)-1))),"")</f>
        <v>18</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4108</v>
      </c>
    </row>
    <row r="515" spans="1:10" x14ac:dyDescent="0.35">
      <c r="A515" s="1" t="str">
        <f t="shared" si="8"/>
        <v>18</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4109</v>
      </c>
    </row>
    <row r="516" spans="1:10" x14ac:dyDescent="0.35">
      <c r="A516" s="1" t="str">
        <f t="shared" si="8"/>
        <v>18</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4110</v>
      </c>
    </row>
    <row r="517" spans="1:10" x14ac:dyDescent="0.35">
      <c r="A517" s="1" t="str">
        <f t="shared" si="8"/>
        <v>18</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4111</v>
      </c>
      <c r="D517" s="1" t="s">
        <v>3519</v>
      </c>
      <c r="E517" s="1" t="s">
        <v>4112</v>
      </c>
      <c r="F517" s="1" t="s">
        <v>112</v>
      </c>
      <c r="G517" s="1">
        <v>896905</v>
      </c>
    </row>
    <row r="518" spans="1:10" x14ac:dyDescent="0.35">
      <c r="A518" s="1" t="str">
        <f t="shared" si="8"/>
        <v>18</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4113</v>
      </c>
      <c r="D518" s="1" t="s">
        <v>4114</v>
      </c>
      <c r="E518" s="1" t="s">
        <v>4115</v>
      </c>
      <c r="F518" s="1" t="s">
        <v>112</v>
      </c>
      <c r="G518" s="1">
        <v>3205421</v>
      </c>
    </row>
    <row r="519" spans="1:10" x14ac:dyDescent="0.35">
      <c r="A519" s="1" t="str">
        <f t="shared" si="8"/>
        <v>18</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4116</v>
      </c>
      <c r="D519" s="1" t="s">
        <v>4117</v>
      </c>
      <c r="E519" s="1" t="s">
        <v>4118</v>
      </c>
      <c r="F519" s="1" t="s">
        <v>112</v>
      </c>
      <c r="G519" s="1">
        <v>2617953</v>
      </c>
    </row>
    <row r="520" spans="1:10" x14ac:dyDescent="0.35">
      <c r="A520" s="1" t="str">
        <f t="shared" si="8"/>
        <v>18</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4119</v>
      </c>
      <c r="D520" s="1" t="s">
        <v>4120</v>
      </c>
      <c r="E520" s="1" t="s">
        <v>879</v>
      </c>
      <c r="F520" s="1" t="s">
        <v>112</v>
      </c>
      <c r="G520" s="1">
        <v>2608782</v>
      </c>
    </row>
    <row r="521" spans="1:10" x14ac:dyDescent="0.3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 t="s">
        <v>112</v>
      </c>
    </row>
    <row r="522" spans="1:10" x14ac:dyDescent="0.3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237</v>
      </c>
      <c r="D522" s="1" t="s">
        <v>112</v>
      </c>
      <c r="E522" s="1" t="s">
        <v>238</v>
      </c>
      <c r="F522" s="1" t="s">
        <v>239</v>
      </c>
      <c r="G522" s="1" t="s">
        <v>240</v>
      </c>
      <c r="H522" s="1" t="s">
        <v>241</v>
      </c>
      <c r="I522" s="1" t="s">
        <v>242</v>
      </c>
      <c r="J522" s="1" t="s">
        <v>243</v>
      </c>
    </row>
    <row r="523" spans="1:10" x14ac:dyDescent="0.35">
      <c r="A523" s="1" t="str">
        <f t="shared" si="8"/>
        <v>18</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 t="s">
        <v>4121</v>
      </c>
      <c r="D523" s="1" t="s">
        <v>112</v>
      </c>
      <c r="E523" s="1" t="s">
        <v>4122</v>
      </c>
      <c r="F523" s="1" t="s">
        <v>4123</v>
      </c>
      <c r="G523" s="1" t="s">
        <v>4124</v>
      </c>
      <c r="H523" s="1" t="s">
        <v>4125</v>
      </c>
      <c r="I523" s="1">
        <v>24</v>
      </c>
      <c r="J523" s="1">
        <v>24</v>
      </c>
    </row>
    <row r="524" spans="1:10" x14ac:dyDescent="0.3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112</v>
      </c>
    </row>
    <row r="525" spans="1:10" x14ac:dyDescent="0.3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10" x14ac:dyDescent="0.3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10" x14ac:dyDescent="0.3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10" x14ac:dyDescent="0.3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3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249</v>
      </c>
      <c r="D529" s="1" t="s">
        <v>110</v>
      </c>
      <c r="E529" s="1" t="s">
        <v>111</v>
      </c>
      <c r="F529" s="1" t="s">
        <v>112</v>
      </c>
      <c r="G529" s="1" t="s">
        <v>113</v>
      </c>
    </row>
    <row r="530" spans="1:7" x14ac:dyDescent="0.35">
      <c r="A530" s="1" t="str">
        <f t="shared" si="8"/>
        <v>19</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4126</v>
      </c>
    </row>
    <row r="531" spans="1:7" x14ac:dyDescent="0.35">
      <c r="A531" s="1" t="str">
        <f t="shared" si="8"/>
        <v>19</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4127</v>
      </c>
      <c r="D531" s="1" t="s">
        <v>4128</v>
      </c>
      <c r="E531" s="1" t="s">
        <v>4129</v>
      </c>
      <c r="F531" s="1" t="s">
        <v>112</v>
      </c>
      <c r="G531" s="1">
        <v>2988019</v>
      </c>
    </row>
    <row r="532" spans="1:7" x14ac:dyDescent="0.35">
      <c r="A532" s="1" t="str">
        <f t="shared" si="8"/>
        <v>19</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4130</v>
      </c>
      <c r="D532" s="1" t="s">
        <v>4131</v>
      </c>
      <c r="E532" s="1" t="s">
        <v>4132</v>
      </c>
      <c r="F532" s="1" t="s">
        <v>112</v>
      </c>
      <c r="G532" s="1">
        <v>2035351</v>
      </c>
    </row>
    <row r="533" spans="1:7" x14ac:dyDescent="0.35">
      <c r="A533" s="1" t="str">
        <f t="shared" si="8"/>
        <v>19</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4133</v>
      </c>
      <c r="D533" s="1" t="s">
        <v>3109</v>
      </c>
      <c r="E533" s="1" t="s">
        <v>4134</v>
      </c>
      <c r="F533" s="1" t="s">
        <v>112</v>
      </c>
      <c r="G533" s="1">
        <v>74926</v>
      </c>
    </row>
    <row r="534" spans="1:7" x14ac:dyDescent="0.35">
      <c r="A534" s="1" t="str">
        <f t="shared" si="8"/>
        <v>19</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4135</v>
      </c>
      <c r="D534" s="1" t="s">
        <v>643</v>
      </c>
      <c r="E534" s="1" t="s">
        <v>4136</v>
      </c>
      <c r="F534" s="1" t="s">
        <v>112</v>
      </c>
      <c r="G534" s="1">
        <v>119116</v>
      </c>
    </row>
    <row r="535" spans="1:7" x14ac:dyDescent="0.35">
      <c r="A535" s="1" t="str">
        <f t="shared" si="8"/>
        <v>19</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4137</v>
      </c>
      <c r="D535" s="1" t="s">
        <v>266</v>
      </c>
      <c r="E535" s="1" t="s">
        <v>4138</v>
      </c>
      <c r="F535" s="1" t="s">
        <v>112</v>
      </c>
      <c r="G535" s="1">
        <v>159045</v>
      </c>
    </row>
    <row r="536" spans="1:7" x14ac:dyDescent="0.35">
      <c r="A536" s="1" t="str">
        <f t="shared" si="8"/>
        <v>19</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4139</v>
      </c>
      <c r="D536" s="1" t="s">
        <v>4140</v>
      </c>
      <c r="E536" s="1" t="s">
        <v>4141</v>
      </c>
      <c r="F536" s="1" t="s">
        <v>112</v>
      </c>
      <c r="G536" s="1">
        <v>3784388</v>
      </c>
    </row>
    <row r="537" spans="1:7" x14ac:dyDescent="0.35">
      <c r="A537" s="1" t="str">
        <f t="shared" si="8"/>
        <v>19</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4142</v>
      </c>
      <c r="D537" s="1" t="s">
        <v>4143</v>
      </c>
      <c r="E537" s="1" t="s">
        <v>4144</v>
      </c>
      <c r="F537" s="1" t="s">
        <v>112</v>
      </c>
      <c r="G537" s="1">
        <v>3288328</v>
      </c>
    </row>
    <row r="538" spans="1:7" x14ac:dyDescent="0.35">
      <c r="A538" s="1" t="str">
        <f t="shared" si="8"/>
        <v>19</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4145</v>
      </c>
      <c r="D538" s="1" t="s">
        <v>4146</v>
      </c>
      <c r="E538" s="1" t="s">
        <v>4147</v>
      </c>
      <c r="F538" s="1" t="s">
        <v>112</v>
      </c>
      <c r="G538" s="1">
        <v>3933072</v>
      </c>
    </row>
    <row r="539" spans="1:7" x14ac:dyDescent="0.35">
      <c r="A539" s="1" t="str">
        <f t="shared" si="8"/>
        <v>19</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4148</v>
      </c>
      <c r="D539" s="1" t="s">
        <v>4149</v>
      </c>
      <c r="E539" s="1" t="s">
        <v>4150</v>
      </c>
      <c r="F539" s="1" t="s">
        <v>112</v>
      </c>
      <c r="G539" s="1">
        <v>375106</v>
      </c>
    </row>
    <row r="540" spans="1:7" x14ac:dyDescent="0.35">
      <c r="A540" s="1" t="str">
        <f t="shared" si="8"/>
        <v>19</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4151</v>
      </c>
      <c r="D540" s="1" t="s">
        <v>4152</v>
      </c>
      <c r="E540" s="1" t="s">
        <v>4153</v>
      </c>
      <c r="F540" s="1" t="s">
        <v>112</v>
      </c>
      <c r="G540" s="1">
        <v>435648</v>
      </c>
    </row>
    <row r="541" spans="1:7" x14ac:dyDescent="0.35">
      <c r="A541" s="1" t="str">
        <f t="shared" si="8"/>
        <v>19</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4154</v>
      </c>
      <c r="D541" s="1" t="s">
        <v>1631</v>
      </c>
      <c r="E541" s="1" t="s">
        <v>4155</v>
      </c>
      <c r="F541" s="1" t="s">
        <v>112</v>
      </c>
      <c r="G541" s="1">
        <v>287137</v>
      </c>
    </row>
    <row r="542" spans="1:7" x14ac:dyDescent="0.35">
      <c r="A542" s="1" t="str">
        <f t="shared" si="8"/>
        <v>19</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4156</v>
      </c>
      <c r="D542" s="1" t="s">
        <v>4157</v>
      </c>
      <c r="E542" s="1" t="s">
        <v>4158</v>
      </c>
      <c r="F542" s="1" t="s">
        <v>112</v>
      </c>
      <c r="G542" s="1">
        <v>3976851</v>
      </c>
    </row>
    <row r="543" spans="1:7" x14ac:dyDescent="0.35">
      <c r="A543" s="1" t="str">
        <f t="shared" si="8"/>
        <v>19</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4159</v>
      </c>
      <c r="D543" s="1" t="s">
        <v>4160</v>
      </c>
      <c r="E543" s="1" t="s">
        <v>4161</v>
      </c>
      <c r="F543" s="1" t="s">
        <v>112</v>
      </c>
      <c r="G543" s="1">
        <v>3315668</v>
      </c>
    </row>
    <row r="544" spans="1:7" x14ac:dyDescent="0.35">
      <c r="A544" s="1" t="str">
        <f t="shared" si="8"/>
        <v>19</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4162</v>
      </c>
      <c r="D544" s="1" t="s">
        <v>4163</v>
      </c>
      <c r="E544" s="1" t="s">
        <v>4164</v>
      </c>
      <c r="F544" s="1" t="s">
        <v>112</v>
      </c>
      <c r="G544" s="1">
        <v>4023831</v>
      </c>
    </row>
    <row r="545" spans="1:10" x14ac:dyDescent="0.35">
      <c r="A545" s="1" t="str">
        <f t="shared" si="8"/>
        <v>19</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4165</v>
      </c>
      <c r="D545" s="1" t="s">
        <v>4166</v>
      </c>
      <c r="E545" s="1" t="s">
        <v>4167</v>
      </c>
      <c r="F545" s="1" t="s">
        <v>112</v>
      </c>
      <c r="G545" s="1">
        <v>1823768</v>
      </c>
    </row>
    <row r="546" spans="1:10" x14ac:dyDescent="0.35">
      <c r="A546" s="1" t="str">
        <f t="shared" si="8"/>
        <v>19</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4168</v>
      </c>
      <c r="D546" s="1" t="s">
        <v>4169</v>
      </c>
      <c r="E546" s="1" t="s">
        <v>4170</v>
      </c>
      <c r="F546" s="1" t="s">
        <v>112</v>
      </c>
      <c r="G546" s="1">
        <v>1640649</v>
      </c>
    </row>
    <row r="547" spans="1:10" x14ac:dyDescent="0.35">
      <c r="A547" s="1" t="str">
        <f t="shared" si="8"/>
        <v>19</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4171</v>
      </c>
      <c r="D547" s="1" t="s">
        <v>4172</v>
      </c>
      <c r="E547" s="1" t="s">
        <v>4173</v>
      </c>
      <c r="F547" s="1" t="s">
        <v>112</v>
      </c>
      <c r="G547" s="1">
        <v>1772527</v>
      </c>
    </row>
    <row r="548" spans="1:10" x14ac:dyDescent="0.35">
      <c r="A548" s="1" t="str">
        <f t="shared" si="8"/>
        <v>19</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4174</v>
      </c>
      <c r="D548" s="1" t="s">
        <v>2805</v>
      </c>
      <c r="E548" s="1" t="s">
        <v>4175</v>
      </c>
      <c r="F548" s="1" t="s">
        <v>112</v>
      </c>
      <c r="G548" s="1">
        <v>1958198</v>
      </c>
    </row>
    <row r="549" spans="1:10" x14ac:dyDescent="0.35">
      <c r="A549" s="1" t="str">
        <f t="shared" si="8"/>
        <v>19</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4176</v>
      </c>
      <c r="D549" s="1" t="s">
        <v>4177</v>
      </c>
      <c r="E549" s="1" t="s">
        <v>4178</v>
      </c>
      <c r="F549" s="1" t="s">
        <v>112</v>
      </c>
      <c r="G549" s="1">
        <v>1663101</v>
      </c>
    </row>
    <row r="550" spans="1:10" x14ac:dyDescent="0.35">
      <c r="A550" s="1" t="str">
        <f t="shared" si="8"/>
        <v>19</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4179</v>
      </c>
      <c r="D550" s="1" t="s">
        <v>4180</v>
      </c>
      <c r="E550" s="1" t="s">
        <v>4181</v>
      </c>
      <c r="F550" s="1" t="s">
        <v>112</v>
      </c>
      <c r="G550" s="1">
        <v>1499233</v>
      </c>
    </row>
    <row r="551" spans="1:10" x14ac:dyDescent="0.35">
      <c r="A551" s="1" t="str">
        <f t="shared" si="8"/>
        <v>19</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4182</v>
      </c>
      <c r="D551" s="1" t="s">
        <v>3927</v>
      </c>
      <c r="E551" s="1" t="s">
        <v>4183</v>
      </c>
      <c r="F551" s="1" t="s">
        <v>112</v>
      </c>
      <c r="G551" s="1">
        <v>2909048</v>
      </c>
    </row>
    <row r="552" spans="1:10" x14ac:dyDescent="0.35">
      <c r="A552" s="1" t="str">
        <f t="shared" si="8"/>
        <v>19</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4184</v>
      </c>
      <c r="D552" s="1" t="s">
        <v>1761</v>
      </c>
      <c r="E552" s="1" t="s">
        <v>4185</v>
      </c>
      <c r="F552" s="1" t="s">
        <v>112</v>
      </c>
      <c r="G552" s="1">
        <v>2986418</v>
      </c>
    </row>
    <row r="553" spans="1:10" x14ac:dyDescent="0.35">
      <c r="A553" s="1" t="str">
        <f t="shared" si="8"/>
        <v>19</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4186</v>
      </c>
      <c r="D553" s="1" t="s">
        <v>4187</v>
      </c>
      <c r="E553" s="1" t="s">
        <v>4188</v>
      </c>
      <c r="F553" s="1" t="s">
        <v>112</v>
      </c>
      <c r="G553" s="1">
        <v>3757826</v>
      </c>
    </row>
    <row r="554" spans="1:10" x14ac:dyDescent="0.3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 t="s">
        <v>112</v>
      </c>
    </row>
    <row r="555" spans="1:10" x14ac:dyDescent="0.3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237</v>
      </c>
      <c r="D555" s="1" t="s">
        <v>112</v>
      </c>
      <c r="E555" s="1" t="s">
        <v>238</v>
      </c>
      <c r="F555" s="1" t="s">
        <v>239</v>
      </c>
      <c r="G555" s="1" t="s">
        <v>240</v>
      </c>
      <c r="H555" s="1" t="s">
        <v>241</v>
      </c>
      <c r="I555" s="1" t="s">
        <v>242</v>
      </c>
      <c r="J555" s="1" t="s">
        <v>243</v>
      </c>
    </row>
    <row r="556" spans="1:10" x14ac:dyDescent="0.35">
      <c r="A556" s="1" t="str">
        <f t="shared" si="8"/>
        <v>19</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 t="s">
        <v>4189</v>
      </c>
      <c r="D556" s="1" t="s">
        <v>112</v>
      </c>
      <c r="E556" s="1" t="s">
        <v>4190</v>
      </c>
      <c r="F556" s="1" t="s">
        <v>4191</v>
      </c>
      <c r="G556" s="1" t="s">
        <v>4192</v>
      </c>
      <c r="H556" s="1" t="s">
        <v>4193</v>
      </c>
      <c r="I556" s="1">
        <v>24</v>
      </c>
      <c r="J556" s="1">
        <v>24</v>
      </c>
    </row>
    <row r="557" spans="1:10" x14ac:dyDescent="0.3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112</v>
      </c>
    </row>
    <row r="558" spans="1:10" x14ac:dyDescent="0.3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10" x14ac:dyDescent="0.3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10" x14ac:dyDescent="0.3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3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3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249</v>
      </c>
      <c r="D562" s="1" t="s">
        <v>110</v>
      </c>
      <c r="E562" s="1" t="s">
        <v>111</v>
      </c>
      <c r="F562" s="1" t="s">
        <v>112</v>
      </c>
      <c r="G562" s="1" t="s">
        <v>113</v>
      </c>
    </row>
    <row r="563" spans="1:7" x14ac:dyDescent="0.35">
      <c r="A563" s="1" t="str">
        <f t="shared" si="8"/>
        <v>20</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4194</v>
      </c>
      <c r="D563" s="1" t="s">
        <v>419</v>
      </c>
      <c r="E563" s="1" t="s">
        <v>4195</v>
      </c>
      <c r="F563" s="1" t="s">
        <v>112</v>
      </c>
      <c r="G563" s="1">
        <v>3444539</v>
      </c>
    </row>
    <row r="564" spans="1:7" x14ac:dyDescent="0.35">
      <c r="A564" s="1" t="str">
        <f t="shared" si="8"/>
        <v>20</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4196</v>
      </c>
      <c r="D564" s="1" t="s">
        <v>4197</v>
      </c>
      <c r="E564" s="1" t="s">
        <v>4198</v>
      </c>
      <c r="F564" s="1" t="s">
        <v>112</v>
      </c>
      <c r="G564" s="1">
        <v>2525961</v>
      </c>
    </row>
    <row r="565" spans="1:7" x14ac:dyDescent="0.35">
      <c r="A565" s="1" t="str">
        <f t="shared" si="8"/>
        <v>20</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4199</v>
      </c>
      <c r="D565" s="1" t="s">
        <v>4200</v>
      </c>
      <c r="E565" s="1" t="s">
        <v>4201</v>
      </c>
      <c r="F565" s="1" t="s">
        <v>112</v>
      </c>
      <c r="G565" s="1">
        <v>3583836</v>
      </c>
    </row>
    <row r="566" spans="1:7" x14ac:dyDescent="0.35">
      <c r="A566" s="1" t="str">
        <f t="shared" si="8"/>
        <v>20</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4202</v>
      </c>
      <c r="D566" s="1" t="s">
        <v>4203</v>
      </c>
      <c r="E566" s="1" t="s">
        <v>4204</v>
      </c>
      <c r="F566" s="1" t="s">
        <v>112</v>
      </c>
      <c r="G566" s="1">
        <v>2660239</v>
      </c>
    </row>
    <row r="567" spans="1:7" x14ac:dyDescent="0.35">
      <c r="A567" s="1" t="str">
        <f t="shared" si="8"/>
        <v>20</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4205</v>
      </c>
      <c r="D567" s="1" t="s">
        <v>4206</v>
      </c>
      <c r="E567" s="1" t="s">
        <v>4207</v>
      </c>
      <c r="F567" s="1" t="s">
        <v>112</v>
      </c>
      <c r="G567" s="1">
        <v>2500091</v>
      </c>
    </row>
    <row r="568" spans="1:7" x14ac:dyDescent="0.35">
      <c r="A568" s="1" t="str">
        <f t="shared" si="8"/>
        <v>20</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4208</v>
      </c>
      <c r="D568" s="1" t="s">
        <v>4209</v>
      </c>
      <c r="E568" s="1" t="s">
        <v>4210</v>
      </c>
      <c r="F568" s="1" t="s">
        <v>112</v>
      </c>
      <c r="G568" s="1">
        <v>2171209</v>
      </c>
    </row>
    <row r="569" spans="1:7" x14ac:dyDescent="0.35">
      <c r="A569" s="1" t="str">
        <f t="shared" si="8"/>
        <v>20</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4211</v>
      </c>
      <c r="D569" s="1" t="s">
        <v>2453</v>
      </c>
      <c r="E569" s="1" t="s">
        <v>4212</v>
      </c>
      <c r="F569" s="1" t="s">
        <v>112</v>
      </c>
      <c r="G569" s="1">
        <v>1886343</v>
      </c>
    </row>
    <row r="570" spans="1:7" x14ac:dyDescent="0.35">
      <c r="A570" s="1" t="str">
        <f t="shared" si="8"/>
        <v>20</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4213</v>
      </c>
      <c r="D570" s="1" t="s">
        <v>3174</v>
      </c>
      <c r="E570" s="1" t="s">
        <v>4214</v>
      </c>
      <c r="F570" s="1" t="s">
        <v>112</v>
      </c>
      <c r="G570" s="1">
        <v>1716570</v>
      </c>
    </row>
    <row r="571" spans="1:7" x14ac:dyDescent="0.35">
      <c r="A571" s="1" t="str">
        <f t="shared" si="8"/>
        <v>20</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4215</v>
      </c>
      <c r="D571" s="1" t="s">
        <v>4216</v>
      </c>
      <c r="E571" s="1" t="s">
        <v>4217</v>
      </c>
      <c r="F571" s="1" t="s">
        <v>112</v>
      </c>
      <c r="G571" s="1">
        <v>2378596</v>
      </c>
    </row>
    <row r="572" spans="1:7" x14ac:dyDescent="0.35">
      <c r="A572" s="1" t="str">
        <f t="shared" si="8"/>
        <v>20</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4218</v>
      </c>
      <c r="D572" s="1" t="s">
        <v>4219</v>
      </c>
      <c r="E572" s="1" t="s">
        <v>4220</v>
      </c>
      <c r="F572" s="1" t="s">
        <v>112</v>
      </c>
      <c r="G572" s="1">
        <v>3089982</v>
      </c>
    </row>
    <row r="573" spans="1:7" x14ac:dyDescent="0.35">
      <c r="A573" s="1" t="str">
        <f t="shared" si="8"/>
        <v>20</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4221</v>
      </c>
      <c r="D573" s="1" t="s">
        <v>4222</v>
      </c>
      <c r="E573" s="1" t="s">
        <v>4223</v>
      </c>
      <c r="F573" s="1" t="s">
        <v>112</v>
      </c>
      <c r="G573" s="1">
        <v>3410450</v>
      </c>
    </row>
    <row r="574" spans="1:7" x14ac:dyDescent="0.35">
      <c r="A574" s="1" t="str">
        <f t="shared" si="8"/>
        <v>20</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4224</v>
      </c>
      <c r="D574" s="1" t="s">
        <v>4225</v>
      </c>
      <c r="E574" s="1" t="s">
        <v>4226</v>
      </c>
      <c r="F574" s="1" t="s">
        <v>112</v>
      </c>
      <c r="G574" s="1">
        <v>3582235</v>
      </c>
    </row>
    <row r="575" spans="1:7" x14ac:dyDescent="0.35">
      <c r="A575" s="1" t="str">
        <f t="shared" si="8"/>
        <v>20</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4227</v>
      </c>
      <c r="D575" s="1" t="s">
        <v>4228</v>
      </c>
      <c r="E575" s="1" t="s">
        <v>4229</v>
      </c>
      <c r="F575" s="1" t="s">
        <v>112</v>
      </c>
      <c r="G575" s="1">
        <v>3596576</v>
      </c>
    </row>
    <row r="576" spans="1:7" x14ac:dyDescent="0.35">
      <c r="A576" s="1" t="str">
        <f t="shared" si="8"/>
        <v>20</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4230</v>
      </c>
      <c r="D576" s="1" t="s">
        <v>4231</v>
      </c>
      <c r="E576" s="1" t="s">
        <v>4232</v>
      </c>
      <c r="F576" s="1" t="s">
        <v>112</v>
      </c>
      <c r="G576" s="1">
        <v>3779802</v>
      </c>
    </row>
    <row r="577" spans="1:10" x14ac:dyDescent="0.35">
      <c r="A577" s="1" t="str">
        <f t="shared" si="8"/>
        <v>20</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4233</v>
      </c>
      <c r="D577" s="1" t="s">
        <v>3321</v>
      </c>
      <c r="E577" s="1" t="s">
        <v>4234</v>
      </c>
      <c r="F577" s="1" t="s">
        <v>112</v>
      </c>
      <c r="G577" s="1">
        <v>3742794</v>
      </c>
    </row>
    <row r="578" spans="1:10" x14ac:dyDescent="0.35">
      <c r="A578" s="1" t="str">
        <f t="shared" ref="A578:A641" si="9">IFERROR(LEFT(RIGHT(C578,LEN(C578)-SEARCH("@",C578)),SEARCH("/",RIGHT(C578,LEN(C578)-SEARCH("@",C578)-1))),"")</f>
        <v>20</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4235</v>
      </c>
      <c r="D578" s="1" t="s">
        <v>4236</v>
      </c>
      <c r="E578" s="1" t="s">
        <v>4237</v>
      </c>
      <c r="F578" s="1" t="s">
        <v>112</v>
      </c>
      <c r="G578" s="1">
        <v>1647830</v>
      </c>
    </row>
    <row r="579" spans="1:10" x14ac:dyDescent="0.35">
      <c r="A579" s="1" t="str">
        <f t="shared" si="9"/>
        <v>20</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4238</v>
      </c>
      <c r="D579" s="1" t="s">
        <v>1842</v>
      </c>
      <c r="E579" s="1" t="s">
        <v>4239</v>
      </c>
      <c r="F579" s="1" t="s">
        <v>112</v>
      </c>
      <c r="G579" s="1">
        <v>1865924</v>
      </c>
    </row>
    <row r="580" spans="1:10" x14ac:dyDescent="0.35">
      <c r="A580" s="1" t="str">
        <f t="shared" si="9"/>
        <v>20</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4240</v>
      </c>
      <c r="D580" s="1" t="s">
        <v>4241</v>
      </c>
      <c r="E580" s="1" t="s">
        <v>4242</v>
      </c>
      <c r="F580" s="1" t="s">
        <v>112</v>
      </c>
      <c r="G580" s="1">
        <v>2268933</v>
      </c>
    </row>
    <row r="581" spans="1:10" x14ac:dyDescent="0.35">
      <c r="A581" s="1" t="str">
        <f t="shared" si="9"/>
        <v>20</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4243</v>
      </c>
      <c r="D581" s="1" t="s">
        <v>4244</v>
      </c>
      <c r="E581" s="1" t="s">
        <v>4245</v>
      </c>
      <c r="F581" s="1" t="s">
        <v>112</v>
      </c>
      <c r="G581" s="1">
        <v>1044356</v>
      </c>
    </row>
    <row r="582" spans="1:10" x14ac:dyDescent="0.35">
      <c r="A582" s="1" t="str">
        <f t="shared" si="9"/>
        <v>20</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4246</v>
      </c>
    </row>
    <row r="583" spans="1:10" x14ac:dyDescent="0.35">
      <c r="A583" s="1" t="str">
        <f t="shared" si="9"/>
        <v>20</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4247</v>
      </c>
    </row>
    <row r="584" spans="1:10" x14ac:dyDescent="0.35">
      <c r="A584" s="1" t="str">
        <f t="shared" si="9"/>
        <v>20</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4248</v>
      </c>
    </row>
    <row r="585" spans="1:10" x14ac:dyDescent="0.35">
      <c r="A585" s="1" t="str">
        <f t="shared" si="9"/>
        <v>20</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4249</v>
      </c>
      <c r="D585" s="1" t="s">
        <v>2586</v>
      </c>
      <c r="E585" s="1" t="s">
        <v>4250</v>
      </c>
      <c r="F585" s="1" t="s">
        <v>112</v>
      </c>
      <c r="G585" s="1">
        <v>2156241</v>
      </c>
    </row>
    <row r="586" spans="1:10" x14ac:dyDescent="0.35">
      <c r="A586" s="1" t="str">
        <f t="shared" si="9"/>
        <v>20</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4251</v>
      </c>
      <c r="D586" s="1" t="s">
        <v>4252</v>
      </c>
      <c r="E586" s="1" t="s">
        <v>4253</v>
      </c>
      <c r="F586" s="1" t="s">
        <v>112</v>
      </c>
      <c r="G586" s="1">
        <v>2100609</v>
      </c>
    </row>
    <row r="587" spans="1:10" x14ac:dyDescent="0.3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 t="s">
        <v>112</v>
      </c>
    </row>
    <row r="588" spans="1:10" x14ac:dyDescent="0.3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237</v>
      </c>
      <c r="D588" s="1" t="s">
        <v>112</v>
      </c>
      <c r="E588" s="1" t="s">
        <v>238</v>
      </c>
      <c r="F588" s="1" t="s">
        <v>239</v>
      </c>
      <c r="G588" s="1" t="s">
        <v>240</v>
      </c>
      <c r="H588" s="1" t="s">
        <v>241</v>
      </c>
      <c r="I588" s="1" t="s">
        <v>242</v>
      </c>
      <c r="J588" s="1" t="s">
        <v>243</v>
      </c>
    </row>
    <row r="589" spans="1:10" x14ac:dyDescent="0.35">
      <c r="A589" s="1" t="str">
        <f t="shared" si="9"/>
        <v>20</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 t="s">
        <v>4254</v>
      </c>
      <c r="D589" s="1" t="s">
        <v>112</v>
      </c>
      <c r="E589" s="1" t="s">
        <v>4255</v>
      </c>
      <c r="F589" s="1" t="s">
        <v>4256</v>
      </c>
      <c r="G589" s="1" t="s">
        <v>4257</v>
      </c>
      <c r="H589" s="1" t="s">
        <v>4258</v>
      </c>
      <c r="I589" s="1">
        <v>24</v>
      </c>
      <c r="J589" s="1">
        <v>24</v>
      </c>
    </row>
    <row r="590" spans="1:10" x14ac:dyDescent="0.3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112</v>
      </c>
    </row>
    <row r="591" spans="1:10" x14ac:dyDescent="0.3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10" x14ac:dyDescent="0.3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3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3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3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249</v>
      </c>
      <c r="D595" s="1" t="s">
        <v>110</v>
      </c>
      <c r="E595" s="1" t="s">
        <v>111</v>
      </c>
      <c r="F595" s="1" t="s">
        <v>112</v>
      </c>
      <c r="G595" s="1" t="s">
        <v>113</v>
      </c>
    </row>
    <row r="596" spans="1:7" x14ac:dyDescent="0.35">
      <c r="A596" s="1" t="str">
        <f t="shared" si="9"/>
        <v>21</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4259</v>
      </c>
      <c r="D596" s="1" t="s">
        <v>3171</v>
      </c>
      <c r="E596" s="1" t="s">
        <v>4260</v>
      </c>
      <c r="F596" s="1" t="s">
        <v>112</v>
      </c>
      <c r="G596" s="1">
        <v>1561678</v>
      </c>
    </row>
    <row r="597" spans="1:7" x14ac:dyDescent="0.35">
      <c r="A597" s="1" t="str">
        <f t="shared" si="9"/>
        <v>21</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4261</v>
      </c>
      <c r="D597" s="1" t="s">
        <v>4262</v>
      </c>
      <c r="E597" s="1" t="s">
        <v>4263</v>
      </c>
      <c r="F597" s="1" t="s">
        <v>112</v>
      </c>
      <c r="G597" s="1">
        <v>1837611</v>
      </c>
    </row>
    <row r="598" spans="1:7" x14ac:dyDescent="0.35">
      <c r="A598" s="1" t="str">
        <f t="shared" si="9"/>
        <v>21</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4264</v>
      </c>
      <c r="D598" s="1" t="s">
        <v>798</v>
      </c>
      <c r="E598" s="1" t="s">
        <v>4265</v>
      </c>
      <c r="F598" s="1" t="s">
        <v>112</v>
      </c>
      <c r="G598" s="1">
        <v>1473991</v>
      </c>
    </row>
    <row r="599" spans="1:7" x14ac:dyDescent="0.35">
      <c r="A599" s="1" t="str">
        <f t="shared" si="9"/>
        <v>21</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4266</v>
      </c>
      <c r="D599" s="1" t="s">
        <v>4267</v>
      </c>
      <c r="E599" s="1" t="s">
        <v>4268</v>
      </c>
      <c r="F599" s="1" t="s">
        <v>112</v>
      </c>
      <c r="G599" s="1">
        <v>4578724</v>
      </c>
    </row>
    <row r="600" spans="1:7" x14ac:dyDescent="0.35">
      <c r="A600" s="1" t="str">
        <f t="shared" si="9"/>
        <v>21</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4269</v>
      </c>
      <c r="D600" s="1" t="s">
        <v>2349</v>
      </c>
      <c r="E600" s="1" t="s">
        <v>4270</v>
      </c>
      <c r="F600" s="1" t="s">
        <v>112</v>
      </c>
      <c r="G600" s="1">
        <v>4804648</v>
      </c>
    </row>
    <row r="601" spans="1:7" x14ac:dyDescent="0.35">
      <c r="A601" s="1" t="str">
        <f t="shared" si="9"/>
        <v>21</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4271</v>
      </c>
      <c r="D601" s="1" t="s">
        <v>4272</v>
      </c>
      <c r="E601" s="1" t="s">
        <v>4273</v>
      </c>
      <c r="F601" s="1" t="s">
        <v>112</v>
      </c>
      <c r="G601" s="1">
        <v>4786804</v>
      </c>
    </row>
    <row r="602" spans="1:7" x14ac:dyDescent="0.35">
      <c r="A602" s="1" t="str">
        <f t="shared" si="9"/>
        <v>21</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4274</v>
      </c>
      <c r="D602" s="1" t="s">
        <v>740</v>
      </c>
      <c r="E602" s="1" t="s">
        <v>4275</v>
      </c>
      <c r="F602" s="1" t="s">
        <v>112</v>
      </c>
      <c r="G602" s="1">
        <v>2812384</v>
      </c>
    </row>
    <row r="603" spans="1:7" x14ac:dyDescent="0.35">
      <c r="A603" s="1" t="str">
        <f t="shared" si="9"/>
        <v>21</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4276</v>
      </c>
      <c r="D603" s="1" t="s">
        <v>4277</v>
      </c>
      <c r="E603" s="1" t="s">
        <v>4278</v>
      </c>
      <c r="F603" s="1" t="s">
        <v>112</v>
      </c>
      <c r="G603" s="1">
        <v>3241023</v>
      </c>
    </row>
    <row r="604" spans="1:7" x14ac:dyDescent="0.35">
      <c r="A604" s="1" t="str">
        <f t="shared" si="9"/>
        <v>21</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4279</v>
      </c>
      <c r="D604" s="1" t="s">
        <v>3822</v>
      </c>
      <c r="E604" s="1" t="s">
        <v>4280</v>
      </c>
      <c r="F604" s="1" t="s">
        <v>112</v>
      </c>
      <c r="G604" s="1">
        <v>2774315</v>
      </c>
    </row>
    <row r="605" spans="1:7" x14ac:dyDescent="0.35">
      <c r="A605" s="1" t="str">
        <f t="shared" si="9"/>
        <v>21</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4281</v>
      </c>
      <c r="D605" s="1" t="s">
        <v>4282</v>
      </c>
      <c r="E605" s="1" t="s">
        <v>4283</v>
      </c>
      <c r="F605" s="1" t="s">
        <v>112</v>
      </c>
      <c r="G605" s="1">
        <v>2586806</v>
      </c>
    </row>
    <row r="606" spans="1:7" x14ac:dyDescent="0.35">
      <c r="A606" s="1" t="str">
        <f t="shared" si="9"/>
        <v>21</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4284</v>
      </c>
      <c r="D606" s="1" t="s">
        <v>4285</v>
      </c>
      <c r="E606" s="1" t="s">
        <v>4286</v>
      </c>
      <c r="F606" s="1" t="s">
        <v>112</v>
      </c>
      <c r="G606" s="1">
        <v>3116024</v>
      </c>
    </row>
    <row r="607" spans="1:7" x14ac:dyDescent="0.35">
      <c r="A607" s="1" t="str">
        <f t="shared" si="9"/>
        <v>21</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4287</v>
      </c>
      <c r="D607" s="1" t="s">
        <v>4288</v>
      </c>
      <c r="E607" s="1" t="s">
        <v>4289</v>
      </c>
      <c r="F607" s="1" t="s">
        <v>112</v>
      </c>
      <c r="G607" s="1">
        <v>2973202</v>
      </c>
    </row>
    <row r="608" spans="1:7" x14ac:dyDescent="0.35">
      <c r="A608" s="1" t="str">
        <f t="shared" si="9"/>
        <v>21</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4290</v>
      </c>
      <c r="D608" s="1" t="s">
        <v>4291</v>
      </c>
      <c r="E608" s="1" t="s">
        <v>4292</v>
      </c>
      <c r="F608" s="1" t="s">
        <v>112</v>
      </c>
      <c r="G608" s="1">
        <v>1016562</v>
      </c>
    </row>
    <row r="609" spans="1:10" x14ac:dyDescent="0.35">
      <c r="A609" s="1" t="str">
        <f t="shared" si="9"/>
        <v>21</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4293</v>
      </c>
      <c r="D609" s="1" t="s">
        <v>4294</v>
      </c>
      <c r="E609" s="1" t="s">
        <v>4295</v>
      </c>
      <c r="F609" s="1" t="s">
        <v>112</v>
      </c>
      <c r="G609" s="1">
        <v>1492419</v>
      </c>
    </row>
    <row r="610" spans="1:10" x14ac:dyDescent="0.35">
      <c r="A610" s="1" t="str">
        <f t="shared" si="9"/>
        <v>21</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4296</v>
      </c>
    </row>
    <row r="611" spans="1:10" x14ac:dyDescent="0.35">
      <c r="A611" s="1" t="str">
        <f t="shared" si="9"/>
        <v>21</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4297</v>
      </c>
      <c r="D611" s="1" t="s">
        <v>4298</v>
      </c>
      <c r="E611" s="1" t="s">
        <v>4299</v>
      </c>
      <c r="F611" s="1" t="s">
        <v>112</v>
      </c>
      <c r="G611" s="1">
        <v>3573497</v>
      </c>
    </row>
    <row r="612" spans="1:10" x14ac:dyDescent="0.35">
      <c r="A612" s="1" t="str">
        <f t="shared" si="9"/>
        <v>21</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4300</v>
      </c>
      <c r="D612" s="1" t="s">
        <v>4301</v>
      </c>
      <c r="E612" s="1" t="s">
        <v>4302</v>
      </c>
      <c r="F612" s="1" t="s">
        <v>112</v>
      </c>
      <c r="G612" s="1">
        <v>3155477</v>
      </c>
    </row>
    <row r="613" spans="1:10" x14ac:dyDescent="0.35">
      <c r="A613" s="1" t="str">
        <f t="shared" si="9"/>
        <v>21</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4303</v>
      </c>
      <c r="D613" s="1" t="s">
        <v>2915</v>
      </c>
      <c r="E613" s="1" t="s">
        <v>4304</v>
      </c>
      <c r="F613" s="1" t="s">
        <v>112</v>
      </c>
      <c r="G613" s="1">
        <v>3411727</v>
      </c>
    </row>
    <row r="614" spans="1:10" x14ac:dyDescent="0.35">
      <c r="A614" s="1" t="str">
        <f t="shared" si="9"/>
        <v>21</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4305</v>
      </c>
      <c r="D614" s="1" t="s">
        <v>1474</v>
      </c>
      <c r="E614" s="1" t="s">
        <v>4306</v>
      </c>
      <c r="F614" s="1" t="s">
        <v>112</v>
      </c>
      <c r="G614" s="1">
        <v>2986007</v>
      </c>
    </row>
    <row r="615" spans="1:10" x14ac:dyDescent="0.35">
      <c r="A615" s="1" t="str">
        <f t="shared" si="9"/>
        <v>21</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4307</v>
      </c>
      <c r="D615" s="1" t="s">
        <v>4308</v>
      </c>
      <c r="E615" s="1" t="s">
        <v>4309</v>
      </c>
      <c r="F615" s="1" t="s">
        <v>112</v>
      </c>
      <c r="G615" s="1">
        <v>3558139</v>
      </c>
    </row>
    <row r="616" spans="1:10" x14ac:dyDescent="0.35">
      <c r="A616" s="1" t="str">
        <f t="shared" si="9"/>
        <v>21</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4310</v>
      </c>
      <c r="D616" s="1" t="s">
        <v>1958</v>
      </c>
      <c r="E616" s="1" t="s">
        <v>4311</v>
      </c>
      <c r="F616" s="1" t="s">
        <v>112</v>
      </c>
      <c r="G616" s="1">
        <v>3225991</v>
      </c>
    </row>
    <row r="617" spans="1:10" x14ac:dyDescent="0.35">
      <c r="A617" s="1" t="str">
        <f t="shared" si="9"/>
        <v>21</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4312</v>
      </c>
      <c r="D617" s="1" t="s">
        <v>2482</v>
      </c>
      <c r="E617" s="1" t="s">
        <v>4313</v>
      </c>
      <c r="F617" s="1" t="s">
        <v>112</v>
      </c>
      <c r="G617" s="1">
        <v>2547569</v>
      </c>
    </row>
    <row r="618" spans="1:10" x14ac:dyDescent="0.35">
      <c r="A618" s="1" t="str">
        <f t="shared" si="9"/>
        <v>21</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4314</v>
      </c>
      <c r="D618" s="1" t="s">
        <v>4315</v>
      </c>
      <c r="E618" s="1" t="s">
        <v>4316</v>
      </c>
      <c r="F618" s="1" t="s">
        <v>112</v>
      </c>
      <c r="G618" s="1">
        <v>2568161</v>
      </c>
    </row>
    <row r="619" spans="1:10" x14ac:dyDescent="0.35">
      <c r="A619" s="1" t="str">
        <f t="shared" si="9"/>
        <v>21</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4317</v>
      </c>
      <c r="D619" s="1" t="s">
        <v>4318</v>
      </c>
      <c r="E619" s="1" t="s">
        <v>4319</v>
      </c>
      <c r="F619" s="1" t="s">
        <v>112</v>
      </c>
      <c r="G619" s="1">
        <v>2624398</v>
      </c>
    </row>
    <row r="620" spans="1:10" x14ac:dyDescent="0.3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 t="s">
        <v>112</v>
      </c>
    </row>
    <row r="621" spans="1:10" x14ac:dyDescent="0.3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237</v>
      </c>
      <c r="D621" s="1" t="s">
        <v>112</v>
      </c>
      <c r="E621" s="1" t="s">
        <v>238</v>
      </c>
      <c r="F621" s="1" t="s">
        <v>239</v>
      </c>
      <c r="G621" s="1" t="s">
        <v>240</v>
      </c>
      <c r="H621" s="1" t="s">
        <v>241</v>
      </c>
      <c r="I621" s="1" t="s">
        <v>242</v>
      </c>
      <c r="J621" s="1" t="s">
        <v>243</v>
      </c>
    </row>
    <row r="622" spans="1:10" x14ac:dyDescent="0.35">
      <c r="A622" s="1" t="str">
        <f t="shared" si="9"/>
        <v>21</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 t="s">
        <v>4320</v>
      </c>
      <c r="D622" s="1" t="s">
        <v>112</v>
      </c>
      <c r="E622" s="1" t="s">
        <v>4321</v>
      </c>
      <c r="F622" s="1" t="s">
        <v>4322</v>
      </c>
      <c r="G622" s="1" t="s">
        <v>4323</v>
      </c>
      <c r="H622" s="1" t="s">
        <v>4324</v>
      </c>
      <c r="I622" s="1">
        <v>24</v>
      </c>
      <c r="J622" s="1">
        <v>24</v>
      </c>
    </row>
    <row r="623" spans="1:10" x14ac:dyDescent="0.3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112</v>
      </c>
    </row>
    <row r="624" spans="1:10" x14ac:dyDescent="0.3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3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3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3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3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249</v>
      </c>
      <c r="D628" s="1" t="s">
        <v>110</v>
      </c>
      <c r="E628" s="1" t="s">
        <v>111</v>
      </c>
      <c r="F628" s="1" t="s">
        <v>112</v>
      </c>
      <c r="G628" s="1" t="s">
        <v>113</v>
      </c>
    </row>
    <row r="629" spans="1:7" x14ac:dyDescent="0.35">
      <c r="A629" s="1" t="str">
        <f t="shared" si="9"/>
        <v>8</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4325</v>
      </c>
      <c r="D629" s="1" t="s">
        <v>1359</v>
      </c>
      <c r="E629" s="1" t="s">
        <v>4326</v>
      </c>
      <c r="F629" s="1" t="s">
        <v>112</v>
      </c>
      <c r="G629" s="1">
        <v>508951</v>
      </c>
    </row>
    <row r="630" spans="1:7" x14ac:dyDescent="0.35">
      <c r="A630" s="1" t="str">
        <f t="shared" si="9"/>
        <v>8</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4327</v>
      </c>
      <c r="D630" s="1" t="s">
        <v>360</v>
      </c>
      <c r="E630" s="1" t="s">
        <v>4328</v>
      </c>
      <c r="F630" s="1" t="s">
        <v>112</v>
      </c>
      <c r="G630" s="1">
        <v>482195</v>
      </c>
    </row>
    <row r="631" spans="1:7" x14ac:dyDescent="0.35">
      <c r="A631" s="1" t="str">
        <f t="shared" si="9"/>
        <v>8</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4329</v>
      </c>
      <c r="D631" s="1" t="s">
        <v>4330</v>
      </c>
      <c r="E631" s="1" t="s">
        <v>4331</v>
      </c>
      <c r="F631" s="1" t="s">
        <v>112</v>
      </c>
      <c r="G631" s="1">
        <v>448777</v>
      </c>
    </row>
    <row r="632" spans="1:7" x14ac:dyDescent="0.35">
      <c r="A632" s="1" t="str">
        <f t="shared" si="9"/>
        <v>8</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4332</v>
      </c>
      <c r="D632" s="1" t="s">
        <v>1406</v>
      </c>
      <c r="E632" s="1" t="s">
        <v>4333</v>
      </c>
      <c r="F632" s="1" t="s">
        <v>112</v>
      </c>
      <c r="G632" s="1">
        <v>64111</v>
      </c>
    </row>
    <row r="633" spans="1:7" x14ac:dyDescent="0.35">
      <c r="A633" s="1" t="str">
        <f t="shared" si="9"/>
        <v>8</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4334</v>
      </c>
      <c r="D633" s="1" t="s">
        <v>595</v>
      </c>
      <c r="E633" s="1" t="s">
        <v>4335</v>
      </c>
      <c r="F633" s="1" t="s">
        <v>112</v>
      </c>
      <c r="G633" s="1">
        <v>108539</v>
      </c>
    </row>
    <row r="634" spans="1:7" x14ac:dyDescent="0.35">
      <c r="A634" s="1" t="str">
        <f t="shared" si="9"/>
        <v>8</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4336</v>
      </c>
      <c r="D634" s="1" t="s">
        <v>493</v>
      </c>
      <c r="E634" s="1" t="s">
        <v>4337</v>
      </c>
      <c r="F634" s="1" t="s">
        <v>112</v>
      </c>
      <c r="G634" s="1">
        <v>102807</v>
      </c>
    </row>
    <row r="635" spans="1:7" x14ac:dyDescent="0.35">
      <c r="A635" s="1" t="str">
        <f t="shared" si="9"/>
        <v>8</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4338</v>
      </c>
      <c r="D635" s="1" t="s">
        <v>3365</v>
      </c>
      <c r="E635" s="1" t="s">
        <v>4339</v>
      </c>
      <c r="F635" s="1" t="s">
        <v>112</v>
      </c>
      <c r="G635" s="1">
        <v>132418</v>
      </c>
    </row>
    <row r="636" spans="1:7" x14ac:dyDescent="0.35">
      <c r="A636" s="1" t="str">
        <f t="shared" si="9"/>
        <v>8</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4340</v>
      </c>
      <c r="D636" s="1" t="s">
        <v>4341</v>
      </c>
      <c r="E636" s="1" t="s">
        <v>4342</v>
      </c>
      <c r="F636" s="1" t="s">
        <v>112</v>
      </c>
      <c r="G636" s="1">
        <v>191143</v>
      </c>
    </row>
    <row r="637" spans="1:7" x14ac:dyDescent="0.35">
      <c r="A637" s="1" t="str">
        <f t="shared" si="9"/>
        <v>8</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4343</v>
      </c>
      <c r="D637" s="1" t="s">
        <v>4344</v>
      </c>
      <c r="E637" s="1" t="s">
        <v>4345</v>
      </c>
      <c r="F637" s="1" t="s">
        <v>112</v>
      </c>
      <c r="G637" s="1">
        <v>113232</v>
      </c>
    </row>
    <row r="638" spans="1:7" x14ac:dyDescent="0.35">
      <c r="A638" s="1" t="str">
        <f t="shared" si="9"/>
        <v>8</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4346</v>
      </c>
      <c r="D638" s="1" t="s">
        <v>1976</v>
      </c>
      <c r="E638" s="1">
        <v>35</v>
      </c>
      <c r="F638" s="1" t="s">
        <v>112</v>
      </c>
      <c r="G638" s="1">
        <v>200617</v>
      </c>
    </row>
    <row r="639" spans="1:7" x14ac:dyDescent="0.35">
      <c r="A639" s="1" t="str">
        <f t="shared" si="9"/>
        <v>8</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4347</v>
      </c>
      <c r="D639" s="1" t="s">
        <v>1992</v>
      </c>
      <c r="E639" s="1" t="s">
        <v>4348</v>
      </c>
      <c r="F639" s="1" t="s">
        <v>112</v>
      </c>
      <c r="G639" s="1">
        <v>8025</v>
      </c>
    </row>
    <row r="640" spans="1:7" x14ac:dyDescent="0.35">
      <c r="A640" s="1" t="str">
        <f t="shared" si="9"/>
        <v>8</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4349</v>
      </c>
      <c r="D640" s="1" t="s">
        <v>4350</v>
      </c>
      <c r="E640" s="1" t="s">
        <v>4351</v>
      </c>
      <c r="F640" s="1" t="s">
        <v>112</v>
      </c>
      <c r="G640" s="1">
        <v>108928</v>
      </c>
    </row>
    <row r="641" spans="1:10" x14ac:dyDescent="0.35">
      <c r="A641" s="1" t="str">
        <f t="shared" si="9"/>
        <v>8</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4352</v>
      </c>
      <c r="D641" s="1" t="s">
        <v>4353</v>
      </c>
      <c r="E641" s="1" t="s">
        <v>4354</v>
      </c>
      <c r="F641" s="1" t="s">
        <v>112</v>
      </c>
      <c r="G641" s="1">
        <v>130407</v>
      </c>
    </row>
    <row r="642" spans="1:10" x14ac:dyDescent="0.35">
      <c r="A642" s="1" t="str">
        <f t="shared" ref="A642:A705" si="10">IFERROR(LEFT(RIGHT(C642,LEN(C642)-SEARCH("@",C642)),SEARCH("/",RIGHT(C642,LEN(C642)-SEARCH("@",C642)-1))),"")</f>
        <v>8</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4355</v>
      </c>
      <c r="D642" s="1" t="s">
        <v>3354</v>
      </c>
      <c r="E642" s="1" t="s">
        <v>4356</v>
      </c>
      <c r="F642" s="1" t="s">
        <v>112</v>
      </c>
      <c r="G642" s="1">
        <v>43303</v>
      </c>
    </row>
    <row r="643" spans="1:10" x14ac:dyDescent="0.35">
      <c r="A643" s="1" t="str">
        <f t="shared" si="10"/>
        <v>8</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4357</v>
      </c>
      <c r="D643" s="1" t="s">
        <v>4358</v>
      </c>
      <c r="E643" s="1" t="s">
        <v>4359</v>
      </c>
      <c r="F643" s="1" t="s">
        <v>112</v>
      </c>
      <c r="G643" s="1">
        <v>216602</v>
      </c>
    </row>
    <row r="644" spans="1:10" x14ac:dyDescent="0.35">
      <c r="A644" s="1" t="str">
        <f t="shared" si="10"/>
        <v>8</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4360</v>
      </c>
      <c r="D644" s="1" t="s">
        <v>4361</v>
      </c>
      <c r="E644" s="1" t="s">
        <v>4362</v>
      </c>
      <c r="F644" s="1" t="s">
        <v>112</v>
      </c>
      <c r="G644" s="1">
        <v>222788</v>
      </c>
    </row>
    <row r="645" spans="1:10" x14ac:dyDescent="0.35">
      <c r="A645" s="1" t="str">
        <f t="shared" si="10"/>
        <v>8</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4363</v>
      </c>
      <c r="D645" s="1" t="s">
        <v>549</v>
      </c>
      <c r="E645" s="1">
        <v>31</v>
      </c>
      <c r="F645" s="1" t="s">
        <v>112</v>
      </c>
      <c r="G645" s="1">
        <v>671</v>
      </c>
    </row>
    <row r="646" spans="1:10" x14ac:dyDescent="0.35">
      <c r="A646" s="1" t="str">
        <f t="shared" si="10"/>
        <v>8</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4364</v>
      </c>
      <c r="D646" s="1" t="s">
        <v>722</v>
      </c>
      <c r="E646" s="1" t="s">
        <v>4365</v>
      </c>
      <c r="F646" s="1" t="s">
        <v>112</v>
      </c>
      <c r="G646" s="1">
        <v>267540</v>
      </c>
    </row>
    <row r="647" spans="1:10" x14ac:dyDescent="0.35">
      <c r="A647" s="1" t="str">
        <f t="shared" si="10"/>
        <v>8</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4366</v>
      </c>
      <c r="D647" s="1" t="s">
        <v>1403</v>
      </c>
      <c r="E647" s="1" t="s">
        <v>4367</v>
      </c>
      <c r="F647" s="1" t="s">
        <v>112</v>
      </c>
      <c r="G647" s="1">
        <v>103802</v>
      </c>
    </row>
    <row r="648" spans="1:10" x14ac:dyDescent="0.35">
      <c r="A648" s="1" t="str">
        <f t="shared" si="10"/>
        <v>8</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4368</v>
      </c>
      <c r="D648" s="1" t="s">
        <v>1576</v>
      </c>
      <c r="E648" s="1" t="s">
        <v>4369</v>
      </c>
      <c r="F648" s="1" t="s">
        <v>112</v>
      </c>
      <c r="G648" s="1">
        <v>93117</v>
      </c>
    </row>
    <row r="649" spans="1:10" x14ac:dyDescent="0.35">
      <c r="A649" s="1" t="str">
        <f t="shared" si="10"/>
        <v>8</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4370</v>
      </c>
      <c r="D649" s="1" t="s">
        <v>173</v>
      </c>
      <c r="E649" s="1" t="s">
        <v>4371</v>
      </c>
      <c r="F649" s="1" t="s">
        <v>112</v>
      </c>
      <c r="G649" s="1">
        <v>170617</v>
      </c>
    </row>
    <row r="650" spans="1:10" x14ac:dyDescent="0.35">
      <c r="A650" s="1" t="str">
        <f t="shared" si="10"/>
        <v>8</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4372</v>
      </c>
      <c r="D650" s="1" t="s">
        <v>4373</v>
      </c>
      <c r="E650" s="1" t="s">
        <v>4374</v>
      </c>
      <c r="F650" s="1" t="s">
        <v>112</v>
      </c>
      <c r="G650" s="1">
        <v>188894</v>
      </c>
    </row>
    <row r="651" spans="1:10" x14ac:dyDescent="0.35">
      <c r="A651" s="1" t="str">
        <f t="shared" si="10"/>
        <v>8</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4375</v>
      </c>
      <c r="D651" s="1" t="s">
        <v>1707</v>
      </c>
      <c r="E651" s="1">
        <v>31</v>
      </c>
      <c r="F651" s="1" t="s">
        <v>112</v>
      </c>
      <c r="G651" s="1">
        <v>6035</v>
      </c>
    </row>
    <row r="652" spans="1:10" x14ac:dyDescent="0.35">
      <c r="A652" s="1" t="str">
        <f t="shared" si="10"/>
        <v>8</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4376</v>
      </c>
      <c r="D652" s="1" t="s">
        <v>4377</v>
      </c>
      <c r="E652" s="1">
        <v>37</v>
      </c>
      <c r="F652" s="1" t="s">
        <v>112</v>
      </c>
      <c r="G652" s="1">
        <v>288110</v>
      </c>
    </row>
    <row r="653" spans="1:10" x14ac:dyDescent="0.3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10" x14ac:dyDescent="0.3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237</v>
      </c>
      <c r="D654" s="1" t="s">
        <v>112</v>
      </c>
      <c r="E654" s="1" t="s">
        <v>238</v>
      </c>
      <c r="F654" s="1" t="s">
        <v>239</v>
      </c>
      <c r="G654" s="1" t="s">
        <v>240</v>
      </c>
      <c r="H654" s="1" t="s">
        <v>241</v>
      </c>
      <c r="I654" s="1" t="s">
        <v>242</v>
      </c>
      <c r="J654" s="1" t="s">
        <v>243</v>
      </c>
    </row>
    <row r="655" spans="1:10" x14ac:dyDescent="0.35">
      <c r="A655" s="1" t="str">
        <f t="shared" si="10"/>
        <v>8</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 t="s">
        <v>4378</v>
      </c>
      <c r="D655" s="1" t="s">
        <v>112</v>
      </c>
      <c r="E655" s="1" t="s">
        <v>4379</v>
      </c>
      <c r="F655" s="1" t="s">
        <v>4380</v>
      </c>
      <c r="G655" s="1" t="s">
        <v>4381</v>
      </c>
      <c r="H655" s="1" t="s">
        <v>4382</v>
      </c>
      <c r="I655" s="1">
        <v>24</v>
      </c>
      <c r="J655" s="1">
        <v>24</v>
      </c>
    </row>
    <row r="656" spans="1:10" x14ac:dyDescent="0.3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3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3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3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3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3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249</v>
      </c>
      <c r="D661" s="1" t="s">
        <v>110</v>
      </c>
      <c r="E661" s="1" t="s">
        <v>111</v>
      </c>
      <c r="F661" s="1" t="s">
        <v>112</v>
      </c>
      <c r="G661" s="1" t="s">
        <v>113</v>
      </c>
    </row>
    <row r="662" spans="1:7" x14ac:dyDescent="0.35">
      <c r="A662" s="1" t="str">
        <f t="shared" si="10"/>
        <v>9</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4383</v>
      </c>
      <c r="D662" s="1" t="s">
        <v>4384</v>
      </c>
      <c r="E662" s="1" t="s">
        <v>4385</v>
      </c>
      <c r="F662" s="1" t="s">
        <v>112</v>
      </c>
      <c r="G662" s="1">
        <v>845642</v>
      </c>
    </row>
    <row r="663" spans="1:7" x14ac:dyDescent="0.35">
      <c r="A663" s="1" t="str">
        <f t="shared" si="10"/>
        <v>9</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4386</v>
      </c>
      <c r="D663" s="1" t="s">
        <v>4387</v>
      </c>
      <c r="E663" s="1" t="s">
        <v>4388</v>
      </c>
      <c r="F663" s="1" t="s">
        <v>112</v>
      </c>
      <c r="G663" s="1">
        <v>1011003</v>
      </c>
    </row>
    <row r="664" spans="1:7" x14ac:dyDescent="0.35">
      <c r="A664" s="1" t="str">
        <f t="shared" si="10"/>
        <v>9</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4389</v>
      </c>
      <c r="D664" s="1" t="s">
        <v>4390</v>
      </c>
      <c r="E664" s="1" t="s">
        <v>4391</v>
      </c>
      <c r="F664" s="1" t="s">
        <v>112</v>
      </c>
      <c r="G664" s="1">
        <v>1052943</v>
      </c>
    </row>
    <row r="665" spans="1:7" x14ac:dyDescent="0.35">
      <c r="A665" s="1" t="str">
        <f t="shared" si="10"/>
        <v>9</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4392</v>
      </c>
      <c r="D665" s="1" t="s">
        <v>2943</v>
      </c>
      <c r="E665" s="1" t="s">
        <v>4393</v>
      </c>
      <c r="F665" s="1" t="s">
        <v>112</v>
      </c>
      <c r="G665" s="1">
        <v>160407</v>
      </c>
    </row>
    <row r="666" spans="1:7" x14ac:dyDescent="0.35">
      <c r="A666" s="1" t="str">
        <f t="shared" si="10"/>
        <v>9</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4394</v>
      </c>
      <c r="D666" s="1" t="s">
        <v>4395</v>
      </c>
      <c r="E666" s="1" t="s">
        <v>4396</v>
      </c>
      <c r="F666" s="1" t="s">
        <v>112</v>
      </c>
      <c r="G666" s="1">
        <v>75056</v>
      </c>
    </row>
    <row r="667" spans="1:7" x14ac:dyDescent="0.35">
      <c r="A667" s="1" t="str">
        <f t="shared" si="10"/>
        <v>9</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4397</v>
      </c>
      <c r="D667" s="1" t="s">
        <v>4398</v>
      </c>
      <c r="E667" s="1" t="s">
        <v>4399</v>
      </c>
      <c r="F667" s="1" t="s">
        <v>112</v>
      </c>
      <c r="G667" s="1">
        <v>72222</v>
      </c>
    </row>
    <row r="668" spans="1:7" x14ac:dyDescent="0.35">
      <c r="A668" s="1" t="str">
        <f t="shared" si="10"/>
        <v>9</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4400</v>
      </c>
      <c r="D668" s="1" t="s">
        <v>291</v>
      </c>
      <c r="E668" s="1" t="s">
        <v>4401</v>
      </c>
      <c r="F668" s="1" t="s">
        <v>112</v>
      </c>
      <c r="G668" s="1">
        <v>227049</v>
      </c>
    </row>
    <row r="669" spans="1:7" x14ac:dyDescent="0.35">
      <c r="A669" s="1" t="str">
        <f t="shared" si="10"/>
        <v>9</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4402</v>
      </c>
      <c r="D669" s="1" t="s">
        <v>4403</v>
      </c>
      <c r="E669" s="1" t="s">
        <v>4404</v>
      </c>
      <c r="F669" s="1" t="s">
        <v>112</v>
      </c>
      <c r="G669" s="1">
        <v>482390</v>
      </c>
    </row>
    <row r="670" spans="1:7" x14ac:dyDescent="0.35">
      <c r="A670" s="1" t="str">
        <f t="shared" si="10"/>
        <v>9</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4405</v>
      </c>
      <c r="D670" s="1" t="s">
        <v>4406</v>
      </c>
      <c r="E670" s="1" t="s">
        <v>4407</v>
      </c>
      <c r="F670" s="1" t="s">
        <v>112</v>
      </c>
      <c r="G670" s="1">
        <v>327693</v>
      </c>
    </row>
    <row r="671" spans="1:7" x14ac:dyDescent="0.35">
      <c r="A671" s="1" t="str">
        <f t="shared" si="10"/>
        <v>9</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4408</v>
      </c>
      <c r="D671" s="1" t="s">
        <v>4409</v>
      </c>
      <c r="E671" s="1" t="s">
        <v>4410</v>
      </c>
      <c r="F671" s="1" t="s">
        <v>112</v>
      </c>
      <c r="G671" s="1">
        <v>141870</v>
      </c>
    </row>
    <row r="672" spans="1:7" x14ac:dyDescent="0.35">
      <c r="A672" s="1" t="str">
        <f t="shared" si="10"/>
        <v>9</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4411</v>
      </c>
      <c r="D672" s="1" t="s">
        <v>529</v>
      </c>
      <c r="E672" s="1" t="s">
        <v>4412</v>
      </c>
      <c r="F672" s="1" t="s">
        <v>112</v>
      </c>
      <c r="G672" s="1">
        <v>209550</v>
      </c>
    </row>
    <row r="673" spans="1:10" x14ac:dyDescent="0.35">
      <c r="A673" s="1" t="str">
        <f t="shared" si="10"/>
        <v>9</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4413</v>
      </c>
      <c r="D673" s="1" t="s">
        <v>1229</v>
      </c>
      <c r="E673" s="1" t="s">
        <v>4414</v>
      </c>
      <c r="F673" s="1" t="s">
        <v>112</v>
      </c>
      <c r="G673" s="1">
        <v>301867</v>
      </c>
    </row>
    <row r="674" spans="1:10" x14ac:dyDescent="0.35">
      <c r="A674" s="1" t="str">
        <f t="shared" si="10"/>
        <v>9</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4415</v>
      </c>
      <c r="D674" s="1" t="s">
        <v>4416</v>
      </c>
      <c r="E674" s="1" t="s">
        <v>4417</v>
      </c>
      <c r="F674" s="1" t="s">
        <v>112</v>
      </c>
      <c r="G674" s="1">
        <v>244937</v>
      </c>
    </row>
    <row r="675" spans="1:10" x14ac:dyDescent="0.35">
      <c r="A675" s="1" t="str">
        <f t="shared" si="10"/>
        <v>9</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4418</v>
      </c>
      <c r="D675" s="1" t="s">
        <v>1971</v>
      </c>
      <c r="E675" s="1" t="s">
        <v>4419</v>
      </c>
      <c r="F675" s="1" t="s">
        <v>112</v>
      </c>
      <c r="G675" s="1">
        <v>262846</v>
      </c>
    </row>
    <row r="676" spans="1:10" x14ac:dyDescent="0.35">
      <c r="A676" s="1" t="str">
        <f t="shared" si="10"/>
        <v>9</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4420</v>
      </c>
      <c r="D676" s="1" t="s">
        <v>4421</v>
      </c>
      <c r="E676" s="1" t="s">
        <v>4422</v>
      </c>
      <c r="F676" s="1" t="s">
        <v>112</v>
      </c>
      <c r="G676" s="1">
        <v>307447</v>
      </c>
    </row>
    <row r="677" spans="1:10" x14ac:dyDescent="0.35">
      <c r="A677" s="1" t="str">
        <f t="shared" si="10"/>
        <v>9</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4423</v>
      </c>
    </row>
    <row r="678" spans="1:10" x14ac:dyDescent="0.35">
      <c r="A678" s="1" t="str">
        <f t="shared" si="10"/>
        <v>9</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4424</v>
      </c>
      <c r="D678" s="1" t="s">
        <v>4425</v>
      </c>
      <c r="E678" s="1" t="s">
        <v>4426</v>
      </c>
      <c r="F678" s="1" t="s">
        <v>112</v>
      </c>
      <c r="G678" s="1">
        <v>293907</v>
      </c>
    </row>
    <row r="679" spans="1:10" x14ac:dyDescent="0.35">
      <c r="A679" s="1" t="str">
        <f t="shared" si="10"/>
        <v>9</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4427</v>
      </c>
      <c r="D679" s="1" t="s">
        <v>1565</v>
      </c>
      <c r="E679" s="1" t="s">
        <v>4428</v>
      </c>
      <c r="F679" s="1" t="s">
        <v>112</v>
      </c>
      <c r="G679" s="1">
        <v>367211</v>
      </c>
    </row>
    <row r="680" spans="1:10" x14ac:dyDescent="0.35">
      <c r="A680" s="1" t="str">
        <f t="shared" si="10"/>
        <v>9</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4429</v>
      </c>
      <c r="D680" s="1" t="s">
        <v>4430</v>
      </c>
      <c r="E680" s="1" t="s">
        <v>4431</v>
      </c>
      <c r="F680" s="1" t="s">
        <v>112</v>
      </c>
      <c r="G680" s="1">
        <v>357153</v>
      </c>
    </row>
    <row r="681" spans="1:10" x14ac:dyDescent="0.35">
      <c r="A681" s="1" t="str">
        <f t="shared" si="10"/>
        <v>9</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4432</v>
      </c>
      <c r="D681" s="1" t="s">
        <v>3434</v>
      </c>
      <c r="E681" s="1" t="s">
        <v>4433</v>
      </c>
      <c r="F681" s="1" t="s">
        <v>112</v>
      </c>
      <c r="G681" s="1">
        <v>230142</v>
      </c>
    </row>
    <row r="682" spans="1:10" x14ac:dyDescent="0.35">
      <c r="A682" s="1" t="str">
        <f t="shared" si="10"/>
        <v>9</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4434</v>
      </c>
      <c r="D682" s="1" t="s">
        <v>2034</v>
      </c>
      <c r="E682" s="1" t="s">
        <v>4435</v>
      </c>
      <c r="F682" s="1" t="s">
        <v>112</v>
      </c>
      <c r="G682" s="1">
        <v>141243</v>
      </c>
    </row>
    <row r="683" spans="1:10" x14ac:dyDescent="0.35">
      <c r="A683" s="1" t="str">
        <f t="shared" si="10"/>
        <v>9</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4436</v>
      </c>
      <c r="D683" s="1" t="s">
        <v>4437</v>
      </c>
      <c r="E683" s="1" t="s">
        <v>4438</v>
      </c>
      <c r="F683" s="1" t="s">
        <v>112</v>
      </c>
      <c r="G683" s="1">
        <v>887453</v>
      </c>
    </row>
    <row r="684" spans="1:10" x14ac:dyDescent="0.35">
      <c r="A684" s="1" t="str">
        <f t="shared" si="10"/>
        <v>9</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4439</v>
      </c>
      <c r="D684" s="1" t="s">
        <v>4440</v>
      </c>
      <c r="E684" s="1" t="s">
        <v>4441</v>
      </c>
      <c r="F684" s="1" t="s">
        <v>112</v>
      </c>
      <c r="G684" s="1">
        <v>658068</v>
      </c>
    </row>
    <row r="685" spans="1:10" x14ac:dyDescent="0.35">
      <c r="A685" s="1" t="str">
        <f t="shared" si="10"/>
        <v>9</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4442</v>
      </c>
      <c r="D685" s="1" t="s">
        <v>4443</v>
      </c>
      <c r="E685" s="1" t="s">
        <v>4444</v>
      </c>
      <c r="F685" s="1" t="s">
        <v>112</v>
      </c>
      <c r="G685" s="1">
        <v>1125122</v>
      </c>
    </row>
    <row r="686" spans="1:10" x14ac:dyDescent="0.3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112</v>
      </c>
    </row>
    <row r="687" spans="1:10" x14ac:dyDescent="0.3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237</v>
      </c>
      <c r="D687" s="1" t="s">
        <v>112</v>
      </c>
      <c r="E687" s="1" t="s">
        <v>238</v>
      </c>
      <c r="F687" s="1" t="s">
        <v>239</v>
      </c>
      <c r="G687" s="1" t="s">
        <v>240</v>
      </c>
      <c r="H687" s="1" t="s">
        <v>241</v>
      </c>
      <c r="I687" s="1" t="s">
        <v>242</v>
      </c>
      <c r="J687" s="1" t="s">
        <v>243</v>
      </c>
    </row>
    <row r="688" spans="1:10" x14ac:dyDescent="0.35">
      <c r="A688" s="1" t="str">
        <f t="shared" si="10"/>
        <v>9</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 t="s">
        <v>4445</v>
      </c>
      <c r="D688" s="1" t="s">
        <v>112</v>
      </c>
      <c r="E688" s="1" t="s">
        <v>4446</v>
      </c>
      <c r="F688" s="1" t="s">
        <v>4447</v>
      </c>
      <c r="G688" s="1" t="s">
        <v>4448</v>
      </c>
      <c r="H688" s="1" t="s">
        <v>4449</v>
      </c>
      <c r="I688" s="1">
        <v>24</v>
      </c>
      <c r="J688" s="1">
        <v>24</v>
      </c>
    </row>
    <row r="689" spans="1:2" x14ac:dyDescent="0.3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2" x14ac:dyDescent="0.3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2" x14ac:dyDescent="0.3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2" x14ac:dyDescent="0.3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2" x14ac:dyDescent="0.3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2" x14ac:dyDescent="0.3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2" x14ac:dyDescent="0.3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2" x14ac:dyDescent="0.3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2" x14ac:dyDescent="0.3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2" x14ac:dyDescent="0.3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2" x14ac:dyDescent="0.3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2" x14ac:dyDescent="0.3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2" x14ac:dyDescent="0.3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2" x14ac:dyDescent="0.3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2" x14ac:dyDescent="0.3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2" x14ac:dyDescent="0.3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74"/>
  <sheetViews>
    <sheetView showGridLines="0" topLeftCell="AB16" zoomScale="70" zoomScaleNormal="70" zoomScaleSheetLayoutView="40" zoomScalePageLayoutView="30" workbookViewId="0">
      <selection activeCell="AM8" sqref="AM8"/>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28" width="26.453125" style="1" customWidth="1"/>
    <col min="29" max="29" width="26.453125" style="1" bestFit="1" customWidth="1"/>
    <col min="30" max="30" width="11.7265625" style="1" customWidth="1"/>
    <col min="31" max="31" width="14.81640625" style="1" customWidth="1"/>
    <col min="32" max="32" width="17.7265625" style="1" customWidth="1"/>
    <col min="33" max="34" width="25.81640625" style="1" bestFit="1" customWidth="1"/>
    <col min="35" max="52" width="25.81640625" style="1" customWidth="1"/>
    <col min="53" max="53" width="25.81640625" style="1" bestFit="1" customWidth="1"/>
    <col min="54" max="16384" width="9.1796875" style="1"/>
  </cols>
  <sheetData>
    <row r="1" spans="1:53" ht="26.5" thickBot="1" x14ac:dyDescent="0.65">
      <c r="A1" s="221" t="s">
        <v>43</v>
      </c>
      <c r="B1" s="222"/>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c r="AO1" s="222"/>
      <c r="AP1" s="222"/>
      <c r="AQ1" s="222"/>
      <c r="AR1" s="222"/>
      <c r="AS1" s="222"/>
      <c r="AT1" s="222"/>
      <c r="AU1" s="222"/>
      <c r="AV1" s="222"/>
      <c r="AW1" s="222"/>
      <c r="AX1" s="222"/>
      <c r="AY1" s="222"/>
      <c r="AZ1" s="222"/>
      <c r="BA1" s="223"/>
    </row>
    <row r="2" spans="1:53" ht="15" thickBot="1" x14ac:dyDescent="0.4"/>
    <row r="3" spans="1:53" ht="15" thickBot="1" x14ac:dyDescent="0.4">
      <c r="A3" s="158" t="s">
        <v>22</v>
      </c>
      <c r="B3" s="231" t="s">
        <v>6</v>
      </c>
      <c r="C3" s="232"/>
      <c r="D3" s="232"/>
      <c r="E3" s="232"/>
      <c r="F3" s="232"/>
      <c r="G3" s="232"/>
      <c r="H3" s="232"/>
      <c r="I3" s="232"/>
      <c r="J3" s="232"/>
      <c r="K3" s="232"/>
      <c r="L3" s="232"/>
      <c r="M3" s="232"/>
      <c r="N3" s="232"/>
      <c r="O3" s="232"/>
      <c r="P3" s="232"/>
      <c r="Q3" s="232"/>
      <c r="R3" s="232"/>
      <c r="S3" s="232"/>
      <c r="T3" s="232"/>
      <c r="U3" s="232"/>
      <c r="V3" s="232"/>
      <c r="W3" s="232"/>
      <c r="X3" s="232"/>
      <c r="Y3" s="232"/>
      <c r="Z3" s="232"/>
      <c r="AA3" s="232"/>
      <c r="AB3" s="232"/>
      <c r="AC3" s="233"/>
      <c r="AE3" s="231" t="s">
        <v>3</v>
      </c>
      <c r="AF3" s="232"/>
      <c r="AG3" s="232"/>
      <c r="AH3" s="232"/>
      <c r="AI3" s="232"/>
      <c r="AJ3" s="232"/>
      <c r="AK3" s="232"/>
      <c r="AL3" s="232"/>
      <c r="AM3" s="232"/>
      <c r="AN3" s="232"/>
      <c r="AO3" s="232"/>
      <c r="AP3" s="232"/>
      <c r="AQ3" s="232"/>
      <c r="AR3" s="232"/>
      <c r="AS3" s="232"/>
      <c r="AT3" s="232"/>
      <c r="AU3" s="232"/>
      <c r="AV3" s="232"/>
      <c r="AW3" s="232"/>
      <c r="AX3" s="232"/>
      <c r="AY3" s="232"/>
      <c r="AZ3" s="232"/>
      <c r="BA3" s="233"/>
    </row>
    <row r="4" spans="1:53"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Testo-3.7µg/L</v>
      </c>
      <c r="J4" s="35" t="str">
        <f>'Page de garde'!A16</f>
        <v>Testo-11µg/L</v>
      </c>
      <c r="K4" s="35" t="str">
        <f>'Page de garde'!A17</f>
        <v>Testo-33µg/L</v>
      </c>
      <c r="L4" s="35" t="str">
        <f>'Page de garde'!A18</f>
        <v>Testo-100µg/L</v>
      </c>
      <c r="M4" s="35" t="str">
        <f>'Page de garde'!A19</f>
        <v>Testo-300µg/L</v>
      </c>
      <c r="N4" s="35" t="str">
        <f>'Page de garde'!A20</f>
        <v xml:space="preserve"> </v>
      </c>
      <c r="O4" s="35" t="str">
        <f>'Page de garde'!A21</f>
        <v xml:space="preserve"> </v>
      </c>
      <c r="P4" s="35" t="str">
        <f>'Page de garde'!A22</f>
        <v xml:space="preserve"> </v>
      </c>
      <c r="Q4" s="35" t="str">
        <f>'Page de garde'!A23</f>
        <v xml:space="preserve"> </v>
      </c>
      <c r="R4" s="35" t="str">
        <f>'Page de garde'!A24</f>
        <v xml:space="preserve"> </v>
      </c>
      <c r="S4" s="35" t="str">
        <f>'Page de garde'!A25</f>
        <v xml:space="preserve"> </v>
      </c>
      <c r="T4" s="35" t="str">
        <f>'Page de garde'!A26</f>
        <v xml:space="preserve"> </v>
      </c>
      <c r="U4" s="35" t="str">
        <f>'Page de garde'!A27</f>
        <v xml:space="preserve"> </v>
      </c>
      <c r="V4" s="35" t="str">
        <f>'Page de garde'!A28</f>
        <v xml:space="preserve"> </v>
      </c>
      <c r="W4" s="35" t="str">
        <f>'Page de garde'!A29</f>
        <v xml:space="preserve"> </v>
      </c>
      <c r="X4" s="35" t="str">
        <f>'Page de garde'!A30</f>
        <v xml:space="preserve"> </v>
      </c>
      <c r="Y4" s="35" t="str">
        <f>'Page de garde'!A31</f>
        <v xml:space="preserve"> </v>
      </c>
      <c r="Z4" s="35" t="str">
        <f>'Page de garde'!A32</f>
        <v xml:space="preserve"> </v>
      </c>
      <c r="AA4" s="35" t="str">
        <f>'Page de garde'!A33</f>
        <v xml:space="preserve"> </v>
      </c>
      <c r="AB4" s="35" t="str">
        <f>'Page de garde'!A34</f>
        <v xml:space="preserve"> </v>
      </c>
      <c r="AC4" s="35" t="str">
        <f>'Page de garde'!A35</f>
        <v xml:space="preserve"> </v>
      </c>
      <c r="AD4" s="3"/>
      <c r="AE4" s="36" t="str">
        <f>'Page de garde'!A36</f>
        <v>Testo -30µg/L</v>
      </c>
      <c r="AF4" s="36" t="str">
        <f>'Page de garde'!A37</f>
        <v>Testo 30µg/L + EE2 -64ng/L</v>
      </c>
      <c r="AG4" s="36" t="str">
        <f>'Page de garde'!A38</f>
        <v>Testo 30µg/L + FAD-10mg/L</v>
      </c>
      <c r="AH4" s="36" t="str">
        <f>'Page de garde'!A39</f>
        <v>Testo-3,7µg/L + Testostérone</v>
      </c>
      <c r="AI4" s="36" t="str">
        <f>'Page de garde'!A40</f>
        <v>Testo-11µg/L + Testostérone</v>
      </c>
      <c r="AJ4" s="36" t="str">
        <f>'Page de garde'!A41</f>
        <v>Testo-33µg/L + Testostérone</v>
      </c>
      <c r="AK4" s="36" t="str">
        <f>'Page de garde'!A42</f>
        <v>Testo-100µg/L + Testostérone</v>
      </c>
      <c r="AL4" s="36" t="str">
        <f>'Page de garde'!A43</f>
        <v>Testo-300µg/L + Testostérone</v>
      </c>
      <c r="AM4" s="36" t="str">
        <f>'Page de garde'!A44</f>
        <v>0-00 + Testostérone</v>
      </c>
      <c r="AN4" s="36" t="str">
        <f>'Page de garde'!A45</f>
        <v>0-00 + Testostérone</v>
      </c>
      <c r="AO4" s="36" t="str">
        <f>'Page de garde'!A46</f>
        <v>0-00 + Testostérone</v>
      </c>
      <c r="AP4" s="36" t="str">
        <f>'Page de garde'!A47</f>
        <v>0-00 + Testostérone</v>
      </c>
      <c r="AQ4" s="36" t="str">
        <f>'Page de garde'!A48</f>
        <v>0-00 + Testostérone</v>
      </c>
      <c r="AR4" s="36" t="str">
        <f>'Page de garde'!A49</f>
        <v>0-00 + Testostérone</v>
      </c>
      <c r="AS4" s="36" t="str">
        <f>'Page de garde'!A50</f>
        <v>0-00 + Testostérone</v>
      </c>
      <c r="AT4" s="36" t="str">
        <f>'Page de garde'!A51</f>
        <v>0-00 + Testostérone</v>
      </c>
      <c r="AU4" s="36" t="str">
        <f>'Page de garde'!A52</f>
        <v>0-00 + Testostérone</v>
      </c>
      <c r="AV4" s="36" t="str">
        <f>'Page de garde'!A53</f>
        <v>0-00 + Testostérone</v>
      </c>
      <c r="AW4" s="36" t="str">
        <f>'Page de garde'!A54</f>
        <v>0-00 + Testostérone</v>
      </c>
      <c r="AX4" s="36" t="str">
        <f>'Page de garde'!A55</f>
        <v>0-00 + Testostérone</v>
      </c>
      <c r="AY4" s="36" t="str">
        <f>'Page de garde'!A56</f>
        <v>0-00 + Testostérone</v>
      </c>
      <c r="AZ4" s="36" t="str">
        <f>'Page de garde'!A57</f>
        <v>0-00 + Testostérone</v>
      </c>
      <c r="BA4" s="36" t="str">
        <f>'Page de garde'!A58</f>
        <v>0-00 + Testostérone</v>
      </c>
    </row>
    <row r="5" spans="1:53" x14ac:dyDescent="0.35">
      <c r="A5" s="234" t="s">
        <v>33</v>
      </c>
      <c r="B5" s="200">
        <v>186788.66666666666</v>
      </c>
      <c r="C5" s="200">
        <v>182318.33333333334</v>
      </c>
      <c r="D5" s="200">
        <v>30678.666666666668</v>
      </c>
      <c r="E5" s="200">
        <v>159239.33333333334</v>
      </c>
      <c r="F5" s="200">
        <v>571389.66666666663</v>
      </c>
      <c r="G5" s="200">
        <v>2933893.6666666665</v>
      </c>
      <c r="H5" s="200">
        <v>4452795</v>
      </c>
      <c r="I5" s="200">
        <v>479974.33333333331</v>
      </c>
      <c r="J5" s="200">
        <v>969862.66666666663</v>
      </c>
      <c r="K5" s="200">
        <v>417911</v>
      </c>
      <c r="L5" s="200">
        <v>3660023.3333333335</v>
      </c>
      <c r="M5" s="200">
        <v>4115570.6666666665</v>
      </c>
      <c r="N5" s="13"/>
      <c r="O5" s="13"/>
      <c r="P5" s="13"/>
      <c r="Q5" s="13"/>
      <c r="R5" s="13"/>
      <c r="S5" s="13"/>
      <c r="T5" s="13"/>
      <c r="U5" s="13"/>
      <c r="V5" s="13"/>
      <c r="W5" s="13"/>
      <c r="X5" s="13"/>
      <c r="Y5" s="13"/>
      <c r="Z5" s="13"/>
      <c r="AA5" s="13"/>
      <c r="AB5" s="13"/>
      <c r="AC5" s="13"/>
      <c r="AD5" s="3"/>
      <c r="AE5" s="200">
        <v>422215.66666666669</v>
      </c>
      <c r="AF5" s="200">
        <v>3171721.3333333335</v>
      </c>
      <c r="AG5" s="200">
        <v>272082</v>
      </c>
      <c r="AH5" s="200">
        <v>204618.66666666666</v>
      </c>
      <c r="AI5" s="200">
        <v>1127144.5</v>
      </c>
      <c r="AJ5" s="200">
        <v>2511685</v>
      </c>
      <c r="AK5" s="200">
        <v>3184778.6666666665</v>
      </c>
      <c r="AL5" s="200">
        <v>1624426.6666666667</v>
      </c>
      <c r="AM5" s="32"/>
      <c r="AN5" s="32"/>
      <c r="AO5" s="32"/>
      <c r="AP5" s="32"/>
      <c r="AQ5" s="32"/>
      <c r="AR5" s="32"/>
      <c r="AS5" s="32"/>
      <c r="AT5" s="32"/>
      <c r="AU5" s="32"/>
      <c r="AV5" s="32"/>
      <c r="AW5" s="32"/>
      <c r="AX5" s="32"/>
      <c r="AY5" s="32"/>
      <c r="AZ5" s="32"/>
      <c r="BA5" s="32"/>
    </row>
    <row r="6" spans="1:53" x14ac:dyDescent="0.35">
      <c r="A6" s="234"/>
      <c r="B6" s="200">
        <v>285796</v>
      </c>
      <c r="C6" s="200">
        <v>33663.666666666664</v>
      </c>
      <c r="D6" s="200">
        <v>643489.33333333337</v>
      </c>
      <c r="E6" s="200">
        <v>929609.33333333337</v>
      </c>
      <c r="F6" s="200">
        <v>2308530</v>
      </c>
      <c r="G6" s="200">
        <v>3693218</v>
      </c>
      <c r="H6" s="200">
        <v>3993376</v>
      </c>
      <c r="I6" s="200">
        <v>91819</v>
      </c>
      <c r="J6" s="200">
        <v>102561.66666666667</v>
      </c>
      <c r="K6" s="200">
        <v>2421906.3333333335</v>
      </c>
      <c r="L6" s="200">
        <v>3679100.6666666665</v>
      </c>
      <c r="M6" s="200">
        <v>2826839.6666666665</v>
      </c>
      <c r="N6" s="13"/>
      <c r="O6" s="13"/>
      <c r="P6" s="13"/>
      <c r="Q6" s="13"/>
      <c r="R6" s="13"/>
      <c r="S6" s="13"/>
      <c r="T6" s="13"/>
      <c r="U6" s="13"/>
      <c r="V6" s="13"/>
      <c r="W6" s="13"/>
      <c r="X6" s="13"/>
      <c r="Y6" s="13"/>
      <c r="Z6" s="13"/>
      <c r="AA6" s="13"/>
      <c r="AB6" s="13"/>
      <c r="AC6" s="13"/>
      <c r="AD6" s="3"/>
      <c r="AE6" s="200">
        <v>1704209</v>
      </c>
      <c r="AF6" s="200">
        <v>4704920.333333333</v>
      </c>
      <c r="AG6" s="200">
        <v>202218</v>
      </c>
      <c r="AH6" s="200">
        <v>681356</v>
      </c>
      <c r="AI6" s="200">
        <v>3022554.3333333335</v>
      </c>
      <c r="AJ6" s="200">
        <v>117695.66666666667</v>
      </c>
      <c r="AK6" s="200">
        <v>2443846.3333333335</v>
      </c>
      <c r="AL6" s="200">
        <v>4723392</v>
      </c>
      <c r="AM6" s="32"/>
      <c r="AN6" s="32"/>
      <c r="AO6" s="32"/>
      <c r="AP6" s="32"/>
      <c r="AQ6" s="32"/>
      <c r="AR6" s="32"/>
      <c r="AS6" s="32"/>
      <c r="AT6" s="32"/>
      <c r="AU6" s="32"/>
      <c r="AV6" s="32"/>
      <c r="AW6" s="32"/>
      <c r="AX6" s="32"/>
      <c r="AY6" s="32"/>
      <c r="AZ6" s="32"/>
      <c r="BA6" s="32"/>
    </row>
    <row r="7" spans="1:53" x14ac:dyDescent="0.35">
      <c r="A7" s="234"/>
      <c r="B7" s="200">
        <v>241616.5</v>
      </c>
      <c r="C7" s="200">
        <v>132259.33333333334</v>
      </c>
      <c r="D7" s="200">
        <v>149952.66666666666</v>
      </c>
      <c r="E7" s="200">
        <v>463802.66666666669</v>
      </c>
      <c r="F7" s="200">
        <v>2311652</v>
      </c>
      <c r="G7" s="200">
        <v>3003181</v>
      </c>
      <c r="H7" s="200">
        <v>2346483</v>
      </c>
      <c r="I7" s="200">
        <v>145597.66666666666</v>
      </c>
      <c r="J7" s="200">
        <v>345710.66666666669</v>
      </c>
      <c r="K7" s="200">
        <v>275053</v>
      </c>
      <c r="L7" s="200">
        <v>3182997.6666666665</v>
      </c>
      <c r="M7" s="200">
        <v>4250916</v>
      </c>
      <c r="N7" s="13"/>
      <c r="O7" s="13"/>
      <c r="P7" s="13"/>
      <c r="Q7" s="13"/>
      <c r="R7" s="13"/>
      <c r="S7" s="13"/>
      <c r="T7" s="13"/>
      <c r="U7" s="13"/>
      <c r="V7" s="13"/>
      <c r="W7" s="13"/>
      <c r="X7" s="13"/>
      <c r="Y7" s="13"/>
      <c r="Z7" s="13"/>
      <c r="AA7" s="13"/>
      <c r="AB7" s="13"/>
      <c r="AC7" s="13"/>
      <c r="AD7" s="3"/>
      <c r="AE7" s="200">
        <v>1350585</v>
      </c>
      <c r="AF7" s="200">
        <v>4637096.333333333</v>
      </c>
      <c r="AG7" s="200">
        <v>154653.66666666666</v>
      </c>
      <c r="AH7" s="200">
        <v>2445620</v>
      </c>
      <c r="AI7" s="200">
        <v>1722994</v>
      </c>
      <c r="AJ7" s="200">
        <v>3668596</v>
      </c>
      <c r="AK7" s="200">
        <v>1993836.3333333333</v>
      </c>
      <c r="AL7" s="200">
        <v>2942574</v>
      </c>
      <c r="AM7" s="32"/>
      <c r="AN7" s="32"/>
      <c r="AO7" s="32"/>
      <c r="AP7" s="32"/>
      <c r="AQ7" s="32"/>
      <c r="AR7" s="32"/>
      <c r="AS7" s="32"/>
      <c r="AT7" s="32"/>
      <c r="AU7" s="32"/>
      <c r="AV7" s="32"/>
      <c r="AW7" s="32"/>
      <c r="AX7" s="32"/>
      <c r="AY7" s="32"/>
      <c r="AZ7" s="32"/>
      <c r="BA7" s="32"/>
    </row>
    <row r="8" spans="1:53" x14ac:dyDescent="0.35">
      <c r="A8" s="234"/>
      <c r="B8" s="200"/>
      <c r="C8" s="200">
        <v>219925.33333333334</v>
      </c>
      <c r="D8" s="200">
        <v>152794</v>
      </c>
      <c r="E8" s="200">
        <v>1012956.6666666666</v>
      </c>
      <c r="F8" s="200">
        <v>4124258.3333333335</v>
      </c>
      <c r="G8" s="200">
        <v>1289149</v>
      </c>
      <c r="H8" s="200">
        <v>4714783.333333333</v>
      </c>
      <c r="I8" s="200">
        <v>105856.66666666667</v>
      </c>
      <c r="J8" s="200">
        <v>217762.33333333334</v>
      </c>
      <c r="K8" s="200">
        <v>766585</v>
      </c>
      <c r="L8" s="200">
        <v>1414782.3333333333</v>
      </c>
      <c r="M8" s="200">
        <v>2636525.3333333335</v>
      </c>
      <c r="N8" s="13"/>
      <c r="O8" s="13"/>
      <c r="P8" s="13"/>
      <c r="Q8" s="13"/>
      <c r="R8" s="13"/>
      <c r="S8" s="13"/>
      <c r="T8" s="13"/>
      <c r="U8" s="13"/>
      <c r="V8" s="13"/>
      <c r="W8" s="13"/>
      <c r="X8" s="13"/>
      <c r="Y8" s="13"/>
      <c r="Z8" s="13"/>
      <c r="AA8" s="13"/>
      <c r="AB8" s="13"/>
      <c r="AC8" s="13"/>
      <c r="AD8" s="3"/>
      <c r="AE8" s="200">
        <v>3397948.3333333335</v>
      </c>
      <c r="AF8" s="200">
        <v>3897281.6666666665</v>
      </c>
      <c r="AG8" s="200">
        <v>68083.666666666672</v>
      </c>
      <c r="AH8" s="200"/>
      <c r="AI8" s="200">
        <v>975292</v>
      </c>
      <c r="AJ8" s="200">
        <v>365963.66666666669</v>
      </c>
      <c r="AK8" s="200">
        <v>3360889</v>
      </c>
      <c r="AL8" s="200">
        <v>2892010.6666666665</v>
      </c>
      <c r="AM8" s="32"/>
      <c r="AN8" s="32"/>
      <c r="AO8" s="32"/>
      <c r="AP8" s="32"/>
      <c r="AQ8" s="32"/>
      <c r="AR8" s="32"/>
      <c r="AS8" s="32"/>
      <c r="AT8" s="32"/>
      <c r="AU8" s="32"/>
      <c r="AV8" s="32"/>
      <c r="AW8" s="32"/>
      <c r="AX8" s="32"/>
      <c r="AY8" s="32"/>
      <c r="AZ8" s="32"/>
      <c r="BA8" s="32"/>
    </row>
    <row r="9" spans="1:53" x14ac:dyDescent="0.35">
      <c r="A9" s="234"/>
      <c r="B9" s="200">
        <v>35285.666666666664</v>
      </c>
      <c r="C9" s="200">
        <v>710434</v>
      </c>
      <c r="D9" s="200">
        <v>402186.33333333331</v>
      </c>
      <c r="E9" s="200">
        <v>414998.66666666669</v>
      </c>
      <c r="F9" s="200">
        <v>2195729.6666666665</v>
      </c>
      <c r="G9" s="200">
        <v>5059001.333333333</v>
      </c>
      <c r="H9" s="200"/>
      <c r="I9" s="200">
        <v>130104</v>
      </c>
      <c r="J9" s="200">
        <v>271743.33333333331</v>
      </c>
      <c r="K9" s="200">
        <v>2234880</v>
      </c>
      <c r="L9" s="200">
        <v>3792247</v>
      </c>
      <c r="M9" s="200">
        <v>2666425.3333333335</v>
      </c>
      <c r="N9" s="13"/>
      <c r="O9" s="13"/>
      <c r="P9" s="13"/>
      <c r="Q9" s="13"/>
      <c r="R9" s="13"/>
      <c r="S9" s="13"/>
      <c r="T9" s="13"/>
      <c r="U9" s="13"/>
      <c r="V9" s="13"/>
      <c r="W9" s="13"/>
      <c r="X9" s="13"/>
      <c r="Y9" s="13"/>
      <c r="Z9" s="13"/>
      <c r="AA9" s="13"/>
      <c r="AB9" s="13"/>
      <c r="AC9" s="13"/>
      <c r="AD9" s="3"/>
      <c r="AE9" s="200">
        <v>836276.66666666663</v>
      </c>
      <c r="AF9" s="200">
        <v>4072563</v>
      </c>
      <c r="AG9" s="200">
        <v>27870</v>
      </c>
      <c r="AH9" s="200">
        <v>1206472</v>
      </c>
      <c r="AI9" s="200">
        <v>586538</v>
      </c>
      <c r="AJ9" s="200">
        <v>3772116.6666666665</v>
      </c>
      <c r="AK9" s="200">
        <v>3706390.6666666665</v>
      </c>
      <c r="AL9" s="200">
        <v>1254490.5</v>
      </c>
      <c r="AM9" s="32"/>
      <c r="AN9" s="32"/>
      <c r="AO9" s="32"/>
      <c r="AP9" s="32"/>
      <c r="AQ9" s="32"/>
      <c r="AR9" s="32"/>
      <c r="AS9" s="32"/>
      <c r="AT9" s="32"/>
      <c r="AU9" s="32"/>
      <c r="AV9" s="32"/>
      <c r="AW9" s="32"/>
      <c r="AX9" s="32"/>
      <c r="AY9" s="32"/>
      <c r="AZ9" s="32"/>
      <c r="BA9" s="32"/>
    </row>
    <row r="10" spans="1:53" x14ac:dyDescent="0.35">
      <c r="A10" s="234"/>
      <c r="B10" s="200">
        <v>13919</v>
      </c>
      <c r="C10" s="200">
        <v>582623</v>
      </c>
      <c r="D10" s="200">
        <v>152981.33333333334</v>
      </c>
      <c r="E10" s="200">
        <v>1028717.6666666666</v>
      </c>
      <c r="F10" s="200">
        <v>1511576.3333333333</v>
      </c>
      <c r="G10" s="200">
        <v>4806025.666666667</v>
      </c>
      <c r="H10" s="200">
        <v>3322460</v>
      </c>
      <c r="I10" s="200">
        <v>163666.33333333334</v>
      </c>
      <c r="J10" s="200">
        <v>330559</v>
      </c>
      <c r="K10" s="200">
        <v>1636712.6666666667</v>
      </c>
      <c r="L10" s="200">
        <v>2526999</v>
      </c>
      <c r="M10" s="200">
        <v>3016858.3333333335</v>
      </c>
      <c r="N10" s="13"/>
      <c r="O10" s="13"/>
      <c r="P10" s="13"/>
      <c r="Q10" s="13"/>
      <c r="R10" s="13"/>
      <c r="S10" s="13"/>
      <c r="T10" s="13"/>
      <c r="U10" s="13"/>
      <c r="V10" s="13"/>
      <c r="W10" s="13"/>
      <c r="X10" s="13"/>
      <c r="Y10" s="13"/>
      <c r="Z10" s="13"/>
      <c r="AA10" s="13"/>
      <c r="AB10" s="13"/>
      <c r="AC10" s="13"/>
      <c r="AD10" s="3"/>
      <c r="AE10" s="200">
        <v>1452368</v>
      </c>
      <c r="AF10" s="200">
        <v>2518685.6666666665</v>
      </c>
      <c r="AG10" s="200">
        <v>122886.33333333333</v>
      </c>
      <c r="AH10" s="200">
        <v>2144654.6666666665</v>
      </c>
      <c r="AI10" s="200">
        <v>65008.5</v>
      </c>
      <c r="AJ10" s="200">
        <v>1745648</v>
      </c>
      <c r="AK10" s="200">
        <v>1927562.3333333333</v>
      </c>
      <c r="AL10" s="200">
        <v>3380233.6666666665</v>
      </c>
      <c r="AM10" s="32"/>
      <c r="AN10" s="32"/>
      <c r="AO10" s="32"/>
      <c r="AP10" s="32"/>
      <c r="AQ10" s="32"/>
      <c r="AR10" s="32"/>
      <c r="AS10" s="32"/>
      <c r="AT10" s="32"/>
      <c r="AU10" s="32"/>
      <c r="AV10" s="32"/>
      <c r="AW10" s="32"/>
      <c r="AX10" s="32"/>
      <c r="AY10" s="32"/>
      <c r="AZ10" s="32"/>
      <c r="BA10" s="32"/>
    </row>
    <row r="11" spans="1:53" x14ac:dyDescent="0.35">
      <c r="A11" s="234"/>
      <c r="B11" s="200">
        <v>40231.666666666664</v>
      </c>
      <c r="C11" s="200">
        <v>279746.66666666669</v>
      </c>
      <c r="D11" s="200">
        <v>369229.66666666669</v>
      </c>
      <c r="E11" s="200">
        <v>2110270.3333333335</v>
      </c>
      <c r="F11" s="200">
        <v>1713469.6666666667</v>
      </c>
      <c r="G11" s="200">
        <v>2120941</v>
      </c>
      <c r="H11" s="200">
        <v>4618415.333333333</v>
      </c>
      <c r="I11" s="200">
        <v>122512</v>
      </c>
      <c r="J11" s="200">
        <v>242846</v>
      </c>
      <c r="K11" s="200">
        <v>2369187.3333333335</v>
      </c>
      <c r="L11" s="200">
        <v>2848945.3333333335</v>
      </c>
      <c r="M11" s="200">
        <v>1916690</v>
      </c>
      <c r="N11" s="13"/>
      <c r="O11" s="13"/>
      <c r="P11" s="13"/>
      <c r="Q11" s="13"/>
      <c r="R11" s="13"/>
      <c r="S11" s="13"/>
      <c r="T11" s="13"/>
      <c r="U11" s="13"/>
      <c r="V11" s="13"/>
      <c r="W11" s="13"/>
      <c r="X11" s="13"/>
      <c r="Y11" s="13"/>
      <c r="Z11" s="13"/>
      <c r="AA11" s="13"/>
      <c r="AB11" s="13"/>
      <c r="AC11" s="13"/>
      <c r="AD11" s="3"/>
      <c r="AE11" s="200">
        <v>1731192</v>
      </c>
      <c r="AF11" s="200">
        <v>3911334</v>
      </c>
      <c r="AG11" s="200">
        <v>57247</v>
      </c>
      <c r="AH11" s="200">
        <v>191799.66666666666</v>
      </c>
      <c r="AI11" s="200">
        <v>896905</v>
      </c>
      <c r="AJ11" s="200">
        <v>1706844</v>
      </c>
      <c r="AK11" s="200">
        <v>1044356</v>
      </c>
      <c r="AL11" s="200">
        <v>3256712.3333333335</v>
      </c>
      <c r="AM11" s="32"/>
      <c r="AN11" s="32"/>
      <c r="AO11" s="32"/>
      <c r="AP11" s="32"/>
      <c r="AQ11" s="32"/>
      <c r="AR11" s="32"/>
      <c r="AS11" s="32"/>
      <c r="AT11" s="32"/>
      <c r="AU11" s="32"/>
      <c r="AV11" s="32"/>
      <c r="AW11" s="32"/>
      <c r="AX11" s="32"/>
      <c r="AY11" s="32"/>
      <c r="AZ11" s="32"/>
      <c r="BA11" s="32"/>
    </row>
    <row r="12" spans="1:53" x14ac:dyDescent="0.35">
      <c r="A12" s="234"/>
      <c r="B12" s="200">
        <v>179347.66666666666</v>
      </c>
      <c r="C12" s="200">
        <v>411227.66666666669</v>
      </c>
      <c r="D12" s="200">
        <v>98207</v>
      </c>
      <c r="E12" s="200">
        <v>417795.66666666669</v>
      </c>
      <c r="F12" s="200">
        <v>3282920.6666666665</v>
      </c>
      <c r="G12" s="200">
        <v>3838052</v>
      </c>
      <c r="H12" s="200">
        <v>3175996.6666666665</v>
      </c>
      <c r="I12" s="200">
        <v>161013</v>
      </c>
      <c r="J12" s="200">
        <v>890214.33333333337</v>
      </c>
      <c r="K12" s="200">
        <v>384500.33333333331</v>
      </c>
      <c r="L12" s="200">
        <v>3183213.6666666665</v>
      </c>
      <c r="M12" s="200">
        <v>3464150.3333333335</v>
      </c>
      <c r="N12" s="13"/>
      <c r="O12" s="13"/>
      <c r="P12" s="13"/>
      <c r="Q12" s="13"/>
      <c r="R12" s="13"/>
      <c r="S12" s="13"/>
      <c r="T12" s="13"/>
      <c r="U12" s="13"/>
      <c r="V12" s="13"/>
      <c r="W12" s="13"/>
      <c r="X12" s="13"/>
      <c r="Y12" s="13"/>
      <c r="Z12" s="13"/>
      <c r="AA12" s="13"/>
      <c r="AB12" s="13"/>
      <c r="AC12" s="13"/>
      <c r="AD12" s="3"/>
      <c r="AE12" s="200">
        <v>3280425.6666666665</v>
      </c>
      <c r="AF12" s="200">
        <v>4231644</v>
      </c>
      <c r="AG12" s="200">
        <v>202109.5</v>
      </c>
      <c r="AH12" s="200">
        <v>67362.666666666672</v>
      </c>
      <c r="AI12" s="200">
        <v>2810718.6666666665</v>
      </c>
      <c r="AJ12" s="200">
        <v>3217764</v>
      </c>
      <c r="AK12" s="200">
        <v>2128425</v>
      </c>
      <c r="AL12" s="200">
        <v>2580042.6666666665</v>
      </c>
      <c r="AM12" s="32"/>
      <c r="AN12" s="32"/>
      <c r="AO12" s="32"/>
      <c r="AP12" s="32"/>
      <c r="AQ12" s="32"/>
      <c r="AR12" s="32"/>
      <c r="AS12" s="32"/>
      <c r="AT12" s="32"/>
      <c r="AU12" s="32"/>
      <c r="AV12" s="32"/>
      <c r="AW12" s="32"/>
      <c r="AX12" s="32"/>
      <c r="AY12" s="32"/>
      <c r="AZ12" s="32"/>
      <c r="BA12" s="32"/>
    </row>
    <row r="13" spans="1:53" ht="16.5" x14ac:dyDescent="0.35">
      <c r="A13" s="234"/>
      <c r="B13" s="14"/>
      <c r="C13" s="13"/>
      <c r="D13" s="32"/>
      <c r="E13" s="32"/>
      <c r="F13" s="32"/>
      <c r="G13" s="32"/>
      <c r="H13" s="32"/>
      <c r="I13" s="32"/>
      <c r="J13" s="32"/>
      <c r="K13" s="13"/>
      <c r="L13" s="13"/>
      <c r="M13" s="13"/>
      <c r="N13" s="13"/>
      <c r="O13" s="13"/>
      <c r="P13" s="13"/>
      <c r="Q13" s="13"/>
      <c r="R13" s="13"/>
      <c r="S13" s="13"/>
      <c r="T13" s="13"/>
      <c r="U13" s="13"/>
      <c r="V13" s="13"/>
      <c r="W13" s="13"/>
      <c r="X13" s="13"/>
      <c r="Y13" s="13"/>
      <c r="Z13" s="13"/>
      <c r="AA13" s="13"/>
      <c r="AB13" s="13"/>
      <c r="AC13" s="13"/>
      <c r="AD13" s="3"/>
      <c r="AE13" s="200">
        <v>863645.66666666663</v>
      </c>
      <c r="AF13" s="13"/>
      <c r="AG13" s="13"/>
      <c r="AH13" s="32"/>
      <c r="AI13" s="32"/>
      <c r="AJ13" s="32"/>
      <c r="AK13" s="32"/>
      <c r="AL13" s="32"/>
      <c r="AM13" s="32"/>
      <c r="AN13" s="32"/>
      <c r="AO13" s="32"/>
      <c r="AP13" s="32"/>
      <c r="AQ13" s="32"/>
      <c r="AR13" s="32"/>
      <c r="AS13" s="32"/>
      <c r="AT13" s="32"/>
      <c r="AU13" s="32"/>
      <c r="AV13" s="32"/>
      <c r="AW13" s="32"/>
      <c r="AX13" s="32"/>
      <c r="AY13" s="32"/>
      <c r="AZ13" s="32"/>
      <c r="BA13" s="32"/>
    </row>
    <row r="14" spans="1:53" ht="16.5" x14ac:dyDescent="0.35">
      <c r="A14" s="234"/>
      <c r="B14" s="14"/>
      <c r="C14" s="32"/>
      <c r="D14" s="32"/>
      <c r="E14" s="32"/>
      <c r="F14" s="32"/>
      <c r="G14" s="32"/>
      <c r="H14" s="32"/>
      <c r="I14" s="32"/>
      <c r="J14" s="32"/>
      <c r="K14" s="13"/>
      <c r="L14" s="13"/>
      <c r="M14" s="13"/>
      <c r="N14" s="13"/>
      <c r="O14" s="13"/>
      <c r="P14" s="13"/>
      <c r="Q14" s="13"/>
      <c r="R14" s="13"/>
      <c r="S14" s="13"/>
      <c r="T14" s="13"/>
      <c r="U14" s="13"/>
      <c r="V14" s="13"/>
      <c r="W14" s="13"/>
      <c r="X14" s="13"/>
      <c r="Y14" s="13"/>
      <c r="Z14" s="13"/>
      <c r="AA14" s="13"/>
      <c r="AB14" s="13"/>
      <c r="AC14" s="13"/>
      <c r="AD14" s="3"/>
      <c r="AE14" s="200">
        <v>2295753.6666666665</v>
      </c>
      <c r="AF14" s="13"/>
      <c r="AG14" s="13"/>
      <c r="AH14" s="32"/>
      <c r="AI14" s="32"/>
      <c r="AJ14" s="32"/>
      <c r="AK14" s="32"/>
      <c r="AL14" s="32"/>
      <c r="AM14" s="32"/>
      <c r="AN14" s="32"/>
      <c r="AO14" s="32"/>
      <c r="AP14" s="32"/>
      <c r="AQ14" s="32"/>
      <c r="AR14" s="32"/>
      <c r="AS14" s="32"/>
      <c r="AT14" s="32"/>
      <c r="AU14" s="32"/>
      <c r="AV14" s="32"/>
      <c r="AW14" s="32"/>
      <c r="AX14" s="32"/>
      <c r="AY14" s="32"/>
      <c r="AZ14" s="32"/>
      <c r="BA14" s="32"/>
    </row>
    <row r="15" spans="1:53" ht="16.5" x14ac:dyDescent="0.35">
      <c r="A15" s="234"/>
      <c r="B15" s="14"/>
      <c r="C15" s="32"/>
      <c r="D15" s="32"/>
      <c r="E15" s="32"/>
      <c r="F15" s="32"/>
      <c r="G15" s="32"/>
      <c r="H15" s="32"/>
      <c r="I15" s="32"/>
      <c r="J15" s="32"/>
      <c r="K15" s="13"/>
      <c r="L15" s="13"/>
      <c r="M15" s="13"/>
      <c r="N15" s="13"/>
      <c r="O15" s="13"/>
      <c r="P15" s="13"/>
      <c r="Q15" s="13"/>
      <c r="R15" s="13"/>
      <c r="S15" s="13"/>
      <c r="T15" s="13"/>
      <c r="U15" s="13"/>
      <c r="V15" s="13"/>
      <c r="W15" s="13"/>
      <c r="X15" s="13"/>
      <c r="Y15" s="13"/>
      <c r="Z15" s="13"/>
      <c r="AA15" s="13"/>
      <c r="AB15" s="13"/>
      <c r="AC15" s="13"/>
      <c r="AD15" s="3"/>
      <c r="AE15" s="200">
        <v>2210741.3333333335</v>
      </c>
      <c r="AF15" s="13"/>
      <c r="AG15" s="13"/>
      <c r="AH15" s="32"/>
      <c r="AI15" s="32"/>
      <c r="AJ15" s="32"/>
      <c r="AK15" s="32"/>
      <c r="AL15" s="32"/>
      <c r="AM15" s="32"/>
      <c r="AN15" s="32"/>
      <c r="AO15" s="32"/>
      <c r="AP15" s="32"/>
      <c r="AQ15" s="32"/>
      <c r="AR15" s="32"/>
      <c r="AS15" s="32"/>
      <c r="AT15" s="32"/>
      <c r="AU15" s="32"/>
      <c r="AV15" s="32"/>
      <c r="AW15" s="32"/>
      <c r="AX15" s="32"/>
      <c r="AY15" s="32"/>
      <c r="AZ15" s="32"/>
      <c r="BA15" s="32"/>
    </row>
    <row r="16" spans="1:53" ht="16.5" x14ac:dyDescent="0.35">
      <c r="A16" s="234"/>
      <c r="B16" s="14"/>
      <c r="C16" s="32"/>
      <c r="D16" s="32"/>
      <c r="E16" s="32"/>
      <c r="F16" s="32"/>
      <c r="G16" s="32"/>
      <c r="H16" s="32"/>
      <c r="I16" s="32"/>
      <c r="J16" s="32"/>
      <c r="K16" s="13"/>
      <c r="L16" s="13"/>
      <c r="M16" s="13"/>
      <c r="N16" s="13"/>
      <c r="O16" s="13"/>
      <c r="P16" s="13"/>
      <c r="Q16" s="13"/>
      <c r="R16" s="13"/>
      <c r="S16" s="13"/>
      <c r="T16" s="13"/>
      <c r="U16" s="13"/>
      <c r="V16" s="13"/>
      <c r="W16" s="13"/>
      <c r="X16" s="13"/>
      <c r="Y16" s="13"/>
      <c r="Z16" s="13"/>
      <c r="AA16" s="13"/>
      <c r="AB16" s="13"/>
      <c r="AC16" s="13"/>
      <c r="AD16" s="3"/>
      <c r="AE16" s="200">
        <v>4224956.5</v>
      </c>
      <c r="AF16" s="13"/>
      <c r="AG16" s="13"/>
      <c r="AH16" s="32"/>
      <c r="AI16" s="32"/>
      <c r="AJ16" s="32"/>
      <c r="AK16" s="32"/>
      <c r="AL16" s="32"/>
      <c r="AM16" s="32"/>
      <c r="AN16" s="32"/>
      <c r="AO16" s="32"/>
      <c r="AP16" s="32"/>
      <c r="AQ16" s="32"/>
      <c r="AR16" s="32"/>
      <c r="AS16" s="32"/>
      <c r="AT16" s="32"/>
      <c r="AU16" s="32"/>
      <c r="AV16" s="32"/>
      <c r="AW16" s="32"/>
      <c r="AX16" s="32"/>
      <c r="AY16" s="32"/>
      <c r="AZ16" s="32"/>
      <c r="BA16" s="32"/>
    </row>
    <row r="17" spans="1:53" ht="16.5" x14ac:dyDescent="0.35">
      <c r="A17" s="234"/>
      <c r="B17" s="14"/>
      <c r="C17" s="32"/>
      <c r="D17" s="32"/>
      <c r="E17" s="32"/>
      <c r="F17" s="32"/>
      <c r="G17" s="32"/>
      <c r="H17" s="32"/>
      <c r="I17" s="32"/>
      <c r="J17" s="32"/>
      <c r="K17" s="13"/>
      <c r="L17" s="13"/>
      <c r="M17" s="13"/>
      <c r="N17" s="13"/>
      <c r="O17" s="13"/>
      <c r="P17" s="13"/>
      <c r="Q17" s="13"/>
      <c r="R17" s="13"/>
      <c r="S17" s="13"/>
      <c r="T17" s="13"/>
      <c r="U17" s="13"/>
      <c r="V17" s="13"/>
      <c r="W17" s="13"/>
      <c r="X17" s="13"/>
      <c r="Y17" s="13"/>
      <c r="Z17" s="13"/>
      <c r="AA17" s="13"/>
      <c r="AB17" s="13"/>
      <c r="AC17" s="13"/>
      <c r="AD17" s="3"/>
      <c r="AE17" s="200">
        <v>2149283.3333333335</v>
      </c>
      <c r="AF17" s="13"/>
      <c r="AG17" s="13"/>
      <c r="AH17" s="32"/>
      <c r="AI17" s="32"/>
      <c r="AJ17" s="32"/>
      <c r="AK17" s="32"/>
      <c r="AL17" s="32"/>
      <c r="AM17" s="32"/>
      <c r="AN17" s="32"/>
      <c r="AO17" s="32"/>
      <c r="AP17" s="32"/>
      <c r="AQ17" s="32"/>
      <c r="AR17" s="32"/>
      <c r="AS17" s="32"/>
      <c r="AT17" s="32"/>
      <c r="AU17" s="32"/>
      <c r="AV17" s="32"/>
      <c r="AW17" s="32"/>
      <c r="AX17" s="32"/>
      <c r="AY17" s="32"/>
      <c r="AZ17" s="32"/>
      <c r="BA17" s="32"/>
    </row>
    <row r="18" spans="1:53" ht="16.5" x14ac:dyDescent="0.35">
      <c r="A18" s="234"/>
      <c r="B18" s="14"/>
      <c r="C18" s="32"/>
      <c r="D18" s="32"/>
      <c r="E18" s="32"/>
      <c r="F18" s="32"/>
      <c r="G18" s="32"/>
      <c r="H18" s="32"/>
      <c r="I18" s="32"/>
      <c r="J18" s="32"/>
      <c r="K18" s="13"/>
      <c r="L18" s="13"/>
      <c r="M18" s="13"/>
      <c r="N18" s="13"/>
      <c r="O18" s="13"/>
      <c r="P18" s="13"/>
      <c r="Q18" s="13"/>
      <c r="R18" s="13"/>
      <c r="S18" s="13"/>
      <c r="T18" s="13"/>
      <c r="U18" s="13"/>
      <c r="V18" s="13"/>
      <c r="W18" s="13"/>
      <c r="X18" s="13"/>
      <c r="Y18" s="13"/>
      <c r="Z18" s="13"/>
      <c r="AA18" s="13"/>
      <c r="AB18" s="13"/>
      <c r="AC18" s="13"/>
      <c r="AD18" s="3"/>
      <c r="AE18" s="200">
        <v>1940619.6666666667</v>
      </c>
      <c r="AF18" s="13"/>
      <c r="AG18" s="13"/>
      <c r="AH18" s="32"/>
      <c r="AI18" s="32"/>
      <c r="AJ18" s="32"/>
      <c r="AK18" s="32"/>
      <c r="AL18" s="32"/>
      <c r="AM18" s="32"/>
      <c r="AN18" s="32"/>
      <c r="AO18" s="32"/>
      <c r="AP18" s="32"/>
      <c r="AQ18" s="32"/>
      <c r="AR18" s="32"/>
      <c r="AS18" s="32"/>
      <c r="AT18" s="32"/>
      <c r="AU18" s="32"/>
      <c r="AV18" s="32"/>
      <c r="AW18" s="32"/>
      <c r="AX18" s="32"/>
      <c r="AY18" s="32"/>
      <c r="AZ18" s="32"/>
      <c r="BA18" s="32"/>
    </row>
    <row r="19" spans="1:53" ht="16.5" x14ac:dyDescent="0.35">
      <c r="A19" s="234"/>
      <c r="B19" s="14"/>
      <c r="C19" s="32"/>
      <c r="D19" s="32"/>
      <c r="E19" s="32"/>
      <c r="F19" s="32"/>
      <c r="G19" s="32"/>
      <c r="H19" s="32"/>
      <c r="I19" s="32"/>
      <c r="J19" s="32"/>
      <c r="K19" s="13"/>
      <c r="L19" s="13"/>
      <c r="M19" s="13"/>
      <c r="N19" s="13"/>
      <c r="O19" s="13"/>
      <c r="P19" s="13"/>
      <c r="Q19" s="13"/>
      <c r="R19" s="13"/>
      <c r="S19" s="13"/>
      <c r="T19" s="13"/>
      <c r="U19" s="13"/>
      <c r="V19" s="13"/>
      <c r="W19" s="13"/>
      <c r="X19" s="13"/>
      <c r="Y19" s="13"/>
      <c r="Z19" s="13"/>
      <c r="AA19" s="13"/>
      <c r="AB19" s="13"/>
      <c r="AC19" s="13"/>
      <c r="AD19" s="3"/>
      <c r="AE19" s="200">
        <v>1695805.3333333333</v>
      </c>
      <c r="AF19" s="13"/>
      <c r="AG19" s="13"/>
      <c r="AH19" s="32"/>
      <c r="AI19" s="32"/>
      <c r="AJ19" s="32"/>
      <c r="AK19" s="32"/>
      <c r="AL19" s="32"/>
      <c r="AM19" s="32"/>
      <c r="AN19" s="32"/>
      <c r="AO19" s="32"/>
      <c r="AP19" s="32"/>
      <c r="AQ19" s="32"/>
      <c r="AR19" s="32"/>
      <c r="AS19" s="32"/>
      <c r="AT19" s="32"/>
      <c r="AU19" s="32"/>
      <c r="AV19" s="32"/>
      <c r="AW19" s="32"/>
      <c r="AX19" s="32"/>
      <c r="AY19" s="32"/>
      <c r="AZ19" s="32"/>
      <c r="BA19" s="32"/>
    </row>
    <row r="20" spans="1:53" ht="16.5" x14ac:dyDescent="0.35">
      <c r="A20" s="234"/>
      <c r="B20" s="14"/>
      <c r="C20" s="32"/>
      <c r="D20" s="32"/>
      <c r="E20" s="32"/>
      <c r="F20" s="32"/>
      <c r="G20" s="32"/>
      <c r="H20" s="32"/>
      <c r="I20" s="32"/>
      <c r="J20" s="32"/>
      <c r="K20" s="13"/>
      <c r="L20" s="13"/>
      <c r="M20" s="13"/>
      <c r="N20" s="13"/>
      <c r="O20" s="13"/>
      <c r="P20" s="13"/>
      <c r="Q20" s="13"/>
      <c r="R20" s="13"/>
      <c r="S20" s="13"/>
      <c r="T20" s="13"/>
      <c r="U20" s="13"/>
      <c r="V20" s="13"/>
      <c r="W20" s="13"/>
      <c r="X20" s="13"/>
      <c r="Y20" s="13"/>
      <c r="Z20" s="13"/>
      <c r="AA20" s="13"/>
      <c r="AB20" s="13"/>
      <c r="AC20" s="13"/>
      <c r="AD20" s="3"/>
      <c r="AE20" s="200">
        <v>390160</v>
      </c>
      <c r="AF20" s="13"/>
      <c r="AG20" s="13"/>
      <c r="AH20" s="32"/>
      <c r="AI20" s="32"/>
      <c r="AJ20" s="32"/>
      <c r="AK20" s="32"/>
      <c r="AL20" s="32"/>
      <c r="AM20" s="32"/>
      <c r="AN20" s="32"/>
      <c r="AO20" s="32"/>
      <c r="AP20" s="32"/>
      <c r="AQ20" s="32"/>
      <c r="AR20" s="32"/>
      <c r="AS20" s="32"/>
      <c r="AT20" s="32"/>
      <c r="AU20" s="32"/>
      <c r="AV20" s="32"/>
      <c r="AW20" s="32"/>
      <c r="AX20" s="32"/>
      <c r="AY20" s="32"/>
      <c r="AZ20" s="32"/>
      <c r="BA20" s="32"/>
    </row>
    <row r="21" spans="1:53" x14ac:dyDescent="0.35">
      <c r="A21" s="3"/>
      <c r="B21" s="7"/>
      <c r="C21" s="7"/>
      <c r="D21" s="7"/>
      <c r="E21" s="7"/>
      <c r="F21" s="7"/>
      <c r="G21" s="7"/>
      <c r="H21" s="7"/>
      <c r="I21" s="7"/>
      <c r="J21" s="7"/>
      <c r="AD21" s="3"/>
      <c r="AE21" s="7"/>
      <c r="AH21" s="7"/>
      <c r="AI21" s="7"/>
      <c r="AJ21" s="7"/>
      <c r="AK21" s="7"/>
      <c r="AL21" s="7"/>
      <c r="AM21" s="7"/>
      <c r="AN21" s="7"/>
      <c r="AO21" s="7"/>
      <c r="AP21" s="7"/>
      <c r="AQ21" s="7"/>
      <c r="AR21" s="7"/>
      <c r="AS21" s="7"/>
      <c r="AT21" s="7"/>
      <c r="AU21" s="7"/>
      <c r="AV21" s="7"/>
      <c r="AW21" s="7"/>
      <c r="AX21" s="7"/>
      <c r="AY21" s="7"/>
      <c r="AZ21" s="7"/>
      <c r="BA21" s="7"/>
    </row>
    <row r="22" spans="1:53" x14ac:dyDescent="0.35">
      <c r="A22" s="3" t="str">
        <f>A4</f>
        <v>Noms des groupes</v>
      </c>
      <c r="B22" s="3" t="str">
        <f t="shared" ref="B22:BA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Testo-3.7µg/L</v>
      </c>
      <c r="J22" s="3" t="str">
        <f t="shared" si="0"/>
        <v>Testo-11µg/L</v>
      </c>
      <c r="K22" s="3" t="str">
        <f t="shared" si="0"/>
        <v>Testo-33µg/L</v>
      </c>
      <c r="L22" s="3" t="str">
        <f t="shared" si="0"/>
        <v>Testo-100µg/L</v>
      </c>
      <c r="M22" s="3" t="str">
        <f t="shared" si="0"/>
        <v>Testo-300µg/L</v>
      </c>
      <c r="N22" s="3" t="str">
        <f t="shared" si="0"/>
        <v xml:space="preserve"> </v>
      </c>
      <c r="O22" s="3" t="str">
        <f t="shared" si="0"/>
        <v xml:space="preserve"> </v>
      </c>
      <c r="P22" s="3" t="str">
        <f t="shared" si="0"/>
        <v xml:space="preserve"> </v>
      </c>
      <c r="Q22" s="3" t="str">
        <f t="shared" si="0"/>
        <v xml:space="preserve"> </v>
      </c>
      <c r="R22" s="3" t="str">
        <f t="shared" si="0"/>
        <v xml:space="preserve"> </v>
      </c>
      <c r="S22" s="3" t="str">
        <f t="shared" si="0"/>
        <v xml:space="preserve"> </v>
      </c>
      <c r="T22" s="3" t="str">
        <f t="shared" si="0"/>
        <v xml:space="preserve"> </v>
      </c>
      <c r="U22" s="3" t="str">
        <f t="shared" si="0"/>
        <v xml:space="preserve"> </v>
      </c>
      <c r="V22" s="3" t="str">
        <f t="shared" si="0"/>
        <v xml:space="preserve"> </v>
      </c>
      <c r="W22" s="3" t="str">
        <f t="shared" si="0"/>
        <v xml:space="preserve"> </v>
      </c>
      <c r="X22" s="3" t="str">
        <f t="shared" si="0"/>
        <v xml:space="preserve"> </v>
      </c>
      <c r="Y22" s="3" t="str">
        <f t="shared" si="0"/>
        <v xml:space="preserve"> </v>
      </c>
      <c r="Z22" s="3" t="str">
        <f t="shared" si="0"/>
        <v xml:space="preserve"> </v>
      </c>
      <c r="AA22" s="3" t="str">
        <f t="shared" si="0"/>
        <v xml:space="preserve"> </v>
      </c>
      <c r="AB22" s="3" t="str">
        <f t="shared" si="0"/>
        <v xml:space="preserve"> </v>
      </c>
      <c r="AC22" s="3" t="str">
        <f t="shared" si="0"/>
        <v xml:space="preserve"> </v>
      </c>
      <c r="AD22" s="3" t="s">
        <v>41</v>
      </c>
      <c r="AE22" s="3" t="str">
        <f t="shared" si="0"/>
        <v>Testo -30µg/L</v>
      </c>
      <c r="AF22" s="3" t="str">
        <f t="shared" si="0"/>
        <v>Testo 30µg/L + EE2 -64ng/L</v>
      </c>
      <c r="AG22" s="3" t="str">
        <f t="shared" si="0"/>
        <v>Testo 30µg/L + FAD-10mg/L</v>
      </c>
      <c r="AH22" s="3" t="str">
        <f t="shared" si="0"/>
        <v>Testo-3,7µg/L + Testostérone</v>
      </c>
      <c r="AI22" s="3" t="str">
        <f t="shared" si="0"/>
        <v>Testo-11µg/L + Testostérone</v>
      </c>
      <c r="AJ22" s="3" t="str">
        <f t="shared" si="0"/>
        <v>Testo-33µg/L + Testostérone</v>
      </c>
      <c r="AK22" s="3" t="str">
        <f t="shared" si="0"/>
        <v>Testo-100µg/L + Testostérone</v>
      </c>
      <c r="AL22" s="3" t="str">
        <f t="shared" si="0"/>
        <v>Testo-300µg/L + Testostérone</v>
      </c>
      <c r="AM22" s="3" t="str">
        <f t="shared" si="0"/>
        <v>0-00 + Testostérone</v>
      </c>
      <c r="AN22" s="3" t="str">
        <f t="shared" si="0"/>
        <v>0-00 + Testostérone</v>
      </c>
      <c r="AO22" s="3" t="str">
        <f t="shared" si="0"/>
        <v>0-00 + Testostérone</v>
      </c>
      <c r="AP22" s="3" t="str">
        <f t="shared" si="0"/>
        <v>0-00 + Testostérone</v>
      </c>
      <c r="AQ22" s="3" t="str">
        <f t="shared" si="0"/>
        <v>0-00 + Testostérone</v>
      </c>
      <c r="AR22" s="3" t="str">
        <f t="shared" si="0"/>
        <v>0-00 + Testostérone</v>
      </c>
      <c r="AS22" s="3" t="str">
        <f t="shared" si="0"/>
        <v>0-00 + Testostérone</v>
      </c>
      <c r="AT22" s="3" t="str">
        <f t="shared" si="0"/>
        <v>0-00 + Testostérone</v>
      </c>
      <c r="AU22" s="3" t="str">
        <f t="shared" si="0"/>
        <v>0-00 + Testostérone</v>
      </c>
      <c r="AV22" s="3" t="str">
        <f t="shared" si="0"/>
        <v>0-00 + Testostérone</v>
      </c>
      <c r="AW22" s="3" t="str">
        <f t="shared" si="0"/>
        <v>0-00 + Testostérone</v>
      </c>
      <c r="AX22" s="3" t="str">
        <f t="shared" si="0"/>
        <v>0-00 + Testostérone</v>
      </c>
      <c r="AY22" s="3" t="str">
        <f t="shared" si="0"/>
        <v>0-00 + Testostérone</v>
      </c>
      <c r="AZ22" s="3" t="str">
        <f t="shared" si="0"/>
        <v>0-00 + Testostérone</v>
      </c>
      <c r="BA22" s="3" t="str">
        <f t="shared" si="0"/>
        <v>0-00 + Testostérone</v>
      </c>
    </row>
    <row r="23" spans="1:53" x14ac:dyDescent="0.35">
      <c r="A23" s="5" t="s">
        <v>0</v>
      </c>
      <c r="B23" s="5">
        <f t="shared" ref="B23:J23" si="1">AVERAGE(B5:B20)</f>
        <v>140426.45238095237</v>
      </c>
      <c r="C23" s="5">
        <f t="shared" si="1"/>
        <v>319024.75</v>
      </c>
      <c r="D23" s="5">
        <f t="shared" si="1"/>
        <v>249939.875</v>
      </c>
      <c r="E23" s="5">
        <f t="shared" si="1"/>
        <v>817173.79166666663</v>
      </c>
      <c r="F23" s="5">
        <f t="shared" si="1"/>
        <v>2252440.7916666665</v>
      </c>
      <c r="G23" s="5">
        <f t="shared" si="1"/>
        <v>3342932.7083333335</v>
      </c>
      <c r="H23" s="5">
        <f t="shared" si="1"/>
        <v>3803472.7619047617</v>
      </c>
      <c r="I23" s="5">
        <f t="shared" si="1"/>
        <v>175067.87499999997</v>
      </c>
      <c r="J23" s="5">
        <f t="shared" si="1"/>
        <v>421407.5</v>
      </c>
      <c r="K23" s="5"/>
      <c r="L23" s="5">
        <f>AVERAGE(L5:L20)</f>
        <v>3036038.625</v>
      </c>
      <c r="M23" s="5"/>
      <c r="N23" s="5" t="e">
        <f>AVERAGE(N5:N20)</f>
        <v>#DIV/0!</v>
      </c>
      <c r="O23" s="5"/>
      <c r="P23" s="5" t="e">
        <f t="shared" ref="P23:AC23" si="2">AVERAGE(P5:P20)</f>
        <v>#DIV/0!</v>
      </c>
      <c r="Q23" s="5" t="e">
        <f t="shared" si="2"/>
        <v>#DIV/0!</v>
      </c>
      <c r="R23" s="5" t="e">
        <f t="shared" si="2"/>
        <v>#DIV/0!</v>
      </c>
      <c r="S23" s="5" t="e">
        <f t="shared" si="2"/>
        <v>#DIV/0!</v>
      </c>
      <c r="T23" s="5" t="e">
        <f t="shared" si="2"/>
        <v>#DIV/0!</v>
      </c>
      <c r="U23" s="5" t="e">
        <f t="shared" si="2"/>
        <v>#DIV/0!</v>
      </c>
      <c r="V23" s="5" t="e">
        <f t="shared" si="2"/>
        <v>#DIV/0!</v>
      </c>
      <c r="W23" s="5" t="e">
        <f t="shared" si="2"/>
        <v>#DIV/0!</v>
      </c>
      <c r="X23" s="5" t="e">
        <f t="shared" si="2"/>
        <v>#DIV/0!</v>
      </c>
      <c r="Y23" s="5" t="e">
        <f t="shared" si="2"/>
        <v>#DIV/0!</v>
      </c>
      <c r="Z23" s="5" t="e">
        <f t="shared" si="2"/>
        <v>#DIV/0!</v>
      </c>
      <c r="AA23" s="5" t="e">
        <f t="shared" si="2"/>
        <v>#DIV/0!</v>
      </c>
      <c r="AB23" s="5" t="e">
        <f t="shared" si="2"/>
        <v>#DIV/0!</v>
      </c>
      <c r="AC23" s="5" t="e">
        <f t="shared" si="2"/>
        <v>#DIV/0!</v>
      </c>
      <c r="AD23" s="5" t="s">
        <v>0</v>
      </c>
      <c r="AE23" s="5">
        <f>AVERAGE(AE5:AE20)</f>
        <v>1871636.6145833333</v>
      </c>
      <c r="AF23" s="5">
        <f>AVERAGE(AF5:AF20)</f>
        <v>3893155.7916666665</v>
      </c>
      <c r="AG23" s="5">
        <f>AVERAGE(AG5:AG20)</f>
        <v>138393.77083333331</v>
      </c>
      <c r="AH23" s="5">
        <f>AVERAGE(AH5:AH20)</f>
        <v>991697.66666666663</v>
      </c>
      <c r="AI23" s="5">
        <f>AVERAGE(AI5:AI20)</f>
        <v>1400894.375</v>
      </c>
      <c r="AJ23" s="5">
        <f t="shared" ref="AJ23:BA23" si="3">AVERAGE(AJ5:AJ20)</f>
        <v>2138289.125</v>
      </c>
      <c r="AK23" s="5">
        <f t="shared" si="3"/>
        <v>2473760.5416666665</v>
      </c>
      <c r="AL23" s="5">
        <f t="shared" si="3"/>
        <v>2831735.3125</v>
      </c>
      <c r="AM23" s="5" t="e">
        <f t="shared" si="3"/>
        <v>#DIV/0!</v>
      </c>
      <c r="AN23" s="5" t="e">
        <f t="shared" si="3"/>
        <v>#DIV/0!</v>
      </c>
      <c r="AO23" s="5" t="e">
        <f t="shared" si="3"/>
        <v>#DIV/0!</v>
      </c>
      <c r="AP23" s="5" t="e">
        <f t="shared" si="3"/>
        <v>#DIV/0!</v>
      </c>
      <c r="AQ23" s="5" t="e">
        <f t="shared" si="3"/>
        <v>#DIV/0!</v>
      </c>
      <c r="AR23" s="5" t="e">
        <f t="shared" si="3"/>
        <v>#DIV/0!</v>
      </c>
      <c r="AS23" s="5" t="e">
        <f t="shared" si="3"/>
        <v>#DIV/0!</v>
      </c>
      <c r="AT23" s="5" t="e">
        <f t="shared" si="3"/>
        <v>#DIV/0!</v>
      </c>
      <c r="AU23" s="5" t="e">
        <f t="shared" si="3"/>
        <v>#DIV/0!</v>
      </c>
      <c r="AV23" s="5" t="e">
        <f t="shared" si="3"/>
        <v>#DIV/0!</v>
      </c>
      <c r="AW23" s="5" t="e">
        <f t="shared" si="3"/>
        <v>#DIV/0!</v>
      </c>
      <c r="AX23" s="5" t="e">
        <f t="shared" si="3"/>
        <v>#DIV/0!</v>
      </c>
      <c r="AY23" s="5" t="e">
        <f t="shared" si="3"/>
        <v>#DIV/0!</v>
      </c>
      <c r="AZ23" s="5" t="e">
        <f t="shared" si="3"/>
        <v>#DIV/0!</v>
      </c>
      <c r="BA23" s="5" t="e">
        <f t="shared" si="3"/>
        <v>#DIV/0!</v>
      </c>
    </row>
    <row r="24" spans="1:53" x14ac:dyDescent="0.35">
      <c r="A24" s="3" t="s">
        <v>1</v>
      </c>
      <c r="B24" s="3">
        <f t="shared" ref="B24:J24" si="4">STDEV(B5:B20)</f>
        <v>109646.22075865073</v>
      </c>
      <c r="C24" s="3">
        <f t="shared" si="4"/>
        <v>232240.94370968844</v>
      </c>
      <c r="D24" s="3">
        <f t="shared" si="4"/>
        <v>204319.17577403781</v>
      </c>
      <c r="E24" s="3">
        <f t="shared" si="4"/>
        <v>614912.16372013837</v>
      </c>
      <c r="F24" s="3">
        <f t="shared" si="4"/>
        <v>1085012.2253638215</v>
      </c>
      <c r="G24" s="3">
        <f t="shared" si="4"/>
        <v>1278805.8517754709</v>
      </c>
      <c r="H24" s="3">
        <f t="shared" si="4"/>
        <v>885081.88458789443</v>
      </c>
      <c r="I24" s="3">
        <f t="shared" si="4"/>
        <v>125736.92080575343</v>
      </c>
      <c r="J24" s="3">
        <f t="shared" si="4"/>
        <v>323371.51759886107</v>
      </c>
      <c r="K24" s="3"/>
      <c r="L24" s="3">
        <f>STDEV(L5:L20)</f>
        <v>787454.44020402164</v>
      </c>
      <c r="M24" s="3"/>
      <c r="N24" s="3" t="e">
        <f>STDEV(N5:N20)</f>
        <v>#DIV/0!</v>
      </c>
      <c r="O24" s="3"/>
      <c r="P24" s="3" t="e">
        <f t="shared" ref="P24:AC24" si="5">STDEV(P5:P20)</f>
        <v>#DIV/0!</v>
      </c>
      <c r="Q24" s="3" t="e">
        <f t="shared" si="5"/>
        <v>#DIV/0!</v>
      </c>
      <c r="R24" s="3" t="e">
        <f t="shared" si="5"/>
        <v>#DIV/0!</v>
      </c>
      <c r="S24" s="3" t="e">
        <f t="shared" si="5"/>
        <v>#DIV/0!</v>
      </c>
      <c r="T24" s="3" t="e">
        <f t="shared" si="5"/>
        <v>#DIV/0!</v>
      </c>
      <c r="U24" s="3" t="e">
        <f t="shared" si="5"/>
        <v>#DIV/0!</v>
      </c>
      <c r="V24" s="3" t="e">
        <f t="shared" si="5"/>
        <v>#DIV/0!</v>
      </c>
      <c r="W24" s="3" t="e">
        <f t="shared" si="5"/>
        <v>#DIV/0!</v>
      </c>
      <c r="X24" s="3" t="e">
        <f t="shared" si="5"/>
        <v>#DIV/0!</v>
      </c>
      <c r="Y24" s="3" t="e">
        <f t="shared" si="5"/>
        <v>#DIV/0!</v>
      </c>
      <c r="Z24" s="3" t="e">
        <f t="shared" si="5"/>
        <v>#DIV/0!</v>
      </c>
      <c r="AA24" s="3" t="e">
        <f t="shared" si="5"/>
        <v>#DIV/0!</v>
      </c>
      <c r="AB24" s="3" t="e">
        <f t="shared" si="5"/>
        <v>#DIV/0!</v>
      </c>
      <c r="AC24" s="3" t="e">
        <f t="shared" si="5"/>
        <v>#DIV/0!</v>
      </c>
      <c r="AD24" s="3" t="s">
        <v>1</v>
      </c>
      <c r="AE24" s="3">
        <f>STDEV(AE5:AE20)</f>
        <v>1068915.5405816576</v>
      </c>
      <c r="AF24" s="3">
        <f>STDEV(AF5:AF20)</f>
        <v>733791.8823789017</v>
      </c>
      <c r="AG24" s="3">
        <f>STDEV(AG5:AG20)</f>
        <v>84730.199460092932</v>
      </c>
      <c r="AH24" s="3">
        <f>STDEV(AH5:AH20)</f>
        <v>974625.16849749896</v>
      </c>
      <c r="AI24" s="3">
        <f>STDEV(AI5:AI20)</f>
        <v>1047376.5024075924</v>
      </c>
      <c r="AJ24" s="3">
        <f t="shared" ref="AJ24:BA24" si="6">STDEV(AJ5:AJ20)</f>
        <v>1408148.199173426</v>
      </c>
      <c r="AK24" s="3">
        <f t="shared" si="6"/>
        <v>886721.83343139535</v>
      </c>
      <c r="AL24" s="3">
        <f t="shared" si="6"/>
        <v>1074668.3090888148</v>
      </c>
      <c r="AM24" s="3" t="e">
        <f t="shared" si="6"/>
        <v>#DIV/0!</v>
      </c>
      <c r="AN24" s="3" t="e">
        <f t="shared" si="6"/>
        <v>#DIV/0!</v>
      </c>
      <c r="AO24" s="3" t="e">
        <f t="shared" si="6"/>
        <v>#DIV/0!</v>
      </c>
      <c r="AP24" s="3" t="e">
        <f t="shared" si="6"/>
        <v>#DIV/0!</v>
      </c>
      <c r="AQ24" s="3" t="e">
        <f t="shared" si="6"/>
        <v>#DIV/0!</v>
      </c>
      <c r="AR24" s="3" t="e">
        <f t="shared" si="6"/>
        <v>#DIV/0!</v>
      </c>
      <c r="AS24" s="3" t="e">
        <f t="shared" si="6"/>
        <v>#DIV/0!</v>
      </c>
      <c r="AT24" s="3" t="e">
        <f t="shared" si="6"/>
        <v>#DIV/0!</v>
      </c>
      <c r="AU24" s="3" t="e">
        <f t="shared" si="6"/>
        <v>#DIV/0!</v>
      </c>
      <c r="AV24" s="3" t="e">
        <f t="shared" si="6"/>
        <v>#DIV/0!</v>
      </c>
      <c r="AW24" s="3" t="e">
        <f t="shared" si="6"/>
        <v>#DIV/0!</v>
      </c>
      <c r="AX24" s="3" t="e">
        <f t="shared" si="6"/>
        <v>#DIV/0!</v>
      </c>
      <c r="AY24" s="3" t="e">
        <f t="shared" si="6"/>
        <v>#DIV/0!</v>
      </c>
      <c r="AZ24" s="3" t="e">
        <f t="shared" si="6"/>
        <v>#DIV/0!</v>
      </c>
      <c r="BA24" s="3" t="e">
        <f t="shared" si="6"/>
        <v>#DIV/0!</v>
      </c>
    </row>
    <row r="25" spans="1:53" ht="15" thickBot="1" x14ac:dyDescent="0.4"/>
    <row r="26" spans="1:53" ht="15" thickBot="1" x14ac:dyDescent="0.4">
      <c r="B26" s="231" t="s">
        <v>6</v>
      </c>
      <c r="C26" s="232"/>
      <c r="D26" s="232"/>
      <c r="E26" s="232"/>
      <c r="F26" s="232"/>
      <c r="G26" s="232"/>
      <c r="H26" s="232"/>
      <c r="I26" s="232"/>
      <c r="J26" s="232"/>
      <c r="K26" s="232"/>
      <c r="L26" s="232"/>
      <c r="M26" s="232"/>
      <c r="N26" s="232"/>
      <c r="O26" s="232"/>
      <c r="P26" s="232"/>
      <c r="Q26" s="232"/>
      <c r="R26" s="232"/>
      <c r="S26" s="232"/>
      <c r="T26" s="232"/>
      <c r="U26" s="232"/>
      <c r="V26" s="232"/>
      <c r="W26" s="232"/>
      <c r="X26" s="232"/>
      <c r="Y26" s="232"/>
      <c r="Z26" s="232"/>
      <c r="AA26" s="232"/>
      <c r="AB26" s="232"/>
      <c r="AC26" s="233"/>
      <c r="AE26" s="231" t="s">
        <v>3</v>
      </c>
      <c r="AF26" s="232"/>
      <c r="AG26" s="232"/>
      <c r="AH26" s="232"/>
      <c r="AI26" s="232"/>
      <c r="AJ26" s="232"/>
      <c r="AK26" s="232"/>
      <c r="AL26" s="232"/>
      <c r="AM26" s="232"/>
      <c r="AN26" s="232"/>
      <c r="AO26" s="232"/>
      <c r="AP26" s="232"/>
      <c r="AQ26" s="232"/>
      <c r="AR26" s="232"/>
      <c r="AS26" s="232"/>
      <c r="AT26" s="232"/>
      <c r="AU26" s="232"/>
      <c r="AV26" s="232"/>
      <c r="AW26" s="232"/>
      <c r="AX26" s="232"/>
      <c r="AY26" s="232"/>
      <c r="AZ26" s="232"/>
      <c r="BA26" s="233"/>
    </row>
    <row r="27" spans="1:53" x14ac:dyDescent="0.35">
      <c r="A27" s="34" t="s">
        <v>41</v>
      </c>
      <c r="B27" s="35" t="str">
        <f>B4</f>
        <v>Témoin solvant</v>
      </c>
      <c r="C27" s="35" t="str">
        <f t="shared" ref="C27:AC27" si="7">C4</f>
        <v>EE2-33,8ng/L</v>
      </c>
      <c r="D27" s="35" t="str">
        <f t="shared" si="7"/>
        <v>EE2-50,6ng/L</v>
      </c>
      <c r="E27" s="35" t="str">
        <f t="shared" si="7"/>
        <v>EE2-76ng/L</v>
      </c>
      <c r="F27" s="35" t="str">
        <f t="shared" si="7"/>
        <v>EE2-114ng/L</v>
      </c>
      <c r="G27" s="35" t="str">
        <f t="shared" si="7"/>
        <v>EE2-170,9ng/L</v>
      </c>
      <c r="H27" s="35" t="str">
        <f t="shared" si="7"/>
        <v>EE2-488ng/L</v>
      </c>
      <c r="I27" s="35" t="str">
        <f t="shared" si="7"/>
        <v>Testo-3.7µg/L</v>
      </c>
      <c r="J27" s="35" t="str">
        <f t="shared" si="7"/>
        <v>Testo-11µg/L</v>
      </c>
      <c r="K27" s="35" t="str">
        <f t="shared" si="7"/>
        <v>Testo-33µg/L</v>
      </c>
      <c r="L27" s="35" t="str">
        <f t="shared" si="7"/>
        <v>Testo-100µg/L</v>
      </c>
      <c r="M27" s="35" t="str">
        <f t="shared" si="7"/>
        <v>Testo-300µg/L</v>
      </c>
      <c r="N27" s="35" t="str">
        <f t="shared" si="7"/>
        <v xml:space="preserve"> </v>
      </c>
      <c r="O27" s="35" t="str">
        <f t="shared" si="7"/>
        <v xml:space="preserve"> </v>
      </c>
      <c r="P27" s="35" t="str">
        <f t="shared" si="7"/>
        <v xml:space="preserve"> </v>
      </c>
      <c r="Q27" s="35" t="str">
        <f t="shared" si="7"/>
        <v xml:space="preserve"> </v>
      </c>
      <c r="R27" s="35" t="str">
        <f t="shared" si="7"/>
        <v xml:space="preserve"> </v>
      </c>
      <c r="S27" s="35" t="str">
        <f t="shared" si="7"/>
        <v xml:space="preserve"> </v>
      </c>
      <c r="T27" s="35" t="str">
        <f t="shared" si="7"/>
        <v xml:space="preserve"> </v>
      </c>
      <c r="U27" s="35" t="str">
        <f t="shared" si="7"/>
        <v xml:space="preserve"> </v>
      </c>
      <c r="V27" s="35" t="str">
        <f t="shared" si="7"/>
        <v xml:space="preserve"> </v>
      </c>
      <c r="W27" s="35" t="str">
        <f t="shared" si="7"/>
        <v xml:space="preserve"> </v>
      </c>
      <c r="X27" s="35" t="str">
        <f t="shared" si="7"/>
        <v xml:space="preserve"> </v>
      </c>
      <c r="Y27" s="35" t="str">
        <f t="shared" si="7"/>
        <v xml:space="preserve"> </v>
      </c>
      <c r="Z27" s="35" t="str">
        <f t="shared" si="7"/>
        <v xml:space="preserve"> </v>
      </c>
      <c r="AA27" s="35" t="str">
        <f t="shared" si="7"/>
        <v xml:space="preserve"> </v>
      </c>
      <c r="AB27" s="35" t="str">
        <f t="shared" si="7"/>
        <v xml:space="preserve"> </v>
      </c>
      <c r="AC27" s="35" t="str">
        <f t="shared" si="7"/>
        <v xml:space="preserve"> </v>
      </c>
      <c r="AD27" s="3"/>
      <c r="AE27" s="36" t="str">
        <f>AE4</f>
        <v>Testo -30µg/L</v>
      </c>
      <c r="AF27" s="36" t="str">
        <f t="shared" ref="AF27:BA27" si="8">AF4</f>
        <v>Testo 30µg/L + EE2 -64ng/L</v>
      </c>
      <c r="AG27" s="36" t="str">
        <f t="shared" si="8"/>
        <v>Testo 30µg/L + FAD-10mg/L</v>
      </c>
      <c r="AH27" s="36" t="str">
        <f t="shared" si="8"/>
        <v>Testo-3,7µg/L + Testostérone</v>
      </c>
      <c r="AI27" s="36" t="str">
        <f t="shared" si="8"/>
        <v>Testo-11µg/L + Testostérone</v>
      </c>
      <c r="AJ27" s="36" t="str">
        <f t="shared" si="8"/>
        <v>Testo-33µg/L + Testostérone</v>
      </c>
      <c r="AK27" s="36" t="str">
        <f t="shared" si="8"/>
        <v>Testo-100µg/L + Testostérone</v>
      </c>
      <c r="AL27" s="36" t="str">
        <f t="shared" si="8"/>
        <v>Testo-300µg/L + Testostérone</v>
      </c>
      <c r="AM27" s="36" t="str">
        <f t="shared" si="8"/>
        <v>0-00 + Testostérone</v>
      </c>
      <c r="AN27" s="36" t="str">
        <f t="shared" si="8"/>
        <v>0-00 + Testostérone</v>
      </c>
      <c r="AO27" s="36" t="str">
        <f t="shared" si="8"/>
        <v>0-00 + Testostérone</v>
      </c>
      <c r="AP27" s="36" t="str">
        <f t="shared" si="8"/>
        <v>0-00 + Testostérone</v>
      </c>
      <c r="AQ27" s="36" t="str">
        <f t="shared" si="8"/>
        <v>0-00 + Testostérone</v>
      </c>
      <c r="AR27" s="36" t="str">
        <f t="shared" si="8"/>
        <v>0-00 + Testostérone</v>
      </c>
      <c r="AS27" s="36" t="str">
        <f t="shared" si="8"/>
        <v>0-00 + Testostérone</v>
      </c>
      <c r="AT27" s="36" t="str">
        <f t="shared" si="8"/>
        <v>0-00 + Testostérone</v>
      </c>
      <c r="AU27" s="36" t="str">
        <f t="shared" si="8"/>
        <v>0-00 + Testostérone</v>
      </c>
      <c r="AV27" s="36" t="str">
        <f t="shared" si="8"/>
        <v>0-00 + Testostérone</v>
      </c>
      <c r="AW27" s="36" t="str">
        <f t="shared" si="8"/>
        <v>0-00 + Testostérone</v>
      </c>
      <c r="AX27" s="36" t="str">
        <f t="shared" si="8"/>
        <v>0-00 + Testostérone</v>
      </c>
      <c r="AY27" s="36" t="str">
        <f t="shared" si="8"/>
        <v>0-00 + Testostérone</v>
      </c>
      <c r="AZ27" s="36" t="str">
        <f t="shared" si="8"/>
        <v>0-00 + Testostérone</v>
      </c>
      <c r="BA27" s="36" t="str">
        <f t="shared" si="8"/>
        <v>0-00 + Testostérone</v>
      </c>
    </row>
    <row r="28" spans="1:53" x14ac:dyDescent="0.35">
      <c r="A28" s="235" t="s">
        <v>34</v>
      </c>
      <c r="B28" s="11">
        <f t="shared" ref="B28:AC28" si="9">IF(B5="","",(B5/$AE$23))</f>
        <v>9.9799643376954267E-2</v>
      </c>
      <c r="C28" s="11">
        <f t="shared" si="9"/>
        <v>9.741118116238677E-2</v>
      </c>
      <c r="D28" s="11">
        <f t="shared" si="9"/>
        <v>1.6391358465433954E-2</v>
      </c>
      <c r="E28" s="11">
        <f t="shared" si="9"/>
        <v>8.5080261890892461E-2</v>
      </c>
      <c r="F28" s="11">
        <f t="shared" si="9"/>
        <v>0.30528878427283296</v>
      </c>
      <c r="G28" s="11">
        <f t="shared" si="9"/>
        <v>1.5675551780759613</v>
      </c>
      <c r="H28" s="11">
        <f t="shared" si="9"/>
        <v>2.3790916277790859</v>
      </c>
      <c r="I28" s="11">
        <f t="shared" si="9"/>
        <v>0.25644632595531158</v>
      </c>
      <c r="J28" s="11">
        <f t="shared" si="9"/>
        <v>0.51818962030862969</v>
      </c>
      <c r="K28" s="11">
        <f t="shared" si="9"/>
        <v>0.22328639904976214</v>
      </c>
      <c r="L28" s="11">
        <f t="shared" si="9"/>
        <v>1.9555202675644032</v>
      </c>
      <c r="M28" s="11">
        <f t="shared" si="9"/>
        <v>2.1989154489707832</v>
      </c>
      <c r="N28" s="11" t="str">
        <f t="shared" si="9"/>
        <v/>
      </c>
      <c r="O28" s="11" t="str">
        <f t="shared" si="9"/>
        <v/>
      </c>
      <c r="P28" s="11" t="str">
        <f t="shared" si="9"/>
        <v/>
      </c>
      <c r="Q28" s="11" t="str">
        <f t="shared" si="9"/>
        <v/>
      </c>
      <c r="R28" s="11" t="str">
        <f t="shared" si="9"/>
        <v/>
      </c>
      <c r="S28" s="11" t="str">
        <f t="shared" si="9"/>
        <v/>
      </c>
      <c r="T28" s="11" t="str">
        <f t="shared" si="9"/>
        <v/>
      </c>
      <c r="U28" s="11" t="str">
        <f t="shared" si="9"/>
        <v/>
      </c>
      <c r="V28" s="11" t="str">
        <f t="shared" si="9"/>
        <v/>
      </c>
      <c r="W28" s="11" t="str">
        <f t="shared" si="9"/>
        <v/>
      </c>
      <c r="X28" s="11" t="str">
        <f t="shared" si="9"/>
        <v/>
      </c>
      <c r="Y28" s="11" t="str">
        <f t="shared" si="9"/>
        <v/>
      </c>
      <c r="Z28" s="11" t="str">
        <f t="shared" si="9"/>
        <v/>
      </c>
      <c r="AA28" s="11" t="str">
        <f t="shared" si="9"/>
        <v/>
      </c>
      <c r="AB28" s="11" t="str">
        <f t="shared" si="9"/>
        <v/>
      </c>
      <c r="AC28" s="11" t="str">
        <f t="shared" si="9"/>
        <v/>
      </c>
      <c r="AD28" s="6"/>
      <c r="AE28" s="11">
        <f t="shared" ref="AE28:BA39" si="10">IF(AE5="","",(AE5/$AE$23))</f>
        <v>0.22558634693127172</v>
      </c>
      <c r="AF28" s="11">
        <f t="shared" si="10"/>
        <v>1.694624538021996</v>
      </c>
      <c r="AG28" s="11">
        <f t="shared" si="10"/>
        <v>0.14537116760807298</v>
      </c>
      <c r="AH28" s="11">
        <f t="shared" si="10"/>
        <v>0.10932606525878379</v>
      </c>
      <c r="AI28" s="11">
        <f t="shared" si="10"/>
        <v>0.60222400610116655</v>
      </c>
      <c r="AJ28" s="11">
        <f t="shared" si="10"/>
        <v>1.3419725711869317</v>
      </c>
      <c r="AK28" s="11">
        <f t="shared" si="10"/>
        <v>1.7016009634838583</v>
      </c>
      <c r="AL28" s="11">
        <f t="shared" si="10"/>
        <v>0.86791776459678804</v>
      </c>
      <c r="AM28" s="11" t="str">
        <f t="shared" si="10"/>
        <v/>
      </c>
      <c r="AN28" s="11" t="str">
        <f t="shared" si="10"/>
        <v/>
      </c>
      <c r="AO28" s="11" t="str">
        <f t="shared" si="10"/>
        <v/>
      </c>
      <c r="AP28" s="11" t="str">
        <f t="shared" si="10"/>
        <v/>
      </c>
      <c r="AQ28" s="11" t="str">
        <f t="shared" si="10"/>
        <v/>
      </c>
      <c r="AR28" s="11" t="str">
        <f t="shared" si="10"/>
        <v/>
      </c>
      <c r="AS28" s="11" t="str">
        <f t="shared" si="10"/>
        <v/>
      </c>
      <c r="AT28" s="11" t="str">
        <f t="shared" si="10"/>
        <v/>
      </c>
      <c r="AU28" s="11" t="str">
        <f t="shared" si="10"/>
        <v/>
      </c>
      <c r="AV28" s="11" t="str">
        <f t="shared" si="10"/>
        <v/>
      </c>
      <c r="AW28" s="11" t="str">
        <f t="shared" si="10"/>
        <v/>
      </c>
      <c r="AX28" s="11" t="str">
        <f t="shared" si="10"/>
        <v/>
      </c>
      <c r="AY28" s="11" t="str">
        <f t="shared" si="10"/>
        <v/>
      </c>
      <c r="AZ28" s="11" t="str">
        <f t="shared" si="10"/>
        <v/>
      </c>
      <c r="BA28" s="11" t="str">
        <f t="shared" si="10"/>
        <v/>
      </c>
    </row>
    <row r="29" spans="1:53" x14ac:dyDescent="0.35">
      <c r="A29" s="235"/>
      <c r="B29" s="11">
        <f t="shared" ref="B29:AC29" si="11">IF(B6="","",(B6/$AE$23))</f>
        <v>0.1526984446516742</v>
      </c>
      <c r="C29" s="11">
        <f t="shared" si="11"/>
        <v>1.7986219335723416E-2</v>
      </c>
      <c r="D29" s="11">
        <f t="shared" si="11"/>
        <v>0.34381104126699724</v>
      </c>
      <c r="E29" s="11">
        <f t="shared" si="11"/>
        <v>0.49668259644529583</v>
      </c>
      <c r="F29" s="11">
        <f t="shared" si="11"/>
        <v>1.233428530951201</v>
      </c>
      <c r="G29" s="11">
        <f t="shared" si="11"/>
        <v>1.9732559040699202</v>
      </c>
      <c r="H29" s="11">
        <f t="shared" si="11"/>
        <v>2.1336278468184444</v>
      </c>
      <c r="I29" s="11">
        <f t="shared" si="11"/>
        <v>4.9058134086803436E-2</v>
      </c>
      <c r="J29" s="11">
        <f t="shared" si="11"/>
        <v>5.4797852247349371E-2</v>
      </c>
      <c r="K29" s="11">
        <f t="shared" si="11"/>
        <v>1.2940045703650129</v>
      </c>
      <c r="L29" s="11">
        <f t="shared" si="11"/>
        <v>1.9657131293542864</v>
      </c>
      <c r="M29" s="11">
        <f t="shared" si="11"/>
        <v>1.5103571091955701</v>
      </c>
      <c r="N29" s="11" t="str">
        <f t="shared" si="11"/>
        <v/>
      </c>
      <c r="O29" s="11" t="str">
        <f t="shared" si="11"/>
        <v/>
      </c>
      <c r="P29" s="11" t="str">
        <f t="shared" si="11"/>
        <v/>
      </c>
      <c r="Q29" s="11" t="str">
        <f t="shared" si="11"/>
        <v/>
      </c>
      <c r="R29" s="11" t="str">
        <f t="shared" si="11"/>
        <v/>
      </c>
      <c r="S29" s="11" t="str">
        <f t="shared" si="11"/>
        <v/>
      </c>
      <c r="T29" s="11" t="str">
        <f t="shared" si="11"/>
        <v/>
      </c>
      <c r="U29" s="11" t="str">
        <f t="shared" si="11"/>
        <v/>
      </c>
      <c r="V29" s="11" t="str">
        <f t="shared" si="11"/>
        <v/>
      </c>
      <c r="W29" s="11" t="str">
        <f t="shared" si="11"/>
        <v/>
      </c>
      <c r="X29" s="11" t="str">
        <f t="shared" si="11"/>
        <v/>
      </c>
      <c r="Y29" s="11" t="str">
        <f t="shared" si="11"/>
        <v/>
      </c>
      <c r="Z29" s="11" t="str">
        <f t="shared" si="11"/>
        <v/>
      </c>
      <c r="AA29" s="11" t="str">
        <f t="shared" si="11"/>
        <v/>
      </c>
      <c r="AB29" s="11" t="str">
        <f t="shared" si="11"/>
        <v/>
      </c>
      <c r="AC29" s="11" t="str">
        <f t="shared" si="11"/>
        <v/>
      </c>
      <c r="AD29" s="6"/>
      <c r="AE29" s="11">
        <f t="shared" si="10"/>
        <v>0.9105448070000457</v>
      </c>
      <c r="AF29" s="11">
        <f t="shared" si="10"/>
        <v>2.5138001130527945</v>
      </c>
      <c r="AG29" s="11">
        <f t="shared" si="10"/>
        <v>0.10804340886706691</v>
      </c>
      <c r="AH29" s="11">
        <f t="shared" si="10"/>
        <v>0.36404288882309804</v>
      </c>
      <c r="AI29" s="11">
        <f t="shared" si="10"/>
        <v>1.6149258407226765</v>
      </c>
      <c r="AJ29" s="11">
        <f t="shared" si="10"/>
        <v>6.2883823574304387E-2</v>
      </c>
      <c r="AK29" s="11">
        <f t="shared" si="10"/>
        <v>1.3057269313345776</v>
      </c>
      <c r="AL29" s="11">
        <f t="shared" si="10"/>
        <v>2.5236693721401307</v>
      </c>
      <c r="AM29" s="11" t="str">
        <f t="shared" si="10"/>
        <v/>
      </c>
      <c r="AN29" s="11" t="str">
        <f t="shared" si="10"/>
        <v/>
      </c>
      <c r="AO29" s="11" t="str">
        <f t="shared" si="10"/>
        <v/>
      </c>
      <c r="AP29" s="11" t="str">
        <f t="shared" si="10"/>
        <v/>
      </c>
      <c r="AQ29" s="11" t="str">
        <f t="shared" si="10"/>
        <v/>
      </c>
      <c r="AR29" s="11" t="str">
        <f t="shared" si="10"/>
        <v/>
      </c>
      <c r="AS29" s="11" t="str">
        <f t="shared" si="10"/>
        <v/>
      </c>
      <c r="AT29" s="11" t="str">
        <f t="shared" si="10"/>
        <v/>
      </c>
      <c r="AU29" s="11" t="str">
        <f t="shared" si="10"/>
        <v/>
      </c>
      <c r="AV29" s="11" t="str">
        <f t="shared" si="10"/>
        <v/>
      </c>
      <c r="AW29" s="11" t="str">
        <f t="shared" si="10"/>
        <v/>
      </c>
      <c r="AX29" s="11" t="str">
        <f t="shared" si="10"/>
        <v/>
      </c>
      <c r="AY29" s="11" t="str">
        <f t="shared" si="10"/>
        <v/>
      </c>
      <c r="AZ29" s="11" t="str">
        <f t="shared" si="10"/>
        <v/>
      </c>
      <c r="BA29" s="11" t="str">
        <f t="shared" si="10"/>
        <v/>
      </c>
    </row>
    <row r="30" spans="1:53" x14ac:dyDescent="0.35">
      <c r="A30" s="235"/>
      <c r="B30" s="11">
        <f t="shared" ref="B30:AC30" si="12">IF(B7="","",(B7/$AE$23))</f>
        <v>0.12909370233376688</v>
      </c>
      <c r="C30" s="11">
        <f t="shared" si="12"/>
        <v>7.0665070507170608E-2</v>
      </c>
      <c r="D30" s="11">
        <f t="shared" si="12"/>
        <v>8.0118472516658559E-2</v>
      </c>
      <c r="E30" s="11">
        <f t="shared" si="12"/>
        <v>0.24780593789030952</v>
      </c>
      <c r="F30" s="11">
        <f t="shared" si="12"/>
        <v>1.2350965897910817</v>
      </c>
      <c r="G30" s="11">
        <f t="shared" si="12"/>
        <v>1.604574828575136</v>
      </c>
      <c r="H30" s="11">
        <f t="shared" si="12"/>
        <v>1.2537065056949519</v>
      </c>
      <c r="I30" s="11">
        <f t="shared" si="12"/>
        <v>7.7791631950457352E-2</v>
      </c>
      <c r="J30" s="11">
        <f t="shared" si="12"/>
        <v>0.18471035668621463</v>
      </c>
      <c r="K30" s="11">
        <f t="shared" si="12"/>
        <v>0.14695854839387865</v>
      </c>
      <c r="L30" s="11">
        <f t="shared" si="12"/>
        <v>1.700649389879173</v>
      </c>
      <c r="M30" s="11">
        <f t="shared" si="12"/>
        <v>2.2712293438148761</v>
      </c>
      <c r="N30" s="11" t="str">
        <f t="shared" si="12"/>
        <v/>
      </c>
      <c r="O30" s="11" t="str">
        <f t="shared" si="12"/>
        <v/>
      </c>
      <c r="P30" s="11" t="str">
        <f t="shared" si="12"/>
        <v/>
      </c>
      <c r="Q30" s="11" t="str">
        <f t="shared" si="12"/>
        <v/>
      </c>
      <c r="R30" s="11" t="str">
        <f t="shared" si="12"/>
        <v/>
      </c>
      <c r="S30" s="11" t="str">
        <f t="shared" si="12"/>
        <v/>
      </c>
      <c r="T30" s="11" t="str">
        <f t="shared" si="12"/>
        <v/>
      </c>
      <c r="U30" s="11" t="str">
        <f t="shared" si="12"/>
        <v/>
      </c>
      <c r="V30" s="11" t="str">
        <f t="shared" si="12"/>
        <v/>
      </c>
      <c r="W30" s="11" t="str">
        <f t="shared" si="12"/>
        <v/>
      </c>
      <c r="X30" s="11" t="str">
        <f t="shared" si="12"/>
        <v/>
      </c>
      <c r="Y30" s="11" t="str">
        <f t="shared" si="12"/>
        <v/>
      </c>
      <c r="Z30" s="11" t="str">
        <f t="shared" si="12"/>
        <v/>
      </c>
      <c r="AA30" s="11" t="str">
        <f t="shared" si="12"/>
        <v/>
      </c>
      <c r="AB30" s="11" t="str">
        <f t="shared" si="12"/>
        <v/>
      </c>
      <c r="AC30" s="11" t="str">
        <f t="shared" si="12"/>
        <v/>
      </c>
      <c r="AD30" s="6"/>
      <c r="AE30" s="11">
        <f t="shared" si="10"/>
        <v>0.72160642160800503</v>
      </c>
      <c r="AF30" s="11">
        <f t="shared" si="10"/>
        <v>2.4775623094794237</v>
      </c>
      <c r="AG30" s="11">
        <f t="shared" si="10"/>
        <v>8.2630178027958648E-2</v>
      </c>
      <c r="AH30" s="11">
        <f t="shared" si="10"/>
        <v>1.3066745867997713</v>
      </c>
      <c r="AI30" s="11">
        <f t="shared" si="10"/>
        <v>0.92058147750201802</v>
      </c>
      <c r="AJ30" s="11">
        <f t="shared" si="10"/>
        <v>1.9601005726299647</v>
      </c>
      <c r="AK30" s="11">
        <f t="shared" si="10"/>
        <v>1.065290301438778</v>
      </c>
      <c r="AL30" s="11">
        <f t="shared" si="10"/>
        <v>1.5721930085531484</v>
      </c>
      <c r="AM30" s="11" t="str">
        <f t="shared" si="10"/>
        <v/>
      </c>
      <c r="AN30" s="11" t="str">
        <f t="shared" si="10"/>
        <v/>
      </c>
      <c r="AO30" s="11" t="str">
        <f t="shared" si="10"/>
        <v/>
      </c>
      <c r="AP30" s="11" t="str">
        <f t="shared" si="10"/>
        <v/>
      </c>
      <c r="AQ30" s="11" t="str">
        <f t="shared" si="10"/>
        <v/>
      </c>
      <c r="AR30" s="11" t="str">
        <f t="shared" si="10"/>
        <v/>
      </c>
      <c r="AS30" s="11" t="str">
        <f t="shared" si="10"/>
        <v/>
      </c>
      <c r="AT30" s="11" t="str">
        <f t="shared" si="10"/>
        <v/>
      </c>
      <c r="AU30" s="11" t="str">
        <f t="shared" si="10"/>
        <v/>
      </c>
      <c r="AV30" s="11" t="str">
        <f t="shared" si="10"/>
        <v/>
      </c>
      <c r="AW30" s="11" t="str">
        <f t="shared" si="10"/>
        <v/>
      </c>
      <c r="AX30" s="11" t="str">
        <f t="shared" si="10"/>
        <v/>
      </c>
      <c r="AY30" s="11" t="str">
        <f t="shared" si="10"/>
        <v/>
      </c>
      <c r="AZ30" s="11" t="str">
        <f t="shared" si="10"/>
        <v/>
      </c>
      <c r="BA30" s="11" t="str">
        <f t="shared" si="10"/>
        <v/>
      </c>
    </row>
    <row r="31" spans="1:53" x14ac:dyDescent="0.35">
      <c r="A31" s="235"/>
      <c r="B31" s="11" t="str">
        <f t="shared" ref="B31:AC31" si="13">IF(B8="","",(B8/$AE$23))</f>
        <v/>
      </c>
      <c r="C31" s="11">
        <f t="shared" si="13"/>
        <v>0.11750429096103865</v>
      </c>
      <c r="D31" s="11">
        <f t="shared" si="13"/>
        <v>8.1636573472364582E-2</v>
      </c>
      <c r="E31" s="11">
        <f t="shared" si="13"/>
        <v>0.54121438893317053</v>
      </c>
      <c r="F31" s="11">
        <f t="shared" si="13"/>
        <v>2.2035571975874615</v>
      </c>
      <c r="G31" s="11">
        <f t="shared" si="13"/>
        <v>0.68878167372622834</v>
      </c>
      <c r="H31" s="11">
        <f t="shared" si="13"/>
        <v>2.5190698325716103</v>
      </c>
      <c r="I31" s="11">
        <f t="shared" si="13"/>
        <v>5.6558343559779449E-2</v>
      </c>
      <c r="J31" s="11">
        <f t="shared" si="13"/>
        <v>0.11634861790829623</v>
      </c>
      <c r="K31" s="11">
        <f t="shared" si="13"/>
        <v>0.4095800402850413</v>
      </c>
      <c r="L31" s="11">
        <f t="shared" si="13"/>
        <v>0.75590652710558048</v>
      </c>
      <c r="M31" s="11">
        <f t="shared" si="13"/>
        <v>1.4086737312094533</v>
      </c>
      <c r="N31" s="11" t="str">
        <f t="shared" si="13"/>
        <v/>
      </c>
      <c r="O31" s="11" t="str">
        <f t="shared" si="13"/>
        <v/>
      </c>
      <c r="P31" s="11" t="str">
        <f t="shared" si="13"/>
        <v/>
      </c>
      <c r="Q31" s="11" t="str">
        <f t="shared" si="13"/>
        <v/>
      </c>
      <c r="R31" s="11" t="str">
        <f t="shared" si="13"/>
        <v/>
      </c>
      <c r="S31" s="11" t="str">
        <f t="shared" si="13"/>
        <v/>
      </c>
      <c r="T31" s="11" t="str">
        <f t="shared" si="13"/>
        <v/>
      </c>
      <c r="U31" s="11" t="str">
        <f t="shared" si="13"/>
        <v/>
      </c>
      <c r="V31" s="11" t="str">
        <f t="shared" si="13"/>
        <v/>
      </c>
      <c r="W31" s="11" t="str">
        <f t="shared" si="13"/>
        <v/>
      </c>
      <c r="X31" s="11" t="str">
        <f t="shared" si="13"/>
        <v/>
      </c>
      <c r="Y31" s="11" t="str">
        <f t="shared" si="13"/>
        <v/>
      </c>
      <c r="Z31" s="11" t="str">
        <f t="shared" si="13"/>
        <v/>
      </c>
      <c r="AA31" s="11" t="str">
        <f t="shared" si="13"/>
        <v/>
      </c>
      <c r="AB31" s="11" t="str">
        <f t="shared" si="13"/>
        <v/>
      </c>
      <c r="AC31" s="11" t="str">
        <f t="shared" si="13"/>
        <v/>
      </c>
      <c r="AD31" s="6"/>
      <c r="AE31" s="11">
        <f t="shared" si="10"/>
        <v>1.815495757486979</v>
      </c>
      <c r="AF31" s="11">
        <f t="shared" si="10"/>
        <v>2.0822854374080975</v>
      </c>
      <c r="AG31" s="11">
        <f t="shared" si="10"/>
        <v>3.6376541330820016E-2</v>
      </c>
      <c r="AH31" s="11" t="str">
        <f t="shared" si="10"/>
        <v/>
      </c>
      <c r="AI31" s="11">
        <f t="shared" si="10"/>
        <v>0.52109046831033545</v>
      </c>
      <c r="AJ31" s="11">
        <f t="shared" si="10"/>
        <v>0.19553136747548513</v>
      </c>
      <c r="AK31" s="11">
        <f t="shared" si="10"/>
        <v>1.7956952614694421</v>
      </c>
      <c r="AL31" s="11">
        <f t="shared" si="10"/>
        <v>1.5451774367592668</v>
      </c>
      <c r="AM31" s="11" t="str">
        <f t="shared" si="10"/>
        <v/>
      </c>
      <c r="AN31" s="11" t="str">
        <f t="shared" si="10"/>
        <v/>
      </c>
      <c r="AO31" s="11" t="str">
        <f t="shared" si="10"/>
        <v/>
      </c>
      <c r="AP31" s="11" t="str">
        <f t="shared" si="10"/>
        <v/>
      </c>
      <c r="AQ31" s="11" t="str">
        <f t="shared" si="10"/>
        <v/>
      </c>
      <c r="AR31" s="11" t="str">
        <f t="shared" si="10"/>
        <v/>
      </c>
      <c r="AS31" s="11" t="str">
        <f t="shared" si="10"/>
        <v/>
      </c>
      <c r="AT31" s="11" t="str">
        <f t="shared" si="10"/>
        <v/>
      </c>
      <c r="AU31" s="11" t="str">
        <f t="shared" si="10"/>
        <v/>
      </c>
      <c r="AV31" s="11" t="str">
        <f t="shared" si="10"/>
        <v/>
      </c>
      <c r="AW31" s="11" t="str">
        <f t="shared" si="10"/>
        <v/>
      </c>
      <c r="AX31" s="11" t="str">
        <f t="shared" si="10"/>
        <v/>
      </c>
      <c r="AY31" s="11" t="str">
        <f t="shared" si="10"/>
        <v/>
      </c>
      <c r="AZ31" s="11" t="str">
        <f t="shared" si="10"/>
        <v/>
      </c>
      <c r="BA31" s="11" t="str">
        <f t="shared" si="10"/>
        <v/>
      </c>
    </row>
    <row r="32" spans="1:53" x14ac:dyDescent="0.35">
      <c r="A32" s="235"/>
      <c r="B32" s="11">
        <f t="shared" ref="B32:AC32" si="14">IF(B9="","",(B9/$AE$23))</f>
        <v>1.8852840552343018E-2</v>
      </c>
      <c r="C32" s="11">
        <f t="shared" si="14"/>
        <v>0.37957902429588769</v>
      </c>
      <c r="D32" s="11">
        <f t="shared" si="14"/>
        <v>0.21488483939649186</v>
      </c>
      <c r="E32" s="11">
        <f t="shared" si="14"/>
        <v>0.22173036337988844</v>
      </c>
      <c r="F32" s="11">
        <f t="shared" si="14"/>
        <v>1.1731602435847213</v>
      </c>
      <c r="G32" s="11">
        <f t="shared" si="14"/>
        <v>2.7029826697740553</v>
      </c>
      <c r="H32" s="11" t="str">
        <f t="shared" si="14"/>
        <v/>
      </c>
      <c r="I32" s="11">
        <f t="shared" si="14"/>
        <v>6.9513493691169298E-2</v>
      </c>
      <c r="J32" s="11">
        <f t="shared" si="14"/>
        <v>0.14519022080246557</v>
      </c>
      <c r="K32" s="11">
        <f t="shared" si="14"/>
        <v>1.194077943649084</v>
      </c>
      <c r="L32" s="11">
        <f t="shared" si="14"/>
        <v>2.0261662816658652</v>
      </c>
      <c r="M32" s="11">
        <f t="shared" si="14"/>
        <v>1.4246490544997898</v>
      </c>
      <c r="N32" s="11" t="str">
        <f t="shared" si="14"/>
        <v/>
      </c>
      <c r="O32" s="11" t="str">
        <f t="shared" si="14"/>
        <v/>
      </c>
      <c r="P32" s="11" t="str">
        <f t="shared" si="14"/>
        <v/>
      </c>
      <c r="Q32" s="11" t="str">
        <f t="shared" si="14"/>
        <v/>
      </c>
      <c r="R32" s="11" t="str">
        <f t="shared" si="14"/>
        <v/>
      </c>
      <c r="S32" s="11" t="str">
        <f t="shared" si="14"/>
        <v/>
      </c>
      <c r="T32" s="11" t="str">
        <f t="shared" si="14"/>
        <v/>
      </c>
      <c r="U32" s="11" t="str">
        <f t="shared" si="14"/>
        <v/>
      </c>
      <c r="V32" s="11" t="str">
        <f t="shared" si="14"/>
        <v/>
      </c>
      <c r="W32" s="11" t="str">
        <f t="shared" si="14"/>
        <v/>
      </c>
      <c r="X32" s="11" t="str">
        <f t="shared" si="14"/>
        <v/>
      </c>
      <c r="Y32" s="11" t="str">
        <f t="shared" si="14"/>
        <v/>
      </c>
      <c r="Z32" s="11" t="str">
        <f t="shared" si="14"/>
        <v/>
      </c>
      <c r="AA32" s="11" t="str">
        <f t="shared" si="14"/>
        <v/>
      </c>
      <c r="AB32" s="11" t="str">
        <f t="shared" si="14"/>
        <v/>
      </c>
      <c r="AC32" s="11" t="str">
        <f t="shared" si="14"/>
        <v/>
      </c>
      <c r="AD32" s="6"/>
      <c r="AE32" s="11">
        <f t="shared" si="10"/>
        <v>0.44681572274799713</v>
      </c>
      <c r="AF32" s="11">
        <f t="shared" si="10"/>
        <v>2.1759368075338923</v>
      </c>
      <c r="AG32" s="11">
        <f t="shared" si="10"/>
        <v>1.4890711040190066E-2</v>
      </c>
      <c r="AH32" s="11">
        <f t="shared" si="10"/>
        <v>0.64460803480732654</v>
      </c>
      <c r="AI32" s="11">
        <f t="shared" si="10"/>
        <v>0.31338241378152137</v>
      </c>
      <c r="AJ32" s="11">
        <f t="shared" si="10"/>
        <v>2.0154108106644522</v>
      </c>
      <c r="AK32" s="11">
        <f t="shared" si="10"/>
        <v>1.9802939511801489</v>
      </c>
      <c r="AL32" s="11">
        <f t="shared" si="10"/>
        <v>0.67026392314903327</v>
      </c>
      <c r="AM32" s="11" t="str">
        <f t="shared" si="10"/>
        <v/>
      </c>
      <c r="AN32" s="11" t="str">
        <f t="shared" si="10"/>
        <v/>
      </c>
      <c r="AO32" s="11" t="str">
        <f t="shared" si="10"/>
        <v/>
      </c>
      <c r="AP32" s="11" t="str">
        <f t="shared" si="10"/>
        <v/>
      </c>
      <c r="AQ32" s="11" t="str">
        <f t="shared" si="10"/>
        <v/>
      </c>
      <c r="AR32" s="11" t="str">
        <f t="shared" si="10"/>
        <v/>
      </c>
      <c r="AS32" s="11" t="str">
        <f t="shared" si="10"/>
        <v/>
      </c>
      <c r="AT32" s="11" t="str">
        <f t="shared" si="10"/>
        <v/>
      </c>
      <c r="AU32" s="11" t="str">
        <f t="shared" si="10"/>
        <v/>
      </c>
      <c r="AV32" s="11" t="str">
        <f t="shared" si="10"/>
        <v/>
      </c>
      <c r="AW32" s="11" t="str">
        <f t="shared" si="10"/>
        <v/>
      </c>
      <c r="AX32" s="11" t="str">
        <f t="shared" si="10"/>
        <v/>
      </c>
      <c r="AY32" s="11" t="str">
        <f t="shared" si="10"/>
        <v/>
      </c>
      <c r="AZ32" s="11" t="str">
        <f t="shared" si="10"/>
        <v/>
      </c>
      <c r="BA32" s="11" t="str">
        <f t="shared" si="10"/>
        <v/>
      </c>
    </row>
    <row r="33" spans="1:53" x14ac:dyDescent="0.35">
      <c r="A33" s="235"/>
      <c r="B33" s="11">
        <f t="shared" ref="B33:AC33" si="15">IF(B10="","",(B10/$AE$23))</f>
        <v>7.4368068521135818E-3</v>
      </c>
      <c r="C33" s="11">
        <f t="shared" si="15"/>
        <v>0.31129066158481006</v>
      </c>
      <c r="D33" s="11">
        <f t="shared" si="15"/>
        <v>8.1736664126647415E-2</v>
      </c>
      <c r="E33" s="11">
        <f t="shared" si="15"/>
        <v>0.54963536118664857</v>
      </c>
      <c r="F33" s="11">
        <f t="shared" si="15"/>
        <v>0.80762276264286637</v>
      </c>
      <c r="G33" s="11">
        <f t="shared" si="15"/>
        <v>2.5678198584165828</v>
      </c>
      <c r="H33" s="11">
        <f t="shared" si="15"/>
        <v>1.7751629638532431</v>
      </c>
      <c r="I33" s="11">
        <f t="shared" si="15"/>
        <v>8.7445571463010199E-2</v>
      </c>
      <c r="J33" s="11">
        <f t="shared" si="15"/>
        <v>0.17661494620503007</v>
      </c>
      <c r="K33" s="11">
        <f t="shared" si="15"/>
        <v>0.87448207302304481</v>
      </c>
      <c r="L33" s="11">
        <f t="shared" si="15"/>
        <v>1.3501547150286781</v>
      </c>
      <c r="M33" s="11">
        <f t="shared" si="15"/>
        <v>1.6118825149212799</v>
      </c>
      <c r="N33" s="11" t="str">
        <f t="shared" si="15"/>
        <v/>
      </c>
      <c r="O33" s="11" t="str">
        <f t="shared" si="15"/>
        <v/>
      </c>
      <c r="P33" s="11" t="str">
        <f t="shared" si="15"/>
        <v/>
      </c>
      <c r="Q33" s="11" t="str">
        <f t="shared" si="15"/>
        <v/>
      </c>
      <c r="R33" s="11" t="str">
        <f t="shared" si="15"/>
        <v/>
      </c>
      <c r="S33" s="11" t="str">
        <f t="shared" si="15"/>
        <v/>
      </c>
      <c r="T33" s="11" t="str">
        <f t="shared" si="15"/>
        <v/>
      </c>
      <c r="U33" s="11" t="str">
        <f t="shared" si="15"/>
        <v/>
      </c>
      <c r="V33" s="11" t="str">
        <f t="shared" si="15"/>
        <v/>
      </c>
      <c r="W33" s="11" t="str">
        <f t="shared" si="15"/>
        <v/>
      </c>
      <c r="X33" s="11" t="str">
        <f t="shared" si="15"/>
        <v/>
      </c>
      <c r="Y33" s="11" t="str">
        <f t="shared" si="15"/>
        <v/>
      </c>
      <c r="Z33" s="11" t="str">
        <f t="shared" si="15"/>
        <v/>
      </c>
      <c r="AA33" s="11" t="str">
        <f t="shared" si="15"/>
        <v/>
      </c>
      <c r="AB33" s="11" t="str">
        <f t="shared" si="15"/>
        <v/>
      </c>
      <c r="AC33" s="11" t="str">
        <f t="shared" si="15"/>
        <v/>
      </c>
      <c r="AD33" s="6"/>
      <c r="AE33" s="11">
        <f t="shared" si="10"/>
        <v>0.77598823868025713</v>
      </c>
      <c r="AF33" s="11">
        <f t="shared" si="10"/>
        <v>1.3457129696233157</v>
      </c>
      <c r="AG33" s="11">
        <f t="shared" si="10"/>
        <v>6.5657153945286803E-2</v>
      </c>
      <c r="AH33" s="11">
        <f t="shared" si="10"/>
        <v>1.145871292512683</v>
      </c>
      <c r="AI33" s="11">
        <f t="shared" si="10"/>
        <v>3.4733505154510076E-2</v>
      </c>
      <c r="AJ33" s="11">
        <f t="shared" si="10"/>
        <v>0.93268532278025507</v>
      </c>
      <c r="AK33" s="11">
        <f t="shared" si="10"/>
        <v>1.0298806500761102</v>
      </c>
      <c r="AL33" s="11">
        <f t="shared" si="10"/>
        <v>1.8060309572535156</v>
      </c>
      <c r="AM33" s="11" t="str">
        <f t="shared" si="10"/>
        <v/>
      </c>
      <c r="AN33" s="11" t="str">
        <f t="shared" si="10"/>
        <v/>
      </c>
      <c r="AO33" s="11" t="str">
        <f t="shared" si="10"/>
        <v/>
      </c>
      <c r="AP33" s="11" t="str">
        <f t="shared" si="10"/>
        <v/>
      </c>
      <c r="AQ33" s="11" t="str">
        <f t="shared" si="10"/>
        <v/>
      </c>
      <c r="AR33" s="11" t="str">
        <f t="shared" si="10"/>
        <v/>
      </c>
      <c r="AS33" s="11" t="str">
        <f t="shared" si="10"/>
        <v/>
      </c>
      <c r="AT33" s="11" t="str">
        <f t="shared" si="10"/>
        <v/>
      </c>
      <c r="AU33" s="11" t="str">
        <f t="shared" si="10"/>
        <v/>
      </c>
      <c r="AV33" s="11" t="str">
        <f t="shared" si="10"/>
        <v/>
      </c>
      <c r="AW33" s="11" t="str">
        <f t="shared" si="10"/>
        <v/>
      </c>
      <c r="AX33" s="11" t="str">
        <f t="shared" si="10"/>
        <v/>
      </c>
      <c r="AY33" s="11" t="str">
        <f t="shared" si="10"/>
        <v/>
      </c>
      <c r="AZ33" s="11" t="str">
        <f t="shared" si="10"/>
        <v/>
      </c>
      <c r="BA33" s="11" t="str">
        <f t="shared" si="10"/>
        <v/>
      </c>
    </row>
    <row r="34" spans="1:53" x14ac:dyDescent="0.35">
      <c r="A34" s="235"/>
      <c r="B34" s="11">
        <f t="shared" ref="B34:AC34" si="16">IF(B11="","",(B11/$AE$23))</f>
        <v>2.1495447542109077E-2</v>
      </c>
      <c r="C34" s="11">
        <f t="shared" si="16"/>
        <v>0.14946633576568727</v>
      </c>
      <c r="D34" s="11">
        <f t="shared" si="16"/>
        <v>0.19727636432719883</v>
      </c>
      <c r="E34" s="11">
        <f t="shared" si="16"/>
        <v>1.1275000269232953</v>
      </c>
      <c r="F34" s="11">
        <f t="shared" si="16"/>
        <v>0.91549270478880973</v>
      </c>
      <c r="G34" s="11">
        <f t="shared" si="16"/>
        <v>1.1332012760779246</v>
      </c>
      <c r="H34" s="11">
        <f t="shared" si="16"/>
        <v>2.4675812053193305</v>
      </c>
      <c r="I34" s="11">
        <f t="shared" si="16"/>
        <v>6.5457150733970765E-2</v>
      </c>
      <c r="J34" s="11">
        <f t="shared" si="16"/>
        <v>0.12975061403896651</v>
      </c>
      <c r="K34" s="11">
        <f t="shared" si="16"/>
        <v>1.2658372436578806</v>
      </c>
      <c r="L34" s="11">
        <f t="shared" si="16"/>
        <v>1.522167984498193</v>
      </c>
      <c r="M34" s="11">
        <f t="shared" si="16"/>
        <v>1.0240716520854645</v>
      </c>
      <c r="N34" s="11" t="str">
        <f t="shared" si="16"/>
        <v/>
      </c>
      <c r="O34" s="11" t="str">
        <f t="shared" si="16"/>
        <v/>
      </c>
      <c r="P34" s="11" t="str">
        <f t="shared" si="16"/>
        <v/>
      </c>
      <c r="Q34" s="11" t="str">
        <f t="shared" si="16"/>
        <v/>
      </c>
      <c r="R34" s="11" t="str">
        <f t="shared" si="16"/>
        <v/>
      </c>
      <c r="S34" s="11" t="str">
        <f t="shared" si="16"/>
        <v/>
      </c>
      <c r="T34" s="11" t="str">
        <f t="shared" si="16"/>
        <v/>
      </c>
      <c r="U34" s="11" t="str">
        <f t="shared" si="16"/>
        <v/>
      </c>
      <c r="V34" s="11" t="str">
        <f t="shared" si="16"/>
        <v/>
      </c>
      <c r="W34" s="11" t="str">
        <f t="shared" si="16"/>
        <v/>
      </c>
      <c r="X34" s="11" t="str">
        <f t="shared" si="16"/>
        <v/>
      </c>
      <c r="Y34" s="11" t="str">
        <f t="shared" si="16"/>
        <v/>
      </c>
      <c r="Z34" s="11" t="str">
        <f t="shared" si="16"/>
        <v/>
      </c>
      <c r="AA34" s="11" t="str">
        <f t="shared" si="16"/>
        <v/>
      </c>
      <c r="AB34" s="11" t="str">
        <f t="shared" si="16"/>
        <v/>
      </c>
      <c r="AC34" s="11" t="str">
        <f t="shared" si="16"/>
        <v/>
      </c>
      <c r="AD34" s="6"/>
      <c r="AE34" s="11">
        <f t="shared" si="10"/>
        <v>0.92496160125901405</v>
      </c>
      <c r="AF34" s="11">
        <f t="shared" si="10"/>
        <v>2.0897934831600562</v>
      </c>
      <c r="AG34" s="11">
        <f t="shared" si="10"/>
        <v>3.0586599745883052E-2</v>
      </c>
      <c r="AH34" s="11">
        <f t="shared" si="10"/>
        <v>0.10247697933039497</v>
      </c>
      <c r="AI34" s="11">
        <f t="shared" si="10"/>
        <v>0.47920894099396022</v>
      </c>
      <c r="AJ34" s="11">
        <f t="shared" si="10"/>
        <v>0.91195266575824085</v>
      </c>
      <c r="AK34" s="11">
        <f t="shared" si="10"/>
        <v>0.557990793652269</v>
      </c>
      <c r="AL34" s="11">
        <f t="shared" si="10"/>
        <v>1.7400345280477152</v>
      </c>
      <c r="AM34" s="11" t="str">
        <f t="shared" si="10"/>
        <v/>
      </c>
      <c r="AN34" s="11" t="str">
        <f t="shared" si="10"/>
        <v/>
      </c>
      <c r="AO34" s="11" t="str">
        <f t="shared" si="10"/>
        <v/>
      </c>
      <c r="AP34" s="11" t="str">
        <f t="shared" si="10"/>
        <v/>
      </c>
      <c r="AQ34" s="11" t="str">
        <f t="shared" si="10"/>
        <v/>
      </c>
      <c r="AR34" s="11" t="str">
        <f t="shared" si="10"/>
        <v/>
      </c>
      <c r="AS34" s="11" t="str">
        <f t="shared" si="10"/>
        <v/>
      </c>
      <c r="AT34" s="11" t="str">
        <f t="shared" si="10"/>
        <v/>
      </c>
      <c r="AU34" s="11" t="str">
        <f t="shared" si="10"/>
        <v/>
      </c>
      <c r="AV34" s="11" t="str">
        <f t="shared" si="10"/>
        <v/>
      </c>
      <c r="AW34" s="11" t="str">
        <f t="shared" si="10"/>
        <v/>
      </c>
      <c r="AX34" s="11" t="str">
        <f t="shared" si="10"/>
        <v/>
      </c>
      <c r="AY34" s="11" t="str">
        <f t="shared" si="10"/>
        <v/>
      </c>
      <c r="AZ34" s="11" t="str">
        <f t="shared" si="10"/>
        <v/>
      </c>
      <c r="BA34" s="11" t="str">
        <f t="shared" si="10"/>
        <v/>
      </c>
    </row>
    <row r="35" spans="1:53" x14ac:dyDescent="0.35">
      <c r="A35" s="235"/>
      <c r="B35" s="11">
        <f t="shared" ref="B35:AC35" si="17">IF(B12="","",(B12/$AE$23))</f>
        <v>9.5823978473830687E-2</v>
      </c>
      <c r="C35" s="11">
        <f t="shared" si="17"/>
        <v>0.21971554919501018</v>
      </c>
      <c r="D35" s="11">
        <f t="shared" si="17"/>
        <v>5.2471189778397771E-2</v>
      </c>
      <c r="E35" s="11">
        <f t="shared" si="17"/>
        <v>0.22322477740139585</v>
      </c>
      <c r="F35" s="11">
        <f t="shared" si="17"/>
        <v>1.7540374242985814</v>
      </c>
      <c r="G35" s="11">
        <f t="shared" si="17"/>
        <v>2.0506395152215129</v>
      </c>
      <c r="H35" s="11">
        <f t="shared" si="17"/>
        <v>1.6969088133455392</v>
      </c>
      <c r="I35" s="11">
        <f t="shared" si="17"/>
        <v>8.6027917356086225E-2</v>
      </c>
      <c r="J35" s="11">
        <f t="shared" si="17"/>
        <v>0.47563417299971678</v>
      </c>
      <c r="K35" s="11">
        <f t="shared" si="17"/>
        <v>0.20543535552649539</v>
      </c>
      <c r="L35" s="11">
        <f t="shared" si="17"/>
        <v>1.7007647968969226</v>
      </c>
      <c r="M35" s="11">
        <f t="shared" si="17"/>
        <v>1.8508669398437303</v>
      </c>
      <c r="N35" s="11" t="str">
        <f t="shared" si="17"/>
        <v/>
      </c>
      <c r="O35" s="11" t="str">
        <f t="shared" si="17"/>
        <v/>
      </c>
      <c r="P35" s="11" t="str">
        <f t="shared" si="17"/>
        <v/>
      </c>
      <c r="Q35" s="11" t="str">
        <f t="shared" si="17"/>
        <v/>
      </c>
      <c r="R35" s="11" t="str">
        <f t="shared" si="17"/>
        <v/>
      </c>
      <c r="S35" s="11" t="str">
        <f t="shared" si="17"/>
        <v/>
      </c>
      <c r="T35" s="11" t="str">
        <f t="shared" si="17"/>
        <v/>
      </c>
      <c r="U35" s="11" t="str">
        <f t="shared" si="17"/>
        <v/>
      </c>
      <c r="V35" s="11" t="str">
        <f t="shared" si="17"/>
        <v/>
      </c>
      <c r="W35" s="11" t="str">
        <f t="shared" si="17"/>
        <v/>
      </c>
      <c r="X35" s="11" t="str">
        <f t="shared" si="17"/>
        <v/>
      </c>
      <c r="Y35" s="11" t="str">
        <f t="shared" si="17"/>
        <v/>
      </c>
      <c r="Z35" s="11" t="str">
        <f t="shared" si="17"/>
        <v/>
      </c>
      <c r="AA35" s="11" t="str">
        <f t="shared" si="17"/>
        <v/>
      </c>
      <c r="AB35" s="11" t="str">
        <f t="shared" si="17"/>
        <v/>
      </c>
      <c r="AC35" s="11" t="str">
        <f t="shared" si="17"/>
        <v/>
      </c>
      <c r="AD35" s="6"/>
      <c r="AE35" s="11">
        <f t="shared" si="10"/>
        <v>1.7527043663852238</v>
      </c>
      <c r="AF35" s="11">
        <f t="shared" si="10"/>
        <v>2.2609324732312182</v>
      </c>
      <c r="AG35" s="11">
        <f t="shared" si="10"/>
        <v>0.10798543821231769</v>
      </c>
      <c r="AH35" s="11">
        <f t="shared" si="10"/>
        <v>3.5991316979905874E-2</v>
      </c>
      <c r="AI35" s="11">
        <f t="shared" si="10"/>
        <v>1.5017437919125092</v>
      </c>
      <c r="AJ35" s="11">
        <f t="shared" si="10"/>
        <v>1.7192247549166182</v>
      </c>
      <c r="AK35" s="11">
        <f t="shared" si="10"/>
        <v>1.1371999155262484</v>
      </c>
      <c r="AL35" s="11">
        <f t="shared" si="10"/>
        <v>1.3784955084569339</v>
      </c>
      <c r="AM35" s="11" t="str">
        <f t="shared" si="10"/>
        <v/>
      </c>
      <c r="AN35" s="11" t="str">
        <f t="shared" si="10"/>
        <v/>
      </c>
      <c r="AO35" s="11" t="str">
        <f t="shared" si="10"/>
        <v/>
      </c>
      <c r="AP35" s="11" t="str">
        <f t="shared" si="10"/>
        <v/>
      </c>
      <c r="AQ35" s="11" t="str">
        <f t="shared" si="10"/>
        <v/>
      </c>
      <c r="AR35" s="11" t="str">
        <f t="shared" si="10"/>
        <v/>
      </c>
      <c r="AS35" s="11" t="str">
        <f t="shared" si="10"/>
        <v/>
      </c>
      <c r="AT35" s="11" t="str">
        <f t="shared" si="10"/>
        <v/>
      </c>
      <c r="AU35" s="11" t="str">
        <f t="shared" si="10"/>
        <v/>
      </c>
      <c r="AV35" s="11" t="str">
        <f t="shared" si="10"/>
        <v/>
      </c>
      <c r="AW35" s="11" t="str">
        <f t="shared" si="10"/>
        <v/>
      </c>
      <c r="AX35" s="11" t="str">
        <f t="shared" si="10"/>
        <v/>
      </c>
      <c r="AY35" s="11" t="str">
        <f t="shared" si="10"/>
        <v/>
      </c>
      <c r="AZ35" s="11" t="str">
        <f t="shared" si="10"/>
        <v/>
      </c>
      <c r="BA35" s="11" t="str">
        <f t="shared" si="10"/>
        <v/>
      </c>
    </row>
    <row r="36" spans="1:53" x14ac:dyDescent="0.35">
      <c r="A36" s="235"/>
      <c r="B36" s="11" t="str">
        <f t="shared" ref="B36:W36" si="18">IF(B13="","",(B13/$AE$23))</f>
        <v/>
      </c>
      <c r="C36" s="11" t="str">
        <f t="shared" si="18"/>
        <v/>
      </c>
      <c r="D36" s="11" t="str">
        <f t="shared" si="18"/>
        <v/>
      </c>
      <c r="E36" s="11" t="str">
        <f t="shared" si="18"/>
        <v/>
      </c>
      <c r="F36" s="11" t="str">
        <f t="shared" si="18"/>
        <v/>
      </c>
      <c r="G36" s="11" t="str">
        <f t="shared" si="18"/>
        <v/>
      </c>
      <c r="H36" s="11" t="str">
        <f t="shared" si="18"/>
        <v/>
      </c>
      <c r="I36" s="11" t="str">
        <f t="shared" si="18"/>
        <v/>
      </c>
      <c r="J36" s="11" t="str">
        <f t="shared" si="18"/>
        <v/>
      </c>
      <c r="K36" s="11" t="str">
        <f t="shared" si="18"/>
        <v/>
      </c>
      <c r="L36" s="11" t="str">
        <f t="shared" si="18"/>
        <v/>
      </c>
      <c r="M36" s="11" t="str">
        <f t="shared" si="18"/>
        <v/>
      </c>
      <c r="N36" s="11" t="str">
        <f t="shared" si="18"/>
        <v/>
      </c>
      <c r="O36" s="11" t="str">
        <f t="shared" si="18"/>
        <v/>
      </c>
      <c r="P36" s="11" t="str">
        <f t="shared" si="18"/>
        <v/>
      </c>
      <c r="Q36" s="11" t="str">
        <f t="shared" si="18"/>
        <v/>
      </c>
      <c r="R36" s="11" t="str">
        <f t="shared" si="18"/>
        <v/>
      </c>
      <c r="S36" s="11" t="str">
        <f t="shared" si="18"/>
        <v/>
      </c>
      <c r="T36" s="11" t="str">
        <f t="shared" si="18"/>
        <v/>
      </c>
      <c r="U36" s="11" t="str">
        <f t="shared" si="18"/>
        <v/>
      </c>
      <c r="V36" s="11" t="str">
        <f t="shared" si="18"/>
        <v/>
      </c>
      <c r="W36" s="11" t="str">
        <f t="shared" si="18"/>
        <v/>
      </c>
      <c r="X36" s="11" t="str">
        <f t="shared" ref="X36:AC36" si="19">IF(X13="","",(X13/$AE$23))</f>
        <v/>
      </c>
      <c r="Y36" s="11" t="str">
        <f t="shared" si="19"/>
        <v/>
      </c>
      <c r="Z36" s="11" t="str">
        <f t="shared" si="19"/>
        <v/>
      </c>
      <c r="AA36" s="11" t="str">
        <f t="shared" si="19"/>
        <v/>
      </c>
      <c r="AB36" s="11" t="str">
        <f t="shared" si="19"/>
        <v/>
      </c>
      <c r="AC36" s="11" t="str">
        <f t="shared" si="19"/>
        <v/>
      </c>
      <c r="AD36" s="6"/>
      <c r="AE36" s="11">
        <f t="shared" si="10"/>
        <v>0.46143875362201803</v>
      </c>
      <c r="AF36" s="11" t="str">
        <f t="shared" si="10"/>
        <v/>
      </c>
      <c r="AG36" s="11" t="str">
        <f t="shared" si="10"/>
        <v/>
      </c>
      <c r="AH36" s="11" t="str">
        <f t="shared" si="10"/>
        <v/>
      </c>
      <c r="AI36" s="11" t="str">
        <f t="shared" si="10"/>
        <v/>
      </c>
      <c r="AJ36" s="11" t="str">
        <f t="shared" si="10"/>
        <v/>
      </c>
      <c r="AK36" s="11" t="str">
        <f t="shared" si="10"/>
        <v/>
      </c>
      <c r="AL36" s="11" t="str">
        <f t="shared" si="10"/>
        <v/>
      </c>
      <c r="AM36" s="11" t="str">
        <f t="shared" si="10"/>
        <v/>
      </c>
      <c r="AN36" s="11" t="str">
        <f t="shared" si="10"/>
        <v/>
      </c>
      <c r="AO36" s="11" t="str">
        <f t="shared" si="10"/>
        <v/>
      </c>
      <c r="AP36" s="11" t="str">
        <f t="shared" si="10"/>
        <v/>
      </c>
      <c r="AQ36" s="11" t="str">
        <f t="shared" si="10"/>
        <v/>
      </c>
      <c r="AR36" s="11" t="str">
        <f t="shared" si="10"/>
        <v/>
      </c>
      <c r="AS36" s="11" t="str">
        <f t="shared" si="10"/>
        <v/>
      </c>
      <c r="AT36" s="11" t="str">
        <f t="shared" si="10"/>
        <v/>
      </c>
      <c r="AU36" s="11" t="str">
        <f t="shared" si="10"/>
        <v/>
      </c>
      <c r="AV36" s="11" t="str">
        <f t="shared" si="10"/>
        <v/>
      </c>
      <c r="AW36" s="11" t="str">
        <f t="shared" si="10"/>
        <v/>
      </c>
      <c r="AX36" s="11" t="str">
        <f t="shared" si="10"/>
        <v/>
      </c>
      <c r="AY36" s="11" t="str">
        <f t="shared" si="10"/>
        <v/>
      </c>
      <c r="AZ36" s="11" t="str">
        <f t="shared" si="10"/>
        <v/>
      </c>
      <c r="BA36" s="11" t="str">
        <f t="shared" si="10"/>
        <v/>
      </c>
    </row>
    <row r="37" spans="1:53" x14ac:dyDescent="0.35">
      <c r="A37" s="235"/>
      <c r="B37" s="11" t="str">
        <f t="shared" ref="B37:W37" si="20">IF(B14="","",(B14/$AE$23))</f>
        <v/>
      </c>
      <c r="C37" s="11" t="str">
        <f t="shared" si="20"/>
        <v/>
      </c>
      <c r="D37" s="11" t="str">
        <f t="shared" si="20"/>
        <v/>
      </c>
      <c r="E37" s="11" t="str">
        <f t="shared" si="20"/>
        <v/>
      </c>
      <c r="F37" s="11" t="str">
        <f t="shared" si="20"/>
        <v/>
      </c>
      <c r="G37" s="11" t="str">
        <f t="shared" si="20"/>
        <v/>
      </c>
      <c r="H37" s="11" t="str">
        <f t="shared" si="20"/>
        <v/>
      </c>
      <c r="I37" s="11" t="str">
        <f t="shared" si="20"/>
        <v/>
      </c>
      <c r="J37" s="11" t="str">
        <f t="shared" si="20"/>
        <v/>
      </c>
      <c r="K37" s="11" t="str">
        <f t="shared" si="20"/>
        <v/>
      </c>
      <c r="L37" s="11" t="str">
        <f t="shared" si="20"/>
        <v/>
      </c>
      <c r="M37" s="11" t="str">
        <f t="shared" si="20"/>
        <v/>
      </c>
      <c r="N37" s="11" t="str">
        <f t="shared" si="20"/>
        <v/>
      </c>
      <c r="O37" s="11" t="str">
        <f t="shared" si="20"/>
        <v/>
      </c>
      <c r="P37" s="11" t="str">
        <f t="shared" si="20"/>
        <v/>
      </c>
      <c r="Q37" s="11" t="str">
        <f t="shared" si="20"/>
        <v/>
      </c>
      <c r="R37" s="11" t="str">
        <f t="shared" si="20"/>
        <v/>
      </c>
      <c r="S37" s="11" t="str">
        <f t="shared" si="20"/>
        <v/>
      </c>
      <c r="T37" s="11" t="str">
        <f t="shared" si="20"/>
        <v/>
      </c>
      <c r="U37" s="11" t="str">
        <f t="shared" si="20"/>
        <v/>
      </c>
      <c r="V37" s="11" t="str">
        <f t="shared" si="20"/>
        <v/>
      </c>
      <c r="W37" s="11" t="str">
        <f t="shared" si="20"/>
        <v/>
      </c>
      <c r="X37" s="11" t="str">
        <f t="shared" ref="X37:AC43" si="21">IF(X14="","",(X14/$AE$23))</f>
        <v/>
      </c>
      <c r="Y37" s="11" t="str">
        <f t="shared" si="21"/>
        <v/>
      </c>
      <c r="Z37" s="11" t="str">
        <f t="shared" si="21"/>
        <v/>
      </c>
      <c r="AA37" s="11" t="str">
        <f t="shared" si="21"/>
        <v/>
      </c>
      <c r="AB37" s="11" t="str">
        <f t="shared" si="21"/>
        <v/>
      </c>
      <c r="AC37" s="11" t="str">
        <f t="shared" si="21"/>
        <v/>
      </c>
      <c r="AD37" s="6"/>
      <c r="AE37" s="11">
        <f t="shared" si="10"/>
        <v>1.2266022414707627</v>
      </c>
      <c r="AF37" s="11" t="str">
        <f t="shared" si="10"/>
        <v/>
      </c>
      <c r="AG37" s="11" t="str">
        <f t="shared" si="10"/>
        <v/>
      </c>
      <c r="AH37" s="11" t="str">
        <f t="shared" si="10"/>
        <v/>
      </c>
      <c r="AI37" s="11" t="str">
        <f t="shared" si="10"/>
        <v/>
      </c>
      <c r="AJ37" s="11" t="str">
        <f t="shared" si="10"/>
        <v/>
      </c>
      <c r="AK37" s="11" t="str">
        <f t="shared" si="10"/>
        <v/>
      </c>
      <c r="AL37" s="11" t="str">
        <f t="shared" si="10"/>
        <v/>
      </c>
      <c r="AM37" s="11" t="str">
        <f t="shared" si="10"/>
        <v/>
      </c>
      <c r="AN37" s="11" t="str">
        <f t="shared" si="10"/>
        <v/>
      </c>
      <c r="AO37" s="11" t="str">
        <f t="shared" si="10"/>
        <v/>
      </c>
      <c r="AP37" s="11" t="str">
        <f t="shared" si="10"/>
        <v/>
      </c>
      <c r="AQ37" s="11" t="str">
        <f t="shared" si="10"/>
        <v/>
      </c>
      <c r="AR37" s="11" t="str">
        <f t="shared" si="10"/>
        <v/>
      </c>
      <c r="AS37" s="11" t="str">
        <f t="shared" si="10"/>
        <v/>
      </c>
      <c r="AT37" s="11" t="str">
        <f t="shared" si="10"/>
        <v/>
      </c>
      <c r="AU37" s="11" t="str">
        <f t="shared" si="10"/>
        <v/>
      </c>
      <c r="AV37" s="11" t="str">
        <f t="shared" si="10"/>
        <v/>
      </c>
      <c r="AW37" s="11" t="str">
        <f t="shared" si="10"/>
        <v/>
      </c>
      <c r="AX37" s="11" t="str">
        <f t="shared" si="10"/>
        <v/>
      </c>
      <c r="AY37" s="11" t="str">
        <f t="shared" si="10"/>
        <v/>
      </c>
      <c r="AZ37" s="11" t="str">
        <f t="shared" si="10"/>
        <v/>
      </c>
      <c r="BA37" s="11" t="str">
        <f t="shared" si="10"/>
        <v/>
      </c>
    </row>
    <row r="38" spans="1:53" x14ac:dyDescent="0.35">
      <c r="A38" s="235"/>
      <c r="B38" s="11" t="str">
        <f t="shared" ref="B38:W38" si="22">IF(B15="","",(B15/$AE$23))</f>
        <v/>
      </c>
      <c r="C38" s="11" t="str">
        <f t="shared" si="22"/>
        <v/>
      </c>
      <c r="D38" s="11" t="str">
        <f t="shared" si="22"/>
        <v/>
      </c>
      <c r="E38" s="11" t="str">
        <f t="shared" si="22"/>
        <v/>
      </c>
      <c r="F38" s="11" t="str">
        <f t="shared" si="22"/>
        <v/>
      </c>
      <c r="G38" s="11" t="str">
        <f t="shared" si="22"/>
        <v/>
      </c>
      <c r="H38" s="11" t="str">
        <f t="shared" si="22"/>
        <v/>
      </c>
      <c r="I38" s="11" t="str">
        <f t="shared" si="22"/>
        <v/>
      </c>
      <c r="J38" s="11" t="str">
        <f t="shared" si="22"/>
        <v/>
      </c>
      <c r="K38" s="11" t="str">
        <f t="shared" si="22"/>
        <v/>
      </c>
      <c r="L38" s="11" t="str">
        <f t="shared" si="22"/>
        <v/>
      </c>
      <c r="M38" s="11" t="str">
        <f t="shared" si="22"/>
        <v/>
      </c>
      <c r="N38" s="11" t="str">
        <f t="shared" si="22"/>
        <v/>
      </c>
      <c r="O38" s="11" t="str">
        <f t="shared" si="22"/>
        <v/>
      </c>
      <c r="P38" s="11" t="str">
        <f t="shared" si="22"/>
        <v/>
      </c>
      <c r="Q38" s="11" t="str">
        <f t="shared" si="22"/>
        <v/>
      </c>
      <c r="R38" s="11" t="str">
        <f t="shared" si="22"/>
        <v/>
      </c>
      <c r="S38" s="11" t="str">
        <f t="shared" si="22"/>
        <v/>
      </c>
      <c r="T38" s="11" t="str">
        <f t="shared" si="22"/>
        <v/>
      </c>
      <c r="U38" s="11" t="str">
        <f t="shared" si="22"/>
        <v/>
      </c>
      <c r="V38" s="11" t="str">
        <f t="shared" si="22"/>
        <v/>
      </c>
      <c r="W38" s="11" t="str">
        <f t="shared" si="22"/>
        <v/>
      </c>
      <c r="X38" s="11" t="str">
        <f t="shared" si="21"/>
        <v/>
      </c>
      <c r="Y38" s="11" t="str">
        <f t="shared" si="21"/>
        <v/>
      </c>
      <c r="Z38" s="11" t="str">
        <f t="shared" si="21"/>
        <v/>
      </c>
      <c r="AA38" s="11" t="str">
        <f t="shared" si="21"/>
        <v/>
      </c>
      <c r="AB38" s="11" t="str">
        <f t="shared" si="21"/>
        <v/>
      </c>
      <c r="AC38" s="11" t="str">
        <f t="shared" si="21"/>
        <v/>
      </c>
      <c r="AD38" s="6"/>
      <c r="AE38" s="11">
        <f t="shared" si="10"/>
        <v>1.1811808532210684</v>
      </c>
      <c r="AF38" s="11" t="str">
        <f t="shared" si="10"/>
        <v/>
      </c>
      <c r="AG38" s="11" t="str">
        <f t="shared" si="10"/>
        <v/>
      </c>
      <c r="AH38" s="11" t="str">
        <f t="shared" si="10"/>
        <v/>
      </c>
      <c r="AI38" s="11" t="str">
        <f t="shared" si="10"/>
        <v/>
      </c>
      <c r="AJ38" s="11" t="str">
        <f t="shared" si="10"/>
        <v/>
      </c>
      <c r="AK38" s="11" t="str">
        <f t="shared" si="10"/>
        <v/>
      </c>
      <c r="AL38" s="11" t="str">
        <f t="shared" si="10"/>
        <v/>
      </c>
      <c r="AM38" s="11" t="str">
        <f t="shared" si="10"/>
        <v/>
      </c>
      <c r="AN38" s="11" t="str">
        <f t="shared" si="10"/>
        <v/>
      </c>
      <c r="AO38" s="11" t="str">
        <f t="shared" si="10"/>
        <v/>
      </c>
      <c r="AP38" s="11" t="str">
        <f t="shared" si="10"/>
        <v/>
      </c>
      <c r="AQ38" s="11" t="str">
        <f t="shared" si="10"/>
        <v/>
      </c>
      <c r="AR38" s="11" t="str">
        <f t="shared" si="10"/>
        <v/>
      </c>
      <c r="AS38" s="11" t="str">
        <f t="shared" si="10"/>
        <v/>
      </c>
      <c r="AT38" s="11" t="str">
        <f t="shared" si="10"/>
        <v/>
      </c>
      <c r="AU38" s="11" t="str">
        <f t="shared" si="10"/>
        <v/>
      </c>
      <c r="AV38" s="11" t="str">
        <f t="shared" si="10"/>
        <v/>
      </c>
      <c r="AW38" s="11" t="str">
        <f t="shared" si="10"/>
        <v/>
      </c>
      <c r="AX38" s="11" t="str">
        <f t="shared" si="10"/>
        <v/>
      </c>
      <c r="AY38" s="11" t="str">
        <f t="shared" si="10"/>
        <v/>
      </c>
      <c r="AZ38" s="11" t="str">
        <f t="shared" si="10"/>
        <v/>
      </c>
      <c r="BA38" s="11" t="str">
        <f t="shared" si="10"/>
        <v/>
      </c>
    </row>
    <row r="39" spans="1:53" x14ac:dyDescent="0.35">
      <c r="A39" s="235"/>
      <c r="B39" s="11" t="str">
        <f t="shared" ref="B39:W39" si="23">IF(B16="","",(B16/$AE$23))</f>
        <v/>
      </c>
      <c r="C39" s="11" t="str">
        <f t="shared" si="23"/>
        <v/>
      </c>
      <c r="D39" s="11" t="str">
        <f t="shared" si="23"/>
        <v/>
      </c>
      <c r="E39" s="11" t="str">
        <f t="shared" si="23"/>
        <v/>
      </c>
      <c r="F39" s="11" t="str">
        <f t="shared" si="23"/>
        <v/>
      </c>
      <c r="G39" s="11" t="str">
        <f t="shared" si="23"/>
        <v/>
      </c>
      <c r="H39" s="11" t="str">
        <f t="shared" si="23"/>
        <v/>
      </c>
      <c r="I39" s="11" t="str">
        <f t="shared" si="23"/>
        <v/>
      </c>
      <c r="J39" s="11" t="str">
        <f t="shared" si="23"/>
        <v/>
      </c>
      <c r="K39" s="11" t="str">
        <f t="shared" si="23"/>
        <v/>
      </c>
      <c r="L39" s="11" t="str">
        <f t="shared" si="23"/>
        <v/>
      </c>
      <c r="M39" s="11" t="str">
        <f t="shared" si="23"/>
        <v/>
      </c>
      <c r="N39" s="11" t="str">
        <f t="shared" si="23"/>
        <v/>
      </c>
      <c r="O39" s="11" t="str">
        <f t="shared" si="23"/>
        <v/>
      </c>
      <c r="P39" s="11" t="str">
        <f t="shared" si="23"/>
        <v/>
      </c>
      <c r="Q39" s="11" t="str">
        <f t="shared" si="23"/>
        <v/>
      </c>
      <c r="R39" s="11" t="str">
        <f t="shared" si="23"/>
        <v/>
      </c>
      <c r="S39" s="11" t="str">
        <f t="shared" si="23"/>
        <v/>
      </c>
      <c r="T39" s="11" t="str">
        <f t="shared" si="23"/>
        <v/>
      </c>
      <c r="U39" s="11" t="str">
        <f t="shared" si="23"/>
        <v/>
      </c>
      <c r="V39" s="11" t="str">
        <f t="shared" si="23"/>
        <v/>
      </c>
      <c r="W39" s="11" t="str">
        <f t="shared" si="23"/>
        <v/>
      </c>
      <c r="X39" s="11" t="str">
        <f t="shared" si="21"/>
        <v/>
      </c>
      <c r="Y39" s="11" t="str">
        <f t="shared" si="21"/>
        <v/>
      </c>
      <c r="Z39" s="11" t="str">
        <f t="shared" si="21"/>
        <v/>
      </c>
      <c r="AA39" s="11" t="str">
        <f t="shared" si="21"/>
        <v/>
      </c>
      <c r="AB39" s="11" t="str">
        <f t="shared" si="21"/>
        <v/>
      </c>
      <c r="AC39" s="11" t="str">
        <f t="shared" si="21"/>
        <v/>
      </c>
      <c r="AD39" s="6"/>
      <c r="AE39" s="11">
        <f t="shared" si="10"/>
        <v>2.2573593971608461</v>
      </c>
      <c r="AF39" s="11" t="str">
        <f t="shared" si="10"/>
        <v/>
      </c>
      <c r="AG39" s="11" t="str">
        <f t="shared" ref="AG39:BA39" si="24">IF(AG16="","",(AG16/$AE$23))</f>
        <v/>
      </c>
      <c r="AH39" s="11" t="str">
        <f t="shared" si="24"/>
        <v/>
      </c>
      <c r="AI39" s="11" t="str">
        <f t="shared" si="24"/>
        <v/>
      </c>
      <c r="AJ39" s="11" t="str">
        <f t="shared" si="24"/>
        <v/>
      </c>
      <c r="AK39" s="11" t="str">
        <f t="shared" si="24"/>
        <v/>
      </c>
      <c r="AL39" s="11" t="str">
        <f t="shared" si="24"/>
        <v/>
      </c>
      <c r="AM39" s="11" t="str">
        <f t="shared" si="24"/>
        <v/>
      </c>
      <c r="AN39" s="11" t="str">
        <f t="shared" si="24"/>
        <v/>
      </c>
      <c r="AO39" s="11" t="str">
        <f t="shared" si="24"/>
        <v/>
      </c>
      <c r="AP39" s="11" t="str">
        <f t="shared" si="24"/>
        <v/>
      </c>
      <c r="AQ39" s="11" t="str">
        <f t="shared" si="24"/>
        <v/>
      </c>
      <c r="AR39" s="11" t="str">
        <f t="shared" si="24"/>
        <v/>
      </c>
      <c r="AS39" s="11" t="str">
        <f t="shared" si="24"/>
        <v/>
      </c>
      <c r="AT39" s="11" t="str">
        <f t="shared" si="24"/>
        <v/>
      </c>
      <c r="AU39" s="11" t="str">
        <f t="shared" si="24"/>
        <v/>
      </c>
      <c r="AV39" s="11" t="str">
        <f t="shared" si="24"/>
        <v/>
      </c>
      <c r="AW39" s="11" t="str">
        <f t="shared" si="24"/>
        <v/>
      </c>
      <c r="AX39" s="11" t="str">
        <f t="shared" si="24"/>
        <v/>
      </c>
      <c r="AY39" s="11" t="str">
        <f t="shared" si="24"/>
        <v/>
      </c>
      <c r="AZ39" s="11" t="str">
        <f t="shared" si="24"/>
        <v/>
      </c>
      <c r="BA39" s="11" t="str">
        <f t="shared" si="24"/>
        <v/>
      </c>
    </row>
    <row r="40" spans="1:53" x14ac:dyDescent="0.35">
      <c r="A40" s="235"/>
      <c r="B40" s="11" t="str">
        <f t="shared" ref="B40:W40" si="25">IF(B17="","",(B17/$AE$23))</f>
        <v/>
      </c>
      <c r="C40" s="11" t="str">
        <f t="shared" si="25"/>
        <v/>
      </c>
      <c r="D40" s="11" t="str">
        <f t="shared" si="25"/>
        <v/>
      </c>
      <c r="E40" s="11" t="str">
        <f t="shared" si="25"/>
        <v/>
      </c>
      <c r="F40" s="11" t="str">
        <f t="shared" si="25"/>
        <v/>
      </c>
      <c r="G40" s="11" t="str">
        <f t="shared" si="25"/>
        <v/>
      </c>
      <c r="H40" s="11" t="str">
        <f t="shared" si="25"/>
        <v/>
      </c>
      <c r="I40" s="11" t="str">
        <f t="shared" si="25"/>
        <v/>
      </c>
      <c r="J40" s="11" t="str">
        <f t="shared" si="25"/>
        <v/>
      </c>
      <c r="K40" s="11" t="str">
        <f t="shared" si="25"/>
        <v/>
      </c>
      <c r="L40" s="11" t="str">
        <f t="shared" si="25"/>
        <v/>
      </c>
      <c r="M40" s="11" t="str">
        <f t="shared" si="25"/>
        <v/>
      </c>
      <c r="N40" s="11" t="str">
        <f t="shared" si="25"/>
        <v/>
      </c>
      <c r="O40" s="11" t="str">
        <f t="shared" si="25"/>
        <v/>
      </c>
      <c r="P40" s="11" t="str">
        <f t="shared" si="25"/>
        <v/>
      </c>
      <c r="Q40" s="11" t="str">
        <f t="shared" si="25"/>
        <v/>
      </c>
      <c r="R40" s="11" t="str">
        <f t="shared" si="25"/>
        <v/>
      </c>
      <c r="S40" s="11" t="str">
        <f t="shared" si="25"/>
        <v/>
      </c>
      <c r="T40" s="11" t="str">
        <f t="shared" si="25"/>
        <v/>
      </c>
      <c r="U40" s="11" t="str">
        <f t="shared" si="25"/>
        <v/>
      </c>
      <c r="V40" s="11" t="str">
        <f t="shared" si="25"/>
        <v/>
      </c>
      <c r="W40" s="11" t="str">
        <f t="shared" si="25"/>
        <v/>
      </c>
      <c r="X40" s="11" t="str">
        <f t="shared" si="21"/>
        <v/>
      </c>
      <c r="Y40" s="11" t="str">
        <f t="shared" si="21"/>
        <v/>
      </c>
      <c r="Z40" s="11" t="str">
        <f t="shared" si="21"/>
        <v/>
      </c>
      <c r="AA40" s="11" t="str">
        <f t="shared" si="21"/>
        <v/>
      </c>
      <c r="AB40" s="11" t="str">
        <f t="shared" si="21"/>
        <v/>
      </c>
      <c r="AC40" s="11" t="str">
        <f t="shared" si="21"/>
        <v/>
      </c>
      <c r="AD40" s="6"/>
      <c r="AE40" s="11">
        <f t="shared" ref="AE40:BA43" si="26">IF(AE17="","",(AE17/$AE$23))</f>
        <v>1.1483443509208171</v>
      </c>
      <c r="AF40" s="11" t="str">
        <f t="shared" si="26"/>
        <v/>
      </c>
      <c r="AG40" s="11" t="str">
        <f t="shared" si="26"/>
        <v/>
      </c>
      <c r="AH40" s="11" t="str">
        <f t="shared" si="26"/>
        <v/>
      </c>
      <c r="AI40" s="11" t="str">
        <f t="shared" si="26"/>
        <v/>
      </c>
      <c r="AJ40" s="11" t="str">
        <f t="shared" si="26"/>
        <v/>
      </c>
      <c r="AK40" s="11" t="str">
        <f t="shared" si="26"/>
        <v/>
      </c>
      <c r="AL40" s="11" t="str">
        <f t="shared" si="26"/>
        <v/>
      </c>
      <c r="AM40" s="11" t="str">
        <f t="shared" si="26"/>
        <v/>
      </c>
      <c r="AN40" s="11" t="str">
        <f t="shared" si="26"/>
        <v/>
      </c>
      <c r="AO40" s="11" t="str">
        <f t="shared" si="26"/>
        <v/>
      </c>
      <c r="AP40" s="11" t="str">
        <f t="shared" si="26"/>
        <v/>
      </c>
      <c r="AQ40" s="11" t="str">
        <f t="shared" si="26"/>
        <v/>
      </c>
      <c r="AR40" s="11" t="str">
        <f t="shared" si="26"/>
        <v/>
      </c>
      <c r="AS40" s="11" t="str">
        <f t="shared" si="26"/>
        <v/>
      </c>
      <c r="AT40" s="11" t="str">
        <f t="shared" si="26"/>
        <v/>
      </c>
      <c r="AU40" s="11" t="str">
        <f t="shared" si="26"/>
        <v/>
      </c>
      <c r="AV40" s="11" t="str">
        <f t="shared" si="26"/>
        <v/>
      </c>
      <c r="AW40" s="11" t="str">
        <f t="shared" si="26"/>
        <v/>
      </c>
      <c r="AX40" s="11" t="str">
        <f t="shared" si="26"/>
        <v/>
      </c>
      <c r="AY40" s="11" t="str">
        <f t="shared" si="26"/>
        <v/>
      </c>
      <c r="AZ40" s="11" t="str">
        <f t="shared" si="26"/>
        <v/>
      </c>
      <c r="BA40" s="11" t="str">
        <f t="shared" si="26"/>
        <v/>
      </c>
    </row>
    <row r="41" spans="1:53" x14ac:dyDescent="0.35">
      <c r="A41" s="235"/>
      <c r="B41" s="11" t="str">
        <f t="shared" ref="B41:W41" si="27">IF(B18="","",(B18/$AE$23))</f>
        <v/>
      </c>
      <c r="C41" s="11" t="str">
        <f t="shared" si="27"/>
        <v/>
      </c>
      <c r="D41" s="11" t="str">
        <f t="shared" si="27"/>
        <v/>
      </c>
      <c r="E41" s="11" t="str">
        <f t="shared" si="27"/>
        <v/>
      </c>
      <c r="F41" s="11" t="str">
        <f t="shared" si="27"/>
        <v/>
      </c>
      <c r="G41" s="11" t="str">
        <f t="shared" si="27"/>
        <v/>
      </c>
      <c r="H41" s="11" t="str">
        <f t="shared" si="27"/>
        <v/>
      </c>
      <c r="I41" s="11" t="str">
        <f t="shared" si="27"/>
        <v/>
      </c>
      <c r="J41" s="11" t="str">
        <f t="shared" si="27"/>
        <v/>
      </c>
      <c r="K41" s="11" t="str">
        <f t="shared" si="27"/>
        <v/>
      </c>
      <c r="L41" s="11" t="str">
        <f t="shared" si="27"/>
        <v/>
      </c>
      <c r="M41" s="11" t="str">
        <f t="shared" si="27"/>
        <v/>
      </c>
      <c r="N41" s="11" t="str">
        <f t="shared" si="27"/>
        <v/>
      </c>
      <c r="O41" s="11" t="str">
        <f t="shared" si="27"/>
        <v/>
      </c>
      <c r="P41" s="11" t="str">
        <f t="shared" si="27"/>
        <v/>
      </c>
      <c r="Q41" s="11" t="str">
        <f t="shared" si="27"/>
        <v/>
      </c>
      <c r="R41" s="11" t="str">
        <f t="shared" si="27"/>
        <v/>
      </c>
      <c r="S41" s="11" t="str">
        <f t="shared" si="27"/>
        <v/>
      </c>
      <c r="T41" s="11" t="str">
        <f t="shared" si="27"/>
        <v/>
      </c>
      <c r="U41" s="11" t="str">
        <f t="shared" si="27"/>
        <v/>
      </c>
      <c r="V41" s="11" t="str">
        <f t="shared" si="27"/>
        <v/>
      </c>
      <c r="W41" s="11" t="str">
        <f t="shared" si="27"/>
        <v/>
      </c>
      <c r="X41" s="11" t="str">
        <f t="shared" si="21"/>
        <v/>
      </c>
      <c r="Y41" s="11" t="str">
        <f t="shared" si="21"/>
        <v/>
      </c>
      <c r="Z41" s="11" t="str">
        <f t="shared" si="21"/>
        <v/>
      </c>
      <c r="AA41" s="11" t="str">
        <f t="shared" si="21"/>
        <v/>
      </c>
      <c r="AB41" s="11" t="str">
        <f t="shared" si="21"/>
        <v/>
      </c>
      <c r="AC41" s="11" t="str">
        <f t="shared" si="21"/>
        <v/>
      </c>
      <c r="AD41" s="6"/>
      <c r="AE41" s="11">
        <f t="shared" si="26"/>
        <v>1.0368570755379727</v>
      </c>
      <c r="AF41" s="11" t="str">
        <f t="shared" si="26"/>
        <v/>
      </c>
      <c r="AG41" s="11" t="str">
        <f t="shared" si="26"/>
        <v/>
      </c>
      <c r="AH41" s="11" t="str">
        <f t="shared" si="26"/>
        <v/>
      </c>
      <c r="AI41" s="11" t="str">
        <f t="shared" si="26"/>
        <v/>
      </c>
      <c r="AJ41" s="11" t="str">
        <f t="shared" si="26"/>
        <v/>
      </c>
      <c r="AK41" s="11" t="str">
        <f t="shared" si="26"/>
        <v/>
      </c>
      <c r="AL41" s="11" t="str">
        <f t="shared" si="26"/>
        <v/>
      </c>
      <c r="AM41" s="11" t="str">
        <f t="shared" si="26"/>
        <v/>
      </c>
      <c r="AN41" s="11" t="str">
        <f t="shared" si="26"/>
        <v/>
      </c>
      <c r="AO41" s="11" t="str">
        <f t="shared" si="26"/>
        <v/>
      </c>
      <c r="AP41" s="11" t="str">
        <f t="shared" si="26"/>
        <v/>
      </c>
      <c r="AQ41" s="11" t="str">
        <f t="shared" si="26"/>
        <v/>
      </c>
      <c r="AR41" s="11" t="str">
        <f t="shared" si="26"/>
        <v/>
      </c>
      <c r="AS41" s="11" t="str">
        <f t="shared" si="26"/>
        <v/>
      </c>
      <c r="AT41" s="11" t="str">
        <f t="shared" si="26"/>
        <v/>
      </c>
      <c r="AU41" s="11" t="str">
        <f t="shared" si="26"/>
        <v/>
      </c>
      <c r="AV41" s="11" t="str">
        <f t="shared" si="26"/>
        <v/>
      </c>
      <c r="AW41" s="11" t="str">
        <f t="shared" si="26"/>
        <v/>
      </c>
      <c r="AX41" s="11" t="str">
        <f t="shared" si="26"/>
        <v/>
      </c>
      <c r="AY41" s="11" t="str">
        <f t="shared" si="26"/>
        <v/>
      </c>
      <c r="AZ41" s="11" t="str">
        <f t="shared" si="26"/>
        <v/>
      </c>
      <c r="BA41" s="11" t="str">
        <f t="shared" si="26"/>
        <v/>
      </c>
    </row>
    <row r="42" spans="1:53" x14ac:dyDescent="0.35">
      <c r="A42" s="235"/>
      <c r="B42" s="11" t="str">
        <f t="shared" ref="B42:W42" si="28">IF(B19="","",(B19/$AE$23))</f>
        <v/>
      </c>
      <c r="C42" s="11" t="str">
        <f t="shared" si="28"/>
        <v/>
      </c>
      <c r="D42" s="11" t="str">
        <f t="shared" si="28"/>
        <v/>
      </c>
      <c r="E42" s="11" t="str">
        <f t="shared" si="28"/>
        <v/>
      </c>
      <c r="F42" s="11" t="str">
        <f t="shared" si="28"/>
        <v/>
      </c>
      <c r="G42" s="11" t="str">
        <f t="shared" si="28"/>
        <v/>
      </c>
      <c r="H42" s="11" t="str">
        <f t="shared" si="28"/>
        <v/>
      </c>
      <c r="I42" s="11" t="str">
        <f t="shared" si="28"/>
        <v/>
      </c>
      <c r="J42" s="11" t="str">
        <f t="shared" si="28"/>
        <v/>
      </c>
      <c r="K42" s="11" t="str">
        <f t="shared" si="28"/>
        <v/>
      </c>
      <c r="L42" s="11" t="str">
        <f t="shared" si="28"/>
        <v/>
      </c>
      <c r="M42" s="11" t="str">
        <f t="shared" si="28"/>
        <v/>
      </c>
      <c r="N42" s="11" t="str">
        <f t="shared" si="28"/>
        <v/>
      </c>
      <c r="O42" s="11" t="str">
        <f t="shared" si="28"/>
        <v/>
      </c>
      <c r="P42" s="11" t="str">
        <f t="shared" si="28"/>
        <v/>
      </c>
      <c r="Q42" s="11" t="str">
        <f t="shared" si="28"/>
        <v/>
      </c>
      <c r="R42" s="11" t="str">
        <f t="shared" si="28"/>
        <v/>
      </c>
      <c r="S42" s="11" t="str">
        <f t="shared" si="28"/>
        <v/>
      </c>
      <c r="T42" s="11" t="str">
        <f t="shared" si="28"/>
        <v/>
      </c>
      <c r="U42" s="11" t="str">
        <f t="shared" si="28"/>
        <v/>
      </c>
      <c r="V42" s="11" t="str">
        <f t="shared" si="28"/>
        <v/>
      </c>
      <c r="W42" s="11" t="str">
        <f t="shared" si="28"/>
        <v/>
      </c>
      <c r="X42" s="11" t="str">
        <f t="shared" si="21"/>
        <v/>
      </c>
      <c r="Y42" s="11" t="str">
        <f t="shared" si="21"/>
        <v/>
      </c>
      <c r="Z42" s="11" t="str">
        <f t="shared" si="21"/>
        <v/>
      </c>
      <c r="AA42" s="11" t="str">
        <f t="shared" si="21"/>
        <v/>
      </c>
      <c r="AB42" s="11" t="str">
        <f t="shared" si="21"/>
        <v/>
      </c>
      <c r="AC42" s="11" t="str">
        <f t="shared" si="21"/>
        <v/>
      </c>
      <c r="AD42" s="6"/>
      <c r="AE42" s="11">
        <f t="shared" si="26"/>
        <v>0.90605479724003801</v>
      </c>
      <c r="AF42" s="11" t="str">
        <f t="shared" si="26"/>
        <v/>
      </c>
      <c r="AG42" s="11" t="str">
        <f t="shared" si="26"/>
        <v/>
      </c>
      <c r="AH42" s="11" t="str">
        <f t="shared" si="26"/>
        <v/>
      </c>
      <c r="AI42" s="11" t="str">
        <f t="shared" si="26"/>
        <v/>
      </c>
      <c r="AJ42" s="11" t="str">
        <f t="shared" si="26"/>
        <v/>
      </c>
      <c r="AK42" s="11" t="str">
        <f t="shared" si="26"/>
        <v/>
      </c>
      <c r="AL42" s="11" t="str">
        <f t="shared" si="26"/>
        <v/>
      </c>
      <c r="AM42" s="11" t="str">
        <f t="shared" si="26"/>
        <v/>
      </c>
      <c r="AN42" s="11" t="str">
        <f t="shared" si="26"/>
        <v/>
      </c>
      <c r="AO42" s="11" t="str">
        <f t="shared" si="26"/>
        <v/>
      </c>
      <c r="AP42" s="11" t="str">
        <f t="shared" si="26"/>
        <v/>
      </c>
      <c r="AQ42" s="11" t="str">
        <f t="shared" si="26"/>
        <v/>
      </c>
      <c r="AR42" s="11" t="str">
        <f t="shared" si="26"/>
        <v/>
      </c>
      <c r="AS42" s="11" t="str">
        <f t="shared" si="26"/>
        <v/>
      </c>
      <c r="AT42" s="11" t="str">
        <f t="shared" si="26"/>
        <v/>
      </c>
      <c r="AU42" s="11" t="str">
        <f t="shared" si="26"/>
        <v/>
      </c>
      <c r="AV42" s="11" t="str">
        <f t="shared" si="26"/>
        <v/>
      </c>
      <c r="AW42" s="11" t="str">
        <f t="shared" si="26"/>
        <v/>
      </c>
      <c r="AX42" s="11" t="str">
        <f t="shared" si="26"/>
        <v/>
      </c>
      <c r="AY42" s="11" t="str">
        <f t="shared" si="26"/>
        <v/>
      </c>
      <c r="AZ42" s="11" t="str">
        <f t="shared" si="26"/>
        <v/>
      </c>
      <c r="BA42" s="11" t="str">
        <f t="shared" si="26"/>
        <v/>
      </c>
    </row>
    <row r="43" spans="1:53" x14ac:dyDescent="0.35">
      <c r="A43" s="235"/>
      <c r="B43" s="11" t="str">
        <f t="shared" ref="B43:W43" si="29">IF(B20="","",(B20/$AE$23))</f>
        <v/>
      </c>
      <c r="C43" s="11" t="str">
        <f t="shared" si="29"/>
        <v/>
      </c>
      <c r="D43" s="11" t="str">
        <f t="shared" si="29"/>
        <v/>
      </c>
      <c r="E43" s="11" t="str">
        <f t="shared" si="29"/>
        <v/>
      </c>
      <c r="F43" s="11" t="str">
        <f t="shared" si="29"/>
        <v/>
      </c>
      <c r="G43" s="11" t="str">
        <f t="shared" si="29"/>
        <v/>
      </c>
      <c r="H43" s="11" t="str">
        <f t="shared" si="29"/>
        <v/>
      </c>
      <c r="I43" s="11" t="str">
        <f t="shared" si="29"/>
        <v/>
      </c>
      <c r="J43" s="11" t="str">
        <f t="shared" si="29"/>
        <v/>
      </c>
      <c r="K43" s="11" t="str">
        <f t="shared" si="29"/>
        <v/>
      </c>
      <c r="L43" s="11" t="str">
        <f t="shared" si="29"/>
        <v/>
      </c>
      <c r="M43" s="11" t="str">
        <f t="shared" si="29"/>
        <v/>
      </c>
      <c r="N43" s="11" t="str">
        <f t="shared" si="29"/>
        <v/>
      </c>
      <c r="O43" s="11" t="str">
        <f t="shared" si="29"/>
        <v/>
      </c>
      <c r="P43" s="11" t="str">
        <f t="shared" si="29"/>
        <v/>
      </c>
      <c r="Q43" s="11" t="str">
        <f t="shared" si="29"/>
        <v/>
      </c>
      <c r="R43" s="11" t="str">
        <f t="shared" si="29"/>
        <v/>
      </c>
      <c r="S43" s="11" t="str">
        <f t="shared" si="29"/>
        <v/>
      </c>
      <c r="T43" s="11" t="str">
        <f t="shared" si="29"/>
        <v/>
      </c>
      <c r="U43" s="11" t="str">
        <f t="shared" si="29"/>
        <v/>
      </c>
      <c r="V43" s="11" t="str">
        <f t="shared" si="29"/>
        <v/>
      </c>
      <c r="W43" s="11" t="str">
        <f t="shared" si="29"/>
        <v/>
      </c>
      <c r="X43" s="11" t="str">
        <f t="shared" si="21"/>
        <v/>
      </c>
      <c r="Y43" s="11" t="str">
        <f t="shared" si="21"/>
        <v/>
      </c>
      <c r="Z43" s="11" t="str">
        <f t="shared" si="21"/>
        <v/>
      </c>
      <c r="AA43" s="11" t="str">
        <f t="shared" si="21"/>
        <v/>
      </c>
      <c r="AB43" s="11" t="str">
        <f t="shared" si="21"/>
        <v/>
      </c>
      <c r="AC43" s="11" t="str">
        <f t="shared" si="21"/>
        <v/>
      </c>
      <c r="AD43" s="6"/>
      <c r="AE43" s="11">
        <f t="shared" si="26"/>
        <v>0.20845926872768411</v>
      </c>
      <c r="AF43" s="11" t="str">
        <f t="shared" si="26"/>
        <v/>
      </c>
      <c r="AG43" s="11" t="str">
        <f t="shared" si="26"/>
        <v/>
      </c>
      <c r="AH43" s="11" t="str">
        <f t="shared" si="26"/>
        <v/>
      </c>
      <c r="AI43" s="11" t="str">
        <f t="shared" si="26"/>
        <v/>
      </c>
      <c r="AJ43" s="11" t="str">
        <f t="shared" si="26"/>
        <v/>
      </c>
      <c r="AK43" s="11" t="str">
        <f t="shared" si="26"/>
        <v/>
      </c>
      <c r="AL43" s="11" t="str">
        <f t="shared" si="26"/>
        <v/>
      </c>
      <c r="AM43" s="11" t="str">
        <f t="shared" si="26"/>
        <v/>
      </c>
      <c r="AN43" s="11" t="str">
        <f t="shared" si="26"/>
        <v/>
      </c>
      <c r="AO43" s="11" t="str">
        <f t="shared" si="26"/>
        <v/>
      </c>
      <c r="AP43" s="11" t="str">
        <f t="shared" si="26"/>
        <v/>
      </c>
      <c r="AQ43" s="11" t="str">
        <f t="shared" si="26"/>
        <v/>
      </c>
      <c r="AR43" s="11" t="str">
        <f t="shared" si="26"/>
        <v/>
      </c>
      <c r="AS43" s="11" t="str">
        <f t="shared" si="26"/>
        <v/>
      </c>
      <c r="AT43" s="11" t="str">
        <f t="shared" si="26"/>
        <v/>
      </c>
      <c r="AU43" s="11" t="str">
        <f t="shared" si="26"/>
        <v/>
      </c>
      <c r="AV43" s="11" t="str">
        <f t="shared" si="26"/>
        <v/>
      </c>
      <c r="AW43" s="11" t="str">
        <f t="shared" si="26"/>
        <v/>
      </c>
      <c r="AX43" s="11" t="str">
        <f t="shared" si="26"/>
        <v/>
      </c>
      <c r="AY43" s="11" t="str">
        <f t="shared" si="26"/>
        <v/>
      </c>
      <c r="AZ43" s="11" t="str">
        <f t="shared" si="26"/>
        <v/>
      </c>
      <c r="BA43" s="11" t="str">
        <f t="shared" si="26"/>
        <v/>
      </c>
    </row>
    <row r="44" spans="1:53" x14ac:dyDescent="0.35">
      <c r="A44" s="7"/>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7"/>
      <c r="AE44" s="3"/>
      <c r="AF44" s="3"/>
      <c r="AG44" s="3"/>
      <c r="AH44" s="3"/>
      <c r="AI44" s="3"/>
      <c r="AJ44" s="3"/>
      <c r="AK44" s="3"/>
      <c r="AL44" s="3"/>
      <c r="AM44" s="3"/>
      <c r="AN44" s="3"/>
      <c r="AO44" s="3"/>
      <c r="AP44" s="3"/>
      <c r="AQ44" s="3"/>
      <c r="AR44" s="3"/>
      <c r="AS44" s="3"/>
      <c r="AT44" s="3"/>
      <c r="AU44" s="3"/>
      <c r="AV44" s="3"/>
      <c r="AW44" s="3"/>
      <c r="AX44" s="3"/>
      <c r="AY44" s="3"/>
      <c r="AZ44" s="3"/>
      <c r="BA44" s="3"/>
    </row>
    <row r="45" spans="1:53" x14ac:dyDescent="0.35">
      <c r="A45" s="7" t="str">
        <f>A4</f>
        <v>Noms des groupes</v>
      </c>
      <c r="B45" s="7" t="str">
        <f t="shared" ref="B45:BA45" si="30">B4</f>
        <v>Témoin solvant</v>
      </c>
      <c r="C45" s="7" t="str">
        <f t="shared" si="30"/>
        <v>EE2-33,8ng/L</v>
      </c>
      <c r="D45" s="7" t="str">
        <f t="shared" si="30"/>
        <v>EE2-50,6ng/L</v>
      </c>
      <c r="E45" s="7" t="str">
        <f t="shared" si="30"/>
        <v>EE2-76ng/L</v>
      </c>
      <c r="F45" s="7" t="str">
        <f t="shared" si="30"/>
        <v>EE2-114ng/L</v>
      </c>
      <c r="G45" s="7" t="str">
        <f t="shared" si="30"/>
        <v>EE2-170,9ng/L</v>
      </c>
      <c r="H45" s="7" t="str">
        <f t="shared" si="30"/>
        <v>EE2-488ng/L</v>
      </c>
      <c r="I45" s="7" t="str">
        <f t="shared" si="30"/>
        <v>Testo-3.7µg/L</v>
      </c>
      <c r="J45" s="7" t="str">
        <f t="shared" si="30"/>
        <v>Testo-11µg/L</v>
      </c>
      <c r="K45" s="7" t="str">
        <f t="shared" si="30"/>
        <v>Testo-33µg/L</v>
      </c>
      <c r="L45" s="7" t="str">
        <f t="shared" si="30"/>
        <v>Testo-100µg/L</v>
      </c>
      <c r="M45" s="7" t="str">
        <f t="shared" si="30"/>
        <v>Testo-300µg/L</v>
      </c>
      <c r="N45" s="7" t="str">
        <f t="shared" si="30"/>
        <v xml:space="preserve"> </v>
      </c>
      <c r="O45" s="7" t="str">
        <f t="shared" si="30"/>
        <v xml:space="preserve"> </v>
      </c>
      <c r="P45" s="7" t="str">
        <f t="shared" si="30"/>
        <v xml:space="preserve"> </v>
      </c>
      <c r="Q45" s="7" t="str">
        <f t="shared" si="30"/>
        <v xml:space="preserve"> </v>
      </c>
      <c r="R45" s="7" t="str">
        <f t="shared" si="30"/>
        <v xml:space="preserve"> </v>
      </c>
      <c r="S45" s="7" t="str">
        <f t="shared" si="30"/>
        <v xml:space="preserve"> </v>
      </c>
      <c r="T45" s="7" t="str">
        <f t="shared" si="30"/>
        <v xml:space="preserve"> </v>
      </c>
      <c r="U45" s="7" t="str">
        <f t="shared" si="30"/>
        <v xml:space="preserve"> </v>
      </c>
      <c r="V45" s="7" t="str">
        <f t="shared" si="30"/>
        <v xml:space="preserve"> </v>
      </c>
      <c r="W45" s="7" t="str">
        <f t="shared" si="30"/>
        <v xml:space="preserve"> </v>
      </c>
      <c r="X45" s="7" t="str">
        <f t="shared" si="30"/>
        <v xml:space="preserve"> </v>
      </c>
      <c r="Y45" s="7" t="str">
        <f t="shared" si="30"/>
        <v xml:space="preserve"> </v>
      </c>
      <c r="Z45" s="7" t="str">
        <f t="shared" si="30"/>
        <v xml:space="preserve"> </v>
      </c>
      <c r="AA45" s="7" t="str">
        <f t="shared" si="30"/>
        <v xml:space="preserve"> </v>
      </c>
      <c r="AB45" s="7" t="str">
        <f t="shared" si="30"/>
        <v xml:space="preserve"> </v>
      </c>
      <c r="AC45" s="7" t="str">
        <f t="shared" si="30"/>
        <v xml:space="preserve"> </v>
      </c>
      <c r="AD45" s="7"/>
      <c r="AE45" s="7" t="str">
        <f t="shared" si="30"/>
        <v>Testo -30µg/L</v>
      </c>
      <c r="AF45" s="7" t="str">
        <f t="shared" si="30"/>
        <v>Testo 30µg/L + EE2 -64ng/L</v>
      </c>
      <c r="AG45" s="7" t="str">
        <f t="shared" si="30"/>
        <v>Testo 30µg/L + FAD-10mg/L</v>
      </c>
      <c r="AH45" s="7" t="str">
        <f t="shared" si="30"/>
        <v>Testo-3,7µg/L + Testostérone</v>
      </c>
      <c r="AI45" s="7" t="str">
        <f t="shared" si="30"/>
        <v>Testo-11µg/L + Testostérone</v>
      </c>
      <c r="AJ45" s="7" t="str">
        <f t="shared" si="30"/>
        <v>Testo-33µg/L + Testostérone</v>
      </c>
      <c r="AK45" s="7" t="str">
        <f t="shared" si="30"/>
        <v>Testo-100µg/L + Testostérone</v>
      </c>
      <c r="AL45" s="7" t="str">
        <f t="shared" si="30"/>
        <v>Testo-300µg/L + Testostérone</v>
      </c>
      <c r="AM45" s="7" t="str">
        <f t="shared" si="30"/>
        <v>0-00 + Testostérone</v>
      </c>
      <c r="AN45" s="7" t="str">
        <f t="shared" si="30"/>
        <v>0-00 + Testostérone</v>
      </c>
      <c r="AO45" s="7" t="str">
        <f t="shared" si="30"/>
        <v>0-00 + Testostérone</v>
      </c>
      <c r="AP45" s="7" t="str">
        <f t="shared" si="30"/>
        <v>0-00 + Testostérone</v>
      </c>
      <c r="AQ45" s="7" t="str">
        <f t="shared" si="30"/>
        <v>0-00 + Testostérone</v>
      </c>
      <c r="AR45" s="7" t="str">
        <f t="shared" si="30"/>
        <v>0-00 + Testostérone</v>
      </c>
      <c r="AS45" s="7" t="str">
        <f t="shared" si="30"/>
        <v>0-00 + Testostérone</v>
      </c>
      <c r="AT45" s="7" t="str">
        <f t="shared" si="30"/>
        <v>0-00 + Testostérone</v>
      </c>
      <c r="AU45" s="7" t="str">
        <f t="shared" si="30"/>
        <v>0-00 + Testostérone</v>
      </c>
      <c r="AV45" s="7" t="str">
        <f t="shared" si="30"/>
        <v>0-00 + Testostérone</v>
      </c>
      <c r="AW45" s="7" t="str">
        <f t="shared" si="30"/>
        <v>0-00 + Testostérone</v>
      </c>
      <c r="AX45" s="7" t="str">
        <f t="shared" si="30"/>
        <v>0-00 + Testostérone</v>
      </c>
      <c r="AY45" s="7" t="str">
        <f t="shared" si="30"/>
        <v>0-00 + Testostérone</v>
      </c>
      <c r="AZ45" s="7" t="str">
        <f t="shared" si="30"/>
        <v>0-00 + Testostérone</v>
      </c>
      <c r="BA45" s="7" t="str">
        <f t="shared" si="30"/>
        <v>0-00 + Testostérone</v>
      </c>
    </row>
    <row r="46" spans="1:53" x14ac:dyDescent="0.35">
      <c r="A46" s="8" t="s">
        <v>0</v>
      </c>
      <c r="B46" s="10">
        <f t="shared" ref="B46:H46" si="31">AVERAGE(B28:B43)</f>
        <v>7.5028694826113101E-2</v>
      </c>
      <c r="C46" s="10">
        <f t="shared" si="31"/>
        <v>0.17045229160096434</v>
      </c>
      <c r="D46" s="10">
        <f t="shared" si="31"/>
        <v>0.13354081291877376</v>
      </c>
      <c r="E46" s="10">
        <f t="shared" si="31"/>
        <v>0.43660921425636201</v>
      </c>
      <c r="F46" s="10">
        <f t="shared" si="31"/>
        <v>1.2034605297396945</v>
      </c>
      <c r="G46" s="10">
        <f t="shared" si="31"/>
        <v>1.7861013629921652</v>
      </c>
      <c r="H46" s="10">
        <f t="shared" si="31"/>
        <v>2.0321641136260289</v>
      </c>
      <c r="I46" s="10">
        <f>AVERAGE(I28:I43)</f>
        <v>9.353732109957355E-2</v>
      </c>
      <c r="J46" s="9">
        <f>AVERAGE(J28:J43)</f>
        <v>0.22515455014958363</v>
      </c>
      <c r="K46" s="9">
        <f t="shared" ref="K46:AC46" si="32">AVERAGE(K28:K43)</f>
        <v>0.70170777174377497</v>
      </c>
      <c r="L46" s="9">
        <f t="shared" si="32"/>
        <v>1.6221303864991379</v>
      </c>
      <c r="M46" s="9">
        <f t="shared" si="32"/>
        <v>1.6625807243176183</v>
      </c>
      <c r="N46" s="9" t="e">
        <f t="shared" si="32"/>
        <v>#DIV/0!</v>
      </c>
      <c r="O46" s="9" t="e">
        <f t="shared" si="32"/>
        <v>#DIV/0!</v>
      </c>
      <c r="P46" s="9" t="e">
        <f t="shared" si="32"/>
        <v>#DIV/0!</v>
      </c>
      <c r="Q46" s="9" t="e">
        <f t="shared" si="32"/>
        <v>#DIV/0!</v>
      </c>
      <c r="R46" s="9" t="e">
        <f t="shared" si="32"/>
        <v>#DIV/0!</v>
      </c>
      <c r="S46" s="9" t="e">
        <f t="shared" si="32"/>
        <v>#DIV/0!</v>
      </c>
      <c r="T46" s="9" t="e">
        <f t="shared" si="32"/>
        <v>#DIV/0!</v>
      </c>
      <c r="U46" s="9" t="e">
        <f t="shared" si="32"/>
        <v>#DIV/0!</v>
      </c>
      <c r="V46" s="9" t="e">
        <f t="shared" si="32"/>
        <v>#DIV/0!</v>
      </c>
      <c r="W46" s="9" t="e">
        <f t="shared" si="32"/>
        <v>#DIV/0!</v>
      </c>
      <c r="X46" s="9" t="e">
        <f t="shared" si="32"/>
        <v>#DIV/0!</v>
      </c>
      <c r="Y46" s="9" t="e">
        <f t="shared" si="32"/>
        <v>#DIV/0!</v>
      </c>
      <c r="Z46" s="9" t="e">
        <f t="shared" si="32"/>
        <v>#DIV/0!</v>
      </c>
      <c r="AA46" s="9" t="e">
        <f t="shared" si="32"/>
        <v>#DIV/0!</v>
      </c>
      <c r="AB46" s="9" t="e">
        <f t="shared" si="32"/>
        <v>#DIV/0!</v>
      </c>
      <c r="AC46" s="9" t="e">
        <f t="shared" si="32"/>
        <v>#DIV/0!</v>
      </c>
      <c r="AD46" s="8" t="s">
        <v>0</v>
      </c>
      <c r="AE46" s="10">
        <f t="shared" ref="AE46:BA46" si="33">AVERAGE(AE28:AE43)</f>
        <v>1</v>
      </c>
      <c r="AF46" s="10">
        <f t="shared" si="33"/>
        <v>2.0800810164388492</v>
      </c>
      <c r="AG46" s="10">
        <f t="shared" si="33"/>
        <v>7.3942649847199518E-2</v>
      </c>
      <c r="AH46" s="10">
        <f t="shared" si="33"/>
        <v>0.52985588064456624</v>
      </c>
      <c r="AI46" s="10">
        <f t="shared" si="33"/>
        <v>0.74848630555983708</v>
      </c>
      <c r="AJ46" s="10">
        <f t="shared" si="33"/>
        <v>1.1424702361232815</v>
      </c>
      <c r="AK46" s="10">
        <f t="shared" si="33"/>
        <v>1.321709846020179</v>
      </c>
      <c r="AL46" s="10">
        <f t="shared" si="33"/>
        <v>1.5129728123695665</v>
      </c>
      <c r="AM46" s="10" t="e">
        <f t="shared" si="33"/>
        <v>#DIV/0!</v>
      </c>
      <c r="AN46" s="10" t="e">
        <f t="shared" si="33"/>
        <v>#DIV/0!</v>
      </c>
      <c r="AO46" s="10" t="e">
        <f t="shared" si="33"/>
        <v>#DIV/0!</v>
      </c>
      <c r="AP46" s="10" t="e">
        <f t="shared" si="33"/>
        <v>#DIV/0!</v>
      </c>
      <c r="AQ46" s="10" t="e">
        <f t="shared" si="33"/>
        <v>#DIV/0!</v>
      </c>
      <c r="AR46" s="10" t="e">
        <f t="shared" si="33"/>
        <v>#DIV/0!</v>
      </c>
      <c r="AS46" s="10" t="e">
        <f t="shared" si="33"/>
        <v>#DIV/0!</v>
      </c>
      <c r="AT46" s="10" t="e">
        <f t="shared" si="33"/>
        <v>#DIV/0!</v>
      </c>
      <c r="AU46" s="10" t="e">
        <f t="shared" si="33"/>
        <v>#DIV/0!</v>
      </c>
      <c r="AV46" s="10" t="e">
        <f t="shared" si="33"/>
        <v>#DIV/0!</v>
      </c>
      <c r="AW46" s="10" t="e">
        <f t="shared" si="33"/>
        <v>#DIV/0!</v>
      </c>
      <c r="AX46" s="10" t="e">
        <f t="shared" si="33"/>
        <v>#DIV/0!</v>
      </c>
      <c r="AY46" s="10" t="e">
        <f t="shared" si="33"/>
        <v>#DIV/0!</v>
      </c>
      <c r="AZ46" s="10" t="e">
        <f t="shared" si="33"/>
        <v>#DIV/0!</v>
      </c>
      <c r="BA46" s="10" t="e">
        <f t="shared" si="33"/>
        <v>#DIV/0!</v>
      </c>
    </row>
    <row r="47" spans="1:53" x14ac:dyDescent="0.35">
      <c r="A47" s="8" t="s">
        <v>1</v>
      </c>
      <c r="B47" s="8">
        <f t="shared" ref="B47:AC47" si="34">STDEV(B28:B43)</f>
        <v>5.8583071042911994E-2</v>
      </c>
      <c r="C47" s="8">
        <f t="shared" si="34"/>
        <v>0.12408441996706195</v>
      </c>
      <c r="D47" s="8">
        <f t="shared" si="34"/>
        <v>0.10916604974599925</v>
      </c>
      <c r="E47" s="8">
        <f t="shared" si="34"/>
        <v>0.32854249533744628</v>
      </c>
      <c r="F47" s="8">
        <f t="shared" si="34"/>
        <v>0.57971307940316608</v>
      </c>
      <c r="G47" s="8">
        <f t="shared" si="34"/>
        <v>0.68325541497282616</v>
      </c>
      <c r="H47" s="8">
        <f t="shared" si="34"/>
        <v>0.47289194798368178</v>
      </c>
      <c r="I47" s="8">
        <f t="shared" si="34"/>
        <v>6.7180199311149449E-2</v>
      </c>
      <c r="J47" s="8">
        <f t="shared" si="34"/>
        <v>0.17277473366316379</v>
      </c>
      <c r="K47" s="8">
        <f t="shared" si="34"/>
        <v>0.50844237450510954</v>
      </c>
      <c r="L47" s="8">
        <f t="shared" si="34"/>
        <v>0.42073040998897437</v>
      </c>
      <c r="M47" s="8">
        <f t="shared" si="34"/>
        <v>0.42225181912032517</v>
      </c>
      <c r="N47" s="8" t="e">
        <f t="shared" si="34"/>
        <v>#DIV/0!</v>
      </c>
      <c r="O47" s="8" t="e">
        <f t="shared" si="34"/>
        <v>#DIV/0!</v>
      </c>
      <c r="P47" s="8" t="e">
        <f t="shared" si="34"/>
        <v>#DIV/0!</v>
      </c>
      <c r="Q47" s="8" t="e">
        <f t="shared" si="34"/>
        <v>#DIV/0!</v>
      </c>
      <c r="R47" s="8" t="e">
        <f t="shared" si="34"/>
        <v>#DIV/0!</v>
      </c>
      <c r="S47" s="8" t="e">
        <f t="shared" si="34"/>
        <v>#DIV/0!</v>
      </c>
      <c r="T47" s="8" t="e">
        <f t="shared" si="34"/>
        <v>#DIV/0!</v>
      </c>
      <c r="U47" s="8" t="e">
        <f t="shared" si="34"/>
        <v>#DIV/0!</v>
      </c>
      <c r="V47" s="8" t="e">
        <f t="shared" si="34"/>
        <v>#DIV/0!</v>
      </c>
      <c r="W47" s="8" t="e">
        <f t="shared" si="34"/>
        <v>#DIV/0!</v>
      </c>
      <c r="X47" s="8" t="e">
        <f t="shared" si="34"/>
        <v>#DIV/0!</v>
      </c>
      <c r="Y47" s="8" t="e">
        <f t="shared" si="34"/>
        <v>#DIV/0!</v>
      </c>
      <c r="Z47" s="8" t="e">
        <f t="shared" si="34"/>
        <v>#DIV/0!</v>
      </c>
      <c r="AA47" s="8" t="e">
        <f t="shared" si="34"/>
        <v>#DIV/0!</v>
      </c>
      <c r="AB47" s="8" t="e">
        <f t="shared" si="34"/>
        <v>#DIV/0!</v>
      </c>
      <c r="AC47" s="8" t="e">
        <f t="shared" si="34"/>
        <v>#DIV/0!</v>
      </c>
      <c r="AD47" s="8" t="s">
        <v>1</v>
      </c>
      <c r="AE47" s="8">
        <f t="shared" ref="AE47:BA47" si="35">STDEV(AE28:AE43)</f>
        <v>0.57111275354036661</v>
      </c>
      <c r="AF47" s="8">
        <f t="shared" si="35"/>
        <v>0.39205894812132686</v>
      </c>
      <c r="AG47" s="8">
        <f t="shared" si="35"/>
        <v>4.5270646449153629E-2</v>
      </c>
      <c r="AH47" s="8">
        <f t="shared" si="35"/>
        <v>0.52073418574068198</v>
      </c>
      <c r="AI47" s="8">
        <f t="shared" si="35"/>
        <v>0.55960462316599924</v>
      </c>
      <c r="AJ47" s="8">
        <f t="shared" si="35"/>
        <v>0.75236196396324007</v>
      </c>
      <c r="AK47" s="8">
        <f t="shared" si="35"/>
        <v>0.47376815911928433</v>
      </c>
      <c r="AL47" s="8">
        <f t="shared" si="35"/>
        <v>0.57418641028673167</v>
      </c>
      <c r="AM47" s="8" t="e">
        <f t="shared" si="35"/>
        <v>#DIV/0!</v>
      </c>
      <c r="AN47" s="8" t="e">
        <f t="shared" si="35"/>
        <v>#DIV/0!</v>
      </c>
      <c r="AO47" s="8" t="e">
        <f t="shared" si="35"/>
        <v>#DIV/0!</v>
      </c>
      <c r="AP47" s="8" t="e">
        <f t="shared" si="35"/>
        <v>#DIV/0!</v>
      </c>
      <c r="AQ47" s="8" t="e">
        <f t="shared" si="35"/>
        <v>#DIV/0!</v>
      </c>
      <c r="AR47" s="8" t="e">
        <f t="shared" si="35"/>
        <v>#DIV/0!</v>
      </c>
      <c r="AS47" s="8" t="e">
        <f t="shared" si="35"/>
        <v>#DIV/0!</v>
      </c>
      <c r="AT47" s="8" t="e">
        <f t="shared" si="35"/>
        <v>#DIV/0!</v>
      </c>
      <c r="AU47" s="8" t="e">
        <f t="shared" si="35"/>
        <v>#DIV/0!</v>
      </c>
      <c r="AV47" s="8" t="e">
        <f t="shared" si="35"/>
        <v>#DIV/0!</v>
      </c>
      <c r="AW47" s="8" t="e">
        <f t="shared" si="35"/>
        <v>#DIV/0!</v>
      </c>
      <c r="AX47" s="8" t="e">
        <f t="shared" si="35"/>
        <v>#DIV/0!</v>
      </c>
      <c r="AY47" s="8" t="e">
        <f t="shared" si="35"/>
        <v>#DIV/0!</v>
      </c>
      <c r="AZ47" s="8" t="e">
        <f t="shared" si="35"/>
        <v>#DIV/0!</v>
      </c>
      <c r="BA47" s="8" t="e">
        <f t="shared" si="35"/>
        <v>#DIV/0!</v>
      </c>
    </row>
    <row r="48" spans="1:53" x14ac:dyDescent="0.35">
      <c r="A48" s="8" t="s">
        <v>2</v>
      </c>
      <c r="B48" s="8">
        <f t="shared" ref="B48:AC48" si="36" xml:space="preserve"> B47/SQRT(COUNT(B28:B43))</f>
        <v>2.2142319573996351E-2</v>
      </c>
      <c r="C48" s="8">
        <f t="shared" si="36"/>
        <v>4.387046739915447E-2</v>
      </c>
      <c r="D48" s="8">
        <f t="shared" si="36"/>
        <v>3.8596027025372022E-2</v>
      </c>
      <c r="E48" s="8">
        <f t="shared" si="36"/>
        <v>0.11615731318052896</v>
      </c>
      <c r="F48" s="8">
        <f t="shared" si="36"/>
        <v>0.20495952479425708</v>
      </c>
      <c r="G48" s="8">
        <f t="shared" si="36"/>
        <v>0.24156726860485694</v>
      </c>
      <c r="H48" s="8">
        <f t="shared" si="36"/>
        <v>0.17873635590995918</v>
      </c>
      <c r="I48" s="8">
        <f t="shared" si="36"/>
        <v>2.3751787247188801E-2</v>
      </c>
      <c r="J48" s="8">
        <f t="shared" si="36"/>
        <v>6.1085092895461386E-2</v>
      </c>
      <c r="K48" s="8">
        <f t="shared" si="36"/>
        <v>0.17976152542757656</v>
      </c>
      <c r="L48" s="8">
        <f t="shared" si="36"/>
        <v>0.14875066297730005</v>
      </c>
      <c r="M48" s="8">
        <f t="shared" si="36"/>
        <v>0.14928856233416871</v>
      </c>
      <c r="N48" s="8" t="e">
        <f t="shared" si="36"/>
        <v>#DIV/0!</v>
      </c>
      <c r="O48" s="8" t="e">
        <f t="shared" si="36"/>
        <v>#DIV/0!</v>
      </c>
      <c r="P48" s="8" t="e">
        <f t="shared" si="36"/>
        <v>#DIV/0!</v>
      </c>
      <c r="Q48" s="8" t="e">
        <f t="shared" si="36"/>
        <v>#DIV/0!</v>
      </c>
      <c r="R48" s="8" t="e">
        <f t="shared" si="36"/>
        <v>#DIV/0!</v>
      </c>
      <c r="S48" s="8" t="e">
        <f t="shared" si="36"/>
        <v>#DIV/0!</v>
      </c>
      <c r="T48" s="8" t="e">
        <f t="shared" si="36"/>
        <v>#DIV/0!</v>
      </c>
      <c r="U48" s="8" t="e">
        <f t="shared" si="36"/>
        <v>#DIV/0!</v>
      </c>
      <c r="V48" s="8" t="e">
        <f t="shared" si="36"/>
        <v>#DIV/0!</v>
      </c>
      <c r="W48" s="8" t="e">
        <f t="shared" si="36"/>
        <v>#DIV/0!</v>
      </c>
      <c r="X48" s="8" t="e">
        <f t="shared" si="36"/>
        <v>#DIV/0!</v>
      </c>
      <c r="Y48" s="8" t="e">
        <f t="shared" si="36"/>
        <v>#DIV/0!</v>
      </c>
      <c r="Z48" s="8" t="e">
        <f t="shared" si="36"/>
        <v>#DIV/0!</v>
      </c>
      <c r="AA48" s="8" t="e">
        <f t="shared" si="36"/>
        <v>#DIV/0!</v>
      </c>
      <c r="AB48" s="8" t="e">
        <f t="shared" si="36"/>
        <v>#DIV/0!</v>
      </c>
      <c r="AC48" s="8" t="e">
        <f t="shared" si="36"/>
        <v>#DIV/0!</v>
      </c>
      <c r="AD48" s="8" t="s">
        <v>2</v>
      </c>
      <c r="AE48" s="8">
        <f t="shared" ref="AE48:BA48" si="37" xml:space="preserve"> AE47/SQRT(COUNT(AE28:AE43))</f>
        <v>0.14277818838509165</v>
      </c>
      <c r="AF48" s="8">
        <f t="shared" si="37"/>
        <v>0.13861377042072751</v>
      </c>
      <c r="AG48" s="8">
        <f t="shared" si="37"/>
        <v>1.6005590546447613E-2</v>
      </c>
      <c r="AH48" s="8">
        <f t="shared" si="37"/>
        <v>0.1968190220913659</v>
      </c>
      <c r="AI48" s="8">
        <f t="shared" si="37"/>
        <v>0.1978501119120103</v>
      </c>
      <c r="AJ48" s="8">
        <f t="shared" si="37"/>
        <v>0.26600012331261796</v>
      </c>
      <c r="AK48" s="8">
        <f t="shared" si="37"/>
        <v>0.1675023390117566</v>
      </c>
      <c r="AL48" s="8">
        <f t="shared" si="37"/>
        <v>0.20300555218945457</v>
      </c>
      <c r="AM48" s="8" t="e">
        <f t="shared" si="37"/>
        <v>#DIV/0!</v>
      </c>
      <c r="AN48" s="8" t="e">
        <f t="shared" si="37"/>
        <v>#DIV/0!</v>
      </c>
      <c r="AO48" s="8" t="e">
        <f t="shared" si="37"/>
        <v>#DIV/0!</v>
      </c>
      <c r="AP48" s="8" t="e">
        <f t="shared" si="37"/>
        <v>#DIV/0!</v>
      </c>
      <c r="AQ48" s="8" t="e">
        <f t="shared" si="37"/>
        <v>#DIV/0!</v>
      </c>
      <c r="AR48" s="8" t="e">
        <f t="shared" si="37"/>
        <v>#DIV/0!</v>
      </c>
      <c r="AS48" s="8" t="e">
        <f t="shared" si="37"/>
        <v>#DIV/0!</v>
      </c>
      <c r="AT48" s="8" t="e">
        <f t="shared" si="37"/>
        <v>#DIV/0!</v>
      </c>
      <c r="AU48" s="8" t="e">
        <f t="shared" si="37"/>
        <v>#DIV/0!</v>
      </c>
      <c r="AV48" s="8" t="e">
        <f t="shared" si="37"/>
        <v>#DIV/0!</v>
      </c>
      <c r="AW48" s="8" t="e">
        <f t="shared" si="37"/>
        <v>#DIV/0!</v>
      </c>
      <c r="AX48" s="8" t="e">
        <f t="shared" si="37"/>
        <v>#DIV/0!</v>
      </c>
      <c r="AY48" s="8" t="e">
        <f t="shared" si="37"/>
        <v>#DIV/0!</v>
      </c>
      <c r="AZ48" s="8" t="e">
        <f t="shared" si="37"/>
        <v>#DIV/0!</v>
      </c>
      <c r="BA48" s="8" t="e">
        <f t="shared" si="37"/>
        <v>#DIV/0!</v>
      </c>
    </row>
    <row r="49" spans="1:53" ht="15" thickBot="1" x14ac:dyDescent="0.4">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row>
    <row r="50" spans="1:53" ht="26.5" thickBot="1" x14ac:dyDescent="0.65">
      <c r="A50" s="224" t="s">
        <v>44</v>
      </c>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5"/>
      <c r="AL50" s="225"/>
      <c r="AM50" s="225"/>
      <c r="AN50" s="225"/>
      <c r="AO50" s="225"/>
      <c r="AP50" s="225"/>
      <c r="AQ50" s="225"/>
      <c r="AR50" s="225"/>
      <c r="AS50" s="225"/>
      <c r="AT50" s="225"/>
      <c r="AU50" s="225"/>
      <c r="AV50" s="225"/>
      <c r="AW50" s="225"/>
      <c r="AX50" s="225"/>
      <c r="AY50" s="225"/>
      <c r="AZ50" s="225"/>
      <c r="BA50" s="226"/>
    </row>
    <row r="51" spans="1:53" ht="15" thickBot="1" x14ac:dyDescent="0.4"/>
    <row r="52" spans="1:53" x14ac:dyDescent="0.35">
      <c r="A52" s="45" t="str">
        <f t="shared" ref="A52:H52" si="38">A27</f>
        <v>Noms des groupes</v>
      </c>
      <c r="B52" s="46" t="str">
        <f t="shared" si="38"/>
        <v>Témoin solvant</v>
      </c>
      <c r="C52" s="46" t="str">
        <f t="shared" si="38"/>
        <v>EE2-33,8ng/L</v>
      </c>
      <c r="D52" s="46" t="str">
        <f t="shared" si="38"/>
        <v>EE2-50,6ng/L</v>
      </c>
      <c r="E52" s="46" t="str">
        <f t="shared" si="38"/>
        <v>EE2-76ng/L</v>
      </c>
      <c r="F52" s="46" t="str">
        <f t="shared" si="38"/>
        <v>EE2-114ng/L</v>
      </c>
      <c r="G52" s="46" t="str">
        <f t="shared" si="38"/>
        <v>EE2-170,9ng/L</v>
      </c>
      <c r="H52" s="46" t="str">
        <f t="shared" si="38"/>
        <v>EE2-488ng/L</v>
      </c>
      <c r="I52" s="46" t="str">
        <f>I4</f>
        <v>Testo-3.7µg/L</v>
      </c>
      <c r="J52" s="46" t="str">
        <f>J4</f>
        <v>Testo-11µg/L</v>
      </c>
      <c r="K52" s="46" t="str">
        <f t="shared" ref="K52:AC52" si="39">K4</f>
        <v>Testo-33µg/L</v>
      </c>
      <c r="L52" s="46" t="str">
        <f t="shared" si="39"/>
        <v>Testo-100µg/L</v>
      </c>
      <c r="M52" s="46" t="str">
        <f t="shared" si="39"/>
        <v>Testo-300µg/L</v>
      </c>
      <c r="N52" s="46" t="str">
        <f t="shared" si="39"/>
        <v xml:space="preserve"> </v>
      </c>
      <c r="O52" s="46" t="str">
        <f t="shared" si="39"/>
        <v xml:space="preserve"> </v>
      </c>
      <c r="P52" s="46" t="str">
        <f t="shared" si="39"/>
        <v xml:space="preserve"> </v>
      </c>
      <c r="Q52" s="46" t="str">
        <f t="shared" si="39"/>
        <v xml:space="preserve"> </v>
      </c>
      <c r="R52" s="46" t="str">
        <f t="shared" si="39"/>
        <v xml:space="preserve"> </v>
      </c>
      <c r="S52" s="46" t="str">
        <f t="shared" si="39"/>
        <v xml:space="preserve"> </v>
      </c>
      <c r="T52" s="46" t="str">
        <f t="shared" si="39"/>
        <v xml:space="preserve"> </v>
      </c>
      <c r="U52" s="46" t="str">
        <f t="shared" si="39"/>
        <v xml:space="preserve"> </v>
      </c>
      <c r="V52" s="46" t="str">
        <f t="shared" si="39"/>
        <v xml:space="preserve"> </v>
      </c>
      <c r="W52" s="46" t="str">
        <f t="shared" si="39"/>
        <v xml:space="preserve"> </v>
      </c>
      <c r="X52" s="46" t="str">
        <f t="shared" si="39"/>
        <v xml:space="preserve"> </v>
      </c>
      <c r="Y52" s="46" t="str">
        <f t="shared" si="39"/>
        <v xml:space="preserve"> </v>
      </c>
      <c r="Z52" s="46" t="str">
        <f t="shared" si="39"/>
        <v xml:space="preserve"> </v>
      </c>
      <c r="AA52" s="46" t="str">
        <f t="shared" si="39"/>
        <v xml:space="preserve"> </v>
      </c>
      <c r="AB52" s="46" t="str">
        <f t="shared" si="39"/>
        <v xml:space="preserve"> </v>
      </c>
      <c r="AC52" s="46" t="str">
        <f t="shared" si="39"/>
        <v xml:space="preserve"> </v>
      </c>
      <c r="AD52" s="47"/>
      <c r="AE52" s="46" t="str">
        <f>AE27</f>
        <v>Testo -30µg/L</v>
      </c>
      <c r="AF52" s="46" t="str">
        <f>AF27</f>
        <v>Testo 30µg/L + EE2 -64ng/L</v>
      </c>
      <c r="AG52" s="46" t="str">
        <f>AG27</f>
        <v>Testo 30µg/L + FAD-10mg/L</v>
      </c>
      <c r="AH52" s="46" t="str">
        <f>AH27</f>
        <v>Testo-3,7µg/L + Testostérone</v>
      </c>
      <c r="AI52" s="46" t="str">
        <f t="shared" ref="AI52:BA52" si="40">AI27</f>
        <v>Testo-11µg/L + Testostérone</v>
      </c>
      <c r="AJ52" s="46" t="str">
        <f t="shared" si="40"/>
        <v>Testo-33µg/L + Testostérone</v>
      </c>
      <c r="AK52" s="46" t="str">
        <f t="shared" si="40"/>
        <v>Testo-100µg/L + Testostérone</v>
      </c>
      <c r="AL52" s="46" t="str">
        <f t="shared" si="40"/>
        <v>Testo-300µg/L + Testostérone</v>
      </c>
      <c r="AM52" s="46" t="str">
        <f t="shared" si="40"/>
        <v>0-00 + Testostérone</v>
      </c>
      <c r="AN52" s="46" t="str">
        <f t="shared" si="40"/>
        <v>0-00 + Testostérone</v>
      </c>
      <c r="AO52" s="46" t="str">
        <f t="shared" si="40"/>
        <v>0-00 + Testostérone</v>
      </c>
      <c r="AP52" s="46" t="str">
        <f t="shared" si="40"/>
        <v>0-00 + Testostérone</v>
      </c>
      <c r="AQ52" s="46" t="str">
        <f t="shared" si="40"/>
        <v>0-00 + Testostérone</v>
      </c>
      <c r="AR52" s="46" t="str">
        <f t="shared" si="40"/>
        <v>0-00 + Testostérone</v>
      </c>
      <c r="AS52" s="46" t="str">
        <f t="shared" si="40"/>
        <v>0-00 + Testostérone</v>
      </c>
      <c r="AT52" s="46" t="str">
        <f t="shared" si="40"/>
        <v>0-00 + Testostérone</v>
      </c>
      <c r="AU52" s="46" t="str">
        <f t="shared" si="40"/>
        <v>0-00 + Testostérone</v>
      </c>
      <c r="AV52" s="46" t="str">
        <f t="shared" si="40"/>
        <v>0-00 + Testostérone</v>
      </c>
      <c r="AW52" s="46" t="str">
        <f t="shared" si="40"/>
        <v>0-00 + Testostérone</v>
      </c>
      <c r="AX52" s="46" t="str">
        <f t="shared" si="40"/>
        <v>0-00 + Testostérone</v>
      </c>
      <c r="AY52" s="46" t="str">
        <f t="shared" si="40"/>
        <v>0-00 + Testostérone</v>
      </c>
      <c r="AZ52" s="46" t="str">
        <f t="shared" si="40"/>
        <v>0-00 + Testostérone</v>
      </c>
      <c r="BA52" s="46" t="str">
        <f t="shared" si="40"/>
        <v>0-00 + Testostérone</v>
      </c>
    </row>
    <row r="53" spans="1:53" s="3" customFormat="1" x14ac:dyDescent="0.35">
      <c r="A53" s="64" t="s">
        <v>32</v>
      </c>
      <c r="B53" s="145">
        <f t="shared" ref="B53:BA53" si="41">B46</f>
        <v>7.5028694826113101E-2</v>
      </c>
      <c r="C53" s="145">
        <f t="shared" si="41"/>
        <v>0.17045229160096434</v>
      </c>
      <c r="D53" s="145">
        <f t="shared" si="41"/>
        <v>0.13354081291877376</v>
      </c>
      <c r="E53" s="145">
        <f t="shared" si="41"/>
        <v>0.43660921425636201</v>
      </c>
      <c r="F53" s="145">
        <f t="shared" si="41"/>
        <v>1.2034605297396945</v>
      </c>
      <c r="G53" s="145">
        <f t="shared" si="41"/>
        <v>1.7861013629921652</v>
      </c>
      <c r="H53" s="145">
        <f t="shared" si="41"/>
        <v>2.0321641136260289</v>
      </c>
      <c r="I53" s="145">
        <f t="shared" si="41"/>
        <v>9.353732109957355E-2</v>
      </c>
      <c r="J53" s="145">
        <f t="shared" si="41"/>
        <v>0.22515455014958363</v>
      </c>
      <c r="K53" s="145">
        <f t="shared" si="41"/>
        <v>0.70170777174377497</v>
      </c>
      <c r="L53" s="145">
        <f t="shared" si="41"/>
        <v>1.6221303864991379</v>
      </c>
      <c r="M53" s="145">
        <f t="shared" si="41"/>
        <v>1.6625807243176183</v>
      </c>
      <c r="N53" s="145" t="e">
        <f t="shared" si="41"/>
        <v>#DIV/0!</v>
      </c>
      <c r="O53" s="145" t="e">
        <f t="shared" si="41"/>
        <v>#DIV/0!</v>
      </c>
      <c r="P53" s="145" t="e">
        <f t="shared" si="41"/>
        <v>#DIV/0!</v>
      </c>
      <c r="Q53" s="145" t="e">
        <f t="shared" si="41"/>
        <v>#DIV/0!</v>
      </c>
      <c r="R53" s="145" t="e">
        <f t="shared" si="41"/>
        <v>#DIV/0!</v>
      </c>
      <c r="S53" s="145" t="e">
        <f t="shared" si="41"/>
        <v>#DIV/0!</v>
      </c>
      <c r="T53" s="145" t="e">
        <f t="shared" si="41"/>
        <v>#DIV/0!</v>
      </c>
      <c r="U53" s="145" t="e">
        <f t="shared" si="41"/>
        <v>#DIV/0!</v>
      </c>
      <c r="V53" s="145" t="e">
        <f t="shared" si="41"/>
        <v>#DIV/0!</v>
      </c>
      <c r="W53" s="145" t="e">
        <f t="shared" si="41"/>
        <v>#DIV/0!</v>
      </c>
      <c r="X53" s="145" t="e">
        <f t="shared" si="41"/>
        <v>#DIV/0!</v>
      </c>
      <c r="Y53" s="145" t="e">
        <f t="shared" si="41"/>
        <v>#DIV/0!</v>
      </c>
      <c r="Z53" s="145" t="e">
        <f t="shared" si="41"/>
        <v>#DIV/0!</v>
      </c>
      <c r="AA53" s="145" t="e">
        <f t="shared" si="41"/>
        <v>#DIV/0!</v>
      </c>
      <c r="AB53" s="145" t="e">
        <f t="shared" si="41"/>
        <v>#DIV/0!</v>
      </c>
      <c r="AC53" s="145" t="e">
        <f t="shared" si="41"/>
        <v>#DIV/0!</v>
      </c>
      <c r="AD53" s="145"/>
      <c r="AE53" s="145">
        <f t="shared" si="41"/>
        <v>1</v>
      </c>
      <c r="AF53" s="145">
        <f t="shared" si="41"/>
        <v>2.0800810164388492</v>
      </c>
      <c r="AG53" s="145">
        <f t="shared" si="41"/>
        <v>7.3942649847199518E-2</v>
      </c>
      <c r="AH53" s="145">
        <f t="shared" si="41"/>
        <v>0.52985588064456624</v>
      </c>
      <c r="AI53" s="145">
        <f t="shared" si="41"/>
        <v>0.74848630555983708</v>
      </c>
      <c r="AJ53" s="145">
        <f t="shared" si="41"/>
        <v>1.1424702361232815</v>
      </c>
      <c r="AK53" s="145">
        <f t="shared" si="41"/>
        <v>1.321709846020179</v>
      </c>
      <c r="AL53" s="145">
        <f t="shared" si="41"/>
        <v>1.5129728123695665</v>
      </c>
      <c r="AM53" s="145" t="e">
        <f t="shared" si="41"/>
        <v>#DIV/0!</v>
      </c>
      <c r="AN53" s="145" t="e">
        <f t="shared" si="41"/>
        <v>#DIV/0!</v>
      </c>
      <c r="AO53" s="145" t="e">
        <f t="shared" si="41"/>
        <v>#DIV/0!</v>
      </c>
      <c r="AP53" s="145" t="e">
        <f t="shared" si="41"/>
        <v>#DIV/0!</v>
      </c>
      <c r="AQ53" s="145" t="e">
        <f t="shared" si="41"/>
        <v>#DIV/0!</v>
      </c>
      <c r="AR53" s="145" t="e">
        <f t="shared" si="41"/>
        <v>#DIV/0!</v>
      </c>
      <c r="AS53" s="145" t="e">
        <f t="shared" si="41"/>
        <v>#DIV/0!</v>
      </c>
      <c r="AT53" s="145" t="e">
        <f t="shared" si="41"/>
        <v>#DIV/0!</v>
      </c>
      <c r="AU53" s="145" t="e">
        <f t="shared" si="41"/>
        <v>#DIV/0!</v>
      </c>
      <c r="AV53" s="145" t="e">
        <f t="shared" si="41"/>
        <v>#DIV/0!</v>
      </c>
      <c r="AW53" s="145" t="e">
        <f t="shared" si="41"/>
        <v>#DIV/0!</v>
      </c>
      <c r="AX53" s="145" t="e">
        <f t="shared" si="41"/>
        <v>#DIV/0!</v>
      </c>
      <c r="AY53" s="145" t="e">
        <f t="shared" si="41"/>
        <v>#DIV/0!</v>
      </c>
      <c r="AZ53" s="145" t="e">
        <f t="shared" si="41"/>
        <v>#DIV/0!</v>
      </c>
      <c r="BA53" s="145" t="e">
        <f t="shared" si="41"/>
        <v>#DIV/0!</v>
      </c>
    </row>
    <row r="54" spans="1:53" s="3" customFormat="1" x14ac:dyDescent="0.35">
      <c r="A54" s="64" t="s">
        <v>2</v>
      </c>
      <c r="B54" s="145">
        <f t="shared" ref="B54:BA54" si="42">B48</f>
        <v>2.2142319573996351E-2</v>
      </c>
      <c r="C54" s="145">
        <f t="shared" si="42"/>
        <v>4.387046739915447E-2</v>
      </c>
      <c r="D54" s="145">
        <f t="shared" si="42"/>
        <v>3.8596027025372022E-2</v>
      </c>
      <c r="E54" s="145">
        <f t="shared" si="42"/>
        <v>0.11615731318052896</v>
      </c>
      <c r="F54" s="145">
        <f t="shared" si="42"/>
        <v>0.20495952479425708</v>
      </c>
      <c r="G54" s="145">
        <f t="shared" si="42"/>
        <v>0.24156726860485694</v>
      </c>
      <c r="H54" s="145">
        <f t="shared" si="42"/>
        <v>0.17873635590995918</v>
      </c>
      <c r="I54" s="145">
        <f t="shared" si="42"/>
        <v>2.3751787247188801E-2</v>
      </c>
      <c r="J54" s="145">
        <f t="shared" si="42"/>
        <v>6.1085092895461386E-2</v>
      </c>
      <c r="K54" s="145">
        <f t="shared" si="42"/>
        <v>0.17976152542757656</v>
      </c>
      <c r="L54" s="145">
        <f t="shared" si="42"/>
        <v>0.14875066297730005</v>
      </c>
      <c r="M54" s="145">
        <f t="shared" si="42"/>
        <v>0.14928856233416871</v>
      </c>
      <c r="N54" s="145" t="e">
        <f t="shared" si="42"/>
        <v>#DIV/0!</v>
      </c>
      <c r="O54" s="145" t="e">
        <f t="shared" si="42"/>
        <v>#DIV/0!</v>
      </c>
      <c r="P54" s="145" t="e">
        <f t="shared" si="42"/>
        <v>#DIV/0!</v>
      </c>
      <c r="Q54" s="145" t="e">
        <f t="shared" si="42"/>
        <v>#DIV/0!</v>
      </c>
      <c r="R54" s="145" t="e">
        <f t="shared" si="42"/>
        <v>#DIV/0!</v>
      </c>
      <c r="S54" s="145" t="e">
        <f t="shared" si="42"/>
        <v>#DIV/0!</v>
      </c>
      <c r="T54" s="145" t="e">
        <f t="shared" si="42"/>
        <v>#DIV/0!</v>
      </c>
      <c r="U54" s="145" t="e">
        <f t="shared" si="42"/>
        <v>#DIV/0!</v>
      </c>
      <c r="V54" s="145" t="e">
        <f t="shared" si="42"/>
        <v>#DIV/0!</v>
      </c>
      <c r="W54" s="145" t="e">
        <f t="shared" si="42"/>
        <v>#DIV/0!</v>
      </c>
      <c r="X54" s="145" t="e">
        <f t="shared" si="42"/>
        <v>#DIV/0!</v>
      </c>
      <c r="Y54" s="145" t="e">
        <f t="shared" si="42"/>
        <v>#DIV/0!</v>
      </c>
      <c r="Z54" s="145" t="e">
        <f t="shared" si="42"/>
        <v>#DIV/0!</v>
      </c>
      <c r="AA54" s="145" t="e">
        <f t="shared" si="42"/>
        <v>#DIV/0!</v>
      </c>
      <c r="AB54" s="145" t="e">
        <f t="shared" si="42"/>
        <v>#DIV/0!</v>
      </c>
      <c r="AC54" s="145" t="e">
        <f t="shared" si="42"/>
        <v>#DIV/0!</v>
      </c>
      <c r="AD54" s="145"/>
      <c r="AE54" s="145">
        <f t="shared" si="42"/>
        <v>0.14277818838509165</v>
      </c>
      <c r="AF54" s="145">
        <f t="shared" si="42"/>
        <v>0.13861377042072751</v>
      </c>
      <c r="AG54" s="145">
        <f t="shared" si="42"/>
        <v>1.6005590546447613E-2</v>
      </c>
      <c r="AH54" s="145">
        <f t="shared" si="42"/>
        <v>0.1968190220913659</v>
      </c>
      <c r="AI54" s="145">
        <f t="shared" si="42"/>
        <v>0.1978501119120103</v>
      </c>
      <c r="AJ54" s="145">
        <f t="shared" si="42"/>
        <v>0.26600012331261796</v>
      </c>
      <c r="AK54" s="145">
        <f t="shared" si="42"/>
        <v>0.1675023390117566</v>
      </c>
      <c r="AL54" s="145">
        <f t="shared" si="42"/>
        <v>0.20300555218945457</v>
      </c>
      <c r="AM54" s="145" t="e">
        <f t="shared" si="42"/>
        <v>#DIV/0!</v>
      </c>
      <c r="AN54" s="145" t="e">
        <f t="shared" si="42"/>
        <v>#DIV/0!</v>
      </c>
      <c r="AO54" s="145" t="e">
        <f t="shared" si="42"/>
        <v>#DIV/0!</v>
      </c>
      <c r="AP54" s="145" t="e">
        <f t="shared" si="42"/>
        <v>#DIV/0!</v>
      </c>
      <c r="AQ54" s="145" t="e">
        <f t="shared" si="42"/>
        <v>#DIV/0!</v>
      </c>
      <c r="AR54" s="145" t="e">
        <f t="shared" si="42"/>
        <v>#DIV/0!</v>
      </c>
      <c r="AS54" s="145" t="e">
        <f t="shared" si="42"/>
        <v>#DIV/0!</v>
      </c>
      <c r="AT54" s="145" t="e">
        <f t="shared" si="42"/>
        <v>#DIV/0!</v>
      </c>
      <c r="AU54" s="145" t="e">
        <f t="shared" si="42"/>
        <v>#DIV/0!</v>
      </c>
      <c r="AV54" s="145" t="e">
        <f t="shared" si="42"/>
        <v>#DIV/0!</v>
      </c>
      <c r="AW54" s="145" t="e">
        <f t="shared" si="42"/>
        <v>#DIV/0!</v>
      </c>
      <c r="AX54" s="145" t="e">
        <f t="shared" si="42"/>
        <v>#DIV/0!</v>
      </c>
      <c r="AY54" s="145" t="e">
        <f t="shared" si="42"/>
        <v>#DIV/0!</v>
      </c>
      <c r="AZ54" s="145" t="e">
        <f t="shared" si="42"/>
        <v>#DIV/0!</v>
      </c>
      <c r="BA54" s="145" t="e">
        <f t="shared" si="42"/>
        <v>#DIV/0!</v>
      </c>
    </row>
    <row r="55" spans="1:53" s="3" customFormat="1" x14ac:dyDescent="0.35">
      <c r="A55" s="64" t="s">
        <v>79</v>
      </c>
      <c r="B55" s="145">
        <f>(B53*100/$B53)-100</f>
        <v>0</v>
      </c>
      <c r="C55" s="145">
        <f t="shared" ref="C55:AC55" si="43">(C53*100/$B53)-100</f>
        <v>127.18280252109605</v>
      </c>
      <c r="D55" s="145">
        <f t="shared" si="43"/>
        <v>77.986320071632122</v>
      </c>
      <c r="E55" s="145">
        <f t="shared" si="43"/>
        <v>481.92297662680903</v>
      </c>
      <c r="F55" s="145">
        <f t="shared" si="43"/>
        <v>1504.0003528367927</v>
      </c>
      <c r="G55" s="145">
        <f t="shared" si="43"/>
        <v>2280.5576881373763</v>
      </c>
      <c r="H55" s="145">
        <f t="shared" si="43"/>
        <v>2608.5158796055071</v>
      </c>
      <c r="I55" s="145">
        <f t="shared" si="43"/>
        <v>24.668730165646792</v>
      </c>
      <c r="J55" s="145">
        <f t="shared" si="43"/>
        <v>200.09125264860728</v>
      </c>
      <c r="K55" s="145">
        <f t="shared" si="43"/>
        <v>835.25253687280122</v>
      </c>
      <c r="L55" s="145">
        <f t="shared" si="43"/>
        <v>2062.0133340431894</v>
      </c>
      <c r="M55" s="145">
        <f t="shared" si="43"/>
        <v>2115.9264907524039</v>
      </c>
      <c r="N55" s="145" t="e">
        <f t="shared" si="43"/>
        <v>#DIV/0!</v>
      </c>
      <c r="O55" s="145" t="e">
        <f t="shared" si="43"/>
        <v>#DIV/0!</v>
      </c>
      <c r="P55" s="145" t="e">
        <f t="shared" si="43"/>
        <v>#DIV/0!</v>
      </c>
      <c r="Q55" s="145" t="e">
        <f t="shared" si="43"/>
        <v>#DIV/0!</v>
      </c>
      <c r="R55" s="145" t="e">
        <f t="shared" si="43"/>
        <v>#DIV/0!</v>
      </c>
      <c r="S55" s="145" t="e">
        <f t="shared" si="43"/>
        <v>#DIV/0!</v>
      </c>
      <c r="T55" s="145" t="e">
        <f t="shared" si="43"/>
        <v>#DIV/0!</v>
      </c>
      <c r="U55" s="145" t="e">
        <f t="shared" si="43"/>
        <v>#DIV/0!</v>
      </c>
      <c r="V55" s="145" t="e">
        <f t="shared" si="43"/>
        <v>#DIV/0!</v>
      </c>
      <c r="W55" s="145" t="e">
        <f t="shared" si="43"/>
        <v>#DIV/0!</v>
      </c>
      <c r="X55" s="145" t="e">
        <f t="shared" si="43"/>
        <v>#DIV/0!</v>
      </c>
      <c r="Y55" s="145" t="e">
        <f t="shared" si="43"/>
        <v>#DIV/0!</v>
      </c>
      <c r="Z55" s="145" t="e">
        <f t="shared" si="43"/>
        <v>#DIV/0!</v>
      </c>
      <c r="AA55" s="145" t="e">
        <f t="shared" si="43"/>
        <v>#DIV/0!</v>
      </c>
      <c r="AB55" s="145" t="e">
        <f t="shared" si="43"/>
        <v>#DIV/0!</v>
      </c>
      <c r="AC55" s="145" t="e">
        <f t="shared" si="43"/>
        <v>#DIV/0!</v>
      </c>
      <c r="AD55" s="145"/>
      <c r="AE55" s="145">
        <f>(AE53*100/$AE53)-100</f>
        <v>0</v>
      </c>
      <c r="AF55" s="145">
        <f t="shared" ref="AF55:BA55" si="44">(AF53*100/$AE53)-100</f>
        <v>108.00810164388491</v>
      </c>
      <c r="AG55" s="145">
        <f t="shared" si="44"/>
        <v>-92.605735015280047</v>
      </c>
      <c r="AH55" s="145">
        <f t="shared" si="44"/>
        <v>-47.014411935543379</v>
      </c>
      <c r="AI55" s="145">
        <f t="shared" si="44"/>
        <v>-25.151369444016296</v>
      </c>
      <c r="AJ55" s="145">
        <f t="shared" si="44"/>
        <v>14.24702361232815</v>
      </c>
      <c r="AK55" s="145">
        <f t="shared" si="44"/>
        <v>32.17098460201791</v>
      </c>
      <c r="AL55" s="145">
        <f t="shared" si="44"/>
        <v>51.29728123695665</v>
      </c>
      <c r="AM55" s="145" t="e">
        <f t="shared" si="44"/>
        <v>#DIV/0!</v>
      </c>
      <c r="AN55" s="145" t="e">
        <f t="shared" si="44"/>
        <v>#DIV/0!</v>
      </c>
      <c r="AO55" s="145" t="e">
        <f t="shared" si="44"/>
        <v>#DIV/0!</v>
      </c>
      <c r="AP55" s="145" t="e">
        <f t="shared" si="44"/>
        <v>#DIV/0!</v>
      </c>
      <c r="AQ55" s="145" t="e">
        <f t="shared" si="44"/>
        <v>#DIV/0!</v>
      </c>
      <c r="AR55" s="145" t="e">
        <f t="shared" si="44"/>
        <v>#DIV/0!</v>
      </c>
      <c r="AS55" s="145" t="e">
        <f t="shared" si="44"/>
        <v>#DIV/0!</v>
      </c>
      <c r="AT55" s="145" t="e">
        <f t="shared" si="44"/>
        <v>#DIV/0!</v>
      </c>
      <c r="AU55" s="145" t="e">
        <f t="shared" si="44"/>
        <v>#DIV/0!</v>
      </c>
      <c r="AV55" s="145" t="e">
        <f t="shared" si="44"/>
        <v>#DIV/0!</v>
      </c>
      <c r="AW55" s="145" t="e">
        <f t="shared" si="44"/>
        <v>#DIV/0!</v>
      </c>
      <c r="AX55" s="145" t="e">
        <f t="shared" si="44"/>
        <v>#DIV/0!</v>
      </c>
      <c r="AY55" s="145" t="e">
        <f t="shared" si="44"/>
        <v>#DIV/0!</v>
      </c>
      <c r="AZ55" s="145" t="e">
        <f t="shared" si="44"/>
        <v>#DIV/0!</v>
      </c>
      <c r="BA55" s="145" t="e">
        <f t="shared" si="44"/>
        <v>#DIV/0!</v>
      </c>
    </row>
    <row r="56" spans="1:53" s="3" customFormat="1" x14ac:dyDescent="0.35">
      <c r="A56" s="64" t="s">
        <v>81</v>
      </c>
      <c r="B56" s="145" t="e">
        <f ca="1">[1]!SWTEST(B28:B43)</f>
        <v>#NAME?</v>
      </c>
      <c r="C56" s="145" t="e">
        <f ca="1">[1]!SWTEST(C28:C43)</f>
        <v>#NAME?</v>
      </c>
      <c r="D56" s="145" t="e">
        <f ca="1">[1]!SWTEST(D28:D43)</f>
        <v>#NAME?</v>
      </c>
      <c r="E56" s="145" t="e">
        <f ca="1">[1]!SWTEST(E28:E43)</f>
        <v>#NAME?</v>
      </c>
      <c r="F56" s="145" t="e">
        <f ca="1">[1]!SWTEST(F28:F43)</f>
        <v>#NAME?</v>
      </c>
      <c r="G56" s="145" t="e">
        <f ca="1">[1]!SWTEST(G28:G43)</f>
        <v>#NAME?</v>
      </c>
      <c r="H56" s="145" t="e">
        <f ca="1">[1]!SWTEST(H28:H43)</f>
        <v>#NAME?</v>
      </c>
      <c r="I56" s="145" t="e">
        <f ca="1">[1]!SWTEST(I28:I43)</f>
        <v>#NAME?</v>
      </c>
      <c r="J56" s="145" t="e">
        <f ca="1">[1]!SWTEST(J28:J43)</f>
        <v>#NAME?</v>
      </c>
      <c r="K56" s="145" t="e">
        <f ca="1">[1]!SWTEST(K28:K43)</f>
        <v>#NAME?</v>
      </c>
      <c r="L56" s="145" t="e">
        <f ca="1">[1]!SWTEST(L28:L43)</f>
        <v>#NAME?</v>
      </c>
      <c r="M56" s="145" t="e">
        <f ca="1">[1]!SWTEST(M28:M43)</f>
        <v>#NAME?</v>
      </c>
      <c r="N56" s="145" t="e">
        <f ca="1">[1]!SWTEST(N28:N43)</f>
        <v>#NAME?</v>
      </c>
      <c r="O56" s="145" t="e">
        <f ca="1">[1]!SWTEST(O28:O43)</f>
        <v>#NAME?</v>
      </c>
      <c r="P56" s="145" t="e">
        <f ca="1">[1]!SWTEST(P28:P43)</f>
        <v>#NAME?</v>
      </c>
      <c r="Q56" s="145" t="e">
        <f ca="1">[1]!SWTEST(Q28:Q43)</f>
        <v>#NAME?</v>
      </c>
      <c r="R56" s="145" t="e">
        <f ca="1">[1]!SWTEST(R28:R43)</f>
        <v>#NAME?</v>
      </c>
      <c r="S56" s="145" t="e">
        <f ca="1">[1]!SWTEST(S28:S43)</f>
        <v>#NAME?</v>
      </c>
      <c r="T56" s="145" t="e">
        <f ca="1">[1]!SWTEST(T28:T43)</f>
        <v>#NAME?</v>
      </c>
      <c r="U56" s="145" t="e">
        <f ca="1">[1]!SWTEST(U28:U43)</f>
        <v>#NAME?</v>
      </c>
      <c r="V56" s="145" t="e">
        <f ca="1">[1]!SWTEST(V28:V43)</f>
        <v>#NAME?</v>
      </c>
      <c r="W56" s="145" t="e">
        <f ca="1">[1]!SWTEST(W28:W43)</f>
        <v>#NAME?</v>
      </c>
      <c r="X56" s="145" t="e">
        <f ca="1">[1]!SWTEST(X28:X43)</f>
        <v>#NAME?</v>
      </c>
      <c r="Y56" s="145" t="e">
        <f ca="1">[1]!SWTEST(Y28:Y43)</f>
        <v>#NAME?</v>
      </c>
      <c r="Z56" s="145" t="e">
        <f ca="1">[1]!SWTEST(Z28:Z43)</f>
        <v>#NAME?</v>
      </c>
      <c r="AA56" s="145" t="e">
        <f ca="1">[1]!SWTEST(AA28:AA43)</f>
        <v>#NAME?</v>
      </c>
      <c r="AB56" s="145" t="e">
        <f ca="1">[1]!SWTEST(AB28:AB43)</f>
        <v>#NAME?</v>
      </c>
      <c r="AC56" s="145" t="e">
        <f ca="1">[1]!SWTEST(AC28:AC43)</f>
        <v>#NAME?</v>
      </c>
      <c r="AD56" s="145"/>
      <c r="AE56" s="145" t="e">
        <f ca="1">[1]!SWTEST(AE28:AE43)</f>
        <v>#NAME?</v>
      </c>
      <c r="AF56" s="145" t="e">
        <f ca="1">[1]!SWTEST(AF28:AF43)</f>
        <v>#NAME?</v>
      </c>
      <c r="AG56" s="145" t="e">
        <f ca="1">[1]!SWTEST(AG28:AG43)</f>
        <v>#NAME?</v>
      </c>
      <c r="AH56" s="145" t="e">
        <f ca="1">[1]!SWTEST(AH28:AH43)</f>
        <v>#NAME?</v>
      </c>
      <c r="AI56" s="145" t="e">
        <f ca="1">[1]!SWTEST(AI28:AI43)</f>
        <v>#NAME?</v>
      </c>
      <c r="AJ56" s="145" t="e">
        <f ca="1">[1]!SWTEST(AJ28:AJ43)</f>
        <v>#NAME?</v>
      </c>
      <c r="AK56" s="145" t="e">
        <f ca="1">[1]!SWTEST(AK28:AK43)</f>
        <v>#NAME?</v>
      </c>
      <c r="AL56" s="145" t="e">
        <f ca="1">[1]!SWTEST(AL28:AL43)</f>
        <v>#NAME?</v>
      </c>
      <c r="AM56" s="145" t="e">
        <f ca="1">[1]!SWTEST(AM28:AM43)</f>
        <v>#NAME?</v>
      </c>
      <c r="AN56" s="145" t="e">
        <f ca="1">[1]!SWTEST(AN28:AN43)</f>
        <v>#NAME?</v>
      </c>
      <c r="AO56" s="145" t="e">
        <f ca="1">[1]!SWTEST(AO28:AO43)</f>
        <v>#NAME?</v>
      </c>
      <c r="AP56" s="145" t="e">
        <f ca="1">[1]!SWTEST(AP28:AP43)</f>
        <v>#NAME?</v>
      </c>
      <c r="AQ56" s="145" t="e">
        <f ca="1">[1]!SWTEST(AQ28:AQ43)</f>
        <v>#NAME?</v>
      </c>
      <c r="AR56" s="145" t="e">
        <f ca="1">[1]!SWTEST(AR28:AR43)</f>
        <v>#NAME?</v>
      </c>
      <c r="AS56" s="145" t="e">
        <f ca="1">[1]!SWTEST(AS28:AS43)</f>
        <v>#NAME?</v>
      </c>
      <c r="AT56" s="145" t="e">
        <f ca="1">[1]!SWTEST(AT28:AT43)</f>
        <v>#NAME?</v>
      </c>
      <c r="AU56" s="145" t="e">
        <f ca="1">[1]!SWTEST(AU28:AU43)</f>
        <v>#NAME?</v>
      </c>
      <c r="AV56" s="145" t="e">
        <f ca="1">[1]!SWTEST(AV28:AV43)</f>
        <v>#NAME?</v>
      </c>
      <c r="AW56" s="145" t="e">
        <f ca="1">[1]!SWTEST(AW28:AW43)</f>
        <v>#NAME?</v>
      </c>
      <c r="AX56" s="145" t="e">
        <f ca="1">[1]!SWTEST(AX28:AX43)</f>
        <v>#NAME?</v>
      </c>
      <c r="AY56" s="145" t="e">
        <f ca="1">[1]!SWTEST(AY28:AY43)</f>
        <v>#NAME?</v>
      </c>
      <c r="AZ56" s="145" t="e">
        <f ca="1">[1]!SWTEST(AZ28:AZ43)</f>
        <v>#NAME?</v>
      </c>
      <c r="BA56" s="145" t="e">
        <f ca="1">[1]!SWTEST(BA28:BA43)</f>
        <v>#NAME?</v>
      </c>
    </row>
    <row r="57" spans="1:53" s="3" customFormat="1" x14ac:dyDescent="0.35">
      <c r="A57" s="64" t="s">
        <v>85</v>
      </c>
      <c r="B57" s="145" t="e">
        <f ca="1">IF(B56&gt;0.05,"Oui","Non")</f>
        <v>#NAME?</v>
      </c>
      <c r="C57" s="145" t="e">
        <f t="shared" ref="C57:BA57" ca="1" si="45">IF(C56&gt;0.05,"Oui","Non")</f>
        <v>#NAME?</v>
      </c>
      <c r="D57" s="145" t="e">
        <f t="shared" ca="1" si="45"/>
        <v>#NAME?</v>
      </c>
      <c r="E57" s="145" t="e">
        <f t="shared" ca="1" si="45"/>
        <v>#NAME?</v>
      </c>
      <c r="F57" s="145" t="e">
        <f t="shared" ca="1" si="45"/>
        <v>#NAME?</v>
      </c>
      <c r="G57" s="145" t="e">
        <f t="shared" ca="1" si="45"/>
        <v>#NAME?</v>
      </c>
      <c r="H57" s="145" t="e">
        <f t="shared" ca="1" si="45"/>
        <v>#NAME?</v>
      </c>
      <c r="I57" s="145" t="e">
        <f t="shared" ca="1" si="45"/>
        <v>#NAME?</v>
      </c>
      <c r="J57" s="145" t="e">
        <f t="shared" ca="1" si="45"/>
        <v>#NAME?</v>
      </c>
      <c r="K57" s="145" t="e">
        <f t="shared" ca="1" si="45"/>
        <v>#NAME?</v>
      </c>
      <c r="L57" s="145" t="e">
        <f t="shared" ca="1" si="45"/>
        <v>#NAME?</v>
      </c>
      <c r="M57" s="145" t="e">
        <f t="shared" ca="1" si="45"/>
        <v>#NAME?</v>
      </c>
      <c r="N57" s="145" t="e">
        <f t="shared" ca="1" si="45"/>
        <v>#NAME?</v>
      </c>
      <c r="O57" s="145" t="e">
        <f t="shared" ca="1" si="45"/>
        <v>#NAME?</v>
      </c>
      <c r="P57" s="145" t="e">
        <f t="shared" ca="1" si="45"/>
        <v>#NAME?</v>
      </c>
      <c r="Q57" s="145" t="e">
        <f t="shared" ca="1" si="45"/>
        <v>#NAME?</v>
      </c>
      <c r="R57" s="145" t="e">
        <f t="shared" ca="1" si="45"/>
        <v>#NAME?</v>
      </c>
      <c r="S57" s="145" t="e">
        <f t="shared" ca="1" si="45"/>
        <v>#NAME?</v>
      </c>
      <c r="T57" s="145" t="e">
        <f t="shared" ca="1" si="45"/>
        <v>#NAME?</v>
      </c>
      <c r="U57" s="145" t="e">
        <f t="shared" ca="1" si="45"/>
        <v>#NAME?</v>
      </c>
      <c r="V57" s="145" t="e">
        <f t="shared" ca="1" si="45"/>
        <v>#NAME?</v>
      </c>
      <c r="W57" s="145" t="e">
        <f t="shared" ca="1" si="45"/>
        <v>#NAME?</v>
      </c>
      <c r="X57" s="145" t="e">
        <f t="shared" ca="1" si="45"/>
        <v>#NAME?</v>
      </c>
      <c r="Y57" s="145" t="e">
        <f t="shared" ca="1" si="45"/>
        <v>#NAME?</v>
      </c>
      <c r="Z57" s="145" t="e">
        <f t="shared" ca="1" si="45"/>
        <v>#NAME?</v>
      </c>
      <c r="AA57" s="145" t="e">
        <f t="shared" ca="1" si="45"/>
        <v>#NAME?</v>
      </c>
      <c r="AB57" s="145" t="e">
        <f t="shared" ca="1" si="45"/>
        <v>#NAME?</v>
      </c>
      <c r="AC57" s="145" t="e">
        <f t="shared" ca="1" si="45"/>
        <v>#NAME?</v>
      </c>
      <c r="AD57" s="145"/>
      <c r="AE57" s="145" t="e">
        <f t="shared" ca="1" si="45"/>
        <v>#NAME?</v>
      </c>
      <c r="AF57" s="145" t="e">
        <f t="shared" ca="1" si="45"/>
        <v>#NAME?</v>
      </c>
      <c r="AG57" s="145" t="e">
        <f t="shared" ca="1" si="45"/>
        <v>#NAME?</v>
      </c>
      <c r="AH57" s="145" t="e">
        <f t="shared" ca="1" si="45"/>
        <v>#NAME?</v>
      </c>
      <c r="AI57" s="145" t="e">
        <f t="shared" ca="1" si="45"/>
        <v>#NAME?</v>
      </c>
      <c r="AJ57" s="145" t="e">
        <f t="shared" ca="1" si="45"/>
        <v>#NAME?</v>
      </c>
      <c r="AK57" s="145" t="e">
        <f t="shared" ca="1" si="45"/>
        <v>#NAME?</v>
      </c>
      <c r="AL57" s="145" t="e">
        <f t="shared" ca="1" si="45"/>
        <v>#NAME?</v>
      </c>
      <c r="AM57" s="145" t="e">
        <f t="shared" ca="1" si="45"/>
        <v>#NAME?</v>
      </c>
      <c r="AN57" s="145" t="e">
        <f t="shared" ca="1" si="45"/>
        <v>#NAME?</v>
      </c>
      <c r="AO57" s="145" t="e">
        <f t="shared" ca="1" si="45"/>
        <v>#NAME?</v>
      </c>
      <c r="AP57" s="145" t="e">
        <f t="shared" ca="1" si="45"/>
        <v>#NAME?</v>
      </c>
      <c r="AQ57" s="145" t="e">
        <f t="shared" ca="1" si="45"/>
        <v>#NAME?</v>
      </c>
      <c r="AR57" s="145" t="e">
        <f t="shared" ca="1" si="45"/>
        <v>#NAME?</v>
      </c>
      <c r="AS57" s="145" t="e">
        <f t="shared" ca="1" si="45"/>
        <v>#NAME?</v>
      </c>
      <c r="AT57" s="145" t="e">
        <f t="shared" ca="1" si="45"/>
        <v>#NAME?</v>
      </c>
      <c r="AU57" s="145" t="e">
        <f t="shared" ca="1" si="45"/>
        <v>#NAME?</v>
      </c>
      <c r="AV57" s="145" t="e">
        <f t="shared" ca="1" si="45"/>
        <v>#NAME?</v>
      </c>
      <c r="AW57" s="145" t="e">
        <f t="shared" ca="1" si="45"/>
        <v>#NAME?</v>
      </c>
      <c r="AX57" s="145" t="e">
        <f t="shared" ca="1" si="45"/>
        <v>#NAME?</v>
      </c>
      <c r="AY57" s="145" t="e">
        <f t="shared" ca="1" si="45"/>
        <v>#NAME?</v>
      </c>
      <c r="AZ57" s="145" t="e">
        <f t="shared" ca="1" si="45"/>
        <v>#NAME?</v>
      </c>
      <c r="BA57" s="145" t="e">
        <f t="shared" ca="1" si="45"/>
        <v>#NAME?</v>
      </c>
    </row>
    <row r="58" spans="1:53" s="3" customFormat="1" x14ac:dyDescent="0.35">
      <c r="A58" s="64"/>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52"/>
      <c r="AE58" s="153"/>
      <c r="AF58" s="145"/>
      <c r="AG58" s="145"/>
      <c r="AH58" s="145"/>
      <c r="AI58" s="145"/>
      <c r="AJ58" s="145"/>
      <c r="AK58" s="145"/>
      <c r="AL58" s="145"/>
      <c r="AM58" s="145"/>
      <c r="AN58" s="145"/>
      <c r="AO58" s="145"/>
      <c r="AP58" s="145"/>
      <c r="AQ58" s="145"/>
      <c r="AR58" s="145"/>
      <c r="AS58" s="145"/>
      <c r="AT58" s="145"/>
      <c r="AU58" s="154"/>
      <c r="AV58" s="154"/>
      <c r="AW58" s="154"/>
      <c r="AX58" s="154"/>
      <c r="AY58" s="154"/>
      <c r="AZ58" s="154"/>
      <c r="BA58" s="155"/>
    </row>
    <row r="59" spans="1:53" s="3" customFormat="1" x14ac:dyDescent="0.35">
      <c r="A59" s="64" t="s">
        <v>82</v>
      </c>
      <c r="B59" s="156"/>
      <c r="C59" s="156" t="e">
        <f t="shared" ref="C59:AE59" ca="1" si="46">IF($B57="Non",IF(C57="Non","MW",IF(C57="Oui","MW","")),IF($B57="Oui",IF(C57="Oui","T-Test Welch",IF(C57="Non","MW",""))))</f>
        <v>#NAME?</v>
      </c>
      <c r="D59" s="156" t="e">
        <f t="shared" ca="1" si="46"/>
        <v>#NAME?</v>
      </c>
      <c r="E59" s="156" t="e">
        <f t="shared" ca="1" si="46"/>
        <v>#NAME?</v>
      </c>
      <c r="F59" s="156" t="e">
        <f t="shared" ca="1" si="46"/>
        <v>#NAME?</v>
      </c>
      <c r="G59" s="156" t="e">
        <f t="shared" ca="1" si="46"/>
        <v>#NAME?</v>
      </c>
      <c r="H59" s="156" t="e">
        <f t="shared" ca="1" si="46"/>
        <v>#NAME?</v>
      </c>
      <c r="I59" s="156" t="e">
        <f t="shared" ca="1" si="46"/>
        <v>#NAME?</v>
      </c>
      <c r="J59" s="156" t="e">
        <f t="shared" ca="1" si="46"/>
        <v>#NAME?</v>
      </c>
      <c r="K59" s="156" t="e">
        <f t="shared" ca="1" si="46"/>
        <v>#NAME?</v>
      </c>
      <c r="L59" s="156" t="e">
        <f t="shared" ca="1" si="46"/>
        <v>#NAME?</v>
      </c>
      <c r="M59" s="156" t="e">
        <f t="shared" ca="1" si="46"/>
        <v>#NAME?</v>
      </c>
      <c r="N59" s="156" t="e">
        <f t="shared" ca="1" si="46"/>
        <v>#NAME?</v>
      </c>
      <c r="O59" s="156" t="e">
        <f t="shared" ca="1" si="46"/>
        <v>#NAME?</v>
      </c>
      <c r="P59" s="156" t="e">
        <f t="shared" ca="1" si="46"/>
        <v>#NAME?</v>
      </c>
      <c r="Q59" s="156" t="e">
        <f t="shared" ca="1" si="46"/>
        <v>#NAME?</v>
      </c>
      <c r="R59" s="156" t="e">
        <f t="shared" ca="1" si="46"/>
        <v>#NAME?</v>
      </c>
      <c r="S59" s="156" t="e">
        <f t="shared" ca="1" si="46"/>
        <v>#NAME?</v>
      </c>
      <c r="T59" s="156" t="e">
        <f t="shared" ca="1" si="46"/>
        <v>#NAME?</v>
      </c>
      <c r="U59" s="156" t="e">
        <f t="shared" ca="1" si="46"/>
        <v>#NAME?</v>
      </c>
      <c r="V59" s="156" t="e">
        <f t="shared" ca="1" si="46"/>
        <v>#NAME?</v>
      </c>
      <c r="W59" s="156" t="e">
        <f t="shared" ca="1" si="46"/>
        <v>#NAME?</v>
      </c>
      <c r="X59" s="156" t="e">
        <f t="shared" ca="1" si="46"/>
        <v>#NAME?</v>
      </c>
      <c r="Y59" s="156" t="e">
        <f t="shared" ca="1" si="46"/>
        <v>#NAME?</v>
      </c>
      <c r="Z59" s="156" t="e">
        <f t="shared" ca="1" si="46"/>
        <v>#NAME?</v>
      </c>
      <c r="AA59" s="156" t="e">
        <f t="shared" ca="1" si="46"/>
        <v>#NAME?</v>
      </c>
      <c r="AB59" s="156" t="e">
        <f t="shared" ca="1" si="46"/>
        <v>#NAME?</v>
      </c>
      <c r="AC59" s="156" t="e">
        <f t="shared" ca="1" si="46"/>
        <v>#NAME?</v>
      </c>
      <c r="AD59" s="156"/>
      <c r="AE59" s="156" t="e">
        <f t="shared" ca="1" si="46"/>
        <v>#NAME?</v>
      </c>
      <c r="AF59" s="156" t="e">
        <f ca="1">IF($AE57="Non",IF(AF57="Non","MW",IF(AF57="Oui","MW","")),IF($AE57="Oui",IF(AF57="Oui","T-Test Welch",IF(AF57="Non","MW",""))))</f>
        <v>#NAME?</v>
      </c>
      <c r="AG59" s="156" t="e">
        <f t="shared" ref="AG59:BA59" ca="1" si="47">IF($AE57="Non",IF(AG57="Non","MW",IF(AG57="Oui","MW","")),IF($AE57="Oui",IF(AG57="Oui","T-Test Welch",IF(AG57="Non","MW",""))))</f>
        <v>#NAME?</v>
      </c>
      <c r="AH59" s="156" t="e">
        <f t="shared" ca="1" si="47"/>
        <v>#NAME?</v>
      </c>
      <c r="AI59" s="156" t="e">
        <f t="shared" ca="1" si="47"/>
        <v>#NAME?</v>
      </c>
      <c r="AJ59" s="156" t="e">
        <f t="shared" ca="1" si="47"/>
        <v>#NAME?</v>
      </c>
      <c r="AK59" s="156" t="e">
        <f t="shared" ca="1" si="47"/>
        <v>#NAME?</v>
      </c>
      <c r="AL59" s="156" t="e">
        <f t="shared" ca="1" si="47"/>
        <v>#NAME?</v>
      </c>
      <c r="AM59" s="156" t="e">
        <f t="shared" ca="1" si="47"/>
        <v>#NAME?</v>
      </c>
      <c r="AN59" s="156" t="e">
        <f t="shared" ca="1" si="47"/>
        <v>#NAME?</v>
      </c>
      <c r="AO59" s="156" t="e">
        <f t="shared" ca="1" si="47"/>
        <v>#NAME?</v>
      </c>
      <c r="AP59" s="156" t="e">
        <f t="shared" ca="1" si="47"/>
        <v>#NAME?</v>
      </c>
      <c r="AQ59" s="156" t="e">
        <f t="shared" ca="1" si="47"/>
        <v>#NAME?</v>
      </c>
      <c r="AR59" s="156" t="e">
        <f t="shared" ca="1" si="47"/>
        <v>#NAME?</v>
      </c>
      <c r="AS59" s="156" t="e">
        <f t="shared" ca="1" si="47"/>
        <v>#NAME?</v>
      </c>
      <c r="AT59" s="156" t="e">
        <f t="shared" ca="1" si="47"/>
        <v>#NAME?</v>
      </c>
      <c r="AU59" s="156" t="e">
        <f t="shared" ca="1" si="47"/>
        <v>#NAME?</v>
      </c>
      <c r="AV59" s="156" t="e">
        <f t="shared" ca="1" si="47"/>
        <v>#NAME?</v>
      </c>
      <c r="AW59" s="156" t="e">
        <f t="shared" ca="1" si="47"/>
        <v>#NAME?</v>
      </c>
      <c r="AX59" s="156" t="e">
        <f t="shared" ca="1" si="47"/>
        <v>#NAME?</v>
      </c>
      <c r="AY59" s="156" t="e">
        <f t="shared" ca="1" si="47"/>
        <v>#NAME?</v>
      </c>
      <c r="AZ59" s="156" t="e">
        <f t="shared" ca="1" si="47"/>
        <v>#NAME?</v>
      </c>
      <c r="BA59" s="156" t="e">
        <f t="shared" ca="1" si="47"/>
        <v>#NAME?</v>
      </c>
    </row>
    <row r="60" spans="1:53" s="3" customFormat="1" x14ac:dyDescent="0.35">
      <c r="A60" s="64" t="s">
        <v>83</v>
      </c>
      <c r="B60" s="157"/>
      <c r="C60" s="157" t="e">
        <f ca="1">IF(C59="MW",[1]!MTEST($B28:$B43,C28:C43,2), IF(C59="T-Test Welch",_xlfn.T.TEST($B28:$B43,C28:C43,2,3),""))</f>
        <v>#NAME?</v>
      </c>
      <c r="D60" s="157" t="e">
        <f ca="1">IF(D59="MW",[1]!MTEST($B28:$B43,D28:D43,2), IF(D59="T-Test Welch",_xlfn.T.TEST($B28:$B43,D28:D43,2,3),""))</f>
        <v>#NAME?</v>
      </c>
      <c r="E60" s="157" t="e">
        <f ca="1">IF(E59="MW",[1]!MTEST($B28:$B43,E28:E43,2), IF(E59="T-Test Welch",_xlfn.T.TEST($B28:$B43,E28:E43,2,3),""))</f>
        <v>#NAME?</v>
      </c>
      <c r="F60" s="157" t="e">
        <f ca="1">IF(F59="MW",[1]!MTEST($B28:$B43,F28:F43,2), IF(F59="T-Test Welch",_xlfn.T.TEST($B28:$B43,F28:F43,2,3),""))</f>
        <v>#NAME?</v>
      </c>
      <c r="G60" s="157" t="e">
        <f ca="1">IF(G59="MW",[1]!MTEST($B28:$B43,G28:G43,2), IF(G59="T-Test Welch",_xlfn.T.TEST($B28:$B43,G28:G43,2,3),""))</f>
        <v>#NAME?</v>
      </c>
      <c r="H60" s="157" t="e">
        <f ca="1">IF(H59="MW",[1]!MTEST($B28:$B43,H28:H43,2), IF(H59="T-Test Welch",_xlfn.T.TEST($B28:$B43,H28:H43,2,3),""))</f>
        <v>#NAME?</v>
      </c>
      <c r="I60" s="157" t="e">
        <f ca="1">IF(I59="MW",[1]!MTEST($B28:$B43,I28:I43,2), IF(I59="T-Test Welch",_xlfn.T.TEST($B28:$B43,I28:I43,2,3),""))</f>
        <v>#NAME?</v>
      </c>
      <c r="J60" s="157" t="e">
        <f ca="1">IF(J59="MW",[1]!MTEST($B28:$B43,J28:J43,2), IF(J59="T-Test Welch",_xlfn.T.TEST($B28:$B43,J28:J43,2,3),""))</f>
        <v>#NAME?</v>
      </c>
      <c r="K60" s="157" t="e">
        <f ca="1">IF(K59="MW",[1]!MTEST($B28:$B43,K28:K43,2), IF(K59="T-Test Welch",_xlfn.T.TEST($B28:$B43,K28:K43,2,3),""))</f>
        <v>#NAME?</v>
      </c>
      <c r="L60" s="157" t="e">
        <f ca="1">IF(L59="MW",[1]!MTEST($B28:$B43,L28:L43,2), IF(L59="T-Test Welch",_xlfn.T.TEST($B28:$B43,L28:L43,2,3),""))</f>
        <v>#NAME?</v>
      </c>
      <c r="M60" s="157" t="e">
        <f ca="1">IF(M59="MW",[1]!MTEST($B28:$B43,M28:M43,2), IF(M59="T-Test Welch",_xlfn.T.TEST($B28:$B43,M28:M43,2,3),""))</f>
        <v>#NAME?</v>
      </c>
      <c r="N60" s="157" t="e">
        <f ca="1">IF(N59="MW",[1]!MTEST($B28:$B43,N28:N43,2), IF(N59="T-Test Welch",_xlfn.T.TEST($B28:$B43,N28:N43,2,3),""))</f>
        <v>#NAME?</v>
      </c>
      <c r="O60" s="157" t="e">
        <f ca="1">IF(O59="MW",[1]!MTEST($B28:$B43,O28:O43,2), IF(O59="T-Test Welch",_xlfn.T.TEST($B28:$B43,O28:O43,2,3),""))</f>
        <v>#NAME?</v>
      </c>
      <c r="P60" s="157" t="e">
        <f ca="1">IF(P59="MW",[1]!MTEST($B28:$B43,P28:P43,2), IF(P59="T-Test Welch",_xlfn.T.TEST($B28:$B43,P28:P43,2,3),""))</f>
        <v>#NAME?</v>
      </c>
      <c r="Q60" s="157" t="e">
        <f ca="1">IF(Q59="MW",[1]!MTEST($B28:$B43,Q28:Q43,2), IF(Q59="T-Test Welch",_xlfn.T.TEST($B28:$B43,Q28:Q43,2,3),""))</f>
        <v>#NAME?</v>
      </c>
      <c r="R60" s="157" t="e">
        <f ca="1">IF(R59="MW",[1]!MTEST($B28:$B43,R28:R43,2), IF(R59="T-Test Welch",_xlfn.T.TEST($B28:$B43,R28:R43,2,3),""))</f>
        <v>#NAME?</v>
      </c>
      <c r="S60" s="157" t="e">
        <f ca="1">IF(S59="MW",[1]!MTEST($B28:$B43,S28:S43,2), IF(S59="T-Test Welch",_xlfn.T.TEST($B28:$B43,S28:S43,2,3),""))</f>
        <v>#NAME?</v>
      </c>
      <c r="T60" s="157" t="e">
        <f ca="1">IF(T59="MW",[1]!MTEST($B28:$B43,T28:T43,2), IF(T59="T-Test Welch",_xlfn.T.TEST($B28:$B43,T28:T43,2,3),""))</f>
        <v>#NAME?</v>
      </c>
      <c r="U60" s="157" t="e">
        <f ca="1">IF(U59="MW",[1]!MTEST($B28:$B43,U28:U43,2), IF(U59="T-Test Welch",_xlfn.T.TEST($B28:$B43,U28:U43,2,3),""))</f>
        <v>#NAME?</v>
      </c>
      <c r="V60" s="157" t="e">
        <f ca="1">IF(V59="MW",[1]!MTEST($B28:$B43,V28:V43,2), IF(V59="T-Test Welch",_xlfn.T.TEST($B28:$B43,V28:V43,2,3),""))</f>
        <v>#NAME?</v>
      </c>
      <c r="W60" s="157" t="e">
        <f ca="1">IF(W59="MW",[1]!MTEST($B28:$B43,W28:W43,2), IF(W59="T-Test Welch",_xlfn.T.TEST($B28:$B43,W28:W43,2,3),""))</f>
        <v>#NAME?</v>
      </c>
      <c r="X60" s="157" t="e">
        <f ca="1">IF(X59="MW",[1]!MTEST($B28:$B43,X28:X43,2), IF(X59="T-Test Welch",_xlfn.T.TEST($B28:$B43,X28:X43,2,3),""))</f>
        <v>#NAME?</v>
      </c>
      <c r="Y60" s="157" t="e">
        <f ca="1">IF(Y59="MW",[1]!MTEST($B28:$B43,Y28:Y43,2), IF(Y59="T-Test Welch",_xlfn.T.TEST($B28:$B43,Y28:Y43,2,3),""))</f>
        <v>#NAME?</v>
      </c>
      <c r="Z60" s="157" t="e">
        <f ca="1">IF(Z59="MW",[1]!MTEST($B28:$B43,Z28:Z43,2), IF(Z59="T-Test Welch",_xlfn.T.TEST($B28:$B43,Z28:Z43,2,3),""))</f>
        <v>#NAME?</v>
      </c>
      <c r="AA60" s="157" t="e">
        <f ca="1">IF(AA59="MW",[1]!MTEST($B28:$B43,AA28:AA43,2), IF(AA59="T-Test Welch",_xlfn.T.TEST($B28:$B43,AA28:AA43,2,3),""))</f>
        <v>#NAME?</v>
      </c>
      <c r="AB60" s="157" t="e">
        <f ca="1">IF(AB59="MW",[1]!MTEST($B28:$B43,AB28:AB43,2), IF(AB59="T-Test Welch",_xlfn.T.TEST($B28:$B43,AB28:AB43,2,3),""))</f>
        <v>#NAME?</v>
      </c>
      <c r="AC60" s="157" t="e">
        <f ca="1">IF(AC59="MW",[1]!MTEST($B28:$B43,AC28:AC43,2), IF(AC59="T-Test Welch",_xlfn.T.TEST($B28:$B43,AC28:AC43,2,3),""))</f>
        <v>#NAME?</v>
      </c>
      <c r="AD60" s="157"/>
      <c r="AE60" s="157" t="e">
        <f ca="1">IF(AE59="MW",[1]!MTEST($B28:$B43,AE28:AE43,2), IF(AE59="T-Test Welch",_xlfn.T.TEST($B28:$B43,AE28:AE43,2,3),""))</f>
        <v>#NAME?</v>
      </c>
      <c r="AF60" s="157" t="e">
        <f ca="1">IF(AF59="MW",[1]!MTEST($AE28:$AE43,AF28:AF43,2), IF(AF59="T-Test Welch",_xlfn.T.TEST($AE28:$AE43,AF28:AF43,2,3),""))</f>
        <v>#NAME?</v>
      </c>
      <c r="AG60" s="157" t="e">
        <f ca="1">IF(AG59="MW",[1]!MTEST($AE28:$AE43,AG28:AG43,2), IF(AG59="T-Test Welch",_xlfn.T.TEST($AE28:$AE43,AG28:AG43,2,3),""))</f>
        <v>#NAME?</v>
      </c>
      <c r="AH60" s="157" t="e">
        <f ca="1">IF(AH59="MW",[1]!MTEST($AE28:$AE43,AH28:AH43,2), IF(AH59="T-Test Welch",_xlfn.T.TEST($AE28:$AE43,AH28:AH43,2,3),""))</f>
        <v>#NAME?</v>
      </c>
      <c r="AI60" s="157" t="e">
        <f ca="1">IF(AI59="MW",[1]!MTEST($AE28:$AE43,AI28:AI43,2), IF(AI59="T-Test Welch",_xlfn.T.TEST($AE28:$AE43,AI28:AI43,2,3),""))</f>
        <v>#NAME?</v>
      </c>
      <c r="AJ60" s="157" t="e">
        <f ca="1">IF(AJ59="MW",[1]!MTEST($AE28:$AE43,AJ28:AJ43,2), IF(AJ59="T-Test Welch",_xlfn.T.TEST($AE28:$AE43,AJ28:AJ43,2,3),""))</f>
        <v>#NAME?</v>
      </c>
      <c r="AK60" s="157" t="e">
        <f ca="1">IF(AK59="MW",[1]!MTEST($AE28:$AE43,AK28:AK43,2), IF(AK59="T-Test Welch",_xlfn.T.TEST($AE28:$AE43,AK28:AK43,2,3),""))</f>
        <v>#NAME?</v>
      </c>
      <c r="AL60" s="157" t="e">
        <f ca="1">IF(AL59="MW",[1]!MTEST($AE28:$AE43,AL28:AL43,2), IF(AL59="T-Test Welch",_xlfn.T.TEST($AE28:$AE43,AL28:AL43,2,3),""))</f>
        <v>#NAME?</v>
      </c>
      <c r="AM60" s="157" t="e">
        <f ca="1">IF(AM59="MW",[1]!MTEST($AE28:$AE43,AM28:AM43,2), IF(AM59="T-Test Welch",_xlfn.T.TEST($AE28:$AE43,AM28:AM43,2,3),""))</f>
        <v>#NAME?</v>
      </c>
      <c r="AN60" s="157" t="e">
        <f ca="1">IF(AN59="MW",[1]!MTEST($AE28:$AE43,AN28:AN43,2), IF(AN59="T-Test Welch",_xlfn.T.TEST($AE28:$AE43,AN28:AN43,2,3),""))</f>
        <v>#NAME?</v>
      </c>
      <c r="AO60" s="157" t="e">
        <f ca="1">IF(AO59="MW",[1]!MTEST($AE28:$AE43,AO28:AO43,2), IF(AO59="T-Test Welch",_xlfn.T.TEST($AE28:$AE43,AO28:AO43,2,3),""))</f>
        <v>#NAME?</v>
      </c>
      <c r="AP60" s="157" t="e">
        <f ca="1">IF(AP59="MW",[1]!MTEST($AE28:$AE43,AP28:AP43,2), IF(AP59="T-Test Welch",_xlfn.T.TEST($AE28:$AE43,AP28:AP43,2,3),""))</f>
        <v>#NAME?</v>
      </c>
      <c r="AQ60" s="157" t="e">
        <f ca="1">IF(AQ59="MW",[1]!MTEST($AE28:$AE43,AQ28:AQ43,2), IF(AQ59="T-Test Welch",_xlfn.T.TEST($AE28:$AE43,AQ28:AQ43,2,3),""))</f>
        <v>#NAME?</v>
      </c>
      <c r="AR60" s="157" t="e">
        <f ca="1">IF(AR59="MW",[1]!MTEST($AE28:$AE43,AR28:AR43,2), IF(AR59="T-Test Welch",_xlfn.T.TEST($AE28:$AE43,AR28:AR43,2,3),""))</f>
        <v>#NAME?</v>
      </c>
      <c r="AS60" s="157" t="e">
        <f ca="1">IF(AS59="MW",[1]!MTEST($AE28:$AE43,AS28:AS43,2), IF(AS59="T-Test Welch",_xlfn.T.TEST($AE28:$AE43,AS28:AS43,2,3),""))</f>
        <v>#NAME?</v>
      </c>
      <c r="AT60" s="157" t="e">
        <f ca="1">IF(AT59="MW",[1]!MTEST($AE28:$AE43,AT28:AT43,2), IF(AT59="T-Test Welch",_xlfn.T.TEST($AE28:$AE43,AT28:AT43,2,3),""))</f>
        <v>#NAME?</v>
      </c>
      <c r="AU60" s="157" t="e">
        <f ca="1">IF(AU59="MW",[1]!MTEST($AE28:$AE43,AU28:AU43,2), IF(AU59="T-Test Welch",_xlfn.T.TEST($AE28:$AE43,AU28:AU43,2,3),""))</f>
        <v>#NAME?</v>
      </c>
      <c r="AV60" s="157" t="e">
        <f ca="1">IF(AV59="MW",[1]!MTEST($AE28:$AE43,AV28:AV43,2), IF(AV59="T-Test Welch",_xlfn.T.TEST($AE28:$AE43,AV28:AV43,2,3),""))</f>
        <v>#NAME?</v>
      </c>
      <c r="AW60" s="157" t="e">
        <f ca="1">IF(AW59="MW",[1]!MTEST($AE28:$AE43,AW28:AW43,2), IF(AW59="T-Test Welch",_xlfn.T.TEST($AE28:$AE43,AW28:AW43,2,3),""))</f>
        <v>#NAME?</v>
      </c>
      <c r="AX60" s="157" t="e">
        <f ca="1">IF(AX59="MW",[1]!MTEST($AE28:$AE43,AX28:AX43,2), IF(AX59="T-Test Welch",_xlfn.T.TEST($AE28:$AE43,AX28:AX43,2,3),""))</f>
        <v>#NAME?</v>
      </c>
      <c r="AY60" s="157" t="e">
        <f ca="1">IF(AY59="MW",[1]!MTEST($AE28:$AE43,AY28:AY43,2), IF(AY59="T-Test Welch",_xlfn.T.TEST($AE28:$AE43,AY28:AY43,2,3),""))</f>
        <v>#NAME?</v>
      </c>
      <c r="AZ60" s="157" t="e">
        <f ca="1">IF(AZ59="MW",[1]!MTEST($AE28:$AE43,AZ28:AZ43,2), IF(AZ59="T-Test Welch",_xlfn.T.TEST($AE28:$AE43,AZ28:AZ43,2,3),""))</f>
        <v>#NAME?</v>
      </c>
      <c r="BA60" s="157" t="e">
        <f ca="1">IF(BA59="MW",[1]!MTEST($AE28:$AE43,BA28:BA43,2), IF(BA59="T-Test Welch",_xlfn.T.TEST($AE28:$AE43,BA28:BA43,2,3),""))</f>
        <v>#NAME?</v>
      </c>
    </row>
    <row r="61" spans="1:53" s="3" customFormat="1" ht="15" thickBot="1" x14ac:dyDescent="0.4">
      <c r="A61" s="65" t="s">
        <v>84</v>
      </c>
      <c r="B61" s="146"/>
      <c r="C61" s="146" t="e">
        <f t="shared" ref="C61:AE61" ca="1" si="48">IF(C60&gt;0.05,"NS",IF(C60&gt;0.01,"*",IF(C60&gt;0.001,"**","***")))</f>
        <v>#NAME?</v>
      </c>
      <c r="D61" s="146" t="e">
        <f t="shared" ca="1" si="48"/>
        <v>#NAME?</v>
      </c>
      <c r="E61" s="146" t="e">
        <f t="shared" ca="1" si="48"/>
        <v>#NAME?</v>
      </c>
      <c r="F61" s="146" t="e">
        <f t="shared" ca="1" si="48"/>
        <v>#NAME?</v>
      </c>
      <c r="G61" s="146" t="e">
        <f t="shared" ca="1" si="48"/>
        <v>#NAME?</v>
      </c>
      <c r="H61" s="146" t="e">
        <f t="shared" ca="1" si="48"/>
        <v>#NAME?</v>
      </c>
      <c r="I61" s="146" t="e">
        <f t="shared" ca="1" si="48"/>
        <v>#NAME?</v>
      </c>
      <c r="J61" s="146" t="e">
        <f t="shared" ca="1" si="48"/>
        <v>#NAME?</v>
      </c>
      <c r="K61" s="146" t="e">
        <f t="shared" ca="1" si="48"/>
        <v>#NAME?</v>
      </c>
      <c r="L61" s="146" t="e">
        <f t="shared" ca="1" si="48"/>
        <v>#NAME?</v>
      </c>
      <c r="M61" s="146" t="e">
        <f t="shared" ca="1" si="48"/>
        <v>#NAME?</v>
      </c>
      <c r="N61" s="146" t="e">
        <f t="shared" ca="1" si="48"/>
        <v>#NAME?</v>
      </c>
      <c r="O61" s="146" t="e">
        <f t="shared" ca="1" si="48"/>
        <v>#NAME?</v>
      </c>
      <c r="P61" s="146" t="e">
        <f t="shared" ca="1" si="48"/>
        <v>#NAME?</v>
      </c>
      <c r="Q61" s="146" t="e">
        <f t="shared" ca="1" si="48"/>
        <v>#NAME?</v>
      </c>
      <c r="R61" s="146" t="e">
        <f t="shared" ca="1" si="48"/>
        <v>#NAME?</v>
      </c>
      <c r="S61" s="146" t="e">
        <f t="shared" ca="1" si="48"/>
        <v>#NAME?</v>
      </c>
      <c r="T61" s="146" t="e">
        <f t="shared" ca="1" si="48"/>
        <v>#NAME?</v>
      </c>
      <c r="U61" s="146" t="e">
        <f t="shared" ca="1" si="48"/>
        <v>#NAME?</v>
      </c>
      <c r="V61" s="146" t="e">
        <f t="shared" ca="1" si="48"/>
        <v>#NAME?</v>
      </c>
      <c r="W61" s="146" t="e">
        <f t="shared" ca="1" si="48"/>
        <v>#NAME?</v>
      </c>
      <c r="X61" s="146" t="e">
        <f t="shared" ca="1" si="48"/>
        <v>#NAME?</v>
      </c>
      <c r="Y61" s="146" t="e">
        <f t="shared" ca="1" si="48"/>
        <v>#NAME?</v>
      </c>
      <c r="Z61" s="146" t="e">
        <f t="shared" ca="1" si="48"/>
        <v>#NAME?</v>
      </c>
      <c r="AA61" s="146" t="e">
        <f t="shared" ca="1" si="48"/>
        <v>#NAME?</v>
      </c>
      <c r="AB61" s="146" t="e">
        <f t="shared" ca="1" si="48"/>
        <v>#NAME?</v>
      </c>
      <c r="AC61" s="146" t="e">
        <f t="shared" ca="1" si="48"/>
        <v>#NAME?</v>
      </c>
      <c r="AD61" s="146"/>
      <c r="AE61" s="146" t="e">
        <f t="shared" ca="1" si="48"/>
        <v>#NAME?</v>
      </c>
      <c r="AF61" s="146" t="e">
        <f ca="1">IF(AF60&gt;0.05,"NS",IF(AF60&gt;0.01,"*",IF(AF60&gt;0.001,"**","***")))</f>
        <v>#NAME?</v>
      </c>
      <c r="AG61" s="146" t="e">
        <f t="shared" ref="AG61:BA61" ca="1" si="49">IF(AG60&gt;0.05,"NS",IF(AG60&gt;0.01,"*",IF(AG60&gt;0.001,"**","***")))</f>
        <v>#NAME?</v>
      </c>
      <c r="AH61" s="146" t="e">
        <f t="shared" ca="1" si="49"/>
        <v>#NAME?</v>
      </c>
      <c r="AI61" s="146" t="e">
        <f t="shared" ca="1" si="49"/>
        <v>#NAME?</v>
      </c>
      <c r="AJ61" s="146" t="e">
        <f t="shared" ca="1" si="49"/>
        <v>#NAME?</v>
      </c>
      <c r="AK61" s="146" t="e">
        <f t="shared" ca="1" si="49"/>
        <v>#NAME?</v>
      </c>
      <c r="AL61" s="146" t="e">
        <f t="shared" ca="1" si="49"/>
        <v>#NAME?</v>
      </c>
      <c r="AM61" s="146" t="e">
        <f t="shared" ca="1" si="49"/>
        <v>#NAME?</v>
      </c>
      <c r="AN61" s="146" t="e">
        <f t="shared" ca="1" si="49"/>
        <v>#NAME?</v>
      </c>
      <c r="AO61" s="146" t="e">
        <f t="shared" ca="1" si="49"/>
        <v>#NAME?</v>
      </c>
      <c r="AP61" s="146" t="e">
        <f t="shared" ca="1" si="49"/>
        <v>#NAME?</v>
      </c>
      <c r="AQ61" s="146" t="e">
        <f t="shared" ca="1" si="49"/>
        <v>#NAME?</v>
      </c>
      <c r="AR61" s="146" t="e">
        <f t="shared" ca="1" si="49"/>
        <v>#NAME?</v>
      </c>
      <c r="AS61" s="146" t="e">
        <f t="shared" ca="1" si="49"/>
        <v>#NAME?</v>
      </c>
      <c r="AT61" s="146" t="e">
        <f t="shared" ca="1" si="49"/>
        <v>#NAME?</v>
      </c>
      <c r="AU61" s="146" t="e">
        <f t="shared" ca="1" si="49"/>
        <v>#NAME?</v>
      </c>
      <c r="AV61" s="146" t="e">
        <f t="shared" ca="1" si="49"/>
        <v>#NAME?</v>
      </c>
      <c r="AW61" s="146" t="e">
        <f t="shared" ca="1" si="49"/>
        <v>#NAME?</v>
      </c>
      <c r="AX61" s="146" t="e">
        <f t="shared" ca="1" si="49"/>
        <v>#NAME?</v>
      </c>
      <c r="AY61" s="146" t="e">
        <f t="shared" ca="1" si="49"/>
        <v>#NAME?</v>
      </c>
      <c r="AZ61" s="146" t="e">
        <f t="shared" ca="1" si="49"/>
        <v>#NAME?</v>
      </c>
      <c r="BA61" s="146" t="e">
        <f t="shared" ca="1" si="49"/>
        <v>#NAME?</v>
      </c>
    </row>
    <row r="63" spans="1:53" x14ac:dyDescent="0.35">
      <c r="A63" s="2" t="s">
        <v>39</v>
      </c>
    </row>
    <row r="64" spans="1:53" x14ac:dyDescent="0.35">
      <c r="A64" s="1" t="s">
        <v>23</v>
      </c>
      <c r="B64" s="1">
        <f>B46+(3*B47)</f>
        <v>0.25077790795484911</v>
      </c>
    </row>
    <row r="65" spans="1:53" x14ac:dyDescent="0.35">
      <c r="A65" s="1" t="s">
        <v>24</v>
      </c>
      <c r="B65" s="1">
        <f>B46+(10*B47)</f>
        <v>0.66085940525523301</v>
      </c>
    </row>
    <row r="66" spans="1:53" ht="15" thickBot="1" x14ac:dyDescent="0.4"/>
    <row r="67" spans="1:53" ht="26.5" thickBot="1" x14ac:dyDescent="0.65">
      <c r="A67" s="224" t="s">
        <v>45</v>
      </c>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225"/>
      <c r="AD67" s="225"/>
      <c r="AE67" s="225"/>
      <c r="AF67" s="225"/>
      <c r="AG67" s="225"/>
      <c r="AH67" s="225"/>
      <c r="AI67" s="225"/>
      <c r="AJ67" s="225"/>
      <c r="AK67" s="225"/>
      <c r="AL67" s="225"/>
      <c r="AM67" s="225"/>
      <c r="AN67" s="225"/>
      <c r="AO67" s="225"/>
      <c r="AP67" s="225"/>
      <c r="AQ67" s="225"/>
      <c r="AR67" s="225"/>
      <c r="AS67" s="225"/>
      <c r="AT67" s="225"/>
      <c r="AU67" s="225"/>
      <c r="AV67" s="225"/>
      <c r="AW67" s="225"/>
      <c r="AX67" s="225"/>
      <c r="AY67" s="225"/>
      <c r="AZ67" s="225"/>
      <c r="BA67" s="226"/>
    </row>
    <row r="68" spans="1:53" ht="16.5" x14ac:dyDescent="0.35">
      <c r="A68" s="12"/>
      <c r="B68" s="12"/>
      <c r="C68" s="12"/>
      <c r="D68" s="12"/>
      <c r="E68" s="12"/>
      <c r="F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row>
    <row r="69" spans="1:53" ht="16.5" x14ac:dyDescent="0.35">
      <c r="A69" s="12"/>
      <c r="B69" s="12"/>
      <c r="C69" s="12"/>
      <c r="D69" s="12"/>
      <c r="E69" s="12"/>
      <c r="F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row>
    <row r="70" spans="1:53" ht="16.5" x14ac:dyDescent="0.35">
      <c r="A70" s="12"/>
      <c r="B70" s="12"/>
      <c r="C70" s="12"/>
      <c r="D70" s="12"/>
      <c r="E70" s="12"/>
      <c r="F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row>
    <row r="71" spans="1:53" ht="16.5" x14ac:dyDescent="0.35">
      <c r="A71" s="12"/>
      <c r="B71" s="12"/>
      <c r="C71" s="12"/>
      <c r="D71" s="12"/>
      <c r="E71" s="12"/>
      <c r="F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row>
    <row r="72" spans="1:53" ht="16.5" x14ac:dyDescent="0.35">
      <c r="A72" s="12"/>
      <c r="B72" s="12"/>
      <c r="C72" s="12"/>
      <c r="D72" s="12"/>
      <c r="E72" s="12"/>
      <c r="F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row>
    <row r="73" spans="1:53" ht="16.5" x14ac:dyDescent="0.35">
      <c r="A73" s="12"/>
      <c r="B73" s="12"/>
      <c r="C73" s="12"/>
      <c r="D73" s="12"/>
      <c r="E73" s="12"/>
      <c r="F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row>
    <row r="74" spans="1:53" ht="16.5" x14ac:dyDescent="0.35">
      <c r="A74" s="12"/>
      <c r="B74" s="12"/>
      <c r="C74" s="12"/>
      <c r="D74" s="12"/>
      <c r="E74" s="12"/>
      <c r="F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row>
  </sheetData>
  <protectedRanges>
    <protectedRange sqref="AE51:BA51" name="Plage2"/>
    <protectedRange sqref="AH5:BA20" name="Plage1"/>
    <protectedRange sqref="B51:J51" name="Plage2_1"/>
    <protectedRange sqref="AE5:AE20 B5:J20" name="Plage1_1"/>
  </protectedRanges>
  <mergeCells count="9">
    <mergeCell ref="A28:A43"/>
    <mergeCell ref="A50:BA50"/>
    <mergeCell ref="A67:BA67"/>
    <mergeCell ref="A1:BA1"/>
    <mergeCell ref="B3:AC3"/>
    <mergeCell ref="AE3:BA3"/>
    <mergeCell ref="A5:A20"/>
    <mergeCell ref="B26:AC26"/>
    <mergeCell ref="AE26:BA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30"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94"/>
  <sheetViews>
    <sheetView showGridLines="0" tabSelected="1" topLeftCell="Q75" zoomScale="78" zoomScaleNormal="78" workbookViewId="0">
      <selection activeCell="B94" sqref="B94:V94"/>
    </sheetView>
  </sheetViews>
  <sheetFormatPr baseColWidth="10" defaultRowHeight="14.5" x14ac:dyDescent="0.35"/>
  <cols>
    <col min="1" max="1" width="42.81640625" customWidth="1"/>
    <col min="2" max="2" width="14" bestFit="1" customWidth="1"/>
    <col min="3" max="13" width="22.7265625" bestFit="1" customWidth="1"/>
    <col min="14" max="14" width="8.453125" customWidth="1"/>
    <col min="15" max="15" width="22.7265625" customWidth="1"/>
    <col min="18" max="30" width="29.1796875" customWidth="1"/>
    <col min="31" max="36" width="29.1796875" style="1" customWidth="1"/>
    <col min="37" max="37" width="29.1796875" customWidth="1"/>
  </cols>
  <sheetData>
    <row r="1" spans="1:37" s="1" customFormat="1" ht="21.5" thickBot="1" x14ac:dyDescent="0.4">
      <c r="A1" s="37" t="s">
        <v>8</v>
      </c>
      <c r="B1" s="57" t="e">
        <f>'Page de garde'!#REF!</f>
        <v>#REF!</v>
      </c>
      <c r="C1" s="38"/>
      <c r="D1" s="38"/>
      <c r="E1" s="38"/>
      <c r="F1" s="38"/>
      <c r="G1" s="38"/>
      <c r="H1" s="58"/>
      <c r="I1" s="57"/>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60"/>
    </row>
    <row r="2" spans="1:37" ht="15" thickBot="1" x14ac:dyDescent="0.4">
      <c r="A2" s="1"/>
      <c r="B2" s="1"/>
      <c r="C2" s="1"/>
      <c r="D2" s="1"/>
      <c r="E2" s="1"/>
      <c r="F2" s="1"/>
      <c r="G2" s="1"/>
      <c r="H2" s="1"/>
      <c r="I2" s="1"/>
      <c r="J2" s="1"/>
      <c r="K2" s="1"/>
      <c r="L2" s="1"/>
      <c r="M2" s="1"/>
    </row>
    <row r="3" spans="1:37" s="33" customFormat="1" ht="15" thickBot="1" x14ac:dyDescent="0.4">
      <c r="B3" s="231" t="s">
        <v>6</v>
      </c>
      <c r="C3" s="232"/>
      <c r="D3" s="232"/>
      <c r="E3" s="232"/>
      <c r="F3" s="232"/>
      <c r="G3" s="232"/>
      <c r="H3" s="232"/>
      <c r="I3" s="232"/>
      <c r="J3" s="232"/>
      <c r="K3" s="232"/>
      <c r="L3" s="232"/>
      <c r="M3" s="232"/>
      <c r="N3" s="75"/>
      <c r="O3" s="231" t="s">
        <v>3</v>
      </c>
      <c r="P3" s="232"/>
      <c r="Q3" s="232"/>
      <c r="R3" s="232"/>
      <c r="S3" s="232"/>
      <c r="T3" s="232"/>
      <c r="U3" s="232"/>
      <c r="V3" s="232"/>
      <c r="W3" s="232"/>
      <c r="X3" s="232"/>
      <c r="Y3" s="232"/>
      <c r="Z3" s="232"/>
      <c r="AA3" s="232"/>
      <c r="AB3" s="232"/>
      <c r="AC3" s="232"/>
      <c r="AD3" s="232"/>
      <c r="AE3" s="232"/>
      <c r="AF3" s="232"/>
      <c r="AG3" s="232"/>
      <c r="AH3" s="232"/>
      <c r="AI3" s="232"/>
      <c r="AJ3" s="232"/>
      <c r="AK3" s="233"/>
    </row>
    <row r="4" spans="1:37" x14ac:dyDescent="0.3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Testo-3.7µg/L</v>
      </c>
      <c r="J4" s="35" t="str">
        <f>'R1'!J4</f>
        <v>Testo-11µg/L</v>
      </c>
      <c r="K4" s="35" t="str">
        <f>'R1'!K4</f>
        <v>Testo-33µg/L</v>
      </c>
      <c r="L4" s="35" t="str">
        <f>'R1'!L4</f>
        <v>Testo-100µg/L</v>
      </c>
      <c r="M4" s="35" t="str">
        <f>'R1'!M4</f>
        <v>Testo-300µg/L</v>
      </c>
      <c r="O4" s="35" t="str">
        <f>'R1'!AE4</f>
        <v>Testo -30µg/L</v>
      </c>
      <c r="P4" s="35" t="str">
        <f>'R1'!AF4</f>
        <v>Testo 30µg/L + EE2 -64ng/L</v>
      </c>
      <c r="Q4" s="35" t="str">
        <f>'R1'!AG4</f>
        <v>Testo 30µg/L + FAD-10mg/L</v>
      </c>
      <c r="R4" s="35" t="str">
        <f>'R1'!AH4</f>
        <v>Testo-3,7µg/L + Testostérone</v>
      </c>
      <c r="S4" s="35" t="str">
        <f>'R1'!AI4</f>
        <v>Testo-11µg/L + Testostérone</v>
      </c>
      <c r="T4" s="35" t="str">
        <f>'R1'!AJ4</f>
        <v>Testo-33µg/L + Testostérone</v>
      </c>
      <c r="U4" s="35" t="str">
        <f>'R1'!AK4</f>
        <v>Testo-100µg/L + Testostérone</v>
      </c>
      <c r="V4" s="35" t="str">
        <f>'R1'!AL4</f>
        <v>Testo-300µg/L + Testostérone</v>
      </c>
      <c r="W4" s="35" t="str">
        <f>'R1'!AM4</f>
        <v>0-00 + Testostérone</v>
      </c>
      <c r="X4" s="35" t="str">
        <f>'R1'!AN4</f>
        <v>0-00 + Testostérone</v>
      </c>
      <c r="Y4" s="35" t="str">
        <f>'R1'!AO4</f>
        <v>0-00 + Testostérone</v>
      </c>
      <c r="Z4" s="35" t="str">
        <f>'R1'!AP4</f>
        <v>0-00 + Testostérone</v>
      </c>
      <c r="AA4" s="35" t="str">
        <f>'R1'!AQ4</f>
        <v>0-00 + Testostérone</v>
      </c>
      <c r="AB4" s="35" t="str">
        <f>'R1'!AR4</f>
        <v>0-00 + Testostérone</v>
      </c>
      <c r="AC4" s="35" t="str">
        <f>'R1'!AS4</f>
        <v>0-00 + Testostérone</v>
      </c>
      <c r="AD4" s="35" t="str">
        <f>'R1'!AT4</f>
        <v>0-00 + Testostérone</v>
      </c>
      <c r="AE4" s="35" t="str">
        <f>'R1'!AU4</f>
        <v>0-00 + Testostérone</v>
      </c>
      <c r="AF4" s="35" t="str">
        <f>'R1'!AV4</f>
        <v>0-00 + Testostérone</v>
      </c>
      <c r="AG4" s="35" t="str">
        <f>'R1'!AW4</f>
        <v>0-00 + Testostérone</v>
      </c>
      <c r="AH4" s="35" t="str">
        <f>'R1'!AX4</f>
        <v>0-00 + Testostérone</v>
      </c>
      <c r="AI4" s="35" t="str">
        <f>'R1'!AY4</f>
        <v>0-00 + Testostérone</v>
      </c>
      <c r="AJ4" s="35" t="str">
        <f>'R1'!AZ4</f>
        <v>0-00 + Testostérone</v>
      </c>
      <c r="AK4" s="35" t="str">
        <f>'R1'!BA4</f>
        <v>0-00 + Testostérone</v>
      </c>
    </row>
    <row r="5" spans="1:37" s="1" customFormat="1" x14ac:dyDescent="0.35">
      <c r="A5" s="34"/>
      <c r="B5" s="35"/>
      <c r="C5" s="199" t="s">
        <v>165</v>
      </c>
      <c r="D5" s="35"/>
      <c r="E5" s="35"/>
      <c r="F5" s="35"/>
      <c r="G5" s="35"/>
      <c r="H5" s="35"/>
      <c r="I5" s="35"/>
      <c r="J5" s="35"/>
      <c r="K5" s="35"/>
      <c r="L5" s="35"/>
      <c r="M5" s="35"/>
      <c r="O5" s="35"/>
      <c r="P5" s="35"/>
      <c r="Q5" s="35"/>
      <c r="R5" s="35"/>
      <c r="S5" s="35"/>
      <c r="T5" s="35"/>
      <c r="U5" s="35"/>
      <c r="V5" s="35"/>
      <c r="W5" s="35"/>
      <c r="X5" s="35"/>
      <c r="Y5" s="35"/>
      <c r="Z5" s="35"/>
      <c r="AA5" s="35"/>
      <c r="AB5" s="35"/>
      <c r="AC5" s="35"/>
      <c r="AD5" s="35"/>
      <c r="AE5" s="35"/>
      <c r="AF5" s="35"/>
      <c r="AG5" s="35"/>
      <c r="AH5" s="35"/>
      <c r="AI5" s="35"/>
      <c r="AJ5" s="35"/>
      <c r="AK5" s="35"/>
    </row>
    <row r="6" spans="1:37" s="1" customFormat="1" x14ac:dyDescent="0.35">
      <c r="A6" s="74" t="s">
        <v>4</v>
      </c>
      <c r="B6" s="55">
        <f>'R1'!B28</f>
        <v>0.28883449711217046</v>
      </c>
      <c r="C6" s="55">
        <f>'R1'!C28</f>
        <v>0.34313222944839611</v>
      </c>
      <c r="D6" s="55">
        <f>'R1'!D28</f>
        <v>0.20867401586296927</v>
      </c>
      <c r="E6" s="55">
        <f>'R1'!E28</f>
        <v>0.79232806662530919</v>
      </c>
      <c r="F6" s="55">
        <f>'R1'!F28</f>
        <v>3.9109972293801056</v>
      </c>
      <c r="G6" s="55">
        <f>'R1'!G28</f>
        <v>4.2083867233606442</v>
      </c>
      <c r="H6" s="55">
        <f>'R1'!H28</f>
        <v>5.7100040972523658</v>
      </c>
      <c r="I6" s="55">
        <f>'R1'!I28</f>
        <v>0.10095263373459101</v>
      </c>
      <c r="J6" s="55">
        <f>'R1'!J28</f>
        <v>1.3937175045666799</v>
      </c>
      <c r="K6" s="55">
        <f>'R1'!K28</f>
        <v>0.90000953002332829</v>
      </c>
      <c r="L6" s="55">
        <f>'R1'!L28</f>
        <v>3.0137457624394144</v>
      </c>
      <c r="M6" s="55">
        <f>'R1'!M28</f>
        <v>1.9930527338204835</v>
      </c>
      <c r="N6"/>
      <c r="O6" s="55">
        <f>'R1'!AE28</f>
        <v>2.3276597907392858</v>
      </c>
      <c r="P6" s="55">
        <f>'R1'!AF28</f>
        <v>7.0241167709430057</v>
      </c>
      <c r="Q6" s="55">
        <f>'R1'!AG28</f>
        <v>6.9075003944842353E-2</v>
      </c>
      <c r="R6" s="55">
        <f>'R1'!AH28</f>
        <v>3.4872667891565001</v>
      </c>
      <c r="S6" s="55">
        <f>'R1'!AI28</f>
        <v>3.1138651500322538</v>
      </c>
      <c r="T6" s="55">
        <f>'R1'!AJ28</f>
        <v>1.7878025520487861</v>
      </c>
      <c r="U6" s="55">
        <f>'R1'!AK28</f>
        <v>3.3417822881082819</v>
      </c>
      <c r="V6" s="55">
        <f>'R1'!AL28</f>
        <v>5.2476777508031498</v>
      </c>
      <c r="W6" s="55" t="str">
        <f>'R1'!AM28</f>
        <v/>
      </c>
      <c r="X6" s="55" t="str">
        <f>'R1'!AN28</f>
        <v/>
      </c>
      <c r="Y6" s="55" t="str">
        <f>'R1'!AO28</f>
        <v/>
      </c>
      <c r="Z6" s="55" t="str">
        <f>'R1'!AP28</f>
        <v/>
      </c>
      <c r="AA6" s="55" t="str">
        <f>'R1'!AQ28</f>
        <v/>
      </c>
      <c r="AB6" s="55" t="str">
        <f>'R1'!AR28</f>
        <v/>
      </c>
      <c r="AC6" s="55" t="str">
        <f>'R1'!AS28</f>
        <v/>
      </c>
      <c r="AD6" s="55" t="str">
        <f>'R1'!AT28</f>
        <v/>
      </c>
      <c r="AE6" s="55" t="str">
        <f>'R1'!AU28</f>
        <v/>
      </c>
      <c r="AF6" s="55" t="str">
        <f>'R1'!AV28</f>
        <v/>
      </c>
      <c r="AG6" s="55" t="str">
        <f>'R1'!AW28</f>
        <v/>
      </c>
      <c r="AH6" s="55" t="str">
        <f>'R1'!AX28</f>
        <v/>
      </c>
      <c r="AI6" s="55" t="str">
        <f>'R1'!AY28</f>
        <v/>
      </c>
      <c r="AJ6" s="55" t="str">
        <f>'R1'!AZ28</f>
        <v/>
      </c>
      <c r="AK6" s="55" t="str">
        <f>'R1'!BA28</f>
        <v/>
      </c>
    </row>
    <row r="7" spans="1:37" s="1" customFormat="1" x14ac:dyDescent="0.35">
      <c r="A7" s="236" t="s">
        <v>34</v>
      </c>
      <c r="B7" s="55">
        <f>'R1'!B29</f>
        <v>0.29836268509653779</v>
      </c>
      <c r="C7" s="55">
        <f>'R1'!C29</f>
        <v>5.3731987571479185E-2</v>
      </c>
      <c r="D7" s="55">
        <f>'R1'!D29</f>
        <v>0.13499413401139909</v>
      </c>
      <c r="E7" s="55">
        <f>'R1'!E29</f>
        <v>2.5293367873078503</v>
      </c>
      <c r="F7" s="55">
        <f>'R1'!F29</f>
        <v>2.2373360925078187</v>
      </c>
      <c r="G7" s="55">
        <f>'R1'!G29</f>
        <v>0.63045899152653828</v>
      </c>
      <c r="H7" s="55">
        <f>'R1'!H29</f>
        <v>5.1668225918785016</v>
      </c>
      <c r="I7" s="55">
        <f>'R1'!I29</f>
        <v>0.64230820132150568</v>
      </c>
      <c r="J7" s="55">
        <f>'R1'!J29</f>
        <v>0.34123677801030394</v>
      </c>
      <c r="K7" s="55">
        <f>'R1'!K29</f>
        <v>1.1049821160264357</v>
      </c>
      <c r="L7" s="55">
        <f>'R1'!L29</f>
        <v>0.57843433264088351</v>
      </c>
      <c r="M7" s="55">
        <f>'R1'!M29</f>
        <v>3.7723902208532052</v>
      </c>
      <c r="N7"/>
      <c r="O7" s="55">
        <f>'R1'!AE29</f>
        <v>9.9692211294397551E-2</v>
      </c>
      <c r="P7" s="55">
        <f>'R1'!AF29</f>
        <v>5.6731141432046366</v>
      </c>
      <c r="Q7" s="55">
        <f>'R1'!AG29</f>
        <v>0.183157688115755</v>
      </c>
      <c r="R7" s="55">
        <f>'R1'!AH29</f>
        <v>3.77787881685961</v>
      </c>
      <c r="S7" s="55">
        <f>'R1'!AI29</f>
        <v>1.8343890868859614</v>
      </c>
      <c r="T7" s="55">
        <f>'R1'!AJ29</f>
        <v>2.8481738809728379</v>
      </c>
      <c r="U7" s="55">
        <f>'R1'!AK29</f>
        <v>0.12122905457717874</v>
      </c>
      <c r="V7" s="55" t="str">
        <f>'R1'!AL29</f>
        <v/>
      </c>
      <c r="W7" s="55" t="str">
        <f>'R1'!AM29</f>
        <v/>
      </c>
      <c r="X7" s="55" t="str">
        <f>'R1'!AN29</f>
        <v/>
      </c>
      <c r="Y7" s="55" t="str">
        <f>'R1'!AO29</f>
        <v/>
      </c>
      <c r="Z7" s="55" t="str">
        <f>'R1'!AP29</f>
        <v/>
      </c>
      <c r="AA7" s="55" t="str">
        <f>'R1'!AQ29</f>
        <v/>
      </c>
      <c r="AB7" s="55" t="str">
        <f>'R1'!AR29</f>
        <v/>
      </c>
      <c r="AC7" s="55" t="str">
        <f>'R1'!AS29</f>
        <v/>
      </c>
      <c r="AD7" s="55" t="str">
        <f>'R1'!AT29</f>
        <v/>
      </c>
      <c r="AE7" s="55" t="str">
        <f>'R1'!AU29</f>
        <v/>
      </c>
      <c r="AF7" s="55" t="str">
        <f>'R1'!AV29</f>
        <v/>
      </c>
      <c r="AG7" s="55" t="str">
        <f>'R1'!AW29</f>
        <v/>
      </c>
      <c r="AH7" s="55" t="str">
        <f>'R1'!AX29</f>
        <v/>
      </c>
      <c r="AI7" s="55" t="str">
        <f>'R1'!AY29</f>
        <v/>
      </c>
      <c r="AJ7" s="55" t="str">
        <f>'R1'!AZ29</f>
        <v/>
      </c>
      <c r="AK7" s="55" t="str">
        <f>'R1'!BA29</f>
        <v/>
      </c>
    </row>
    <row r="8" spans="1:37" s="1" customFormat="1" x14ac:dyDescent="0.35">
      <c r="A8" s="237"/>
      <c r="B8" s="55">
        <f>'R1'!B30</f>
        <v>0.57688576120453372</v>
      </c>
      <c r="C8" s="55">
        <f>'R1'!C30</f>
        <v>0.2181521907253923</v>
      </c>
      <c r="D8" s="55">
        <f>'R1'!D30</f>
        <v>0.27663771906148893</v>
      </c>
      <c r="E8" s="55">
        <f>'R1'!E30</f>
        <v>0.38998626566257655</v>
      </c>
      <c r="F8" s="55">
        <f>'R1'!F30</f>
        <v>3.9713281960323501</v>
      </c>
      <c r="G8" s="55">
        <f>'R1'!G30</f>
        <v>4.3719881337062114</v>
      </c>
      <c r="H8" s="55">
        <f>'R1'!H30</f>
        <v>7.1525711157152063</v>
      </c>
      <c r="I8" s="55">
        <f>'R1'!I30</f>
        <v>0.34222924023751122</v>
      </c>
      <c r="J8" s="55">
        <f>'R1'!J30</f>
        <v>0.36520453432116839</v>
      </c>
      <c r="K8" s="55">
        <f>'R1'!K30</f>
        <v>1.5264491183550744</v>
      </c>
      <c r="L8" s="55">
        <f>'R1'!L30</f>
        <v>3.12989320852546</v>
      </c>
      <c r="M8" s="55" t="str">
        <f>'R1'!M30</f>
        <v/>
      </c>
      <c r="N8"/>
      <c r="O8" s="55">
        <f>'R1'!AE30</f>
        <v>2.0381898057932353</v>
      </c>
      <c r="P8" s="55">
        <f>'R1'!AF30</f>
        <v>5.4581687571514363</v>
      </c>
      <c r="Q8" s="55">
        <f>'R1'!AG30</f>
        <v>0.12077687171776459</v>
      </c>
      <c r="R8" s="55">
        <f>'R1'!AH30</f>
        <v>0.80207466053669951</v>
      </c>
      <c r="S8" s="55">
        <f>'R1'!AI30</f>
        <v>2.7192639120713644</v>
      </c>
      <c r="T8" s="55">
        <f>'R1'!AJ30</f>
        <v>0.10769109895362301</v>
      </c>
      <c r="U8" s="55">
        <f>'R1'!AK30</f>
        <v>3.5076326830154105</v>
      </c>
      <c r="V8" s="55">
        <f>'R1'!AL30</f>
        <v>4.7739681424978153</v>
      </c>
      <c r="W8" s="55" t="str">
        <f>'R1'!AM30</f>
        <v/>
      </c>
      <c r="X8" s="55" t="str">
        <f>'R1'!AN30</f>
        <v/>
      </c>
      <c r="Y8" s="55" t="str">
        <f>'R1'!AO30</f>
        <v/>
      </c>
      <c r="Z8" s="55" t="str">
        <f>'R1'!AP30</f>
        <v/>
      </c>
      <c r="AA8" s="55" t="str">
        <f>'R1'!AQ30</f>
        <v/>
      </c>
      <c r="AB8" s="55" t="str">
        <f>'R1'!AR30</f>
        <v/>
      </c>
      <c r="AC8" s="55" t="str">
        <f>'R1'!AS30</f>
        <v/>
      </c>
      <c r="AD8" s="55" t="str">
        <f>'R1'!AT30</f>
        <v/>
      </c>
      <c r="AE8" s="55" t="str">
        <f>'R1'!AU30</f>
        <v/>
      </c>
      <c r="AF8" s="55" t="str">
        <f>'R1'!AV30</f>
        <v/>
      </c>
      <c r="AG8" s="55" t="str">
        <f>'R1'!AW30</f>
        <v/>
      </c>
      <c r="AH8" s="55" t="str">
        <f>'R1'!AX30</f>
        <v/>
      </c>
      <c r="AI8" s="55" t="str">
        <f>'R1'!AY30</f>
        <v/>
      </c>
      <c r="AJ8" s="55" t="str">
        <f>'R1'!AZ30</f>
        <v/>
      </c>
      <c r="AK8" s="55" t="str">
        <f>'R1'!BA30</f>
        <v/>
      </c>
    </row>
    <row r="9" spans="1:37" s="1" customFormat="1" x14ac:dyDescent="0.35">
      <c r="A9" s="237"/>
      <c r="B9" s="55">
        <f>'R1'!B31</f>
        <v>0.2941051460275334</v>
      </c>
      <c r="C9" s="55">
        <f>'R1'!C31</f>
        <v>0.23521217134018388</v>
      </c>
      <c r="D9" s="55">
        <f>'R1'!D31</f>
        <v>0.27045444537963714</v>
      </c>
      <c r="E9" s="55">
        <f>'R1'!E31</f>
        <v>3.7062026717376813</v>
      </c>
      <c r="F9" s="55">
        <f>'R1'!F31</f>
        <v>3.074364878087815</v>
      </c>
      <c r="G9" s="55">
        <f>'R1'!G31</f>
        <v>5.3896888634741336</v>
      </c>
      <c r="H9" s="55">
        <f>'R1'!H31</f>
        <v>5.8743651105647112</v>
      </c>
      <c r="I9" s="55">
        <f>'R1'!I31</f>
        <v>0.95442655971465051</v>
      </c>
      <c r="J9" s="55">
        <f>'R1'!J31</f>
        <v>0.63715753801521102</v>
      </c>
      <c r="K9" s="55">
        <f>'R1'!K31</f>
        <v>2.3950283836702662</v>
      </c>
      <c r="L9" s="55">
        <f>'R1'!L31</f>
        <v>5.090770528004434</v>
      </c>
      <c r="M9" s="55">
        <f>'R1'!M31</f>
        <v>4.1871678534127934</v>
      </c>
      <c r="N9"/>
      <c r="O9" s="55">
        <f>'R1'!AE31</f>
        <v>1.458704050501568</v>
      </c>
      <c r="P9" s="55">
        <f>'R1'!AF31</f>
        <v>4.8032161832796465</v>
      </c>
      <c r="Q9" s="55">
        <f>'R1'!AG31</f>
        <v>7.5734549375118157E-2</v>
      </c>
      <c r="R9" s="55">
        <f>'R1'!AH31</f>
        <v>2.7380610457107544</v>
      </c>
      <c r="S9" s="55">
        <f>'R1'!AI31</f>
        <v>4.0208815643235809</v>
      </c>
      <c r="T9" s="55">
        <f>'R1'!AJ31</f>
        <v>0.51756652789070456</v>
      </c>
      <c r="U9" s="55">
        <f>'R1'!AK31</f>
        <v>0.62589357351418851</v>
      </c>
      <c r="V9" s="55">
        <f>'R1'!AL31</f>
        <v>3.2376141318178568</v>
      </c>
      <c r="W9" s="55" t="str">
        <f>'R1'!AM31</f>
        <v/>
      </c>
      <c r="X9" s="55" t="str">
        <f>'R1'!AN31</f>
        <v/>
      </c>
      <c r="Y9" s="55" t="str">
        <f>'R1'!AO31</f>
        <v/>
      </c>
      <c r="Z9" s="55" t="str">
        <f>'R1'!AP31</f>
        <v/>
      </c>
      <c r="AA9" s="55" t="str">
        <f>'R1'!AQ31</f>
        <v/>
      </c>
      <c r="AB9" s="55" t="str">
        <f>'R1'!AR31</f>
        <v/>
      </c>
      <c r="AC9" s="55" t="str">
        <f>'R1'!AS31</f>
        <v/>
      </c>
      <c r="AD9" s="55" t="str">
        <f>'R1'!AT31</f>
        <v/>
      </c>
      <c r="AE9" s="55" t="str">
        <f>'R1'!AU31</f>
        <v/>
      </c>
      <c r="AF9" s="55" t="str">
        <f>'R1'!AV31</f>
        <v/>
      </c>
      <c r="AG9" s="55" t="str">
        <f>'R1'!AW31</f>
        <v/>
      </c>
      <c r="AH9" s="55" t="str">
        <f>'R1'!AX31</f>
        <v/>
      </c>
      <c r="AI9" s="55" t="str">
        <f>'R1'!AY31</f>
        <v/>
      </c>
      <c r="AJ9" s="55" t="str">
        <f>'R1'!AZ31</f>
        <v/>
      </c>
      <c r="AK9" s="55" t="str">
        <f>'R1'!BA31</f>
        <v/>
      </c>
    </row>
    <row r="10" spans="1:37" s="1" customFormat="1" x14ac:dyDescent="0.35">
      <c r="A10" s="237"/>
      <c r="B10" s="55">
        <f>'R1'!B32</f>
        <v>0.40893206215985622</v>
      </c>
      <c r="C10" s="55" t="str">
        <f>'R1'!C32</f>
        <v/>
      </c>
      <c r="D10" s="55">
        <f>'R1'!D32</f>
        <v>0.16897598561065891</v>
      </c>
      <c r="E10" s="55">
        <f>'R1'!E32</f>
        <v>0.29884859240056577</v>
      </c>
      <c r="F10" s="55">
        <f>'R1'!F32</f>
        <v>4.1561932128339292</v>
      </c>
      <c r="G10" s="55">
        <f>'R1'!G32</f>
        <v>6.4298732445719207</v>
      </c>
      <c r="H10" s="55">
        <f>'R1'!H32</f>
        <v>5.8144507669833434</v>
      </c>
      <c r="I10" s="55">
        <f>'R1'!I32</f>
        <v>0.66466888460842499</v>
      </c>
      <c r="J10" s="55">
        <f>'R1'!J32</f>
        <v>0.52756043439592959</v>
      </c>
      <c r="K10" s="55">
        <f>'R1'!K32</f>
        <v>2.6269649249410865</v>
      </c>
      <c r="L10" s="55">
        <f>'R1'!L32</f>
        <v>1.8619394345375722</v>
      </c>
      <c r="M10" s="55">
        <f>'R1'!M32</f>
        <v>2.1716160972570768</v>
      </c>
      <c r="N10"/>
      <c r="O10" s="55">
        <f>'R1'!AE32</f>
        <v>0.46433100085081952</v>
      </c>
      <c r="P10" s="55">
        <f>'R1'!AF32</f>
        <v>2.5820269877841495</v>
      </c>
      <c r="Q10" s="55">
        <f>'R1'!AG32</f>
        <v>0.38222459620560079</v>
      </c>
      <c r="R10" s="55">
        <f>'R1'!AH32</f>
        <v>0.16625646475043809</v>
      </c>
      <c r="S10" s="55">
        <f>'R1'!AI32</f>
        <v>3.6291686988639724</v>
      </c>
      <c r="T10" s="55">
        <f>'R1'!AJ32</f>
        <v>2.5221314564780077</v>
      </c>
      <c r="U10" s="55">
        <f>'R1'!AK32</f>
        <v>0.26963129362947075</v>
      </c>
      <c r="V10" s="55">
        <f>'R1'!AL32</f>
        <v>1.4177453683910737</v>
      </c>
      <c r="W10" s="55" t="str">
        <f>'R1'!AM32</f>
        <v/>
      </c>
      <c r="X10" s="55" t="str">
        <f>'R1'!AN32</f>
        <v/>
      </c>
      <c r="Y10" s="55" t="str">
        <f>'R1'!AO32</f>
        <v/>
      </c>
      <c r="Z10" s="55" t="str">
        <f>'R1'!AP32</f>
        <v/>
      </c>
      <c r="AA10" s="55" t="str">
        <f>'R1'!AQ32</f>
        <v/>
      </c>
      <c r="AB10" s="55" t="str">
        <f>'R1'!AR32</f>
        <v/>
      </c>
      <c r="AC10" s="55" t="str">
        <f>'R1'!AS32</f>
        <v/>
      </c>
      <c r="AD10" s="55" t="str">
        <f>'R1'!AT32</f>
        <v/>
      </c>
      <c r="AE10" s="55" t="str">
        <f>'R1'!AU32</f>
        <v/>
      </c>
      <c r="AF10" s="55" t="str">
        <f>'R1'!AV32</f>
        <v/>
      </c>
      <c r="AG10" s="55" t="str">
        <f>'R1'!AW32</f>
        <v/>
      </c>
      <c r="AH10" s="55" t="str">
        <f>'R1'!AX32</f>
        <v/>
      </c>
      <c r="AI10" s="55" t="str">
        <f>'R1'!AY32</f>
        <v/>
      </c>
      <c r="AJ10" s="55" t="str">
        <f>'R1'!AZ32</f>
        <v/>
      </c>
      <c r="AK10" s="55" t="str">
        <f>'R1'!BA32</f>
        <v/>
      </c>
    </row>
    <row r="11" spans="1:37" s="1" customFormat="1" x14ac:dyDescent="0.35">
      <c r="A11" s="237"/>
      <c r="B11" s="55">
        <f>'R1'!B33</f>
        <v>0.17214195388052958</v>
      </c>
      <c r="C11" s="55">
        <f>'R1'!C33</f>
        <v>0.7546447851661876</v>
      </c>
      <c r="D11" s="55">
        <f>'R1'!D33</f>
        <v>0.17650869591304544</v>
      </c>
      <c r="E11" s="55">
        <f>'R1'!E33</f>
        <v>0.17790768681954336</v>
      </c>
      <c r="F11" s="55">
        <f>'R1'!F33</f>
        <v>2.0239778201133838</v>
      </c>
      <c r="G11" s="55">
        <f>'R1'!G33</f>
        <v>4.157393986596575</v>
      </c>
      <c r="H11" s="55">
        <f>'R1'!H33</f>
        <v>5.5408799076197992</v>
      </c>
      <c r="I11" s="55">
        <f>'R1'!I33</f>
        <v>0.47944597574155579</v>
      </c>
      <c r="J11" s="55">
        <f>'R1'!J33</f>
        <v>1.8984171244562467</v>
      </c>
      <c r="K11" s="55">
        <f>'R1'!K33</f>
        <v>0.37448403320375756</v>
      </c>
      <c r="L11" s="55">
        <f>'R1'!L33</f>
        <v>5.3587637771812329</v>
      </c>
      <c r="M11" s="55">
        <f>'R1'!M33</f>
        <v>4.6496130383811254</v>
      </c>
      <c r="N11"/>
      <c r="O11" s="55">
        <f>'R1'!AE33</f>
        <v>2.8204840471829602</v>
      </c>
      <c r="P11" s="55">
        <f>'R1'!AF33</f>
        <v>4.1185493912691866</v>
      </c>
      <c r="Q11" s="55">
        <f>'R1'!AG33</f>
        <v>4.422398837028204E-2</v>
      </c>
      <c r="R11" s="55">
        <f>'R1'!AH33</f>
        <v>0.56458941574594468</v>
      </c>
      <c r="S11" s="55">
        <f>'R1'!AI33</f>
        <v>3.7425365165762678</v>
      </c>
      <c r="T11" s="55">
        <f>'R1'!AJ33</f>
        <v>5.4307367891829599E-2</v>
      </c>
      <c r="U11" s="55">
        <f>'R1'!AK33</f>
        <v>0.46586947789558425</v>
      </c>
      <c r="V11" s="55">
        <f>'R1'!AL33</f>
        <v>2.1587434538061752</v>
      </c>
      <c r="W11" s="55" t="str">
        <f>'R1'!AM33</f>
        <v/>
      </c>
      <c r="X11" s="55" t="str">
        <f>'R1'!AN33</f>
        <v/>
      </c>
      <c r="Y11" s="55" t="str">
        <f>'R1'!AO33</f>
        <v/>
      </c>
      <c r="Z11" s="55" t="str">
        <f>'R1'!AP33</f>
        <v/>
      </c>
      <c r="AA11" s="55" t="str">
        <f>'R1'!AQ33</f>
        <v/>
      </c>
      <c r="AB11" s="55" t="str">
        <f>'R1'!AR33</f>
        <v/>
      </c>
      <c r="AC11" s="55" t="str">
        <f>'R1'!AS33</f>
        <v/>
      </c>
      <c r="AD11" s="55" t="str">
        <f>'R1'!AT33</f>
        <v/>
      </c>
      <c r="AE11" s="55" t="str">
        <f>'R1'!AU33</f>
        <v/>
      </c>
      <c r="AF11" s="55" t="str">
        <f>'R1'!AV33</f>
        <v/>
      </c>
      <c r="AG11" s="55" t="str">
        <f>'R1'!AW33</f>
        <v/>
      </c>
      <c r="AH11" s="55" t="str">
        <f>'R1'!AX33</f>
        <v/>
      </c>
      <c r="AI11" s="55" t="str">
        <f>'R1'!AY33</f>
        <v/>
      </c>
      <c r="AJ11" s="55" t="str">
        <f>'R1'!AZ33</f>
        <v/>
      </c>
      <c r="AK11" s="55" t="str">
        <f>'R1'!BA33</f>
        <v/>
      </c>
    </row>
    <row r="12" spans="1:37" s="1" customFormat="1" x14ac:dyDescent="0.35">
      <c r="A12" s="237"/>
      <c r="B12" s="55">
        <f>'R1'!B34</f>
        <v>0.14327153511117693</v>
      </c>
      <c r="C12" s="55">
        <f>'R1'!C34</f>
        <v>0.25444657566960116</v>
      </c>
      <c r="D12" s="55">
        <f>'R1'!D34</f>
        <v>0.91745722704218369</v>
      </c>
      <c r="E12" s="55">
        <f>'R1'!E34</f>
        <v>1.7004172394405435</v>
      </c>
      <c r="F12" s="55">
        <f>'R1'!F34</f>
        <v>3.7501990774613172</v>
      </c>
      <c r="G12" s="55" t="str">
        <f>'R1'!G34</f>
        <v/>
      </c>
      <c r="H12" s="55">
        <f>'R1'!H34</f>
        <v>7.192884445018227</v>
      </c>
      <c r="I12" s="55">
        <f>'R1'!I34</f>
        <v>0.19195082085833495</v>
      </c>
      <c r="J12" s="55">
        <f>'R1'!J34</f>
        <v>0.24864000632826583</v>
      </c>
      <c r="K12" s="55">
        <f>'R1'!K34</f>
        <v>0.23623445790616529</v>
      </c>
      <c r="L12" s="55">
        <f>'R1'!L34</f>
        <v>0.25117140443621894</v>
      </c>
      <c r="M12" s="55">
        <f>'R1'!M34</f>
        <v>3.3207818240874545</v>
      </c>
      <c r="N12"/>
      <c r="O12" s="55">
        <f>'R1'!AE34</f>
        <v>3.4170433187508627E-2</v>
      </c>
      <c r="P12" s="55">
        <f>'R1'!AF34</f>
        <v>5.0502383339384105</v>
      </c>
      <c r="Q12" s="55">
        <f>'R1'!AG34</f>
        <v>0.11727847677955749</v>
      </c>
      <c r="R12" s="55">
        <f>'R1'!AH34</f>
        <v>0.60971639332711158</v>
      </c>
      <c r="S12" s="55">
        <f>'R1'!AI34</f>
        <v>1.7082867353530873</v>
      </c>
      <c r="T12" s="55">
        <f>'R1'!AJ34</f>
        <v>4.4301513297655566</v>
      </c>
      <c r="U12" s="55">
        <f>'R1'!AK34</f>
        <v>1.2651452389473254</v>
      </c>
      <c r="V12" s="55">
        <f>'R1'!AL34</f>
        <v>2.5970524896585632</v>
      </c>
      <c r="W12" s="55" t="str">
        <f>'R1'!AM34</f>
        <v/>
      </c>
      <c r="X12" s="55" t="str">
        <f>'R1'!AN34</f>
        <v/>
      </c>
      <c r="Y12" s="55" t="str">
        <f>'R1'!AO34</f>
        <v/>
      </c>
      <c r="Z12" s="55" t="str">
        <f>'R1'!AP34</f>
        <v/>
      </c>
      <c r="AA12" s="55" t="str">
        <f>'R1'!AQ34</f>
        <v/>
      </c>
      <c r="AB12" s="55" t="str">
        <f>'R1'!AR34</f>
        <v/>
      </c>
      <c r="AC12" s="55" t="str">
        <f>'R1'!AS34</f>
        <v/>
      </c>
      <c r="AD12" s="55" t="str">
        <f>'R1'!AT34</f>
        <v/>
      </c>
      <c r="AE12" s="55" t="str">
        <f>'R1'!AU34</f>
        <v/>
      </c>
      <c r="AF12" s="55" t="str">
        <f>'R1'!AV34</f>
        <v/>
      </c>
      <c r="AG12" s="55" t="str">
        <f>'R1'!AW34</f>
        <v/>
      </c>
      <c r="AH12" s="55" t="str">
        <f>'R1'!AX34</f>
        <v/>
      </c>
      <c r="AI12" s="55" t="str">
        <f>'R1'!AY34</f>
        <v/>
      </c>
      <c r="AJ12" s="55" t="str">
        <f>'R1'!AZ34</f>
        <v/>
      </c>
      <c r="AK12" s="55" t="str">
        <f>'R1'!BA34</f>
        <v/>
      </c>
    </row>
    <row r="13" spans="1:37" s="1" customFormat="1" x14ac:dyDescent="0.35">
      <c r="A13" s="237"/>
      <c r="B13" s="55">
        <f>'R1'!B35</f>
        <v>0.11436073877548392</v>
      </c>
      <c r="C13" s="55">
        <f>'R1'!C35</f>
        <v>9.2665597079209197E-2</v>
      </c>
      <c r="D13" s="55">
        <f>'R1'!D35</f>
        <v>0.21267368911057261</v>
      </c>
      <c r="E13" s="55">
        <f>'R1'!E35</f>
        <v>3.1219929706021796</v>
      </c>
      <c r="F13" s="55">
        <f>'R1'!F35</f>
        <v>3.656233139211555</v>
      </c>
      <c r="G13" s="55">
        <f>'R1'!G35</f>
        <v>2.0104013222674126</v>
      </c>
      <c r="H13" s="55">
        <f>'R1'!H35</f>
        <v>5.385322121441618</v>
      </c>
      <c r="I13" s="55">
        <f>'R1'!I35</f>
        <v>6.7169458115165101E-2</v>
      </c>
      <c r="J13" s="55">
        <f>'R1'!J35</f>
        <v>0.47645895350432999</v>
      </c>
      <c r="K13" s="55">
        <f>'R1'!K35</f>
        <v>2.7775016689776448</v>
      </c>
      <c r="L13" s="55">
        <f>'R1'!L35</f>
        <v>2.3335943753193593</v>
      </c>
      <c r="M13" s="55">
        <f>'R1'!M35</f>
        <v>4.9173686105196923</v>
      </c>
      <c r="N13"/>
      <c r="O13" s="55">
        <f>'R1'!AE35</f>
        <v>0.66722918938318998</v>
      </c>
      <c r="P13" s="55">
        <f>'R1'!AF35</f>
        <v>4.6462786773061753</v>
      </c>
      <c r="Q13" s="55">
        <f>'R1'!AG35</f>
        <v>0.27217140962106556</v>
      </c>
      <c r="R13" s="55">
        <f>'R1'!AH35</f>
        <v>1.3239083630520123</v>
      </c>
      <c r="S13" s="55">
        <f>'R1'!AI35</f>
        <v>0.40810845157370873</v>
      </c>
      <c r="T13" s="55">
        <f>'R1'!AJ35</f>
        <v>0.67202264887816665</v>
      </c>
      <c r="U13" s="55">
        <f>'R1'!AK35</f>
        <v>3.3271539087755455</v>
      </c>
      <c r="V13" s="55">
        <f>'R1'!AL35</f>
        <v>0.14097873171341699</v>
      </c>
      <c r="W13" s="55" t="str">
        <f>'R1'!AM35</f>
        <v/>
      </c>
      <c r="X13" s="55" t="str">
        <f>'R1'!AN35</f>
        <v/>
      </c>
      <c r="Y13" s="55" t="str">
        <f>'R1'!AO35</f>
        <v/>
      </c>
      <c r="Z13" s="55" t="str">
        <f>'R1'!AP35</f>
        <v/>
      </c>
      <c r="AA13" s="55" t="str">
        <f>'R1'!AQ35</f>
        <v/>
      </c>
      <c r="AB13" s="55" t="str">
        <f>'R1'!AR35</f>
        <v/>
      </c>
      <c r="AC13" s="55" t="str">
        <f>'R1'!AS35</f>
        <v/>
      </c>
      <c r="AD13" s="55" t="str">
        <f>'R1'!AT35</f>
        <v/>
      </c>
      <c r="AE13" s="55" t="str">
        <f>'R1'!AU35</f>
        <v/>
      </c>
      <c r="AF13" s="55" t="str">
        <f>'R1'!AV35</f>
        <v/>
      </c>
      <c r="AG13" s="55" t="str">
        <f>'R1'!AW35</f>
        <v/>
      </c>
      <c r="AH13" s="55" t="str">
        <f>'R1'!AX35</f>
        <v/>
      </c>
      <c r="AI13" s="55" t="str">
        <f>'R1'!AY35</f>
        <v/>
      </c>
      <c r="AJ13" s="55" t="str">
        <f>'R1'!AZ35</f>
        <v/>
      </c>
      <c r="AK13" s="55" t="str">
        <f>'R1'!BA35</f>
        <v/>
      </c>
    </row>
    <row r="14" spans="1:37" s="1" customFormat="1" x14ac:dyDescent="0.35">
      <c r="A14" s="237"/>
      <c r="B14" s="55" t="str">
        <f>'R1'!B36</f>
        <v/>
      </c>
      <c r="C14" s="55" t="str">
        <f>'R1'!C36</f>
        <v/>
      </c>
      <c r="D14" s="55" t="str">
        <f>'R1'!D36</f>
        <v/>
      </c>
      <c r="E14" s="55" t="str">
        <f>'R1'!E36</f>
        <v/>
      </c>
      <c r="F14" s="55" t="str">
        <f>'R1'!F36</f>
        <v/>
      </c>
      <c r="G14" s="55" t="str">
        <f>'R1'!G36</f>
        <v/>
      </c>
      <c r="H14" s="55" t="str">
        <f>'R1'!H36</f>
        <v/>
      </c>
      <c r="I14" s="55" t="str">
        <f>'R1'!I36</f>
        <v/>
      </c>
      <c r="J14" s="55" t="str">
        <f>'R1'!J36</f>
        <v/>
      </c>
      <c r="K14" s="55" t="str">
        <f>'R1'!K36</f>
        <v/>
      </c>
      <c r="L14" s="55" t="str">
        <f>'R1'!L36</f>
        <v/>
      </c>
      <c r="M14" s="55" t="str">
        <f>'R1'!M36</f>
        <v/>
      </c>
      <c r="N14"/>
      <c r="O14" s="55">
        <f>'R1'!AE36</f>
        <v>9.591094397381722E-2</v>
      </c>
      <c r="P14" s="55" t="str">
        <f>'R1'!AF36</f>
        <v/>
      </c>
      <c r="Q14" s="55" t="str">
        <f>'R1'!AG36</f>
        <v/>
      </c>
      <c r="R14" s="55" t="str">
        <f>'R1'!AH36</f>
        <v/>
      </c>
      <c r="S14" s="55" t="str">
        <f>'R1'!AI36</f>
        <v/>
      </c>
      <c r="T14" s="55" t="str">
        <f>'R1'!AJ36</f>
        <v/>
      </c>
      <c r="U14" s="55" t="str">
        <f>'R1'!AK36</f>
        <v/>
      </c>
      <c r="V14" s="55" t="str">
        <f>'R1'!AL36</f>
        <v/>
      </c>
      <c r="W14" s="55" t="str">
        <f>'R1'!AM36</f>
        <v/>
      </c>
      <c r="X14" s="55" t="str">
        <f>'R1'!AN36</f>
        <v/>
      </c>
      <c r="Y14" s="55" t="str">
        <f>'R1'!AO36</f>
        <v/>
      </c>
      <c r="Z14" s="55" t="str">
        <f>'R1'!AP36</f>
        <v/>
      </c>
      <c r="AA14" s="55" t="str">
        <f>'R1'!AQ36</f>
        <v/>
      </c>
      <c r="AB14" s="55" t="str">
        <f>'R1'!AR36</f>
        <v/>
      </c>
      <c r="AC14" s="55" t="str">
        <f>'R1'!AS36</f>
        <v/>
      </c>
      <c r="AD14" s="55" t="str">
        <f>'R1'!AT36</f>
        <v/>
      </c>
      <c r="AE14" s="55" t="str">
        <f>'R1'!AU36</f>
        <v/>
      </c>
      <c r="AF14" s="55" t="str">
        <f>'R1'!AV36</f>
        <v/>
      </c>
      <c r="AG14" s="55" t="str">
        <f>'R1'!AW36</f>
        <v/>
      </c>
      <c r="AH14" s="55" t="str">
        <f>'R1'!AX36</f>
        <v/>
      </c>
      <c r="AI14" s="55" t="str">
        <f>'R1'!AY36</f>
        <v/>
      </c>
      <c r="AJ14" s="55" t="str">
        <f>'R1'!AZ36</f>
        <v/>
      </c>
      <c r="AK14" s="55" t="str">
        <f>'R1'!BA36</f>
        <v/>
      </c>
    </row>
    <row r="15" spans="1:37" s="1" customFormat="1" x14ac:dyDescent="0.35">
      <c r="A15" s="237"/>
      <c r="B15" s="55" t="str">
        <f>'R1'!B37</f>
        <v/>
      </c>
      <c r="C15" s="55" t="str">
        <f>'R1'!C37</f>
        <v/>
      </c>
      <c r="D15" s="55" t="str">
        <f>'R1'!D37</f>
        <v/>
      </c>
      <c r="E15" s="55" t="str">
        <f>'R1'!E37</f>
        <v/>
      </c>
      <c r="F15" s="55" t="str">
        <f>'R1'!F37</f>
        <v/>
      </c>
      <c r="G15" s="55" t="str">
        <f>'R1'!G37</f>
        <v/>
      </c>
      <c r="H15" s="55" t="str">
        <f>'R1'!H37</f>
        <v/>
      </c>
      <c r="I15" s="55" t="str">
        <f>'R1'!I37</f>
        <v/>
      </c>
      <c r="J15" s="55" t="str">
        <f>'R1'!J37</f>
        <v/>
      </c>
      <c r="K15" s="55" t="str">
        <f>'R1'!K37</f>
        <v/>
      </c>
      <c r="L15" s="55" t="str">
        <f>'R1'!L37</f>
        <v/>
      </c>
      <c r="M15" s="55" t="str">
        <f>'R1'!M37</f>
        <v/>
      </c>
      <c r="N15"/>
      <c r="O15" s="55">
        <f>'R1'!AE37</f>
        <v>9.2824354328683883E-2</v>
      </c>
      <c r="P15" s="55" t="str">
        <f>'R1'!AF37</f>
        <v/>
      </c>
      <c r="Q15" s="55" t="str">
        <f>'R1'!AG37</f>
        <v/>
      </c>
      <c r="R15" s="55" t="str">
        <f>'R1'!AH37</f>
        <v/>
      </c>
      <c r="S15" s="55" t="str">
        <f>'R1'!AI37</f>
        <v/>
      </c>
      <c r="T15" s="55" t="str">
        <f>'R1'!AJ37</f>
        <v/>
      </c>
      <c r="U15" s="55" t="str">
        <f>'R1'!AK37</f>
        <v/>
      </c>
      <c r="V15" s="55" t="str">
        <f>'R1'!AL37</f>
        <v/>
      </c>
      <c r="W15" s="55" t="str">
        <f>'R1'!AM37</f>
        <v/>
      </c>
      <c r="X15" s="55" t="str">
        <f>'R1'!AN37</f>
        <v/>
      </c>
      <c r="Y15" s="55" t="str">
        <f>'R1'!AO37</f>
        <v/>
      </c>
      <c r="Z15" s="55" t="str">
        <f>'R1'!AP37</f>
        <v/>
      </c>
      <c r="AA15" s="55" t="str">
        <f>'R1'!AQ37</f>
        <v/>
      </c>
      <c r="AB15" s="55" t="str">
        <f>'R1'!AR37</f>
        <v/>
      </c>
      <c r="AC15" s="55" t="str">
        <f>'R1'!AS37</f>
        <v/>
      </c>
      <c r="AD15" s="55" t="str">
        <f>'R1'!AT37</f>
        <v/>
      </c>
      <c r="AE15" s="55" t="str">
        <f>'R1'!AU37</f>
        <v/>
      </c>
      <c r="AF15" s="55" t="str">
        <f>'R1'!AV37</f>
        <v/>
      </c>
      <c r="AG15" s="55" t="str">
        <f>'R1'!AW37</f>
        <v/>
      </c>
      <c r="AH15" s="55" t="str">
        <f>'R1'!AX37</f>
        <v/>
      </c>
      <c r="AI15" s="55" t="str">
        <f>'R1'!AY37</f>
        <v/>
      </c>
      <c r="AJ15" s="55" t="str">
        <f>'R1'!AZ37</f>
        <v/>
      </c>
      <c r="AK15" s="55" t="str">
        <f>'R1'!BA37</f>
        <v/>
      </c>
    </row>
    <row r="16" spans="1:37" s="1" customFormat="1" x14ac:dyDescent="0.35">
      <c r="A16" s="237"/>
      <c r="B16" s="55" t="str">
        <f>'R1'!B38</f>
        <v/>
      </c>
      <c r="C16" s="55" t="str">
        <f>'R1'!C38</f>
        <v/>
      </c>
      <c r="D16" s="55" t="str">
        <f>'R1'!D38</f>
        <v/>
      </c>
      <c r="E16" s="55" t="str">
        <f>'R1'!E38</f>
        <v/>
      </c>
      <c r="F16" s="55" t="str">
        <f>'R1'!F38</f>
        <v/>
      </c>
      <c r="G16" s="55" t="str">
        <f>'R1'!G38</f>
        <v/>
      </c>
      <c r="H16" s="55" t="str">
        <f>'R1'!H38</f>
        <v/>
      </c>
      <c r="I16" s="55" t="str">
        <f>'R1'!I38</f>
        <v/>
      </c>
      <c r="J16" s="55" t="str">
        <f>'R1'!J38</f>
        <v/>
      </c>
      <c r="K16" s="55" t="str">
        <f>'R1'!K38</f>
        <v/>
      </c>
      <c r="L16" s="55" t="str">
        <f>'R1'!L38</f>
        <v/>
      </c>
      <c r="M16" s="55" t="str">
        <f>'R1'!M38</f>
        <v/>
      </c>
      <c r="N16"/>
      <c r="O16" s="55">
        <f>'R1'!AE38</f>
        <v>2.4395496977563269</v>
      </c>
      <c r="P16" s="55" t="str">
        <f>'R1'!AF38</f>
        <v/>
      </c>
      <c r="Q16" s="55" t="str">
        <f>'R1'!AG38</f>
        <v/>
      </c>
      <c r="R16" s="55" t="str">
        <f>'R1'!AH38</f>
        <v/>
      </c>
      <c r="S16" s="55" t="str">
        <f>'R1'!AI38</f>
        <v/>
      </c>
      <c r="T16" s="55" t="str">
        <f>'R1'!AJ38</f>
        <v/>
      </c>
      <c r="U16" s="55" t="str">
        <f>'R1'!AK38</f>
        <v/>
      </c>
      <c r="V16" s="55" t="str">
        <f>'R1'!AL38</f>
        <v/>
      </c>
      <c r="W16" s="55" t="str">
        <f>'R1'!AM38</f>
        <v/>
      </c>
      <c r="X16" s="55" t="str">
        <f>'R1'!AN38</f>
        <v/>
      </c>
      <c r="Y16" s="55" t="str">
        <f>'R1'!AO38</f>
        <v/>
      </c>
      <c r="Z16" s="55" t="str">
        <f>'R1'!AP38</f>
        <v/>
      </c>
      <c r="AA16" s="55" t="str">
        <f>'R1'!AQ38</f>
        <v/>
      </c>
      <c r="AB16" s="55" t="str">
        <f>'R1'!AR38</f>
        <v/>
      </c>
      <c r="AC16" s="55" t="str">
        <f>'R1'!AS38</f>
        <v/>
      </c>
      <c r="AD16" s="55" t="str">
        <f>'R1'!AT38</f>
        <v/>
      </c>
      <c r="AE16" s="55" t="str">
        <f>'R1'!AU38</f>
        <v/>
      </c>
      <c r="AF16" s="55" t="str">
        <f>'R1'!AV38</f>
        <v/>
      </c>
      <c r="AG16" s="55" t="str">
        <f>'R1'!AW38</f>
        <v/>
      </c>
      <c r="AH16" s="55" t="str">
        <f>'R1'!AX38</f>
        <v/>
      </c>
      <c r="AI16" s="55" t="str">
        <f>'R1'!AY38</f>
        <v/>
      </c>
      <c r="AJ16" s="55" t="str">
        <f>'R1'!AZ38</f>
        <v/>
      </c>
      <c r="AK16" s="55" t="str">
        <f>'R1'!BA38</f>
        <v/>
      </c>
    </row>
    <row r="17" spans="1:37" s="1" customFormat="1" x14ac:dyDescent="0.35">
      <c r="A17" s="237"/>
      <c r="B17" s="55" t="str">
        <f>'R1'!B39</f>
        <v/>
      </c>
      <c r="C17" s="55" t="str">
        <f>'R1'!C39</f>
        <v/>
      </c>
      <c r="D17" s="55" t="str">
        <f>'R1'!D39</f>
        <v/>
      </c>
      <c r="E17" s="55" t="str">
        <f>'R1'!E39</f>
        <v/>
      </c>
      <c r="F17" s="55" t="str">
        <f>'R1'!F39</f>
        <v/>
      </c>
      <c r="G17" s="55" t="str">
        <f>'R1'!G39</f>
        <v/>
      </c>
      <c r="H17" s="55" t="str">
        <f>'R1'!H39</f>
        <v/>
      </c>
      <c r="I17" s="55" t="str">
        <f>'R1'!I39</f>
        <v/>
      </c>
      <c r="J17" s="55" t="str">
        <f>'R1'!J39</f>
        <v/>
      </c>
      <c r="K17" s="55" t="str">
        <f>'R1'!K39</f>
        <v/>
      </c>
      <c r="L17" s="55" t="str">
        <f>'R1'!L39</f>
        <v/>
      </c>
      <c r="M17" s="55" t="str">
        <f>'R1'!M39</f>
        <v/>
      </c>
      <c r="N17"/>
      <c r="O17" s="55" t="str">
        <f>'R1'!AE39</f>
        <v/>
      </c>
      <c r="P17" s="55" t="str">
        <f>'R1'!AF39</f>
        <v/>
      </c>
      <c r="Q17" s="55" t="str">
        <f>'R1'!AG39</f>
        <v/>
      </c>
      <c r="R17" s="55" t="str">
        <f>'R1'!AH39</f>
        <v/>
      </c>
      <c r="S17" s="55" t="str">
        <f>'R1'!AI39</f>
        <v/>
      </c>
      <c r="T17" s="55" t="str">
        <f>'R1'!AJ39</f>
        <v/>
      </c>
      <c r="U17" s="55" t="str">
        <f>'R1'!AK39</f>
        <v/>
      </c>
      <c r="V17" s="55" t="str">
        <f>'R1'!AL39</f>
        <v/>
      </c>
      <c r="W17" s="55" t="str">
        <f>'R1'!AM39</f>
        <v/>
      </c>
      <c r="X17" s="55" t="str">
        <f>'R1'!AN39</f>
        <v/>
      </c>
      <c r="Y17" s="55" t="str">
        <f>'R1'!AO39</f>
        <v/>
      </c>
      <c r="Z17" s="55" t="str">
        <f>'R1'!AP39</f>
        <v/>
      </c>
      <c r="AA17" s="55" t="str">
        <f>'R1'!AQ39</f>
        <v/>
      </c>
      <c r="AB17" s="55" t="str">
        <f>'R1'!AR39</f>
        <v/>
      </c>
      <c r="AC17" s="55" t="str">
        <f>'R1'!AS39</f>
        <v/>
      </c>
      <c r="AD17" s="55" t="str">
        <f>'R1'!AT39</f>
        <v/>
      </c>
      <c r="AE17" s="55" t="str">
        <f>'R1'!AU39</f>
        <v/>
      </c>
      <c r="AF17" s="55" t="str">
        <f>'R1'!AV39</f>
        <v/>
      </c>
      <c r="AG17" s="55" t="str">
        <f>'R1'!AW39</f>
        <v/>
      </c>
      <c r="AH17" s="55" t="str">
        <f>'R1'!AX39</f>
        <v/>
      </c>
      <c r="AI17" s="55" t="str">
        <f>'R1'!AY39</f>
        <v/>
      </c>
      <c r="AJ17" s="55" t="str">
        <f>'R1'!AZ39</f>
        <v/>
      </c>
      <c r="AK17" s="55" t="str">
        <f>'R1'!BA39</f>
        <v/>
      </c>
    </row>
    <row r="18" spans="1:37" s="1" customFormat="1" x14ac:dyDescent="0.35">
      <c r="A18" s="237"/>
      <c r="B18" s="55" t="str">
        <f>'R1'!B40</f>
        <v/>
      </c>
      <c r="C18" s="55" t="str">
        <f>'R1'!C40</f>
        <v/>
      </c>
      <c r="D18" s="55" t="str">
        <f>'R1'!D40</f>
        <v/>
      </c>
      <c r="E18" s="55" t="str">
        <f>'R1'!E40</f>
        <v/>
      </c>
      <c r="F18" s="55" t="str">
        <f>'R1'!F40</f>
        <v/>
      </c>
      <c r="G18" s="55" t="str">
        <f>'R1'!G40</f>
        <v/>
      </c>
      <c r="H18" s="55" t="str">
        <f>'R1'!H40</f>
        <v/>
      </c>
      <c r="I18" s="55" t="str">
        <f>'R1'!I40</f>
        <v/>
      </c>
      <c r="J18" s="55" t="str">
        <f>'R1'!J40</f>
        <v/>
      </c>
      <c r="K18" s="55" t="str">
        <f>'R1'!K40</f>
        <v/>
      </c>
      <c r="L18" s="55" t="str">
        <f>'R1'!L40</f>
        <v/>
      </c>
      <c r="M18" s="55" t="str">
        <f>'R1'!M40</f>
        <v/>
      </c>
      <c r="N18"/>
      <c r="O18" s="55">
        <f>'R1'!AE40</f>
        <v>0.5212289566921694</v>
      </c>
      <c r="P18" s="55" t="str">
        <f>'R1'!AF40</f>
        <v/>
      </c>
      <c r="Q18" s="55" t="str">
        <f>'R1'!AG40</f>
        <v/>
      </c>
      <c r="R18" s="55" t="str">
        <f>'R1'!AH40</f>
        <v/>
      </c>
      <c r="S18" s="55" t="str">
        <f>'R1'!AI40</f>
        <v/>
      </c>
      <c r="T18" s="55" t="str">
        <f>'R1'!AJ40</f>
        <v/>
      </c>
      <c r="U18" s="55" t="str">
        <f>'R1'!AK40</f>
        <v/>
      </c>
      <c r="V18" s="55" t="str">
        <f>'R1'!AL40</f>
        <v/>
      </c>
      <c r="W18" s="55" t="str">
        <f>'R1'!AM40</f>
        <v/>
      </c>
      <c r="X18" s="55" t="str">
        <f>'R1'!AN40</f>
        <v/>
      </c>
      <c r="Y18" s="55" t="str">
        <f>'R1'!AO40</f>
        <v/>
      </c>
      <c r="Z18" s="55" t="str">
        <f>'R1'!AP40</f>
        <v/>
      </c>
      <c r="AA18" s="55" t="str">
        <f>'R1'!AQ40</f>
        <v/>
      </c>
      <c r="AB18" s="55" t="str">
        <f>'R1'!AR40</f>
        <v/>
      </c>
      <c r="AC18" s="55" t="str">
        <f>'R1'!AS40</f>
        <v/>
      </c>
      <c r="AD18" s="55" t="str">
        <f>'R1'!AT40</f>
        <v/>
      </c>
      <c r="AE18" s="55" t="str">
        <f>'R1'!AU40</f>
        <v/>
      </c>
      <c r="AF18" s="55" t="str">
        <f>'R1'!AV40</f>
        <v/>
      </c>
      <c r="AG18" s="55" t="str">
        <f>'R1'!AW40</f>
        <v/>
      </c>
      <c r="AH18" s="55" t="str">
        <f>'R1'!AX40</f>
        <v/>
      </c>
      <c r="AI18" s="55" t="str">
        <f>'R1'!AY40</f>
        <v/>
      </c>
      <c r="AJ18" s="55" t="str">
        <f>'R1'!AZ40</f>
        <v/>
      </c>
      <c r="AK18" s="55" t="str">
        <f>'R1'!BA40</f>
        <v/>
      </c>
    </row>
    <row r="19" spans="1:37" s="1" customFormat="1" x14ac:dyDescent="0.35">
      <c r="A19" s="237"/>
      <c r="B19" s="55" t="str">
        <f>'R1'!B41</f>
        <v/>
      </c>
      <c r="C19" s="55" t="str">
        <f>'R1'!C41</f>
        <v/>
      </c>
      <c r="D19" s="55" t="str">
        <f>'R1'!D41</f>
        <v/>
      </c>
      <c r="E19" s="55" t="str">
        <f>'R1'!E41</f>
        <v/>
      </c>
      <c r="F19" s="55" t="str">
        <f>'R1'!F41</f>
        <v/>
      </c>
      <c r="G19" s="55" t="str">
        <f>'R1'!G41</f>
        <v/>
      </c>
      <c r="H19" s="55" t="str">
        <f>'R1'!H41</f>
        <v/>
      </c>
      <c r="I19" s="55" t="str">
        <f>'R1'!I41</f>
        <v/>
      </c>
      <c r="J19" s="55" t="str">
        <f>'R1'!J41</f>
        <v/>
      </c>
      <c r="K19" s="55" t="str">
        <f>'R1'!K41</f>
        <v/>
      </c>
      <c r="L19" s="55" t="str">
        <f>'R1'!L41</f>
        <v/>
      </c>
      <c r="M19" s="55" t="str">
        <f>'R1'!M41</f>
        <v/>
      </c>
      <c r="N19"/>
      <c r="O19" s="55">
        <f>'R1'!AE41</f>
        <v>0.73005163541302831</v>
      </c>
      <c r="P19" s="55" t="str">
        <f>'R1'!AF41</f>
        <v/>
      </c>
      <c r="Q19" s="55" t="str">
        <f>'R1'!AG41</f>
        <v/>
      </c>
      <c r="R19" s="55" t="str">
        <f>'R1'!AH41</f>
        <v/>
      </c>
      <c r="S19" s="55" t="str">
        <f>'R1'!AI41</f>
        <v/>
      </c>
      <c r="T19" s="55" t="str">
        <f>'R1'!AJ41</f>
        <v/>
      </c>
      <c r="U19" s="55" t="str">
        <f>'R1'!AK41</f>
        <v/>
      </c>
      <c r="V19" s="55" t="str">
        <f>'R1'!AL41</f>
        <v/>
      </c>
      <c r="W19" s="55" t="str">
        <f>'R1'!AM41</f>
        <v/>
      </c>
      <c r="X19" s="55" t="str">
        <f>'R1'!AN41</f>
        <v/>
      </c>
      <c r="Y19" s="55" t="str">
        <f>'R1'!AO41</f>
        <v/>
      </c>
      <c r="Z19" s="55" t="str">
        <f>'R1'!AP41</f>
        <v/>
      </c>
      <c r="AA19" s="55" t="str">
        <f>'R1'!AQ41</f>
        <v/>
      </c>
      <c r="AB19" s="55" t="str">
        <f>'R1'!AR41</f>
        <v/>
      </c>
      <c r="AC19" s="55" t="str">
        <f>'R1'!AS41</f>
        <v/>
      </c>
      <c r="AD19" s="55" t="str">
        <f>'R1'!AT41</f>
        <v/>
      </c>
      <c r="AE19" s="55" t="str">
        <f>'R1'!AU41</f>
        <v/>
      </c>
      <c r="AF19" s="55" t="str">
        <f>'R1'!AV41</f>
        <v/>
      </c>
      <c r="AG19" s="55" t="str">
        <f>'R1'!AW41</f>
        <v/>
      </c>
      <c r="AH19" s="55" t="str">
        <f>'R1'!AX41</f>
        <v/>
      </c>
      <c r="AI19" s="55" t="str">
        <f>'R1'!AY41</f>
        <v/>
      </c>
      <c r="AJ19" s="55" t="str">
        <f>'R1'!AZ41</f>
        <v/>
      </c>
      <c r="AK19" s="55" t="str">
        <f>'R1'!BA41</f>
        <v/>
      </c>
    </row>
    <row r="20" spans="1:37" s="1" customFormat="1" x14ac:dyDescent="0.35">
      <c r="A20" s="237"/>
      <c r="B20" s="55" t="str">
        <f>'R1'!B42</f>
        <v/>
      </c>
      <c r="C20" s="55" t="str">
        <f>'R1'!C42</f>
        <v/>
      </c>
      <c r="D20" s="55" t="str">
        <f>'R1'!D42</f>
        <v/>
      </c>
      <c r="E20" s="55" t="str">
        <f>'R1'!E42</f>
        <v/>
      </c>
      <c r="F20" s="55" t="str">
        <f>'R1'!F42</f>
        <v/>
      </c>
      <c r="G20" s="55" t="str">
        <f>'R1'!G42</f>
        <v/>
      </c>
      <c r="H20" s="55" t="str">
        <f>'R1'!H42</f>
        <v/>
      </c>
      <c r="I20" s="55" t="str">
        <f>'R1'!I42</f>
        <v/>
      </c>
      <c r="J20" s="55" t="str">
        <f>'R1'!J42</f>
        <v/>
      </c>
      <c r="K20" s="55" t="str">
        <f>'R1'!K42</f>
        <v/>
      </c>
      <c r="L20" s="55" t="str">
        <f>'R1'!L42</f>
        <v/>
      </c>
      <c r="M20" s="55" t="str">
        <f>'R1'!M42</f>
        <v/>
      </c>
      <c r="N20"/>
      <c r="O20" s="55">
        <f>'R1'!AE42</f>
        <v>0.2553197405417118</v>
      </c>
      <c r="P20" s="55" t="str">
        <f>'R1'!AF42</f>
        <v/>
      </c>
      <c r="Q20" s="55" t="str">
        <f>'R1'!AG42</f>
        <v/>
      </c>
      <c r="R20" s="55" t="str">
        <f>'R1'!AH42</f>
        <v/>
      </c>
      <c r="S20" s="55" t="str">
        <f>'R1'!AI42</f>
        <v/>
      </c>
      <c r="T20" s="55" t="str">
        <f>'R1'!AJ42</f>
        <v/>
      </c>
      <c r="U20" s="55" t="str">
        <f>'R1'!AK42</f>
        <v/>
      </c>
      <c r="V20" s="55" t="str">
        <f>'R1'!AL42</f>
        <v/>
      </c>
      <c r="W20" s="55" t="str">
        <f>'R1'!AM42</f>
        <v/>
      </c>
      <c r="X20" s="55" t="str">
        <f>'R1'!AN42</f>
        <v/>
      </c>
      <c r="Y20" s="55" t="str">
        <f>'R1'!AO42</f>
        <v/>
      </c>
      <c r="Z20" s="55" t="str">
        <f>'R1'!AP42</f>
        <v/>
      </c>
      <c r="AA20" s="55" t="str">
        <f>'R1'!AQ42</f>
        <v/>
      </c>
      <c r="AB20" s="55" t="str">
        <f>'R1'!AR42</f>
        <v/>
      </c>
      <c r="AC20" s="55" t="str">
        <f>'R1'!AS42</f>
        <v/>
      </c>
      <c r="AD20" s="55" t="str">
        <f>'R1'!AT42</f>
        <v/>
      </c>
      <c r="AE20" s="55" t="str">
        <f>'R1'!AU42</f>
        <v/>
      </c>
      <c r="AF20" s="55" t="str">
        <f>'R1'!AV42</f>
        <v/>
      </c>
      <c r="AG20" s="55" t="str">
        <f>'R1'!AW42</f>
        <v/>
      </c>
      <c r="AH20" s="55" t="str">
        <f>'R1'!AX42</f>
        <v/>
      </c>
      <c r="AI20" s="55" t="str">
        <f>'R1'!AY42</f>
        <v/>
      </c>
      <c r="AJ20" s="55" t="str">
        <f>'R1'!AZ42</f>
        <v/>
      </c>
      <c r="AK20" s="55" t="str">
        <f>'R1'!BA42</f>
        <v/>
      </c>
    </row>
    <row r="21" spans="1:37" s="1" customFormat="1" x14ac:dyDescent="0.35">
      <c r="A21" s="238"/>
      <c r="B21" s="55" t="str">
        <f>'R1'!B43</f>
        <v/>
      </c>
      <c r="C21" s="55" t="str">
        <f>'R1'!C43</f>
        <v/>
      </c>
      <c r="D21" s="55" t="str">
        <f>'R1'!D43</f>
        <v/>
      </c>
      <c r="E21" s="55" t="str">
        <f>'R1'!E43</f>
        <v/>
      </c>
      <c r="F21" s="55" t="str">
        <f>'R1'!F43</f>
        <v/>
      </c>
      <c r="G21" s="55" t="str">
        <f>'R1'!G43</f>
        <v/>
      </c>
      <c r="H21" s="55" t="str">
        <f>'R1'!H43</f>
        <v/>
      </c>
      <c r="I21" s="55" t="str">
        <f>'R1'!I43</f>
        <v/>
      </c>
      <c r="J21" s="55" t="str">
        <f>'R1'!J43</f>
        <v/>
      </c>
      <c r="K21" s="55" t="str">
        <f>'R1'!K43</f>
        <v/>
      </c>
      <c r="L21" s="55" t="str">
        <f>'R1'!L43</f>
        <v/>
      </c>
      <c r="M21" s="55" t="str">
        <f>'R1'!M43</f>
        <v/>
      </c>
      <c r="N21"/>
      <c r="O21" s="55">
        <f>'R1'!AE43</f>
        <v>0.95465414236129631</v>
      </c>
      <c r="P21" s="55" t="str">
        <f>'R1'!AF43</f>
        <v/>
      </c>
      <c r="Q21" s="55" t="str">
        <f>'R1'!AG43</f>
        <v/>
      </c>
      <c r="R21" s="55" t="str">
        <f>'R1'!AH43</f>
        <v/>
      </c>
      <c r="S21" s="55" t="str">
        <f>'R1'!AI43</f>
        <v/>
      </c>
      <c r="T21" s="55" t="str">
        <f>'R1'!AJ43</f>
        <v/>
      </c>
      <c r="U21" s="55" t="str">
        <f>'R1'!AK43</f>
        <v/>
      </c>
      <c r="V21" s="55" t="str">
        <f>'R1'!AL43</f>
        <v/>
      </c>
      <c r="W21" s="55" t="str">
        <f>'R1'!AM43</f>
        <v/>
      </c>
      <c r="X21" s="55" t="str">
        <f>'R1'!AN43</f>
        <v/>
      </c>
      <c r="Y21" s="55" t="str">
        <f>'R1'!AO43</f>
        <v/>
      </c>
      <c r="Z21" s="55" t="str">
        <f>'R1'!AP43</f>
        <v/>
      </c>
      <c r="AA21" s="55" t="str">
        <f>'R1'!AQ43</f>
        <v/>
      </c>
      <c r="AB21" s="55" t="str">
        <f>'R1'!AR43</f>
        <v/>
      </c>
      <c r="AC21" s="55" t="str">
        <f>'R1'!AS43</f>
        <v/>
      </c>
      <c r="AD21" s="55" t="str">
        <f>'R1'!AT43</f>
        <v/>
      </c>
      <c r="AE21" s="55" t="str">
        <f>'R1'!AU43</f>
        <v/>
      </c>
      <c r="AF21" s="55" t="str">
        <f>'R1'!AV43</f>
        <v/>
      </c>
      <c r="AG21" s="55" t="str">
        <f>'R1'!AW43</f>
        <v/>
      </c>
      <c r="AH21" s="55" t="str">
        <f>'R1'!AX43</f>
        <v/>
      </c>
      <c r="AI21" s="55" t="str">
        <f>'R1'!AY43</f>
        <v/>
      </c>
      <c r="AJ21" s="55" t="str">
        <f>'R1'!AZ43</f>
        <v/>
      </c>
      <c r="AK21" s="55" t="str">
        <f>'R1'!BA43</f>
        <v/>
      </c>
    </row>
    <row r="22" spans="1:37" x14ac:dyDescent="0.35">
      <c r="A22" s="39" t="s">
        <v>5</v>
      </c>
      <c r="B22" s="56">
        <f>'R2'!B28</f>
        <v>1.0648990933458035E-2</v>
      </c>
      <c r="C22" s="56" t="str">
        <f>'R2'!C28</f>
        <v/>
      </c>
      <c r="D22" s="56">
        <f>'R2'!D28</f>
        <v>7.1403242858637625E-2</v>
      </c>
      <c r="E22" s="56">
        <f>'R2'!E28</f>
        <v>1.4769910442285466E-2</v>
      </c>
      <c r="F22" s="56">
        <f>'R2'!F28</f>
        <v>4.6817181239151373E-4</v>
      </c>
      <c r="G22" s="56">
        <f>'R2'!G28</f>
        <v>1.6289285404711882</v>
      </c>
      <c r="H22" s="56">
        <f>'R2'!H28</f>
        <v>3.3701480157224517</v>
      </c>
      <c r="I22" s="56">
        <f>'R2'!I28</f>
        <v>0.13099330525376174</v>
      </c>
      <c r="J22" s="56">
        <f>'R2'!J28</f>
        <v>0.41720531677694817</v>
      </c>
      <c r="K22" s="56">
        <f>'R2'!K28</f>
        <v>1.5339764500914881</v>
      </c>
      <c r="L22" s="56">
        <f>'R2'!L28</f>
        <v>1.7703407008445398</v>
      </c>
      <c r="M22" s="56">
        <f>'R2'!M28</f>
        <v>2.6525605040412463</v>
      </c>
      <c r="O22" s="56">
        <f>'R2'!AE28</f>
        <v>0.7484895991893602</v>
      </c>
      <c r="P22" s="56">
        <f>'R2'!AF28</f>
        <v>2.9531955048544689</v>
      </c>
      <c r="Q22" s="56">
        <f>'R2'!AG28</f>
        <v>0.14005745044813361</v>
      </c>
      <c r="R22" s="56">
        <f>'R2'!AH28</f>
        <v>1.602860907990282</v>
      </c>
      <c r="S22" s="56">
        <f>'R2'!AI28</f>
        <v>1.2378808495829574</v>
      </c>
      <c r="T22" s="56">
        <f>'R2'!AJ28</f>
        <v>0.77220984636881118</v>
      </c>
      <c r="U22" s="56">
        <f>'R2'!AK28</f>
        <v>1.4260371431112573</v>
      </c>
      <c r="V22" s="56">
        <f>'R2'!AL28</f>
        <v>1.9587422435834396</v>
      </c>
      <c r="W22" s="56" t="str">
        <f>'R2'!AM28</f>
        <v/>
      </c>
      <c r="X22" s="56" t="str">
        <f>'R2'!AN28</f>
        <v/>
      </c>
      <c r="Y22" s="56" t="str">
        <f>'R2'!AO28</f>
        <v/>
      </c>
      <c r="Z22" s="56" t="str">
        <f>'R2'!AP28</f>
        <v/>
      </c>
      <c r="AA22" s="56" t="str">
        <f>'R2'!AQ28</f>
        <v/>
      </c>
      <c r="AB22" s="56" t="str">
        <f>'R2'!AR28</f>
        <v/>
      </c>
      <c r="AC22" s="56" t="str">
        <f>'R2'!AS28</f>
        <v/>
      </c>
      <c r="AD22" s="56" t="str">
        <f>'R2'!AT28</f>
        <v/>
      </c>
      <c r="AE22" s="56" t="str">
        <f>'R2'!AU28</f>
        <v/>
      </c>
      <c r="AF22" s="56" t="str">
        <f>'R2'!AV28</f>
        <v/>
      </c>
      <c r="AG22" s="56" t="str">
        <f>'R2'!AW28</f>
        <v/>
      </c>
      <c r="AH22" s="56" t="str">
        <f>'R2'!AX28</f>
        <v/>
      </c>
      <c r="AI22" s="56" t="str">
        <f>'R2'!AY28</f>
        <v/>
      </c>
      <c r="AJ22" s="56" t="str">
        <f>'R2'!AZ28</f>
        <v/>
      </c>
      <c r="AK22" s="56" t="str">
        <f>'R2'!BA28</f>
        <v/>
      </c>
    </row>
    <row r="23" spans="1:37" x14ac:dyDescent="0.35">
      <c r="A23" s="236" t="s">
        <v>34</v>
      </c>
      <c r="B23" s="56">
        <f>'R2'!B29</f>
        <v>0.10155240842052517</v>
      </c>
      <c r="C23" s="56">
        <f>'R2'!C29</f>
        <v>9.4380185707923253E-2</v>
      </c>
      <c r="D23" s="56">
        <f>'R2'!D29</f>
        <v>1.9190578986290441E-2</v>
      </c>
      <c r="E23" s="56">
        <f>'R2'!E29</f>
        <v>5.2502108318844068E-2</v>
      </c>
      <c r="F23" s="56">
        <f>'R2'!F29</f>
        <v>0.78631614130006178</v>
      </c>
      <c r="G23" s="56">
        <f>'R2'!G29</f>
        <v>1.5484517637929363</v>
      </c>
      <c r="H23" s="56">
        <f>'R2'!H29</f>
        <v>2.5044940982796406</v>
      </c>
      <c r="I23" s="56">
        <f>'R2'!I29</f>
        <v>6.3602211245655627E-2</v>
      </c>
      <c r="J23" s="56">
        <f>'R2'!J29</f>
        <v>0.54220524426317596</v>
      </c>
      <c r="K23" s="56">
        <f>'R2'!K29</f>
        <v>0.73273411208748407</v>
      </c>
      <c r="L23" s="56">
        <f>'R2'!L29</f>
        <v>1.7666035700163523</v>
      </c>
      <c r="M23" s="56">
        <f>'R2'!M29</f>
        <v>0.85111689070470853</v>
      </c>
      <c r="O23" s="56">
        <f>'R2'!AE29</f>
        <v>1.8476999959606013</v>
      </c>
      <c r="P23" s="56">
        <f>'R2'!AF29</f>
        <v>1.6577754350146994</v>
      </c>
      <c r="Q23" s="56">
        <f>'R2'!AG29</f>
        <v>0.16614500513382244</v>
      </c>
      <c r="R23" s="56">
        <f>'R2'!AH29</f>
        <v>1.1614301901976709</v>
      </c>
      <c r="S23" s="56">
        <f>'R2'!AI29</f>
        <v>1.6193100084057968</v>
      </c>
      <c r="T23" s="56">
        <f>'R2'!AJ29</f>
        <v>0.26247207112981252</v>
      </c>
      <c r="U23" s="56">
        <f>'R2'!AK29</f>
        <v>1.357967320195385</v>
      </c>
      <c r="V23" s="56">
        <f>'R2'!AL29</f>
        <v>2.2182674313414417</v>
      </c>
      <c r="W23" s="56" t="str">
        <f>'R2'!AM29</f>
        <v/>
      </c>
      <c r="X23" s="56" t="str">
        <f>'R2'!AN29</f>
        <v/>
      </c>
      <c r="Y23" s="56" t="str">
        <f>'R2'!AO29</f>
        <v/>
      </c>
      <c r="Z23" s="56" t="str">
        <f>'R2'!AP29</f>
        <v/>
      </c>
      <c r="AA23" s="56" t="str">
        <f>'R2'!AQ29</f>
        <v/>
      </c>
      <c r="AB23" s="56" t="str">
        <f>'R2'!AR29</f>
        <v/>
      </c>
      <c r="AC23" s="56" t="str">
        <f>'R2'!AS29</f>
        <v/>
      </c>
      <c r="AD23" s="56" t="str">
        <f>'R2'!AT29</f>
        <v/>
      </c>
      <c r="AE23" s="56" t="str">
        <f>'R2'!AU29</f>
        <v/>
      </c>
      <c r="AF23" s="56" t="str">
        <f>'R2'!AV29</f>
        <v/>
      </c>
      <c r="AG23" s="56" t="str">
        <f>'R2'!AW29</f>
        <v/>
      </c>
      <c r="AH23" s="56" t="str">
        <f>'R2'!AX29</f>
        <v/>
      </c>
      <c r="AI23" s="56" t="str">
        <f>'R2'!AY29</f>
        <v/>
      </c>
      <c r="AJ23" s="56" t="str">
        <f>'R2'!AZ29</f>
        <v/>
      </c>
      <c r="AK23" s="56" t="str">
        <f>'R2'!BA29</f>
        <v/>
      </c>
    </row>
    <row r="24" spans="1:37" x14ac:dyDescent="0.35">
      <c r="A24" s="237"/>
      <c r="B24" s="56">
        <f>'R2'!B30</f>
        <v>6.3403905161267732E-2</v>
      </c>
      <c r="C24" s="56">
        <f>'R2'!C30</f>
        <v>0.14599106160131964</v>
      </c>
      <c r="D24" s="56">
        <f>'R2'!D30</f>
        <v>0.16013674296041644</v>
      </c>
      <c r="E24" s="56" t="str">
        <f>'R2'!E30</f>
        <v/>
      </c>
      <c r="F24" s="56">
        <f>'R2'!F30</f>
        <v>2.0708559394382074E-2</v>
      </c>
      <c r="G24" s="56">
        <f>'R2'!G30</f>
        <v>1.9946965564262944</v>
      </c>
      <c r="H24" s="56">
        <f>'R2'!H30</f>
        <v>3.1631503542687058</v>
      </c>
      <c r="I24" s="56">
        <f>'R2'!I30</f>
        <v>0.13510437815562765</v>
      </c>
      <c r="J24" s="56">
        <f>'R2'!J30</f>
        <v>0.15452509295578626</v>
      </c>
      <c r="K24" s="56" t="str">
        <f>'R2'!K30</f>
        <v/>
      </c>
      <c r="L24" s="56">
        <f>'R2'!L30</f>
        <v>1.2893181504047995</v>
      </c>
      <c r="M24" s="56">
        <f>'R2'!M30</f>
        <v>1.7825177477839105</v>
      </c>
      <c r="O24" s="56">
        <f>'R2'!AE30</f>
        <v>0.27704894227748023</v>
      </c>
      <c r="P24" s="56">
        <f>'R2'!AF30</f>
        <v>1.1155500395558813</v>
      </c>
      <c r="Q24" s="56">
        <f>'R2'!AG30</f>
        <v>0.15070644138159162</v>
      </c>
      <c r="R24" s="56">
        <f>'R2'!AH30</f>
        <v>1.4730810253013835</v>
      </c>
      <c r="S24" s="56">
        <f>'R2'!AI30</f>
        <v>0.82749579656745142</v>
      </c>
      <c r="T24" s="56">
        <f>'R2'!AJ30</f>
        <v>1.3253562739022569</v>
      </c>
      <c r="U24" s="56">
        <f>'R2'!AK30</f>
        <v>2.0226219917508947</v>
      </c>
      <c r="V24" s="56">
        <f>'R2'!AL30</f>
        <v>0.85396977332866519</v>
      </c>
      <c r="W24" s="56" t="str">
        <f>'R2'!AM30</f>
        <v/>
      </c>
      <c r="X24" s="56" t="str">
        <f>'R2'!AN30</f>
        <v/>
      </c>
      <c r="Y24" s="56" t="str">
        <f>'R2'!AO30</f>
        <v/>
      </c>
      <c r="Z24" s="56" t="str">
        <f>'R2'!AP30</f>
        <v/>
      </c>
      <c r="AA24" s="56" t="str">
        <f>'R2'!AQ30</f>
        <v/>
      </c>
      <c r="AB24" s="56" t="str">
        <f>'R2'!AR30</f>
        <v/>
      </c>
      <c r="AC24" s="56" t="str">
        <f>'R2'!AS30</f>
        <v/>
      </c>
      <c r="AD24" s="56" t="str">
        <f>'R2'!AT30</f>
        <v/>
      </c>
      <c r="AE24" s="56" t="str">
        <f>'R2'!AU30</f>
        <v/>
      </c>
      <c r="AF24" s="56" t="str">
        <f>'R2'!AV30</f>
        <v/>
      </c>
      <c r="AG24" s="56" t="str">
        <f>'R2'!AW30</f>
        <v/>
      </c>
      <c r="AH24" s="56" t="str">
        <f>'R2'!AX30</f>
        <v/>
      </c>
      <c r="AI24" s="56" t="str">
        <f>'R2'!AY30</f>
        <v/>
      </c>
      <c r="AJ24" s="56" t="str">
        <f>'R2'!AZ30</f>
        <v/>
      </c>
      <c r="AK24" s="56" t="str">
        <f>'R2'!BA30</f>
        <v/>
      </c>
    </row>
    <row r="25" spans="1:37" x14ac:dyDescent="0.35">
      <c r="A25" s="237"/>
      <c r="B25" s="56">
        <f>'R2'!B31</f>
        <v>0.11180524516692655</v>
      </c>
      <c r="C25" s="56">
        <f>'R2'!C31</f>
        <v>0.1258224626538044</v>
      </c>
      <c r="D25" s="56">
        <f>'R2'!D31</f>
        <v>3.9753271203126224E-2</v>
      </c>
      <c r="E25" s="56">
        <f>'R2'!E31</f>
        <v>7.13487430340599E-2</v>
      </c>
      <c r="F25" s="56">
        <f>'R2'!F31</f>
        <v>0</v>
      </c>
      <c r="G25" s="56" t="str">
        <f>'R2'!G31</f>
        <v/>
      </c>
      <c r="H25" s="56">
        <f>'R2'!H31</f>
        <v>3.0236230176604777</v>
      </c>
      <c r="I25" s="56">
        <f>'R2'!I31</f>
        <v>2.0916941076591065E-2</v>
      </c>
      <c r="J25" s="56">
        <f>'R2'!J31</f>
        <v>0.10830832575042826</v>
      </c>
      <c r="K25" s="56">
        <f>'R2'!K31</f>
        <v>0.61435133347025972</v>
      </c>
      <c r="L25" s="56">
        <f>'R2'!L31</f>
        <v>1.6771889366027815</v>
      </c>
      <c r="M25" s="56">
        <f>'R2'!M31</f>
        <v>1.7007528975205755</v>
      </c>
      <c r="O25" s="56">
        <f>'R2'!AE31</f>
        <v>0.79934778212734892</v>
      </c>
      <c r="P25" s="56">
        <f>'R2'!AF31</f>
        <v>1.856085412247207</v>
      </c>
      <c r="Q25" s="56">
        <f>'R2'!AG31</f>
        <v>1.8098521576999597E-2</v>
      </c>
      <c r="R25" s="56" t="str">
        <f>'R2'!AH31</f>
        <v/>
      </c>
      <c r="S25" s="56">
        <f>'R2'!AI31</f>
        <v>0.79448378727921587</v>
      </c>
      <c r="T25" s="56">
        <f>'R2'!AJ31</f>
        <v>0.61019079854272662</v>
      </c>
      <c r="U25" s="56">
        <f>'R2'!AK31</f>
        <v>1.7464546642827601</v>
      </c>
      <c r="V25" s="56">
        <f>'R2'!AL31</f>
        <v>4.9094724328437742E-2</v>
      </c>
      <c r="W25" s="56" t="str">
        <f>'R2'!AM31</f>
        <v/>
      </c>
      <c r="X25" s="56" t="str">
        <f>'R2'!AN31</f>
        <v/>
      </c>
      <c r="Y25" s="56" t="str">
        <f>'R2'!AO31</f>
        <v/>
      </c>
      <c r="Z25" s="56" t="str">
        <f>'R2'!AP31</f>
        <v/>
      </c>
      <c r="AA25" s="56" t="str">
        <f>'R2'!AQ31</f>
        <v/>
      </c>
      <c r="AB25" s="56" t="str">
        <f>'R2'!AR31</f>
        <v/>
      </c>
      <c r="AC25" s="56" t="str">
        <f>'R2'!AS31</f>
        <v/>
      </c>
      <c r="AD25" s="56" t="str">
        <f>'R2'!AT31</f>
        <v/>
      </c>
      <c r="AE25" s="56" t="str">
        <f>'R2'!AU31</f>
        <v/>
      </c>
      <c r="AF25" s="56" t="str">
        <f>'R2'!AV31</f>
        <v/>
      </c>
      <c r="AG25" s="56" t="str">
        <f>'R2'!AW31</f>
        <v/>
      </c>
      <c r="AH25" s="56" t="str">
        <f>'R2'!AX31</f>
        <v/>
      </c>
      <c r="AI25" s="56" t="str">
        <f>'R2'!AY31</f>
        <v/>
      </c>
      <c r="AJ25" s="56" t="str">
        <f>'R2'!AZ31</f>
        <v/>
      </c>
      <c r="AK25" s="56" t="str">
        <f>'R2'!BA31</f>
        <v/>
      </c>
    </row>
    <row r="26" spans="1:37" x14ac:dyDescent="0.35">
      <c r="A26" s="237"/>
      <c r="B26" s="56">
        <f>'R2'!B32</f>
        <v>8.2200619869097227E-2</v>
      </c>
      <c r="C26" s="56">
        <f>'R2'!C32</f>
        <v>0.2098484831599664</v>
      </c>
      <c r="D26" s="56">
        <f>'R2'!D32</f>
        <v>0.13097361203983868</v>
      </c>
      <c r="E26" s="56">
        <f>'R2'!E32</f>
        <v>9.6495374277774285E-2</v>
      </c>
      <c r="F26" s="56">
        <f>'R2'!F32</f>
        <v>0.35180506930194644</v>
      </c>
      <c r="G26" s="56">
        <f>'R2'!G32</f>
        <v>3.1824622984105684</v>
      </c>
      <c r="H26" s="56">
        <f>'R2'!H32</f>
        <v>2.6761470205587079</v>
      </c>
      <c r="I26" s="56">
        <f>'R2'!I32</f>
        <v>0.12509404272951122</v>
      </c>
      <c r="J26" s="56">
        <f>'R2'!J32</f>
        <v>0.16452558177494114</v>
      </c>
      <c r="K26" s="56">
        <f>'R2'!K32</f>
        <v>0.44649256074341309</v>
      </c>
      <c r="L26" s="56">
        <f>'R2'!L32</f>
        <v>1.7141658081290476</v>
      </c>
      <c r="M26" s="56">
        <f>'R2'!M32</f>
        <v>1.642722949851704</v>
      </c>
      <c r="O26" s="56">
        <f>'R2'!AE32</f>
        <v>1.6600884716872191</v>
      </c>
      <c r="P26" s="56">
        <f>'R2'!AF32</f>
        <v>3.7169952039238408</v>
      </c>
      <c r="Q26" s="56">
        <f>'R2'!AG32</f>
        <v>3.0352280454326416E-2</v>
      </c>
      <c r="R26" s="56">
        <f>'R2'!AH32</f>
        <v>1.417453420740264</v>
      </c>
      <c r="S26" s="56">
        <f>'R2'!AI32</f>
        <v>1.9990501306484452</v>
      </c>
      <c r="T26" s="56">
        <f>'R2'!AJ32</f>
        <v>2.3953980439722908</v>
      </c>
      <c r="U26" s="56">
        <f>'R2'!AK32</f>
        <v>1.1512416998828088</v>
      </c>
      <c r="V26" s="56" t="str">
        <f>'R2'!AL32</f>
        <v/>
      </c>
      <c r="W26" s="56" t="str">
        <f>'R2'!AM32</f>
        <v/>
      </c>
      <c r="X26" s="56" t="str">
        <f>'R2'!AN32</f>
        <v/>
      </c>
      <c r="Y26" s="56" t="str">
        <f>'R2'!AO32</f>
        <v/>
      </c>
      <c r="Z26" s="56" t="str">
        <f>'R2'!AP32</f>
        <v/>
      </c>
      <c r="AA26" s="56" t="str">
        <f>'R2'!AQ32</f>
        <v/>
      </c>
      <c r="AB26" s="56" t="str">
        <f>'R2'!AR32</f>
        <v/>
      </c>
      <c r="AC26" s="56" t="str">
        <f>'R2'!AS32</f>
        <v/>
      </c>
      <c r="AD26" s="56" t="str">
        <f>'R2'!AT32</f>
        <v/>
      </c>
      <c r="AE26" s="56" t="str">
        <f>'R2'!AU32</f>
        <v/>
      </c>
      <c r="AF26" s="56" t="str">
        <f>'R2'!AV32</f>
        <v/>
      </c>
      <c r="AG26" s="56" t="str">
        <f>'R2'!AW32</f>
        <v/>
      </c>
      <c r="AH26" s="56" t="str">
        <f>'R2'!AX32</f>
        <v/>
      </c>
      <c r="AI26" s="56" t="str">
        <f>'R2'!AY32</f>
        <v/>
      </c>
      <c r="AJ26" s="56" t="str">
        <f>'R2'!AZ32</f>
        <v/>
      </c>
      <c r="AK26" s="56" t="str">
        <f>'R2'!BA32</f>
        <v/>
      </c>
    </row>
    <row r="27" spans="1:37" x14ac:dyDescent="0.35">
      <c r="A27" s="237"/>
      <c r="B27" s="56">
        <f>'R2'!B33</f>
        <v>6.0430687840606727E-4</v>
      </c>
      <c r="C27" s="56">
        <f>'R2'!C33</f>
        <v>0</v>
      </c>
      <c r="D27" s="56">
        <f>'R2'!D33</f>
        <v>8.1383580482150331E-2</v>
      </c>
      <c r="E27" s="56">
        <f>'R2'!E33</f>
        <v>0.12542104167697762</v>
      </c>
      <c r="F27" s="56">
        <f>'R2'!F33</f>
        <v>5.0918407534055752E-3</v>
      </c>
      <c r="G27" s="56">
        <f>'R2'!G33</f>
        <v>1.540259157810089</v>
      </c>
      <c r="H27" s="56">
        <f>'R2'!H33</f>
        <v>2.6753592920017861</v>
      </c>
      <c r="I27" s="56">
        <f>'R2'!I33</f>
        <v>0.16323773718071768</v>
      </c>
      <c r="J27" s="56">
        <f>'R2'!J33</f>
        <v>7.4474010285475581E-2</v>
      </c>
      <c r="K27" s="56">
        <f>'R2'!K33</f>
        <v>0.86597610758222643</v>
      </c>
      <c r="L27" s="56">
        <f>'R2'!L33</f>
        <v>1.6971300331313137</v>
      </c>
      <c r="M27" s="56">
        <f>'R2'!M33</f>
        <v>1.8672940568414549</v>
      </c>
      <c r="O27" s="56">
        <f>'R2'!AE33</f>
        <v>1.851023569296405</v>
      </c>
      <c r="P27" s="56">
        <f>'R2'!AF33</f>
        <v>2.9372268272623332</v>
      </c>
      <c r="Q27" s="56">
        <f>'R2'!AG33</f>
        <v>0.22508152761573286</v>
      </c>
      <c r="R27" s="56">
        <f>'R2'!AH33</f>
        <v>2.0776697914555817</v>
      </c>
      <c r="S27" s="56">
        <f>'R2'!AI33</f>
        <v>0.5613042269056383</v>
      </c>
      <c r="T27" s="56">
        <f>'R2'!AJ33</f>
        <v>1.0453952548636209</v>
      </c>
      <c r="U27" s="56">
        <f>'R2'!AK33</f>
        <v>1.2514073396577761</v>
      </c>
      <c r="V27" s="56">
        <f>'R2'!AL33</f>
        <v>1.7380392501935509</v>
      </c>
      <c r="W27" s="56" t="str">
        <f>'R2'!AM33</f>
        <v/>
      </c>
      <c r="X27" s="56" t="str">
        <f>'R2'!AN33</f>
        <v/>
      </c>
      <c r="Y27" s="56" t="str">
        <f>'R2'!AO33</f>
        <v/>
      </c>
      <c r="Z27" s="56" t="str">
        <f>'R2'!AP33</f>
        <v/>
      </c>
      <c r="AA27" s="56" t="str">
        <f>'R2'!AQ33</f>
        <v/>
      </c>
      <c r="AB27" s="56" t="str">
        <f>'R2'!AR33</f>
        <v/>
      </c>
      <c r="AC27" s="56" t="str">
        <f>'R2'!AS33</f>
        <v/>
      </c>
      <c r="AD27" s="56" t="str">
        <f>'R2'!AT33</f>
        <v/>
      </c>
      <c r="AE27" s="56" t="str">
        <f>'R2'!AU33</f>
        <v/>
      </c>
      <c r="AF27" s="56" t="str">
        <f>'R2'!AV33</f>
        <v/>
      </c>
      <c r="AG27" s="56" t="str">
        <f>'R2'!AW33</f>
        <v/>
      </c>
      <c r="AH27" s="56" t="str">
        <f>'R2'!AX33</f>
        <v/>
      </c>
      <c r="AI27" s="56" t="str">
        <f>'R2'!AY33</f>
        <v/>
      </c>
      <c r="AJ27" s="56" t="str">
        <f>'R2'!AZ33</f>
        <v/>
      </c>
      <c r="AK27" s="56" t="str">
        <f>'R2'!BA33</f>
        <v/>
      </c>
    </row>
    <row r="28" spans="1:37" x14ac:dyDescent="0.35">
      <c r="A28" s="237"/>
      <c r="B28" s="56">
        <f>'R2'!B34</f>
        <v>0.15808154999577284</v>
      </c>
      <c r="C28" s="56">
        <f>'R2'!C34</f>
        <v>4.3017192420011743E-2</v>
      </c>
      <c r="D28" s="56">
        <f>'R2'!D34</f>
        <v>9.9254256153877465E-2</v>
      </c>
      <c r="E28" s="56">
        <f>'R2'!E34</f>
        <v>0.32709409316856458</v>
      </c>
      <c r="F28" s="56">
        <f>'R2'!F34</f>
        <v>0.12280092826177405</v>
      </c>
      <c r="G28" s="56">
        <f>'R2'!G34</f>
        <v>1.8205918290138075</v>
      </c>
      <c r="H28" s="56">
        <f>'R2'!H34</f>
        <v>3.114328129063157</v>
      </c>
      <c r="I28" s="56" t="str">
        <f>'R2'!I34</f>
        <v/>
      </c>
      <c r="J28" s="56">
        <f>'R2'!J34</f>
        <v>0.14186006649467114</v>
      </c>
      <c r="K28" s="56">
        <f>'R2'!K34</f>
        <v>1.2486486867725324</v>
      </c>
      <c r="L28" s="56">
        <f>'R2'!L34</f>
        <v>1.5587291025613117</v>
      </c>
      <c r="M28" s="56">
        <f>'R2'!M34</f>
        <v>2.8482998298842173</v>
      </c>
      <c r="O28" s="56">
        <f>'R2'!AE34</f>
        <v>0.84922496822293858</v>
      </c>
      <c r="P28" s="56">
        <f>'R2'!AF34</f>
        <v>2.2568613218225635</v>
      </c>
      <c r="Q28" s="56">
        <f>'R2'!AG34</f>
        <v>9.542049118295122E-2</v>
      </c>
      <c r="R28" s="56">
        <f>'R2'!AH34</f>
        <v>0.82515779989123861</v>
      </c>
      <c r="S28" s="56">
        <f>'R2'!AI34</f>
        <v>1.5031437468137832</v>
      </c>
      <c r="T28" s="56">
        <f>'R2'!AJ34</f>
        <v>0.31062037623564615</v>
      </c>
      <c r="U28" s="56">
        <f>'R2'!AK34</f>
        <v>1.4582369218205973</v>
      </c>
      <c r="V28" s="56">
        <f>'R2'!AL34</f>
        <v>1.1981225405809206</v>
      </c>
      <c r="W28" s="56" t="str">
        <f>'R2'!AM34</f>
        <v/>
      </c>
      <c r="X28" s="56" t="str">
        <f>'R2'!AN34</f>
        <v/>
      </c>
      <c r="Y28" s="56" t="str">
        <f>'R2'!AO34</f>
        <v/>
      </c>
      <c r="Z28" s="56" t="str">
        <f>'R2'!AP34</f>
        <v/>
      </c>
      <c r="AA28" s="56" t="str">
        <f>'R2'!AQ34</f>
        <v/>
      </c>
      <c r="AB28" s="56" t="str">
        <f>'R2'!AR34</f>
        <v/>
      </c>
      <c r="AC28" s="56" t="str">
        <f>'R2'!AS34</f>
        <v/>
      </c>
      <c r="AD28" s="56" t="str">
        <f>'R2'!AT34</f>
        <v/>
      </c>
      <c r="AE28" s="56" t="str">
        <f>'R2'!AU34</f>
        <v/>
      </c>
      <c r="AF28" s="56" t="str">
        <f>'R2'!AV34</f>
        <v/>
      </c>
      <c r="AG28" s="56" t="str">
        <f>'R2'!AW34</f>
        <v/>
      </c>
      <c r="AH28" s="56" t="str">
        <f>'R2'!AX34</f>
        <v/>
      </c>
      <c r="AI28" s="56" t="str">
        <f>'R2'!AY34</f>
        <v/>
      </c>
      <c r="AJ28" s="56" t="str">
        <f>'R2'!AZ34</f>
        <v/>
      </c>
      <c r="AK28" s="56" t="str">
        <f>'R2'!BA34</f>
        <v/>
      </c>
    </row>
    <row r="29" spans="1:37" x14ac:dyDescent="0.35">
      <c r="A29" s="237"/>
      <c r="B29" s="56" t="str">
        <f>'R2'!B35</f>
        <v/>
      </c>
      <c r="C29" s="56">
        <f>'R2'!C35</f>
        <v>9.8065564601847954E-2</v>
      </c>
      <c r="D29" s="56">
        <f>'R2'!D35</f>
        <v>5.8841491275188739E-3</v>
      </c>
      <c r="E29" s="56">
        <f>'R2'!E35</f>
        <v>0.13703614504696285</v>
      </c>
      <c r="F29" s="56">
        <f>'R2'!F35</f>
        <v>9.0155533339710478E-2</v>
      </c>
      <c r="G29" s="56">
        <f>'R2'!G35</f>
        <v>1.8190960607190945</v>
      </c>
      <c r="H29" s="56">
        <f>'R2'!H35</f>
        <v>3.4755786133406597</v>
      </c>
      <c r="I29" s="56">
        <f>'R2'!I35</f>
        <v>5.1234414920262789E-2</v>
      </c>
      <c r="J29" s="56">
        <f>'R2'!J35</f>
        <v>0.44906321213294947</v>
      </c>
      <c r="K29" s="56">
        <f>'R2'!K35</f>
        <v>1.2428039240728597</v>
      </c>
      <c r="L29" s="56">
        <f>'R2'!L35</f>
        <v>1.9387765305375035</v>
      </c>
      <c r="M29" s="56">
        <f>'R2'!M35</f>
        <v>1.5032549218761047</v>
      </c>
      <c r="O29" s="56">
        <f>'R2'!AE35</f>
        <v>0.12639677172960675</v>
      </c>
      <c r="P29" s="56">
        <f>'R2'!AF35</f>
        <v>2.5931089811161621</v>
      </c>
      <c r="Q29" s="56">
        <f>'R2'!AG35</f>
        <v>0.11562389674112118</v>
      </c>
      <c r="R29" s="56">
        <f>'R2'!AH35</f>
        <v>0.72089620061113691</v>
      </c>
      <c r="S29" s="56">
        <f>'R2'!AI35</f>
        <v>1.3975174765060723</v>
      </c>
      <c r="T29" s="56">
        <f>'R2'!AJ35</f>
        <v>1.0195204326864729</v>
      </c>
      <c r="U29" s="56">
        <f>'R2'!AK35</f>
        <v>1.0055728284209045</v>
      </c>
      <c r="V29" s="56">
        <f>'R2'!AL35</f>
        <v>1.2829929648817482</v>
      </c>
      <c r="W29" s="56" t="str">
        <f>'R2'!AM35</f>
        <v/>
      </c>
      <c r="X29" s="56" t="str">
        <f>'R2'!AN35</f>
        <v/>
      </c>
      <c r="Y29" s="56" t="str">
        <f>'R2'!AO35</f>
        <v/>
      </c>
      <c r="Z29" s="56" t="str">
        <f>'R2'!AP35</f>
        <v/>
      </c>
      <c r="AA29" s="56" t="str">
        <f>'R2'!AQ35</f>
        <v/>
      </c>
      <c r="AB29" s="56" t="str">
        <f>'R2'!AR35</f>
        <v/>
      </c>
      <c r="AC29" s="56" t="str">
        <f>'R2'!AS35</f>
        <v/>
      </c>
      <c r="AD29" s="56" t="str">
        <f>'R2'!AT35</f>
        <v/>
      </c>
      <c r="AE29" s="56" t="str">
        <f>'R2'!AU35</f>
        <v/>
      </c>
      <c r="AF29" s="56" t="str">
        <f>'R2'!AV35</f>
        <v/>
      </c>
      <c r="AG29" s="56" t="str">
        <f>'R2'!AW35</f>
        <v/>
      </c>
      <c r="AH29" s="56" t="str">
        <f>'R2'!AX35</f>
        <v/>
      </c>
      <c r="AI29" s="56" t="str">
        <f>'R2'!AY35</f>
        <v/>
      </c>
      <c r="AJ29" s="56" t="str">
        <f>'R2'!AZ35</f>
        <v/>
      </c>
      <c r="AK29" s="56" t="str">
        <f>'R2'!BA35</f>
        <v/>
      </c>
    </row>
    <row r="30" spans="1:37" x14ac:dyDescent="0.35">
      <c r="A30" s="237"/>
      <c r="B30" s="56" t="str">
        <f>'R2'!B36</f>
        <v/>
      </c>
      <c r="C30" s="56" t="str">
        <f>'R2'!C36</f>
        <v/>
      </c>
      <c r="D30" s="56" t="str">
        <f>'R2'!D36</f>
        <v/>
      </c>
      <c r="E30" s="56" t="str">
        <f>'R2'!E36</f>
        <v/>
      </c>
      <c r="F30" s="56" t="str">
        <f>'R2'!F36</f>
        <v/>
      </c>
      <c r="G30" s="56" t="str">
        <f>'R2'!G36</f>
        <v/>
      </c>
      <c r="H30" s="56" t="str">
        <f>'R2'!H36</f>
        <v/>
      </c>
      <c r="I30" s="56" t="str">
        <f>'R2'!I36</f>
        <v/>
      </c>
      <c r="J30" s="56" t="str">
        <f>'R2'!J36</f>
        <v/>
      </c>
      <c r="K30" s="56" t="str">
        <f>'R2'!K36</f>
        <v/>
      </c>
      <c r="L30" s="56" t="str">
        <f>'R2'!L36</f>
        <v/>
      </c>
      <c r="M30" s="56" t="str">
        <f>'R2'!M36</f>
        <v/>
      </c>
      <c r="O30" s="56" t="str">
        <f>'R2'!AE36</f>
        <v/>
      </c>
      <c r="P30" s="56" t="str">
        <f>'R2'!AF36</f>
        <v/>
      </c>
      <c r="Q30" s="56" t="str">
        <f>'R2'!AG36</f>
        <v/>
      </c>
      <c r="R30" s="56" t="str">
        <f>'R2'!AH36</f>
        <v/>
      </c>
      <c r="S30" s="56" t="str">
        <f>'R2'!AI36</f>
        <v/>
      </c>
      <c r="T30" s="56" t="str">
        <f>'R2'!AJ36</f>
        <v/>
      </c>
      <c r="U30" s="56" t="str">
        <f>'R2'!AK36</f>
        <v/>
      </c>
      <c r="V30" s="56" t="str">
        <f>'R2'!AL36</f>
        <v/>
      </c>
      <c r="W30" s="56" t="str">
        <f>'R2'!AM36</f>
        <v/>
      </c>
      <c r="X30" s="56" t="str">
        <f>'R2'!AN36</f>
        <v/>
      </c>
      <c r="Y30" s="56" t="str">
        <f>'R2'!AO36</f>
        <v/>
      </c>
      <c r="Z30" s="56" t="str">
        <f>'R2'!AP36</f>
        <v/>
      </c>
      <c r="AA30" s="56" t="str">
        <f>'R2'!AQ36</f>
        <v/>
      </c>
      <c r="AB30" s="56" t="str">
        <f>'R2'!AR36</f>
        <v/>
      </c>
      <c r="AC30" s="56" t="str">
        <f>'R2'!AS36</f>
        <v/>
      </c>
      <c r="AD30" s="56" t="str">
        <f>'R2'!AT36</f>
        <v/>
      </c>
      <c r="AE30" s="56" t="str">
        <f>'R2'!AU36</f>
        <v/>
      </c>
      <c r="AF30" s="56" t="str">
        <f>'R2'!AV36</f>
        <v/>
      </c>
      <c r="AG30" s="56" t="str">
        <f>'R2'!AW36</f>
        <v/>
      </c>
      <c r="AH30" s="56" t="str">
        <f>'R2'!AX36</f>
        <v/>
      </c>
      <c r="AI30" s="56" t="str">
        <f>'R2'!AY36</f>
        <v/>
      </c>
      <c r="AJ30" s="56" t="str">
        <f>'R2'!AZ36</f>
        <v/>
      </c>
      <c r="AK30" s="56" t="str">
        <f>'R2'!BA36</f>
        <v/>
      </c>
    </row>
    <row r="31" spans="1:37" s="1" customFormat="1" x14ac:dyDescent="0.35">
      <c r="A31" s="237"/>
      <c r="B31" s="56" t="str">
        <f>'R2'!B37</f>
        <v/>
      </c>
      <c r="C31" s="56" t="str">
        <f>'R2'!C37</f>
        <v/>
      </c>
      <c r="D31" s="56" t="str">
        <f>'R2'!D37</f>
        <v/>
      </c>
      <c r="E31" s="56" t="str">
        <f>'R2'!E37</f>
        <v/>
      </c>
      <c r="F31" s="56" t="str">
        <f>'R2'!F37</f>
        <v/>
      </c>
      <c r="G31" s="56" t="str">
        <f>'R2'!G37</f>
        <v/>
      </c>
      <c r="H31" s="56" t="str">
        <f>'R2'!H37</f>
        <v/>
      </c>
      <c r="I31" s="56" t="str">
        <f>'R2'!I37</f>
        <v/>
      </c>
      <c r="J31" s="56" t="str">
        <f>'R2'!J37</f>
        <v/>
      </c>
      <c r="K31" s="56" t="str">
        <f>'R2'!K37</f>
        <v/>
      </c>
      <c r="L31" s="56" t="str">
        <f>'R2'!L37</f>
        <v/>
      </c>
      <c r="M31" s="56" t="str">
        <f>'R2'!M37</f>
        <v/>
      </c>
      <c r="N31"/>
      <c r="O31" s="56">
        <f>'R2'!AE37</f>
        <v>1.9351113028392213</v>
      </c>
      <c r="P31" s="56" t="str">
        <f>'R2'!AF37</f>
        <v/>
      </c>
      <c r="Q31" s="56" t="str">
        <f>'R2'!AG37</f>
        <v/>
      </c>
      <c r="R31" s="56" t="str">
        <f>'R2'!AH37</f>
        <v/>
      </c>
      <c r="S31" s="56" t="str">
        <f>'R2'!AI37</f>
        <v/>
      </c>
      <c r="T31" s="56" t="str">
        <f>'R2'!AJ37</f>
        <v/>
      </c>
      <c r="U31" s="56" t="str">
        <f>'R2'!AK37</f>
        <v/>
      </c>
      <c r="V31" s="56" t="str">
        <f>'R2'!AL37</f>
        <v/>
      </c>
      <c r="W31" s="56" t="str">
        <f>'R2'!AM37</f>
        <v/>
      </c>
      <c r="X31" s="56" t="str">
        <f>'R2'!AN37</f>
        <v/>
      </c>
      <c r="Y31" s="56" t="str">
        <f>'R2'!AO37</f>
        <v/>
      </c>
      <c r="Z31" s="56" t="str">
        <f>'R2'!AP37</f>
        <v/>
      </c>
      <c r="AA31" s="56" t="str">
        <f>'R2'!AQ37</f>
        <v/>
      </c>
      <c r="AB31" s="56" t="str">
        <f>'R2'!AR37</f>
        <v/>
      </c>
      <c r="AC31" s="56" t="str">
        <f>'R2'!AS37</f>
        <v/>
      </c>
      <c r="AD31" s="56" t="str">
        <f>'R2'!AT37</f>
        <v/>
      </c>
      <c r="AE31" s="56" t="str">
        <f>'R2'!AU37</f>
        <v/>
      </c>
      <c r="AF31" s="56" t="str">
        <f>'R2'!AV37</f>
        <v/>
      </c>
      <c r="AG31" s="56" t="str">
        <f>'R2'!AW37</f>
        <v/>
      </c>
      <c r="AH31" s="56" t="str">
        <f>'R2'!AX37</f>
        <v/>
      </c>
      <c r="AI31" s="56" t="str">
        <f>'R2'!AY37</f>
        <v/>
      </c>
      <c r="AJ31" s="56" t="str">
        <f>'R2'!AZ37</f>
        <v/>
      </c>
      <c r="AK31" s="56" t="str">
        <f>'R2'!BA37</f>
        <v/>
      </c>
    </row>
    <row r="32" spans="1:37" s="1" customFormat="1" x14ac:dyDescent="0.35">
      <c r="A32" s="237"/>
      <c r="B32" s="56" t="str">
        <f>'R2'!B38</f>
        <v/>
      </c>
      <c r="C32" s="56" t="str">
        <f>'R2'!C38</f>
        <v/>
      </c>
      <c r="D32" s="56" t="str">
        <f>'R2'!D38</f>
        <v/>
      </c>
      <c r="E32" s="56" t="str">
        <f>'R2'!E38</f>
        <v/>
      </c>
      <c r="F32" s="56" t="str">
        <f>'R2'!F38</f>
        <v/>
      </c>
      <c r="G32" s="56" t="str">
        <f>'R2'!G38</f>
        <v/>
      </c>
      <c r="H32" s="56" t="str">
        <f>'R2'!H38</f>
        <v/>
      </c>
      <c r="I32" s="56" t="str">
        <f>'R2'!I38</f>
        <v/>
      </c>
      <c r="J32" s="56" t="str">
        <f>'R2'!J38</f>
        <v/>
      </c>
      <c r="K32" s="56" t="str">
        <f>'R2'!K38</f>
        <v/>
      </c>
      <c r="L32" s="56" t="str">
        <f>'R2'!L38</f>
        <v/>
      </c>
      <c r="M32" s="56" t="str">
        <f>'R2'!M38</f>
        <v/>
      </c>
      <c r="N32"/>
      <c r="O32" s="56">
        <f>'R2'!AE38</f>
        <v>1.155526347856229</v>
      </c>
      <c r="P32" s="56" t="str">
        <f>'R2'!AF38</f>
        <v/>
      </c>
      <c r="Q32" s="56" t="str">
        <f>'R2'!AG38</f>
        <v/>
      </c>
      <c r="R32" s="56" t="str">
        <f>'R2'!AH38</f>
        <v/>
      </c>
      <c r="S32" s="56" t="str">
        <f>'R2'!AI38</f>
        <v/>
      </c>
      <c r="T32" s="56" t="str">
        <f>'R2'!AJ38</f>
        <v/>
      </c>
      <c r="U32" s="56" t="str">
        <f>'R2'!AK38</f>
        <v/>
      </c>
      <c r="V32" s="56" t="str">
        <f>'R2'!AL38</f>
        <v/>
      </c>
      <c r="W32" s="56" t="str">
        <f>'R2'!AM38</f>
        <v/>
      </c>
      <c r="X32" s="56" t="str">
        <f>'R2'!AN38</f>
        <v/>
      </c>
      <c r="Y32" s="56" t="str">
        <f>'R2'!AO38</f>
        <v/>
      </c>
      <c r="Z32" s="56" t="str">
        <f>'R2'!AP38</f>
        <v/>
      </c>
      <c r="AA32" s="56" t="str">
        <f>'R2'!AQ38</f>
        <v/>
      </c>
      <c r="AB32" s="56" t="str">
        <f>'R2'!AR38</f>
        <v/>
      </c>
      <c r="AC32" s="56" t="str">
        <f>'R2'!AS38</f>
        <v/>
      </c>
      <c r="AD32" s="56" t="str">
        <f>'R2'!AT38</f>
        <v/>
      </c>
      <c r="AE32" s="56" t="str">
        <f>'R2'!AU38</f>
        <v/>
      </c>
      <c r="AF32" s="56" t="str">
        <f>'R2'!AV38</f>
        <v/>
      </c>
      <c r="AG32" s="56" t="str">
        <f>'R2'!AW38</f>
        <v/>
      </c>
      <c r="AH32" s="56" t="str">
        <f>'R2'!AX38</f>
        <v/>
      </c>
      <c r="AI32" s="56" t="str">
        <f>'R2'!AY38</f>
        <v/>
      </c>
      <c r="AJ32" s="56" t="str">
        <f>'R2'!AZ38</f>
        <v/>
      </c>
      <c r="AK32" s="56" t="str">
        <f>'R2'!BA38</f>
        <v/>
      </c>
    </row>
    <row r="33" spans="1:37" s="1" customFormat="1" x14ac:dyDescent="0.35">
      <c r="A33" s="237"/>
      <c r="B33" s="56" t="str">
        <f>'R2'!B39</f>
        <v/>
      </c>
      <c r="C33" s="56" t="str">
        <f>'R2'!C39</f>
        <v/>
      </c>
      <c r="D33" s="56" t="str">
        <f>'R2'!D39</f>
        <v/>
      </c>
      <c r="E33" s="56" t="str">
        <f>'R2'!E39</f>
        <v/>
      </c>
      <c r="F33" s="56" t="str">
        <f>'R2'!F39</f>
        <v/>
      </c>
      <c r="G33" s="56" t="str">
        <f>'R2'!G39</f>
        <v/>
      </c>
      <c r="H33" s="56" t="str">
        <f>'R2'!H39</f>
        <v/>
      </c>
      <c r="I33" s="56" t="str">
        <f>'R2'!I39</f>
        <v/>
      </c>
      <c r="J33" s="56" t="str">
        <f>'R2'!J39</f>
        <v/>
      </c>
      <c r="K33" s="56" t="str">
        <f>'R2'!K39</f>
        <v/>
      </c>
      <c r="L33" s="56" t="str">
        <f>'R2'!L39</f>
        <v/>
      </c>
      <c r="M33" s="56" t="str">
        <f>'R2'!M39</f>
        <v/>
      </c>
      <c r="N33"/>
      <c r="O33" s="56">
        <f>'R2'!AE39</f>
        <v>2.2817404917422999</v>
      </c>
      <c r="P33" s="56" t="str">
        <f>'R2'!AF39</f>
        <v/>
      </c>
      <c r="Q33" s="56" t="str">
        <f>'R2'!AG39</f>
        <v/>
      </c>
      <c r="R33" s="56" t="str">
        <f>'R2'!AH39</f>
        <v/>
      </c>
      <c r="S33" s="56" t="str">
        <f>'R2'!AI39</f>
        <v/>
      </c>
      <c r="T33" s="56" t="str">
        <f>'R2'!AJ39</f>
        <v/>
      </c>
      <c r="U33" s="56" t="str">
        <f>'R2'!AK39</f>
        <v/>
      </c>
      <c r="V33" s="56" t="str">
        <f>'R2'!AL39</f>
        <v/>
      </c>
      <c r="W33" s="56" t="str">
        <f>'R2'!AM39</f>
        <v/>
      </c>
      <c r="X33" s="56" t="str">
        <f>'R2'!AN39</f>
        <v/>
      </c>
      <c r="Y33" s="56" t="str">
        <f>'R2'!AO39</f>
        <v/>
      </c>
      <c r="Z33" s="56" t="str">
        <f>'R2'!AP39</f>
        <v/>
      </c>
      <c r="AA33" s="56" t="str">
        <f>'R2'!AQ39</f>
        <v/>
      </c>
      <c r="AB33" s="56" t="str">
        <f>'R2'!AR39</f>
        <v/>
      </c>
      <c r="AC33" s="56" t="str">
        <f>'R2'!AS39</f>
        <v/>
      </c>
      <c r="AD33" s="56" t="str">
        <f>'R2'!AT39</f>
        <v/>
      </c>
      <c r="AE33" s="56" t="str">
        <f>'R2'!AU39</f>
        <v/>
      </c>
      <c r="AF33" s="56" t="str">
        <f>'R2'!AV39</f>
        <v/>
      </c>
      <c r="AG33" s="56" t="str">
        <f>'R2'!AW39</f>
        <v/>
      </c>
      <c r="AH33" s="56" t="str">
        <f>'R2'!AX39</f>
        <v/>
      </c>
      <c r="AI33" s="56" t="str">
        <f>'R2'!AY39</f>
        <v/>
      </c>
      <c r="AJ33" s="56" t="str">
        <f>'R2'!AZ39</f>
        <v/>
      </c>
      <c r="AK33" s="56" t="str">
        <f>'R2'!BA39</f>
        <v/>
      </c>
    </row>
    <row r="34" spans="1:37" s="1" customFormat="1" x14ac:dyDescent="0.35">
      <c r="A34" s="237"/>
      <c r="B34" s="56" t="str">
        <f>'R2'!B40</f>
        <v/>
      </c>
      <c r="C34" s="56" t="str">
        <f>'R2'!C40</f>
        <v/>
      </c>
      <c r="D34" s="56" t="str">
        <f>'R2'!D40</f>
        <v/>
      </c>
      <c r="E34" s="56" t="str">
        <f>'R2'!E40</f>
        <v/>
      </c>
      <c r="F34" s="56" t="str">
        <f>'R2'!F40</f>
        <v/>
      </c>
      <c r="G34" s="56" t="str">
        <f>'R2'!G40</f>
        <v/>
      </c>
      <c r="H34" s="56" t="str">
        <f>'R2'!H40</f>
        <v/>
      </c>
      <c r="I34" s="56" t="str">
        <f>'R2'!I40</f>
        <v/>
      </c>
      <c r="J34" s="56" t="str">
        <f>'R2'!J40</f>
        <v/>
      </c>
      <c r="K34" s="56" t="str">
        <f>'R2'!K40</f>
        <v/>
      </c>
      <c r="L34" s="56" t="str">
        <f>'R2'!L40</f>
        <v/>
      </c>
      <c r="M34" s="56" t="str">
        <f>'R2'!M40</f>
        <v/>
      </c>
      <c r="N34"/>
      <c r="O34" s="56">
        <f>'R2'!AE40</f>
        <v>6.8763207238651439E-2</v>
      </c>
      <c r="P34" s="56" t="str">
        <f>'R2'!AF40</f>
        <v/>
      </c>
      <c r="Q34" s="56" t="str">
        <f>'R2'!AG40</f>
        <v/>
      </c>
      <c r="R34" s="56" t="str">
        <f>'R2'!AH40</f>
        <v/>
      </c>
      <c r="S34" s="56" t="str">
        <f>'R2'!AI40</f>
        <v/>
      </c>
      <c r="T34" s="56" t="str">
        <f>'R2'!AJ40</f>
        <v/>
      </c>
      <c r="U34" s="56" t="str">
        <f>'R2'!AK40</f>
        <v/>
      </c>
      <c r="V34" s="56" t="str">
        <f>'R2'!AL40</f>
        <v/>
      </c>
      <c r="W34" s="56" t="str">
        <f>'R2'!AM40</f>
        <v/>
      </c>
      <c r="X34" s="56" t="str">
        <f>'R2'!AN40</f>
        <v/>
      </c>
      <c r="Y34" s="56" t="str">
        <f>'R2'!AO40</f>
        <v/>
      </c>
      <c r="Z34" s="56" t="str">
        <f>'R2'!AP40</f>
        <v/>
      </c>
      <c r="AA34" s="56" t="str">
        <f>'R2'!AQ40</f>
        <v/>
      </c>
      <c r="AB34" s="56" t="str">
        <f>'R2'!AR40</f>
        <v/>
      </c>
      <c r="AC34" s="56" t="str">
        <f>'R2'!AS40</f>
        <v/>
      </c>
      <c r="AD34" s="56" t="str">
        <f>'R2'!AT40</f>
        <v/>
      </c>
      <c r="AE34" s="56" t="str">
        <f>'R2'!AU40</f>
        <v/>
      </c>
      <c r="AF34" s="56" t="str">
        <f>'R2'!AV40</f>
        <v/>
      </c>
      <c r="AG34" s="56" t="str">
        <f>'R2'!AW40</f>
        <v/>
      </c>
      <c r="AH34" s="56" t="str">
        <f>'R2'!AX40</f>
        <v/>
      </c>
      <c r="AI34" s="56" t="str">
        <f>'R2'!AY40</f>
        <v/>
      </c>
      <c r="AJ34" s="56" t="str">
        <f>'R2'!AZ40</f>
        <v/>
      </c>
      <c r="AK34" s="56" t="str">
        <f>'R2'!BA40</f>
        <v/>
      </c>
    </row>
    <row r="35" spans="1:37" s="1" customFormat="1" x14ac:dyDescent="0.35">
      <c r="A35" s="237"/>
      <c r="B35" s="56" t="str">
        <f>'R2'!B41</f>
        <v/>
      </c>
      <c r="C35" s="56" t="str">
        <f>'R2'!C41</f>
        <v/>
      </c>
      <c r="D35" s="56" t="str">
        <f>'R2'!D41</f>
        <v/>
      </c>
      <c r="E35" s="56" t="str">
        <f>'R2'!E41</f>
        <v/>
      </c>
      <c r="F35" s="56" t="str">
        <f>'R2'!F41</f>
        <v/>
      </c>
      <c r="G35" s="56" t="str">
        <f>'R2'!G41</f>
        <v/>
      </c>
      <c r="H35" s="56" t="str">
        <f>'R2'!H41</f>
        <v/>
      </c>
      <c r="I35" s="56" t="str">
        <f>'R2'!I41</f>
        <v/>
      </c>
      <c r="J35" s="56" t="str">
        <f>'R2'!J41</f>
        <v/>
      </c>
      <c r="K35" s="56" t="str">
        <f>'R2'!K41</f>
        <v/>
      </c>
      <c r="L35" s="56" t="str">
        <f>'R2'!L41</f>
        <v/>
      </c>
      <c r="M35" s="56" t="str">
        <f>'R2'!M41</f>
        <v/>
      </c>
      <c r="N35"/>
      <c r="O35" s="56">
        <f>'R2'!AE41</f>
        <v>0.6117312200550562</v>
      </c>
      <c r="P35" s="56" t="str">
        <f>'R2'!AF41</f>
        <v/>
      </c>
      <c r="Q35" s="56" t="str">
        <f>'R2'!AG41</f>
        <v/>
      </c>
      <c r="R35" s="56" t="str">
        <f>'R2'!AH41</f>
        <v/>
      </c>
      <c r="S35" s="56" t="str">
        <f>'R2'!AI41</f>
        <v/>
      </c>
      <c r="T35" s="56" t="str">
        <f>'R2'!AJ41</f>
        <v/>
      </c>
      <c r="U35" s="56" t="str">
        <f>'R2'!AK41</f>
        <v/>
      </c>
      <c r="V35" s="56" t="str">
        <f>'R2'!AL41</f>
        <v/>
      </c>
      <c r="W35" s="56" t="str">
        <f>'R2'!AM41</f>
        <v/>
      </c>
      <c r="X35" s="56" t="str">
        <f>'R2'!AN41</f>
        <v/>
      </c>
      <c r="Y35" s="56" t="str">
        <f>'R2'!AO41</f>
        <v/>
      </c>
      <c r="Z35" s="56" t="str">
        <f>'R2'!AP41</f>
        <v/>
      </c>
      <c r="AA35" s="56" t="str">
        <f>'R2'!AQ41</f>
        <v/>
      </c>
      <c r="AB35" s="56" t="str">
        <f>'R2'!AR41</f>
        <v/>
      </c>
      <c r="AC35" s="56" t="str">
        <f>'R2'!AS41</f>
        <v/>
      </c>
      <c r="AD35" s="56" t="str">
        <f>'R2'!AT41</f>
        <v/>
      </c>
      <c r="AE35" s="56" t="str">
        <f>'R2'!AU41</f>
        <v/>
      </c>
      <c r="AF35" s="56" t="str">
        <f>'R2'!AV41</f>
        <v/>
      </c>
      <c r="AG35" s="56" t="str">
        <f>'R2'!AW41</f>
        <v/>
      </c>
      <c r="AH35" s="56" t="str">
        <f>'R2'!AX41</f>
        <v/>
      </c>
      <c r="AI35" s="56" t="str">
        <f>'R2'!AY41</f>
        <v/>
      </c>
      <c r="AJ35" s="56" t="str">
        <f>'R2'!AZ41</f>
        <v/>
      </c>
      <c r="AK35" s="56" t="str">
        <f>'R2'!BA41</f>
        <v/>
      </c>
    </row>
    <row r="36" spans="1:37" x14ac:dyDescent="0.35">
      <c r="A36" s="237"/>
      <c r="B36" s="56" t="str">
        <f>'R2'!B42</f>
        <v/>
      </c>
      <c r="C36" s="56" t="str">
        <f>'R2'!C42</f>
        <v/>
      </c>
      <c r="D36" s="56" t="str">
        <f>'R2'!D42</f>
        <v/>
      </c>
      <c r="E36" s="56" t="str">
        <f>'R2'!E42</f>
        <v/>
      </c>
      <c r="F36" s="56" t="str">
        <f>'R2'!F42</f>
        <v/>
      </c>
      <c r="G36" s="56" t="str">
        <f>'R2'!G42</f>
        <v/>
      </c>
      <c r="H36" s="56" t="str">
        <f>'R2'!H42</f>
        <v/>
      </c>
      <c r="I36" s="56" t="str">
        <f>'R2'!I42</f>
        <v/>
      </c>
      <c r="J36" s="56" t="str">
        <f>'R2'!J42</f>
        <v/>
      </c>
      <c r="K36" s="56" t="str">
        <f>'R2'!K42</f>
        <v/>
      </c>
      <c r="L36" s="56" t="str">
        <f>'R2'!L42</f>
        <v/>
      </c>
      <c r="M36" s="56" t="str">
        <f>'R2'!M42</f>
        <v/>
      </c>
      <c r="O36" s="56">
        <f>'R2'!AE42</f>
        <v>0.17329730564164172</v>
      </c>
      <c r="P36" s="56" t="str">
        <f>'R2'!AF42</f>
        <v/>
      </c>
      <c r="Q36" s="56" t="str">
        <f>'R2'!AG42</f>
        <v/>
      </c>
      <c r="R36" s="56" t="str">
        <f>'R2'!AH42</f>
        <v/>
      </c>
      <c r="S36" s="56" t="str">
        <f>'R2'!AI42</f>
        <v/>
      </c>
      <c r="T36" s="56" t="str">
        <f>'R2'!AJ42</f>
        <v/>
      </c>
      <c r="U36" s="56" t="str">
        <f>'R2'!AK42</f>
        <v/>
      </c>
      <c r="V36" s="56" t="str">
        <f>'R2'!AL42</f>
        <v/>
      </c>
      <c r="W36" s="56" t="str">
        <f>'R2'!AM42</f>
        <v/>
      </c>
      <c r="X36" s="56" t="str">
        <f>'R2'!AN42</f>
        <v/>
      </c>
      <c r="Y36" s="56" t="str">
        <f>'R2'!AO42</f>
        <v/>
      </c>
      <c r="Z36" s="56" t="str">
        <f>'R2'!AP42</f>
        <v/>
      </c>
      <c r="AA36" s="56" t="str">
        <f>'R2'!AQ42</f>
        <v/>
      </c>
      <c r="AB36" s="56" t="str">
        <f>'R2'!AR42</f>
        <v/>
      </c>
      <c r="AC36" s="56" t="str">
        <f>'R2'!AS42</f>
        <v/>
      </c>
      <c r="AD36" s="56" t="str">
        <f>'R2'!AT42</f>
        <v/>
      </c>
      <c r="AE36" s="56" t="str">
        <f>'R2'!AU42</f>
        <v/>
      </c>
      <c r="AF36" s="56" t="str">
        <f>'R2'!AV42</f>
        <v/>
      </c>
      <c r="AG36" s="56" t="str">
        <f>'R2'!AW42</f>
        <v/>
      </c>
      <c r="AH36" s="56" t="str">
        <f>'R2'!AX42</f>
        <v/>
      </c>
      <c r="AI36" s="56" t="str">
        <f>'R2'!AY42</f>
        <v/>
      </c>
      <c r="AJ36" s="56" t="str">
        <f>'R2'!AZ42</f>
        <v/>
      </c>
      <c r="AK36" s="56" t="str">
        <f>'R2'!BA42</f>
        <v/>
      </c>
    </row>
    <row r="37" spans="1:37" x14ac:dyDescent="0.35">
      <c r="A37" s="238"/>
      <c r="B37" s="56" t="str">
        <f>'R2'!B43</f>
        <v/>
      </c>
      <c r="C37" s="56" t="str">
        <f>'R2'!C43</f>
        <v/>
      </c>
      <c r="D37" s="56" t="str">
        <f>'R2'!D43</f>
        <v/>
      </c>
      <c r="E37" s="56" t="str">
        <f>'R2'!E43</f>
        <v/>
      </c>
      <c r="F37" s="56" t="str">
        <f>'R2'!F43</f>
        <v/>
      </c>
      <c r="G37" s="56" t="str">
        <f>'R2'!G43</f>
        <v/>
      </c>
      <c r="H37" s="56" t="str">
        <f>'R2'!H43</f>
        <v/>
      </c>
      <c r="I37" s="56" t="str">
        <f>'R2'!I43</f>
        <v/>
      </c>
      <c r="J37" s="56" t="str">
        <f>'R2'!J43</f>
        <v/>
      </c>
      <c r="K37" s="56" t="str">
        <f>'R2'!K43</f>
        <v/>
      </c>
      <c r="L37" s="56" t="str">
        <f>'R2'!L43</f>
        <v/>
      </c>
      <c r="M37" s="56" t="str">
        <f>'R2'!M43</f>
        <v/>
      </c>
      <c r="O37" s="56">
        <f>'R2'!AE43</f>
        <v>0.61451002413594202</v>
      </c>
      <c r="P37" s="56" t="str">
        <f>'R2'!AF43</f>
        <v/>
      </c>
      <c r="Q37" s="56" t="str">
        <f>'R2'!AG43</f>
        <v/>
      </c>
      <c r="R37" s="56" t="str">
        <f>'R2'!AH43</f>
        <v/>
      </c>
      <c r="S37" s="56" t="str">
        <f>'R2'!AI43</f>
        <v/>
      </c>
      <c r="T37" s="56" t="str">
        <f>'R2'!AJ43</f>
        <v/>
      </c>
      <c r="U37" s="56" t="str">
        <f>'R2'!AK43</f>
        <v/>
      </c>
      <c r="V37" s="56" t="str">
        <f>'R2'!AL43</f>
        <v/>
      </c>
      <c r="W37" s="56" t="str">
        <f>'R2'!AM43</f>
        <v/>
      </c>
      <c r="X37" s="56" t="str">
        <f>'R2'!AN43</f>
        <v/>
      </c>
      <c r="Y37" s="56" t="str">
        <f>'R2'!AO43</f>
        <v/>
      </c>
      <c r="Z37" s="56" t="str">
        <f>'R2'!AP43</f>
        <v/>
      </c>
      <c r="AA37" s="56" t="str">
        <f>'R2'!AQ43</f>
        <v/>
      </c>
      <c r="AB37" s="56" t="str">
        <f>'R2'!AR43</f>
        <v/>
      </c>
      <c r="AC37" s="56" t="str">
        <f>'R2'!AS43</f>
        <v/>
      </c>
      <c r="AD37" s="56" t="str">
        <f>'R2'!AT43</f>
        <v/>
      </c>
      <c r="AE37" s="56" t="str">
        <f>'R2'!AU43</f>
        <v/>
      </c>
      <c r="AF37" s="56" t="str">
        <f>'R2'!AV43</f>
        <v/>
      </c>
      <c r="AG37" s="56" t="str">
        <f>'R2'!AW43</f>
        <v/>
      </c>
      <c r="AH37" s="56" t="str">
        <f>'R2'!AX43</f>
        <v/>
      </c>
      <c r="AI37" s="56" t="str">
        <f>'R2'!AY43</f>
        <v/>
      </c>
      <c r="AJ37" s="56" t="str">
        <f>'R2'!AZ43</f>
        <v/>
      </c>
      <c r="AK37" s="56" t="str">
        <f>'R2'!BA43</f>
        <v/>
      </c>
    </row>
    <row r="38" spans="1:37" s="1" customFormat="1" x14ac:dyDescent="0.35">
      <c r="A38" s="159" t="s">
        <v>116</v>
      </c>
      <c r="B38" s="160">
        <f>'R3'!B28</f>
        <v>9.9799643376954267E-2</v>
      </c>
      <c r="C38" s="160">
        <f>'R3'!C28</f>
        <v>9.741118116238677E-2</v>
      </c>
      <c r="D38" s="160">
        <f>'R3'!D28</f>
        <v>1.6391358465433954E-2</v>
      </c>
      <c r="E38" s="160">
        <f>'R3'!E28</f>
        <v>8.5080261890892461E-2</v>
      </c>
      <c r="F38" s="160">
        <f>'R3'!F28</f>
        <v>0.30528878427283296</v>
      </c>
      <c r="G38" s="160">
        <f>'R3'!G28</f>
        <v>1.5675551780759613</v>
      </c>
      <c r="H38" s="160">
        <f>'R3'!H28</f>
        <v>2.3790916277790859</v>
      </c>
      <c r="I38" s="160">
        <f>'R3'!I28</f>
        <v>0.25644632595531158</v>
      </c>
      <c r="J38" s="160">
        <f>'R3'!J28</f>
        <v>0.51818962030862969</v>
      </c>
      <c r="K38" s="160">
        <f>'R3'!K28</f>
        <v>0.22328639904976214</v>
      </c>
      <c r="L38" s="160">
        <f>'R3'!L28</f>
        <v>1.9555202675644032</v>
      </c>
      <c r="M38" s="160">
        <f>'R3'!M28</f>
        <v>2.1989154489707832</v>
      </c>
      <c r="N38"/>
      <c r="O38" s="160">
        <f>'R3'!AE28</f>
        <v>0.22558634693127172</v>
      </c>
      <c r="P38" s="160">
        <f>'R3'!AF28</f>
        <v>1.694624538021996</v>
      </c>
      <c r="Q38" s="160">
        <f>'R3'!AG28</f>
        <v>0.14537116760807298</v>
      </c>
      <c r="R38" s="160">
        <f>'R3'!AH28</f>
        <v>0.10932606525878379</v>
      </c>
      <c r="S38" s="160">
        <f>'R3'!AI28</f>
        <v>0.60222400610116655</v>
      </c>
      <c r="T38" s="160">
        <f>'R3'!AJ28</f>
        <v>1.3419725711869317</v>
      </c>
      <c r="U38" s="160">
        <f>'R3'!AK28</f>
        <v>1.7016009634838583</v>
      </c>
      <c r="V38" s="160">
        <f>'R3'!AL28</f>
        <v>0.86791776459678804</v>
      </c>
      <c r="W38" s="160" t="str">
        <f>'R3'!AM28</f>
        <v/>
      </c>
      <c r="X38" s="160" t="str">
        <f>'R3'!AN28</f>
        <v/>
      </c>
      <c r="Y38" s="160" t="str">
        <f>'R3'!AO28</f>
        <v/>
      </c>
      <c r="Z38" s="160" t="str">
        <f>'R3'!AP28</f>
        <v/>
      </c>
      <c r="AA38" s="160" t="str">
        <f>'R3'!AQ28</f>
        <v/>
      </c>
      <c r="AB38" s="160" t="str">
        <f>'R3'!AR28</f>
        <v/>
      </c>
      <c r="AC38" s="160" t="str">
        <f>'R3'!AS28</f>
        <v/>
      </c>
      <c r="AD38" s="160" t="str">
        <f>'R3'!AT28</f>
        <v/>
      </c>
      <c r="AE38" s="160" t="str">
        <f>'R3'!AU28</f>
        <v/>
      </c>
      <c r="AF38" s="160" t="str">
        <f>'R3'!AV28</f>
        <v/>
      </c>
      <c r="AG38" s="160" t="str">
        <f>'R3'!AW28</f>
        <v/>
      </c>
      <c r="AH38" s="160" t="str">
        <f>'R3'!AX28</f>
        <v/>
      </c>
      <c r="AI38" s="160" t="str">
        <f>'R3'!AY28</f>
        <v/>
      </c>
      <c r="AJ38" s="160" t="str">
        <f>'R3'!AZ28</f>
        <v/>
      </c>
      <c r="AK38" s="160" t="str">
        <f>'R3'!BA28</f>
        <v/>
      </c>
    </row>
    <row r="39" spans="1:37" s="1" customFormat="1" x14ac:dyDescent="0.35">
      <c r="A39" s="236" t="s">
        <v>34</v>
      </c>
      <c r="B39" s="160">
        <f>'R3'!B29</f>
        <v>0.1526984446516742</v>
      </c>
      <c r="C39" s="160">
        <f>'R3'!C29</f>
        <v>1.7986219335723416E-2</v>
      </c>
      <c r="D39" s="160">
        <f>'R3'!D29</f>
        <v>0.34381104126699724</v>
      </c>
      <c r="E39" s="160">
        <f>'R3'!E29</f>
        <v>0.49668259644529583</v>
      </c>
      <c r="F39" s="160">
        <f>'R3'!F29</f>
        <v>1.233428530951201</v>
      </c>
      <c r="G39" s="160">
        <f>'R3'!G29</f>
        <v>1.9732559040699202</v>
      </c>
      <c r="H39" s="160">
        <f>'R3'!H29</f>
        <v>2.1336278468184444</v>
      </c>
      <c r="I39" s="160">
        <f>'R3'!I29</f>
        <v>4.9058134086803436E-2</v>
      </c>
      <c r="J39" s="160">
        <f>'R3'!J29</f>
        <v>5.4797852247349371E-2</v>
      </c>
      <c r="K39" s="160">
        <f>'R3'!K29</f>
        <v>1.2940045703650129</v>
      </c>
      <c r="L39" s="160">
        <f>'R3'!L29</f>
        <v>1.9657131293542864</v>
      </c>
      <c r="M39" s="160">
        <f>'R3'!M29</f>
        <v>1.5103571091955701</v>
      </c>
      <c r="N39"/>
      <c r="O39" s="160">
        <f>'R3'!AE29</f>
        <v>0.9105448070000457</v>
      </c>
      <c r="P39" s="160">
        <f>'R3'!AF29</f>
        <v>2.5138001130527945</v>
      </c>
      <c r="Q39" s="160">
        <f>'R3'!AG29</f>
        <v>0.10804340886706691</v>
      </c>
      <c r="R39" s="160">
        <f>'R3'!AH29</f>
        <v>0.36404288882309804</v>
      </c>
      <c r="S39" s="160">
        <f>'R3'!AI29</f>
        <v>1.6149258407226765</v>
      </c>
      <c r="T39" s="160">
        <f>'R3'!AJ29</f>
        <v>6.2883823574304387E-2</v>
      </c>
      <c r="U39" s="160">
        <f>'R3'!AK29</f>
        <v>1.3057269313345776</v>
      </c>
      <c r="V39" s="160">
        <f>'R3'!AL29</f>
        <v>2.5236693721401307</v>
      </c>
      <c r="W39" s="160" t="str">
        <f>'R3'!AM29</f>
        <v/>
      </c>
      <c r="X39" s="160" t="str">
        <f>'R3'!AN29</f>
        <v/>
      </c>
      <c r="Y39" s="160" t="str">
        <f>'R3'!AO29</f>
        <v/>
      </c>
      <c r="Z39" s="160" t="str">
        <f>'R3'!AP29</f>
        <v/>
      </c>
      <c r="AA39" s="160" t="str">
        <f>'R3'!AQ29</f>
        <v/>
      </c>
      <c r="AB39" s="160" t="str">
        <f>'R3'!AR29</f>
        <v/>
      </c>
      <c r="AC39" s="160" t="str">
        <f>'R3'!AS29</f>
        <v/>
      </c>
      <c r="AD39" s="160" t="str">
        <f>'R3'!AT29</f>
        <v/>
      </c>
      <c r="AE39" s="160" t="str">
        <f>'R3'!AU29</f>
        <v/>
      </c>
      <c r="AF39" s="160" t="str">
        <f>'R3'!AV29</f>
        <v/>
      </c>
      <c r="AG39" s="160" t="str">
        <f>'R3'!AW29</f>
        <v/>
      </c>
      <c r="AH39" s="160" t="str">
        <f>'R3'!AX29</f>
        <v/>
      </c>
      <c r="AI39" s="160" t="str">
        <f>'R3'!AY29</f>
        <v/>
      </c>
      <c r="AJ39" s="160" t="str">
        <f>'R3'!AZ29</f>
        <v/>
      </c>
      <c r="AK39" s="160" t="str">
        <f>'R3'!BA29</f>
        <v/>
      </c>
    </row>
    <row r="40" spans="1:37" s="1" customFormat="1" x14ac:dyDescent="0.35">
      <c r="A40" s="237"/>
      <c r="B40" s="160">
        <f>'R3'!B30</f>
        <v>0.12909370233376688</v>
      </c>
      <c r="C40" s="160">
        <f>'R3'!C30</f>
        <v>7.0665070507170608E-2</v>
      </c>
      <c r="D40" s="160">
        <f>'R3'!D30</f>
        <v>8.0118472516658559E-2</v>
      </c>
      <c r="E40" s="160">
        <f>'R3'!E30</f>
        <v>0.24780593789030952</v>
      </c>
      <c r="F40" s="160">
        <f>'R3'!F30</f>
        <v>1.2350965897910817</v>
      </c>
      <c r="G40" s="160">
        <f>'R3'!G30</f>
        <v>1.604574828575136</v>
      </c>
      <c r="H40" s="160">
        <f>'R3'!H30</f>
        <v>1.2537065056949519</v>
      </c>
      <c r="I40" s="160">
        <f>'R3'!I30</f>
        <v>7.7791631950457352E-2</v>
      </c>
      <c r="J40" s="160">
        <f>'R3'!J30</f>
        <v>0.18471035668621463</v>
      </c>
      <c r="K40" s="160">
        <f>'R3'!K30</f>
        <v>0.14695854839387865</v>
      </c>
      <c r="L40" s="160">
        <f>'R3'!L30</f>
        <v>1.700649389879173</v>
      </c>
      <c r="M40" s="160">
        <f>'R3'!M30</f>
        <v>2.2712293438148761</v>
      </c>
      <c r="N40"/>
      <c r="O40" s="160">
        <f>'R3'!AE30</f>
        <v>0.72160642160800503</v>
      </c>
      <c r="P40" s="160">
        <f>'R3'!AF30</f>
        <v>2.4775623094794237</v>
      </c>
      <c r="Q40" s="160">
        <f>'R3'!AG30</f>
        <v>8.2630178027958648E-2</v>
      </c>
      <c r="R40" s="160">
        <f>'R3'!AH30</f>
        <v>1.3066745867997713</v>
      </c>
      <c r="S40" s="160">
        <f>'R3'!AI30</f>
        <v>0.92058147750201802</v>
      </c>
      <c r="T40" s="160">
        <f>'R3'!AJ30</f>
        <v>1.9601005726299647</v>
      </c>
      <c r="U40" s="160">
        <f>'R3'!AK30</f>
        <v>1.065290301438778</v>
      </c>
      <c r="V40" s="160">
        <f>'R3'!AL30</f>
        <v>1.5721930085531484</v>
      </c>
      <c r="W40" s="160" t="str">
        <f>'R3'!AM30</f>
        <v/>
      </c>
      <c r="X40" s="160" t="str">
        <f>'R3'!AN30</f>
        <v/>
      </c>
      <c r="Y40" s="160" t="str">
        <f>'R3'!AO30</f>
        <v/>
      </c>
      <c r="Z40" s="160" t="str">
        <f>'R3'!AP30</f>
        <v/>
      </c>
      <c r="AA40" s="160" t="str">
        <f>'R3'!AQ30</f>
        <v/>
      </c>
      <c r="AB40" s="160" t="str">
        <f>'R3'!AR30</f>
        <v/>
      </c>
      <c r="AC40" s="160" t="str">
        <f>'R3'!AS30</f>
        <v/>
      </c>
      <c r="AD40" s="160" t="str">
        <f>'R3'!AT30</f>
        <v/>
      </c>
      <c r="AE40" s="160" t="str">
        <f>'R3'!AU30</f>
        <v/>
      </c>
      <c r="AF40" s="160" t="str">
        <f>'R3'!AV30</f>
        <v/>
      </c>
      <c r="AG40" s="160" t="str">
        <f>'R3'!AW30</f>
        <v/>
      </c>
      <c r="AH40" s="160" t="str">
        <f>'R3'!AX30</f>
        <v/>
      </c>
      <c r="AI40" s="160" t="str">
        <f>'R3'!AY30</f>
        <v/>
      </c>
      <c r="AJ40" s="160" t="str">
        <f>'R3'!AZ30</f>
        <v/>
      </c>
      <c r="AK40" s="160" t="str">
        <f>'R3'!BA30</f>
        <v/>
      </c>
    </row>
    <row r="41" spans="1:37" s="1" customFormat="1" x14ac:dyDescent="0.35">
      <c r="A41" s="237"/>
      <c r="B41" s="160" t="str">
        <f>'R3'!B31</f>
        <v/>
      </c>
      <c r="C41" s="160">
        <f>'R3'!C31</f>
        <v>0.11750429096103865</v>
      </c>
      <c r="D41" s="160">
        <f>'R3'!D31</f>
        <v>8.1636573472364582E-2</v>
      </c>
      <c r="E41" s="160">
        <f>'R3'!E31</f>
        <v>0.54121438893317053</v>
      </c>
      <c r="F41" s="160">
        <f>'R3'!F31</f>
        <v>2.2035571975874615</v>
      </c>
      <c r="G41" s="160">
        <f>'R3'!G31</f>
        <v>0.68878167372622834</v>
      </c>
      <c r="H41" s="160">
        <f>'R3'!H31</f>
        <v>2.5190698325716103</v>
      </c>
      <c r="I41" s="160">
        <f>'R3'!I31</f>
        <v>5.6558343559779449E-2</v>
      </c>
      <c r="J41" s="160">
        <f>'R3'!J31</f>
        <v>0.11634861790829623</v>
      </c>
      <c r="K41" s="160">
        <f>'R3'!K31</f>
        <v>0.4095800402850413</v>
      </c>
      <c r="L41" s="160">
        <f>'R3'!L31</f>
        <v>0.75590652710558048</v>
      </c>
      <c r="M41" s="160">
        <f>'R3'!M31</f>
        <v>1.4086737312094533</v>
      </c>
      <c r="N41"/>
      <c r="O41" s="160">
        <f>'R3'!AE31</f>
        <v>1.815495757486979</v>
      </c>
      <c r="P41" s="160">
        <f>'R3'!AF31</f>
        <v>2.0822854374080975</v>
      </c>
      <c r="Q41" s="160">
        <f>'R3'!AG31</f>
        <v>3.6376541330820016E-2</v>
      </c>
      <c r="R41" s="160" t="str">
        <f>'R3'!AH31</f>
        <v/>
      </c>
      <c r="S41" s="160">
        <f>'R3'!AI31</f>
        <v>0.52109046831033545</v>
      </c>
      <c r="T41" s="160">
        <f>'R3'!AJ31</f>
        <v>0.19553136747548513</v>
      </c>
      <c r="U41" s="160">
        <f>'R3'!AK31</f>
        <v>1.7956952614694421</v>
      </c>
      <c r="V41" s="160">
        <f>'R3'!AL31</f>
        <v>1.5451774367592668</v>
      </c>
      <c r="W41" s="160" t="str">
        <f>'R3'!AM31</f>
        <v/>
      </c>
      <c r="X41" s="160" t="str">
        <f>'R3'!AN31</f>
        <v/>
      </c>
      <c r="Y41" s="160" t="str">
        <f>'R3'!AO31</f>
        <v/>
      </c>
      <c r="Z41" s="160" t="str">
        <f>'R3'!AP31</f>
        <v/>
      </c>
      <c r="AA41" s="160" t="str">
        <f>'R3'!AQ31</f>
        <v/>
      </c>
      <c r="AB41" s="160" t="str">
        <f>'R3'!AR31</f>
        <v/>
      </c>
      <c r="AC41" s="160" t="str">
        <f>'R3'!AS31</f>
        <v/>
      </c>
      <c r="AD41" s="160" t="str">
        <f>'R3'!AT31</f>
        <v/>
      </c>
      <c r="AE41" s="160" t="str">
        <f>'R3'!AU31</f>
        <v/>
      </c>
      <c r="AF41" s="160" t="str">
        <f>'R3'!AV31</f>
        <v/>
      </c>
      <c r="AG41" s="160" t="str">
        <f>'R3'!AW31</f>
        <v/>
      </c>
      <c r="AH41" s="160" t="str">
        <f>'R3'!AX31</f>
        <v/>
      </c>
      <c r="AI41" s="160" t="str">
        <f>'R3'!AY31</f>
        <v/>
      </c>
      <c r="AJ41" s="160" t="str">
        <f>'R3'!AZ31</f>
        <v/>
      </c>
      <c r="AK41" s="160" t="str">
        <f>'R3'!BA31</f>
        <v/>
      </c>
    </row>
    <row r="42" spans="1:37" s="1" customFormat="1" x14ac:dyDescent="0.35">
      <c r="A42" s="237"/>
      <c r="B42" s="160">
        <f>'R3'!B32</f>
        <v>1.8852840552343018E-2</v>
      </c>
      <c r="C42" s="160">
        <f>'R3'!C32</f>
        <v>0.37957902429588769</v>
      </c>
      <c r="D42" s="160">
        <f>'R3'!D32</f>
        <v>0.21488483939649186</v>
      </c>
      <c r="E42" s="160">
        <f>'R3'!E32</f>
        <v>0.22173036337988844</v>
      </c>
      <c r="F42" s="160">
        <f>'R3'!F32</f>
        <v>1.1731602435847213</v>
      </c>
      <c r="G42" s="160">
        <f>'R3'!G32</f>
        <v>2.7029826697740553</v>
      </c>
      <c r="H42" s="160" t="str">
        <f>'R3'!H32</f>
        <v/>
      </c>
      <c r="I42" s="160">
        <f>'R3'!I32</f>
        <v>6.9513493691169298E-2</v>
      </c>
      <c r="J42" s="160">
        <f>'R3'!J32</f>
        <v>0.14519022080246557</v>
      </c>
      <c r="K42" s="160">
        <f>'R3'!K32</f>
        <v>1.194077943649084</v>
      </c>
      <c r="L42" s="160">
        <f>'R3'!L32</f>
        <v>2.0261662816658652</v>
      </c>
      <c r="M42" s="160">
        <f>'R3'!M32</f>
        <v>1.4246490544997898</v>
      </c>
      <c r="N42"/>
      <c r="O42" s="160">
        <f>'R3'!AE32</f>
        <v>0.44681572274799713</v>
      </c>
      <c r="P42" s="160">
        <f>'R3'!AF32</f>
        <v>2.1759368075338923</v>
      </c>
      <c r="Q42" s="160">
        <f>'R3'!AG32</f>
        <v>1.4890711040190066E-2</v>
      </c>
      <c r="R42" s="160">
        <f>'R3'!AH32</f>
        <v>0.64460803480732654</v>
      </c>
      <c r="S42" s="160">
        <f>'R3'!AI32</f>
        <v>0.31338241378152137</v>
      </c>
      <c r="T42" s="160">
        <f>'R3'!AJ32</f>
        <v>2.0154108106644522</v>
      </c>
      <c r="U42" s="160">
        <f>'R3'!AK32</f>
        <v>1.9802939511801489</v>
      </c>
      <c r="V42" s="160">
        <f>'R3'!AL32</f>
        <v>0.67026392314903327</v>
      </c>
      <c r="W42" s="160" t="str">
        <f>'R3'!AM32</f>
        <v/>
      </c>
      <c r="X42" s="160" t="str">
        <f>'R3'!AN32</f>
        <v/>
      </c>
      <c r="Y42" s="160" t="str">
        <f>'R3'!AO32</f>
        <v/>
      </c>
      <c r="Z42" s="160" t="str">
        <f>'R3'!AP32</f>
        <v/>
      </c>
      <c r="AA42" s="160" t="str">
        <f>'R3'!AQ32</f>
        <v/>
      </c>
      <c r="AB42" s="160" t="str">
        <f>'R3'!AR32</f>
        <v/>
      </c>
      <c r="AC42" s="160" t="str">
        <f>'R3'!AS32</f>
        <v/>
      </c>
      <c r="AD42" s="160" t="str">
        <f>'R3'!AT32</f>
        <v/>
      </c>
      <c r="AE42" s="160" t="str">
        <f>'R3'!AU32</f>
        <v/>
      </c>
      <c r="AF42" s="160" t="str">
        <f>'R3'!AV32</f>
        <v/>
      </c>
      <c r="AG42" s="160" t="str">
        <f>'R3'!AW32</f>
        <v/>
      </c>
      <c r="AH42" s="160" t="str">
        <f>'R3'!AX32</f>
        <v/>
      </c>
      <c r="AI42" s="160" t="str">
        <f>'R3'!AY32</f>
        <v/>
      </c>
      <c r="AJ42" s="160" t="str">
        <f>'R3'!AZ32</f>
        <v/>
      </c>
      <c r="AK42" s="160" t="str">
        <f>'R3'!BA32</f>
        <v/>
      </c>
    </row>
    <row r="43" spans="1:37" s="1" customFormat="1" x14ac:dyDescent="0.35">
      <c r="A43" s="237"/>
      <c r="B43" s="160">
        <f>'R3'!B33</f>
        <v>7.4368068521135818E-3</v>
      </c>
      <c r="C43" s="160">
        <f>'R3'!C33</f>
        <v>0.31129066158481006</v>
      </c>
      <c r="D43" s="160">
        <f>'R3'!D33</f>
        <v>8.1736664126647415E-2</v>
      </c>
      <c r="E43" s="160">
        <f>'R3'!E33</f>
        <v>0.54963536118664857</v>
      </c>
      <c r="F43" s="160">
        <f>'R3'!F33</f>
        <v>0.80762276264286637</v>
      </c>
      <c r="G43" s="160">
        <f>'R3'!G33</f>
        <v>2.5678198584165828</v>
      </c>
      <c r="H43" s="160">
        <f>'R3'!H33</f>
        <v>1.7751629638532431</v>
      </c>
      <c r="I43" s="160">
        <f>'R3'!I33</f>
        <v>8.7445571463010199E-2</v>
      </c>
      <c r="J43" s="160">
        <f>'R3'!J33</f>
        <v>0.17661494620503007</v>
      </c>
      <c r="K43" s="160">
        <f>'R3'!K33</f>
        <v>0.87448207302304481</v>
      </c>
      <c r="L43" s="160">
        <f>'R3'!L33</f>
        <v>1.3501547150286781</v>
      </c>
      <c r="M43" s="160">
        <f>'R3'!M33</f>
        <v>1.6118825149212799</v>
      </c>
      <c r="N43"/>
      <c r="O43" s="160">
        <f>'R3'!AE33</f>
        <v>0.77598823868025713</v>
      </c>
      <c r="P43" s="160">
        <f>'R3'!AF33</f>
        <v>1.3457129696233157</v>
      </c>
      <c r="Q43" s="160">
        <f>'R3'!AG33</f>
        <v>6.5657153945286803E-2</v>
      </c>
      <c r="R43" s="160">
        <f>'R3'!AH33</f>
        <v>1.145871292512683</v>
      </c>
      <c r="S43" s="160">
        <f>'R3'!AI33</f>
        <v>3.4733505154510076E-2</v>
      </c>
      <c r="T43" s="160">
        <f>'R3'!AJ33</f>
        <v>0.93268532278025507</v>
      </c>
      <c r="U43" s="160">
        <f>'R3'!AK33</f>
        <v>1.0298806500761102</v>
      </c>
      <c r="V43" s="160">
        <f>'R3'!AL33</f>
        <v>1.8060309572535156</v>
      </c>
      <c r="W43" s="160" t="str">
        <f>'R3'!AM33</f>
        <v/>
      </c>
      <c r="X43" s="160" t="str">
        <f>'R3'!AN33</f>
        <v/>
      </c>
      <c r="Y43" s="160" t="str">
        <f>'R3'!AO33</f>
        <v/>
      </c>
      <c r="Z43" s="160" t="str">
        <f>'R3'!AP33</f>
        <v/>
      </c>
      <c r="AA43" s="160" t="str">
        <f>'R3'!AQ33</f>
        <v/>
      </c>
      <c r="AB43" s="160" t="str">
        <f>'R3'!AR33</f>
        <v/>
      </c>
      <c r="AC43" s="160" t="str">
        <f>'R3'!AS33</f>
        <v/>
      </c>
      <c r="AD43" s="160" t="str">
        <f>'R3'!AT33</f>
        <v/>
      </c>
      <c r="AE43" s="160" t="str">
        <f>'R3'!AU33</f>
        <v/>
      </c>
      <c r="AF43" s="160" t="str">
        <f>'R3'!AV33</f>
        <v/>
      </c>
      <c r="AG43" s="160" t="str">
        <f>'R3'!AW33</f>
        <v/>
      </c>
      <c r="AH43" s="160" t="str">
        <f>'R3'!AX33</f>
        <v/>
      </c>
      <c r="AI43" s="160" t="str">
        <f>'R3'!AY33</f>
        <v/>
      </c>
      <c r="AJ43" s="160" t="str">
        <f>'R3'!AZ33</f>
        <v/>
      </c>
      <c r="AK43" s="160" t="str">
        <f>'R3'!BA33</f>
        <v/>
      </c>
    </row>
    <row r="44" spans="1:37" s="1" customFormat="1" x14ac:dyDescent="0.35">
      <c r="A44" s="237"/>
      <c r="B44" s="160">
        <f>'R3'!B34</f>
        <v>2.1495447542109077E-2</v>
      </c>
      <c r="C44" s="160">
        <f>'R3'!C34</f>
        <v>0.14946633576568727</v>
      </c>
      <c r="D44" s="160">
        <f>'R3'!D34</f>
        <v>0.19727636432719883</v>
      </c>
      <c r="E44" s="160">
        <f>'R3'!E34</f>
        <v>1.1275000269232953</v>
      </c>
      <c r="F44" s="160">
        <f>'R3'!F34</f>
        <v>0.91549270478880973</v>
      </c>
      <c r="G44" s="160">
        <f>'R3'!G34</f>
        <v>1.1332012760779246</v>
      </c>
      <c r="H44" s="160">
        <f>'R3'!H34</f>
        <v>2.4675812053193305</v>
      </c>
      <c r="I44" s="160">
        <f>'R3'!I34</f>
        <v>6.5457150733970765E-2</v>
      </c>
      <c r="J44" s="160">
        <f>'R3'!J34</f>
        <v>0.12975061403896651</v>
      </c>
      <c r="K44" s="160">
        <f>'R3'!K34</f>
        <v>1.2658372436578806</v>
      </c>
      <c r="L44" s="160">
        <f>'R3'!L34</f>
        <v>1.522167984498193</v>
      </c>
      <c r="M44" s="160">
        <f>'R3'!M34</f>
        <v>1.0240716520854645</v>
      </c>
      <c r="N44"/>
      <c r="O44" s="160">
        <f>'R3'!AE34</f>
        <v>0.92496160125901405</v>
      </c>
      <c r="P44" s="160">
        <f>'R3'!AF34</f>
        <v>2.0897934831600562</v>
      </c>
      <c r="Q44" s="160">
        <f>'R3'!AG34</f>
        <v>3.0586599745883052E-2</v>
      </c>
      <c r="R44" s="160">
        <f>'R3'!AH34</f>
        <v>0.10247697933039497</v>
      </c>
      <c r="S44" s="160">
        <f>'R3'!AI34</f>
        <v>0.47920894099396022</v>
      </c>
      <c r="T44" s="160">
        <f>'R3'!AJ34</f>
        <v>0.91195266575824085</v>
      </c>
      <c r="U44" s="160">
        <f>'R3'!AK34</f>
        <v>0.557990793652269</v>
      </c>
      <c r="V44" s="160">
        <f>'R3'!AL34</f>
        <v>1.7400345280477152</v>
      </c>
      <c r="W44" s="160" t="str">
        <f>'R3'!AM34</f>
        <v/>
      </c>
      <c r="X44" s="160" t="str">
        <f>'R3'!AN34</f>
        <v/>
      </c>
      <c r="Y44" s="160" t="str">
        <f>'R3'!AO34</f>
        <v/>
      </c>
      <c r="Z44" s="160" t="str">
        <f>'R3'!AP34</f>
        <v/>
      </c>
      <c r="AA44" s="160" t="str">
        <f>'R3'!AQ34</f>
        <v/>
      </c>
      <c r="AB44" s="160" t="str">
        <f>'R3'!AR34</f>
        <v/>
      </c>
      <c r="AC44" s="160" t="str">
        <f>'R3'!AS34</f>
        <v/>
      </c>
      <c r="AD44" s="160" t="str">
        <f>'R3'!AT34</f>
        <v/>
      </c>
      <c r="AE44" s="160" t="str">
        <f>'R3'!AU34</f>
        <v/>
      </c>
      <c r="AF44" s="160" t="str">
        <f>'R3'!AV34</f>
        <v/>
      </c>
      <c r="AG44" s="160" t="str">
        <f>'R3'!AW34</f>
        <v/>
      </c>
      <c r="AH44" s="160" t="str">
        <f>'R3'!AX34</f>
        <v/>
      </c>
      <c r="AI44" s="160" t="str">
        <f>'R3'!AY34</f>
        <v/>
      </c>
      <c r="AJ44" s="160" t="str">
        <f>'R3'!AZ34</f>
        <v/>
      </c>
      <c r="AK44" s="160" t="str">
        <f>'R3'!BA34</f>
        <v/>
      </c>
    </row>
    <row r="45" spans="1:37" s="1" customFormat="1" x14ac:dyDescent="0.35">
      <c r="A45" s="237"/>
      <c r="B45" s="160">
        <f>'R3'!B35</f>
        <v>9.5823978473830687E-2</v>
      </c>
      <c r="C45" s="160">
        <f>'R3'!C35</f>
        <v>0.21971554919501018</v>
      </c>
      <c r="D45" s="160">
        <f>'R3'!D35</f>
        <v>5.2471189778397771E-2</v>
      </c>
      <c r="E45" s="160">
        <f>'R3'!E35</f>
        <v>0.22322477740139585</v>
      </c>
      <c r="F45" s="160">
        <f>'R3'!F35</f>
        <v>1.7540374242985814</v>
      </c>
      <c r="G45" s="160">
        <f>'R3'!G35</f>
        <v>2.0506395152215129</v>
      </c>
      <c r="H45" s="160">
        <f>'R3'!H35</f>
        <v>1.6969088133455392</v>
      </c>
      <c r="I45" s="160">
        <f>'R3'!I35</f>
        <v>8.6027917356086225E-2</v>
      </c>
      <c r="J45" s="160">
        <f>'R3'!J35</f>
        <v>0.47563417299971678</v>
      </c>
      <c r="K45" s="160">
        <f>'R3'!K35</f>
        <v>0.20543535552649539</v>
      </c>
      <c r="L45" s="160">
        <f>'R3'!L35</f>
        <v>1.7007647968969226</v>
      </c>
      <c r="M45" s="160">
        <f>'R3'!M35</f>
        <v>1.8508669398437303</v>
      </c>
      <c r="N45"/>
      <c r="O45" s="160">
        <f>'R3'!AE35</f>
        <v>1.7527043663852238</v>
      </c>
      <c r="P45" s="160">
        <f>'R3'!AF35</f>
        <v>2.2609324732312182</v>
      </c>
      <c r="Q45" s="160">
        <f>'R3'!AG35</f>
        <v>0.10798543821231769</v>
      </c>
      <c r="R45" s="160">
        <f>'R3'!AH35</f>
        <v>3.5991316979905874E-2</v>
      </c>
      <c r="S45" s="160">
        <f>'R3'!AI35</f>
        <v>1.5017437919125092</v>
      </c>
      <c r="T45" s="160">
        <f>'R3'!AJ35</f>
        <v>1.7192247549166182</v>
      </c>
      <c r="U45" s="160">
        <f>'R3'!AK35</f>
        <v>1.1371999155262484</v>
      </c>
      <c r="V45" s="160">
        <f>'R3'!AL35</f>
        <v>1.3784955084569339</v>
      </c>
      <c r="W45" s="160" t="str">
        <f>'R3'!AM35</f>
        <v/>
      </c>
      <c r="X45" s="160" t="str">
        <f>'R3'!AN35</f>
        <v/>
      </c>
      <c r="Y45" s="160" t="str">
        <f>'R3'!AO35</f>
        <v/>
      </c>
      <c r="Z45" s="160" t="str">
        <f>'R3'!AP35</f>
        <v/>
      </c>
      <c r="AA45" s="160" t="str">
        <f>'R3'!AQ35</f>
        <v/>
      </c>
      <c r="AB45" s="160" t="str">
        <f>'R3'!AR35</f>
        <v/>
      </c>
      <c r="AC45" s="160" t="str">
        <f>'R3'!AS35</f>
        <v/>
      </c>
      <c r="AD45" s="160" t="str">
        <f>'R3'!AT35</f>
        <v/>
      </c>
      <c r="AE45" s="160" t="str">
        <f>'R3'!AU35</f>
        <v/>
      </c>
      <c r="AF45" s="160" t="str">
        <f>'R3'!AV35</f>
        <v/>
      </c>
      <c r="AG45" s="160" t="str">
        <f>'R3'!AW35</f>
        <v/>
      </c>
      <c r="AH45" s="160" t="str">
        <f>'R3'!AX35</f>
        <v/>
      </c>
      <c r="AI45" s="160" t="str">
        <f>'R3'!AY35</f>
        <v/>
      </c>
      <c r="AJ45" s="160" t="str">
        <f>'R3'!AZ35</f>
        <v/>
      </c>
      <c r="AK45" s="160" t="str">
        <f>'R3'!BA35</f>
        <v/>
      </c>
    </row>
    <row r="46" spans="1:37" s="1" customFormat="1" x14ac:dyDescent="0.35">
      <c r="A46" s="237"/>
      <c r="B46" s="160" t="str">
        <f>'R3'!B36</f>
        <v/>
      </c>
      <c r="C46" s="160" t="str">
        <f>'R3'!C36</f>
        <v/>
      </c>
      <c r="D46" s="160" t="str">
        <f>'R3'!D36</f>
        <v/>
      </c>
      <c r="E46" s="160" t="str">
        <f>'R3'!E36</f>
        <v/>
      </c>
      <c r="F46" s="160" t="str">
        <f>'R3'!F36</f>
        <v/>
      </c>
      <c r="G46" s="160" t="str">
        <f>'R3'!G36</f>
        <v/>
      </c>
      <c r="H46" s="160" t="str">
        <f>'R3'!H36</f>
        <v/>
      </c>
      <c r="I46" s="160" t="str">
        <f>'R3'!I36</f>
        <v/>
      </c>
      <c r="J46" s="160" t="str">
        <f>'R3'!J36</f>
        <v/>
      </c>
      <c r="K46" s="160" t="str">
        <f>'R3'!K36</f>
        <v/>
      </c>
      <c r="L46" s="160" t="str">
        <f>'R3'!L36</f>
        <v/>
      </c>
      <c r="M46" s="160" t="str">
        <f>'R3'!M36</f>
        <v/>
      </c>
      <c r="N46"/>
      <c r="O46" s="160">
        <f>'R3'!AE36</f>
        <v>0.46143875362201803</v>
      </c>
      <c r="P46" s="160" t="str">
        <f>'R3'!AF36</f>
        <v/>
      </c>
      <c r="Q46" s="160" t="str">
        <f>'R3'!AG36</f>
        <v/>
      </c>
      <c r="R46" s="160" t="str">
        <f>'R3'!AH36</f>
        <v/>
      </c>
      <c r="S46" s="160" t="str">
        <f>'R3'!AI36</f>
        <v/>
      </c>
      <c r="T46" s="160" t="str">
        <f>'R3'!AJ36</f>
        <v/>
      </c>
      <c r="U46" s="160" t="str">
        <f>'R3'!AK36</f>
        <v/>
      </c>
      <c r="V46" s="160" t="str">
        <f>'R3'!AL36</f>
        <v/>
      </c>
      <c r="W46" s="160" t="str">
        <f>'R3'!AM36</f>
        <v/>
      </c>
      <c r="X46" s="160" t="str">
        <f>'R3'!AN36</f>
        <v/>
      </c>
      <c r="Y46" s="160" t="str">
        <f>'R3'!AO36</f>
        <v/>
      </c>
      <c r="Z46" s="160" t="str">
        <f>'R3'!AP36</f>
        <v/>
      </c>
      <c r="AA46" s="160" t="str">
        <f>'R3'!AQ36</f>
        <v/>
      </c>
      <c r="AB46" s="160" t="str">
        <f>'R3'!AR36</f>
        <v/>
      </c>
      <c r="AC46" s="160" t="str">
        <f>'R3'!AS36</f>
        <v/>
      </c>
      <c r="AD46" s="160" t="str">
        <f>'R3'!AT36</f>
        <v/>
      </c>
      <c r="AE46" s="160" t="str">
        <f>'R3'!AU36</f>
        <v/>
      </c>
      <c r="AF46" s="160" t="str">
        <f>'R3'!AV36</f>
        <v/>
      </c>
      <c r="AG46" s="160" t="str">
        <f>'R3'!AW36</f>
        <v/>
      </c>
      <c r="AH46" s="160" t="str">
        <f>'R3'!AX36</f>
        <v/>
      </c>
      <c r="AI46" s="160" t="str">
        <f>'R3'!AY36</f>
        <v/>
      </c>
      <c r="AJ46" s="160" t="str">
        <f>'R3'!AZ36</f>
        <v/>
      </c>
      <c r="AK46" s="160" t="str">
        <f>'R3'!BA36</f>
        <v/>
      </c>
    </row>
    <row r="47" spans="1:37" s="1" customFormat="1" x14ac:dyDescent="0.35">
      <c r="A47" s="237"/>
      <c r="B47" s="160" t="str">
        <f>'R3'!B37</f>
        <v/>
      </c>
      <c r="C47" s="160" t="str">
        <f>'R3'!C37</f>
        <v/>
      </c>
      <c r="D47" s="160" t="str">
        <f>'R3'!D37</f>
        <v/>
      </c>
      <c r="E47" s="160" t="str">
        <f>'R3'!E37</f>
        <v/>
      </c>
      <c r="F47" s="160" t="str">
        <f>'R3'!F37</f>
        <v/>
      </c>
      <c r="G47" s="160" t="str">
        <f>'R3'!G37</f>
        <v/>
      </c>
      <c r="H47" s="160" t="str">
        <f>'R3'!H37</f>
        <v/>
      </c>
      <c r="I47" s="160" t="str">
        <f>'R3'!I37</f>
        <v/>
      </c>
      <c r="J47" s="160" t="str">
        <f>'R3'!J37</f>
        <v/>
      </c>
      <c r="K47" s="160" t="str">
        <f>'R3'!K37</f>
        <v/>
      </c>
      <c r="L47" s="160" t="str">
        <f>'R3'!L37</f>
        <v/>
      </c>
      <c r="M47" s="160" t="str">
        <f>'R3'!M37</f>
        <v/>
      </c>
      <c r="N47"/>
      <c r="O47" s="160">
        <f>'R3'!AE37</f>
        <v>1.2266022414707627</v>
      </c>
      <c r="P47" s="160" t="str">
        <f>'R3'!AF37</f>
        <v/>
      </c>
      <c r="Q47" s="160" t="str">
        <f>'R3'!AG37</f>
        <v/>
      </c>
      <c r="R47" s="160" t="str">
        <f>'R3'!AH37</f>
        <v/>
      </c>
      <c r="S47" s="160" t="str">
        <f>'R3'!AI37</f>
        <v/>
      </c>
      <c r="T47" s="160" t="str">
        <f>'R3'!AJ37</f>
        <v/>
      </c>
      <c r="U47" s="160" t="str">
        <f>'R3'!AK37</f>
        <v/>
      </c>
      <c r="V47" s="160" t="str">
        <f>'R3'!AL37</f>
        <v/>
      </c>
      <c r="W47" s="160" t="str">
        <f>'R3'!AM37</f>
        <v/>
      </c>
      <c r="X47" s="160" t="str">
        <f>'R3'!AN37</f>
        <v/>
      </c>
      <c r="Y47" s="160" t="str">
        <f>'R3'!AO37</f>
        <v/>
      </c>
      <c r="Z47" s="160" t="str">
        <f>'R3'!AP37</f>
        <v/>
      </c>
      <c r="AA47" s="160" t="str">
        <f>'R3'!AQ37</f>
        <v/>
      </c>
      <c r="AB47" s="160" t="str">
        <f>'R3'!AR37</f>
        <v/>
      </c>
      <c r="AC47" s="160" t="str">
        <f>'R3'!AS37</f>
        <v/>
      </c>
      <c r="AD47" s="160" t="str">
        <f>'R3'!AT37</f>
        <v/>
      </c>
      <c r="AE47" s="160" t="str">
        <f>'R3'!AU37</f>
        <v/>
      </c>
      <c r="AF47" s="160" t="str">
        <f>'R3'!AV37</f>
        <v/>
      </c>
      <c r="AG47" s="160" t="str">
        <f>'R3'!AW37</f>
        <v/>
      </c>
      <c r="AH47" s="160" t="str">
        <f>'R3'!AX37</f>
        <v/>
      </c>
      <c r="AI47" s="160" t="str">
        <f>'R3'!AY37</f>
        <v/>
      </c>
      <c r="AJ47" s="160" t="str">
        <f>'R3'!AZ37</f>
        <v/>
      </c>
      <c r="AK47" s="160" t="str">
        <f>'R3'!BA37</f>
        <v/>
      </c>
    </row>
    <row r="48" spans="1:37" s="1" customFormat="1" x14ac:dyDescent="0.35">
      <c r="A48" s="237"/>
      <c r="B48" s="160" t="str">
        <f>'R3'!B38</f>
        <v/>
      </c>
      <c r="C48" s="160" t="str">
        <f>'R3'!C38</f>
        <v/>
      </c>
      <c r="D48" s="160" t="str">
        <f>'R3'!D38</f>
        <v/>
      </c>
      <c r="E48" s="160" t="str">
        <f>'R3'!E38</f>
        <v/>
      </c>
      <c r="F48" s="160" t="str">
        <f>'R3'!F38</f>
        <v/>
      </c>
      <c r="G48" s="160" t="str">
        <f>'R3'!G38</f>
        <v/>
      </c>
      <c r="H48" s="160" t="str">
        <f>'R3'!H38</f>
        <v/>
      </c>
      <c r="I48" s="160" t="str">
        <f>'R3'!I38</f>
        <v/>
      </c>
      <c r="J48" s="160" t="str">
        <f>'R3'!J38</f>
        <v/>
      </c>
      <c r="K48" s="160" t="str">
        <f>'R3'!K38</f>
        <v/>
      </c>
      <c r="L48" s="160" t="str">
        <f>'R3'!L38</f>
        <v/>
      </c>
      <c r="M48" s="160" t="str">
        <f>'R3'!M38</f>
        <v/>
      </c>
      <c r="N48"/>
      <c r="O48" s="160">
        <f>'R3'!AE38</f>
        <v>1.1811808532210684</v>
      </c>
      <c r="P48" s="160" t="str">
        <f>'R3'!AF38</f>
        <v/>
      </c>
      <c r="Q48" s="160" t="str">
        <f>'R3'!AG38</f>
        <v/>
      </c>
      <c r="R48" s="160" t="str">
        <f>'R3'!AH38</f>
        <v/>
      </c>
      <c r="S48" s="160" t="str">
        <f>'R3'!AI38</f>
        <v/>
      </c>
      <c r="T48" s="160" t="str">
        <f>'R3'!AJ38</f>
        <v/>
      </c>
      <c r="U48" s="160" t="str">
        <f>'R3'!AK38</f>
        <v/>
      </c>
      <c r="V48" s="160" t="str">
        <f>'R3'!AL38</f>
        <v/>
      </c>
      <c r="W48" s="160" t="str">
        <f>'R3'!AM38</f>
        <v/>
      </c>
      <c r="X48" s="160" t="str">
        <f>'R3'!AN38</f>
        <v/>
      </c>
      <c r="Y48" s="160" t="str">
        <f>'R3'!AO38</f>
        <v/>
      </c>
      <c r="Z48" s="160" t="str">
        <f>'R3'!AP38</f>
        <v/>
      </c>
      <c r="AA48" s="160" t="str">
        <f>'R3'!AQ38</f>
        <v/>
      </c>
      <c r="AB48" s="160" t="str">
        <f>'R3'!AR38</f>
        <v/>
      </c>
      <c r="AC48" s="160" t="str">
        <f>'R3'!AS38</f>
        <v/>
      </c>
      <c r="AD48" s="160" t="str">
        <f>'R3'!AT38</f>
        <v/>
      </c>
      <c r="AE48" s="160" t="str">
        <f>'R3'!AU38</f>
        <v/>
      </c>
      <c r="AF48" s="160" t="str">
        <f>'R3'!AV38</f>
        <v/>
      </c>
      <c r="AG48" s="160" t="str">
        <f>'R3'!AW38</f>
        <v/>
      </c>
      <c r="AH48" s="160" t="str">
        <f>'R3'!AX38</f>
        <v/>
      </c>
      <c r="AI48" s="160" t="str">
        <f>'R3'!AY38</f>
        <v/>
      </c>
      <c r="AJ48" s="160" t="str">
        <f>'R3'!AZ38</f>
        <v/>
      </c>
      <c r="AK48" s="160" t="str">
        <f>'R3'!BA38</f>
        <v/>
      </c>
    </row>
    <row r="49" spans="1:39" s="1" customFormat="1" x14ac:dyDescent="0.35">
      <c r="A49" s="237"/>
      <c r="B49" s="160" t="str">
        <f>'R3'!B39</f>
        <v/>
      </c>
      <c r="C49" s="160" t="str">
        <f>'R3'!C39</f>
        <v/>
      </c>
      <c r="D49" s="160" t="str">
        <f>'R3'!D39</f>
        <v/>
      </c>
      <c r="E49" s="160" t="str">
        <f>'R3'!E39</f>
        <v/>
      </c>
      <c r="F49" s="160" t="str">
        <f>'R3'!F39</f>
        <v/>
      </c>
      <c r="G49" s="160" t="str">
        <f>'R3'!G39</f>
        <v/>
      </c>
      <c r="H49" s="160" t="str">
        <f>'R3'!H39</f>
        <v/>
      </c>
      <c r="I49" s="160" t="str">
        <f>'R3'!I39</f>
        <v/>
      </c>
      <c r="J49" s="160" t="str">
        <f>'R3'!J39</f>
        <v/>
      </c>
      <c r="K49" s="160" t="str">
        <f>'R3'!K39</f>
        <v/>
      </c>
      <c r="L49" s="160" t="str">
        <f>'R3'!L39</f>
        <v/>
      </c>
      <c r="M49" s="160" t="str">
        <f>'R3'!M39</f>
        <v/>
      </c>
      <c r="N49"/>
      <c r="O49" s="160">
        <f>'R3'!AE39</f>
        <v>2.2573593971608461</v>
      </c>
      <c r="P49" s="160" t="str">
        <f>'R3'!AF39</f>
        <v/>
      </c>
      <c r="Q49" s="160" t="str">
        <f>'R3'!AG39</f>
        <v/>
      </c>
      <c r="R49" s="160" t="str">
        <f>'R3'!AH39</f>
        <v/>
      </c>
      <c r="S49" s="160" t="str">
        <f>'R3'!AI39</f>
        <v/>
      </c>
      <c r="T49" s="160" t="str">
        <f>'R3'!AJ39</f>
        <v/>
      </c>
      <c r="U49" s="160" t="str">
        <f>'R3'!AK39</f>
        <v/>
      </c>
      <c r="V49" s="160" t="str">
        <f>'R3'!AL39</f>
        <v/>
      </c>
      <c r="W49" s="160" t="str">
        <f>'R3'!AM39</f>
        <v/>
      </c>
      <c r="X49" s="160" t="str">
        <f>'R3'!AN39</f>
        <v/>
      </c>
      <c r="Y49" s="160" t="str">
        <f>'R3'!AO39</f>
        <v/>
      </c>
      <c r="Z49" s="160" t="str">
        <f>'R3'!AP39</f>
        <v/>
      </c>
      <c r="AA49" s="160" t="str">
        <f>'R3'!AQ39</f>
        <v/>
      </c>
      <c r="AB49" s="160" t="str">
        <f>'R3'!AR39</f>
        <v/>
      </c>
      <c r="AC49" s="160" t="str">
        <f>'R3'!AS39</f>
        <v/>
      </c>
      <c r="AD49" s="160" t="str">
        <f>'R3'!AT39</f>
        <v/>
      </c>
      <c r="AE49" s="160" t="str">
        <f>'R3'!AU39</f>
        <v/>
      </c>
      <c r="AF49" s="160" t="str">
        <f>'R3'!AV39</f>
        <v/>
      </c>
      <c r="AG49" s="160" t="str">
        <f>'R3'!AW39</f>
        <v/>
      </c>
      <c r="AH49" s="160" t="str">
        <f>'R3'!AX39</f>
        <v/>
      </c>
      <c r="AI49" s="160" t="str">
        <f>'R3'!AY39</f>
        <v/>
      </c>
      <c r="AJ49" s="160" t="str">
        <f>'R3'!AZ39</f>
        <v/>
      </c>
      <c r="AK49" s="160" t="str">
        <f>'R3'!BA39</f>
        <v/>
      </c>
    </row>
    <row r="50" spans="1:39" s="1" customFormat="1" x14ac:dyDescent="0.35">
      <c r="A50" s="237"/>
      <c r="B50" s="160" t="str">
        <f>'R3'!B40</f>
        <v/>
      </c>
      <c r="C50" s="160" t="str">
        <f>'R3'!C40</f>
        <v/>
      </c>
      <c r="D50" s="160" t="str">
        <f>'R3'!D40</f>
        <v/>
      </c>
      <c r="E50" s="160" t="str">
        <f>'R3'!E40</f>
        <v/>
      </c>
      <c r="F50" s="160" t="str">
        <f>'R3'!F40</f>
        <v/>
      </c>
      <c r="G50" s="160" t="str">
        <f>'R3'!G40</f>
        <v/>
      </c>
      <c r="H50" s="160" t="str">
        <f>'R3'!H40</f>
        <v/>
      </c>
      <c r="I50" s="160" t="str">
        <f>'R3'!I40</f>
        <v/>
      </c>
      <c r="J50" s="160" t="str">
        <f>'R3'!J40</f>
        <v/>
      </c>
      <c r="K50" s="160" t="str">
        <f>'R3'!K40</f>
        <v/>
      </c>
      <c r="L50" s="160" t="str">
        <f>'R3'!L40</f>
        <v/>
      </c>
      <c r="M50" s="160" t="str">
        <f>'R3'!M40</f>
        <v/>
      </c>
      <c r="N50"/>
      <c r="O50" s="160">
        <f>'R3'!AE40</f>
        <v>1.1483443509208171</v>
      </c>
      <c r="P50" s="160" t="str">
        <f>'R3'!AF40</f>
        <v/>
      </c>
      <c r="Q50" s="160" t="str">
        <f>'R3'!AG40</f>
        <v/>
      </c>
      <c r="R50" s="160" t="str">
        <f>'R3'!AH40</f>
        <v/>
      </c>
      <c r="S50" s="160" t="str">
        <f>'R3'!AI40</f>
        <v/>
      </c>
      <c r="T50" s="160" t="str">
        <f>'R3'!AJ40</f>
        <v/>
      </c>
      <c r="U50" s="160" t="str">
        <f>'R3'!AK40</f>
        <v/>
      </c>
      <c r="V50" s="160" t="str">
        <f>'R3'!AL40</f>
        <v/>
      </c>
      <c r="W50" s="160" t="str">
        <f>'R3'!AM40</f>
        <v/>
      </c>
      <c r="X50" s="160" t="str">
        <f>'R3'!AN40</f>
        <v/>
      </c>
      <c r="Y50" s="160" t="str">
        <f>'R3'!AO40</f>
        <v/>
      </c>
      <c r="Z50" s="160" t="str">
        <f>'R3'!AP40</f>
        <v/>
      </c>
      <c r="AA50" s="160" t="str">
        <f>'R3'!AQ40</f>
        <v/>
      </c>
      <c r="AB50" s="160" t="str">
        <f>'R3'!AR40</f>
        <v/>
      </c>
      <c r="AC50" s="160" t="str">
        <f>'R3'!AS40</f>
        <v/>
      </c>
      <c r="AD50" s="160" t="str">
        <f>'R3'!AT40</f>
        <v/>
      </c>
      <c r="AE50" s="160" t="str">
        <f>'R3'!AU40</f>
        <v/>
      </c>
      <c r="AF50" s="160" t="str">
        <f>'R3'!AV40</f>
        <v/>
      </c>
      <c r="AG50" s="160" t="str">
        <f>'R3'!AW40</f>
        <v/>
      </c>
      <c r="AH50" s="160" t="str">
        <f>'R3'!AX40</f>
        <v/>
      </c>
      <c r="AI50" s="160" t="str">
        <f>'R3'!AY40</f>
        <v/>
      </c>
      <c r="AJ50" s="160" t="str">
        <f>'R3'!AZ40</f>
        <v/>
      </c>
      <c r="AK50" s="160" t="str">
        <f>'R3'!BA40</f>
        <v/>
      </c>
    </row>
    <row r="51" spans="1:39" s="1" customFormat="1" x14ac:dyDescent="0.35">
      <c r="A51" s="237"/>
      <c r="B51" s="160" t="str">
        <f>'R3'!B41</f>
        <v/>
      </c>
      <c r="C51" s="160" t="str">
        <f>'R3'!C41</f>
        <v/>
      </c>
      <c r="D51" s="160" t="str">
        <f>'R3'!D41</f>
        <v/>
      </c>
      <c r="E51" s="160" t="str">
        <f>'R3'!E41</f>
        <v/>
      </c>
      <c r="F51" s="160" t="str">
        <f>'R3'!F41</f>
        <v/>
      </c>
      <c r="G51" s="160" t="str">
        <f>'R3'!G41</f>
        <v/>
      </c>
      <c r="H51" s="160" t="str">
        <f>'R3'!H41</f>
        <v/>
      </c>
      <c r="I51" s="160" t="str">
        <f>'R3'!I41</f>
        <v/>
      </c>
      <c r="J51" s="160" t="str">
        <f>'R3'!J41</f>
        <v/>
      </c>
      <c r="K51" s="160" t="str">
        <f>'R3'!K41</f>
        <v/>
      </c>
      <c r="L51" s="160" t="str">
        <f>'R3'!L41</f>
        <v/>
      </c>
      <c r="M51" s="160" t="str">
        <f>'R3'!M41</f>
        <v/>
      </c>
      <c r="N51"/>
      <c r="O51" s="160">
        <f>'R3'!AE41</f>
        <v>1.0368570755379727</v>
      </c>
      <c r="P51" s="160" t="str">
        <f>'R3'!AF41</f>
        <v/>
      </c>
      <c r="Q51" s="160" t="str">
        <f>'R3'!AG41</f>
        <v/>
      </c>
      <c r="R51" s="160" t="str">
        <f>'R3'!AH41</f>
        <v/>
      </c>
      <c r="S51" s="160" t="str">
        <f>'R3'!AI41</f>
        <v/>
      </c>
      <c r="T51" s="160" t="str">
        <f>'R3'!AJ41</f>
        <v/>
      </c>
      <c r="U51" s="160" t="str">
        <f>'R3'!AK41</f>
        <v/>
      </c>
      <c r="V51" s="160" t="str">
        <f>'R3'!AL41</f>
        <v/>
      </c>
      <c r="W51" s="160" t="str">
        <f>'R3'!AM41</f>
        <v/>
      </c>
      <c r="X51" s="160" t="str">
        <f>'R3'!AN41</f>
        <v/>
      </c>
      <c r="Y51" s="160" t="str">
        <f>'R3'!AO41</f>
        <v/>
      </c>
      <c r="Z51" s="160" t="str">
        <f>'R3'!AP41</f>
        <v/>
      </c>
      <c r="AA51" s="160" t="str">
        <f>'R3'!AQ41</f>
        <v/>
      </c>
      <c r="AB51" s="160" t="str">
        <f>'R3'!AR41</f>
        <v/>
      </c>
      <c r="AC51" s="160" t="str">
        <f>'R3'!AS41</f>
        <v/>
      </c>
      <c r="AD51" s="160" t="str">
        <f>'R3'!AT41</f>
        <v/>
      </c>
      <c r="AE51" s="160" t="str">
        <f>'R3'!AU41</f>
        <v/>
      </c>
      <c r="AF51" s="160" t="str">
        <f>'R3'!AV41</f>
        <v/>
      </c>
      <c r="AG51" s="160" t="str">
        <f>'R3'!AW41</f>
        <v/>
      </c>
      <c r="AH51" s="160" t="str">
        <f>'R3'!AX41</f>
        <v/>
      </c>
      <c r="AI51" s="160" t="str">
        <f>'R3'!AY41</f>
        <v/>
      </c>
      <c r="AJ51" s="160" t="str">
        <f>'R3'!AZ41</f>
        <v/>
      </c>
      <c r="AK51" s="160" t="str">
        <f>'R3'!BA41</f>
        <v/>
      </c>
    </row>
    <row r="52" spans="1:39" s="1" customFormat="1" x14ac:dyDescent="0.35">
      <c r="A52" s="237"/>
      <c r="B52" s="160" t="str">
        <f>'R3'!B42</f>
        <v/>
      </c>
      <c r="C52" s="160" t="str">
        <f>'R3'!C42</f>
        <v/>
      </c>
      <c r="D52" s="160" t="str">
        <f>'R3'!D42</f>
        <v/>
      </c>
      <c r="E52" s="160" t="str">
        <f>'R3'!E42</f>
        <v/>
      </c>
      <c r="F52" s="160" t="str">
        <f>'R3'!F42</f>
        <v/>
      </c>
      <c r="G52" s="160" t="str">
        <f>'R3'!G42</f>
        <v/>
      </c>
      <c r="H52" s="160" t="str">
        <f>'R3'!H42</f>
        <v/>
      </c>
      <c r="I52" s="160" t="str">
        <f>'R3'!I42</f>
        <v/>
      </c>
      <c r="J52" s="160" t="str">
        <f>'R3'!J42</f>
        <v/>
      </c>
      <c r="K52" s="160" t="str">
        <f>'R3'!K42</f>
        <v/>
      </c>
      <c r="L52" s="160" t="str">
        <f>'R3'!L42</f>
        <v/>
      </c>
      <c r="M52" s="160" t="str">
        <f>'R3'!M42</f>
        <v/>
      </c>
      <c r="N52"/>
      <c r="O52" s="160">
        <f>'R3'!AE42</f>
        <v>0.90605479724003801</v>
      </c>
      <c r="P52" s="160" t="str">
        <f>'R3'!AF42</f>
        <v/>
      </c>
      <c r="Q52" s="160" t="str">
        <f>'R3'!AG42</f>
        <v/>
      </c>
      <c r="R52" s="160" t="str">
        <f>'R3'!AH42</f>
        <v/>
      </c>
      <c r="S52" s="160" t="str">
        <f>'R3'!AI42</f>
        <v/>
      </c>
      <c r="T52" s="160" t="str">
        <f>'R3'!AJ42</f>
        <v/>
      </c>
      <c r="U52" s="160" t="str">
        <f>'R3'!AK42</f>
        <v/>
      </c>
      <c r="V52" s="160" t="str">
        <f>'R3'!AL42</f>
        <v/>
      </c>
      <c r="W52" s="160" t="str">
        <f>'R3'!AM42</f>
        <v/>
      </c>
      <c r="X52" s="160" t="str">
        <f>'R3'!AN42</f>
        <v/>
      </c>
      <c r="Y52" s="160" t="str">
        <f>'R3'!AO42</f>
        <v/>
      </c>
      <c r="Z52" s="160" t="str">
        <f>'R3'!AP42</f>
        <v/>
      </c>
      <c r="AA52" s="160" t="str">
        <f>'R3'!AQ42</f>
        <v/>
      </c>
      <c r="AB52" s="160" t="str">
        <f>'R3'!AR42</f>
        <v/>
      </c>
      <c r="AC52" s="160" t="str">
        <f>'R3'!AS42</f>
        <v/>
      </c>
      <c r="AD52" s="160" t="str">
        <f>'R3'!AT42</f>
        <v/>
      </c>
      <c r="AE52" s="160" t="str">
        <f>'R3'!AU42</f>
        <v/>
      </c>
      <c r="AF52" s="160" t="str">
        <f>'R3'!AV42</f>
        <v/>
      </c>
      <c r="AG52" s="160" t="str">
        <f>'R3'!AW42</f>
        <v/>
      </c>
      <c r="AH52" s="160" t="str">
        <f>'R3'!AX42</f>
        <v/>
      </c>
      <c r="AI52" s="160" t="str">
        <f>'R3'!AY42</f>
        <v/>
      </c>
      <c r="AJ52" s="160" t="str">
        <f>'R3'!AZ42</f>
        <v/>
      </c>
      <c r="AK52" s="160" t="str">
        <f>'R3'!BA42</f>
        <v/>
      </c>
    </row>
    <row r="53" spans="1:39" s="1" customFormat="1" x14ac:dyDescent="0.35">
      <c r="A53" s="238"/>
      <c r="B53" s="160" t="str">
        <f>'R3'!B43</f>
        <v/>
      </c>
      <c r="C53" s="160" t="str">
        <f>'R3'!C43</f>
        <v/>
      </c>
      <c r="D53" s="160" t="str">
        <f>'R3'!D43</f>
        <v/>
      </c>
      <c r="E53" s="160" t="str">
        <f>'R3'!E43</f>
        <v/>
      </c>
      <c r="F53" s="160" t="str">
        <f>'R3'!F43</f>
        <v/>
      </c>
      <c r="G53" s="160" t="str">
        <f>'R3'!G43</f>
        <v/>
      </c>
      <c r="H53" s="160" t="str">
        <f>'R3'!H43</f>
        <v/>
      </c>
      <c r="I53" s="160" t="str">
        <f>'R3'!I43</f>
        <v/>
      </c>
      <c r="J53" s="160" t="str">
        <f>'R3'!J43</f>
        <v/>
      </c>
      <c r="K53" s="160" t="str">
        <f>'R3'!K43</f>
        <v/>
      </c>
      <c r="L53" s="160" t="str">
        <f>'R3'!L43</f>
        <v/>
      </c>
      <c r="M53" s="160" t="str">
        <f>'R3'!M43</f>
        <v/>
      </c>
      <c r="N53"/>
      <c r="O53" s="160">
        <f>'R3'!AE43</f>
        <v>0.20845926872768411</v>
      </c>
      <c r="P53" s="160" t="str">
        <f>'R3'!AF43</f>
        <v/>
      </c>
      <c r="Q53" s="160" t="str">
        <f>'R3'!AG43</f>
        <v/>
      </c>
      <c r="R53" s="160" t="str">
        <f>'R3'!AH43</f>
        <v/>
      </c>
      <c r="S53" s="160" t="str">
        <f>'R3'!AI43</f>
        <v/>
      </c>
      <c r="T53" s="160" t="str">
        <f>'R3'!AJ43</f>
        <v/>
      </c>
      <c r="U53" s="160" t="str">
        <f>'R3'!AK43</f>
        <v/>
      </c>
      <c r="V53" s="160" t="str">
        <f>'R3'!AL43</f>
        <v/>
      </c>
      <c r="W53" s="160" t="str">
        <f>'R3'!AM43</f>
        <v/>
      </c>
      <c r="X53" s="160" t="str">
        <f>'R3'!AN43</f>
        <v/>
      </c>
      <c r="Y53" s="160" t="str">
        <f>'R3'!AO43</f>
        <v/>
      </c>
      <c r="Z53" s="160" t="str">
        <f>'R3'!AP43</f>
        <v/>
      </c>
      <c r="AA53" s="160" t="str">
        <f>'R3'!AQ43</f>
        <v/>
      </c>
      <c r="AB53" s="160" t="str">
        <f>'R3'!AR43</f>
        <v/>
      </c>
      <c r="AC53" s="160" t="str">
        <f>'R3'!AS43</f>
        <v/>
      </c>
      <c r="AD53" s="160" t="str">
        <f>'R3'!AT43</f>
        <v/>
      </c>
      <c r="AE53" s="160" t="str">
        <f>'R3'!AU43</f>
        <v/>
      </c>
      <c r="AF53" s="160" t="str">
        <f>'R3'!AV43</f>
        <v/>
      </c>
      <c r="AG53" s="160" t="str">
        <f>'R3'!AW43</f>
        <v/>
      </c>
      <c r="AH53" s="160" t="str">
        <f>'R3'!AX43</f>
        <v/>
      </c>
      <c r="AI53" s="160" t="str">
        <f>'R3'!AY43</f>
        <v/>
      </c>
      <c r="AJ53" s="160" t="str">
        <f>'R3'!AZ43</f>
        <v/>
      </c>
      <c r="AK53" s="160" t="str">
        <f>'R3'!BA43</f>
        <v/>
      </c>
    </row>
    <row r="54" spans="1:39" s="63" customFormat="1" x14ac:dyDescent="0.35">
      <c r="A54" s="61"/>
      <c r="B54" s="62"/>
      <c r="C54" s="62"/>
      <c r="D54" s="62"/>
      <c r="E54" s="62"/>
      <c r="F54" s="62"/>
      <c r="G54" s="62"/>
      <c r="H54" s="62"/>
      <c r="I54" s="62"/>
      <c r="J54" s="62"/>
      <c r="K54" s="62"/>
      <c r="L54" s="62"/>
      <c r="M54" s="62"/>
      <c r="N54"/>
      <c r="O54" s="62"/>
      <c r="P54" s="62"/>
      <c r="Q54" s="62"/>
      <c r="R54" s="62"/>
      <c r="S54" s="62"/>
      <c r="T54" s="62"/>
      <c r="U54" s="62"/>
      <c r="V54" s="62"/>
      <c r="W54" s="62"/>
      <c r="X54" s="62"/>
      <c r="Y54" s="62"/>
      <c r="Z54" s="62"/>
      <c r="AA54" s="62"/>
      <c r="AB54" s="62"/>
      <c r="AC54" s="62"/>
      <c r="AD54" s="62"/>
      <c r="AE54" s="62"/>
      <c r="AF54" s="62"/>
      <c r="AG54" s="62"/>
      <c r="AH54" s="62"/>
      <c r="AI54" s="62"/>
      <c r="AJ54" s="62"/>
      <c r="AK54" s="62"/>
    </row>
    <row r="55" spans="1:39" s="41" customFormat="1" x14ac:dyDescent="0.3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Testo-3.7µg/L</v>
      </c>
      <c r="J55" s="15" t="str">
        <f t="shared" si="0"/>
        <v>Testo-11µg/L</v>
      </c>
      <c r="K55" s="15" t="str">
        <f t="shared" si="0"/>
        <v>Testo-33µg/L</v>
      </c>
      <c r="L55" s="15" t="str">
        <f t="shared" si="0"/>
        <v>Testo-100µg/L</v>
      </c>
      <c r="M55" s="15" t="str">
        <f t="shared" si="0"/>
        <v>Testo-300µg/L</v>
      </c>
      <c r="O55" s="15" t="str">
        <f t="shared" ref="O55:AD55" si="1">O4</f>
        <v>Testo -30µg/L</v>
      </c>
      <c r="P55" s="15" t="str">
        <f t="shared" si="1"/>
        <v>Testo 30µg/L + EE2 -64ng/L</v>
      </c>
      <c r="Q55" s="15" t="str">
        <f t="shared" si="1"/>
        <v>Testo 30µg/L + FAD-10mg/L</v>
      </c>
      <c r="R55" s="15" t="str">
        <f t="shared" si="1"/>
        <v>Testo-3,7µg/L + Testostérone</v>
      </c>
      <c r="S55" s="15" t="str">
        <f t="shared" si="1"/>
        <v>Testo-11µg/L + Testostérone</v>
      </c>
      <c r="T55" s="15" t="str">
        <f t="shared" si="1"/>
        <v>Testo-33µg/L + Testostérone</v>
      </c>
      <c r="U55" s="15" t="str">
        <f t="shared" si="1"/>
        <v>Testo-100µg/L + Testostérone</v>
      </c>
      <c r="V55" s="15" t="str">
        <f t="shared" si="1"/>
        <v>Testo-300µg/L + Testostérone</v>
      </c>
      <c r="W55" s="15" t="str">
        <f t="shared" si="1"/>
        <v>0-00 + Testostérone</v>
      </c>
      <c r="X55" s="15" t="str">
        <f t="shared" si="1"/>
        <v>0-00 + Testostérone</v>
      </c>
      <c r="Y55" s="15" t="str">
        <f t="shared" si="1"/>
        <v>0-00 + Testostérone</v>
      </c>
      <c r="Z55" s="15" t="str">
        <f t="shared" si="1"/>
        <v>0-00 + Testostérone</v>
      </c>
      <c r="AA55" s="15" t="str">
        <f t="shared" si="1"/>
        <v>0-00 + Testostérone</v>
      </c>
      <c r="AB55" s="15" t="str">
        <f t="shared" si="1"/>
        <v>0-00 + Testostérone</v>
      </c>
      <c r="AC55" s="15" t="str">
        <f t="shared" si="1"/>
        <v>0-00 + Testostérone</v>
      </c>
      <c r="AD55" s="15" t="str">
        <f t="shared" si="1"/>
        <v>0-00 + Testostérone</v>
      </c>
      <c r="AE55" s="15" t="str">
        <f t="shared" ref="AE55:AK55" si="2">AE4</f>
        <v>0-00 + Testostérone</v>
      </c>
      <c r="AF55" s="15" t="str">
        <f t="shared" si="2"/>
        <v>0-00 + Testostérone</v>
      </c>
      <c r="AG55" s="15" t="str">
        <f t="shared" si="2"/>
        <v>0-00 + Testostérone</v>
      </c>
      <c r="AH55" s="15" t="str">
        <f t="shared" si="2"/>
        <v>0-00 + Testostérone</v>
      </c>
      <c r="AI55" s="15" t="str">
        <f t="shared" si="2"/>
        <v>0-00 + Testostérone</v>
      </c>
      <c r="AJ55" s="15" t="str">
        <f t="shared" si="2"/>
        <v>0-00 + Testostérone</v>
      </c>
      <c r="AK55" s="15" t="str">
        <f t="shared" si="2"/>
        <v>0-00 + Testostérone</v>
      </c>
    </row>
    <row r="56" spans="1:39" x14ac:dyDescent="0.35">
      <c r="A56" t="s">
        <v>48</v>
      </c>
      <c r="B56" s="9">
        <f t="shared" ref="B56:AJ56" si="3">AVERAGE(B6:B53)</f>
        <v>0.15229055770800312</v>
      </c>
      <c r="C56" s="9">
        <f t="shared" si="3"/>
        <v>0.18330585545241077</v>
      </c>
      <c r="D56" s="9">
        <f t="shared" si="3"/>
        <v>0.1684450770480834</v>
      </c>
      <c r="E56" s="9">
        <f t="shared" si="3"/>
        <v>0.74063310480924405</v>
      </c>
      <c r="F56" s="9">
        <f t="shared" si="3"/>
        <v>1.5744025053212292</v>
      </c>
      <c r="G56" s="9">
        <f t="shared" si="3"/>
        <v>2.5009767443674882</v>
      </c>
      <c r="H56" s="9">
        <f t="shared" si="3"/>
        <v>3.7419685866413728</v>
      </c>
      <c r="I56" s="9">
        <f t="shared" si="3"/>
        <v>0.21224492929088931</v>
      </c>
      <c r="J56" s="9">
        <f t="shared" si="3"/>
        <v>0.40590817188454914</v>
      </c>
      <c r="K56" s="9">
        <f t="shared" si="3"/>
        <v>1.0539260687771403</v>
      </c>
      <c r="L56" s="9">
        <f t="shared" si="3"/>
        <v>2.0003170311377221</v>
      </c>
      <c r="M56" s="9">
        <f t="shared" si="3"/>
        <v>2.3113546074511606</v>
      </c>
      <c r="N56" s="9"/>
      <c r="O56" s="9">
        <f t="shared" si="3"/>
        <v>1.0000000000000002</v>
      </c>
      <c r="P56" s="9">
        <f t="shared" si="3"/>
        <v>3.1284648375910251</v>
      </c>
      <c r="Q56" s="9">
        <f t="shared" si="3"/>
        <v>0.11656955822676086</v>
      </c>
      <c r="R56" s="9">
        <f t="shared" si="3"/>
        <v>1.2026042022653904</v>
      </c>
      <c r="S56" s="9">
        <f t="shared" si="3"/>
        <v>1.5460240242861774</v>
      </c>
      <c r="T56" s="9">
        <f t="shared" si="3"/>
        <v>1.2425321603986419</v>
      </c>
      <c r="U56" s="9">
        <f t="shared" si="3"/>
        <v>1.4548981748227832</v>
      </c>
      <c r="V56" s="9">
        <f t="shared" si="3"/>
        <v>1.8625814316310367</v>
      </c>
      <c r="W56" s="9" t="e">
        <f t="shared" si="3"/>
        <v>#DIV/0!</v>
      </c>
      <c r="X56" s="9" t="e">
        <f t="shared" si="3"/>
        <v>#DIV/0!</v>
      </c>
      <c r="Y56" s="9" t="e">
        <f t="shared" si="3"/>
        <v>#DIV/0!</v>
      </c>
      <c r="Z56" s="9" t="e">
        <f t="shared" si="3"/>
        <v>#DIV/0!</v>
      </c>
      <c r="AA56" s="9" t="e">
        <f t="shared" si="3"/>
        <v>#DIV/0!</v>
      </c>
      <c r="AB56" s="9" t="e">
        <f t="shared" si="3"/>
        <v>#DIV/0!</v>
      </c>
      <c r="AC56" s="9" t="e">
        <f t="shared" si="3"/>
        <v>#DIV/0!</v>
      </c>
      <c r="AD56" s="9" t="e">
        <f t="shared" si="3"/>
        <v>#DIV/0!</v>
      </c>
      <c r="AE56" s="9" t="e">
        <f t="shared" si="3"/>
        <v>#DIV/0!</v>
      </c>
      <c r="AF56" s="9" t="e">
        <f t="shared" si="3"/>
        <v>#DIV/0!</v>
      </c>
      <c r="AG56" s="9" t="e">
        <f t="shared" si="3"/>
        <v>#DIV/0!</v>
      </c>
      <c r="AH56" s="9" t="e">
        <f t="shared" si="3"/>
        <v>#DIV/0!</v>
      </c>
      <c r="AI56" s="9" t="e">
        <f t="shared" si="3"/>
        <v>#DIV/0!</v>
      </c>
      <c r="AJ56" s="9" t="e">
        <f t="shared" si="3"/>
        <v>#DIV/0!</v>
      </c>
      <c r="AK56" s="9" t="e">
        <f>AVERAGE(AK6:AK53)</f>
        <v>#DIV/0!</v>
      </c>
    </row>
    <row r="57" spans="1:39" x14ac:dyDescent="0.35">
      <c r="A57" t="s">
        <v>1</v>
      </c>
      <c r="B57" s="3">
        <f>STDEV(B6:B53)</f>
        <v>0.14320511457544849</v>
      </c>
      <c r="C57" s="3">
        <f t="shared" ref="C57:AK57" si="4">STDEV(C6:C53)</f>
        <v>0.16459248515883065</v>
      </c>
      <c r="D57" s="3">
        <f t="shared" si="4"/>
        <v>0.18292056781584792</v>
      </c>
      <c r="E57" s="3">
        <f t="shared" si="4"/>
        <v>1.0334341438645287</v>
      </c>
      <c r="F57" s="3">
        <f t="shared" si="4"/>
        <v>1.4676525923808525</v>
      </c>
      <c r="G57" s="3">
        <f t="shared" si="4"/>
        <v>1.5161928254192851</v>
      </c>
      <c r="H57" s="3">
        <f t="shared" si="4"/>
        <v>1.8001053569124315</v>
      </c>
      <c r="I57" s="3">
        <f t="shared" si="4"/>
        <v>0.24440201642854384</v>
      </c>
      <c r="J57" s="3">
        <f t="shared" si="4"/>
        <v>0.42669966771239498</v>
      </c>
      <c r="K57" s="3">
        <f t="shared" si="4"/>
        <v>0.7516752190596111</v>
      </c>
      <c r="L57" s="3">
        <f t="shared" si="4"/>
        <v>1.1761740555232623</v>
      </c>
      <c r="M57" s="3">
        <f t="shared" si="4"/>
        <v>1.1312502451880584</v>
      </c>
      <c r="N57" s="3"/>
      <c r="O57" s="3">
        <f t="shared" si="4"/>
        <v>0.75501527336403429</v>
      </c>
      <c r="P57" s="3">
        <f t="shared" si="4"/>
        <v>1.564858539033066</v>
      </c>
      <c r="Q57" s="3">
        <f t="shared" si="4"/>
        <v>8.6175755389044151E-2</v>
      </c>
      <c r="R57" s="3">
        <f t="shared" si="4"/>
        <v>1.0335714259813884</v>
      </c>
      <c r="S57" s="3">
        <f t="shared" si="4"/>
        <v>1.1456701411933345</v>
      </c>
      <c r="T57" s="3">
        <f t="shared" si="4"/>
        <v>1.0661088472735953</v>
      </c>
      <c r="U57" s="3">
        <f t="shared" si="4"/>
        <v>0.9000127247283447</v>
      </c>
      <c r="V57" s="3">
        <f t="shared" si="4"/>
        <v>1.2749433058368713</v>
      </c>
      <c r="W57" s="3" t="e">
        <f t="shared" si="4"/>
        <v>#DIV/0!</v>
      </c>
      <c r="X57" s="3" t="e">
        <f t="shared" si="4"/>
        <v>#DIV/0!</v>
      </c>
      <c r="Y57" s="3" t="e">
        <f t="shared" si="4"/>
        <v>#DIV/0!</v>
      </c>
      <c r="Z57" s="3" t="e">
        <f t="shared" si="4"/>
        <v>#DIV/0!</v>
      </c>
      <c r="AA57" s="3" t="e">
        <f t="shared" si="4"/>
        <v>#DIV/0!</v>
      </c>
      <c r="AB57" s="3" t="e">
        <f t="shared" si="4"/>
        <v>#DIV/0!</v>
      </c>
      <c r="AC57" s="3" t="e">
        <f t="shared" si="4"/>
        <v>#DIV/0!</v>
      </c>
      <c r="AD57" s="3" t="e">
        <f t="shared" si="4"/>
        <v>#DIV/0!</v>
      </c>
      <c r="AE57" s="3" t="e">
        <f t="shared" si="4"/>
        <v>#DIV/0!</v>
      </c>
      <c r="AF57" s="3" t="e">
        <f t="shared" si="4"/>
        <v>#DIV/0!</v>
      </c>
      <c r="AG57" s="3" t="e">
        <f t="shared" si="4"/>
        <v>#DIV/0!</v>
      </c>
      <c r="AH57" s="3" t="e">
        <f t="shared" si="4"/>
        <v>#DIV/0!</v>
      </c>
      <c r="AI57" s="3" t="e">
        <f t="shared" si="4"/>
        <v>#DIV/0!</v>
      </c>
      <c r="AJ57" s="3" t="e">
        <f t="shared" si="4"/>
        <v>#DIV/0!</v>
      </c>
      <c r="AK57" s="3" t="e">
        <f t="shared" si="4"/>
        <v>#DIV/0!</v>
      </c>
      <c r="AL57" s="3"/>
      <c r="AM57" s="3"/>
    </row>
    <row r="58" spans="1:39" x14ac:dyDescent="0.35">
      <c r="A58" t="s">
        <v>2</v>
      </c>
      <c r="B58" s="3">
        <f xml:space="preserve"> B57/SQRT(COUNT(B6:B53))</f>
        <v>3.0531433013272886E-2</v>
      </c>
      <c r="C58" s="3">
        <f t="shared" ref="C58:AK58" si="5" xml:space="preserve"> C57/SQRT(COUNT(C6:C53))</f>
        <v>3.5091235742612872E-2</v>
      </c>
      <c r="D58" s="3">
        <f t="shared" si="5"/>
        <v>3.7338504550749524E-2</v>
      </c>
      <c r="E58" s="3">
        <f t="shared" si="5"/>
        <v>0.21548591497448694</v>
      </c>
      <c r="F58" s="3">
        <f t="shared" si="5"/>
        <v>0.29958333091716993</v>
      </c>
      <c r="G58" s="3">
        <f t="shared" si="5"/>
        <v>0.32325339651262858</v>
      </c>
      <c r="H58" s="3">
        <f t="shared" si="5"/>
        <v>0.37534791373759713</v>
      </c>
      <c r="I58" s="3">
        <f t="shared" si="5"/>
        <v>5.0961343249965381E-2</v>
      </c>
      <c r="J58" s="3">
        <f t="shared" si="5"/>
        <v>8.7099704942541836E-2</v>
      </c>
      <c r="K58" s="3">
        <f t="shared" si="5"/>
        <v>0.15673511786343813</v>
      </c>
      <c r="L58" s="3">
        <f t="shared" si="5"/>
        <v>0.24008552372766029</v>
      </c>
      <c r="M58" s="3">
        <f t="shared" si="5"/>
        <v>0.23588198202731017</v>
      </c>
      <c r="N58" s="3"/>
      <c r="O58" s="3">
        <f t="shared" si="5"/>
        <v>0.11132092883161762</v>
      </c>
      <c r="P58" s="3">
        <f t="shared" si="5"/>
        <v>0.31942541168901378</v>
      </c>
      <c r="Q58" s="3">
        <f t="shared" si="5"/>
        <v>1.7590552408504653E-2</v>
      </c>
      <c r="R58" s="3">
        <f t="shared" si="5"/>
        <v>0.22035816842392178</v>
      </c>
      <c r="S58" s="3">
        <f t="shared" si="5"/>
        <v>0.23385893828883572</v>
      </c>
      <c r="T58" s="3">
        <f t="shared" si="5"/>
        <v>0.21761855717392248</v>
      </c>
      <c r="U58" s="3">
        <f t="shared" si="5"/>
        <v>0.18371432813303504</v>
      </c>
      <c r="V58" s="3">
        <f t="shared" si="5"/>
        <v>0.27181882611721109</v>
      </c>
      <c r="W58" s="3" t="e">
        <f t="shared" si="5"/>
        <v>#DIV/0!</v>
      </c>
      <c r="X58" s="3" t="e">
        <f t="shared" si="5"/>
        <v>#DIV/0!</v>
      </c>
      <c r="Y58" s="3" t="e">
        <f t="shared" si="5"/>
        <v>#DIV/0!</v>
      </c>
      <c r="Z58" s="3" t="e">
        <f t="shared" si="5"/>
        <v>#DIV/0!</v>
      </c>
      <c r="AA58" s="3" t="e">
        <f t="shared" si="5"/>
        <v>#DIV/0!</v>
      </c>
      <c r="AB58" s="3" t="e">
        <f t="shared" si="5"/>
        <v>#DIV/0!</v>
      </c>
      <c r="AC58" s="3" t="e">
        <f t="shared" si="5"/>
        <v>#DIV/0!</v>
      </c>
      <c r="AD58" s="3" t="e">
        <f t="shared" si="5"/>
        <v>#DIV/0!</v>
      </c>
      <c r="AE58" s="3" t="e">
        <f t="shared" si="5"/>
        <v>#DIV/0!</v>
      </c>
      <c r="AF58" s="3" t="e">
        <f t="shared" si="5"/>
        <v>#DIV/0!</v>
      </c>
      <c r="AG58" s="3" t="e">
        <f t="shared" si="5"/>
        <v>#DIV/0!</v>
      </c>
      <c r="AH58" s="3" t="e">
        <f t="shared" si="5"/>
        <v>#DIV/0!</v>
      </c>
      <c r="AI58" s="3" t="e">
        <f t="shared" si="5"/>
        <v>#DIV/0!</v>
      </c>
      <c r="AJ58" s="3" t="e">
        <f t="shared" si="5"/>
        <v>#DIV/0!</v>
      </c>
      <c r="AK58" s="3" t="e">
        <f t="shared" si="5"/>
        <v>#DIV/0!</v>
      </c>
      <c r="AL58" s="3"/>
      <c r="AM58" s="3"/>
    </row>
    <row r="59" spans="1:39" s="1" customFormat="1" ht="15" thickBot="1" x14ac:dyDescent="0.4">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row>
    <row r="60" spans="1:39" s="49" customFormat="1" ht="26.5" thickBot="1" x14ac:dyDescent="0.4">
      <c r="A60" s="239" t="s">
        <v>46</v>
      </c>
      <c r="B60" s="240"/>
      <c r="C60" s="240"/>
      <c r="D60" s="240"/>
      <c r="E60" s="240"/>
      <c r="F60" s="240"/>
      <c r="G60" s="240"/>
      <c r="H60" s="240"/>
      <c r="I60" s="240"/>
      <c r="J60" s="240"/>
      <c r="K60" s="240"/>
      <c r="L60" s="240"/>
      <c r="M60" s="240"/>
      <c r="N60" s="240"/>
      <c r="O60" s="240"/>
      <c r="P60" s="240"/>
      <c r="Q60" s="240"/>
      <c r="R60" s="240"/>
      <c r="S60" s="240"/>
      <c r="T60" s="240"/>
      <c r="U60" s="240"/>
      <c r="V60" s="240"/>
      <c r="W60" s="240"/>
      <c r="X60" s="240"/>
      <c r="Y60" s="240"/>
      <c r="Z60" s="240"/>
      <c r="AA60" s="240"/>
      <c r="AB60" s="240"/>
      <c r="AC60" s="240"/>
      <c r="AD60" s="240"/>
      <c r="AE60" s="240"/>
      <c r="AF60" s="240"/>
      <c r="AG60" s="240"/>
      <c r="AH60" s="240"/>
      <c r="AI60" s="240"/>
      <c r="AJ60" s="240"/>
      <c r="AK60" s="241"/>
    </row>
    <row r="61" spans="1:39" s="1" customFormat="1" x14ac:dyDescent="0.35">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row>
    <row r="62" spans="1:39" s="1" customFormat="1" x14ac:dyDescent="0.35">
      <c r="A62" s="1" t="s">
        <v>47</v>
      </c>
      <c r="B62" s="3" t="str">
        <f t="shared" ref="B62" si="6">B4</f>
        <v>Témoin solvant</v>
      </c>
      <c r="C62" s="3" t="str">
        <f t="shared" ref="C62:AK62" si="7">C4</f>
        <v>EE2-33,8ng/L</v>
      </c>
      <c r="D62" s="3" t="str">
        <f t="shared" si="7"/>
        <v>EE2-50,6ng/L</v>
      </c>
      <c r="E62" s="3" t="str">
        <f t="shared" si="7"/>
        <v>EE2-76ng/L</v>
      </c>
      <c r="F62" s="3" t="str">
        <f t="shared" si="7"/>
        <v>EE2-114ng/L</v>
      </c>
      <c r="G62" s="3" t="str">
        <f t="shared" si="7"/>
        <v>EE2-170,9ng/L</v>
      </c>
      <c r="H62" s="3" t="str">
        <f t="shared" si="7"/>
        <v>EE2-488ng/L</v>
      </c>
      <c r="I62" s="3" t="str">
        <f t="shared" si="7"/>
        <v>Testo-3.7µg/L</v>
      </c>
      <c r="J62" s="3" t="str">
        <f t="shared" si="7"/>
        <v>Testo-11µg/L</v>
      </c>
      <c r="K62" s="3" t="str">
        <f t="shared" si="7"/>
        <v>Testo-33µg/L</v>
      </c>
      <c r="L62" s="3" t="str">
        <f t="shared" si="7"/>
        <v>Testo-100µg/L</v>
      </c>
      <c r="M62" s="3" t="str">
        <f t="shared" si="7"/>
        <v>Testo-300µg/L</v>
      </c>
      <c r="N62" s="3"/>
      <c r="O62" s="3" t="str">
        <f t="shared" si="7"/>
        <v>Testo -30µg/L</v>
      </c>
      <c r="P62" s="3" t="str">
        <f t="shared" si="7"/>
        <v>Testo 30µg/L + EE2 -64ng/L</v>
      </c>
      <c r="Q62" s="3" t="str">
        <f t="shared" si="7"/>
        <v>Testo 30µg/L + FAD-10mg/L</v>
      </c>
      <c r="R62" s="3" t="str">
        <f t="shared" si="7"/>
        <v>Testo-3,7µg/L + Testostérone</v>
      </c>
      <c r="S62" s="3" t="str">
        <f t="shared" si="7"/>
        <v>Testo-11µg/L + Testostérone</v>
      </c>
      <c r="T62" s="3" t="str">
        <f t="shared" si="7"/>
        <v>Testo-33µg/L + Testostérone</v>
      </c>
      <c r="U62" s="3" t="str">
        <f t="shared" si="7"/>
        <v>Testo-100µg/L + Testostérone</v>
      </c>
      <c r="V62" s="3" t="str">
        <f t="shared" si="7"/>
        <v>Testo-300µg/L + Testostérone</v>
      </c>
      <c r="W62" s="3" t="str">
        <f t="shared" si="7"/>
        <v>0-00 + Testostérone</v>
      </c>
      <c r="X62" s="3" t="str">
        <f t="shared" si="7"/>
        <v>0-00 + Testostérone</v>
      </c>
      <c r="Y62" s="3" t="str">
        <f t="shared" si="7"/>
        <v>0-00 + Testostérone</v>
      </c>
      <c r="Z62" s="3" t="str">
        <f t="shared" si="7"/>
        <v>0-00 + Testostérone</v>
      </c>
      <c r="AA62" s="3" t="str">
        <f t="shared" si="7"/>
        <v>0-00 + Testostérone</v>
      </c>
      <c r="AB62" s="3" t="str">
        <f t="shared" si="7"/>
        <v>0-00 + Testostérone</v>
      </c>
      <c r="AC62" s="3" t="str">
        <f t="shared" si="7"/>
        <v>0-00 + Testostérone</v>
      </c>
      <c r="AD62" s="3" t="str">
        <f t="shared" si="7"/>
        <v>0-00 + Testostérone</v>
      </c>
      <c r="AE62" s="3" t="str">
        <f t="shared" si="7"/>
        <v>0-00 + Testostérone</v>
      </c>
      <c r="AF62" s="3" t="str">
        <f t="shared" si="7"/>
        <v>0-00 + Testostérone</v>
      </c>
      <c r="AG62" s="3" t="str">
        <f t="shared" si="7"/>
        <v>0-00 + Testostérone</v>
      </c>
      <c r="AH62" s="3" t="str">
        <f t="shared" si="7"/>
        <v>0-00 + Testostérone</v>
      </c>
      <c r="AI62" s="3" t="str">
        <f t="shared" si="7"/>
        <v>0-00 + Testostérone</v>
      </c>
      <c r="AJ62" s="3" t="str">
        <f t="shared" si="7"/>
        <v>0-00 + Testostérone</v>
      </c>
      <c r="AK62" s="3" t="str">
        <f t="shared" si="7"/>
        <v>0-00 + Testostérone</v>
      </c>
    </row>
    <row r="63" spans="1:39" s="1" customFormat="1" x14ac:dyDescent="0.35">
      <c r="A63" s="1" t="s">
        <v>49</v>
      </c>
      <c r="B63" s="3">
        <f>COUNT(B6:B53)</f>
        <v>22</v>
      </c>
      <c r="C63" s="3">
        <f t="shared" ref="C63:AJ63" si="8">COUNT(C6:C53)</f>
        <v>22</v>
      </c>
      <c r="D63" s="3">
        <f t="shared" si="8"/>
        <v>24</v>
      </c>
      <c r="E63" s="3">
        <f t="shared" si="8"/>
        <v>23</v>
      </c>
      <c r="F63" s="3">
        <f t="shared" si="8"/>
        <v>24</v>
      </c>
      <c r="G63" s="3">
        <f t="shared" si="8"/>
        <v>22</v>
      </c>
      <c r="H63" s="3">
        <f t="shared" si="8"/>
        <v>23</v>
      </c>
      <c r="I63" s="3">
        <f t="shared" si="8"/>
        <v>23</v>
      </c>
      <c r="J63" s="3">
        <f t="shared" si="8"/>
        <v>24</v>
      </c>
      <c r="K63" s="3">
        <f t="shared" si="8"/>
        <v>23</v>
      </c>
      <c r="L63" s="3">
        <f t="shared" si="8"/>
        <v>24</v>
      </c>
      <c r="M63" s="3">
        <f t="shared" si="8"/>
        <v>23</v>
      </c>
      <c r="N63" s="3"/>
      <c r="O63" s="3">
        <f t="shared" si="8"/>
        <v>46</v>
      </c>
      <c r="P63" s="3">
        <f t="shared" si="8"/>
        <v>24</v>
      </c>
      <c r="Q63" s="3">
        <f t="shared" si="8"/>
        <v>24</v>
      </c>
      <c r="R63" s="3">
        <f t="shared" si="8"/>
        <v>22</v>
      </c>
      <c r="S63" s="3">
        <f t="shared" si="8"/>
        <v>24</v>
      </c>
      <c r="T63" s="3">
        <f t="shared" si="8"/>
        <v>24</v>
      </c>
      <c r="U63" s="3">
        <f t="shared" si="8"/>
        <v>24</v>
      </c>
      <c r="V63" s="3">
        <f t="shared" si="8"/>
        <v>22</v>
      </c>
      <c r="W63" s="3">
        <f t="shared" si="8"/>
        <v>0</v>
      </c>
      <c r="X63" s="3">
        <f t="shared" si="8"/>
        <v>0</v>
      </c>
      <c r="Y63" s="3">
        <f t="shared" si="8"/>
        <v>0</v>
      </c>
      <c r="Z63" s="3">
        <f t="shared" si="8"/>
        <v>0</v>
      </c>
      <c r="AA63" s="3">
        <f t="shared" si="8"/>
        <v>0</v>
      </c>
      <c r="AB63" s="3">
        <f t="shared" si="8"/>
        <v>0</v>
      </c>
      <c r="AC63" s="3">
        <f t="shared" si="8"/>
        <v>0</v>
      </c>
      <c r="AD63" s="3">
        <f t="shared" si="8"/>
        <v>0</v>
      </c>
      <c r="AE63" s="3">
        <f t="shared" si="8"/>
        <v>0</v>
      </c>
      <c r="AF63" s="3">
        <f t="shared" si="8"/>
        <v>0</v>
      </c>
      <c r="AG63" s="3">
        <f t="shared" si="8"/>
        <v>0</v>
      </c>
      <c r="AH63" s="3">
        <f t="shared" si="8"/>
        <v>0</v>
      </c>
      <c r="AI63" s="3">
        <f t="shared" si="8"/>
        <v>0</v>
      </c>
      <c r="AJ63" s="3">
        <f t="shared" si="8"/>
        <v>0</v>
      </c>
      <c r="AK63" s="3">
        <f>COUNT(AK6:AK53)</f>
        <v>0</v>
      </c>
    </row>
    <row r="64" spans="1:39" s="1" customFormat="1" ht="15" thickBot="1" x14ac:dyDescent="0.4">
      <c r="B64" s="3" t="str">
        <f>IF(B63&gt;=21,"OK","ATTENTION")</f>
        <v>OK</v>
      </c>
      <c r="C64" s="3" t="str">
        <f t="shared" ref="C64:AK64" si="9">IF(C63&gt;=21,"OK","ATTENTION")</f>
        <v>OK</v>
      </c>
      <c r="D64" s="3" t="str">
        <f t="shared" si="9"/>
        <v>OK</v>
      </c>
      <c r="E64" s="3" t="str">
        <f t="shared" si="9"/>
        <v>OK</v>
      </c>
      <c r="F64" s="3" t="str">
        <f t="shared" si="9"/>
        <v>OK</v>
      </c>
      <c r="G64" s="3" t="str">
        <f t="shared" si="9"/>
        <v>OK</v>
      </c>
      <c r="H64" s="3" t="str">
        <f t="shared" si="9"/>
        <v>OK</v>
      </c>
      <c r="I64" s="3" t="str">
        <f t="shared" si="9"/>
        <v>OK</v>
      </c>
      <c r="J64" s="3" t="str">
        <f t="shared" si="9"/>
        <v>OK</v>
      </c>
      <c r="K64" s="3" t="str">
        <f t="shared" si="9"/>
        <v>OK</v>
      </c>
      <c r="L64" s="3" t="str">
        <f t="shared" si="9"/>
        <v>OK</v>
      </c>
      <c r="M64" s="3" t="str">
        <f t="shared" si="9"/>
        <v>OK</v>
      </c>
      <c r="N64" s="3"/>
      <c r="O64" s="3" t="str">
        <f>IF(O63&gt;=41,"OK","ATTENTION")</f>
        <v>OK</v>
      </c>
      <c r="P64" s="3" t="str">
        <f t="shared" si="9"/>
        <v>OK</v>
      </c>
      <c r="Q64" s="3" t="str">
        <f t="shared" si="9"/>
        <v>OK</v>
      </c>
      <c r="R64" s="3" t="str">
        <f t="shared" si="9"/>
        <v>OK</v>
      </c>
      <c r="S64" s="3" t="str">
        <f t="shared" si="9"/>
        <v>OK</v>
      </c>
      <c r="T64" s="3" t="str">
        <f t="shared" si="9"/>
        <v>OK</v>
      </c>
      <c r="U64" s="3" t="str">
        <f t="shared" si="9"/>
        <v>OK</v>
      </c>
      <c r="V64" s="3" t="str">
        <f t="shared" si="9"/>
        <v>OK</v>
      </c>
      <c r="W64" s="3" t="str">
        <f t="shared" si="9"/>
        <v>ATTENTION</v>
      </c>
      <c r="X64" s="3" t="str">
        <f t="shared" si="9"/>
        <v>ATTENTION</v>
      </c>
      <c r="Y64" s="3" t="str">
        <f t="shared" si="9"/>
        <v>ATTENTION</v>
      </c>
      <c r="Z64" s="3" t="str">
        <f t="shared" si="9"/>
        <v>ATTENTION</v>
      </c>
      <c r="AA64" s="3" t="str">
        <f t="shared" si="9"/>
        <v>ATTENTION</v>
      </c>
      <c r="AB64" s="3" t="str">
        <f t="shared" si="9"/>
        <v>ATTENTION</v>
      </c>
      <c r="AC64" s="3" t="str">
        <f t="shared" si="9"/>
        <v>ATTENTION</v>
      </c>
      <c r="AD64" s="3" t="str">
        <f t="shared" si="9"/>
        <v>ATTENTION</v>
      </c>
      <c r="AE64" s="3" t="str">
        <f t="shared" si="9"/>
        <v>ATTENTION</v>
      </c>
      <c r="AF64" s="3" t="str">
        <f t="shared" si="9"/>
        <v>ATTENTION</v>
      </c>
      <c r="AG64" s="3" t="str">
        <f t="shared" si="9"/>
        <v>ATTENTION</v>
      </c>
      <c r="AH64" s="3" t="str">
        <f t="shared" si="9"/>
        <v>ATTENTION</v>
      </c>
      <c r="AI64" s="3" t="str">
        <f t="shared" si="9"/>
        <v>ATTENTION</v>
      </c>
      <c r="AJ64" s="3" t="str">
        <f t="shared" si="9"/>
        <v>ATTENTION</v>
      </c>
      <c r="AK64" s="3" t="str">
        <f t="shared" si="9"/>
        <v>ATTENTION</v>
      </c>
    </row>
    <row r="65" spans="1:37" s="49" customFormat="1" ht="26.5" thickBot="1" x14ac:dyDescent="0.4">
      <c r="A65" s="239" t="s">
        <v>58</v>
      </c>
      <c r="B65" s="240"/>
      <c r="C65" s="240"/>
      <c r="D65" s="240"/>
      <c r="E65" s="240"/>
      <c r="F65" s="240"/>
      <c r="G65" s="240"/>
      <c r="H65" s="240"/>
      <c r="I65" s="240"/>
      <c r="J65" s="240"/>
      <c r="K65" s="240"/>
      <c r="L65" s="240"/>
      <c r="M65" s="240"/>
      <c r="N65" s="240"/>
      <c r="O65" s="240"/>
      <c r="P65" s="240"/>
      <c r="Q65" s="240"/>
      <c r="R65" s="240"/>
      <c r="S65" s="240"/>
      <c r="T65" s="240"/>
      <c r="U65" s="240"/>
      <c r="V65" s="240"/>
      <c r="W65" s="240"/>
      <c r="X65" s="240"/>
      <c r="Y65" s="240"/>
      <c r="Z65" s="240"/>
      <c r="AA65" s="240"/>
      <c r="AB65" s="240"/>
      <c r="AC65" s="240"/>
      <c r="AD65" s="240"/>
      <c r="AE65" s="240"/>
      <c r="AF65" s="240"/>
      <c r="AG65" s="240"/>
      <c r="AH65" s="240"/>
      <c r="AI65" s="240"/>
      <c r="AJ65" s="240"/>
      <c r="AK65" s="241"/>
    </row>
    <row r="66" spans="1:37" s="1" customFormat="1" x14ac:dyDescent="0.35">
      <c r="B66" s="1" t="s">
        <v>61</v>
      </c>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row>
    <row r="67" spans="1:37" s="1" customFormat="1" x14ac:dyDescent="0.35">
      <c r="A67" s="1" t="s">
        <v>59</v>
      </c>
      <c r="B67" s="3">
        <v>3.5</v>
      </c>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row>
    <row r="68" spans="1:37" s="1" customFormat="1" x14ac:dyDescent="0.35">
      <c r="A68" s="1" t="s">
        <v>62</v>
      </c>
      <c r="B68" s="3">
        <v>2</v>
      </c>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row>
    <row r="69" spans="1:37" s="1" customFormat="1" ht="15" thickBot="1" x14ac:dyDescent="0.4">
      <c r="A69" s="1" t="s">
        <v>63</v>
      </c>
      <c r="B69" s="3">
        <v>0.5</v>
      </c>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row>
    <row r="70" spans="1:37" s="49" customFormat="1" ht="26.5" thickBot="1" x14ac:dyDescent="0.4">
      <c r="A70" s="239" t="s">
        <v>53</v>
      </c>
      <c r="B70" s="240"/>
      <c r="C70" s="240"/>
      <c r="D70" s="240"/>
      <c r="E70" s="240"/>
      <c r="F70" s="240"/>
      <c r="G70" s="240"/>
      <c r="H70" s="240"/>
      <c r="I70" s="240"/>
      <c r="J70" s="240"/>
      <c r="K70" s="240"/>
      <c r="L70" s="240"/>
      <c r="M70" s="240"/>
      <c r="N70" s="240"/>
      <c r="O70" s="240"/>
      <c r="P70" s="240"/>
      <c r="Q70" s="240"/>
      <c r="R70" s="240"/>
      <c r="S70" s="240"/>
      <c r="T70" s="240"/>
      <c r="U70" s="240"/>
      <c r="V70" s="240"/>
      <c r="W70" s="240"/>
      <c r="X70" s="240"/>
      <c r="Y70" s="240"/>
      <c r="Z70" s="240"/>
      <c r="AA70" s="240"/>
      <c r="AB70" s="240"/>
      <c r="AC70" s="240"/>
      <c r="AD70" s="240"/>
      <c r="AE70" s="240"/>
      <c r="AF70" s="240"/>
      <c r="AG70" s="240"/>
      <c r="AH70" s="240"/>
      <c r="AI70" s="240"/>
      <c r="AJ70" s="240"/>
      <c r="AK70" s="241"/>
    </row>
    <row r="71" spans="1:37" ht="15" thickBot="1" x14ac:dyDescent="0.4"/>
    <row r="72" spans="1:37" s="49" customFormat="1" ht="26.5" thickBot="1" x14ac:dyDescent="0.4">
      <c r="A72" s="239" t="s">
        <v>54</v>
      </c>
      <c r="B72" s="240"/>
      <c r="C72" s="240"/>
      <c r="D72" s="240"/>
      <c r="E72" s="240"/>
      <c r="F72" s="240"/>
      <c r="G72" s="240"/>
      <c r="H72" s="240"/>
      <c r="I72" s="240"/>
      <c r="J72" s="240"/>
      <c r="K72" s="240"/>
      <c r="L72" s="240"/>
      <c r="M72" s="240"/>
      <c r="N72" s="240"/>
      <c r="O72" s="240"/>
      <c r="P72" s="240"/>
      <c r="Q72" s="240"/>
      <c r="R72" s="240"/>
      <c r="S72" s="240"/>
      <c r="T72" s="240"/>
      <c r="U72" s="240"/>
      <c r="V72" s="240"/>
      <c r="W72" s="240"/>
      <c r="X72" s="240"/>
      <c r="Y72" s="240"/>
      <c r="Z72" s="240"/>
      <c r="AA72" s="240"/>
      <c r="AB72" s="240"/>
      <c r="AC72" s="240"/>
      <c r="AD72" s="240"/>
      <c r="AE72" s="240"/>
      <c r="AF72" s="240"/>
      <c r="AG72" s="240"/>
      <c r="AH72" s="240"/>
      <c r="AI72" s="240"/>
      <c r="AJ72" s="240"/>
      <c r="AK72" s="241"/>
    </row>
    <row r="73" spans="1:37" ht="15" thickBot="1" x14ac:dyDescent="0.4">
      <c r="J73" s="3">
        <v>1</v>
      </c>
      <c r="K73" s="3">
        <v>2</v>
      </c>
      <c r="L73" s="3">
        <v>3</v>
      </c>
      <c r="M73" s="3">
        <v>4</v>
      </c>
      <c r="R73" s="3">
        <v>1</v>
      </c>
      <c r="S73" s="3">
        <v>2</v>
      </c>
      <c r="T73" s="3">
        <v>3</v>
      </c>
      <c r="U73" s="3">
        <v>4</v>
      </c>
      <c r="V73" s="3">
        <v>5</v>
      </c>
      <c r="W73" s="3">
        <v>1</v>
      </c>
      <c r="X73" s="3">
        <v>2</v>
      </c>
      <c r="Y73" s="3">
        <v>3</v>
      </c>
      <c r="Z73" s="3">
        <v>4</v>
      </c>
      <c r="AA73" s="3">
        <v>5</v>
      </c>
      <c r="AB73" s="3">
        <v>1</v>
      </c>
      <c r="AC73" s="3">
        <v>2</v>
      </c>
      <c r="AD73" s="3">
        <v>3</v>
      </c>
      <c r="AE73" s="3">
        <v>4</v>
      </c>
      <c r="AF73" s="3">
        <v>5</v>
      </c>
      <c r="AG73" s="3">
        <v>1</v>
      </c>
      <c r="AH73" s="3">
        <v>2</v>
      </c>
      <c r="AI73" s="3">
        <v>3</v>
      </c>
      <c r="AJ73" s="3">
        <v>4</v>
      </c>
      <c r="AK73" s="3">
        <v>5</v>
      </c>
    </row>
    <row r="74" spans="1:37" s="1" customFormat="1" x14ac:dyDescent="0.35">
      <c r="A74" s="45" t="s">
        <v>41</v>
      </c>
      <c r="B74" s="46" t="str">
        <f t="shared" ref="B74:M74" si="10">B4</f>
        <v>Témoin solvant</v>
      </c>
      <c r="C74" s="46" t="str">
        <f t="shared" si="10"/>
        <v>EE2-33,8ng/L</v>
      </c>
      <c r="D74" s="46" t="str">
        <f t="shared" si="10"/>
        <v>EE2-50,6ng/L</v>
      </c>
      <c r="E74" s="46" t="str">
        <f t="shared" si="10"/>
        <v>EE2-76ng/L</v>
      </c>
      <c r="F74" s="46" t="str">
        <f t="shared" si="10"/>
        <v>EE2-114ng/L</v>
      </c>
      <c r="G74" s="46" t="str">
        <f t="shared" si="10"/>
        <v>EE2-170,9ng/L</v>
      </c>
      <c r="H74" s="46" t="str">
        <f t="shared" si="10"/>
        <v>EE2-488ng/L</v>
      </c>
      <c r="I74" s="46" t="str">
        <f t="shared" si="10"/>
        <v>Testo-3.7µg/L</v>
      </c>
      <c r="J74" s="46" t="str">
        <f t="shared" si="10"/>
        <v>Testo-11µg/L</v>
      </c>
      <c r="K74" s="46" t="str">
        <f t="shared" si="10"/>
        <v>Testo-33µg/L</v>
      </c>
      <c r="L74" s="46" t="str">
        <f t="shared" si="10"/>
        <v>Testo-100µg/L</v>
      </c>
      <c r="M74" s="46" t="str">
        <f t="shared" si="10"/>
        <v>Testo-300µg/L</v>
      </c>
      <c r="N74" s="46"/>
      <c r="O74" s="46" t="str">
        <f t="shared" ref="O74:AD74" si="11">O4</f>
        <v>Testo -30µg/L</v>
      </c>
      <c r="P74" s="46" t="str">
        <f t="shared" si="11"/>
        <v>Testo 30µg/L + EE2 -64ng/L</v>
      </c>
      <c r="Q74" s="46" t="str">
        <f t="shared" si="11"/>
        <v>Testo 30µg/L + FAD-10mg/L</v>
      </c>
      <c r="R74" s="46" t="str">
        <f t="shared" si="11"/>
        <v>Testo-3,7µg/L + Testostérone</v>
      </c>
      <c r="S74" s="46" t="str">
        <f t="shared" si="11"/>
        <v>Testo-11µg/L + Testostérone</v>
      </c>
      <c r="T74" s="46" t="str">
        <f t="shared" si="11"/>
        <v>Testo-33µg/L + Testostérone</v>
      </c>
      <c r="U74" s="46" t="str">
        <f t="shared" si="11"/>
        <v>Testo-100µg/L + Testostérone</v>
      </c>
      <c r="V74" s="46" t="str">
        <f t="shared" si="11"/>
        <v>Testo-300µg/L + Testostérone</v>
      </c>
      <c r="W74" s="46" t="str">
        <f t="shared" si="11"/>
        <v>0-00 + Testostérone</v>
      </c>
      <c r="X74" s="46" t="str">
        <f t="shared" si="11"/>
        <v>0-00 + Testostérone</v>
      </c>
      <c r="Y74" s="46" t="str">
        <f t="shared" si="11"/>
        <v>0-00 + Testostérone</v>
      </c>
      <c r="Z74" s="46" t="str">
        <f t="shared" si="11"/>
        <v>0-00 + Testostérone</v>
      </c>
      <c r="AA74" s="46" t="str">
        <f t="shared" si="11"/>
        <v>0-00 + Testostérone</v>
      </c>
      <c r="AB74" s="46" t="str">
        <f t="shared" si="11"/>
        <v>0-00 + Testostérone</v>
      </c>
      <c r="AC74" s="46" t="str">
        <f t="shared" si="11"/>
        <v>0-00 + Testostérone</v>
      </c>
      <c r="AD74" s="46" t="str">
        <f t="shared" si="11"/>
        <v>0-00 + Testostérone</v>
      </c>
      <c r="AE74" s="46" t="str">
        <f t="shared" ref="AE74:AK74" si="12">AE4</f>
        <v>0-00 + Testostérone</v>
      </c>
      <c r="AF74" s="46" t="str">
        <f t="shared" si="12"/>
        <v>0-00 + Testostérone</v>
      </c>
      <c r="AG74" s="46" t="str">
        <f t="shared" si="12"/>
        <v>0-00 + Testostérone</v>
      </c>
      <c r="AH74" s="46" t="str">
        <f t="shared" si="12"/>
        <v>0-00 + Testostérone</v>
      </c>
      <c r="AI74" s="46" t="str">
        <f t="shared" si="12"/>
        <v>0-00 + Testostérone</v>
      </c>
      <c r="AJ74" s="46" t="str">
        <f t="shared" si="12"/>
        <v>0-00 + Testostérone</v>
      </c>
      <c r="AK74" s="46" t="str">
        <f t="shared" si="12"/>
        <v>0-00 + Testostérone</v>
      </c>
    </row>
    <row r="75" spans="1:37" s="3" customFormat="1" x14ac:dyDescent="0.35">
      <c r="A75" s="64" t="s">
        <v>32</v>
      </c>
      <c r="B75" s="145">
        <f>B56</f>
        <v>0.15229055770800312</v>
      </c>
      <c r="C75" s="145">
        <f t="shared" ref="C75:AK75" si="13">C56</f>
        <v>0.18330585545241077</v>
      </c>
      <c r="D75" s="145">
        <f t="shared" si="13"/>
        <v>0.1684450770480834</v>
      </c>
      <c r="E75" s="145">
        <f t="shared" si="13"/>
        <v>0.74063310480924405</v>
      </c>
      <c r="F75" s="145">
        <f t="shared" si="13"/>
        <v>1.5744025053212292</v>
      </c>
      <c r="G75" s="145">
        <f t="shared" si="13"/>
        <v>2.5009767443674882</v>
      </c>
      <c r="H75" s="145">
        <f t="shared" si="13"/>
        <v>3.7419685866413728</v>
      </c>
      <c r="I75" s="145">
        <f t="shared" si="13"/>
        <v>0.21224492929088931</v>
      </c>
      <c r="J75" s="145">
        <f t="shared" si="13"/>
        <v>0.40590817188454914</v>
      </c>
      <c r="K75" s="145">
        <f t="shared" si="13"/>
        <v>1.0539260687771403</v>
      </c>
      <c r="L75" s="145">
        <f t="shared" si="13"/>
        <v>2.0003170311377221</v>
      </c>
      <c r="M75" s="145">
        <f t="shared" si="13"/>
        <v>2.3113546074511606</v>
      </c>
      <c r="N75" s="145"/>
      <c r="O75" s="145">
        <f t="shared" si="13"/>
        <v>1.0000000000000002</v>
      </c>
      <c r="P75" s="145">
        <f t="shared" si="13"/>
        <v>3.1284648375910251</v>
      </c>
      <c r="Q75" s="145">
        <f t="shared" si="13"/>
        <v>0.11656955822676086</v>
      </c>
      <c r="R75" s="145">
        <f t="shared" si="13"/>
        <v>1.2026042022653904</v>
      </c>
      <c r="S75" s="145">
        <f t="shared" si="13"/>
        <v>1.5460240242861774</v>
      </c>
      <c r="T75" s="145">
        <f t="shared" si="13"/>
        <v>1.2425321603986419</v>
      </c>
      <c r="U75" s="145">
        <f t="shared" si="13"/>
        <v>1.4548981748227832</v>
      </c>
      <c r="V75" s="145">
        <f t="shared" si="13"/>
        <v>1.8625814316310367</v>
      </c>
      <c r="W75" s="145" t="e">
        <f t="shared" si="13"/>
        <v>#DIV/0!</v>
      </c>
      <c r="X75" s="145" t="e">
        <f t="shared" si="13"/>
        <v>#DIV/0!</v>
      </c>
      <c r="Y75" s="145" t="e">
        <f t="shared" si="13"/>
        <v>#DIV/0!</v>
      </c>
      <c r="Z75" s="145" t="e">
        <f t="shared" si="13"/>
        <v>#DIV/0!</v>
      </c>
      <c r="AA75" s="145" t="e">
        <f t="shared" si="13"/>
        <v>#DIV/0!</v>
      </c>
      <c r="AB75" s="145" t="e">
        <f t="shared" si="13"/>
        <v>#DIV/0!</v>
      </c>
      <c r="AC75" s="145" t="e">
        <f t="shared" si="13"/>
        <v>#DIV/0!</v>
      </c>
      <c r="AD75" s="145" t="e">
        <f t="shared" si="13"/>
        <v>#DIV/0!</v>
      </c>
      <c r="AE75" s="145" t="e">
        <f t="shared" si="13"/>
        <v>#DIV/0!</v>
      </c>
      <c r="AF75" s="145" t="e">
        <f t="shared" si="13"/>
        <v>#DIV/0!</v>
      </c>
      <c r="AG75" s="145" t="e">
        <f t="shared" si="13"/>
        <v>#DIV/0!</v>
      </c>
      <c r="AH75" s="145" t="e">
        <f t="shared" si="13"/>
        <v>#DIV/0!</v>
      </c>
      <c r="AI75" s="145" t="e">
        <f t="shared" si="13"/>
        <v>#DIV/0!</v>
      </c>
      <c r="AJ75" s="145" t="e">
        <f t="shared" si="13"/>
        <v>#DIV/0!</v>
      </c>
      <c r="AK75" s="145" t="e">
        <f t="shared" si="13"/>
        <v>#DIV/0!</v>
      </c>
    </row>
    <row r="76" spans="1:37" s="3" customFormat="1" x14ac:dyDescent="0.35">
      <c r="A76" s="64" t="s">
        <v>2</v>
      </c>
      <c r="B76" s="145">
        <f>B58</f>
        <v>3.0531433013272886E-2</v>
      </c>
      <c r="C76" s="145">
        <f t="shared" ref="C76:AK76" si="14">C58</f>
        <v>3.5091235742612872E-2</v>
      </c>
      <c r="D76" s="145">
        <f t="shared" si="14"/>
        <v>3.7338504550749524E-2</v>
      </c>
      <c r="E76" s="145">
        <f t="shared" si="14"/>
        <v>0.21548591497448694</v>
      </c>
      <c r="F76" s="145">
        <f t="shared" si="14"/>
        <v>0.29958333091716993</v>
      </c>
      <c r="G76" s="145">
        <f t="shared" si="14"/>
        <v>0.32325339651262858</v>
      </c>
      <c r="H76" s="145">
        <f t="shared" si="14"/>
        <v>0.37534791373759713</v>
      </c>
      <c r="I76" s="145">
        <f t="shared" si="14"/>
        <v>5.0961343249965381E-2</v>
      </c>
      <c r="J76" s="145">
        <f t="shared" si="14"/>
        <v>8.7099704942541836E-2</v>
      </c>
      <c r="K76" s="145">
        <f t="shared" si="14"/>
        <v>0.15673511786343813</v>
      </c>
      <c r="L76" s="145">
        <f t="shared" si="14"/>
        <v>0.24008552372766029</v>
      </c>
      <c r="M76" s="145">
        <f t="shared" si="14"/>
        <v>0.23588198202731017</v>
      </c>
      <c r="N76" s="145"/>
      <c r="O76" s="145">
        <f t="shared" si="14"/>
        <v>0.11132092883161762</v>
      </c>
      <c r="P76" s="145">
        <f t="shared" si="14"/>
        <v>0.31942541168901378</v>
      </c>
      <c r="Q76" s="145">
        <f t="shared" si="14"/>
        <v>1.7590552408504653E-2</v>
      </c>
      <c r="R76" s="145">
        <f t="shared" si="14"/>
        <v>0.22035816842392178</v>
      </c>
      <c r="S76" s="145">
        <f t="shared" si="14"/>
        <v>0.23385893828883572</v>
      </c>
      <c r="T76" s="145">
        <f t="shared" si="14"/>
        <v>0.21761855717392248</v>
      </c>
      <c r="U76" s="145">
        <f t="shared" si="14"/>
        <v>0.18371432813303504</v>
      </c>
      <c r="V76" s="145">
        <f t="shared" si="14"/>
        <v>0.27181882611721109</v>
      </c>
      <c r="W76" s="145" t="e">
        <f t="shared" si="14"/>
        <v>#DIV/0!</v>
      </c>
      <c r="X76" s="145" t="e">
        <f t="shared" si="14"/>
        <v>#DIV/0!</v>
      </c>
      <c r="Y76" s="145" t="e">
        <f t="shared" si="14"/>
        <v>#DIV/0!</v>
      </c>
      <c r="Z76" s="145" t="e">
        <f t="shared" si="14"/>
        <v>#DIV/0!</v>
      </c>
      <c r="AA76" s="145" t="e">
        <f t="shared" si="14"/>
        <v>#DIV/0!</v>
      </c>
      <c r="AB76" s="145" t="e">
        <f t="shared" si="14"/>
        <v>#DIV/0!</v>
      </c>
      <c r="AC76" s="145" t="e">
        <f t="shared" si="14"/>
        <v>#DIV/0!</v>
      </c>
      <c r="AD76" s="145" t="e">
        <f t="shared" si="14"/>
        <v>#DIV/0!</v>
      </c>
      <c r="AE76" s="145" t="e">
        <f t="shared" si="14"/>
        <v>#DIV/0!</v>
      </c>
      <c r="AF76" s="145" t="e">
        <f t="shared" si="14"/>
        <v>#DIV/0!</v>
      </c>
      <c r="AG76" s="145" t="e">
        <f t="shared" si="14"/>
        <v>#DIV/0!</v>
      </c>
      <c r="AH76" s="145" t="e">
        <f t="shared" si="14"/>
        <v>#DIV/0!</v>
      </c>
      <c r="AI76" s="145" t="e">
        <f t="shared" si="14"/>
        <v>#DIV/0!</v>
      </c>
      <c r="AJ76" s="145" t="e">
        <f t="shared" si="14"/>
        <v>#DIV/0!</v>
      </c>
      <c r="AK76" s="145" t="e">
        <f t="shared" si="14"/>
        <v>#DIV/0!</v>
      </c>
    </row>
    <row r="77" spans="1:37" s="3" customFormat="1" x14ac:dyDescent="0.35">
      <c r="A77" s="64" t="s">
        <v>79</v>
      </c>
      <c r="B77" s="145">
        <f>(B75*100/$B$75)-100</f>
        <v>0</v>
      </c>
      <c r="C77" s="145">
        <f t="shared" ref="C77:M77" si="15">(C75*100/$B$75)-100</f>
        <v>20.365870485467241</v>
      </c>
      <c r="D77" s="145">
        <f t="shared" si="15"/>
        <v>10.607695961724971</v>
      </c>
      <c r="E77" s="145">
        <f t="shared" si="15"/>
        <v>386.32897269265334</v>
      </c>
      <c r="F77" s="145">
        <f t="shared" si="15"/>
        <v>933.81491867666318</v>
      </c>
      <c r="G77" s="145">
        <f t="shared" si="15"/>
        <v>1542.2401900732273</v>
      </c>
      <c r="H77" s="145">
        <f t="shared" si="15"/>
        <v>2357.1244881879675</v>
      </c>
      <c r="I77" s="145">
        <f t="shared" si="15"/>
        <v>39.368410284399062</v>
      </c>
      <c r="J77" s="145">
        <f t="shared" si="15"/>
        <v>166.53535057821773</v>
      </c>
      <c r="K77" s="145">
        <f t="shared" si="15"/>
        <v>592.04951681765021</v>
      </c>
      <c r="L77" s="145">
        <f t="shared" si="15"/>
        <v>1213.487232066655</v>
      </c>
      <c r="M77" s="145">
        <f t="shared" si="15"/>
        <v>1417.7267995057682</v>
      </c>
      <c r="N77" s="145"/>
      <c r="O77" s="145">
        <f>(O75*100/$O$75)-100</f>
        <v>0</v>
      </c>
      <c r="P77" s="145">
        <f t="shared" ref="P77:AK77" si="16">(P75*100/$O$75)-100</f>
        <v>212.84648375910245</v>
      </c>
      <c r="Q77" s="145">
        <f t="shared" si="16"/>
        <v>-88.343044177323918</v>
      </c>
      <c r="R77" s="145">
        <f t="shared" si="16"/>
        <v>20.260420226539011</v>
      </c>
      <c r="S77" s="145">
        <f t="shared" si="16"/>
        <v>54.602402428617694</v>
      </c>
      <c r="T77" s="145">
        <f t="shared" si="16"/>
        <v>24.253216039864157</v>
      </c>
      <c r="U77" s="145">
        <f t="shared" si="16"/>
        <v>45.489817482278283</v>
      </c>
      <c r="V77" s="145">
        <f t="shared" si="16"/>
        <v>86.258143163103654</v>
      </c>
      <c r="W77" s="145" t="e">
        <f t="shared" si="16"/>
        <v>#DIV/0!</v>
      </c>
      <c r="X77" s="145" t="e">
        <f t="shared" si="16"/>
        <v>#DIV/0!</v>
      </c>
      <c r="Y77" s="145" t="e">
        <f t="shared" si="16"/>
        <v>#DIV/0!</v>
      </c>
      <c r="Z77" s="145" t="e">
        <f t="shared" si="16"/>
        <v>#DIV/0!</v>
      </c>
      <c r="AA77" s="145" t="e">
        <f t="shared" si="16"/>
        <v>#DIV/0!</v>
      </c>
      <c r="AB77" s="145" t="e">
        <f t="shared" si="16"/>
        <v>#DIV/0!</v>
      </c>
      <c r="AC77" s="145" t="e">
        <f t="shared" si="16"/>
        <v>#DIV/0!</v>
      </c>
      <c r="AD77" s="145" t="e">
        <f t="shared" si="16"/>
        <v>#DIV/0!</v>
      </c>
      <c r="AE77" s="145" t="e">
        <f t="shared" si="16"/>
        <v>#DIV/0!</v>
      </c>
      <c r="AF77" s="145" t="e">
        <f t="shared" si="16"/>
        <v>#DIV/0!</v>
      </c>
      <c r="AG77" s="145" t="e">
        <f t="shared" si="16"/>
        <v>#DIV/0!</v>
      </c>
      <c r="AH77" s="145" t="e">
        <f t="shared" si="16"/>
        <v>#DIV/0!</v>
      </c>
      <c r="AI77" s="145" t="e">
        <f t="shared" si="16"/>
        <v>#DIV/0!</v>
      </c>
      <c r="AJ77" s="145" t="e">
        <f t="shared" si="16"/>
        <v>#DIV/0!</v>
      </c>
      <c r="AK77" s="145" t="e">
        <f t="shared" si="16"/>
        <v>#DIV/0!</v>
      </c>
    </row>
    <row r="78" spans="1:37" s="3" customFormat="1" x14ac:dyDescent="0.35">
      <c r="A78" s="64" t="s">
        <v>81</v>
      </c>
      <c r="B78" s="145">
        <f>[2]!DPTEST(B6:B53)</f>
        <v>2.1392763693871553E-3</v>
      </c>
      <c r="C78" s="145">
        <f>[2]!DPTEST(C6:C53)</f>
        <v>1.0374141656388502E-5</v>
      </c>
      <c r="D78" s="145">
        <f>[2]!DPTEST(D6:D53)</f>
        <v>2.1761660251584658E-9</v>
      </c>
      <c r="E78" s="145">
        <f>[2]!DPTEST(E6:E53)</f>
        <v>2.194246601304739E-4</v>
      </c>
      <c r="F78" s="145">
        <f>[2]!DPTEST(F6:F53)</f>
        <v>0.10995117669905707</v>
      </c>
      <c r="G78" s="145">
        <f>[2]!DPTEST(G6:G53)</f>
        <v>3.3799780628154363E-2</v>
      </c>
      <c r="H78" s="145">
        <f>[2]!DPTEST(H6:H53)</f>
        <v>0.19486788132566923</v>
      </c>
      <c r="I78" s="145">
        <f>[2]!DPTEST(I6:I53)</f>
        <v>2.3400966057141037E-4</v>
      </c>
      <c r="J78" s="145">
        <f>[2]!DPTEST(J6:J53)</f>
        <v>9.055017863301984E-7</v>
      </c>
      <c r="K78" s="145">
        <f>[2]!DPTEST(K6:K53)</f>
        <v>0.10845019598914218</v>
      </c>
      <c r="L78" s="145">
        <f>[2]!DPTEST(L6:L53)</f>
        <v>2.9006384699248322E-4</v>
      </c>
      <c r="M78" s="145">
        <f>[2]!DPTEST(M6:M53)</f>
        <v>6.8542976601048355E-2</v>
      </c>
      <c r="N78" s="145" t="e">
        <f>[2]!DPTEST(N6:N53)</f>
        <v>#VALUE!</v>
      </c>
      <c r="O78" s="145">
        <f>[2]!DPTEST(O6:O53)</f>
        <v>0.11771998127473593</v>
      </c>
      <c r="P78" s="145">
        <f>[2]!DPTEST(P6:P53)</f>
        <v>0.13008257345809215</v>
      </c>
      <c r="Q78" s="145">
        <f>[2]!DPTEST(Q6:Q53)</f>
        <v>1.6308356618744968E-3</v>
      </c>
      <c r="R78" s="145">
        <f>[2]!DPTEST(R6:R53)</f>
        <v>2.2603755402094472E-2</v>
      </c>
      <c r="S78" s="145">
        <f>[2]!DPTEST(S6:S53)</f>
        <v>0.16905983944908964</v>
      </c>
      <c r="T78" s="145">
        <f>[2]!DPTEST(T6:T53)</f>
        <v>7.9794795539858132E-3</v>
      </c>
      <c r="U78" s="145">
        <f>[2]!DPTEST(U6:U53)</f>
        <v>5.9480076906300861E-2</v>
      </c>
      <c r="V78" s="145">
        <f>[2]!DPTEST(V6:V53)</f>
        <v>8.9242263802357114E-3</v>
      </c>
      <c r="W78" s="145" t="e">
        <f>[2]!DPTEST(W6:W53)</f>
        <v>#VALUE!</v>
      </c>
      <c r="X78" s="145" t="e">
        <f>[2]!DPTEST(X6:X53)</f>
        <v>#VALUE!</v>
      </c>
      <c r="Y78" s="145" t="e">
        <f>[2]!DPTEST(Y6:Y53)</f>
        <v>#VALUE!</v>
      </c>
      <c r="Z78" s="145" t="e">
        <f>[2]!DPTEST(Z6:Z53)</f>
        <v>#VALUE!</v>
      </c>
      <c r="AA78" s="145" t="e">
        <f>[2]!DPTEST(AA6:AA53)</f>
        <v>#VALUE!</v>
      </c>
      <c r="AB78" s="145" t="e">
        <f>[2]!DPTEST(AB6:AB53)</f>
        <v>#VALUE!</v>
      </c>
      <c r="AC78" s="145" t="e">
        <f>[2]!DPTEST(AC6:AC53)</f>
        <v>#VALUE!</v>
      </c>
      <c r="AD78" s="145" t="e">
        <f>[2]!DPTEST(AD6:AD53)</f>
        <v>#VALUE!</v>
      </c>
      <c r="AE78" s="145" t="e">
        <f>[2]!DPTEST(AE6:AE53)</f>
        <v>#VALUE!</v>
      </c>
      <c r="AF78" s="145" t="e">
        <f>[2]!DPTEST(AF6:AF53)</f>
        <v>#VALUE!</v>
      </c>
      <c r="AG78" s="145" t="e">
        <f>[2]!DPTEST(AG6:AG53)</f>
        <v>#VALUE!</v>
      </c>
      <c r="AH78" s="145" t="e">
        <f>[2]!DPTEST(AH6:AH53)</f>
        <v>#VALUE!</v>
      </c>
      <c r="AI78" s="145" t="e">
        <f>[2]!DPTEST(AI6:AI53)</f>
        <v>#VALUE!</v>
      </c>
      <c r="AJ78" s="145" t="e">
        <f>[2]!DPTEST(AJ6:AJ53)</f>
        <v>#VALUE!</v>
      </c>
      <c r="AK78" s="145" t="e">
        <f ca="1">[1]!DPTEST(AK6:AK53)</f>
        <v>#NAME?</v>
      </c>
    </row>
    <row r="79" spans="1:37" s="3" customFormat="1" x14ac:dyDescent="0.35">
      <c r="A79" s="64" t="s">
        <v>85</v>
      </c>
      <c r="B79" s="145" t="str">
        <f>IF(B78&gt;0.05,"Oui","Non")</f>
        <v>Non</v>
      </c>
      <c r="C79" s="145" t="str">
        <f t="shared" ref="C79:AK79" si="17">IF(C78&gt;0.05,"Oui","Non")</f>
        <v>Non</v>
      </c>
      <c r="D79" s="145" t="str">
        <f t="shared" si="17"/>
        <v>Non</v>
      </c>
      <c r="E79" s="145" t="str">
        <f t="shared" si="17"/>
        <v>Non</v>
      </c>
      <c r="F79" s="145" t="str">
        <f t="shared" si="17"/>
        <v>Oui</v>
      </c>
      <c r="G79" s="145" t="str">
        <f t="shared" si="17"/>
        <v>Non</v>
      </c>
      <c r="H79" s="145" t="str">
        <f t="shared" si="17"/>
        <v>Oui</v>
      </c>
      <c r="I79" s="145" t="str">
        <f t="shared" si="17"/>
        <v>Non</v>
      </c>
      <c r="J79" s="145" t="str">
        <f t="shared" si="17"/>
        <v>Non</v>
      </c>
      <c r="K79" s="145" t="str">
        <f t="shared" si="17"/>
        <v>Oui</v>
      </c>
      <c r="L79" s="145" t="str">
        <f t="shared" si="17"/>
        <v>Non</v>
      </c>
      <c r="M79" s="145" t="str">
        <f t="shared" si="17"/>
        <v>Oui</v>
      </c>
      <c r="N79" s="145"/>
      <c r="O79" s="145" t="str">
        <f t="shared" si="17"/>
        <v>Oui</v>
      </c>
      <c r="P79" s="145" t="str">
        <f t="shared" si="17"/>
        <v>Oui</v>
      </c>
      <c r="Q79" s="145" t="str">
        <f t="shared" si="17"/>
        <v>Non</v>
      </c>
      <c r="R79" s="145" t="str">
        <f t="shared" si="17"/>
        <v>Non</v>
      </c>
      <c r="S79" s="145" t="str">
        <f t="shared" si="17"/>
        <v>Oui</v>
      </c>
      <c r="T79" s="145" t="str">
        <f t="shared" si="17"/>
        <v>Non</v>
      </c>
      <c r="U79" s="145" t="str">
        <f t="shared" si="17"/>
        <v>Oui</v>
      </c>
      <c r="V79" s="145" t="str">
        <f t="shared" si="17"/>
        <v>Non</v>
      </c>
      <c r="W79" s="145" t="e">
        <f t="shared" si="17"/>
        <v>#VALUE!</v>
      </c>
      <c r="X79" s="145" t="e">
        <f t="shared" si="17"/>
        <v>#VALUE!</v>
      </c>
      <c r="Y79" s="145" t="e">
        <f t="shared" si="17"/>
        <v>#VALUE!</v>
      </c>
      <c r="Z79" s="145" t="e">
        <f t="shared" si="17"/>
        <v>#VALUE!</v>
      </c>
      <c r="AA79" s="145" t="e">
        <f t="shared" si="17"/>
        <v>#VALUE!</v>
      </c>
      <c r="AB79" s="145" t="e">
        <f t="shared" si="17"/>
        <v>#VALUE!</v>
      </c>
      <c r="AC79" s="145" t="e">
        <f t="shared" si="17"/>
        <v>#VALUE!</v>
      </c>
      <c r="AD79" s="145" t="e">
        <f t="shared" si="17"/>
        <v>#VALUE!</v>
      </c>
      <c r="AE79" s="145" t="e">
        <f t="shared" si="17"/>
        <v>#VALUE!</v>
      </c>
      <c r="AF79" s="145" t="e">
        <f t="shared" si="17"/>
        <v>#VALUE!</v>
      </c>
      <c r="AG79" s="145" t="e">
        <f t="shared" si="17"/>
        <v>#VALUE!</v>
      </c>
      <c r="AH79" s="145" t="e">
        <f t="shared" si="17"/>
        <v>#VALUE!</v>
      </c>
      <c r="AI79" s="145" t="e">
        <f t="shared" si="17"/>
        <v>#VALUE!</v>
      </c>
      <c r="AJ79" s="145" t="e">
        <f t="shared" si="17"/>
        <v>#VALUE!</v>
      </c>
      <c r="AK79" s="145" t="e">
        <f t="shared" ca="1" si="17"/>
        <v>#NAME?</v>
      </c>
    </row>
    <row r="80" spans="1:37" s="3" customFormat="1" x14ac:dyDescent="0.35">
      <c r="A80" s="64" t="s">
        <v>122</v>
      </c>
      <c r="B80" s="145" t="str">
        <f>IF(COUNTIF(B79:I79, "Non")=0, "Oui","Non")</f>
        <v>Non</v>
      </c>
      <c r="C80" s="145"/>
      <c r="D80" s="145"/>
      <c r="E80" s="145"/>
      <c r="F80" s="145"/>
      <c r="G80" s="145"/>
      <c r="H80" s="145"/>
      <c r="I80" s="145"/>
      <c r="J80" s="145" t="str">
        <f>IF(COUNTIF(J79:M79, "Non")&gt;0, "Oui","Non")</f>
        <v>Oui</v>
      </c>
      <c r="K80" s="145"/>
      <c r="L80" s="145"/>
      <c r="M80" s="145"/>
      <c r="N80" s="145"/>
      <c r="O80" s="145"/>
      <c r="P80" s="145"/>
      <c r="Q80" s="145"/>
      <c r="R80" s="145" t="str">
        <f>IF(COUNTIF(R79:V79, "Non")&gt;0, "Oui","Non")</f>
        <v>Oui</v>
      </c>
      <c r="S80" s="145"/>
      <c r="T80" s="145"/>
      <c r="U80" s="145"/>
      <c r="V80" s="145"/>
      <c r="W80" s="145" t="str">
        <f>IF(COUNTIF(W79:AA79, "Non")&gt;0, "Oui","Non")</f>
        <v>Non</v>
      </c>
      <c r="X80" s="145"/>
      <c r="Y80" s="145"/>
      <c r="Z80" s="145"/>
      <c r="AA80" s="145"/>
      <c r="AB80" s="145" t="str">
        <f>IF(COUNTIF(AB79:AF79, "Non")&gt;0, "Oui","Non")</f>
        <v>Non</v>
      </c>
      <c r="AC80" s="145"/>
      <c r="AD80" s="145"/>
      <c r="AE80" s="145"/>
      <c r="AF80" s="145"/>
      <c r="AG80" s="145" t="str">
        <f ca="1">IF(COUNTIF(AG79:AK79, "Non")&gt;0, "Oui","Non")</f>
        <v>Non</v>
      </c>
      <c r="AH80" s="145"/>
      <c r="AI80" s="145"/>
      <c r="AJ80" s="145"/>
      <c r="AK80" s="145"/>
    </row>
    <row r="81" spans="1:37" s="3" customFormat="1" x14ac:dyDescent="0.35">
      <c r="A81" s="64" t="s">
        <v>82</v>
      </c>
      <c r="B81" s="145"/>
      <c r="C81" s="145" t="str">
        <f t="shared" ref="C81:I81" si="18">IF($B80="Non","Kruskal-Wallis","ANOVA")</f>
        <v>Kruskal-Wallis</v>
      </c>
      <c r="D81" s="145" t="str">
        <f t="shared" si="18"/>
        <v>Kruskal-Wallis</v>
      </c>
      <c r="E81" s="145" t="str">
        <f t="shared" si="18"/>
        <v>Kruskal-Wallis</v>
      </c>
      <c r="F81" s="145" t="str">
        <f t="shared" si="18"/>
        <v>Kruskal-Wallis</v>
      </c>
      <c r="G81" s="145" t="str">
        <f t="shared" si="18"/>
        <v>Kruskal-Wallis</v>
      </c>
      <c r="H81" s="145" t="str">
        <f t="shared" si="18"/>
        <v>Kruskal-Wallis</v>
      </c>
      <c r="I81" s="145" t="str">
        <f t="shared" si="18"/>
        <v>Kruskal-Wallis</v>
      </c>
      <c r="J81" s="145" t="str">
        <f t="shared" ref="J81:M81" si="19">IF($B79="Non",IF(J79="Non","Mann Withney",IF(J79="Oui","Mann Withney","")),IF($B79="Oui",IF(J79="Oui","T-Test Welch",IF(J79="Non","Mann Withney",""))))</f>
        <v>Mann Withney</v>
      </c>
      <c r="K81" s="145" t="str">
        <f t="shared" si="19"/>
        <v>Mann Withney</v>
      </c>
      <c r="L81" s="145" t="str">
        <f t="shared" si="19"/>
        <v>Mann Withney</v>
      </c>
      <c r="M81" s="145" t="str">
        <f t="shared" si="19"/>
        <v>Mann Withney</v>
      </c>
      <c r="N81" s="145"/>
      <c r="O81" s="145" t="str">
        <f>IF($B79="Non",IF(O79="Non","Mann Withney",IF(O79="Oui","Mann Withney","")),IF($B79="Oui",IF(O79="Oui","T-Test Welch",IF(O79="Non","Mann Withney",""))))</f>
        <v>Mann Withney</v>
      </c>
      <c r="P81" s="145" t="str">
        <f t="shared" ref="P81:AK81" si="20">IF($O79="Non",IF(P79="Non","Mann Withney",IF(P$79="Oui","Mann Withney","")),IF($O79="Oui",IF(P79="Oui","T-Test Welch",IF(P79="Non","Mann Withney",""))))</f>
        <v>T-Test Welch</v>
      </c>
      <c r="Q81" s="145" t="str">
        <f t="shared" si="20"/>
        <v>Mann Withney</v>
      </c>
      <c r="R81" s="145" t="str">
        <f t="shared" si="20"/>
        <v>Mann Withney</v>
      </c>
      <c r="S81" s="145" t="str">
        <f t="shared" si="20"/>
        <v>T-Test Welch</v>
      </c>
      <c r="T81" s="145" t="str">
        <f t="shared" si="20"/>
        <v>Mann Withney</v>
      </c>
      <c r="U81" s="145" t="str">
        <f t="shared" si="20"/>
        <v>T-Test Welch</v>
      </c>
      <c r="V81" s="145" t="str">
        <f t="shared" si="20"/>
        <v>Mann Withney</v>
      </c>
      <c r="W81" s="145" t="e">
        <f t="shared" si="20"/>
        <v>#VALUE!</v>
      </c>
      <c r="X81" s="145" t="e">
        <f t="shared" si="20"/>
        <v>#VALUE!</v>
      </c>
      <c r="Y81" s="145" t="e">
        <f t="shared" si="20"/>
        <v>#VALUE!</v>
      </c>
      <c r="Z81" s="145" t="e">
        <f t="shared" si="20"/>
        <v>#VALUE!</v>
      </c>
      <c r="AA81" s="145" t="e">
        <f t="shared" si="20"/>
        <v>#VALUE!</v>
      </c>
      <c r="AB81" s="145" t="e">
        <f t="shared" si="20"/>
        <v>#VALUE!</v>
      </c>
      <c r="AC81" s="145" t="e">
        <f t="shared" si="20"/>
        <v>#VALUE!</v>
      </c>
      <c r="AD81" s="145" t="e">
        <f t="shared" si="20"/>
        <v>#VALUE!</v>
      </c>
      <c r="AE81" s="145" t="e">
        <f t="shared" si="20"/>
        <v>#VALUE!</v>
      </c>
      <c r="AF81" s="145" t="e">
        <f t="shared" si="20"/>
        <v>#VALUE!</v>
      </c>
      <c r="AG81" s="145" t="e">
        <f t="shared" si="20"/>
        <v>#VALUE!</v>
      </c>
      <c r="AH81" s="145" t="e">
        <f t="shared" si="20"/>
        <v>#VALUE!</v>
      </c>
      <c r="AI81" s="145" t="e">
        <f t="shared" si="20"/>
        <v>#VALUE!</v>
      </c>
      <c r="AJ81" s="145" t="e">
        <f t="shared" si="20"/>
        <v>#VALUE!</v>
      </c>
      <c r="AK81" s="145" t="e">
        <f t="shared" ca="1" si="20"/>
        <v>#NAME?</v>
      </c>
    </row>
    <row r="82" spans="1:37" s="3" customFormat="1" x14ac:dyDescent="0.35">
      <c r="A82" s="64" t="s">
        <v>83</v>
      </c>
      <c r="B82" s="145"/>
      <c r="C82" s="202">
        <v>0.99990000000000001</v>
      </c>
      <c r="D82" s="202">
        <v>0.99990000000000001</v>
      </c>
      <c r="E82" s="202">
        <v>0.16470000000000001</v>
      </c>
      <c r="F82" s="202">
        <v>2.8E-3</v>
      </c>
      <c r="G82" s="202">
        <v>1E-4</v>
      </c>
      <c r="H82" s="202">
        <v>1E-4</v>
      </c>
      <c r="I82" s="202">
        <v>0.99990000000000001</v>
      </c>
      <c r="J82" s="202">
        <v>0.25340000000000001</v>
      </c>
      <c r="K82" s="202">
        <v>1E-4</v>
      </c>
      <c r="L82" s="202">
        <v>1E-4</v>
      </c>
      <c r="M82" s="202">
        <v>1E-4</v>
      </c>
      <c r="N82" s="145"/>
      <c r="O82" s="202">
        <v>1E-4</v>
      </c>
      <c r="P82" s="202">
        <v>1E-4</v>
      </c>
      <c r="Q82" s="202">
        <v>1E-4</v>
      </c>
      <c r="R82" s="202">
        <v>0.99990000000000001</v>
      </c>
      <c r="S82" s="202">
        <v>0.32179999999999997</v>
      </c>
      <c r="T82" s="202">
        <v>0.99990000000000001</v>
      </c>
      <c r="U82" s="202">
        <v>0.25059999999999999</v>
      </c>
      <c r="V82" s="202">
        <v>1.18E-2</v>
      </c>
      <c r="W82" s="145" t="e">
        <f>IF(W81="Mann Withney",[1]!MTEST($O6:$O53,W6:W53,2), IF(W81="T-Test Welch",_xlfn.T.TEST($O6:$O53,W6:W53,2,3),""))</f>
        <v>#VALUE!</v>
      </c>
      <c r="X82" s="145" t="e">
        <f>IF(X81="Mann Withney",[1]!MTEST($O6:$O53,X6:X53,2), IF(X81="T-Test Welch",_xlfn.T.TEST($O6:$O53,X6:X53,2,3),""))</f>
        <v>#VALUE!</v>
      </c>
      <c r="Y82" s="145" t="e">
        <f>IF(Y81="Mann Withney",[1]!MTEST($O6:$O53,Y6:Y53,2), IF(Y81="T-Test Welch",_xlfn.T.TEST($O6:$O53,Y6:Y53,2,3),""))</f>
        <v>#VALUE!</v>
      </c>
      <c r="Z82" s="145" t="e">
        <f>IF(Z81="Mann Withney",[1]!MTEST($O6:$O53,Z6:Z53,2), IF(Z81="T-Test Welch",_xlfn.T.TEST($O6:$O53,Z6:Z53,2,3),""))</f>
        <v>#VALUE!</v>
      </c>
      <c r="AA82" s="145" t="e">
        <f>IF(AA81="Mann Withney",[1]!MTEST($O6:$O53,AA6:AA53,2), IF(AA81="T-Test Welch",_xlfn.T.TEST($O6:$O53,AA6:AA53,2,3),""))</f>
        <v>#VALUE!</v>
      </c>
      <c r="AB82" s="145" t="e">
        <f>IF(AB81="Mann Withney",[1]!MTEST($O6:$O53,AB6:AB53,2), IF(AB81="T-Test Welch",_xlfn.T.TEST($O6:$O53,AB6:AB53,2,3),""))</f>
        <v>#VALUE!</v>
      </c>
      <c r="AC82" s="145" t="e">
        <f>IF(AC81="Mann Withney",[1]!MTEST($O6:$O53,AC6:AC53,2), IF(AC81="T-Test Welch",_xlfn.T.TEST($O6:$O53,AC6:AC53,2,3),""))</f>
        <v>#VALUE!</v>
      </c>
      <c r="AD82" s="145" t="e">
        <f>IF(AD81="Mann Withney",[1]!MTEST($O6:$O53,AD6:AD53,2), IF(AD81="T-Test Welch",_xlfn.T.TEST($O6:$O53,AD6:AD53,2,3),""))</f>
        <v>#VALUE!</v>
      </c>
      <c r="AE82" s="145" t="e">
        <f>IF(AE81="Mann Withney",[1]!MTEST($O6:$O53,AE6:AE53,2), IF(AE81="T-Test Welch",_xlfn.T.TEST($O6:$O53,AE6:AE53,2,3),""))</f>
        <v>#VALUE!</v>
      </c>
      <c r="AF82" s="145" t="e">
        <f>IF(AF81="Mann Withney",[1]!MTEST($O6:$O53,AF6:AF53,2), IF(AF81="T-Test Welch",_xlfn.T.TEST($O6:$O53,AF6:AF53,2,3),""))</f>
        <v>#VALUE!</v>
      </c>
      <c r="AG82" s="145" t="e">
        <f>IF(AG81="Mann Withney",[1]!MTEST($O6:$O53,AG6:AG53,2), IF(AG81="T-Test Welch",_xlfn.T.TEST($O6:$O53,AG6:AG53,2,3),""))</f>
        <v>#VALUE!</v>
      </c>
      <c r="AH82" s="145" t="e">
        <f>IF(AH81="Mann Withney",[1]!MTEST($O6:$O53,AH6:AH53,2), IF(AH81="T-Test Welch",_xlfn.T.TEST($O6:$O53,AH6:AH53,2,3),""))</f>
        <v>#VALUE!</v>
      </c>
      <c r="AI82" s="145" t="e">
        <f>IF(AI81="Mann Withney",[1]!MTEST($O6:$O53,AI6:AI53,2), IF(AI81="T-Test Welch",_xlfn.T.TEST($O6:$O53,AI6:AI53,2,3),""))</f>
        <v>#VALUE!</v>
      </c>
      <c r="AJ82" s="145" t="e">
        <f>IF(AJ81="Mann Withney",[1]!MTEST($O6:$O53,AJ6:AJ53,2), IF(AJ81="T-Test Welch",_xlfn.T.TEST($O6:$O53,AJ6:AJ53,2,3),""))</f>
        <v>#VALUE!</v>
      </c>
      <c r="AK82" s="145" t="e">
        <f ca="1">IF(AK81="Mann Withney",[1]!MTEST($O6:$O53,AK6:AK53,2), IF(AK81="T-Test Welch",_xlfn.T.TEST($O6:$O53,AK6:AK53,2,3),""))</f>
        <v>#NAME?</v>
      </c>
    </row>
    <row r="83" spans="1:37" s="3" customFormat="1" ht="15" thickBot="1" x14ac:dyDescent="0.4">
      <c r="A83" s="65" t="s">
        <v>84</v>
      </c>
      <c r="B83" s="146"/>
      <c r="C83" s="146" t="str">
        <f t="shared" ref="C83:O83" si="21">IF(C82&gt;0.05,"NS",IF(C82&gt;0.01,"*",IF(C82&gt;0.001,"**","***")))</f>
        <v>NS</v>
      </c>
      <c r="D83" s="146" t="str">
        <f t="shared" si="21"/>
        <v>NS</v>
      </c>
      <c r="E83" s="146" t="str">
        <f t="shared" si="21"/>
        <v>NS</v>
      </c>
      <c r="F83" s="146" t="str">
        <f t="shared" si="21"/>
        <v>**</v>
      </c>
      <c r="G83" s="146" t="str">
        <f t="shared" si="21"/>
        <v>***</v>
      </c>
      <c r="H83" s="146" t="str">
        <f t="shared" si="21"/>
        <v>***</v>
      </c>
      <c r="I83" s="146" t="str">
        <f t="shared" si="21"/>
        <v>NS</v>
      </c>
      <c r="J83" s="146" t="str">
        <f t="shared" si="21"/>
        <v>NS</v>
      </c>
      <c r="K83" s="146" t="str">
        <f t="shared" si="21"/>
        <v>***</v>
      </c>
      <c r="L83" s="146" t="str">
        <f t="shared" si="21"/>
        <v>***</v>
      </c>
      <c r="M83" s="146" t="str">
        <f t="shared" si="21"/>
        <v>***</v>
      </c>
      <c r="N83" s="146"/>
      <c r="O83" s="146" t="str">
        <f t="shared" si="21"/>
        <v>***</v>
      </c>
      <c r="P83" s="146" t="str">
        <f t="shared" ref="P83" si="22">IF(P82&gt;0.05,"NS",IF(P82&gt;0.01,"*",IF(P82&gt;0.001,"**","***")))</f>
        <v>***</v>
      </c>
      <c r="Q83" s="146" t="str">
        <f t="shared" ref="Q83:AK83" si="23">IF(Q82&gt;0.05,"NS",IF(Q82&gt;0.01,"*",IF(Q82&gt;0.001,"**","***")))</f>
        <v>***</v>
      </c>
      <c r="R83" s="146" t="str">
        <f t="shared" si="23"/>
        <v>NS</v>
      </c>
      <c r="S83" s="146" t="str">
        <f t="shared" si="23"/>
        <v>NS</v>
      </c>
      <c r="T83" s="146" t="str">
        <f t="shared" si="23"/>
        <v>NS</v>
      </c>
      <c r="U83" s="146" t="str">
        <f t="shared" si="23"/>
        <v>NS</v>
      </c>
      <c r="V83" s="146" t="str">
        <f t="shared" si="23"/>
        <v>*</v>
      </c>
      <c r="W83" s="146" t="e">
        <f t="shared" si="23"/>
        <v>#VALUE!</v>
      </c>
      <c r="X83" s="146" t="e">
        <f t="shared" si="23"/>
        <v>#VALUE!</v>
      </c>
      <c r="Y83" s="146" t="e">
        <f t="shared" si="23"/>
        <v>#VALUE!</v>
      </c>
      <c r="Z83" s="146" t="e">
        <f t="shared" si="23"/>
        <v>#VALUE!</v>
      </c>
      <c r="AA83" s="146" t="e">
        <f t="shared" si="23"/>
        <v>#VALUE!</v>
      </c>
      <c r="AB83" s="146" t="e">
        <f t="shared" si="23"/>
        <v>#VALUE!</v>
      </c>
      <c r="AC83" s="146" t="e">
        <f t="shared" si="23"/>
        <v>#VALUE!</v>
      </c>
      <c r="AD83" s="146" t="e">
        <f t="shared" si="23"/>
        <v>#VALUE!</v>
      </c>
      <c r="AE83" s="146" t="e">
        <f t="shared" si="23"/>
        <v>#VALUE!</v>
      </c>
      <c r="AF83" s="146" t="e">
        <f t="shared" si="23"/>
        <v>#VALUE!</v>
      </c>
      <c r="AG83" s="146" t="e">
        <f t="shared" si="23"/>
        <v>#VALUE!</v>
      </c>
      <c r="AH83" s="146" t="e">
        <f t="shared" si="23"/>
        <v>#VALUE!</v>
      </c>
      <c r="AI83" s="146" t="e">
        <f t="shared" si="23"/>
        <v>#VALUE!</v>
      </c>
      <c r="AJ83" s="146" t="e">
        <f t="shared" si="23"/>
        <v>#VALUE!</v>
      </c>
      <c r="AK83" s="146" t="e">
        <f t="shared" ca="1" si="23"/>
        <v>#NAME?</v>
      </c>
    </row>
    <row r="84" spans="1:37" s="1" customFormat="1" x14ac:dyDescent="0.35"/>
    <row r="85" spans="1:37" s="1" customFormat="1" x14ac:dyDescent="0.35">
      <c r="A85" s="2" t="s">
        <v>39</v>
      </c>
    </row>
    <row r="86" spans="1:37" x14ac:dyDescent="0.35">
      <c r="A86" s="1" t="s">
        <v>23</v>
      </c>
      <c r="B86" s="1">
        <f>B56+(3*B57)</f>
        <v>0.58190590143434862</v>
      </c>
    </row>
    <row r="87" spans="1:37" x14ac:dyDescent="0.35">
      <c r="A87" s="1" t="s">
        <v>24</v>
      </c>
      <c r="B87" s="1">
        <f>B56+(10*B57)</f>
        <v>1.584341703462488</v>
      </c>
    </row>
    <row r="88" spans="1:37" ht="15" thickBot="1" x14ac:dyDescent="0.4"/>
    <row r="89" spans="1:37" s="49" customFormat="1" ht="26.5" thickBot="1" x14ac:dyDescent="0.4">
      <c r="A89" s="50" t="s">
        <v>55</v>
      </c>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78"/>
      <c r="AF89" s="78"/>
      <c r="AG89" s="78"/>
      <c r="AH89" s="78"/>
      <c r="AI89" s="78"/>
      <c r="AJ89" s="78"/>
      <c r="AK89" s="52"/>
    </row>
    <row r="90" spans="1:37" ht="15" thickBot="1" x14ac:dyDescent="0.4"/>
    <row r="91" spans="1:37" s="49" customFormat="1" ht="26.5" thickBot="1" x14ac:dyDescent="0.4">
      <c r="A91" s="50" t="s">
        <v>56</v>
      </c>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78"/>
      <c r="AF91" s="78"/>
      <c r="AG91" s="78"/>
      <c r="AH91" s="78"/>
      <c r="AI91" s="78"/>
      <c r="AJ91" s="78"/>
      <c r="AK91" s="52"/>
    </row>
    <row r="92" spans="1:37" ht="15" thickBot="1" x14ac:dyDescent="0.4"/>
    <row r="93" spans="1:37" s="49" customFormat="1" ht="26.5" thickBot="1" x14ac:dyDescent="0.4">
      <c r="A93" s="239" t="s">
        <v>57</v>
      </c>
      <c r="B93" s="240"/>
      <c r="C93" s="240"/>
      <c r="D93" s="240"/>
      <c r="E93" s="240"/>
      <c r="F93" s="240"/>
      <c r="G93" s="240"/>
      <c r="H93" s="240"/>
      <c r="I93" s="240"/>
      <c r="J93" s="240"/>
      <c r="K93" s="240"/>
      <c r="L93" s="240"/>
      <c r="M93" s="240"/>
      <c r="N93" s="240"/>
      <c r="O93" s="240"/>
      <c r="P93" s="240"/>
      <c r="Q93" s="240"/>
      <c r="R93" s="240"/>
      <c r="S93" s="240"/>
      <c r="T93" s="240"/>
      <c r="U93" s="240"/>
      <c r="V93" s="240"/>
      <c r="W93" s="240"/>
      <c r="X93" s="240"/>
      <c r="Y93" s="240"/>
      <c r="Z93" s="240"/>
      <c r="AA93" s="240"/>
      <c r="AB93" s="240"/>
      <c r="AC93" s="240"/>
      <c r="AD93" s="240"/>
      <c r="AE93" s="240"/>
      <c r="AF93" s="240"/>
      <c r="AG93" s="240"/>
      <c r="AH93" s="240"/>
      <c r="AI93" s="240"/>
      <c r="AJ93" s="240"/>
      <c r="AK93" s="241"/>
    </row>
    <row r="94" spans="1:37" x14ac:dyDescent="0.35">
      <c r="B94" s="1">
        <f t="shared" ref="B94:AD94" si="24">B75/$B$75</f>
        <v>1</v>
      </c>
      <c r="C94" s="1">
        <f t="shared" si="24"/>
        <v>1.2036587048546723</v>
      </c>
      <c r="D94" s="1">
        <f t="shared" si="24"/>
        <v>1.1060769596172497</v>
      </c>
      <c r="E94" s="1">
        <f t="shared" si="24"/>
        <v>4.8632897269265341</v>
      </c>
      <c r="F94" s="1">
        <f t="shared" si="24"/>
        <v>10.33814918676663</v>
      </c>
      <c r="G94" s="1">
        <f t="shared" si="24"/>
        <v>16.422401900732272</v>
      </c>
      <c r="H94" s="1">
        <f>H75/$B$75</f>
        <v>24.571244881879675</v>
      </c>
      <c r="I94" s="1">
        <f t="shared" si="24"/>
        <v>1.3936841028439906</v>
      </c>
      <c r="J94" s="1">
        <f t="shared" si="24"/>
        <v>2.6653535057821776</v>
      </c>
      <c r="K94" s="1">
        <f t="shared" si="24"/>
        <v>6.9204951681765019</v>
      </c>
      <c r="L94" s="1">
        <f t="shared" si="24"/>
        <v>13.134872320666549</v>
      </c>
      <c r="M94" s="1">
        <f t="shared" si="24"/>
        <v>15.177267995057681</v>
      </c>
      <c r="N94" s="1">
        <f t="shared" si="24"/>
        <v>0</v>
      </c>
      <c r="O94" s="1">
        <f t="shared" si="24"/>
        <v>6.5663952844493956</v>
      </c>
      <c r="P94" s="1">
        <f t="shared" si="24"/>
        <v>20.542736757123446</v>
      </c>
      <c r="Q94" s="1">
        <f t="shared" si="24"/>
        <v>0.76544179745055163</v>
      </c>
      <c r="R94" s="1">
        <f t="shared" si="24"/>
        <v>7.8967745628144845</v>
      </c>
      <c r="S94" s="1">
        <f t="shared" si="24"/>
        <v>10.15180486271823</v>
      </c>
      <c r="T94" s="1">
        <f t="shared" si="24"/>
        <v>8.1589573188183593</v>
      </c>
      <c r="U94" s="1">
        <f t="shared" si="24"/>
        <v>9.5534365145103539</v>
      </c>
      <c r="V94" s="1">
        <f t="shared" si="24"/>
        <v>12.230445929565041</v>
      </c>
      <c r="W94" s="1" t="e">
        <f t="shared" si="24"/>
        <v>#DIV/0!</v>
      </c>
      <c r="X94" s="1" t="e">
        <f t="shared" si="24"/>
        <v>#DIV/0!</v>
      </c>
      <c r="Y94" s="1" t="e">
        <f t="shared" si="24"/>
        <v>#DIV/0!</v>
      </c>
      <c r="Z94" s="1" t="e">
        <f t="shared" si="24"/>
        <v>#DIV/0!</v>
      </c>
      <c r="AA94" s="1" t="e">
        <f t="shared" si="24"/>
        <v>#DIV/0!</v>
      </c>
      <c r="AB94" s="1" t="e">
        <f t="shared" si="24"/>
        <v>#DIV/0!</v>
      </c>
      <c r="AC94" s="1" t="e">
        <f t="shared" si="24"/>
        <v>#DIV/0!</v>
      </c>
      <c r="AD94" s="1" t="e">
        <f t="shared" si="24"/>
        <v>#DIV/0!</v>
      </c>
    </row>
  </sheetData>
  <mergeCells count="10">
    <mergeCell ref="A7:A21"/>
    <mergeCell ref="A23:A37"/>
    <mergeCell ref="A93:AK93"/>
    <mergeCell ref="O3:AK3"/>
    <mergeCell ref="B3:M3"/>
    <mergeCell ref="A60:AK60"/>
    <mergeCell ref="A72:AK72"/>
    <mergeCell ref="A70:AK70"/>
    <mergeCell ref="A65:AK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796875" defaultRowHeight="14.5" x14ac:dyDescent="0.35"/>
  <cols>
    <col min="1" max="1" width="33.7265625" style="41" bestFit="1" customWidth="1"/>
    <col min="2" max="3" width="14" style="41" bestFit="1" customWidth="1"/>
    <col min="4" max="4" width="14" style="41" customWidth="1"/>
    <col min="5" max="5" width="16" style="15" bestFit="1" customWidth="1"/>
    <col min="6" max="8" width="16" style="15" customWidth="1"/>
    <col min="9" max="13" width="19.1796875" style="15" customWidth="1"/>
    <col min="14" max="14" width="32.1796875" style="15" bestFit="1" customWidth="1"/>
    <col min="15" max="15" width="19.54296875" style="41" customWidth="1"/>
    <col min="16" max="16384" width="9.1796875" style="41"/>
  </cols>
  <sheetData>
    <row r="1" spans="1:15" s="49" customFormat="1" ht="26.5" thickBot="1" x14ac:dyDescent="0.4">
      <c r="A1" s="239" t="s">
        <v>104</v>
      </c>
      <c r="B1" s="240"/>
      <c r="C1" s="240"/>
      <c r="D1" s="240"/>
      <c r="E1" s="240"/>
      <c r="F1" s="240"/>
      <c r="G1" s="240"/>
      <c r="H1" s="240"/>
      <c r="I1" s="240"/>
      <c r="J1" s="240"/>
      <c r="K1" s="240"/>
      <c r="L1" s="240"/>
      <c r="M1" s="240"/>
      <c r="N1" s="240"/>
      <c r="O1" s="241"/>
    </row>
    <row r="2" spans="1:15" s="49" customFormat="1" ht="26.5" thickBot="1" x14ac:dyDescent="0.4">
      <c r="A2" s="239" t="s">
        <v>105</v>
      </c>
      <c r="B2" s="240"/>
      <c r="C2" s="240"/>
      <c r="D2" s="240"/>
      <c r="E2" s="240"/>
      <c r="F2" s="240"/>
      <c r="G2" s="240"/>
      <c r="H2" s="240"/>
      <c r="I2" s="240"/>
      <c r="J2" s="240"/>
      <c r="K2" s="240"/>
      <c r="L2" s="240"/>
      <c r="M2" s="240"/>
      <c r="N2" s="240"/>
      <c r="O2" s="241"/>
    </row>
    <row r="3" spans="1:15" s="80" customFormat="1" ht="15.5" x14ac:dyDescent="0.35">
      <c r="H3" s="81"/>
      <c r="I3" s="81"/>
      <c r="J3" s="81"/>
      <c r="K3" s="81"/>
      <c r="L3" s="81"/>
      <c r="M3" s="81"/>
      <c r="N3" s="81"/>
    </row>
    <row r="4" spans="1:15" s="80" customFormat="1" ht="15.5" x14ac:dyDescent="0.35">
      <c r="O4"/>
    </row>
    <row r="5" spans="1:15" s="80" customFormat="1" ht="45.75" customHeight="1" thickBot="1" x14ac:dyDescent="0.4">
      <c r="A5" s="82"/>
      <c r="B5" s="91" t="s">
        <v>25</v>
      </c>
      <c r="C5" s="91" t="s">
        <v>26</v>
      </c>
      <c r="D5" s="91" t="s">
        <v>27</v>
      </c>
      <c r="E5" s="92" t="s">
        <v>64</v>
      </c>
      <c r="F5" s="130" t="s">
        <v>80</v>
      </c>
      <c r="G5" s="98" t="s">
        <v>42</v>
      </c>
      <c r="H5" s="98" t="s">
        <v>65</v>
      </c>
      <c r="I5" s="98" t="s">
        <v>66</v>
      </c>
      <c r="J5" s="99" t="s">
        <v>77</v>
      </c>
      <c r="K5" s="99" t="s">
        <v>67</v>
      </c>
      <c r="L5" s="100" t="s">
        <v>76</v>
      </c>
      <c r="M5" s="100" t="s">
        <v>68</v>
      </c>
      <c r="N5" s="100" t="s">
        <v>69</v>
      </c>
      <c r="O5"/>
    </row>
    <row r="6" spans="1:15" s="80" customFormat="1" ht="15.5" x14ac:dyDescent="0.35">
      <c r="A6" s="83" t="s">
        <v>28</v>
      </c>
      <c r="B6" s="103">
        <v>64</v>
      </c>
      <c r="C6" s="83"/>
      <c r="D6" s="83"/>
      <c r="E6" s="93"/>
      <c r="F6" s="94"/>
      <c r="G6" s="132">
        <f>IF(F6="NS","NC",ROUND(B6,2-(1+INT(LOG10(ABS(B6))))))</f>
        <v>64</v>
      </c>
      <c r="H6" s="124"/>
      <c r="I6" s="124"/>
      <c r="J6" s="125"/>
      <c r="K6" s="126"/>
      <c r="L6" s="128"/>
      <c r="M6" s="125"/>
      <c r="N6" s="95"/>
      <c r="O6"/>
    </row>
    <row r="7" spans="1:15" s="80" customFormat="1" ht="15.5" x14ac:dyDescent="0.35">
      <c r="A7" s="83" t="str">
        <f>'Page de garde'!A15</f>
        <v>Testo-3.7µg/L</v>
      </c>
      <c r="B7" s="102"/>
      <c r="C7" s="84"/>
      <c r="D7" s="84"/>
      <c r="E7" s="85"/>
      <c r="F7" s="101" t="str">
        <f>HLOOKUP(A7,'pooled normalised values'!$B$74:$AK$83,10,FALSE)</f>
        <v>NS</v>
      </c>
      <c r="G7" s="132" t="str">
        <f>IF(F7="NS","NC",ROUND(B7,2-(1+INT(LOG10(ABS(B7))))))</f>
        <v>NC</v>
      </c>
      <c r="H7" s="123" t="str">
        <f>IF(VLOOKUP(A7,liste_groupe[],4,FALSE)="%",VLOOKUP(A7,liste_groupe[],3,FALSE)/100,IF(ISBLANK(VLOOKUP(A7,liste_groupe[],4,FALSE)),"Non","Non"))</f>
        <v>Non</v>
      </c>
      <c r="I7" s="132" t="str">
        <f>IF(F7="NS","NC",IF(H7="Non",G7,G7*(1/H7)))</f>
        <v>NC</v>
      </c>
      <c r="J7" s="133">
        <v>64</v>
      </c>
      <c r="K7" s="134">
        <f>IF(F7="NS",0,ROUND(I7/J7*100,0))</f>
        <v>0</v>
      </c>
      <c r="L7" s="129">
        <v>1</v>
      </c>
      <c r="M7" s="135">
        <f>IF(K7&gt;100,125,K7)</f>
        <v>0</v>
      </c>
      <c r="N7" s="96" t="str">
        <f>IF(H7="Non",CONCATENATE(VLOOKUP(A7,liste_groupe[],5,FALSE),"-",VLOOKUP(A7,liste_groupe[],3,FALSE),VLOOKUP(A7,liste_groupe[],4,FALSE)," : ",ROUND(K7,0),"%"),CONCATENATE(VLOOKUP(A7,liste_groupe[],5,FALSE)," : ",ROUND(K7,0),"%"))</f>
        <v>Testo-3,7µg/L : 0%</v>
      </c>
      <c r="O7"/>
    </row>
    <row r="8" spans="1:15" s="80" customFormat="1" ht="15.5" x14ac:dyDescent="0.35">
      <c r="A8" s="83" t="str">
        <f>'Page de garde'!A16</f>
        <v>Testo-11µg/L</v>
      </c>
      <c r="B8" s="102"/>
      <c r="C8" s="86"/>
      <c r="D8" s="84"/>
      <c r="E8" s="85"/>
      <c r="F8" s="101" t="str">
        <f>HLOOKUP(A8,'pooled normalised values'!$B$74:$AK$83,10,FALSE)</f>
        <v>NS</v>
      </c>
      <c r="G8" s="132" t="str">
        <f t="shared" ref="G8:G13" si="0">IF(F8="NS","NC",ROUND(B8,2-(1+INT(LOG10(ABS(B8))))))</f>
        <v>NC</v>
      </c>
      <c r="H8" s="123" t="str">
        <f>IF(VLOOKUP(A8,liste_groupe[],4,FALSE)="%",VLOOKUP(A8,liste_groupe[],3,FALSE)/100,IF(ISBLANK(VLOOKUP(A8,liste_groupe[],4,FALSE)),"Non","Non"))</f>
        <v>Non</v>
      </c>
      <c r="I8" s="132" t="str">
        <f t="shared" ref="I8:I26" si="1">IF(F8="NS","NC",IF(H8="Non",G8,G8*(1/H8)))</f>
        <v>NC</v>
      </c>
      <c r="J8" s="133">
        <v>64</v>
      </c>
      <c r="K8" s="134">
        <f t="shared" ref="K8:K26" si="2">IF(F8="NS",0,ROUND(I8/J8*100,0))</f>
        <v>0</v>
      </c>
      <c r="L8" s="129"/>
      <c r="M8" s="135">
        <f t="shared" ref="M8:M26" si="3">IF(K8&gt;100,125,K8)</f>
        <v>0</v>
      </c>
      <c r="N8" s="96" t="str">
        <f>IF(H8="Non",CONCATENATE(VLOOKUP(A8,liste_groupe[],5,FALSE),"-",VLOOKUP(A8,liste_groupe[],3,FALSE),VLOOKUP(A8,liste_groupe[],4,FALSE)," : ",ROUND(K8,0),"%"),CONCATENATE(VLOOKUP(A8,liste_groupe[],5,FALSE)," : ",ROUND(K8,0),"%"))</f>
        <v>Testo-11µg/L : 0%</v>
      </c>
      <c r="O8"/>
    </row>
    <row r="9" spans="1:15" s="80" customFormat="1" ht="15.5" x14ac:dyDescent="0.35">
      <c r="A9" s="83" t="str">
        <f>'Page de garde'!A17</f>
        <v>Testo-33µg/L</v>
      </c>
      <c r="B9" s="102"/>
      <c r="C9" s="86"/>
      <c r="D9" s="84"/>
      <c r="E9" s="85"/>
      <c r="F9" s="101" t="str">
        <f>HLOOKUP(A9,'pooled normalised values'!$B$74:$AK$83,10,FALSE)</f>
        <v>***</v>
      </c>
      <c r="G9" s="132" t="e">
        <f t="shared" si="0"/>
        <v>#NUM!</v>
      </c>
      <c r="H9" s="123" t="str">
        <f>IF(VLOOKUP(A9,liste_groupe[],4,FALSE)="%",VLOOKUP(A9,liste_groupe[],3,FALSE)/100,IF(ISBLANK(VLOOKUP(A9,liste_groupe[],4,FALSE)),"Non","Non"))</f>
        <v>Non</v>
      </c>
      <c r="I9" s="132" t="e">
        <f t="shared" si="1"/>
        <v>#NUM!</v>
      </c>
      <c r="J9" s="133">
        <v>64</v>
      </c>
      <c r="K9" s="134" t="e">
        <f t="shared" si="2"/>
        <v>#NUM!</v>
      </c>
      <c r="L9" s="129"/>
      <c r="M9" s="135" t="e">
        <f t="shared" si="3"/>
        <v>#NUM!</v>
      </c>
      <c r="N9" s="96" t="e">
        <f>IF(H9="Non",CONCATENATE(VLOOKUP(A9,liste_groupe[],5,FALSE),"-",VLOOKUP(A9,liste_groupe[],3,FALSE),VLOOKUP(A9,liste_groupe[],4,FALSE)," : ",ROUND(K9,0),"%"),CONCATENATE(VLOOKUP(A9,liste_groupe[],5,FALSE)," : ",ROUND(K9,0),"%"))</f>
        <v>#NUM!</v>
      </c>
      <c r="O9"/>
    </row>
    <row r="10" spans="1:15" s="80" customFormat="1" ht="15.5" x14ac:dyDescent="0.35">
      <c r="A10" s="83" t="str">
        <f>'Page de garde'!A18</f>
        <v>Testo-100µg/L</v>
      </c>
      <c r="B10" s="103"/>
      <c r="C10" s="83"/>
      <c r="D10" s="88"/>
      <c r="E10" s="85"/>
      <c r="F10" s="101" t="str">
        <f>HLOOKUP(A10,'pooled normalised values'!$B$74:$AK$83,10,FALSE)</f>
        <v>***</v>
      </c>
      <c r="G10" s="132" t="e">
        <f t="shared" si="0"/>
        <v>#NUM!</v>
      </c>
      <c r="H10" s="123" t="str">
        <f>IF(VLOOKUP(A10,liste_groupe[],4,FALSE)="%",VLOOKUP(A10,liste_groupe[],3,FALSE)/100,IF(ISBLANK(VLOOKUP(A10,liste_groupe[],4,FALSE)),"Non","Non"))</f>
        <v>Non</v>
      </c>
      <c r="I10" s="132" t="e">
        <f t="shared" si="1"/>
        <v>#NUM!</v>
      </c>
      <c r="J10" s="133">
        <v>64</v>
      </c>
      <c r="K10" s="134" t="e">
        <f t="shared" si="2"/>
        <v>#NUM!</v>
      </c>
      <c r="L10" s="129"/>
      <c r="M10" s="135" t="e">
        <f t="shared" si="3"/>
        <v>#NUM!</v>
      </c>
      <c r="N10" s="96" t="e">
        <f>IF(H10="Non",CONCATENATE(VLOOKUP(A10,liste_groupe[],5,FALSE),"-",VLOOKUP(A10,liste_groupe[],3,FALSE),VLOOKUP(A10,liste_groupe[],4,FALSE)," : ",ROUND(K10,0),"%"),CONCATENATE(VLOOKUP(A10,liste_groupe[],5,FALSE)," : ",ROUND(K10,0),"%"))</f>
        <v>#NUM!</v>
      </c>
      <c r="O10"/>
    </row>
    <row r="11" spans="1:15" s="80" customFormat="1" ht="15.5" x14ac:dyDescent="0.35">
      <c r="A11" s="83" t="str">
        <f>'Page de garde'!A19</f>
        <v>Testo-300µg/L</v>
      </c>
      <c r="B11" s="103"/>
      <c r="C11" s="83"/>
      <c r="D11" s="88"/>
      <c r="E11" s="85"/>
      <c r="F11" s="101" t="str">
        <f>HLOOKUP(A11,'pooled normalised values'!$B$74:$AK$83,10,FALSE)</f>
        <v>***</v>
      </c>
      <c r="G11" s="132" t="e">
        <f t="shared" si="0"/>
        <v>#NUM!</v>
      </c>
      <c r="H11" s="123" t="str">
        <f>IF(VLOOKUP(A11,liste_groupe[],4,FALSE)="%",VLOOKUP(A11,liste_groupe[],3,FALSE)/100,IF(ISBLANK(VLOOKUP(A11,liste_groupe[],4,FALSE)),"Non","Non"))</f>
        <v>Non</v>
      </c>
      <c r="I11" s="132" t="e">
        <f t="shared" si="1"/>
        <v>#NUM!</v>
      </c>
      <c r="J11" s="133">
        <v>64</v>
      </c>
      <c r="K11" s="134" t="e">
        <f t="shared" si="2"/>
        <v>#NUM!</v>
      </c>
      <c r="L11" s="129"/>
      <c r="M11" s="135" t="e">
        <f t="shared" si="3"/>
        <v>#NUM!</v>
      </c>
      <c r="N11" s="96" t="e">
        <f>IF(H11="Non",CONCATENATE(VLOOKUP(A11,liste_groupe[],5,FALSE),"-",VLOOKUP(A11,liste_groupe[],3,FALSE),VLOOKUP(A11,liste_groupe[],4,FALSE)," : ",ROUND(K11,0),"%"),CONCATENATE(VLOOKUP(A11,liste_groupe[],5,FALSE)," : ",ROUND(K11,0),"%"))</f>
        <v>#NUM!</v>
      </c>
      <c r="O11"/>
    </row>
    <row r="12" spans="1:15" s="80" customFormat="1" ht="15.5" x14ac:dyDescent="0.35">
      <c r="A12" s="83" t="str">
        <f>'Page de garde'!A20</f>
        <v xml:space="preserve"> </v>
      </c>
      <c r="B12" s="103"/>
      <c r="C12" s="83"/>
      <c r="D12" s="88"/>
      <c r="E12" s="85"/>
      <c r="F12" s="101" t="e">
        <f>HLOOKUP(A12,'pooled normalised values'!$B$74:$AK$83,10,FALSE)</f>
        <v>#N/A</v>
      </c>
      <c r="G12" s="132" t="e">
        <f t="shared" si="0"/>
        <v>#N/A</v>
      </c>
      <c r="H12" s="123" t="str">
        <f>IF(VLOOKUP(A12,liste_groupe[],4,FALSE)="%",VLOOKUP(A12,liste_groupe[],3,FALSE)/100,IF(ISBLANK(VLOOKUP(A12,liste_groupe[],4,FALSE)),"Non","Non"))</f>
        <v>Non</v>
      </c>
      <c r="I12" s="132" t="e">
        <f t="shared" si="1"/>
        <v>#N/A</v>
      </c>
      <c r="J12" s="133">
        <v>64</v>
      </c>
      <c r="K12" s="134" t="e">
        <f t="shared" si="2"/>
        <v>#N/A</v>
      </c>
      <c r="L12" s="129"/>
      <c r="M12" s="135" t="e">
        <f t="shared" si="3"/>
        <v>#N/A</v>
      </c>
      <c r="N12" s="96" t="e">
        <f>IF(H12="Non",CONCATENATE(VLOOKUP(A12,liste_groupe[],5,FALSE),"-",VLOOKUP(A12,liste_groupe[],3,FALSE),VLOOKUP(A12,liste_groupe[],4,FALSE)," : ",ROUND(K12,0),"%"),CONCATENATE(VLOOKUP(A12,liste_groupe[],5,FALSE)," : ",ROUND(K12,0),"%"))</f>
        <v>#N/A</v>
      </c>
      <c r="O12"/>
    </row>
    <row r="13" spans="1:15" s="80" customFormat="1" ht="15.5" x14ac:dyDescent="0.35">
      <c r="A13" s="83" t="str">
        <f>'Page de garde'!A21</f>
        <v xml:space="preserve"> </v>
      </c>
      <c r="B13" s="103"/>
      <c r="C13" s="83"/>
      <c r="D13" s="83"/>
      <c r="E13" s="85"/>
      <c r="F13" s="101" t="e">
        <f>HLOOKUP(A13,'pooled normalised values'!$B$74:$AK$83,10,FALSE)</f>
        <v>#N/A</v>
      </c>
      <c r="G13" s="132" t="e">
        <f t="shared" si="0"/>
        <v>#N/A</v>
      </c>
      <c r="H13" s="123" t="str">
        <f>IF(VLOOKUP(A13,liste_groupe[],4,FALSE)="%",VLOOKUP(A13,liste_groupe[],3,FALSE)/100,IF(ISBLANK(VLOOKUP(A13,liste_groupe[],4,FALSE)),"Non","Non"))</f>
        <v>Non</v>
      </c>
      <c r="I13" s="132" t="e">
        <f t="shared" si="1"/>
        <v>#N/A</v>
      </c>
      <c r="J13" s="133">
        <v>64</v>
      </c>
      <c r="K13" s="134" t="e">
        <f t="shared" si="2"/>
        <v>#N/A</v>
      </c>
      <c r="L13" s="129"/>
      <c r="M13" s="135" t="e">
        <f t="shared" si="3"/>
        <v>#N/A</v>
      </c>
      <c r="N13" s="96" t="e">
        <f>IF(H13="Non",CONCATENATE(VLOOKUP(A13,liste_groupe[],5,FALSE),"-",VLOOKUP(A13,liste_groupe[],3,FALSE),VLOOKUP(A13,liste_groupe[],4,FALSE)," : ",ROUND(K13,0),"%"),CONCATENATE(VLOOKUP(A13,liste_groupe[],5,FALSE)," : ",ROUND(K13,0),"%"))</f>
        <v>#N/A</v>
      </c>
      <c r="O13"/>
    </row>
    <row r="14" spans="1:15" s="80" customFormat="1" ht="15.5" x14ac:dyDescent="0.35">
      <c r="A14" s="83" t="str">
        <f>'Page de garde'!A22</f>
        <v xml:space="preserve"> </v>
      </c>
      <c r="B14" s="103"/>
      <c r="C14" s="83"/>
      <c r="D14" s="83"/>
      <c r="E14" s="85"/>
      <c r="F14" s="101" t="e">
        <f>HLOOKUP(A14,'pooled normalised values'!$B$74:$AK$83,10,FALSE)</f>
        <v>#N/A</v>
      </c>
      <c r="G14" s="132" t="e">
        <f t="shared" ref="G14:G25" si="4">IF(F14="NS","NC",ROUND(B14,2-(1+INT(LOG10(ABS(B14))))))</f>
        <v>#N/A</v>
      </c>
      <c r="H14" s="123" t="str">
        <f>IF(VLOOKUP(A14,liste_groupe[],4,FALSE)="%",VLOOKUP(A14,liste_groupe[],3,FALSE)/100,IF(ISBLANK(VLOOKUP(A14,liste_groupe[],4,FALSE)),"Non","Non"))</f>
        <v>Non</v>
      </c>
      <c r="I14" s="132" t="e">
        <f t="shared" si="1"/>
        <v>#N/A</v>
      </c>
      <c r="J14" s="133">
        <v>64</v>
      </c>
      <c r="K14" s="134" t="e">
        <f t="shared" si="2"/>
        <v>#N/A</v>
      </c>
      <c r="L14" s="129"/>
      <c r="M14" s="135" t="e">
        <f t="shared" si="3"/>
        <v>#N/A</v>
      </c>
      <c r="N14" s="96" t="e">
        <f>IF(H14="Non",CONCATENATE(VLOOKUP(A14,liste_groupe[],5,FALSE),"-",VLOOKUP(A14,liste_groupe[],3,FALSE),VLOOKUP(A14,liste_groupe[],4,FALSE)," : ",ROUND(K14,0),"%"),CONCATENATE(VLOOKUP(A14,liste_groupe[],5,FALSE)," : ",ROUND(K14,0),"%"))</f>
        <v>#N/A</v>
      </c>
      <c r="O14" s="1"/>
    </row>
    <row r="15" spans="1:15" s="80" customFormat="1" ht="15.5" x14ac:dyDescent="0.35">
      <c r="A15" s="83" t="str">
        <f>'Page de garde'!A23</f>
        <v xml:space="preserve"> </v>
      </c>
      <c r="B15" s="103"/>
      <c r="C15" s="83"/>
      <c r="D15" s="83"/>
      <c r="E15" s="85"/>
      <c r="F15" s="101" t="e">
        <f>HLOOKUP(A15,'pooled normalised values'!$B$74:$AK$83,10,FALSE)</f>
        <v>#N/A</v>
      </c>
      <c r="G15" s="132" t="e">
        <f t="shared" si="4"/>
        <v>#N/A</v>
      </c>
      <c r="H15" s="123" t="str">
        <f>IF(VLOOKUP(A15,liste_groupe[],4,FALSE)="%",VLOOKUP(A15,liste_groupe[],3,FALSE)/100,IF(ISBLANK(VLOOKUP(A15,liste_groupe[],4,FALSE)),"Non","Non"))</f>
        <v>Non</v>
      </c>
      <c r="I15" s="132" t="e">
        <f t="shared" si="1"/>
        <v>#N/A</v>
      </c>
      <c r="J15" s="133">
        <v>64</v>
      </c>
      <c r="K15" s="134" t="e">
        <f t="shared" si="2"/>
        <v>#N/A</v>
      </c>
      <c r="L15" s="129"/>
      <c r="M15" s="135" t="e">
        <f t="shared" si="3"/>
        <v>#N/A</v>
      </c>
      <c r="N15" s="96" t="e">
        <f>IF(H15="Non",CONCATENATE(VLOOKUP(A15,liste_groupe[],5,FALSE),"-",VLOOKUP(A15,liste_groupe[],3,FALSE),VLOOKUP(A15,liste_groupe[],4,FALSE)," : ",ROUND(K15,0),"%"),CONCATENATE(VLOOKUP(A15,liste_groupe[],5,FALSE)," : ",ROUND(K15,0),"%"))</f>
        <v>#N/A</v>
      </c>
      <c r="O15" s="1"/>
    </row>
    <row r="16" spans="1:15" s="80" customFormat="1" ht="15.5" x14ac:dyDescent="0.35">
      <c r="A16" s="83" t="str">
        <f>'Page de garde'!A24</f>
        <v xml:space="preserve"> </v>
      </c>
      <c r="B16" s="103"/>
      <c r="C16" s="83"/>
      <c r="D16" s="83"/>
      <c r="E16" s="85"/>
      <c r="F16" s="101" t="e">
        <f>HLOOKUP(A16,'pooled normalised values'!$B$74:$AK$83,10,FALSE)</f>
        <v>#N/A</v>
      </c>
      <c r="G16" s="132" t="e">
        <f t="shared" si="4"/>
        <v>#N/A</v>
      </c>
      <c r="H16" s="123" t="str">
        <f>IF(VLOOKUP(A16,liste_groupe[],4,FALSE)="%",VLOOKUP(A16,liste_groupe[],3,FALSE)/100,IF(ISBLANK(VLOOKUP(A16,liste_groupe[],4,FALSE)),"Non","Non"))</f>
        <v>Non</v>
      </c>
      <c r="I16" s="132" t="e">
        <f t="shared" si="1"/>
        <v>#N/A</v>
      </c>
      <c r="J16" s="133">
        <v>64</v>
      </c>
      <c r="K16" s="134" t="e">
        <f t="shared" si="2"/>
        <v>#N/A</v>
      </c>
      <c r="L16" s="129"/>
      <c r="M16" s="135" t="e">
        <f t="shared" si="3"/>
        <v>#N/A</v>
      </c>
      <c r="N16" s="96" t="e">
        <f>IF(H16="Non",CONCATENATE(VLOOKUP(A16,liste_groupe[],5,FALSE),"-",VLOOKUP(A16,liste_groupe[],3,FALSE),VLOOKUP(A16,liste_groupe[],4,FALSE)," : ",ROUND(K16,0),"%"),CONCATENATE(VLOOKUP(A16,liste_groupe[],5,FALSE)," : ",ROUND(K16,0),"%"))</f>
        <v>#N/A</v>
      </c>
      <c r="O16" s="1"/>
    </row>
    <row r="17" spans="1:15" s="80" customFormat="1" ht="15.5" x14ac:dyDescent="0.35">
      <c r="A17" s="83" t="str">
        <f>'Page de garde'!A25</f>
        <v xml:space="preserve"> </v>
      </c>
      <c r="B17" s="103"/>
      <c r="C17" s="83"/>
      <c r="D17" s="83"/>
      <c r="E17" s="85"/>
      <c r="F17" s="101" t="e">
        <f>HLOOKUP(A17,'pooled normalised values'!$B$74:$AK$83,10,FALSE)</f>
        <v>#N/A</v>
      </c>
      <c r="G17" s="132" t="e">
        <f t="shared" si="4"/>
        <v>#N/A</v>
      </c>
      <c r="H17" s="123" t="str">
        <f>IF(VLOOKUP(A17,liste_groupe[],4,FALSE)="%",VLOOKUP(A17,liste_groupe[],3,FALSE)/100,IF(ISBLANK(VLOOKUP(A17,liste_groupe[],4,FALSE)),"Non","Non"))</f>
        <v>Non</v>
      </c>
      <c r="I17" s="132" t="e">
        <f t="shared" si="1"/>
        <v>#N/A</v>
      </c>
      <c r="J17" s="133">
        <v>64</v>
      </c>
      <c r="K17" s="134" t="e">
        <f t="shared" si="2"/>
        <v>#N/A</v>
      </c>
      <c r="L17" s="129"/>
      <c r="M17" s="135" t="e">
        <f t="shared" si="3"/>
        <v>#N/A</v>
      </c>
      <c r="N17" s="96" t="e">
        <f>IF(H17="Non",CONCATENATE(VLOOKUP(A17,liste_groupe[],5,FALSE),"-",VLOOKUP(A17,liste_groupe[],3,FALSE),VLOOKUP(A17,liste_groupe[],4,FALSE)," : ",ROUND(K17,0),"%"),CONCATENATE(VLOOKUP(A17,liste_groupe[],5,FALSE)," : ",ROUND(K17,0),"%"))</f>
        <v>#N/A</v>
      </c>
      <c r="O17" s="1"/>
    </row>
    <row r="18" spans="1:15" s="80" customFormat="1" ht="15.5" x14ac:dyDescent="0.35">
      <c r="A18" s="83" t="str">
        <f>'Page de garde'!A26</f>
        <v xml:space="preserve"> </v>
      </c>
      <c r="B18" s="103"/>
      <c r="C18" s="83"/>
      <c r="D18" s="83"/>
      <c r="E18" s="85"/>
      <c r="F18" s="101" t="e">
        <f>HLOOKUP(A18,'pooled normalised values'!$B$74:$AK$83,10,FALSE)</f>
        <v>#N/A</v>
      </c>
      <c r="G18" s="132" t="e">
        <f t="shared" si="4"/>
        <v>#N/A</v>
      </c>
      <c r="H18" s="123" t="str">
        <f>IF(VLOOKUP(A18,liste_groupe[],4,FALSE)="%",VLOOKUP(A18,liste_groupe[],3,FALSE)/100,IF(ISBLANK(VLOOKUP(A18,liste_groupe[],4,FALSE)),"Non","Non"))</f>
        <v>Non</v>
      </c>
      <c r="I18" s="132" t="e">
        <f t="shared" si="1"/>
        <v>#N/A</v>
      </c>
      <c r="J18" s="133">
        <v>64</v>
      </c>
      <c r="K18" s="134" t="e">
        <f t="shared" si="2"/>
        <v>#N/A</v>
      </c>
      <c r="L18" s="129"/>
      <c r="M18" s="135" t="e">
        <f t="shared" si="3"/>
        <v>#N/A</v>
      </c>
      <c r="N18" s="96" t="e">
        <f>IF(H18="Non",CONCATENATE(VLOOKUP(A18,liste_groupe[],5,FALSE),"-",VLOOKUP(A18,liste_groupe[],3,FALSE),VLOOKUP(A18,liste_groupe[],4,FALSE)," : ",ROUND(K18,0),"%"),CONCATENATE(VLOOKUP(A18,liste_groupe[],5,FALSE)," : ",ROUND(K18,0),"%"))</f>
        <v>#N/A</v>
      </c>
      <c r="O18" s="1"/>
    </row>
    <row r="19" spans="1:15" s="80" customFormat="1" ht="15.5" x14ac:dyDescent="0.35">
      <c r="A19" s="83" t="str">
        <f>'Page de garde'!A27</f>
        <v xml:space="preserve"> </v>
      </c>
      <c r="B19" s="103"/>
      <c r="C19" s="83"/>
      <c r="D19" s="83"/>
      <c r="E19" s="85"/>
      <c r="F19" s="101" t="e">
        <f>HLOOKUP(A19,'pooled normalised values'!$B$74:$AK$83,10,FALSE)</f>
        <v>#N/A</v>
      </c>
      <c r="G19" s="132" t="e">
        <f t="shared" si="4"/>
        <v>#N/A</v>
      </c>
      <c r="H19" s="123" t="str">
        <f>IF(VLOOKUP(A19,liste_groupe[],4,FALSE)="%",VLOOKUP(A19,liste_groupe[],3,FALSE)/100,IF(ISBLANK(VLOOKUP(A19,liste_groupe[],4,FALSE)),"Non","Non"))</f>
        <v>Non</v>
      </c>
      <c r="I19" s="132" t="e">
        <f t="shared" si="1"/>
        <v>#N/A</v>
      </c>
      <c r="J19" s="133">
        <v>64</v>
      </c>
      <c r="K19" s="134" t="e">
        <f t="shared" si="2"/>
        <v>#N/A</v>
      </c>
      <c r="L19" s="129"/>
      <c r="M19" s="135" t="e">
        <f t="shared" si="3"/>
        <v>#N/A</v>
      </c>
      <c r="N19" s="96" t="e">
        <f>IF(H19="Non",CONCATENATE(VLOOKUP(A19,liste_groupe[],5,FALSE),"-",VLOOKUP(A19,liste_groupe[],3,FALSE),VLOOKUP(A19,liste_groupe[],4,FALSE)," : ",ROUND(K19,0),"%"),CONCATENATE(VLOOKUP(A19,liste_groupe[],5,FALSE)," : ",ROUND(K19,0),"%"))</f>
        <v>#N/A</v>
      </c>
      <c r="O19" s="1"/>
    </row>
    <row r="20" spans="1:15" s="80" customFormat="1" ht="15.5" x14ac:dyDescent="0.35">
      <c r="A20" s="83" t="str">
        <f>'Page de garde'!A28</f>
        <v xml:space="preserve"> </v>
      </c>
      <c r="B20" s="103"/>
      <c r="C20" s="83"/>
      <c r="D20" s="83"/>
      <c r="E20" s="85"/>
      <c r="F20" s="101" t="e">
        <f>HLOOKUP(A20,'pooled normalised values'!$B$74:$AK$83,10,FALSE)</f>
        <v>#N/A</v>
      </c>
      <c r="G20" s="132" t="e">
        <f t="shared" si="4"/>
        <v>#N/A</v>
      </c>
      <c r="H20" s="123" t="str">
        <f>IF(VLOOKUP(A20,liste_groupe[],4,FALSE)="%",VLOOKUP(A20,liste_groupe[],3,FALSE)/100,IF(ISBLANK(VLOOKUP(A20,liste_groupe[],4,FALSE)),"Non","Non"))</f>
        <v>Non</v>
      </c>
      <c r="I20" s="132" t="e">
        <f t="shared" si="1"/>
        <v>#N/A</v>
      </c>
      <c r="J20" s="133">
        <v>64</v>
      </c>
      <c r="K20" s="134" t="e">
        <f t="shared" si="2"/>
        <v>#N/A</v>
      </c>
      <c r="L20" s="129"/>
      <c r="M20" s="135" t="e">
        <f t="shared" si="3"/>
        <v>#N/A</v>
      </c>
      <c r="N20" s="96" t="e">
        <f>IF(H20="Non",CONCATENATE(VLOOKUP(A20,liste_groupe[],5,FALSE),"-",VLOOKUP(A20,liste_groupe[],3,FALSE),VLOOKUP(A20,liste_groupe[],4,FALSE)," : ",ROUND(K20,0),"%"),CONCATENATE(VLOOKUP(A20,liste_groupe[],5,FALSE)," : ",ROUND(K20,0),"%"))</f>
        <v>#N/A</v>
      </c>
      <c r="O20" s="1"/>
    </row>
    <row r="21" spans="1:15" s="80" customFormat="1" ht="15.5" x14ac:dyDescent="0.35">
      <c r="A21" s="83" t="str">
        <f>'Page de garde'!A29</f>
        <v xml:space="preserve"> </v>
      </c>
      <c r="B21" s="103"/>
      <c r="C21" s="83"/>
      <c r="D21" s="83"/>
      <c r="E21" s="85"/>
      <c r="F21" s="101" t="e">
        <f>HLOOKUP(A21,'pooled normalised values'!$B$74:$AK$83,10,FALSE)</f>
        <v>#N/A</v>
      </c>
      <c r="G21" s="132" t="e">
        <f t="shared" si="4"/>
        <v>#N/A</v>
      </c>
      <c r="H21" s="123" t="str">
        <f>IF(VLOOKUP(A21,liste_groupe[],4,FALSE)="%",VLOOKUP(A21,liste_groupe[],3,FALSE)/100,IF(ISBLANK(VLOOKUP(A21,liste_groupe[],4,FALSE)),"Non","Non"))</f>
        <v>Non</v>
      </c>
      <c r="I21" s="132" t="e">
        <f t="shared" si="1"/>
        <v>#N/A</v>
      </c>
      <c r="J21" s="133">
        <v>64</v>
      </c>
      <c r="K21" s="134" t="e">
        <f t="shared" si="2"/>
        <v>#N/A</v>
      </c>
      <c r="L21" s="129"/>
      <c r="M21" s="135" t="e">
        <f t="shared" si="3"/>
        <v>#N/A</v>
      </c>
      <c r="N21" s="96" t="e">
        <f>IF(H21="Non",CONCATENATE(VLOOKUP(A21,liste_groupe[],5,FALSE),"-",VLOOKUP(A21,liste_groupe[],3,FALSE),VLOOKUP(A21,liste_groupe[],4,FALSE)," : ",ROUND(K21,0),"%"),CONCATENATE(VLOOKUP(A21,liste_groupe[],5,FALSE)," : ",ROUND(K21,0),"%"))</f>
        <v>#N/A</v>
      </c>
      <c r="O21" s="1"/>
    </row>
    <row r="22" spans="1:15" s="80" customFormat="1" ht="15.5" x14ac:dyDescent="0.35">
      <c r="A22" s="83" t="str">
        <f>'Page de garde'!A30</f>
        <v xml:space="preserve"> </v>
      </c>
      <c r="B22" s="103"/>
      <c r="C22" s="83"/>
      <c r="D22" s="83"/>
      <c r="E22" s="85"/>
      <c r="F22" s="101" t="e">
        <f>HLOOKUP(A22,'pooled normalised values'!$B$74:$AK$83,10,FALSE)</f>
        <v>#N/A</v>
      </c>
      <c r="G22" s="132" t="e">
        <f t="shared" si="4"/>
        <v>#N/A</v>
      </c>
      <c r="H22" s="123" t="str">
        <f>IF(VLOOKUP(A22,liste_groupe[],4,FALSE)="%",VLOOKUP(A22,liste_groupe[],3,FALSE)/100,IF(ISBLANK(VLOOKUP(A22,liste_groupe[],4,FALSE)),"Non","Non"))</f>
        <v>Non</v>
      </c>
      <c r="I22" s="132" t="e">
        <f t="shared" si="1"/>
        <v>#N/A</v>
      </c>
      <c r="J22" s="133">
        <v>64</v>
      </c>
      <c r="K22" s="134" t="e">
        <f t="shared" si="2"/>
        <v>#N/A</v>
      </c>
      <c r="L22" s="129"/>
      <c r="M22" s="135" t="e">
        <f t="shared" si="3"/>
        <v>#N/A</v>
      </c>
      <c r="N22" s="96" t="e">
        <f>IF(H22="Non",CONCATENATE(VLOOKUP(A22,liste_groupe[],5,FALSE),"-",VLOOKUP(A22,liste_groupe[],3,FALSE),VLOOKUP(A22,liste_groupe[],4,FALSE)," : ",ROUND(K22,0),"%"),CONCATENATE(VLOOKUP(A22,liste_groupe[],5,FALSE)," : ",ROUND(K22,0),"%"))</f>
        <v>#N/A</v>
      </c>
      <c r="O22" s="1"/>
    </row>
    <row r="23" spans="1:15" s="80" customFormat="1" ht="15.5" x14ac:dyDescent="0.35">
      <c r="A23" s="83" t="str">
        <f>'Page de garde'!A31</f>
        <v xml:space="preserve"> </v>
      </c>
      <c r="B23" s="103"/>
      <c r="C23" s="83"/>
      <c r="D23" s="83"/>
      <c r="E23" s="85"/>
      <c r="F23" s="101" t="e">
        <f>HLOOKUP(A23,'pooled normalised values'!$B$74:$AK$83,10,FALSE)</f>
        <v>#N/A</v>
      </c>
      <c r="G23" s="132" t="e">
        <f t="shared" si="4"/>
        <v>#N/A</v>
      </c>
      <c r="H23" s="123" t="str">
        <f>IF(VLOOKUP(A23,liste_groupe[],4,FALSE)="%",VLOOKUP(A23,liste_groupe[],3,FALSE)/100,IF(ISBLANK(VLOOKUP(A23,liste_groupe[],4,FALSE)),"Non","Non"))</f>
        <v>Non</v>
      </c>
      <c r="I23" s="132" t="e">
        <f t="shared" si="1"/>
        <v>#N/A</v>
      </c>
      <c r="J23" s="133">
        <v>64</v>
      </c>
      <c r="K23" s="134" t="e">
        <f t="shared" si="2"/>
        <v>#N/A</v>
      </c>
      <c r="L23" s="129"/>
      <c r="M23" s="135" t="e">
        <f t="shared" si="3"/>
        <v>#N/A</v>
      </c>
      <c r="N23" s="96" t="e">
        <f>IF(H23="Non",CONCATENATE(VLOOKUP(A23,liste_groupe[],5,FALSE),"-",VLOOKUP(A23,liste_groupe[],3,FALSE),VLOOKUP(A23,liste_groupe[],4,FALSE)," : ",ROUND(K23,0),"%"),CONCATENATE(VLOOKUP(A23,liste_groupe[],5,FALSE)," : ",ROUND(K23,0),"%"))</f>
        <v>#N/A</v>
      </c>
      <c r="O23" s="1"/>
    </row>
    <row r="24" spans="1:15" s="80" customFormat="1" ht="15.5" x14ac:dyDescent="0.35">
      <c r="A24" s="83" t="str">
        <f>'Page de garde'!A32</f>
        <v xml:space="preserve"> </v>
      </c>
      <c r="B24" s="103"/>
      <c r="C24" s="83"/>
      <c r="D24" s="83"/>
      <c r="E24" s="85"/>
      <c r="F24" s="101" t="e">
        <f>HLOOKUP(A24,'pooled normalised values'!$B$74:$AK$83,10,FALSE)</f>
        <v>#N/A</v>
      </c>
      <c r="G24" s="132" t="e">
        <f t="shared" si="4"/>
        <v>#N/A</v>
      </c>
      <c r="H24" s="123" t="str">
        <f>IF(VLOOKUP(A24,liste_groupe[],4,FALSE)="%",VLOOKUP(A24,liste_groupe[],3,FALSE)/100,IF(ISBLANK(VLOOKUP(A24,liste_groupe[],4,FALSE)),"Non","Non"))</f>
        <v>Non</v>
      </c>
      <c r="I24" s="132" t="e">
        <f t="shared" si="1"/>
        <v>#N/A</v>
      </c>
      <c r="J24" s="133">
        <v>64</v>
      </c>
      <c r="K24" s="134" t="e">
        <f t="shared" si="2"/>
        <v>#N/A</v>
      </c>
      <c r="L24" s="129"/>
      <c r="M24" s="135" t="e">
        <f t="shared" si="3"/>
        <v>#N/A</v>
      </c>
      <c r="N24" s="96" t="e">
        <f>IF(H24="Non",CONCATENATE(VLOOKUP(A24,liste_groupe[],5,FALSE),"-",VLOOKUP(A24,liste_groupe[],3,FALSE),VLOOKUP(A24,liste_groupe[],4,FALSE)," : ",ROUND(K24,0),"%"),CONCATENATE(VLOOKUP(A24,liste_groupe[],5,FALSE)," : ",ROUND(K24,0),"%"))</f>
        <v>#N/A</v>
      </c>
      <c r="O24" s="1"/>
    </row>
    <row r="25" spans="1:15" s="80" customFormat="1" ht="15.5" x14ac:dyDescent="0.35">
      <c r="A25" s="83" t="str">
        <f>'Page de garde'!A33</f>
        <v xml:space="preserve"> </v>
      </c>
      <c r="B25" s="103"/>
      <c r="C25" s="83"/>
      <c r="D25" s="83"/>
      <c r="E25" s="85"/>
      <c r="F25" s="101" t="e">
        <f>HLOOKUP(A25,'pooled normalised values'!$B$74:$AK$83,10,FALSE)</f>
        <v>#N/A</v>
      </c>
      <c r="G25" s="132" t="e">
        <f t="shared" si="4"/>
        <v>#N/A</v>
      </c>
      <c r="H25" s="123" t="str">
        <f>IF(VLOOKUP(A25,liste_groupe[],4,FALSE)="%",VLOOKUP(A25,liste_groupe[],3,FALSE)/100,IF(ISBLANK(VLOOKUP(A25,liste_groupe[],4,FALSE)),"Non","Non"))</f>
        <v>Non</v>
      </c>
      <c r="I25" s="132" t="e">
        <f t="shared" si="1"/>
        <v>#N/A</v>
      </c>
      <c r="J25" s="133">
        <v>64</v>
      </c>
      <c r="K25" s="134" t="e">
        <f t="shared" si="2"/>
        <v>#N/A</v>
      </c>
      <c r="L25" s="129"/>
      <c r="M25" s="135" t="e">
        <f t="shared" si="3"/>
        <v>#N/A</v>
      </c>
      <c r="N25" s="96" t="e">
        <f>IF(H25="Non",CONCATENATE(VLOOKUP(A25,liste_groupe[],5,FALSE),"-",VLOOKUP(A25,liste_groupe[],3,FALSE),VLOOKUP(A25,liste_groupe[],4,FALSE)," : ",ROUND(K25,0),"%"),CONCATENATE(VLOOKUP(A25,liste_groupe[],5,FALSE)," : ",ROUND(K25,0),"%"))</f>
        <v>#N/A</v>
      </c>
      <c r="O25" s="1"/>
    </row>
    <row r="26" spans="1:15" s="80" customFormat="1" ht="15.5" x14ac:dyDescent="0.35">
      <c r="A26" s="83" t="str">
        <f>'Page de garde'!A34</f>
        <v xml:space="preserve"> </v>
      </c>
      <c r="B26" s="102"/>
      <c r="C26" s="89"/>
      <c r="D26" s="89"/>
      <c r="E26" s="85"/>
      <c r="F26" s="101" t="e">
        <f>HLOOKUP(A26,'pooled normalised values'!$B$74:$AK$83,10,FALSE)</f>
        <v>#N/A</v>
      </c>
      <c r="G26" s="132" t="e">
        <f t="shared" ref="G26" si="5">IF(F26="NS","NC",ROUND(B26,2-(1+INT(LOG10(ABS(B26))))))</f>
        <v>#N/A</v>
      </c>
      <c r="H26" s="123" t="str">
        <f>IF(VLOOKUP(A26,liste_groupe[],4,FALSE)="%",VLOOKUP(A26,liste_groupe[],3,FALSE)/100,IF(ISBLANK(VLOOKUP(A26,liste_groupe[],4,FALSE)),"Non","Non"))</f>
        <v>Non</v>
      </c>
      <c r="I26" s="132" t="e">
        <f t="shared" si="1"/>
        <v>#N/A</v>
      </c>
      <c r="J26" s="133">
        <v>64</v>
      </c>
      <c r="K26" s="134" t="e">
        <f t="shared" si="2"/>
        <v>#N/A</v>
      </c>
      <c r="L26" s="129"/>
      <c r="M26" s="135" t="e">
        <f t="shared" si="3"/>
        <v>#N/A</v>
      </c>
      <c r="N26" s="96" t="e">
        <f>IF(H26="Non",CONCATENATE(VLOOKUP(A26,liste_groupe[],5,FALSE),"-",VLOOKUP(A26,liste_groupe[],3,FALSE),VLOOKUP(A26,liste_groupe[],4,FALSE)," : ",ROUND(K26,0),"%"),CONCATENATE(VLOOKUP(A26,liste_groupe[],5,FALSE)," : ",ROUND(K26,0),"%"))</f>
        <v>#N/A</v>
      </c>
      <c r="O26"/>
    </row>
    <row r="27" spans="1:15" s="80" customFormat="1" ht="15.5" x14ac:dyDescent="0.35">
      <c r="A27"/>
      <c r="B27"/>
      <c r="C27"/>
      <c r="D27"/>
      <c r="E27"/>
      <c r="F27"/>
      <c r="G27"/>
      <c r="H27"/>
      <c r="I27"/>
      <c r="J27"/>
      <c r="K27"/>
      <c r="L27"/>
      <c r="M27"/>
      <c r="N27"/>
      <c r="O27" s="1"/>
    </row>
    <row r="28" spans="1:15" s="80" customFormat="1" ht="31.5" thickBot="1" x14ac:dyDescent="0.4">
      <c r="A28"/>
      <c r="B28" s="91" t="s">
        <v>25</v>
      </c>
      <c r="C28" s="91" t="s">
        <v>26</v>
      </c>
      <c r="D28" s="91" t="s">
        <v>27</v>
      </c>
      <c r="E28" s="92" t="s">
        <v>64</v>
      </c>
      <c r="F28" s="130" t="s">
        <v>80</v>
      </c>
      <c r="G28" s="98" t="s">
        <v>42</v>
      </c>
      <c r="H28" s="98" t="s">
        <v>65</v>
      </c>
      <c r="I28" s="98" t="s">
        <v>66</v>
      </c>
      <c r="J28" s="99" t="s">
        <v>77</v>
      </c>
      <c r="K28" s="99" t="s">
        <v>67</v>
      </c>
      <c r="L28" s="100" t="s">
        <v>76</v>
      </c>
      <c r="M28" s="100" t="s">
        <v>68</v>
      </c>
      <c r="N28" s="100" t="s">
        <v>69</v>
      </c>
      <c r="O28" s="1"/>
    </row>
    <row r="29" spans="1:15" s="80" customFormat="1" ht="15.5" x14ac:dyDescent="0.35">
      <c r="A29" s="87" t="s">
        <v>29</v>
      </c>
      <c r="B29" s="103"/>
      <c r="C29" s="83"/>
      <c r="D29" s="83"/>
      <c r="E29" s="85"/>
      <c r="F29" s="94"/>
      <c r="G29" s="137"/>
      <c r="H29" s="124"/>
      <c r="I29" s="124"/>
      <c r="J29" s="125"/>
      <c r="K29" s="126"/>
      <c r="L29" s="128"/>
      <c r="M29" s="125"/>
      <c r="N29" s="95"/>
      <c r="O29"/>
    </row>
    <row r="30" spans="1:15" s="80" customFormat="1" ht="15.5" x14ac:dyDescent="0.35">
      <c r="A30" s="87" t="s">
        <v>31</v>
      </c>
      <c r="B30" s="103"/>
      <c r="C30" s="83"/>
      <c r="D30" s="83"/>
      <c r="E30" s="85"/>
      <c r="F30" s="94"/>
      <c r="G30" s="136" t="e">
        <f>IF(F30="NS","NC",ROUND(B30-$B$29,2-(1+INT(LOG10(ABS(B30-$B$29))))))</f>
        <v>#NUM!</v>
      </c>
      <c r="H30" s="124"/>
      <c r="I30" s="137"/>
      <c r="J30" s="138"/>
      <c r="K30" s="139"/>
      <c r="L30" s="138"/>
      <c r="M30" s="138"/>
      <c r="N30" s="140"/>
      <c r="O30"/>
    </row>
    <row r="31" spans="1:15" s="80" customFormat="1" ht="15.5" x14ac:dyDescent="0.35">
      <c r="A31" s="87" t="s">
        <v>30</v>
      </c>
      <c r="B31" s="103"/>
      <c r="C31" s="83"/>
      <c r="D31" s="83"/>
      <c r="E31" s="85"/>
      <c r="F31" s="94"/>
      <c r="G31" s="136" t="e">
        <f t="shared" ref="G31:G51" si="6">IF(F31="NS","NC",ROUND(B31-$B$29,2-(1+INT(LOG10(ABS(B31-$B$29))))))</f>
        <v>#NUM!</v>
      </c>
      <c r="H31" s="124"/>
      <c r="I31" s="137"/>
      <c r="J31" s="138"/>
      <c r="K31" s="139"/>
      <c r="L31" s="138"/>
      <c r="M31" s="138"/>
      <c r="N31" s="140"/>
    </row>
    <row r="32" spans="1:15" s="80" customFormat="1" ht="15.5" x14ac:dyDescent="0.35">
      <c r="A32" s="131" t="str">
        <f>'Page de garde'!A39</f>
        <v>Testo-3,7µg/L + Testostérone</v>
      </c>
      <c r="B32" s="103"/>
      <c r="C32" s="83"/>
      <c r="D32" s="83"/>
      <c r="E32" s="85"/>
      <c r="F32" s="97" t="str">
        <f>HLOOKUP(A32,'pooled normalised values'!$B$74:$AK$83,10,FALSE)</f>
        <v>NS</v>
      </c>
      <c r="G32" s="136" t="str">
        <f t="shared" si="6"/>
        <v>NC</v>
      </c>
      <c r="H32" s="127" t="str">
        <f>IF(VLOOKUP(A32,liste_groupe[],4,FALSE)="%",VLOOKUP(A32,liste_groupe[],3,FALSE)/100,IF(ISBLANK(VLOOKUP(A32,liste_groupe[],4,FALSE)),"Non","Non"))</f>
        <v>Non</v>
      </c>
      <c r="I32" s="136" t="str">
        <f>IF(F32="NS","NC",IF(H32="Non",G32,G32*(1/H32)))</f>
        <v>NC</v>
      </c>
      <c r="J32" s="141" t="e">
        <f>IF(G32&lt;0,$G$31,$G$30)</f>
        <v>#NUM!</v>
      </c>
      <c r="K32" s="142">
        <f>IF(F32="NS",0,IF(I32&lt;0,-ROUND(I32/J32*100,0),ROUND(I32/J32*100,0)))</f>
        <v>0</v>
      </c>
      <c r="L32" s="143">
        <v>1</v>
      </c>
      <c r="M32" s="135">
        <f>IF(I32&lt;0,IF(K32&lt;-100,-125,K32),IF(K32&gt;100,125,K32))</f>
        <v>0</v>
      </c>
      <c r="N32" s="144" t="str">
        <f>IF(H32="Non",CONCATENATE(VLOOKUP(A32,liste_groupe[],5,FALSE),"-",VLOOKUP(A32,liste_groupe[],3,FALSE),VLOOKUP(A32,liste_groupe[],4,FALSE)," : ",ROUND(K32,0),"%"),CONCATENATE(VLOOKUP(A32,liste_groupe[],5,FALSE)," : ",ROUND(K32,0),"%"))</f>
        <v>Testo-3,7µg/L : 0%</v>
      </c>
    </row>
    <row r="33" spans="1:14" s="80" customFormat="1" ht="15.5" x14ac:dyDescent="0.35">
      <c r="A33" s="131" t="str">
        <f>'Page de garde'!A40</f>
        <v>Testo-11µg/L + Testostérone</v>
      </c>
      <c r="B33" s="102"/>
      <c r="C33" s="90"/>
      <c r="D33" s="90"/>
      <c r="E33" s="85"/>
      <c r="F33" s="97" t="str">
        <f>HLOOKUP(A33,'pooled normalised values'!$B$74:$AK$83,10,FALSE)</f>
        <v>NS</v>
      </c>
      <c r="G33" s="136" t="str">
        <f>IF(F33="NS","NC",ROUND(B33-$B$29,2-(1+INT(LOG10(ABS(B33-$B$29))))))</f>
        <v>NC</v>
      </c>
      <c r="H33" s="127" t="str">
        <f>IF(VLOOKUP(A33,liste_groupe[],4,FALSE)="%",VLOOKUP(A33,liste_groupe[],3,FALSE)/100,IF(ISBLANK(VLOOKUP(A33,liste_groupe[],4,FALSE)),"Non","Non"))</f>
        <v>Non</v>
      </c>
      <c r="I33" s="136" t="str">
        <f t="shared" ref="I33:I51" si="7">IF(F33="NS","NC",IF(H33="Non",G33,G33*(1/H33)))</f>
        <v>NC</v>
      </c>
      <c r="J33" s="141" t="e">
        <f t="shared" ref="J33:J51" si="8">IF(G33&lt;0,$G$31,$G$30)</f>
        <v>#NUM!</v>
      </c>
      <c r="K33" s="142">
        <f t="shared" ref="K33:K51" si="9">IF(F33="NS",0,IF(I33&lt;0,-ROUND(I33/J33*100,0),ROUND(I33/J33*100,0)))</f>
        <v>0</v>
      </c>
      <c r="L33" s="143"/>
      <c r="M33" s="135">
        <f t="shared" ref="M33:M51" si="10">IF(I33&lt;0,IF(K33&lt;-100,-125,K33),IF(K33&gt;100,125,K33))</f>
        <v>0</v>
      </c>
      <c r="N33" s="144" t="str">
        <f>IF(H33="Non",CONCATENATE(VLOOKUP(A33,liste_groupe[],5,FALSE),"-",VLOOKUP(A33,liste_groupe[],3,FALSE),VLOOKUP(A33,liste_groupe[],4,FALSE)," : ",ROUND(K33,0),"%"),CONCATENATE(VLOOKUP(A33,liste_groupe[],5,FALSE)," : ",ROUND(K33,0),"%"))</f>
        <v>Testo-11µg/L : 0%</v>
      </c>
    </row>
    <row r="34" spans="1:14" s="80" customFormat="1" ht="15.5" x14ac:dyDescent="0.35">
      <c r="A34" s="131" t="str">
        <f>'Page de garde'!A41</f>
        <v>Testo-33µg/L + Testostérone</v>
      </c>
      <c r="B34" s="103"/>
      <c r="C34" s="83"/>
      <c r="D34" s="83"/>
      <c r="E34" s="85"/>
      <c r="F34" s="97" t="str">
        <f>HLOOKUP(A34,'pooled normalised values'!$B$74:$AK$83,10,FALSE)</f>
        <v>NS</v>
      </c>
      <c r="G34" s="136" t="str">
        <f t="shared" si="6"/>
        <v>NC</v>
      </c>
      <c r="H34" s="127" t="str">
        <f>IF(VLOOKUP(A34,liste_groupe[],4,FALSE)="%",VLOOKUP(A34,liste_groupe[],3,FALSE)/100,IF(ISBLANK(VLOOKUP(A34,liste_groupe[],4,FALSE)),"Non","Non"))</f>
        <v>Non</v>
      </c>
      <c r="I34" s="136" t="str">
        <f t="shared" si="7"/>
        <v>NC</v>
      </c>
      <c r="J34" s="141" t="e">
        <f t="shared" si="8"/>
        <v>#NUM!</v>
      </c>
      <c r="K34" s="142">
        <f t="shared" si="9"/>
        <v>0</v>
      </c>
      <c r="L34" s="143"/>
      <c r="M34" s="135">
        <f t="shared" si="10"/>
        <v>0</v>
      </c>
      <c r="N34" s="144" t="str">
        <f>IF(H34="Non",CONCATENATE(VLOOKUP(A34,liste_groupe[],5,FALSE),"-",VLOOKUP(A34,liste_groupe[],3,FALSE),VLOOKUP(A34,liste_groupe[],4,FALSE)," : ",ROUND(K34,0),"%"),CONCATENATE(VLOOKUP(A34,liste_groupe[],5,FALSE)," : ",ROUND(K34,0),"%"))</f>
        <v>Testo-33µg/L : 0%</v>
      </c>
    </row>
    <row r="35" spans="1:14" s="80" customFormat="1" ht="15.5" x14ac:dyDescent="0.35">
      <c r="A35" s="131" t="str">
        <f>'Page de garde'!A42</f>
        <v>Testo-100µg/L + Testostérone</v>
      </c>
      <c r="B35" s="102"/>
      <c r="C35" s="90"/>
      <c r="D35" s="90"/>
      <c r="E35" s="85"/>
      <c r="F35" s="97" t="str">
        <f>HLOOKUP(A35,'pooled normalised values'!$B$74:$AK$83,10,FALSE)</f>
        <v>NS</v>
      </c>
      <c r="G35" s="136" t="str">
        <f t="shared" si="6"/>
        <v>NC</v>
      </c>
      <c r="H35" s="127" t="str">
        <f>IF(VLOOKUP(A35,liste_groupe[],4,FALSE)="%",VLOOKUP(A35,liste_groupe[],3,FALSE)/100,IF(ISBLANK(VLOOKUP(A35,liste_groupe[],4,FALSE)),"Non","Non"))</f>
        <v>Non</v>
      </c>
      <c r="I35" s="136" t="str">
        <f t="shared" si="7"/>
        <v>NC</v>
      </c>
      <c r="J35" s="141" t="e">
        <f t="shared" si="8"/>
        <v>#NUM!</v>
      </c>
      <c r="K35" s="142">
        <f t="shared" si="9"/>
        <v>0</v>
      </c>
      <c r="L35" s="143"/>
      <c r="M35" s="135">
        <f t="shared" si="10"/>
        <v>0</v>
      </c>
      <c r="N35" s="144" t="str">
        <f>IF(H35="Non",CONCATENATE(VLOOKUP(A35,liste_groupe[],5,FALSE),"-",VLOOKUP(A35,liste_groupe[],3,FALSE),VLOOKUP(A35,liste_groupe[],4,FALSE)," : ",ROUND(K35,0),"%"),CONCATENATE(VLOOKUP(A35,liste_groupe[],5,FALSE)," : ",ROUND(K35,0),"%"))</f>
        <v>Testo-100µg/L : 0%</v>
      </c>
    </row>
    <row r="36" spans="1:14" s="80" customFormat="1" ht="15.5" x14ac:dyDescent="0.35">
      <c r="A36" s="131" t="str">
        <f>'Page de garde'!A43</f>
        <v>Testo-300µg/L + Testostérone</v>
      </c>
      <c r="B36" s="102"/>
      <c r="C36" s="90"/>
      <c r="D36" s="90"/>
      <c r="E36" s="85"/>
      <c r="F36" s="97" t="str">
        <f>HLOOKUP(A36,'pooled normalised values'!$B$74:$AK$83,10,FALSE)</f>
        <v>*</v>
      </c>
      <c r="G36" s="136" t="e">
        <f t="shared" si="6"/>
        <v>#NUM!</v>
      </c>
      <c r="H36" s="127" t="str">
        <f>IF(VLOOKUP(A36,liste_groupe[],4,FALSE)="%",VLOOKUP(A36,liste_groupe[],3,FALSE)/100,IF(ISBLANK(VLOOKUP(A36,liste_groupe[],4,FALSE)),"Non","Non"))</f>
        <v>Non</v>
      </c>
      <c r="I36" s="136" t="e">
        <f t="shared" si="7"/>
        <v>#NUM!</v>
      </c>
      <c r="J36" s="141" t="e">
        <f t="shared" si="8"/>
        <v>#NUM!</v>
      </c>
      <c r="K36" s="142" t="e">
        <f t="shared" si="9"/>
        <v>#NUM!</v>
      </c>
      <c r="L36" s="143"/>
      <c r="M36" s="135" t="e">
        <f t="shared" si="10"/>
        <v>#NUM!</v>
      </c>
      <c r="N36" s="144" t="e">
        <f>IF(H36="Non",CONCATENATE(VLOOKUP(A36,liste_groupe[],5,FALSE),"-",VLOOKUP(A36,liste_groupe[],3,FALSE),VLOOKUP(A36,liste_groupe[],4,FALSE)," : ",ROUND(K36,0),"%"),CONCATENATE(VLOOKUP(A36,liste_groupe[],5,FALSE)," : ",ROUND(K36,0),"%"))</f>
        <v>#NUM!</v>
      </c>
    </row>
    <row r="37" spans="1:14" s="80" customFormat="1" ht="15.5" x14ac:dyDescent="0.35">
      <c r="A37" s="131" t="str">
        <f>'Page de garde'!A44</f>
        <v>0-00 + Testostérone</v>
      </c>
      <c r="B37" s="102"/>
      <c r="C37" s="90"/>
      <c r="D37" s="90"/>
      <c r="E37" s="85"/>
      <c r="F37" s="97" t="e">
        <f>HLOOKUP(A37,'pooled normalised values'!$B$74:$AK$83,10,FALSE)</f>
        <v>#VALUE!</v>
      </c>
      <c r="G37" s="136" t="e">
        <f t="shared" si="6"/>
        <v>#VALUE!</v>
      </c>
      <c r="H37" s="127" t="str">
        <f>IF(VLOOKUP(A37,liste_groupe[],4,FALSE)="%",VLOOKUP(A37,liste_groupe[],3,FALSE)/100,IF(ISBLANK(VLOOKUP(A37,liste_groupe[],4,FALSE)),"Non","Non"))</f>
        <v>Non</v>
      </c>
      <c r="I37" s="136" t="e">
        <f t="shared" si="7"/>
        <v>#VALUE!</v>
      </c>
      <c r="J37" s="141" t="e">
        <f t="shared" si="8"/>
        <v>#VALUE!</v>
      </c>
      <c r="K37" s="142" t="e">
        <f t="shared" si="9"/>
        <v>#VALUE!</v>
      </c>
      <c r="L37" s="143"/>
      <c r="M37" s="135" t="e">
        <f t="shared" si="10"/>
        <v>#VALUE!</v>
      </c>
      <c r="N37" s="144" t="e">
        <f>IF(H37="Non",CONCATENATE(VLOOKUP(A37,liste_groupe[],5,FALSE),"-",VLOOKUP(A37,liste_groupe[],3,FALSE),VLOOKUP(A37,liste_groupe[],4,FALSE)," : ",ROUND(K37,0),"%"),CONCATENATE(VLOOKUP(A37,liste_groupe[],5,FALSE)," : ",ROUND(K37,0),"%"))</f>
        <v>#VALUE!</v>
      </c>
    </row>
    <row r="38" spans="1:14" s="80" customFormat="1" ht="15.5" x14ac:dyDescent="0.35">
      <c r="A38" s="131" t="str">
        <f>'Page de garde'!A45</f>
        <v>0-00 + Testostérone</v>
      </c>
      <c r="B38" s="102"/>
      <c r="C38" s="90"/>
      <c r="D38" s="90"/>
      <c r="E38" s="85"/>
      <c r="F38" s="97" t="e">
        <f>HLOOKUP(A38,'pooled normalised values'!$B$74:$AK$83,10,FALSE)</f>
        <v>#VALUE!</v>
      </c>
      <c r="G38" s="136" t="e">
        <f t="shared" si="6"/>
        <v>#VALUE!</v>
      </c>
      <c r="H38" s="127" t="str">
        <f>IF(VLOOKUP(A38,liste_groupe[],4,FALSE)="%",VLOOKUP(A38,liste_groupe[],3,FALSE)/100,IF(ISBLANK(VLOOKUP(A38,liste_groupe[],4,FALSE)),"Non","Non"))</f>
        <v>Non</v>
      </c>
      <c r="I38" s="136" t="e">
        <f t="shared" si="7"/>
        <v>#VALUE!</v>
      </c>
      <c r="J38" s="141" t="e">
        <f t="shared" si="8"/>
        <v>#VALUE!</v>
      </c>
      <c r="K38" s="142" t="e">
        <f t="shared" si="9"/>
        <v>#VALUE!</v>
      </c>
      <c r="L38" s="143"/>
      <c r="M38" s="135" t="e">
        <f t="shared" si="10"/>
        <v>#VALUE!</v>
      </c>
      <c r="N38" s="144" t="e">
        <f>IF(H38="Non",CONCATENATE(VLOOKUP(A38,liste_groupe[],5,FALSE),"-",VLOOKUP(A38,liste_groupe[],3,FALSE),VLOOKUP(A38,liste_groupe[],4,FALSE)," : ",ROUND(K38,0),"%"),CONCATENATE(VLOOKUP(A38,liste_groupe[],5,FALSE)," : ",ROUND(K38,0),"%"))</f>
        <v>#VALUE!</v>
      </c>
    </row>
    <row r="39" spans="1:14" s="80" customFormat="1" ht="15.5" x14ac:dyDescent="0.35">
      <c r="A39" s="131" t="str">
        <f>'Page de garde'!A46</f>
        <v>0-00 + Testostérone</v>
      </c>
      <c r="B39" s="102"/>
      <c r="C39" s="90"/>
      <c r="D39" s="90"/>
      <c r="E39" s="85"/>
      <c r="F39" s="97" t="e">
        <f>HLOOKUP(A39,'pooled normalised values'!$B$74:$AK$83,10,FALSE)</f>
        <v>#VALUE!</v>
      </c>
      <c r="G39" s="136" t="e">
        <f t="shared" ref="G39:G50" si="11">IF(F39="NS","NC",ROUND(B39-$B$29,2-(1+INT(LOG10(ABS(B39-$B$29))))))</f>
        <v>#VALUE!</v>
      </c>
      <c r="H39" s="127" t="str">
        <f>IF(VLOOKUP(A39,liste_groupe[],4,FALSE)="%",VLOOKUP(A39,liste_groupe[],3,FALSE)/100,IF(ISBLANK(VLOOKUP(A39,liste_groupe[],4,FALSE)),"Non","Non"))</f>
        <v>Non</v>
      </c>
      <c r="I39" s="136" t="e">
        <f t="shared" si="7"/>
        <v>#VALUE!</v>
      </c>
      <c r="J39" s="141" t="e">
        <f t="shared" ref="J39:J50" si="12">IF(G39&lt;0,$G$31,$G$30)</f>
        <v>#VALUE!</v>
      </c>
      <c r="K39" s="142" t="e">
        <f t="shared" si="9"/>
        <v>#VALUE!</v>
      </c>
      <c r="L39" s="143"/>
      <c r="M39" s="135" t="e">
        <f t="shared" si="10"/>
        <v>#VALUE!</v>
      </c>
      <c r="N39" s="144" t="e">
        <f>IF(H39="Non",CONCATENATE(VLOOKUP(A39,liste_groupe[],5,FALSE),"-",VLOOKUP(A39,liste_groupe[],3,FALSE),VLOOKUP(A39,liste_groupe[],4,FALSE)," : ",ROUND(K39,0),"%"),CONCATENATE(VLOOKUP(A39,liste_groupe[],5,FALSE)," : ",ROUND(K39,0),"%"))</f>
        <v>#VALUE!</v>
      </c>
    </row>
    <row r="40" spans="1:14" s="80" customFormat="1" ht="15.5" x14ac:dyDescent="0.35">
      <c r="A40" s="131" t="str">
        <f>'Page de garde'!A47</f>
        <v>0-00 + Testostérone</v>
      </c>
      <c r="B40" s="102"/>
      <c r="C40" s="90"/>
      <c r="D40" s="90"/>
      <c r="E40" s="85"/>
      <c r="F40" s="97" t="e">
        <f>HLOOKUP(A40,'pooled normalised values'!$B$74:$AK$83,10,FALSE)</f>
        <v>#VALUE!</v>
      </c>
      <c r="G40" s="136" t="e">
        <f t="shared" si="11"/>
        <v>#VALUE!</v>
      </c>
      <c r="H40" s="127" t="str">
        <f>IF(VLOOKUP(A40,liste_groupe[],4,FALSE)="%",VLOOKUP(A40,liste_groupe[],3,FALSE)/100,IF(ISBLANK(VLOOKUP(A40,liste_groupe[],4,FALSE)),"Non","Non"))</f>
        <v>Non</v>
      </c>
      <c r="I40" s="136" t="e">
        <f t="shared" si="7"/>
        <v>#VALUE!</v>
      </c>
      <c r="J40" s="141" t="e">
        <f t="shared" si="12"/>
        <v>#VALUE!</v>
      </c>
      <c r="K40" s="142" t="e">
        <f t="shared" si="9"/>
        <v>#VALUE!</v>
      </c>
      <c r="L40" s="143"/>
      <c r="M40" s="135" t="e">
        <f t="shared" si="10"/>
        <v>#VALUE!</v>
      </c>
      <c r="N40" s="144" t="e">
        <f>IF(H40="Non",CONCATENATE(VLOOKUP(A40,liste_groupe[],5,FALSE),"-",VLOOKUP(A40,liste_groupe[],3,FALSE),VLOOKUP(A40,liste_groupe[],4,FALSE)," : ",ROUND(K40,0),"%"),CONCATENATE(VLOOKUP(A40,liste_groupe[],5,FALSE)," : ",ROUND(K40,0),"%"))</f>
        <v>#VALUE!</v>
      </c>
    </row>
    <row r="41" spans="1:14" s="80" customFormat="1" ht="15.5" x14ac:dyDescent="0.35">
      <c r="A41" s="131" t="str">
        <f>'Page de garde'!A48</f>
        <v>0-00 + Testostérone</v>
      </c>
      <c r="B41" s="102"/>
      <c r="C41" s="90"/>
      <c r="D41" s="90"/>
      <c r="E41" s="85"/>
      <c r="F41" s="97" t="e">
        <f>HLOOKUP(A41,'pooled normalised values'!$B$74:$AK$83,10,FALSE)</f>
        <v>#VALUE!</v>
      </c>
      <c r="G41" s="136" t="e">
        <f t="shared" si="11"/>
        <v>#VALUE!</v>
      </c>
      <c r="H41" s="127" t="str">
        <f>IF(VLOOKUP(A41,liste_groupe[],4,FALSE)="%",VLOOKUP(A41,liste_groupe[],3,FALSE)/100,IF(ISBLANK(VLOOKUP(A41,liste_groupe[],4,FALSE)),"Non","Non"))</f>
        <v>Non</v>
      </c>
      <c r="I41" s="136" t="e">
        <f t="shared" si="7"/>
        <v>#VALUE!</v>
      </c>
      <c r="J41" s="141" t="e">
        <f t="shared" si="12"/>
        <v>#VALUE!</v>
      </c>
      <c r="K41" s="142" t="e">
        <f t="shared" si="9"/>
        <v>#VALUE!</v>
      </c>
      <c r="L41" s="143"/>
      <c r="M41" s="135" t="e">
        <f t="shared" si="10"/>
        <v>#VALUE!</v>
      </c>
      <c r="N41" s="144" t="e">
        <f>IF(H41="Non",CONCATENATE(VLOOKUP(A41,liste_groupe[],5,FALSE),"-",VLOOKUP(A41,liste_groupe[],3,FALSE),VLOOKUP(A41,liste_groupe[],4,FALSE)," : ",ROUND(K41,0),"%"),CONCATENATE(VLOOKUP(A41,liste_groupe[],5,FALSE)," : ",ROUND(K41,0),"%"))</f>
        <v>#VALUE!</v>
      </c>
    </row>
    <row r="42" spans="1:14" s="80" customFormat="1" ht="15.5" x14ac:dyDescent="0.35">
      <c r="A42" s="131" t="str">
        <f>'Page de garde'!A49</f>
        <v>0-00 + Testostérone</v>
      </c>
      <c r="B42" s="102"/>
      <c r="C42" s="90"/>
      <c r="D42" s="90"/>
      <c r="E42" s="85"/>
      <c r="F42" s="97" t="e">
        <f>HLOOKUP(A42,'pooled normalised values'!$B$74:$AK$83,10,FALSE)</f>
        <v>#VALUE!</v>
      </c>
      <c r="G42" s="136" t="e">
        <f t="shared" si="11"/>
        <v>#VALUE!</v>
      </c>
      <c r="H42" s="127" t="str">
        <f>IF(VLOOKUP(A42,liste_groupe[],4,FALSE)="%",VLOOKUP(A42,liste_groupe[],3,FALSE)/100,IF(ISBLANK(VLOOKUP(A42,liste_groupe[],4,FALSE)),"Non","Non"))</f>
        <v>Non</v>
      </c>
      <c r="I42" s="136" t="e">
        <f t="shared" si="7"/>
        <v>#VALUE!</v>
      </c>
      <c r="J42" s="141" t="e">
        <f t="shared" si="12"/>
        <v>#VALUE!</v>
      </c>
      <c r="K42" s="142" t="e">
        <f t="shared" si="9"/>
        <v>#VALUE!</v>
      </c>
      <c r="L42" s="143"/>
      <c r="M42" s="135" t="e">
        <f t="shared" si="10"/>
        <v>#VALUE!</v>
      </c>
      <c r="N42" s="144" t="e">
        <f>IF(H42="Non",CONCATENATE(VLOOKUP(A42,liste_groupe[],5,FALSE),"-",VLOOKUP(A42,liste_groupe[],3,FALSE),VLOOKUP(A42,liste_groupe[],4,FALSE)," : ",ROUND(K42,0),"%"),CONCATENATE(VLOOKUP(A42,liste_groupe[],5,FALSE)," : ",ROUND(K42,0),"%"))</f>
        <v>#VALUE!</v>
      </c>
    </row>
    <row r="43" spans="1:14" s="80" customFormat="1" ht="15.5" x14ac:dyDescent="0.35">
      <c r="A43" s="131" t="str">
        <f>'Page de garde'!A50</f>
        <v>0-00 + Testostérone</v>
      </c>
      <c r="B43" s="102"/>
      <c r="C43" s="90"/>
      <c r="D43" s="90"/>
      <c r="E43" s="85"/>
      <c r="F43" s="97" t="e">
        <f>HLOOKUP(A43,'pooled normalised values'!$B$74:$AK$83,10,FALSE)</f>
        <v>#VALUE!</v>
      </c>
      <c r="G43" s="136" t="e">
        <f t="shared" si="11"/>
        <v>#VALUE!</v>
      </c>
      <c r="H43" s="127" t="str">
        <f>IF(VLOOKUP(A43,liste_groupe[],4,FALSE)="%",VLOOKUP(A43,liste_groupe[],3,FALSE)/100,IF(ISBLANK(VLOOKUP(A43,liste_groupe[],4,FALSE)),"Non","Non"))</f>
        <v>Non</v>
      </c>
      <c r="I43" s="136" t="e">
        <f t="shared" si="7"/>
        <v>#VALUE!</v>
      </c>
      <c r="J43" s="141" t="e">
        <f t="shared" si="12"/>
        <v>#VALUE!</v>
      </c>
      <c r="K43" s="142" t="e">
        <f t="shared" si="9"/>
        <v>#VALUE!</v>
      </c>
      <c r="L43" s="143"/>
      <c r="M43" s="135" t="e">
        <f t="shared" si="10"/>
        <v>#VALUE!</v>
      </c>
      <c r="N43" s="144" t="e">
        <f>IF(H43="Non",CONCATENATE(VLOOKUP(A43,liste_groupe[],5,FALSE),"-",VLOOKUP(A43,liste_groupe[],3,FALSE),VLOOKUP(A43,liste_groupe[],4,FALSE)," : ",ROUND(K43,0),"%"),CONCATENATE(VLOOKUP(A43,liste_groupe[],5,FALSE)," : ",ROUND(K43,0),"%"))</f>
        <v>#VALUE!</v>
      </c>
    </row>
    <row r="44" spans="1:14" s="80" customFormat="1" ht="15.5" x14ac:dyDescent="0.35">
      <c r="A44" s="131" t="str">
        <f>'Page de garde'!A51</f>
        <v>0-00 + Testostérone</v>
      </c>
      <c r="B44" s="102"/>
      <c r="C44" s="90"/>
      <c r="D44" s="90"/>
      <c r="E44" s="85"/>
      <c r="F44" s="97" t="e">
        <f>HLOOKUP(A44,'pooled normalised values'!$B$74:$AK$83,10,FALSE)</f>
        <v>#VALUE!</v>
      </c>
      <c r="G44" s="136" t="e">
        <f t="shared" si="11"/>
        <v>#VALUE!</v>
      </c>
      <c r="H44" s="127" t="str">
        <f>IF(VLOOKUP(A44,liste_groupe[],4,FALSE)="%",VLOOKUP(A44,liste_groupe[],3,FALSE)/100,IF(ISBLANK(VLOOKUP(A44,liste_groupe[],4,FALSE)),"Non","Non"))</f>
        <v>Non</v>
      </c>
      <c r="I44" s="136" t="e">
        <f t="shared" si="7"/>
        <v>#VALUE!</v>
      </c>
      <c r="J44" s="141" t="e">
        <f t="shared" si="12"/>
        <v>#VALUE!</v>
      </c>
      <c r="K44" s="142" t="e">
        <f t="shared" si="9"/>
        <v>#VALUE!</v>
      </c>
      <c r="L44" s="143"/>
      <c r="M44" s="135" t="e">
        <f t="shared" si="10"/>
        <v>#VALUE!</v>
      </c>
      <c r="N44" s="144" t="e">
        <f>IF(H44="Non",CONCATENATE(VLOOKUP(A44,liste_groupe[],5,FALSE),"-",VLOOKUP(A44,liste_groupe[],3,FALSE),VLOOKUP(A44,liste_groupe[],4,FALSE)," : ",ROUND(K44,0),"%"),CONCATENATE(VLOOKUP(A44,liste_groupe[],5,FALSE)," : ",ROUND(K44,0),"%"))</f>
        <v>#VALUE!</v>
      </c>
    </row>
    <row r="45" spans="1:14" s="80" customFormat="1" ht="15.5" x14ac:dyDescent="0.35">
      <c r="A45" s="131" t="str">
        <f>'Page de garde'!A52</f>
        <v>0-00 + Testostérone</v>
      </c>
      <c r="B45" s="102"/>
      <c r="C45" s="90"/>
      <c r="D45" s="90"/>
      <c r="E45" s="85"/>
      <c r="F45" s="97" t="e">
        <f>HLOOKUP(A45,'pooled normalised values'!$B$74:$AK$83,10,FALSE)</f>
        <v>#VALUE!</v>
      </c>
      <c r="G45" s="136" t="e">
        <f t="shared" si="11"/>
        <v>#VALUE!</v>
      </c>
      <c r="H45" s="127" t="str">
        <f>IF(VLOOKUP(A45,liste_groupe[],4,FALSE)="%",VLOOKUP(A45,liste_groupe[],3,FALSE)/100,IF(ISBLANK(VLOOKUP(A45,liste_groupe[],4,FALSE)),"Non","Non"))</f>
        <v>Non</v>
      </c>
      <c r="I45" s="136" t="e">
        <f t="shared" si="7"/>
        <v>#VALUE!</v>
      </c>
      <c r="J45" s="141" t="e">
        <f t="shared" si="12"/>
        <v>#VALUE!</v>
      </c>
      <c r="K45" s="142" t="e">
        <f t="shared" si="9"/>
        <v>#VALUE!</v>
      </c>
      <c r="L45" s="143"/>
      <c r="M45" s="135" t="e">
        <f t="shared" si="10"/>
        <v>#VALUE!</v>
      </c>
      <c r="N45" s="144" t="e">
        <f>IF(H45="Non",CONCATENATE(VLOOKUP(A45,liste_groupe[],5,FALSE),"-",VLOOKUP(A45,liste_groupe[],3,FALSE),VLOOKUP(A45,liste_groupe[],4,FALSE)," : ",ROUND(K45,0),"%"),CONCATENATE(VLOOKUP(A45,liste_groupe[],5,FALSE)," : ",ROUND(K45,0),"%"))</f>
        <v>#VALUE!</v>
      </c>
    </row>
    <row r="46" spans="1:14" s="80" customFormat="1" ht="15.5" x14ac:dyDescent="0.35">
      <c r="A46" s="131" t="str">
        <f>'Page de garde'!A53</f>
        <v>0-00 + Testostérone</v>
      </c>
      <c r="B46" s="102"/>
      <c r="C46" s="90"/>
      <c r="D46" s="90"/>
      <c r="E46" s="85"/>
      <c r="F46" s="97" t="e">
        <f>HLOOKUP(A46,'pooled normalised values'!$B$74:$AK$83,10,FALSE)</f>
        <v>#VALUE!</v>
      </c>
      <c r="G46" s="136" t="e">
        <f t="shared" si="11"/>
        <v>#VALUE!</v>
      </c>
      <c r="H46" s="127" t="str">
        <f>IF(VLOOKUP(A46,liste_groupe[],4,FALSE)="%",VLOOKUP(A46,liste_groupe[],3,FALSE)/100,IF(ISBLANK(VLOOKUP(A46,liste_groupe[],4,FALSE)),"Non","Non"))</f>
        <v>Non</v>
      </c>
      <c r="I46" s="136" t="e">
        <f t="shared" si="7"/>
        <v>#VALUE!</v>
      </c>
      <c r="J46" s="141" t="e">
        <f t="shared" si="12"/>
        <v>#VALUE!</v>
      </c>
      <c r="K46" s="142" t="e">
        <f t="shared" si="9"/>
        <v>#VALUE!</v>
      </c>
      <c r="L46" s="143"/>
      <c r="M46" s="135" t="e">
        <f t="shared" si="10"/>
        <v>#VALUE!</v>
      </c>
      <c r="N46" s="144" t="e">
        <f>IF(H46="Non",CONCATENATE(VLOOKUP(A46,liste_groupe[],5,FALSE),"-",VLOOKUP(A46,liste_groupe[],3,FALSE),VLOOKUP(A46,liste_groupe[],4,FALSE)," : ",ROUND(K46,0),"%"),CONCATENATE(VLOOKUP(A46,liste_groupe[],5,FALSE)," : ",ROUND(K46,0),"%"))</f>
        <v>#VALUE!</v>
      </c>
    </row>
    <row r="47" spans="1:14" s="80" customFormat="1" ht="15.5" x14ac:dyDescent="0.35">
      <c r="A47" s="131" t="str">
        <f>'Page de garde'!A54</f>
        <v>0-00 + Testostérone</v>
      </c>
      <c r="B47" s="102"/>
      <c r="C47" s="90"/>
      <c r="D47" s="90"/>
      <c r="E47" s="85"/>
      <c r="F47" s="97" t="e">
        <f>HLOOKUP(A47,'pooled normalised values'!$B$74:$AK$83,10,FALSE)</f>
        <v>#VALUE!</v>
      </c>
      <c r="G47" s="136" t="e">
        <f t="shared" si="11"/>
        <v>#VALUE!</v>
      </c>
      <c r="H47" s="127" t="str">
        <f>IF(VLOOKUP(A47,liste_groupe[],4,FALSE)="%",VLOOKUP(A47,liste_groupe[],3,FALSE)/100,IF(ISBLANK(VLOOKUP(A47,liste_groupe[],4,FALSE)),"Non","Non"))</f>
        <v>Non</v>
      </c>
      <c r="I47" s="136" t="e">
        <f t="shared" si="7"/>
        <v>#VALUE!</v>
      </c>
      <c r="J47" s="141" t="e">
        <f t="shared" si="12"/>
        <v>#VALUE!</v>
      </c>
      <c r="K47" s="142" t="e">
        <f t="shared" si="9"/>
        <v>#VALUE!</v>
      </c>
      <c r="L47" s="143"/>
      <c r="M47" s="135" t="e">
        <f t="shared" si="10"/>
        <v>#VALUE!</v>
      </c>
      <c r="N47" s="144" t="e">
        <f>IF(H47="Non",CONCATENATE(VLOOKUP(A47,liste_groupe[],5,FALSE),"-",VLOOKUP(A47,liste_groupe[],3,FALSE),VLOOKUP(A47,liste_groupe[],4,FALSE)," : ",ROUND(K47,0),"%"),CONCATENATE(VLOOKUP(A47,liste_groupe[],5,FALSE)," : ",ROUND(K47,0),"%"))</f>
        <v>#VALUE!</v>
      </c>
    </row>
    <row r="48" spans="1:14" s="80" customFormat="1" ht="15.5" x14ac:dyDescent="0.35">
      <c r="A48" s="131" t="str">
        <f>'Page de garde'!A55</f>
        <v>0-00 + Testostérone</v>
      </c>
      <c r="B48" s="102"/>
      <c r="C48" s="90"/>
      <c r="D48" s="90"/>
      <c r="E48" s="85"/>
      <c r="F48" s="97" t="e">
        <f>HLOOKUP(A48,'pooled normalised values'!$B$74:$AK$83,10,FALSE)</f>
        <v>#VALUE!</v>
      </c>
      <c r="G48" s="136" t="e">
        <f t="shared" si="11"/>
        <v>#VALUE!</v>
      </c>
      <c r="H48" s="127" t="str">
        <f>IF(VLOOKUP(A48,liste_groupe[],4,FALSE)="%",VLOOKUP(A48,liste_groupe[],3,FALSE)/100,IF(ISBLANK(VLOOKUP(A48,liste_groupe[],4,FALSE)),"Non","Non"))</f>
        <v>Non</v>
      </c>
      <c r="I48" s="136" t="e">
        <f t="shared" si="7"/>
        <v>#VALUE!</v>
      </c>
      <c r="J48" s="141" t="e">
        <f t="shared" si="12"/>
        <v>#VALUE!</v>
      </c>
      <c r="K48" s="142" t="e">
        <f t="shared" si="9"/>
        <v>#VALUE!</v>
      </c>
      <c r="L48" s="143"/>
      <c r="M48" s="135" t="e">
        <f t="shared" si="10"/>
        <v>#VALUE!</v>
      </c>
      <c r="N48" s="144" t="e">
        <f>IF(H48="Non",CONCATENATE(VLOOKUP(A48,liste_groupe[],5,FALSE),"-",VLOOKUP(A48,liste_groupe[],3,FALSE),VLOOKUP(A48,liste_groupe[],4,FALSE)," : ",ROUND(K48,0),"%"),CONCATENATE(VLOOKUP(A48,liste_groupe[],5,FALSE)," : ",ROUND(K48,0),"%"))</f>
        <v>#VALUE!</v>
      </c>
    </row>
    <row r="49" spans="1:15" s="80" customFormat="1" ht="15.5" x14ac:dyDescent="0.35">
      <c r="A49" s="131" t="str">
        <f>'Page de garde'!A56</f>
        <v>0-00 + Testostérone</v>
      </c>
      <c r="B49" s="102"/>
      <c r="C49" s="90"/>
      <c r="D49" s="90"/>
      <c r="E49" s="85"/>
      <c r="F49" s="97" t="e">
        <f>HLOOKUP(A49,'pooled normalised values'!$B$74:$AK$83,10,FALSE)</f>
        <v>#VALUE!</v>
      </c>
      <c r="G49" s="136" t="e">
        <f t="shared" si="11"/>
        <v>#VALUE!</v>
      </c>
      <c r="H49" s="127" t="str">
        <f>IF(VLOOKUP(A49,liste_groupe[],4,FALSE)="%",VLOOKUP(A49,liste_groupe[],3,FALSE)/100,IF(ISBLANK(VLOOKUP(A49,liste_groupe[],4,FALSE)),"Non","Non"))</f>
        <v>Non</v>
      </c>
      <c r="I49" s="136" t="e">
        <f t="shared" si="7"/>
        <v>#VALUE!</v>
      </c>
      <c r="J49" s="141" t="e">
        <f t="shared" si="12"/>
        <v>#VALUE!</v>
      </c>
      <c r="K49" s="142" t="e">
        <f t="shared" si="9"/>
        <v>#VALUE!</v>
      </c>
      <c r="L49" s="143"/>
      <c r="M49" s="135" t="e">
        <f t="shared" si="10"/>
        <v>#VALUE!</v>
      </c>
      <c r="N49" s="144" t="e">
        <f>IF(H49="Non",CONCATENATE(VLOOKUP(A49,liste_groupe[],5,FALSE),"-",VLOOKUP(A49,liste_groupe[],3,FALSE),VLOOKUP(A49,liste_groupe[],4,FALSE)," : ",ROUND(K49,0),"%"),CONCATENATE(VLOOKUP(A49,liste_groupe[],5,FALSE)," : ",ROUND(K49,0),"%"))</f>
        <v>#VALUE!</v>
      </c>
    </row>
    <row r="50" spans="1:15" s="80" customFormat="1" ht="15.5" x14ac:dyDescent="0.35">
      <c r="A50" s="131" t="str">
        <f>'Page de garde'!A57</f>
        <v>0-00 + Testostérone</v>
      </c>
      <c r="B50" s="102"/>
      <c r="C50" s="90"/>
      <c r="D50" s="90"/>
      <c r="E50" s="85"/>
      <c r="F50" s="97" t="e">
        <f>HLOOKUP(A50,'pooled normalised values'!$B$74:$AK$83,10,FALSE)</f>
        <v>#VALUE!</v>
      </c>
      <c r="G50" s="136" t="e">
        <f t="shared" si="11"/>
        <v>#VALUE!</v>
      </c>
      <c r="H50" s="127" t="str">
        <f>IF(VLOOKUP(A50,liste_groupe[],4,FALSE)="%",VLOOKUP(A50,liste_groupe[],3,FALSE)/100,IF(ISBLANK(VLOOKUP(A50,liste_groupe[],4,FALSE)),"Non","Non"))</f>
        <v>Non</v>
      </c>
      <c r="I50" s="136" t="e">
        <f t="shared" si="7"/>
        <v>#VALUE!</v>
      </c>
      <c r="J50" s="141" t="e">
        <f t="shared" si="12"/>
        <v>#VALUE!</v>
      </c>
      <c r="K50" s="142" t="e">
        <f t="shared" si="9"/>
        <v>#VALUE!</v>
      </c>
      <c r="L50" s="143"/>
      <c r="M50" s="135" t="e">
        <f t="shared" si="10"/>
        <v>#VALUE!</v>
      </c>
      <c r="N50" s="144" t="e">
        <f>IF(H50="Non",CONCATENATE(VLOOKUP(A50,liste_groupe[],5,FALSE),"-",VLOOKUP(A50,liste_groupe[],3,FALSE),VLOOKUP(A50,liste_groupe[],4,FALSE)," : ",ROUND(K50,0),"%"),CONCATENATE(VLOOKUP(A50,liste_groupe[],5,FALSE)," : ",ROUND(K50,0),"%"))</f>
        <v>#VALUE!</v>
      </c>
    </row>
    <row r="51" spans="1:15" s="80" customFormat="1" ht="15.5" x14ac:dyDescent="0.35">
      <c r="A51" s="131" t="str">
        <f>'Page de garde'!A58</f>
        <v>0-00 + Testostérone</v>
      </c>
      <c r="B51" s="102"/>
      <c r="C51" s="90"/>
      <c r="D51" s="90"/>
      <c r="E51" s="85"/>
      <c r="F51" s="97" t="e">
        <f>HLOOKUP(A51,'pooled normalised values'!$B$74:$AK$83,10,FALSE)</f>
        <v>#VALUE!</v>
      </c>
      <c r="G51" s="136" t="e">
        <f t="shared" si="6"/>
        <v>#VALUE!</v>
      </c>
      <c r="H51" s="127" t="str">
        <f>IF(VLOOKUP(A51,liste_groupe[],4,FALSE)="%",VLOOKUP(A51,liste_groupe[],3,FALSE)/100,IF(ISBLANK(VLOOKUP(A51,liste_groupe[],4,FALSE)),"Non","Non"))</f>
        <v>Non</v>
      </c>
      <c r="I51" s="136" t="e">
        <f t="shared" si="7"/>
        <v>#VALUE!</v>
      </c>
      <c r="J51" s="141" t="e">
        <f t="shared" si="8"/>
        <v>#VALUE!</v>
      </c>
      <c r="K51" s="142" t="e">
        <f t="shared" si="9"/>
        <v>#VALUE!</v>
      </c>
      <c r="L51" s="143"/>
      <c r="M51" s="135" t="e">
        <f t="shared" si="10"/>
        <v>#VALUE!</v>
      </c>
      <c r="N51" s="144" t="e">
        <f>IF(H51="Non",CONCATENATE(VLOOKUP(A51,liste_groupe[],5,FALSE),"-",VLOOKUP(A51,liste_groupe[],3,FALSE),VLOOKUP(A51,liste_groupe[],4,FALSE)," : ",ROUND(K51,0),"%"),CONCATENATE(VLOOKUP(A51,liste_groupe[],5,FALSE)," : ",ROUND(K51,0),"%"))</f>
        <v>#VALUE!</v>
      </c>
    </row>
    <row r="52" spans="1:15" s="80" customFormat="1" ht="16" thickBot="1" x14ac:dyDescent="0.4">
      <c r="E52" s="81"/>
      <c r="F52" s="81"/>
      <c r="G52" s="81"/>
      <c r="H52" s="81"/>
      <c r="I52" s="81"/>
      <c r="J52" s="81"/>
      <c r="K52" s="81"/>
      <c r="L52" s="81"/>
      <c r="M52" s="81"/>
      <c r="N52" s="81"/>
    </row>
    <row r="53" spans="1:15" s="49" customFormat="1" ht="26.5" thickBot="1" x14ac:dyDescent="0.4">
      <c r="A53" s="239" t="s">
        <v>60</v>
      </c>
      <c r="B53" s="240"/>
      <c r="C53" s="240"/>
      <c r="D53" s="240"/>
      <c r="E53" s="240"/>
      <c r="F53" s="240"/>
      <c r="G53" s="240"/>
      <c r="H53" s="240"/>
      <c r="I53" s="240"/>
      <c r="J53" s="240"/>
      <c r="K53" s="240"/>
      <c r="L53" s="240"/>
      <c r="M53" s="240"/>
      <c r="N53" s="240"/>
      <c r="O53" s="241"/>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53125" defaultRowHeight="14.5" x14ac:dyDescent="0.35"/>
  <cols>
    <col min="1" max="1" width="22.81640625" style="184" customWidth="1"/>
    <col min="2" max="2" width="46.26953125" style="184" customWidth="1"/>
    <col min="3" max="3" width="15.26953125" style="184" customWidth="1"/>
    <col min="4" max="4" width="24.7265625" style="184" customWidth="1"/>
    <col min="5" max="5" width="24.453125" style="184" customWidth="1"/>
    <col min="6" max="6" width="23.1796875" style="184" customWidth="1"/>
    <col min="7" max="7" width="21.26953125" style="184" customWidth="1"/>
    <col min="8" max="16384" width="11.453125" style="184"/>
  </cols>
  <sheetData>
    <row r="1" spans="1:7" ht="29.5" thickBot="1" x14ac:dyDescent="0.4">
      <c r="A1" s="189" t="s">
        <v>132</v>
      </c>
      <c r="B1" s="190" t="s">
        <v>133</v>
      </c>
      <c r="C1" s="190" t="s">
        <v>139</v>
      </c>
      <c r="D1" s="190" t="s">
        <v>138</v>
      </c>
      <c r="E1" s="190" t="s">
        <v>140</v>
      </c>
      <c r="F1" s="191" t="s">
        <v>141</v>
      </c>
      <c r="G1" s="192" t="s">
        <v>142</v>
      </c>
    </row>
    <row r="2" spans="1:7" ht="58" x14ac:dyDescent="0.35">
      <c r="A2" s="185" t="s">
        <v>134</v>
      </c>
      <c r="B2" s="186" t="s">
        <v>135</v>
      </c>
      <c r="C2" s="186" t="s">
        <v>136</v>
      </c>
      <c r="D2" s="186" t="s">
        <v>143</v>
      </c>
      <c r="E2" s="186" t="s">
        <v>137</v>
      </c>
      <c r="F2" s="187" t="s">
        <v>136</v>
      </c>
      <c r="G2" s="188" t="s">
        <v>136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19" width="14.81640625" style="17" customWidth="1"/>
    <col min="20" max="21" width="11.453125" style="17"/>
    <col min="22" max="22" width="13.54296875" style="17" bestFit="1" customWidth="1"/>
    <col min="23" max="34" width="13.54296875" style="17" customWidth="1"/>
    <col min="35" max="35" width="13.54296875" style="17" bestFit="1" customWidth="1"/>
    <col min="36" max="282" width="11.453125" style="17"/>
    <col min="283" max="283" width="18.7265625" style="17" customWidth="1"/>
    <col min="284" max="284" width="13.7265625" style="17" bestFit="1" customWidth="1"/>
    <col min="285" max="285" width="17.26953125" style="17" customWidth="1"/>
    <col min="286" max="286" width="11" style="17" customWidth="1"/>
    <col min="287" max="287" width="12" style="17" bestFit="1" customWidth="1"/>
    <col min="288" max="288" width="14.81640625" style="17" customWidth="1"/>
    <col min="289" max="538" width="11.453125" style="17"/>
    <col min="539" max="539" width="18.7265625" style="17" customWidth="1"/>
    <col min="540" max="540" width="13.7265625" style="17" bestFit="1" customWidth="1"/>
    <col min="541" max="541" width="17.26953125" style="17" customWidth="1"/>
    <col min="542" max="542" width="11" style="17" customWidth="1"/>
    <col min="543" max="543" width="12" style="17" bestFit="1" customWidth="1"/>
    <col min="544" max="544" width="14.81640625" style="17" customWidth="1"/>
    <col min="545" max="794" width="11.453125" style="17"/>
    <col min="795" max="795" width="18.7265625" style="17" customWidth="1"/>
    <col min="796" max="796" width="13.7265625" style="17" bestFit="1" customWidth="1"/>
    <col min="797" max="797" width="17.26953125" style="17" customWidth="1"/>
    <col min="798" max="798" width="11" style="17" customWidth="1"/>
    <col min="799" max="799" width="12" style="17" bestFit="1" customWidth="1"/>
    <col min="800" max="800" width="14.81640625" style="17" customWidth="1"/>
    <col min="801" max="1050" width="11.453125" style="17"/>
    <col min="1051" max="1051" width="18.7265625" style="17" customWidth="1"/>
    <col min="1052" max="1052" width="13.7265625" style="17" bestFit="1" customWidth="1"/>
    <col min="1053" max="1053" width="17.26953125" style="17" customWidth="1"/>
    <col min="1054" max="1054" width="11" style="17" customWidth="1"/>
    <col min="1055" max="1055" width="12" style="17" bestFit="1" customWidth="1"/>
    <col min="1056" max="1056" width="14.81640625" style="17" customWidth="1"/>
    <col min="1057" max="1306" width="11.453125" style="17"/>
    <col min="1307" max="1307" width="18.7265625" style="17" customWidth="1"/>
    <col min="1308" max="1308" width="13.7265625" style="17" bestFit="1" customWidth="1"/>
    <col min="1309" max="1309" width="17.26953125" style="17" customWidth="1"/>
    <col min="1310" max="1310" width="11" style="17" customWidth="1"/>
    <col min="1311" max="1311" width="12" style="17" bestFit="1" customWidth="1"/>
    <col min="1312" max="1312" width="14.81640625" style="17" customWidth="1"/>
    <col min="1313" max="1562" width="11.453125" style="17"/>
    <col min="1563" max="1563" width="18.7265625" style="17" customWidth="1"/>
    <col min="1564" max="1564" width="13.7265625" style="17" bestFit="1" customWidth="1"/>
    <col min="1565" max="1565" width="17.26953125" style="17" customWidth="1"/>
    <col min="1566" max="1566" width="11" style="17" customWidth="1"/>
    <col min="1567" max="1567" width="12" style="17" bestFit="1" customWidth="1"/>
    <col min="1568" max="1568" width="14.81640625" style="17" customWidth="1"/>
    <col min="1569" max="1818" width="11.453125" style="17"/>
    <col min="1819" max="1819" width="18.7265625" style="17" customWidth="1"/>
    <col min="1820" max="1820" width="13.7265625" style="17" bestFit="1" customWidth="1"/>
    <col min="1821" max="1821" width="17.26953125" style="17" customWidth="1"/>
    <col min="1822" max="1822" width="11" style="17" customWidth="1"/>
    <col min="1823" max="1823" width="12" style="17" bestFit="1" customWidth="1"/>
    <col min="1824" max="1824" width="14.81640625" style="17" customWidth="1"/>
    <col min="1825" max="2074" width="11.453125" style="17"/>
    <col min="2075" max="2075" width="18.7265625" style="17" customWidth="1"/>
    <col min="2076" max="2076" width="13.7265625" style="17" bestFit="1" customWidth="1"/>
    <col min="2077" max="2077" width="17.26953125" style="17" customWidth="1"/>
    <col min="2078" max="2078" width="11" style="17" customWidth="1"/>
    <col min="2079" max="2079" width="12" style="17" bestFit="1" customWidth="1"/>
    <col min="2080" max="2080" width="14.81640625" style="17" customWidth="1"/>
    <col min="2081" max="2330" width="11.453125" style="17"/>
    <col min="2331" max="2331" width="18.7265625" style="17" customWidth="1"/>
    <col min="2332" max="2332" width="13.7265625" style="17" bestFit="1" customWidth="1"/>
    <col min="2333" max="2333" width="17.26953125" style="17" customWidth="1"/>
    <col min="2334" max="2334" width="11" style="17" customWidth="1"/>
    <col min="2335" max="2335" width="12" style="17" bestFit="1" customWidth="1"/>
    <col min="2336" max="2336" width="14.81640625" style="17" customWidth="1"/>
    <col min="2337" max="2586" width="11.453125" style="17"/>
    <col min="2587" max="2587" width="18.7265625" style="17" customWidth="1"/>
    <col min="2588" max="2588" width="13.7265625" style="17" bestFit="1" customWidth="1"/>
    <col min="2589" max="2589" width="17.26953125" style="17" customWidth="1"/>
    <col min="2590" max="2590" width="11" style="17" customWidth="1"/>
    <col min="2591" max="2591" width="12" style="17" bestFit="1" customWidth="1"/>
    <col min="2592" max="2592" width="14.81640625" style="17" customWidth="1"/>
    <col min="2593" max="2842" width="11.453125" style="17"/>
    <col min="2843" max="2843" width="18.7265625" style="17" customWidth="1"/>
    <col min="2844" max="2844" width="13.7265625" style="17" bestFit="1" customWidth="1"/>
    <col min="2845" max="2845" width="17.26953125" style="17" customWidth="1"/>
    <col min="2846" max="2846" width="11" style="17" customWidth="1"/>
    <col min="2847" max="2847" width="12" style="17" bestFit="1" customWidth="1"/>
    <col min="2848" max="2848" width="14.81640625" style="17" customWidth="1"/>
    <col min="2849" max="3098" width="11.453125" style="17"/>
    <col min="3099" max="3099" width="18.7265625" style="17" customWidth="1"/>
    <col min="3100" max="3100" width="13.7265625" style="17" bestFit="1" customWidth="1"/>
    <col min="3101" max="3101" width="17.26953125" style="17" customWidth="1"/>
    <col min="3102" max="3102" width="11" style="17" customWidth="1"/>
    <col min="3103" max="3103" width="12" style="17" bestFit="1" customWidth="1"/>
    <col min="3104" max="3104" width="14.81640625" style="17" customWidth="1"/>
    <col min="3105" max="3354" width="11.453125" style="17"/>
    <col min="3355" max="3355" width="18.7265625" style="17" customWidth="1"/>
    <col min="3356" max="3356" width="13.7265625" style="17" bestFit="1" customWidth="1"/>
    <col min="3357" max="3357" width="17.26953125" style="17" customWidth="1"/>
    <col min="3358" max="3358" width="11" style="17" customWidth="1"/>
    <col min="3359" max="3359" width="12" style="17" bestFit="1" customWidth="1"/>
    <col min="3360" max="3360" width="14.81640625" style="17" customWidth="1"/>
    <col min="3361" max="3610" width="11.453125" style="17"/>
    <col min="3611" max="3611" width="18.7265625" style="17" customWidth="1"/>
    <col min="3612" max="3612" width="13.7265625" style="17" bestFit="1" customWidth="1"/>
    <col min="3613" max="3613" width="17.26953125" style="17" customWidth="1"/>
    <col min="3614" max="3614" width="11" style="17" customWidth="1"/>
    <col min="3615" max="3615" width="12" style="17" bestFit="1" customWidth="1"/>
    <col min="3616" max="3616" width="14.81640625" style="17" customWidth="1"/>
    <col min="3617" max="3866" width="11.453125" style="17"/>
    <col min="3867" max="3867" width="18.7265625" style="17" customWidth="1"/>
    <col min="3868" max="3868" width="13.7265625" style="17" bestFit="1" customWidth="1"/>
    <col min="3869" max="3869" width="17.26953125" style="17" customWidth="1"/>
    <col min="3870" max="3870" width="11" style="17" customWidth="1"/>
    <col min="3871" max="3871" width="12" style="17" bestFit="1" customWidth="1"/>
    <col min="3872" max="3872" width="14.81640625" style="17" customWidth="1"/>
    <col min="3873" max="4122" width="11.453125" style="17"/>
    <col min="4123" max="4123" width="18.7265625" style="17" customWidth="1"/>
    <col min="4124" max="4124" width="13.7265625" style="17" bestFit="1" customWidth="1"/>
    <col min="4125" max="4125" width="17.26953125" style="17" customWidth="1"/>
    <col min="4126" max="4126" width="11" style="17" customWidth="1"/>
    <col min="4127" max="4127" width="12" style="17" bestFit="1" customWidth="1"/>
    <col min="4128" max="4128" width="14.81640625" style="17" customWidth="1"/>
    <col min="4129" max="4378" width="11.453125" style="17"/>
    <col min="4379" max="4379" width="18.7265625" style="17" customWidth="1"/>
    <col min="4380" max="4380" width="13.7265625" style="17" bestFit="1" customWidth="1"/>
    <col min="4381" max="4381" width="17.26953125" style="17" customWidth="1"/>
    <col min="4382" max="4382" width="11" style="17" customWidth="1"/>
    <col min="4383" max="4383" width="12" style="17" bestFit="1" customWidth="1"/>
    <col min="4384" max="4384" width="14.81640625" style="17" customWidth="1"/>
    <col min="4385" max="4634" width="11.453125" style="17"/>
    <col min="4635" max="4635" width="18.7265625" style="17" customWidth="1"/>
    <col min="4636" max="4636" width="13.7265625" style="17" bestFit="1" customWidth="1"/>
    <col min="4637" max="4637" width="17.26953125" style="17" customWidth="1"/>
    <col min="4638" max="4638" width="11" style="17" customWidth="1"/>
    <col min="4639" max="4639" width="12" style="17" bestFit="1" customWidth="1"/>
    <col min="4640" max="4640" width="14.81640625" style="17" customWidth="1"/>
    <col min="4641" max="4890" width="11.453125" style="17"/>
    <col min="4891" max="4891" width="18.7265625" style="17" customWidth="1"/>
    <col min="4892" max="4892" width="13.7265625" style="17" bestFit="1" customWidth="1"/>
    <col min="4893" max="4893" width="17.26953125" style="17" customWidth="1"/>
    <col min="4894" max="4894" width="11" style="17" customWidth="1"/>
    <col min="4895" max="4895" width="12" style="17" bestFit="1" customWidth="1"/>
    <col min="4896" max="4896" width="14.81640625" style="17" customWidth="1"/>
    <col min="4897" max="5146" width="11.453125" style="17"/>
    <col min="5147" max="5147" width="18.7265625" style="17" customWidth="1"/>
    <col min="5148" max="5148" width="13.7265625" style="17" bestFit="1" customWidth="1"/>
    <col min="5149" max="5149" width="17.26953125" style="17" customWidth="1"/>
    <col min="5150" max="5150" width="11" style="17" customWidth="1"/>
    <col min="5151" max="5151" width="12" style="17" bestFit="1" customWidth="1"/>
    <col min="5152" max="5152" width="14.81640625" style="17" customWidth="1"/>
    <col min="5153" max="5402" width="11.453125" style="17"/>
    <col min="5403" max="5403" width="18.7265625" style="17" customWidth="1"/>
    <col min="5404" max="5404" width="13.7265625" style="17" bestFit="1" customWidth="1"/>
    <col min="5405" max="5405" width="17.26953125" style="17" customWidth="1"/>
    <col min="5406" max="5406" width="11" style="17" customWidth="1"/>
    <col min="5407" max="5407" width="12" style="17" bestFit="1" customWidth="1"/>
    <col min="5408" max="5408" width="14.81640625" style="17" customWidth="1"/>
    <col min="5409" max="5658" width="11.453125" style="17"/>
    <col min="5659" max="5659" width="18.7265625" style="17" customWidth="1"/>
    <col min="5660" max="5660" width="13.7265625" style="17" bestFit="1" customWidth="1"/>
    <col min="5661" max="5661" width="17.26953125" style="17" customWidth="1"/>
    <col min="5662" max="5662" width="11" style="17" customWidth="1"/>
    <col min="5663" max="5663" width="12" style="17" bestFit="1" customWidth="1"/>
    <col min="5664" max="5664" width="14.81640625" style="17" customWidth="1"/>
    <col min="5665" max="5914" width="11.453125" style="17"/>
    <col min="5915" max="5915" width="18.7265625" style="17" customWidth="1"/>
    <col min="5916" max="5916" width="13.7265625" style="17" bestFit="1" customWidth="1"/>
    <col min="5917" max="5917" width="17.26953125" style="17" customWidth="1"/>
    <col min="5918" max="5918" width="11" style="17" customWidth="1"/>
    <col min="5919" max="5919" width="12" style="17" bestFit="1" customWidth="1"/>
    <col min="5920" max="5920" width="14.81640625" style="17" customWidth="1"/>
    <col min="5921" max="6170" width="11.453125" style="17"/>
    <col min="6171" max="6171" width="18.7265625" style="17" customWidth="1"/>
    <col min="6172" max="6172" width="13.7265625" style="17" bestFit="1" customWidth="1"/>
    <col min="6173" max="6173" width="17.26953125" style="17" customWidth="1"/>
    <col min="6174" max="6174" width="11" style="17" customWidth="1"/>
    <col min="6175" max="6175" width="12" style="17" bestFit="1" customWidth="1"/>
    <col min="6176" max="6176" width="14.81640625" style="17" customWidth="1"/>
    <col min="6177" max="6426" width="11.453125" style="17"/>
    <col min="6427" max="6427" width="18.7265625" style="17" customWidth="1"/>
    <col min="6428" max="6428" width="13.7265625" style="17" bestFit="1" customWidth="1"/>
    <col min="6429" max="6429" width="17.26953125" style="17" customWidth="1"/>
    <col min="6430" max="6430" width="11" style="17" customWidth="1"/>
    <col min="6431" max="6431" width="12" style="17" bestFit="1" customWidth="1"/>
    <col min="6432" max="6432" width="14.81640625" style="17" customWidth="1"/>
    <col min="6433" max="6682" width="11.453125" style="17"/>
    <col min="6683" max="6683" width="18.7265625" style="17" customWidth="1"/>
    <col min="6684" max="6684" width="13.7265625" style="17" bestFit="1" customWidth="1"/>
    <col min="6685" max="6685" width="17.26953125" style="17" customWidth="1"/>
    <col min="6686" max="6686" width="11" style="17" customWidth="1"/>
    <col min="6687" max="6687" width="12" style="17" bestFit="1" customWidth="1"/>
    <col min="6688" max="6688" width="14.81640625" style="17" customWidth="1"/>
    <col min="6689" max="6938" width="11.453125" style="17"/>
    <col min="6939" max="6939" width="18.7265625" style="17" customWidth="1"/>
    <col min="6940" max="6940" width="13.7265625" style="17" bestFit="1" customWidth="1"/>
    <col min="6941" max="6941" width="17.26953125" style="17" customWidth="1"/>
    <col min="6942" max="6942" width="11" style="17" customWidth="1"/>
    <col min="6943" max="6943" width="12" style="17" bestFit="1" customWidth="1"/>
    <col min="6944" max="6944" width="14.81640625" style="17" customWidth="1"/>
    <col min="6945" max="7194" width="11.453125" style="17"/>
    <col min="7195" max="7195" width="18.7265625" style="17" customWidth="1"/>
    <col min="7196" max="7196" width="13.7265625" style="17" bestFit="1" customWidth="1"/>
    <col min="7197" max="7197" width="17.26953125" style="17" customWidth="1"/>
    <col min="7198" max="7198" width="11" style="17" customWidth="1"/>
    <col min="7199" max="7199" width="12" style="17" bestFit="1" customWidth="1"/>
    <col min="7200" max="7200" width="14.81640625" style="17" customWidth="1"/>
    <col min="7201" max="7450" width="11.453125" style="17"/>
    <col min="7451" max="7451" width="18.7265625" style="17" customWidth="1"/>
    <col min="7452" max="7452" width="13.7265625" style="17" bestFit="1" customWidth="1"/>
    <col min="7453" max="7453" width="17.26953125" style="17" customWidth="1"/>
    <col min="7454" max="7454" width="11" style="17" customWidth="1"/>
    <col min="7455" max="7455" width="12" style="17" bestFit="1" customWidth="1"/>
    <col min="7456" max="7456" width="14.81640625" style="17" customWidth="1"/>
    <col min="7457" max="7706" width="11.453125" style="17"/>
    <col min="7707" max="7707" width="18.7265625" style="17" customWidth="1"/>
    <col min="7708" max="7708" width="13.7265625" style="17" bestFit="1" customWidth="1"/>
    <col min="7709" max="7709" width="17.26953125" style="17" customWidth="1"/>
    <col min="7710" max="7710" width="11" style="17" customWidth="1"/>
    <col min="7711" max="7711" width="12" style="17" bestFit="1" customWidth="1"/>
    <col min="7712" max="7712" width="14.81640625" style="17" customWidth="1"/>
    <col min="7713" max="7962" width="11.453125" style="17"/>
    <col min="7963" max="7963" width="18.7265625" style="17" customWidth="1"/>
    <col min="7964" max="7964" width="13.7265625" style="17" bestFit="1" customWidth="1"/>
    <col min="7965" max="7965" width="17.26953125" style="17" customWidth="1"/>
    <col min="7966" max="7966" width="11" style="17" customWidth="1"/>
    <col min="7967" max="7967" width="12" style="17" bestFit="1" customWidth="1"/>
    <col min="7968" max="7968" width="14.81640625" style="17" customWidth="1"/>
    <col min="7969" max="8218" width="11.453125" style="17"/>
    <col min="8219" max="8219" width="18.7265625" style="17" customWidth="1"/>
    <col min="8220" max="8220" width="13.7265625" style="17" bestFit="1" customWidth="1"/>
    <col min="8221" max="8221" width="17.26953125" style="17" customWidth="1"/>
    <col min="8222" max="8222" width="11" style="17" customWidth="1"/>
    <col min="8223" max="8223" width="12" style="17" bestFit="1" customWidth="1"/>
    <col min="8224" max="8224" width="14.81640625" style="17" customWidth="1"/>
    <col min="8225" max="8474" width="11.453125" style="17"/>
    <col min="8475" max="8475" width="18.7265625" style="17" customWidth="1"/>
    <col min="8476" max="8476" width="13.7265625" style="17" bestFit="1" customWidth="1"/>
    <col min="8477" max="8477" width="17.26953125" style="17" customWidth="1"/>
    <col min="8478" max="8478" width="11" style="17" customWidth="1"/>
    <col min="8479" max="8479" width="12" style="17" bestFit="1" customWidth="1"/>
    <col min="8480" max="8480" width="14.81640625" style="17" customWidth="1"/>
    <col min="8481" max="8730" width="11.453125" style="17"/>
    <col min="8731" max="8731" width="18.7265625" style="17" customWidth="1"/>
    <col min="8732" max="8732" width="13.7265625" style="17" bestFit="1" customWidth="1"/>
    <col min="8733" max="8733" width="17.26953125" style="17" customWidth="1"/>
    <col min="8734" max="8734" width="11" style="17" customWidth="1"/>
    <col min="8735" max="8735" width="12" style="17" bestFit="1" customWidth="1"/>
    <col min="8736" max="8736" width="14.81640625" style="17" customWidth="1"/>
    <col min="8737" max="8986" width="11.453125" style="17"/>
    <col min="8987" max="8987" width="18.7265625" style="17" customWidth="1"/>
    <col min="8988" max="8988" width="13.7265625" style="17" bestFit="1" customWidth="1"/>
    <col min="8989" max="8989" width="17.26953125" style="17" customWidth="1"/>
    <col min="8990" max="8990" width="11" style="17" customWidth="1"/>
    <col min="8991" max="8991" width="12" style="17" bestFit="1" customWidth="1"/>
    <col min="8992" max="8992" width="14.81640625" style="17" customWidth="1"/>
    <col min="8993" max="9242" width="11.453125" style="17"/>
    <col min="9243" max="9243" width="18.7265625" style="17" customWidth="1"/>
    <col min="9244" max="9244" width="13.7265625" style="17" bestFit="1" customWidth="1"/>
    <col min="9245" max="9245" width="17.26953125" style="17" customWidth="1"/>
    <col min="9246" max="9246" width="11" style="17" customWidth="1"/>
    <col min="9247" max="9247" width="12" style="17" bestFit="1" customWidth="1"/>
    <col min="9248" max="9248" width="14.81640625" style="17" customWidth="1"/>
    <col min="9249" max="9498" width="11.453125" style="17"/>
    <col min="9499" max="9499" width="18.7265625" style="17" customWidth="1"/>
    <col min="9500" max="9500" width="13.7265625" style="17" bestFit="1" customWidth="1"/>
    <col min="9501" max="9501" width="17.26953125" style="17" customWidth="1"/>
    <col min="9502" max="9502" width="11" style="17" customWidth="1"/>
    <col min="9503" max="9503" width="12" style="17" bestFit="1" customWidth="1"/>
    <col min="9504" max="9504" width="14.81640625" style="17" customWidth="1"/>
    <col min="9505" max="9754" width="11.453125" style="17"/>
    <col min="9755" max="9755" width="18.7265625" style="17" customWidth="1"/>
    <col min="9756" max="9756" width="13.7265625" style="17" bestFit="1" customWidth="1"/>
    <col min="9757" max="9757" width="17.26953125" style="17" customWidth="1"/>
    <col min="9758" max="9758" width="11" style="17" customWidth="1"/>
    <col min="9759" max="9759" width="12" style="17" bestFit="1" customWidth="1"/>
    <col min="9760" max="9760" width="14.81640625" style="17" customWidth="1"/>
    <col min="9761" max="10010" width="11.453125" style="17"/>
    <col min="10011" max="10011" width="18.7265625" style="17" customWidth="1"/>
    <col min="10012" max="10012" width="13.7265625" style="17" bestFit="1" customWidth="1"/>
    <col min="10013" max="10013" width="17.26953125" style="17" customWidth="1"/>
    <col min="10014" max="10014" width="11" style="17" customWidth="1"/>
    <col min="10015" max="10015" width="12" style="17" bestFit="1" customWidth="1"/>
    <col min="10016" max="10016" width="14.81640625" style="17" customWidth="1"/>
    <col min="10017" max="10266" width="11.453125" style="17"/>
    <col min="10267" max="10267" width="18.7265625" style="17" customWidth="1"/>
    <col min="10268" max="10268" width="13.7265625" style="17" bestFit="1" customWidth="1"/>
    <col min="10269" max="10269" width="17.26953125" style="17" customWidth="1"/>
    <col min="10270" max="10270" width="11" style="17" customWidth="1"/>
    <col min="10271" max="10271" width="12" style="17" bestFit="1" customWidth="1"/>
    <col min="10272" max="10272" width="14.81640625" style="17" customWidth="1"/>
    <col min="10273" max="10522" width="11.453125" style="17"/>
    <col min="10523" max="10523" width="18.7265625" style="17" customWidth="1"/>
    <col min="10524" max="10524" width="13.7265625" style="17" bestFit="1" customWidth="1"/>
    <col min="10525" max="10525" width="17.26953125" style="17" customWidth="1"/>
    <col min="10526" max="10526" width="11" style="17" customWidth="1"/>
    <col min="10527" max="10527" width="12" style="17" bestFit="1" customWidth="1"/>
    <col min="10528" max="10528" width="14.81640625" style="17" customWidth="1"/>
    <col min="10529" max="10778" width="11.453125" style="17"/>
    <col min="10779" max="10779" width="18.7265625" style="17" customWidth="1"/>
    <col min="10780" max="10780" width="13.7265625" style="17" bestFit="1" customWidth="1"/>
    <col min="10781" max="10781" width="17.26953125" style="17" customWidth="1"/>
    <col min="10782" max="10782" width="11" style="17" customWidth="1"/>
    <col min="10783" max="10783" width="12" style="17" bestFit="1" customWidth="1"/>
    <col min="10784" max="10784" width="14.81640625" style="17" customWidth="1"/>
    <col min="10785" max="11034" width="11.453125" style="17"/>
    <col min="11035" max="11035" width="18.7265625" style="17" customWidth="1"/>
    <col min="11036" max="11036" width="13.7265625" style="17" bestFit="1" customWidth="1"/>
    <col min="11037" max="11037" width="17.26953125" style="17" customWidth="1"/>
    <col min="11038" max="11038" width="11" style="17" customWidth="1"/>
    <col min="11039" max="11039" width="12" style="17" bestFit="1" customWidth="1"/>
    <col min="11040" max="11040" width="14.81640625" style="17" customWidth="1"/>
    <col min="11041" max="11290" width="11.453125" style="17"/>
    <col min="11291" max="11291" width="18.7265625" style="17" customWidth="1"/>
    <col min="11292" max="11292" width="13.7265625" style="17" bestFit="1" customWidth="1"/>
    <col min="11293" max="11293" width="17.26953125" style="17" customWidth="1"/>
    <col min="11294" max="11294" width="11" style="17" customWidth="1"/>
    <col min="11295" max="11295" width="12" style="17" bestFit="1" customWidth="1"/>
    <col min="11296" max="11296" width="14.81640625" style="17" customWidth="1"/>
    <col min="11297" max="11546" width="11.453125" style="17"/>
    <col min="11547" max="11547" width="18.7265625" style="17" customWidth="1"/>
    <col min="11548" max="11548" width="13.7265625" style="17" bestFit="1" customWidth="1"/>
    <col min="11549" max="11549" width="17.26953125" style="17" customWidth="1"/>
    <col min="11550" max="11550" width="11" style="17" customWidth="1"/>
    <col min="11551" max="11551" width="12" style="17" bestFit="1" customWidth="1"/>
    <col min="11552" max="11552" width="14.81640625" style="17" customWidth="1"/>
    <col min="11553" max="11802" width="11.453125" style="17"/>
    <col min="11803" max="11803" width="18.7265625" style="17" customWidth="1"/>
    <col min="11804" max="11804" width="13.7265625" style="17" bestFit="1" customWidth="1"/>
    <col min="11805" max="11805" width="17.26953125" style="17" customWidth="1"/>
    <col min="11806" max="11806" width="11" style="17" customWidth="1"/>
    <col min="11807" max="11807" width="12" style="17" bestFit="1" customWidth="1"/>
    <col min="11808" max="11808" width="14.81640625" style="17" customWidth="1"/>
    <col min="11809" max="12058" width="11.453125" style="17"/>
    <col min="12059" max="12059" width="18.7265625" style="17" customWidth="1"/>
    <col min="12060" max="12060" width="13.7265625" style="17" bestFit="1" customWidth="1"/>
    <col min="12061" max="12061" width="17.26953125" style="17" customWidth="1"/>
    <col min="12062" max="12062" width="11" style="17" customWidth="1"/>
    <col min="12063" max="12063" width="12" style="17" bestFit="1" customWidth="1"/>
    <col min="12064" max="12064" width="14.81640625" style="17" customWidth="1"/>
    <col min="12065" max="12314" width="11.453125" style="17"/>
    <col min="12315" max="12315" width="18.7265625" style="17" customWidth="1"/>
    <col min="12316" max="12316" width="13.7265625" style="17" bestFit="1" customWidth="1"/>
    <col min="12317" max="12317" width="17.26953125" style="17" customWidth="1"/>
    <col min="12318" max="12318" width="11" style="17" customWidth="1"/>
    <col min="12319" max="12319" width="12" style="17" bestFit="1" customWidth="1"/>
    <col min="12320" max="12320" width="14.81640625" style="17" customWidth="1"/>
    <col min="12321" max="12570" width="11.453125" style="17"/>
    <col min="12571" max="12571" width="18.7265625" style="17" customWidth="1"/>
    <col min="12572" max="12572" width="13.7265625" style="17" bestFit="1" customWidth="1"/>
    <col min="12573" max="12573" width="17.26953125" style="17" customWidth="1"/>
    <col min="12574" max="12574" width="11" style="17" customWidth="1"/>
    <col min="12575" max="12575" width="12" style="17" bestFit="1" customWidth="1"/>
    <col min="12576" max="12576" width="14.81640625" style="17" customWidth="1"/>
    <col min="12577" max="12826" width="11.453125" style="17"/>
    <col min="12827" max="12827" width="18.7265625" style="17" customWidth="1"/>
    <col min="12828" max="12828" width="13.7265625" style="17" bestFit="1" customWidth="1"/>
    <col min="12829" max="12829" width="17.26953125" style="17" customWidth="1"/>
    <col min="12830" max="12830" width="11" style="17" customWidth="1"/>
    <col min="12831" max="12831" width="12" style="17" bestFit="1" customWidth="1"/>
    <col min="12832" max="12832" width="14.81640625" style="17" customWidth="1"/>
    <col min="12833" max="13082" width="11.453125" style="17"/>
    <col min="13083" max="13083" width="18.7265625" style="17" customWidth="1"/>
    <col min="13084" max="13084" width="13.7265625" style="17" bestFit="1" customWidth="1"/>
    <col min="13085" max="13085" width="17.26953125" style="17" customWidth="1"/>
    <col min="13086" max="13086" width="11" style="17" customWidth="1"/>
    <col min="13087" max="13087" width="12" style="17" bestFit="1" customWidth="1"/>
    <col min="13088" max="13088" width="14.81640625" style="17" customWidth="1"/>
    <col min="13089" max="13338" width="11.453125" style="17"/>
    <col min="13339" max="13339" width="18.7265625" style="17" customWidth="1"/>
    <col min="13340" max="13340" width="13.7265625" style="17" bestFit="1" customWidth="1"/>
    <col min="13341" max="13341" width="17.26953125" style="17" customWidth="1"/>
    <col min="13342" max="13342" width="11" style="17" customWidth="1"/>
    <col min="13343" max="13343" width="12" style="17" bestFit="1" customWidth="1"/>
    <col min="13344" max="13344" width="14.81640625" style="17" customWidth="1"/>
    <col min="13345" max="13594" width="11.453125" style="17"/>
    <col min="13595" max="13595" width="18.7265625" style="17" customWidth="1"/>
    <col min="13596" max="13596" width="13.7265625" style="17" bestFit="1" customWidth="1"/>
    <col min="13597" max="13597" width="17.26953125" style="17" customWidth="1"/>
    <col min="13598" max="13598" width="11" style="17" customWidth="1"/>
    <col min="13599" max="13599" width="12" style="17" bestFit="1" customWidth="1"/>
    <col min="13600" max="13600" width="14.81640625" style="17" customWidth="1"/>
    <col min="13601" max="13850" width="11.453125" style="17"/>
    <col min="13851" max="13851" width="18.7265625" style="17" customWidth="1"/>
    <col min="13852" max="13852" width="13.7265625" style="17" bestFit="1" customWidth="1"/>
    <col min="13853" max="13853" width="17.26953125" style="17" customWidth="1"/>
    <col min="13854" max="13854" width="11" style="17" customWidth="1"/>
    <col min="13855" max="13855" width="12" style="17" bestFit="1" customWidth="1"/>
    <col min="13856" max="13856" width="14.81640625" style="17" customWidth="1"/>
    <col min="13857" max="14106" width="11.453125" style="17"/>
    <col min="14107" max="14107" width="18.7265625" style="17" customWidth="1"/>
    <col min="14108" max="14108" width="13.7265625" style="17" bestFit="1" customWidth="1"/>
    <col min="14109" max="14109" width="17.26953125" style="17" customWidth="1"/>
    <col min="14110" max="14110" width="11" style="17" customWidth="1"/>
    <col min="14111" max="14111" width="12" style="17" bestFit="1" customWidth="1"/>
    <col min="14112" max="14112" width="14.81640625" style="17" customWidth="1"/>
    <col min="14113" max="14362" width="11.453125" style="17"/>
    <col min="14363" max="14363" width="18.7265625" style="17" customWidth="1"/>
    <col min="14364" max="14364" width="13.7265625" style="17" bestFit="1" customWidth="1"/>
    <col min="14365" max="14365" width="17.26953125" style="17" customWidth="1"/>
    <col min="14366" max="14366" width="11" style="17" customWidth="1"/>
    <col min="14367" max="14367" width="12" style="17" bestFit="1" customWidth="1"/>
    <col min="14368" max="14368" width="14.81640625" style="17" customWidth="1"/>
    <col min="14369" max="14618" width="11.453125" style="17"/>
    <col min="14619" max="14619" width="18.7265625" style="17" customWidth="1"/>
    <col min="14620" max="14620" width="13.7265625" style="17" bestFit="1" customWidth="1"/>
    <col min="14621" max="14621" width="17.26953125" style="17" customWidth="1"/>
    <col min="14622" max="14622" width="11" style="17" customWidth="1"/>
    <col min="14623" max="14623" width="12" style="17" bestFit="1" customWidth="1"/>
    <col min="14624" max="14624" width="14.81640625" style="17" customWidth="1"/>
    <col min="14625" max="14874" width="11.453125" style="17"/>
    <col min="14875" max="14875" width="18.7265625" style="17" customWidth="1"/>
    <col min="14876" max="14876" width="13.7265625" style="17" bestFit="1" customWidth="1"/>
    <col min="14877" max="14877" width="17.26953125" style="17" customWidth="1"/>
    <col min="14878" max="14878" width="11" style="17" customWidth="1"/>
    <col min="14879" max="14879" width="12" style="17" bestFit="1" customWidth="1"/>
    <col min="14880" max="14880" width="14.81640625" style="17" customWidth="1"/>
    <col min="14881" max="15130" width="11.453125" style="17"/>
    <col min="15131" max="15131" width="18.7265625" style="17" customWidth="1"/>
    <col min="15132" max="15132" width="13.7265625" style="17" bestFit="1" customWidth="1"/>
    <col min="15133" max="15133" width="17.26953125" style="17" customWidth="1"/>
    <col min="15134" max="15134" width="11" style="17" customWidth="1"/>
    <col min="15135" max="15135" width="12" style="17" bestFit="1" customWidth="1"/>
    <col min="15136" max="15136" width="14.81640625" style="17" customWidth="1"/>
    <col min="15137" max="15386" width="11.453125" style="17"/>
    <col min="15387" max="15387" width="18.7265625" style="17" customWidth="1"/>
    <col min="15388" max="15388" width="13.7265625" style="17" bestFit="1" customWidth="1"/>
    <col min="15389" max="15389" width="17.26953125" style="17" customWidth="1"/>
    <col min="15390" max="15390" width="11" style="17" customWidth="1"/>
    <col min="15391" max="15391" width="12" style="17" bestFit="1" customWidth="1"/>
    <col min="15392" max="15392" width="14.81640625" style="17" customWidth="1"/>
    <col min="15393" max="15642" width="11.453125" style="17"/>
    <col min="15643" max="15643" width="18.7265625" style="17" customWidth="1"/>
    <col min="15644" max="15644" width="13.7265625" style="17" bestFit="1" customWidth="1"/>
    <col min="15645" max="15645" width="17.26953125" style="17" customWidth="1"/>
    <col min="15646" max="15646" width="11" style="17" customWidth="1"/>
    <col min="15647" max="15647" width="12" style="17" bestFit="1" customWidth="1"/>
    <col min="15648" max="15648" width="14.81640625" style="17" customWidth="1"/>
    <col min="15649" max="15898" width="11.453125" style="17"/>
    <col min="15899" max="15899" width="18.7265625" style="17" customWidth="1"/>
    <col min="15900" max="15900" width="13.7265625" style="17" bestFit="1" customWidth="1"/>
    <col min="15901" max="15901" width="17.26953125" style="17" customWidth="1"/>
    <col min="15902" max="15902" width="11" style="17" customWidth="1"/>
    <col min="15903" max="15903" width="12" style="17" bestFit="1" customWidth="1"/>
    <col min="15904" max="15904" width="14.81640625" style="17" customWidth="1"/>
    <col min="15905" max="16154" width="11.453125" style="17"/>
    <col min="16155" max="16155" width="18.7265625" style="17" customWidth="1"/>
    <col min="16156" max="16156" width="13.7265625" style="17" bestFit="1" customWidth="1"/>
    <col min="16157" max="16157" width="17.26953125" style="17" customWidth="1"/>
    <col min="16158" max="16158" width="11" style="17" customWidth="1"/>
    <col min="16159" max="16159" width="12" style="17" bestFit="1" customWidth="1"/>
    <col min="16160" max="16160" width="14.81640625" style="17" customWidth="1"/>
    <col min="16161" max="16384" width="11.453125" style="17"/>
  </cols>
  <sheetData>
    <row r="2" spans="1:37" x14ac:dyDescent="0.25">
      <c r="A2" s="17" t="s">
        <v>70</v>
      </c>
      <c r="B2" s="66">
        <f>'pooled normalised values'!B75</f>
        <v>0.15229055770800312</v>
      </c>
      <c r="D2" s="17" t="s">
        <v>9</v>
      </c>
      <c r="E2" s="18"/>
      <c r="F2" s="19" t="str">
        <f>'pooled normalised values'!J74</f>
        <v>Testo-11µg/L</v>
      </c>
      <c r="G2" s="19" t="str">
        <f>'pooled normalised values'!K74</f>
        <v>Testo-33µg/L</v>
      </c>
      <c r="H2" s="19" t="str">
        <f>'pooled normalised values'!L74</f>
        <v>Testo-100µg/L</v>
      </c>
      <c r="I2" s="19" t="str">
        <f>'pooled normalised values'!M74</f>
        <v>Testo-300µg/L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Testo-3,7µg/L + Testostérone</v>
      </c>
      <c r="W2" s="19" t="str">
        <f>'pooled normalised values'!S74</f>
        <v>Testo-11µg/L + Testostérone</v>
      </c>
      <c r="X2" s="19" t="str">
        <f>'pooled normalised values'!T74</f>
        <v>Testo-33µg/L + Testostérone</v>
      </c>
      <c r="Y2" s="19" t="str">
        <f>'pooled normalised values'!U74</f>
        <v>Testo-100µg/L + Testostérone</v>
      </c>
      <c r="Z2" s="19" t="str">
        <f>'pooled normalised values'!V74</f>
        <v>Testo-300µg/L + Testostérone</v>
      </c>
      <c r="AA2" s="19" t="str">
        <f>'pooled normalised values'!W74</f>
        <v>0-00 + Testostérone</v>
      </c>
      <c r="AB2" s="19" t="str">
        <f>'pooled normalised values'!X74</f>
        <v>0-00 + Testostérone</v>
      </c>
      <c r="AC2" s="19" t="str">
        <f>'pooled normalised values'!Y74</f>
        <v>0-00 + Testostérone</v>
      </c>
      <c r="AD2" s="19" t="str">
        <f>'pooled normalised values'!Z74</f>
        <v>0-00 + Testostérone</v>
      </c>
      <c r="AE2" s="19" t="str">
        <f>'pooled normalised values'!AA74</f>
        <v>0-00 + Testostérone</v>
      </c>
      <c r="AF2" s="19" t="str">
        <f>'pooled normalised values'!AB74</f>
        <v>0-00 + Testostérone</v>
      </c>
      <c r="AG2" s="19" t="str">
        <f>'pooled normalised values'!AC74</f>
        <v>0-00 + Testostérone</v>
      </c>
      <c r="AH2" s="19" t="str">
        <f>'pooled normalised values'!AD74</f>
        <v>0-00 + Testostérone</v>
      </c>
      <c r="AI2" s="19" t="str">
        <f>'pooled normalised values'!AK74</f>
        <v>0-00 + Testostérone</v>
      </c>
      <c r="AJ2" s="20"/>
      <c r="AK2" s="17" t="s">
        <v>9</v>
      </c>
    </row>
    <row r="3" spans="1:37" x14ac:dyDescent="0.25">
      <c r="A3" s="17" t="s">
        <v>71</v>
      </c>
      <c r="B3" s="66">
        <f>'summary results'!E6</f>
        <v>0</v>
      </c>
      <c r="D3" s="21" t="s">
        <v>10</v>
      </c>
      <c r="E3" s="22"/>
      <c r="F3" s="19">
        <f>HLOOKUP(F2,'pooled normalised values'!B74:AK83,2,FALSE)</f>
        <v>0.40590817188454914</v>
      </c>
      <c r="G3" s="19">
        <f>HLOOKUP(G2,'pooled normalised values'!C74:AL83,2,FALSE)</f>
        <v>1.0539260687771403</v>
      </c>
      <c r="H3" s="19">
        <f>HLOOKUP(H2,'pooled normalised values'!C74:AM83,2,FALSE)</f>
        <v>2.0003170311377221</v>
      </c>
      <c r="I3" s="19">
        <f>HLOOKUP(I2,'pooled normalised values'!D74:AN83,2,FALSE)</f>
        <v>2.3113546074511606</v>
      </c>
      <c r="J3" s="19" t="e">
        <f>HLOOKUP(J2,'pooled normalised values'!E74:AO83,2,FALSE)</f>
        <v>#REF!</v>
      </c>
      <c r="K3" s="19" t="e">
        <f>HLOOKUP(K2,'pooled normalised values'!F74:AP83,2,FALSE)</f>
        <v>#REF!</v>
      </c>
      <c r="L3" s="19" t="e">
        <f>HLOOKUP(L2,'pooled normalised values'!G74:AQ83,2,FALSE)</f>
        <v>#REF!</v>
      </c>
      <c r="M3" s="19" t="e">
        <f>HLOOKUP(M2,'pooled normalised values'!H74:AR83,2,FALSE)</f>
        <v>#REF!</v>
      </c>
      <c r="N3" s="19" t="e">
        <f>HLOOKUP(N2,'pooled normalised values'!I74:AS83,2,FALSE)</f>
        <v>#REF!</v>
      </c>
      <c r="O3" s="19" t="e">
        <f>HLOOKUP(O2,'pooled normalised values'!J74:AT83,2,FALSE)</f>
        <v>#REF!</v>
      </c>
      <c r="P3" s="19" t="e">
        <f>HLOOKUP(P2,'pooled normalised values'!K74:AU83,2,FALSE)</f>
        <v>#REF!</v>
      </c>
      <c r="Q3" s="19" t="e">
        <f>HLOOKUP(Q2,'pooled normalised values'!L74:AV83,2,FALSE)</f>
        <v>#REF!</v>
      </c>
      <c r="R3" s="19" t="e">
        <f>HLOOKUP(R2,'pooled normalised values'!M74:AW83,2,FALSE)</f>
        <v>#REF!</v>
      </c>
      <c r="S3" s="19" t="e">
        <f>HLOOKUP(S2,'pooled normalised values'!N74:AX83,2,FALSE)</f>
        <v>#REF!</v>
      </c>
      <c r="T3" s="22"/>
      <c r="U3" s="20"/>
      <c r="V3" s="19">
        <f>HLOOKUP(V2,'pooled normalised values'!N74:BA83,2,FALSE)</f>
        <v>1.2026042022653904</v>
      </c>
      <c r="W3" s="19">
        <f>HLOOKUP(W2,'pooled normalised values'!N74:BB83,2,FALSE)</f>
        <v>1.5460240242861774</v>
      </c>
      <c r="X3" s="19">
        <f>HLOOKUP(X2,'pooled normalised values'!N74:BC83,2,FALSE)</f>
        <v>1.2425321603986419</v>
      </c>
      <c r="Y3" s="19">
        <f>HLOOKUP(Y2,'pooled normalised values'!N74:BD83,2,FALSE)</f>
        <v>1.4548981748227832</v>
      </c>
      <c r="Z3" s="19">
        <f>HLOOKUP(Z2,'pooled normalised values'!N74:BE83,2,FALSE)</f>
        <v>1.8625814316310367</v>
      </c>
      <c r="AA3" s="19" t="e">
        <f>HLOOKUP(AA2,'pooled normalised values'!N74:BF83,2,FALSE)</f>
        <v>#DIV/0!</v>
      </c>
      <c r="AB3" s="19" t="e">
        <f>HLOOKUP(AB2,'pooled normalised values'!N74:BG83,2,FALSE)</f>
        <v>#DIV/0!</v>
      </c>
      <c r="AC3" s="19" t="e">
        <f>HLOOKUP(AC2,'pooled normalised values'!N74:BH83,2,FALSE)</f>
        <v>#DIV/0!</v>
      </c>
      <c r="AD3" s="19" t="e">
        <f>HLOOKUP(AD2,'pooled normalised values'!N74:BI83,2,FALSE)</f>
        <v>#DIV/0!</v>
      </c>
      <c r="AE3" s="19" t="e">
        <f>HLOOKUP(AE2,'pooled normalised values'!N74:BJ83,2,FALSE)</f>
        <v>#DIV/0!</v>
      </c>
      <c r="AF3" s="19" t="e">
        <f>HLOOKUP(AF2,'pooled normalised values'!N74:BK83,2,FALSE)</f>
        <v>#DIV/0!</v>
      </c>
      <c r="AG3" s="19" t="e">
        <f>HLOOKUP(AG2,'pooled normalised values'!N74:BL83,2,FALSE)</f>
        <v>#DIV/0!</v>
      </c>
      <c r="AH3" s="19" t="e">
        <f>HLOOKUP(AH2,'pooled normalised values'!N74:BM83,2,FALSE)</f>
        <v>#DIV/0!</v>
      </c>
      <c r="AI3" s="19" t="e">
        <f>HLOOKUP(AI2,'pooled normalised values'!N74:BN83,2,FALSE)</f>
        <v>#DIV/0!</v>
      </c>
      <c r="AJ3" s="20"/>
      <c r="AK3" s="21" t="s">
        <v>10</v>
      </c>
    </row>
    <row r="4" spans="1:37" x14ac:dyDescent="0.25">
      <c r="A4" s="17" t="s">
        <v>72</v>
      </c>
      <c r="B4" s="66">
        <f>'pooled normalised values'!O75</f>
        <v>1.0000000000000002</v>
      </c>
      <c r="D4" s="21" t="s">
        <v>2</v>
      </c>
      <c r="E4" s="22"/>
      <c r="F4" s="19">
        <f>HLOOKUP(F2,'pooled normalised values'!B74:AK83,3,FALSE)</f>
        <v>8.7099704942541836E-2</v>
      </c>
      <c r="G4" s="19">
        <f>HLOOKUP(G2,'pooled normalised values'!C74:AL83,3,FALSE)</f>
        <v>0.15673511786343813</v>
      </c>
      <c r="H4" s="19">
        <f>HLOOKUP(H2,'pooled normalised values'!C74:AM83,3,FALSE)</f>
        <v>0.24008552372766029</v>
      </c>
      <c r="I4" s="19">
        <f>HLOOKUP(I2,'pooled normalised values'!D74:AN83,3,FALSE)</f>
        <v>0.23588198202731017</v>
      </c>
      <c r="J4" s="19" t="e">
        <f>HLOOKUP(J2,'pooled normalised values'!E74:AO83,3,FALSE)</f>
        <v>#REF!</v>
      </c>
      <c r="K4" s="19" t="e">
        <f>HLOOKUP(K2,'pooled normalised values'!F74:AP83,3,FALSE)</f>
        <v>#REF!</v>
      </c>
      <c r="L4" s="19" t="e">
        <f>HLOOKUP(L2,'pooled normalised values'!G74:AQ83,3,FALSE)</f>
        <v>#REF!</v>
      </c>
      <c r="M4" s="19" t="e">
        <f>HLOOKUP(M2,'pooled normalised values'!H74:AR83,3,FALSE)</f>
        <v>#REF!</v>
      </c>
      <c r="N4" s="19" t="e">
        <f>HLOOKUP(N2,'pooled normalised values'!I74:AS83,3,FALSE)</f>
        <v>#REF!</v>
      </c>
      <c r="O4" s="19" t="e">
        <f>HLOOKUP(O2,'pooled normalised values'!J74:AT83,3,FALSE)</f>
        <v>#REF!</v>
      </c>
      <c r="P4" s="19" t="e">
        <f>HLOOKUP(P2,'pooled normalised values'!K74:AU83,3,FALSE)</f>
        <v>#REF!</v>
      </c>
      <c r="Q4" s="19" t="e">
        <f>HLOOKUP(Q2,'pooled normalised values'!L74:AV83,3,FALSE)</f>
        <v>#REF!</v>
      </c>
      <c r="R4" s="19" t="e">
        <f>HLOOKUP(R2,'pooled normalised values'!M74:AW83,3,FALSE)</f>
        <v>#REF!</v>
      </c>
      <c r="S4" s="19" t="e">
        <f>HLOOKUP(S2,'pooled normalised values'!N74:AX83,3,FALSE)</f>
        <v>#REF!</v>
      </c>
      <c r="T4" s="22"/>
      <c r="U4" s="20"/>
      <c r="V4" s="19">
        <f>HLOOKUP(V2,'pooled normalised values'!N74:BA83,3,FALSE)</f>
        <v>0.22035816842392178</v>
      </c>
      <c r="W4" s="19">
        <f>HLOOKUP(W2,'pooled normalised values'!N74:BB83,3,FALSE)</f>
        <v>0.23385893828883572</v>
      </c>
      <c r="X4" s="19">
        <f>HLOOKUP(X2,'pooled normalised values'!N74:BC83,3,FALSE)</f>
        <v>0.21761855717392248</v>
      </c>
      <c r="Y4" s="19">
        <f>HLOOKUP(Y2,'pooled normalised values'!N74:BD83,3,FALSE)</f>
        <v>0.18371432813303504</v>
      </c>
      <c r="Z4" s="19">
        <f>HLOOKUP(Z2,'pooled normalised values'!N74:BE83,3,FALSE)</f>
        <v>0.27181882611721109</v>
      </c>
      <c r="AA4" s="19" t="e">
        <f>HLOOKUP(AA2,'pooled normalised values'!N74:BF83,3,FALSE)</f>
        <v>#DIV/0!</v>
      </c>
      <c r="AB4" s="19" t="e">
        <f>HLOOKUP(AB2,'pooled normalised values'!N74:BG83,3,FALSE)</f>
        <v>#DIV/0!</v>
      </c>
      <c r="AC4" s="19" t="e">
        <f>HLOOKUP(AC2,'pooled normalised values'!N74:BH83,3,FALSE)</f>
        <v>#DIV/0!</v>
      </c>
      <c r="AD4" s="19" t="e">
        <f>HLOOKUP(AD2,'pooled normalised values'!N74:BI83,3,FALSE)</f>
        <v>#DIV/0!</v>
      </c>
      <c r="AE4" s="19" t="e">
        <f>HLOOKUP(AE2,'pooled normalised values'!N74:BJ83,3,FALSE)</f>
        <v>#DIV/0!</v>
      </c>
      <c r="AF4" s="19" t="e">
        <f>HLOOKUP(AF2,'pooled normalised values'!N74:BK83,3,FALSE)</f>
        <v>#DIV/0!</v>
      </c>
      <c r="AG4" s="19" t="e">
        <f>HLOOKUP(AG2,'pooled normalised values'!N74:BL83,3,FALSE)</f>
        <v>#DIV/0!</v>
      </c>
      <c r="AH4" s="19" t="e">
        <f>HLOOKUP(AH2,'pooled normalised values'!N74:BM83,3,FALSE)</f>
        <v>#DIV/0!</v>
      </c>
      <c r="AI4" s="19" t="e">
        <f>HLOOKUP(AI2,'pooled normalised values'!N74:BN83,3,FALSE)</f>
        <v>#DIV/0!</v>
      </c>
      <c r="AJ4" s="20"/>
      <c r="AK4" s="21" t="s">
        <v>2</v>
      </c>
    </row>
    <row r="5" spans="1:37" x14ac:dyDescent="0.25">
      <c r="A5" s="17" t="s">
        <v>73</v>
      </c>
      <c r="B5" s="66">
        <f>'pooled normalised values'!P75</f>
        <v>3.1284648375910251</v>
      </c>
      <c r="D5" s="23" t="s">
        <v>11</v>
      </c>
      <c r="E5" s="22"/>
      <c r="F5" s="19" t="str">
        <f>HLOOKUP(F2,'pooled normalised values'!B74:AK83,10,FALSE)</f>
        <v>NS</v>
      </c>
      <c r="G5" s="19" t="str">
        <f>HLOOKUP(G2,'pooled normalised values'!C74:AL83,10,FALSE)</f>
        <v>***</v>
      </c>
      <c r="H5" s="19" t="str">
        <f>HLOOKUP(H2,'pooled normalised values'!C74:AM83,10,FALSE)</f>
        <v>***</v>
      </c>
      <c r="I5" s="19" t="str">
        <f>HLOOKUP(I2,'pooled normalised values'!D74:AN83,10,FALSE)</f>
        <v>***</v>
      </c>
      <c r="J5" s="19" t="e">
        <f>HLOOKUP(J2,'pooled normalised values'!E74:AO83,10,FALSE)</f>
        <v>#REF!</v>
      </c>
      <c r="K5" s="19" t="e">
        <f>HLOOKUP(K2,'pooled normalised values'!F74:AP83,10,FALSE)</f>
        <v>#REF!</v>
      </c>
      <c r="L5" s="19" t="e">
        <f>HLOOKUP(L2,'pooled normalised values'!G74:AQ83,10,FALSE)</f>
        <v>#REF!</v>
      </c>
      <c r="M5" s="19" t="e">
        <f>HLOOKUP(M2,'pooled normalised values'!H74:AR83,10,FALSE)</f>
        <v>#REF!</v>
      </c>
      <c r="N5" s="19" t="e">
        <f>HLOOKUP(N2,'pooled normalised values'!I74:AS83,10,FALSE)</f>
        <v>#REF!</v>
      </c>
      <c r="O5" s="19" t="e">
        <f>HLOOKUP(O2,'pooled normalised values'!J74:AT83,10,FALSE)</f>
        <v>#REF!</v>
      </c>
      <c r="P5" s="19" t="e">
        <f>HLOOKUP(P2,'pooled normalised values'!K74:AU83,10,FALSE)</f>
        <v>#REF!</v>
      </c>
      <c r="Q5" s="19" t="e">
        <f>HLOOKUP(Q2,'pooled normalised values'!L74:AV83,10,FALSE)</f>
        <v>#REF!</v>
      </c>
      <c r="R5" s="19" t="e">
        <f>HLOOKUP(R2,'pooled normalised values'!M74:AW83,10,FALSE)</f>
        <v>#REF!</v>
      </c>
      <c r="S5" s="19" t="e">
        <f>HLOOKUP(S2,'pooled normalised values'!N74:AX83,10,FALSE)</f>
        <v>#REF!</v>
      </c>
      <c r="T5" s="22"/>
      <c r="U5" s="20"/>
      <c r="V5" s="19" t="str">
        <f>HLOOKUP(V2,'pooled normalised values'!N74:BA83,10,FALSE)</f>
        <v>NS</v>
      </c>
      <c r="W5" s="19" t="str">
        <f>HLOOKUP(W2,'pooled normalised values'!N74:BB83,10,FALSE)</f>
        <v>NS</v>
      </c>
      <c r="X5" s="19" t="str">
        <f>HLOOKUP(X2,'pooled normalised values'!N74:BC83,10,FALSE)</f>
        <v>NS</v>
      </c>
      <c r="Y5" s="19" t="str">
        <f>HLOOKUP(Y2,'pooled normalised values'!N74:BD83,10,FALSE)</f>
        <v>NS</v>
      </c>
      <c r="Z5" s="19" t="str">
        <f>HLOOKUP(Z2,'pooled normalised values'!N74:BE83,10,FALSE)</f>
        <v>*</v>
      </c>
      <c r="AA5" s="19" t="e">
        <f>HLOOKUP(AA2,'pooled normalised values'!N74:BF83,10,FALSE)</f>
        <v>#VALUE!</v>
      </c>
      <c r="AB5" s="19" t="e">
        <f>HLOOKUP(AB2,'pooled normalised values'!N74:BG83,10,FALSE)</f>
        <v>#VALUE!</v>
      </c>
      <c r="AC5" s="19" t="e">
        <f>HLOOKUP(AC2,'pooled normalised values'!N74:BH83,10,FALSE)</f>
        <v>#VALUE!</v>
      </c>
      <c r="AD5" s="19" t="e">
        <f>HLOOKUP(AD2,'pooled normalised values'!N74:BI83,10,FALSE)</f>
        <v>#VALUE!</v>
      </c>
      <c r="AE5" s="19" t="e">
        <f>HLOOKUP(AE2,'pooled normalised values'!N74:BJ83,10,FALSE)</f>
        <v>#VALUE!</v>
      </c>
      <c r="AF5" s="19" t="e">
        <f>HLOOKUP(AF2,'pooled normalised values'!N74:BK83,10,FALSE)</f>
        <v>#VALUE!</v>
      </c>
      <c r="AG5" s="19" t="e">
        <f>HLOOKUP(AG2,'pooled normalised values'!N74:BL83,10,FALSE)</f>
        <v>#VALUE!</v>
      </c>
      <c r="AH5" s="19" t="e">
        <f>HLOOKUP(AH2,'pooled normalised values'!N74:BM83,10,FALSE)</f>
        <v>#VALUE!</v>
      </c>
      <c r="AI5" s="19" t="e">
        <f>HLOOKUP(AI2,'pooled normalised values'!N74:BN83,10,FALSE)</f>
        <v>#VALUE!</v>
      </c>
      <c r="AJ5" s="20"/>
      <c r="AK5" s="23" t="s">
        <v>11</v>
      </c>
    </row>
    <row r="6" spans="1:37" x14ac:dyDescent="0.25">
      <c r="A6" s="17" t="s">
        <v>74</v>
      </c>
      <c r="B6" s="66">
        <f>'pooled normalised values'!Q75</f>
        <v>0.11656955822676086</v>
      </c>
      <c r="D6" s="21" t="s">
        <v>12</v>
      </c>
      <c r="E6" s="24">
        <f>$B$2</f>
        <v>0.15229055770800312</v>
      </c>
      <c r="F6" s="24">
        <f>$B$2</f>
        <v>0.15229055770800312</v>
      </c>
      <c r="G6" s="24">
        <f t="shared" ref="G6:R6" si="0">$B$2</f>
        <v>0.15229055770800312</v>
      </c>
      <c r="H6" s="24">
        <f t="shared" si="0"/>
        <v>0.15229055770800312</v>
      </c>
      <c r="I6" s="24">
        <f t="shared" si="0"/>
        <v>0.15229055770800312</v>
      </c>
      <c r="J6" s="24">
        <f t="shared" si="0"/>
        <v>0.15229055770800312</v>
      </c>
      <c r="K6" s="24">
        <f t="shared" si="0"/>
        <v>0.15229055770800312</v>
      </c>
      <c r="L6" s="24">
        <f t="shared" si="0"/>
        <v>0.15229055770800312</v>
      </c>
      <c r="M6" s="24">
        <f t="shared" si="0"/>
        <v>0.15229055770800312</v>
      </c>
      <c r="N6" s="24">
        <f t="shared" si="0"/>
        <v>0.15229055770800312</v>
      </c>
      <c r="O6" s="24">
        <f t="shared" si="0"/>
        <v>0.15229055770800312</v>
      </c>
      <c r="P6" s="24">
        <f t="shared" si="0"/>
        <v>0.15229055770800312</v>
      </c>
      <c r="Q6" s="24">
        <f t="shared" si="0"/>
        <v>0.15229055770800312</v>
      </c>
      <c r="R6" s="24">
        <f t="shared" si="0"/>
        <v>0.15229055770800312</v>
      </c>
      <c r="S6" s="24">
        <f>$B$2</f>
        <v>0.15229055770800312</v>
      </c>
      <c r="T6" s="24">
        <f>$B$2</f>
        <v>0.15229055770800312</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1.0000000000000002</v>
      </c>
      <c r="V7" s="25">
        <f t="shared" si="1"/>
        <v>1.0000000000000002</v>
      </c>
      <c r="W7" s="25">
        <f t="shared" si="1"/>
        <v>1.0000000000000002</v>
      </c>
      <c r="X7" s="25">
        <f t="shared" si="1"/>
        <v>1.0000000000000002</v>
      </c>
      <c r="Y7" s="25">
        <f t="shared" si="1"/>
        <v>1.0000000000000002</v>
      </c>
      <c r="Z7" s="25">
        <f t="shared" si="1"/>
        <v>1.0000000000000002</v>
      </c>
      <c r="AA7" s="25">
        <f t="shared" si="1"/>
        <v>1.0000000000000002</v>
      </c>
      <c r="AB7" s="25">
        <f t="shared" si="1"/>
        <v>1.0000000000000002</v>
      </c>
      <c r="AC7" s="25">
        <f t="shared" si="1"/>
        <v>1.0000000000000002</v>
      </c>
      <c r="AD7" s="25">
        <f t="shared" si="1"/>
        <v>1.0000000000000002</v>
      </c>
      <c r="AE7" s="25">
        <f t="shared" si="1"/>
        <v>1.0000000000000002</v>
      </c>
      <c r="AF7" s="25">
        <f t="shared" si="1"/>
        <v>1.0000000000000002</v>
      </c>
      <c r="AG7" s="25">
        <f t="shared" si="1"/>
        <v>1.0000000000000002</v>
      </c>
      <c r="AH7" s="25">
        <f t="shared" si="1"/>
        <v>1.0000000000000002</v>
      </c>
      <c r="AI7" s="25">
        <f t="shared" si="1"/>
        <v>1.0000000000000002</v>
      </c>
      <c r="AJ7" s="25">
        <f t="shared" si="1"/>
        <v>1.0000000000000002</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0.11656955822676086</v>
      </c>
      <c r="V8" s="25">
        <f t="shared" ref="V8:AJ8" si="2">$B$6</f>
        <v>0.11656955822676086</v>
      </c>
      <c r="W8" s="25">
        <f t="shared" si="2"/>
        <v>0.11656955822676086</v>
      </c>
      <c r="X8" s="25">
        <f t="shared" si="2"/>
        <v>0.11656955822676086</v>
      </c>
      <c r="Y8" s="25">
        <f t="shared" si="2"/>
        <v>0.11656955822676086</v>
      </c>
      <c r="Z8" s="25">
        <f t="shared" si="2"/>
        <v>0.11656955822676086</v>
      </c>
      <c r="AA8" s="25">
        <f t="shared" si="2"/>
        <v>0.11656955822676086</v>
      </c>
      <c r="AB8" s="25">
        <f t="shared" si="2"/>
        <v>0.11656955822676086</v>
      </c>
      <c r="AC8" s="25">
        <f t="shared" si="2"/>
        <v>0.11656955822676086</v>
      </c>
      <c r="AD8" s="25">
        <f t="shared" si="2"/>
        <v>0.11656955822676086</v>
      </c>
      <c r="AE8" s="25">
        <f t="shared" si="2"/>
        <v>0.11656955822676086</v>
      </c>
      <c r="AF8" s="25">
        <f t="shared" si="2"/>
        <v>0.11656955822676086</v>
      </c>
      <c r="AG8" s="25">
        <f t="shared" si="2"/>
        <v>0.11656955822676086</v>
      </c>
      <c r="AH8" s="25">
        <f t="shared" si="2"/>
        <v>0.11656955822676086</v>
      </c>
      <c r="AI8" s="25">
        <f t="shared" si="2"/>
        <v>0.11656955822676086</v>
      </c>
      <c r="AJ8" s="25">
        <f t="shared" si="2"/>
        <v>0.11656955822676086</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3.0118952793642642</v>
      </c>
      <c r="V9" s="25">
        <f>$B$5-V8</f>
        <v>3.0118952793642642</v>
      </c>
      <c r="W9" s="25">
        <f t="shared" ref="W9:AH9" si="4">$B$5-W8</f>
        <v>3.0118952793642642</v>
      </c>
      <c r="X9" s="25">
        <f t="shared" si="4"/>
        <v>3.0118952793642642</v>
      </c>
      <c r="Y9" s="25">
        <f t="shared" si="4"/>
        <v>3.0118952793642642</v>
      </c>
      <c r="Z9" s="25">
        <f t="shared" si="4"/>
        <v>3.0118952793642642</v>
      </c>
      <c r="AA9" s="25">
        <f t="shared" si="4"/>
        <v>3.0118952793642642</v>
      </c>
      <c r="AB9" s="25">
        <f t="shared" si="4"/>
        <v>3.0118952793642642</v>
      </c>
      <c r="AC9" s="25">
        <f t="shared" si="4"/>
        <v>3.0118952793642642</v>
      </c>
      <c r="AD9" s="25">
        <f t="shared" si="4"/>
        <v>3.0118952793642642</v>
      </c>
      <c r="AE9" s="25">
        <f t="shared" si="4"/>
        <v>3.0118952793642642</v>
      </c>
      <c r="AF9" s="25">
        <f t="shared" si="4"/>
        <v>3.0118952793642642</v>
      </c>
      <c r="AG9" s="25">
        <f t="shared" si="4"/>
        <v>3.0118952793642642</v>
      </c>
      <c r="AH9" s="25">
        <f t="shared" si="4"/>
        <v>3.0118952793642642</v>
      </c>
      <c r="AI9" s="25">
        <f>$B$5-AI8</f>
        <v>3.0118952793642642</v>
      </c>
      <c r="AJ9" s="25">
        <f>$B$5-AJ8</f>
        <v>3.0118952793642642</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-0.51189527936426416</v>
      </c>
      <c r="V10" s="25">
        <f>2.5-V9</f>
        <v>-0.51189527936426416</v>
      </c>
      <c r="W10" s="25">
        <f t="shared" ref="W10:AH10" si="6">2.5-W9</f>
        <v>-0.51189527936426416</v>
      </c>
      <c r="X10" s="25">
        <f t="shared" si="6"/>
        <v>-0.51189527936426416</v>
      </c>
      <c r="Y10" s="25">
        <f t="shared" si="6"/>
        <v>-0.51189527936426416</v>
      </c>
      <c r="Z10" s="25">
        <f t="shared" si="6"/>
        <v>-0.51189527936426416</v>
      </c>
      <c r="AA10" s="25">
        <f t="shared" si="6"/>
        <v>-0.51189527936426416</v>
      </c>
      <c r="AB10" s="25">
        <f t="shared" si="6"/>
        <v>-0.51189527936426416</v>
      </c>
      <c r="AC10" s="25">
        <f t="shared" si="6"/>
        <v>-0.51189527936426416</v>
      </c>
      <c r="AD10" s="25">
        <f t="shared" si="6"/>
        <v>-0.51189527936426416</v>
      </c>
      <c r="AE10" s="25">
        <f t="shared" si="6"/>
        <v>-0.51189527936426416</v>
      </c>
      <c r="AF10" s="25">
        <f t="shared" si="6"/>
        <v>-0.51189527936426416</v>
      </c>
      <c r="AG10" s="25">
        <f t="shared" si="6"/>
        <v>-0.51189527936426416</v>
      </c>
      <c r="AH10" s="25">
        <f t="shared" si="6"/>
        <v>-0.51189527936426416</v>
      </c>
      <c r="AI10" s="25">
        <f>2.5-AI9</f>
        <v>-0.51189527936426416</v>
      </c>
      <c r="AJ10" s="25">
        <f>2.5-AJ9</f>
        <v>-0.51189527936426416</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6" width="14.81640625" style="17" customWidth="1"/>
    <col min="7" max="8" width="11.453125" style="17"/>
    <col min="9" max="9" width="13.54296875" style="17" bestFit="1" customWidth="1"/>
    <col min="10" max="256" width="11.453125" style="17"/>
    <col min="257" max="257" width="18.7265625" style="17" customWidth="1"/>
    <col min="258" max="258" width="13.7265625" style="17" bestFit="1" customWidth="1"/>
    <col min="259" max="259" width="17.26953125" style="17" customWidth="1"/>
    <col min="260" max="260" width="11" style="17" customWidth="1"/>
    <col min="261" max="261" width="12" style="17" bestFit="1" customWidth="1"/>
    <col min="262" max="262" width="14.81640625" style="17" customWidth="1"/>
    <col min="263" max="512" width="11.453125" style="17"/>
    <col min="513" max="513" width="18.7265625" style="17" customWidth="1"/>
    <col min="514" max="514" width="13.7265625" style="17" bestFit="1" customWidth="1"/>
    <col min="515" max="515" width="17.26953125" style="17" customWidth="1"/>
    <col min="516" max="516" width="11" style="17" customWidth="1"/>
    <col min="517" max="517" width="12" style="17" bestFit="1" customWidth="1"/>
    <col min="518" max="518" width="14.81640625" style="17" customWidth="1"/>
    <col min="519" max="768" width="11.453125" style="17"/>
    <col min="769" max="769" width="18.7265625" style="17" customWidth="1"/>
    <col min="770" max="770" width="13.7265625" style="17" bestFit="1" customWidth="1"/>
    <col min="771" max="771" width="17.26953125" style="17" customWidth="1"/>
    <col min="772" max="772" width="11" style="17" customWidth="1"/>
    <col min="773" max="773" width="12" style="17" bestFit="1" customWidth="1"/>
    <col min="774" max="774" width="14.81640625" style="17" customWidth="1"/>
    <col min="775" max="1024" width="11.453125" style="17"/>
    <col min="1025" max="1025" width="18.7265625" style="17" customWidth="1"/>
    <col min="1026" max="1026" width="13.7265625" style="17" bestFit="1" customWidth="1"/>
    <col min="1027" max="1027" width="17.26953125" style="17" customWidth="1"/>
    <col min="1028" max="1028" width="11" style="17" customWidth="1"/>
    <col min="1029" max="1029" width="12" style="17" bestFit="1" customWidth="1"/>
    <col min="1030" max="1030" width="14.81640625" style="17" customWidth="1"/>
    <col min="1031" max="1280" width="11.453125" style="17"/>
    <col min="1281" max="1281" width="18.7265625" style="17" customWidth="1"/>
    <col min="1282" max="1282" width="13.7265625" style="17" bestFit="1" customWidth="1"/>
    <col min="1283" max="1283" width="17.26953125" style="17" customWidth="1"/>
    <col min="1284" max="1284" width="11" style="17" customWidth="1"/>
    <col min="1285" max="1285" width="12" style="17" bestFit="1" customWidth="1"/>
    <col min="1286" max="1286" width="14.81640625" style="17" customWidth="1"/>
    <col min="1287" max="1536" width="11.453125" style="17"/>
    <col min="1537" max="1537" width="18.7265625" style="17" customWidth="1"/>
    <col min="1538" max="1538" width="13.7265625" style="17" bestFit="1" customWidth="1"/>
    <col min="1539" max="1539" width="17.26953125" style="17" customWidth="1"/>
    <col min="1540" max="1540" width="11" style="17" customWidth="1"/>
    <col min="1541" max="1541" width="12" style="17" bestFit="1" customWidth="1"/>
    <col min="1542" max="1542" width="14.81640625" style="17" customWidth="1"/>
    <col min="1543" max="1792" width="11.453125" style="17"/>
    <col min="1793" max="1793" width="18.7265625" style="17" customWidth="1"/>
    <col min="1794" max="1794" width="13.7265625" style="17" bestFit="1" customWidth="1"/>
    <col min="1795" max="1795" width="17.26953125" style="17" customWidth="1"/>
    <col min="1796" max="1796" width="11" style="17" customWidth="1"/>
    <col min="1797" max="1797" width="12" style="17" bestFit="1" customWidth="1"/>
    <col min="1798" max="1798" width="14.81640625" style="17" customWidth="1"/>
    <col min="1799" max="2048" width="11.453125" style="17"/>
    <col min="2049" max="2049" width="18.7265625" style="17" customWidth="1"/>
    <col min="2050" max="2050" width="13.7265625" style="17" bestFit="1" customWidth="1"/>
    <col min="2051" max="2051" width="17.26953125" style="17" customWidth="1"/>
    <col min="2052" max="2052" width="11" style="17" customWidth="1"/>
    <col min="2053" max="2053" width="12" style="17" bestFit="1" customWidth="1"/>
    <col min="2054" max="2054" width="14.81640625" style="17" customWidth="1"/>
    <col min="2055" max="2304" width="11.453125" style="17"/>
    <col min="2305" max="2305" width="18.7265625" style="17" customWidth="1"/>
    <col min="2306" max="2306" width="13.7265625" style="17" bestFit="1" customWidth="1"/>
    <col min="2307" max="2307" width="17.26953125" style="17" customWidth="1"/>
    <col min="2308" max="2308" width="11" style="17" customWidth="1"/>
    <col min="2309" max="2309" width="12" style="17" bestFit="1" customWidth="1"/>
    <col min="2310" max="2310" width="14.81640625" style="17" customWidth="1"/>
    <col min="2311" max="2560" width="11.453125" style="17"/>
    <col min="2561" max="2561" width="18.7265625" style="17" customWidth="1"/>
    <col min="2562" max="2562" width="13.7265625" style="17" bestFit="1" customWidth="1"/>
    <col min="2563" max="2563" width="17.26953125" style="17" customWidth="1"/>
    <col min="2564" max="2564" width="11" style="17" customWidth="1"/>
    <col min="2565" max="2565" width="12" style="17" bestFit="1" customWidth="1"/>
    <col min="2566" max="2566" width="14.81640625" style="17" customWidth="1"/>
    <col min="2567" max="2816" width="11.453125" style="17"/>
    <col min="2817" max="2817" width="18.7265625" style="17" customWidth="1"/>
    <col min="2818" max="2818" width="13.7265625" style="17" bestFit="1" customWidth="1"/>
    <col min="2819" max="2819" width="17.26953125" style="17" customWidth="1"/>
    <col min="2820" max="2820" width="11" style="17" customWidth="1"/>
    <col min="2821" max="2821" width="12" style="17" bestFit="1" customWidth="1"/>
    <col min="2822" max="2822" width="14.81640625" style="17" customWidth="1"/>
    <col min="2823" max="3072" width="11.453125" style="17"/>
    <col min="3073" max="3073" width="18.7265625" style="17" customWidth="1"/>
    <col min="3074" max="3074" width="13.7265625" style="17" bestFit="1" customWidth="1"/>
    <col min="3075" max="3075" width="17.26953125" style="17" customWidth="1"/>
    <col min="3076" max="3076" width="11" style="17" customWidth="1"/>
    <col min="3077" max="3077" width="12" style="17" bestFit="1" customWidth="1"/>
    <col min="3078" max="3078" width="14.81640625" style="17" customWidth="1"/>
    <col min="3079" max="3328" width="11.453125" style="17"/>
    <col min="3329" max="3329" width="18.7265625" style="17" customWidth="1"/>
    <col min="3330" max="3330" width="13.7265625" style="17" bestFit="1" customWidth="1"/>
    <col min="3331" max="3331" width="17.26953125" style="17" customWidth="1"/>
    <col min="3332" max="3332" width="11" style="17" customWidth="1"/>
    <col min="3333" max="3333" width="12" style="17" bestFit="1" customWidth="1"/>
    <col min="3334" max="3334" width="14.81640625" style="17" customWidth="1"/>
    <col min="3335" max="3584" width="11.453125" style="17"/>
    <col min="3585" max="3585" width="18.7265625" style="17" customWidth="1"/>
    <col min="3586" max="3586" width="13.7265625" style="17" bestFit="1" customWidth="1"/>
    <col min="3587" max="3587" width="17.26953125" style="17" customWidth="1"/>
    <col min="3588" max="3588" width="11" style="17" customWidth="1"/>
    <col min="3589" max="3589" width="12" style="17" bestFit="1" customWidth="1"/>
    <col min="3590" max="3590" width="14.81640625" style="17" customWidth="1"/>
    <col min="3591" max="3840" width="11.453125" style="17"/>
    <col min="3841" max="3841" width="18.7265625" style="17" customWidth="1"/>
    <col min="3842" max="3842" width="13.7265625" style="17" bestFit="1" customWidth="1"/>
    <col min="3843" max="3843" width="17.26953125" style="17" customWidth="1"/>
    <col min="3844" max="3844" width="11" style="17" customWidth="1"/>
    <col min="3845" max="3845" width="12" style="17" bestFit="1" customWidth="1"/>
    <col min="3846" max="3846" width="14.81640625" style="17" customWidth="1"/>
    <col min="3847" max="4096" width="11.453125" style="17"/>
    <col min="4097" max="4097" width="18.7265625" style="17" customWidth="1"/>
    <col min="4098" max="4098" width="13.7265625" style="17" bestFit="1" customWidth="1"/>
    <col min="4099" max="4099" width="17.26953125" style="17" customWidth="1"/>
    <col min="4100" max="4100" width="11" style="17" customWidth="1"/>
    <col min="4101" max="4101" width="12" style="17" bestFit="1" customWidth="1"/>
    <col min="4102" max="4102" width="14.81640625" style="17" customWidth="1"/>
    <col min="4103" max="4352" width="11.453125" style="17"/>
    <col min="4353" max="4353" width="18.7265625" style="17" customWidth="1"/>
    <col min="4354" max="4354" width="13.7265625" style="17" bestFit="1" customWidth="1"/>
    <col min="4355" max="4355" width="17.26953125" style="17" customWidth="1"/>
    <col min="4356" max="4356" width="11" style="17" customWidth="1"/>
    <col min="4357" max="4357" width="12" style="17" bestFit="1" customWidth="1"/>
    <col min="4358" max="4358" width="14.81640625" style="17" customWidth="1"/>
    <col min="4359" max="4608" width="11.453125" style="17"/>
    <col min="4609" max="4609" width="18.7265625" style="17" customWidth="1"/>
    <col min="4610" max="4610" width="13.7265625" style="17" bestFit="1" customWidth="1"/>
    <col min="4611" max="4611" width="17.26953125" style="17" customWidth="1"/>
    <col min="4612" max="4612" width="11" style="17" customWidth="1"/>
    <col min="4613" max="4613" width="12" style="17" bestFit="1" customWidth="1"/>
    <col min="4614" max="4614" width="14.81640625" style="17" customWidth="1"/>
    <col min="4615" max="4864" width="11.453125" style="17"/>
    <col min="4865" max="4865" width="18.7265625" style="17" customWidth="1"/>
    <col min="4866" max="4866" width="13.7265625" style="17" bestFit="1" customWidth="1"/>
    <col min="4867" max="4867" width="17.26953125" style="17" customWidth="1"/>
    <col min="4868" max="4868" width="11" style="17" customWidth="1"/>
    <col min="4869" max="4869" width="12" style="17" bestFit="1" customWidth="1"/>
    <col min="4870" max="4870" width="14.81640625" style="17" customWidth="1"/>
    <col min="4871" max="5120" width="11.453125" style="17"/>
    <col min="5121" max="5121" width="18.7265625" style="17" customWidth="1"/>
    <col min="5122" max="5122" width="13.7265625" style="17" bestFit="1" customWidth="1"/>
    <col min="5123" max="5123" width="17.26953125" style="17" customWidth="1"/>
    <col min="5124" max="5124" width="11" style="17" customWidth="1"/>
    <col min="5125" max="5125" width="12" style="17" bestFit="1" customWidth="1"/>
    <col min="5126" max="5126" width="14.81640625" style="17" customWidth="1"/>
    <col min="5127" max="5376" width="11.453125" style="17"/>
    <col min="5377" max="5377" width="18.7265625" style="17" customWidth="1"/>
    <col min="5378" max="5378" width="13.7265625" style="17" bestFit="1" customWidth="1"/>
    <col min="5379" max="5379" width="17.26953125" style="17" customWidth="1"/>
    <col min="5380" max="5380" width="11" style="17" customWidth="1"/>
    <col min="5381" max="5381" width="12" style="17" bestFit="1" customWidth="1"/>
    <col min="5382" max="5382" width="14.81640625" style="17" customWidth="1"/>
    <col min="5383" max="5632" width="11.453125" style="17"/>
    <col min="5633" max="5633" width="18.7265625" style="17" customWidth="1"/>
    <col min="5634" max="5634" width="13.7265625" style="17" bestFit="1" customWidth="1"/>
    <col min="5635" max="5635" width="17.26953125" style="17" customWidth="1"/>
    <col min="5636" max="5636" width="11" style="17" customWidth="1"/>
    <col min="5637" max="5637" width="12" style="17" bestFit="1" customWidth="1"/>
    <col min="5638" max="5638" width="14.81640625" style="17" customWidth="1"/>
    <col min="5639" max="5888" width="11.453125" style="17"/>
    <col min="5889" max="5889" width="18.7265625" style="17" customWidth="1"/>
    <col min="5890" max="5890" width="13.7265625" style="17" bestFit="1" customWidth="1"/>
    <col min="5891" max="5891" width="17.26953125" style="17" customWidth="1"/>
    <col min="5892" max="5892" width="11" style="17" customWidth="1"/>
    <col min="5893" max="5893" width="12" style="17" bestFit="1" customWidth="1"/>
    <col min="5894" max="5894" width="14.81640625" style="17" customWidth="1"/>
    <col min="5895" max="6144" width="11.453125" style="17"/>
    <col min="6145" max="6145" width="18.7265625" style="17" customWidth="1"/>
    <col min="6146" max="6146" width="13.7265625" style="17" bestFit="1" customWidth="1"/>
    <col min="6147" max="6147" width="17.26953125" style="17" customWidth="1"/>
    <col min="6148" max="6148" width="11" style="17" customWidth="1"/>
    <col min="6149" max="6149" width="12" style="17" bestFit="1" customWidth="1"/>
    <col min="6150" max="6150" width="14.81640625" style="17" customWidth="1"/>
    <col min="6151" max="6400" width="11.453125" style="17"/>
    <col min="6401" max="6401" width="18.7265625" style="17" customWidth="1"/>
    <col min="6402" max="6402" width="13.7265625" style="17" bestFit="1" customWidth="1"/>
    <col min="6403" max="6403" width="17.26953125" style="17" customWidth="1"/>
    <col min="6404" max="6404" width="11" style="17" customWidth="1"/>
    <col min="6405" max="6405" width="12" style="17" bestFit="1" customWidth="1"/>
    <col min="6406" max="6406" width="14.81640625" style="17" customWidth="1"/>
    <col min="6407" max="6656" width="11.453125" style="17"/>
    <col min="6657" max="6657" width="18.7265625" style="17" customWidth="1"/>
    <col min="6658" max="6658" width="13.7265625" style="17" bestFit="1" customWidth="1"/>
    <col min="6659" max="6659" width="17.26953125" style="17" customWidth="1"/>
    <col min="6660" max="6660" width="11" style="17" customWidth="1"/>
    <col min="6661" max="6661" width="12" style="17" bestFit="1" customWidth="1"/>
    <col min="6662" max="6662" width="14.81640625" style="17" customWidth="1"/>
    <col min="6663" max="6912" width="11.453125" style="17"/>
    <col min="6913" max="6913" width="18.7265625" style="17" customWidth="1"/>
    <col min="6914" max="6914" width="13.7265625" style="17" bestFit="1" customWidth="1"/>
    <col min="6915" max="6915" width="17.26953125" style="17" customWidth="1"/>
    <col min="6916" max="6916" width="11" style="17" customWidth="1"/>
    <col min="6917" max="6917" width="12" style="17" bestFit="1" customWidth="1"/>
    <col min="6918" max="6918" width="14.81640625" style="17" customWidth="1"/>
    <col min="6919" max="7168" width="11.453125" style="17"/>
    <col min="7169" max="7169" width="18.7265625" style="17" customWidth="1"/>
    <col min="7170" max="7170" width="13.7265625" style="17" bestFit="1" customWidth="1"/>
    <col min="7171" max="7171" width="17.26953125" style="17" customWidth="1"/>
    <col min="7172" max="7172" width="11" style="17" customWidth="1"/>
    <col min="7173" max="7173" width="12" style="17" bestFit="1" customWidth="1"/>
    <col min="7174" max="7174" width="14.81640625" style="17" customWidth="1"/>
    <col min="7175" max="7424" width="11.453125" style="17"/>
    <col min="7425" max="7425" width="18.7265625" style="17" customWidth="1"/>
    <col min="7426" max="7426" width="13.7265625" style="17" bestFit="1" customWidth="1"/>
    <col min="7427" max="7427" width="17.26953125" style="17" customWidth="1"/>
    <col min="7428" max="7428" width="11" style="17" customWidth="1"/>
    <col min="7429" max="7429" width="12" style="17" bestFit="1" customWidth="1"/>
    <col min="7430" max="7430" width="14.81640625" style="17" customWidth="1"/>
    <col min="7431" max="7680" width="11.453125" style="17"/>
    <col min="7681" max="7681" width="18.7265625" style="17" customWidth="1"/>
    <col min="7682" max="7682" width="13.7265625" style="17" bestFit="1" customWidth="1"/>
    <col min="7683" max="7683" width="17.26953125" style="17" customWidth="1"/>
    <col min="7684" max="7684" width="11" style="17" customWidth="1"/>
    <col min="7685" max="7685" width="12" style="17" bestFit="1" customWidth="1"/>
    <col min="7686" max="7686" width="14.81640625" style="17" customWidth="1"/>
    <col min="7687" max="7936" width="11.453125" style="17"/>
    <col min="7937" max="7937" width="18.7265625" style="17" customWidth="1"/>
    <col min="7938" max="7938" width="13.7265625" style="17" bestFit="1" customWidth="1"/>
    <col min="7939" max="7939" width="17.26953125" style="17" customWidth="1"/>
    <col min="7940" max="7940" width="11" style="17" customWidth="1"/>
    <col min="7941" max="7941" width="12" style="17" bestFit="1" customWidth="1"/>
    <col min="7942" max="7942" width="14.81640625" style="17" customWidth="1"/>
    <col min="7943" max="8192" width="11.453125" style="17"/>
    <col min="8193" max="8193" width="18.7265625" style="17" customWidth="1"/>
    <col min="8194" max="8194" width="13.7265625" style="17" bestFit="1" customWidth="1"/>
    <col min="8195" max="8195" width="17.26953125" style="17" customWidth="1"/>
    <col min="8196" max="8196" width="11" style="17" customWidth="1"/>
    <col min="8197" max="8197" width="12" style="17" bestFit="1" customWidth="1"/>
    <col min="8198" max="8198" width="14.81640625" style="17" customWidth="1"/>
    <col min="8199" max="8448" width="11.453125" style="17"/>
    <col min="8449" max="8449" width="18.7265625" style="17" customWidth="1"/>
    <col min="8450" max="8450" width="13.7265625" style="17" bestFit="1" customWidth="1"/>
    <col min="8451" max="8451" width="17.26953125" style="17" customWidth="1"/>
    <col min="8452" max="8452" width="11" style="17" customWidth="1"/>
    <col min="8453" max="8453" width="12" style="17" bestFit="1" customWidth="1"/>
    <col min="8454" max="8454" width="14.81640625" style="17" customWidth="1"/>
    <col min="8455" max="8704" width="11.453125" style="17"/>
    <col min="8705" max="8705" width="18.7265625" style="17" customWidth="1"/>
    <col min="8706" max="8706" width="13.7265625" style="17" bestFit="1" customWidth="1"/>
    <col min="8707" max="8707" width="17.26953125" style="17" customWidth="1"/>
    <col min="8708" max="8708" width="11" style="17" customWidth="1"/>
    <col min="8709" max="8709" width="12" style="17" bestFit="1" customWidth="1"/>
    <col min="8710" max="8710" width="14.81640625" style="17" customWidth="1"/>
    <col min="8711" max="8960" width="11.453125" style="17"/>
    <col min="8961" max="8961" width="18.7265625" style="17" customWidth="1"/>
    <col min="8962" max="8962" width="13.7265625" style="17" bestFit="1" customWidth="1"/>
    <col min="8963" max="8963" width="17.26953125" style="17" customWidth="1"/>
    <col min="8964" max="8964" width="11" style="17" customWidth="1"/>
    <col min="8965" max="8965" width="12" style="17" bestFit="1" customWidth="1"/>
    <col min="8966" max="8966" width="14.81640625" style="17" customWidth="1"/>
    <col min="8967" max="9216" width="11.453125" style="17"/>
    <col min="9217" max="9217" width="18.7265625" style="17" customWidth="1"/>
    <col min="9218" max="9218" width="13.7265625" style="17" bestFit="1" customWidth="1"/>
    <col min="9219" max="9219" width="17.26953125" style="17" customWidth="1"/>
    <col min="9220" max="9220" width="11" style="17" customWidth="1"/>
    <col min="9221" max="9221" width="12" style="17" bestFit="1" customWidth="1"/>
    <col min="9222" max="9222" width="14.81640625" style="17" customWidth="1"/>
    <col min="9223" max="9472" width="11.453125" style="17"/>
    <col min="9473" max="9473" width="18.7265625" style="17" customWidth="1"/>
    <col min="9474" max="9474" width="13.7265625" style="17" bestFit="1" customWidth="1"/>
    <col min="9475" max="9475" width="17.26953125" style="17" customWidth="1"/>
    <col min="9476" max="9476" width="11" style="17" customWidth="1"/>
    <col min="9477" max="9477" width="12" style="17" bestFit="1" customWidth="1"/>
    <col min="9478" max="9478" width="14.81640625" style="17" customWidth="1"/>
    <col min="9479" max="9728" width="11.453125" style="17"/>
    <col min="9729" max="9729" width="18.7265625" style="17" customWidth="1"/>
    <col min="9730" max="9730" width="13.7265625" style="17" bestFit="1" customWidth="1"/>
    <col min="9731" max="9731" width="17.26953125" style="17" customWidth="1"/>
    <col min="9732" max="9732" width="11" style="17" customWidth="1"/>
    <col min="9733" max="9733" width="12" style="17" bestFit="1" customWidth="1"/>
    <col min="9734" max="9734" width="14.81640625" style="17" customWidth="1"/>
    <col min="9735" max="9984" width="11.453125" style="17"/>
    <col min="9985" max="9985" width="18.7265625" style="17" customWidth="1"/>
    <col min="9986" max="9986" width="13.7265625" style="17" bestFit="1" customWidth="1"/>
    <col min="9987" max="9987" width="17.26953125" style="17" customWidth="1"/>
    <col min="9988" max="9988" width="11" style="17" customWidth="1"/>
    <col min="9989" max="9989" width="12" style="17" bestFit="1" customWidth="1"/>
    <col min="9990" max="9990" width="14.81640625" style="17" customWidth="1"/>
    <col min="9991" max="10240" width="11.453125" style="17"/>
    <col min="10241" max="10241" width="18.7265625" style="17" customWidth="1"/>
    <col min="10242" max="10242" width="13.7265625" style="17" bestFit="1" customWidth="1"/>
    <col min="10243" max="10243" width="17.26953125" style="17" customWidth="1"/>
    <col min="10244" max="10244" width="11" style="17" customWidth="1"/>
    <col min="10245" max="10245" width="12" style="17" bestFit="1" customWidth="1"/>
    <col min="10246" max="10246" width="14.81640625" style="17" customWidth="1"/>
    <col min="10247" max="10496" width="11.453125" style="17"/>
    <col min="10497" max="10497" width="18.7265625" style="17" customWidth="1"/>
    <col min="10498" max="10498" width="13.7265625" style="17" bestFit="1" customWidth="1"/>
    <col min="10499" max="10499" width="17.26953125" style="17" customWidth="1"/>
    <col min="10500" max="10500" width="11" style="17" customWidth="1"/>
    <col min="10501" max="10501" width="12" style="17" bestFit="1" customWidth="1"/>
    <col min="10502" max="10502" width="14.81640625" style="17" customWidth="1"/>
    <col min="10503" max="10752" width="11.453125" style="17"/>
    <col min="10753" max="10753" width="18.7265625" style="17" customWidth="1"/>
    <col min="10754" max="10754" width="13.7265625" style="17" bestFit="1" customWidth="1"/>
    <col min="10755" max="10755" width="17.26953125" style="17" customWidth="1"/>
    <col min="10756" max="10756" width="11" style="17" customWidth="1"/>
    <col min="10757" max="10757" width="12" style="17" bestFit="1" customWidth="1"/>
    <col min="10758" max="10758" width="14.81640625" style="17" customWidth="1"/>
    <col min="10759" max="11008" width="11.453125" style="17"/>
    <col min="11009" max="11009" width="18.7265625" style="17" customWidth="1"/>
    <col min="11010" max="11010" width="13.7265625" style="17" bestFit="1" customWidth="1"/>
    <col min="11011" max="11011" width="17.26953125" style="17" customWidth="1"/>
    <col min="11012" max="11012" width="11" style="17" customWidth="1"/>
    <col min="11013" max="11013" width="12" style="17" bestFit="1" customWidth="1"/>
    <col min="11014" max="11014" width="14.81640625" style="17" customWidth="1"/>
    <col min="11015" max="11264" width="11.453125" style="17"/>
    <col min="11265" max="11265" width="18.7265625" style="17" customWidth="1"/>
    <col min="11266" max="11266" width="13.7265625" style="17" bestFit="1" customWidth="1"/>
    <col min="11267" max="11267" width="17.26953125" style="17" customWidth="1"/>
    <col min="11268" max="11268" width="11" style="17" customWidth="1"/>
    <col min="11269" max="11269" width="12" style="17" bestFit="1" customWidth="1"/>
    <col min="11270" max="11270" width="14.81640625" style="17" customWidth="1"/>
    <col min="11271" max="11520" width="11.453125" style="17"/>
    <col min="11521" max="11521" width="18.7265625" style="17" customWidth="1"/>
    <col min="11522" max="11522" width="13.7265625" style="17" bestFit="1" customWidth="1"/>
    <col min="11523" max="11523" width="17.26953125" style="17" customWidth="1"/>
    <col min="11524" max="11524" width="11" style="17" customWidth="1"/>
    <col min="11525" max="11525" width="12" style="17" bestFit="1" customWidth="1"/>
    <col min="11526" max="11526" width="14.81640625" style="17" customWidth="1"/>
    <col min="11527" max="11776" width="11.453125" style="17"/>
    <col min="11777" max="11777" width="18.7265625" style="17" customWidth="1"/>
    <col min="11778" max="11778" width="13.7265625" style="17" bestFit="1" customWidth="1"/>
    <col min="11779" max="11779" width="17.26953125" style="17" customWidth="1"/>
    <col min="11780" max="11780" width="11" style="17" customWidth="1"/>
    <col min="11781" max="11781" width="12" style="17" bestFit="1" customWidth="1"/>
    <col min="11782" max="11782" width="14.81640625" style="17" customWidth="1"/>
    <col min="11783" max="12032" width="11.453125" style="17"/>
    <col min="12033" max="12033" width="18.7265625" style="17" customWidth="1"/>
    <col min="12034" max="12034" width="13.7265625" style="17" bestFit="1" customWidth="1"/>
    <col min="12035" max="12035" width="17.26953125" style="17" customWidth="1"/>
    <col min="12036" max="12036" width="11" style="17" customWidth="1"/>
    <col min="12037" max="12037" width="12" style="17" bestFit="1" customWidth="1"/>
    <col min="12038" max="12038" width="14.81640625" style="17" customWidth="1"/>
    <col min="12039" max="12288" width="11.453125" style="17"/>
    <col min="12289" max="12289" width="18.7265625" style="17" customWidth="1"/>
    <col min="12290" max="12290" width="13.7265625" style="17" bestFit="1" customWidth="1"/>
    <col min="12291" max="12291" width="17.26953125" style="17" customWidth="1"/>
    <col min="12292" max="12292" width="11" style="17" customWidth="1"/>
    <col min="12293" max="12293" width="12" style="17" bestFit="1" customWidth="1"/>
    <col min="12294" max="12294" width="14.81640625" style="17" customWidth="1"/>
    <col min="12295" max="12544" width="11.453125" style="17"/>
    <col min="12545" max="12545" width="18.7265625" style="17" customWidth="1"/>
    <col min="12546" max="12546" width="13.7265625" style="17" bestFit="1" customWidth="1"/>
    <col min="12547" max="12547" width="17.26953125" style="17" customWidth="1"/>
    <col min="12548" max="12548" width="11" style="17" customWidth="1"/>
    <col min="12549" max="12549" width="12" style="17" bestFit="1" customWidth="1"/>
    <col min="12550" max="12550" width="14.81640625" style="17" customWidth="1"/>
    <col min="12551" max="12800" width="11.453125" style="17"/>
    <col min="12801" max="12801" width="18.7265625" style="17" customWidth="1"/>
    <col min="12802" max="12802" width="13.7265625" style="17" bestFit="1" customWidth="1"/>
    <col min="12803" max="12803" width="17.26953125" style="17" customWidth="1"/>
    <col min="12804" max="12804" width="11" style="17" customWidth="1"/>
    <col min="12805" max="12805" width="12" style="17" bestFit="1" customWidth="1"/>
    <col min="12806" max="12806" width="14.81640625" style="17" customWidth="1"/>
    <col min="12807" max="13056" width="11.453125" style="17"/>
    <col min="13057" max="13057" width="18.7265625" style="17" customWidth="1"/>
    <col min="13058" max="13058" width="13.7265625" style="17" bestFit="1" customWidth="1"/>
    <col min="13059" max="13059" width="17.26953125" style="17" customWidth="1"/>
    <col min="13060" max="13060" width="11" style="17" customWidth="1"/>
    <col min="13061" max="13061" width="12" style="17" bestFit="1" customWidth="1"/>
    <col min="13062" max="13062" width="14.81640625" style="17" customWidth="1"/>
    <col min="13063" max="13312" width="11.453125" style="17"/>
    <col min="13313" max="13313" width="18.7265625" style="17" customWidth="1"/>
    <col min="13314" max="13314" width="13.7265625" style="17" bestFit="1" customWidth="1"/>
    <col min="13315" max="13315" width="17.26953125" style="17" customWidth="1"/>
    <col min="13316" max="13316" width="11" style="17" customWidth="1"/>
    <col min="13317" max="13317" width="12" style="17" bestFit="1" customWidth="1"/>
    <col min="13318" max="13318" width="14.81640625" style="17" customWidth="1"/>
    <col min="13319" max="13568" width="11.453125" style="17"/>
    <col min="13569" max="13569" width="18.7265625" style="17" customWidth="1"/>
    <col min="13570" max="13570" width="13.7265625" style="17" bestFit="1" customWidth="1"/>
    <col min="13571" max="13571" width="17.26953125" style="17" customWidth="1"/>
    <col min="13572" max="13572" width="11" style="17" customWidth="1"/>
    <col min="13573" max="13573" width="12" style="17" bestFit="1" customWidth="1"/>
    <col min="13574" max="13574" width="14.81640625" style="17" customWidth="1"/>
    <col min="13575" max="13824" width="11.453125" style="17"/>
    <col min="13825" max="13825" width="18.7265625" style="17" customWidth="1"/>
    <col min="13826" max="13826" width="13.7265625" style="17" bestFit="1" customWidth="1"/>
    <col min="13827" max="13827" width="17.26953125" style="17" customWidth="1"/>
    <col min="13828" max="13828" width="11" style="17" customWidth="1"/>
    <col min="13829" max="13829" width="12" style="17" bestFit="1" customWidth="1"/>
    <col min="13830" max="13830" width="14.81640625" style="17" customWidth="1"/>
    <col min="13831" max="14080" width="11.453125" style="17"/>
    <col min="14081" max="14081" width="18.7265625" style="17" customWidth="1"/>
    <col min="14082" max="14082" width="13.7265625" style="17" bestFit="1" customWidth="1"/>
    <col min="14083" max="14083" width="17.26953125" style="17" customWidth="1"/>
    <col min="14084" max="14084" width="11" style="17" customWidth="1"/>
    <col min="14085" max="14085" width="12" style="17" bestFit="1" customWidth="1"/>
    <col min="14086" max="14086" width="14.81640625" style="17" customWidth="1"/>
    <col min="14087" max="14336" width="11.453125" style="17"/>
    <col min="14337" max="14337" width="18.7265625" style="17" customWidth="1"/>
    <col min="14338" max="14338" width="13.7265625" style="17" bestFit="1" customWidth="1"/>
    <col min="14339" max="14339" width="17.26953125" style="17" customWidth="1"/>
    <col min="14340" max="14340" width="11" style="17" customWidth="1"/>
    <col min="14341" max="14341" width="12" style="17" bestFit="1" customWidth="1"/>
    <col min="14342" max="14342" width="14.81640625" style="17" customWidth="1"/>
    <col min="14343" max="14592" width="11.453125" style="17"/>
    <col min="14593" max="14593" width="18.7265625" style="17" customWidth="1"/>
    <col min="14594" max="14594" width="13.7265625" style="17" bestFit="1" customWidth="1"/>
    <col min="14595" max="14595" width="17.26953125" style="17" customWidth="1"/>
    <col min="14596" max="14596" width="11" style="17" customWidth="1"/>
    <col min="14597" max="14597" width="12" style="17" bestFit="1" customWidth="1"/>
    <col min="14598" max="14598" width="14.81640625" style="17" customWidth="1"/>
    <col min="14599" max="14848" width="11.453125" style="17"/>
    <col min="14849" max="14849" width="18.7265625" style="17" customWidth="1"/>
    <col min="14850" max="14850" width="13.7265625" style="17" bestFit="1" customWidth="1"/>
    <col min="14851" max="14851" width="17.26953125" style="17" customWidth="1"/>
    <col min="14852" max="14852" width="11" style="17" customWidth="1"/>
    <col min="14853" max="14853" width="12" style="17" bestFit="1" customWidth="1"/>
    <col min="14854" max="14854" width="14.81640625" style="17" customWidth="1"/>
    <col min="14855" max="15104" width="11.453125" style="17"/>
    <col min="15105" max="15105" width="18.7265625" style="17" customWidth="1"/>
    <col min="15106" max="15106" width="13.7265625" style="17" bestFit="1" customWidth="1"/>
    <col min="15107" max="15107" width="17.26953125" style="17" customWidth="1"/>
    <col min="15108" max="15108" width="11" style="17" customWidth="1"/>
    <col min="15109" max="15109" width="12" style="17" bestFit="1" customWidth="1"/>
    <col min="15110" max="15110" width="14.81640625" style="17" customWidth="1"/>
    <col min="15111" max="15360" width="11.453125" style="17"/>
    <col min="15361" max="15361" width="18.7265625" style="17" customWidth="1"/>
    <col min="15362" max="15362" width="13.7265625" style="17" bestFit="1" customWidth="1"/>
    <col min="15363" max="15363" width="17.26953125" style="17" customWidth="1"/>
    <col min="15364" max="15364" width="11" style="17" customWidth="1"/>
    <col min="15365" max="15365" width="12" style="17" bestFit="1" customWidth="1"/>
    <col min="15366" max="15366" width="14.81640625" style="17" customWidth="1"/>
    <col min="15367" max="15616" width="11.453125" style="17"/>
    <col min="15617" max="15617" width="18.7265625" style="17" customWidth="1"/>
    <col min="15618" max="15618" width="13.7265625" style="17" bestFit="1" customWidth="1"/>
    <col min="15619" max="15619" width="17.26953125" style="17" customWidth="1"/>
    <col min="15620" max="15620" width="11" style="17" customWidth="1"/>
    <col min="15621" max="15621" width="12" style="17" bestFit="1" customWidth="1"/>
    <col min="15622" max="15622" width="14.81640625" style="17" customWidth="1"/>
    <col min="15623" max="15872" width="11.453125" style="17"/>
    <col min="15873" max="15873" width="18.7265625" style="17" customWidth="1"/>
    <col min="15874" max="15874" width="13.7265625" style="17" bestFit="1" customWidth="1"/>
    <col min="15875" max="15875" width="17.26953125" style="17" customWidth="1"/>
    <col min="15876" max="15876" width="11" style="17" customWidth="1"/>
    <col min="15877" max="15877" width="12" style="17" bestFit="1" customWidth="1"/>
    <col min="15878" max="15878" width="14.81640625" style="17" customWidth="1"/>
    <col min="15879" max="16128" width="11.453125" style="17"/>
    <col min="16129" max="16129" width="18.7265625" style="17" customWidth="1"/>
    <col min="16130" max="16130" width="13.7265625" style="17" bestFit="1" customWidth="1"/>
    <col min="16131" max="16131" width="17.26953125" style="17" customWidth="1"/>
    <col min="16132" max="16132" width="11" style="17" customWidth="1"/>
    <col min="16133" max="16133" width="12" style="17" bestFit="1" customWidth="1"/>
    <col min="16134" max="16134" width="14.81640625" style="17" customWidth="1"/>
    <col min="16135" max="16384" width="11.453125" style="17"/>
  </cols>
  <sheetData>
    <row r="2" spans="1:11" x14ac:dyDescent="0.25">
      <c r="A2" s="17" t="s">
        <v>70</v>
      </c>
      <c r="B2" s="66">
        <f>'pooled normalised values'!B75</f>
        <v>0.15229055770800312</v>
      </c>
      <c r="D2" s="17" t="s">
        <v>9</v>
      </c>
      <c r="E2" s="18"/>
      <c r="F2" s="19" t="str">
        <f>'pooled normalised values'!J74</f>
        <v>Testo-11µg/L</v>
      </c>
      <c r="G2" s="18"/>
      <c r="H2" s="20"/>
      <c r="I2" s="19" t="str">
        <f>'pooled normalised values'!R74</f>
        <v>Testo-3,7µg/L + Testostérone</v>
      </c>
      <c r="J2" s="20"/>
      <c r="K2" s="17" t="s">
        <v>9</v>
      </c>
    </row>
    <row r="3" spans="1:11" x14ac:dyDescent="0.25">
      <c r="A3" s="17" t="s">
        <v>71</v>
      </c>
      <c r="B3" s="66">
        <f>'summary results'!E6</f>
        <v>0</v>
      </c>
      <c r="D3" s="21" t="s">
        <v>10</v>
      </c>
      <c r="E3" s="22"/>
      <c r="F3" s="19">
        <f>HLOOKUP(F2,'pooled normalised values'!B74:AK83,2,FALSE)</f>
        <v>0.40590817188454914</v>
      </c>
      <c r="G3" s="22"/>
      <c r="H3" s="20"/>
      <c r="I3" s="19">
        <f>HLOOKUP(I2,'pooled normalised values'!N74:BA83,2,FALSE)</f>
        <v>1.2026042022653904</v>
      </c>
      <c r="J3" s="20"/>
      <c r="K3" s="21" t="s">
        <v>10</v>
      </c>
    </row>
    <row r="4" spans="1:11" x14ac:dyDescent="0.25">
      <c r="A4" s="17" t="s">
        <v>72</v>
      </c>
      <c r="B4" s="66">
        <f>'pooled normalised values'!O75</f>
        <v>1.0000000000000002</v>
      </c>
      <c r="D4" s="21" t="s">
        <v>2</v>
      </c>
      <c r="E4" s="22"/>
      <c r="F4" s="19">
        <f>HLOOKUP(F2,'pooled normalised values'!B74:AK83,3,FALSE)</f>
        <v>8.7099704942541836E-2</v>
      </c>
      <c r="G4" s="22"/>
      <c r="H4" s="20"/>
      <c r="I4" s="19">
        <f>HLOOKUP(I2,'pooled normalised values'!N74:BA83,3,FALSE)</f>
        <v>0.22035816842392178</v>
      </c>
      <c r="J4" s="20"/>
      <c r="K4" s="21" t="s">
        <v>2</v>
      </c>
    </row>
    <row r="5" spans="1:11" x14ac:dyDescent="0.25">
      <c r="A5" s="17" t="s">
        <v>73</v>
      </c>
      <c r="B5" s="66">
        <f>'pooled normalised values'!P75</f>
        <v>3.1284648375910251</v>
      </c>
      <c r="D5" s="23" t="s">
        <v>11</v>
      </c>
      <c r="E5" s="22"/>
      <c r="F5" s="19" t="str">
        <f>HLOOKUP(F2,'pooled normalised values'!B74:AK83,10,FALSE)</f>
        <v>NS</v>
      </c>
      <c r="G5" s="22"/>
      <c r="H5" s="20"/>
      <c r="I5" s="19" t="str">
        <f>HLOOKUP(I2,'pooled normalised values'!N74:BA83,10,FALSE)</f>
        <v>NS</v>
      </c>
      <c r="J5" s="20"/>
      <c r="K5" s="23" t="s">
        <v>11</v>
      </c>
    </row>
    <row r="6" spans="1:11" x14ac:dyDescent="0.25">
      <c r="A6" s="17" t="s">
        <v>74</v>
      </c>
      <c r="B6" s="66">
        <f>'pooled normalised values'!Q75</f>
        <v>0.11656955822676086</v>
      </c>
      <c r="D6" s="21" t="s">
        <v>12</v>
      </c>
      <c r="E6" s="24">
        <f>$B$2</f>
        <v>0.15229055770800312</v>
      </c>
      <c r="F6" s="24">
        <f>$B$2</f>
        <v>0.15229055770800312</v>
      </c>
      <c r="G6" s="24">
        <f>$B$2</f>
        <v>0.15229055770800312</v>
      </c>
      <c r="H6" s="25"/>
      <c r="I6" s="25"/>
      <c r="J6" s="25"/>
      <c r="K6" s="21" t="s">
        <v>12</v>
      </c>
    </row>
    <row r="7" spans="1:11" x14ac:dyDescent="0.25">
      <c r="B7" s="26"/>
      <c r="D7" s="26" t="s">
        <v>13</v>
      </c>
      <c r="E7" s="24"/>
      <c r="F7" s="24"/>
      <c r="G7" s="27"/>
      <c r="H7" s="25">
        <f t="shared" ref="H7:J7" si="0">$B$4</f>
        <v>1.0000000000000002</v>
      </c>
      <c r="I7" s="25">
        <f t="shared" si="0"/>
        <v>1.0000000000000002</v>
      </c>
      <c r="J7" s="25">
        <f t="shared" si="0"/>
        <v>1.0000000000000002</v>
      </c>
      <c r="K7" s="26" t="s">
        <v>13</v>
      </c>
    </row>
    <row r="8" spans="1:11" x14ac:dyDescent="0.25">
      <c r="D8" s="28" t="s">
        <v>14</v>
      </c>
      <c r="E8" s="24">
        <v>0</v>
      </c>
      <c r="F8" s="24">
        <v>0</v>
      </c>
      <c r="G8" s="27">
        <v>0</v>
      </c>
      <c r="H8" s="25">
        <f>$B$6</f>
        <v>0.11656955822676086</v>
      </c>
      <c r="I8" s="25">
        <f t="shared" ref="I8:J8" si="1">$B$6</f>
        <v>0.11656955822676086</v>
      </c>
      <c r="J8" s="25">
        <f t="shared" si="1"/>
        <v>0.11656955822676086</v>
      </c>
      <c r="K8" s="28" t="s">
        <v>14</v>
      </c>
    </row>
    <row r="9" spans="1:11" x14ac:dyDescent="0.25">
      <c r="D9" s="28" t="s">
        <v>15</v>
      </c>
      <c r="E9" s="29">
        <f>$B$3-E8</f>
        <v>0</v>
      </c>
      <c r="F9" s="29">
        <f>$B$3-F8</f>
        <v>0</v>
      </c>
      <c r="G9" s="29">
        <f>$B$3-G8</f>
        <v>0</v>
      </c>
      <c r="H9" s="25">
        <f>$B$5-H8</f>
        <v>3.0118952793642642</v>
      </c>
      <c r="I9" s="25">
        <f>$B$5-I8</f>
        <v>3.0118952793642642</v>
      </c>
      <c r="J9" s="25">
        <f>$B$5-J8</f>
        <v>3.0118952793642642</v>
      </c>
      <c r="K9" s="28" t="s">
        <v>15</v>
      </c>
    </row>
    <row r="10" spans="1:11" x14ac:dyDescent="0.25">
      <c r="D10" s="28" t="s">
        <v>16</v>
      </c>
      <c r="E10" s="27">
        <f t="shared" ref="E10:J10" si="2">2.5-E9</f>
        <v>2.5</v>
      </c>
      <c r="F10" s="27">
        <f t="shared" si="2"/>
        <v>2.5</v>
      </c>
      <c r="G10" s="27">
        <f t="shared" si="2"/>
        <v>2.5</v>
      </c>
      <c r="H10" s="25">
        <f t="shared" si="2"/>
        <v>-0.51189527936426416</v>
      </c>
      <c r="I10" s="25">
        <f t="shared" si="2"/>
        <v>-0.51189527936426416</v>
      </c>
      <c r="J10" s="25">
        <f t="shared" si="2"/>
        <v>-0.51189527936426416</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1000000}">
          <x14:formula1>
            <xm:f>'pooled normalised values'!$R$74:$AK$74</xm:f>
          </x14:formula1>
          <xm:sqref>I2</xm:sqref>
        </x14:dataValidation>
        <x14:dataValidation type="list" allowBlank="1" showInputMessage="1" showErrorMessage="1" xr:uid="{00000000-0002-0000-1000-000000000000}">
          <x14:formula1>
            <xm:f>'pooled normalised values'!$J$74:$M$74</xm:f>
          </x14:formula1>
          <xm:sqref>F2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4.5" x14ac:dyDescent="0.35"/>
  <cols>
    <col min="1" max="1" width="11.453125" style="1"/>
    <col min="3" max="3" width="15.26953125" customWidth="1"/>
    <col min="4" max="4" width="13.7265625" customWidth="1"/>
    <col min="5" max="5" width="18.26953125" customWidth="1"/>
    <col min="6" max="6" width="14" customWidth="1"/>
    <col min="7" max="7" width="14.453125" customWidth="1"/>
    <col min="8" max="8" width="14.26953125" customWidth="1"/>
    <col min="9" max="9" width="17" customWidth="1"/>
    <col min="10" max="10" width="12.54296875" customWidth="1"/>
    <col min="11" max="11" width="13.1796875" customWidth="1"/>
    <col min="12" max="12" width="15.7265625" customWidth="1"/>
    <col min="13" max="14" width="16.1796875" customWidth="1"/>
    <col min="17" max="23" width="9.7265625" customWidth="1"/>
  </cols>
  <sheetData>
    <row r="1" spans="1:23" ht="29.5" thickBot="1" x14ac:dyDescent="0.4">
      <c r="A1" s="150" t="s">
        <v>102</v>
      </c>
      <c r="B1" s="150" t="s">
        <v>103</v>
      </c>
      <c r="C1" s="147" t="s">
        <v>86</v>
      </c>
      <c r="D1" s="147" t="s">
        <v>87</v>
      </c>
      <c r="E1" s="148" t="s">
        <v>88</v>
      </c>
      <c r="F1" s="148" t="s">
        <v>89</v>
      </c>
      <c r="G1" s="147" t="s">
        <v>90</v>
      </c>
      <c r="H1" s="147" t="s">
        <v>91</v>
      </c>
      <c r="I1" s="147" t="s">
        <v>92</v>
      </c>
      <c r="J1" s="147" t="s">
        <v>93</v>
      </c>
      <c r="K1" s="147" t="s">
        <v>94</v>
      </c>
      <c r="L1" s="147" t="s">
        <v>95</v>
      </c>
      <c r="M1" s="147" t="s">
        <v>96</v>
      </c>
      <c r="N1" s="147" t="s">
        <v>97</v>
      </c>
      <c r="Q1" s="242" t="s">
        <v>99</v>
      </c>
      <c r="R1" s="242"/>
      <c r="S1" s="242"/>
      <c r="U1" s="242" t="s">
        <v>98</v>
      </c>
      <c r="V1" s="242"/>
      <c r="W1" s="242"/>
    </row>
    <row r="2" spans="1:23" x14ac:dyDescent="0.3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values'!$B$74:$AK$83,4,FALSE)</f>
        <v>#N/A</v>
      </c>
      <c r="F2" s="1" t="e">
        <f>HLOOKUP(Tableau3[[#This Row],[Nom ND]],'pooled normalised values'!$B$74:$AK$83,8,FALSE)</f>
        <v>#N/A</v>
      </c>
      <c r="G2" t="e">
        <f>VLOOKUP(Tableau3[[#This Row],[Nom ND]],'summary results'!$A$6:$N$26,9,FALSE)</f>
        <v>#N/A</v>
      </c>
      <c r="H2" s="1" t="e">
        <f>VLOOKUP(Tableau3[[#This Row],[Nom ND]],'summary results'!$A$6:$N$26,11,FALSE)</f>
        <v>#N/A</v>
      </c>
      <c r="I2" s="1" t="e">
        <f>HLOOKUP(Tableau3[[#This Row],[Nom D]],'pooled normalised values'!$B$74:$AK$83,4,FALSE)</f>
        <v>#DIV/0!</v>
      </c>
      <c r="J2" s="1" t="e">
        <f>HLOOKUP(Tableau3[[#This Row],[Nom D]],'pooled normalised values'!$B$74:$AK$83,8,FALSE)</f>
        <v>#VALUE!</v>
      </c>
      <c r="K2" s="1" t="e">
        <f>VLOOKUP(Tableau3[[#This Row],[Nom D]],'summary results'!$A$29:$N$51,9,FALSE)</f>
        <v>#VALUE!</v>
      </c>
      <c r="L2" s="1" t="e">
        <f>VLOOKUP(Tableau3[[#This Row],[Nom D]],'summary results'!$A$29:$N$51,11,FALSE)</f>
        <v>#VALUE!</v>
      </c>
      <c r="M2" t="e">
        <f>'summary results'!$G$30</f>
        <v>#NUM!</v>
      </c>
      <c r="N2" t="e">
        <f>'summary results'!$G$31</f>
        <v>#NUM!</v>
      </c>
      <c r="Q2" s="122" t="s">
        <v>7</v>
      </c>
      <c r="R2" s="1" t="s">
        <v>131</v>
      </c>
      <c r="U2" s="122" t="s">
        <v>7</v>
      </c>
      <c r="V2" s="1" t="s">
        <v>131</v>
      </c>
    </row>
    <row r="3" spans="1:23" x14ac:dyDescent="0.35">
      <c r="A3" s="1" t="str">
        <f>Q7</f>
        <v>Testo-3.7µg/L</v>
      </c>
      <c r="B3" t="str">
        <f t="shared" si="0"/>
        <v>Testo-3,7µg/L + Testostérone</v>
      </c>
      <c r="D3" t="str">
        <f>CONCATENATE(VLOOKUP(Tableau3[[#This Row],[Nom ND]],liste_groupe[],3,FALSE),VLOOKUP(Tableau3[[#This Row],[Nom ND]],liste_groupe[],4,FALSE))</f>
        <v>3,7µg/L</v>
      </c>
      <c r="E3">
        <f>HLOOKUP(Tableau3[[#This Row],[Nom ND]],'pooled normalised values'!$B$74:$AK$83,4,FALSE)</f>
        <v>39.368410284399062</v>
      </c>
      <c r="F3" t="str">
        <f>HLOOKUP(Tableau3[[#This Row],[Nom ND]],'pooled normalised values'!$B$74:$AK$83,8,FALSE)</f>
        <v>Kruskal-Wallis</v>
      </c>
      <c r="G3" t="str">
        <f>VLOOKUP(Tableau3[[#This Row],[Nom ND]],'summary results'!$A$6:$N$26,9,FALSE)</f>
        <v>NC</v>
      </c>
      <c r="H3">
        <f>VLOOKUP(Tableau3[[#This Row],[Nom ND]],'summary results'!$A$6:$N$26,11,FALSE)</f>
        <v>0</v>
      </c>
      <c r="I3">
        <f>HLOOKUP(Tableau3[[#This Row],[Nom D]],'pooled normalised values'!$B$74:$AK$83,4,FALSE)</f>
        <v>20.260420226539011</v>
      </c>
      <c r="J3" t="str">
        <f>HLOOKUP(Tableau3[[#This Row],[Nom D]],'pooled normalised values'!$B$74:$AK$83,8,FALSE)</f>
        <v>Mann Withney</v>
      </c>
      <c r="K3" t="str">
        <f>VLOOKUP(Tableau3[[#This Row],[Nom D]],'summary results'!$A$29:$N$51,9,FALSE)</f>
        <v>NC</v>
      </c>
      <c r="L3">
        <f>VLOOKUP(Tableau3[[#This Row],[Nom D]],'summary results'!$A$29:$N$51,11,FALSE)</f>
        <v>0</v>
      </c>
      <c r="M3" s="1" t="e">
        <f>'summary results'!$G$30</f>
        <v>#NUM!</v>
      </c>
      <c r="N3" s="1" t="e">
        <f>'summary results'!$G$31</f>
        <v>#NUM!</v>
      </c>
      <c r="Q3" s="122" t="s">
        <v>78</v>
      </c>
      <c r="R3" s="1" t="s">
        <v>106</v>
      </c>
      <c r="U3" s="122" t="s">
        <v>78</v>
      </c>
      <c r="V3" s="1" t="s">
        <v>50</v>
      </c>
    </row>
    <row r="4" spans="1:23" x14ac:dyDescent="0.35">
      <c r="A4" s="1" t="str">
        <f t="shared" ref="A4:A15" si="1">Q8</f>
        <v>Testo-11µg/L</v>
      </c>
      <c r="B4" s="44" t="str">
        <f t="shared" ref="B4:B15" si="2">U8</f>
        <v>Testo-11µg/L + Testostérone</v>
      </c>
      <c r="D4" s="44" t="str">
        <f>CONCATENATE(VLOOKUP(Tableau3[[#This Row],[Nom ND]],liste_groupe[],3,FALSE),VLOOKUP(Tableau3[[#This Row],[Nom ND]],liste_groupe[],4,FALSE))</f>
        <v>11µg/L</v>
      </c>
      <c r="E4" s="44">
        <f>HLOOKUP(Tableau3[[#This Row],[Nom ND]],'pooled normalised values'!$B$74:$AK$83,4,FALSE)</f>
        <v>166.53535057821773</v>
      </c>
      <c r="F4" s="44" t="str">
        <f>HLOOKUP(Tableau3[[#This Row],[Nom ND]],'pooled normalised values'!$B$74:$AK$83,8,FALSE)</f>
        <v>Mann Withney</v>
      </c>
      <c r="G4" s="44" t="str">
        <f>VLOOKUP(Tableau3[[#This Row],[Nom ND]],'summary results'!$A$6:$N$26,9,FALSE)</f>
        <v>NC</v>
      </c>
      <c r="H4" s="44">
        <f>VLOOKUP(Tableau3[[#This Row],[Nom ND]],'summary results'!$A$6:$N$26,11,FALSE)</f>
        <v>0</v>
      </c>
      <c r="I4" s="44">
        <f>HLOOKUP(Tableau3[[#This Row],[Nom D]],'pooled normalised values'!$B$74:$AK$83,4,FALSE)</f>
        <v>54.602402428617694</v>
      </c>
      <c r="J4" s="44" t="str">
        <f>HLOOKUP(Tableau3[[#This Row],[Nom D]],'pooled normalised values'!$B$74:$AK$83,8,FALSE)</f>
        <v>T-Test Welch</v>
      </c>
      <c r="K4" s="44" t="str">
        <f>VLOOKUP(Tableau3[[#This Row],[Nom D]],'summary results'!$A$29:$N$51,9,FALSE)</f>
        <v>NC</v>
      </c>
      <c r="L4" s="44">
        <f>VLOOKUP(Tableau3[[#This Row],[Nom D]],'summary results'!$A$29:$N$51,11,FALSE)</f>
        <v>0</v>
      </c>
      <c r="M4" t="e">
        <f>'summary results'!$G$30</f>
        <v>#NUM!</v>
      </c>
      <c r="N4" t="e">
        <f>'summary results'!$G$31</f>
        <v>#NUM!</v>
      </c>
    </row>
    <row r="5" spans="1:23" x14ac:dyDescent="0.35">
      <c r="A5" s="1" t="str">
        <f t="shared" si="1"/>
        <v>Testo-33µg/L</v>
      </c>
      <c r="B5" s="44" t="str">
        <f t="shared" si="2"/>
        <v>Testo-33µg/L + Testostérone</v>
      </c>
      <c r="D5" s="44" t="str">
        <f>CONCATENATE(VLOOKUP(Tableau3[[#This Row],[Nom ND]],liste_groupe[],3,FALSE),VLOOKUP(Tableau3[[#This Row],[Nom ND]],liste_groupe[],4,FALSE))</f>
        <v>33µg/L</v>
      </c>
      <c r="E5" s="44">
        <f>HLOOKUP(Tableau3[[#This Row],[Nom ND]],'pooled normalised values'!$B$74:$AK$83,4,FALSE)</f>
        <v>592.04951681765021</v>
      </c>
      <c r="F5" s="44" t="str">
        <f>HLOOKUP(Tableau3[[#This Row],[Nom ND]],'pooled normalised values'!$B$74:$AK$83,8,FALSE)</f>
        <v>Mann Withney</v>
      </c>
      <c r="G5" s="44" t="e">
        <f>VLOOKUP(Tableau3[[#This Row],[Nom ND]],'summary results'!$A$6:$N$26,9,FALSE)</f>
        <v>#NUM!</v>
      </c>
      <c r="H5" s="44" t="e">
        <f>VLOOKUP(Tableau3[[#This Row],[Nom ND]],'summary results'!$A$6:$N$26,11,FALSE)</f>
        <v>#NUM!</v>
      </c>
      <c r="I5" s="44">
        <f>HLOOKUP(Tableau3[[#This Row],[Nom D]],'pooled normalised values'!$B$74:$AK$83,4,FALSE)</f>
        <v>24.253216039864157</v>
      </c>
      <c r="J5" s="44" t="str">
        <f>HLOOKUP(Tableau3[[#This Row],[Nom D]],'pooled normalised values'!$B$74:$AK$83,8,FALSE)</f>
        <v>Mann Withney</v>
      </c>
      <c r="K5" s="44" t="str">
        <f>VLOOKUP(Tableau3[[#This Row],[Nom D]],'summary results'!$A$29:$N$51,9,FALSE)</f>
        <v>NC</v>
      </c>
      <c r="L5" s="44">
        <f>VLOOKUP(Tableau3[[#This Row],[Nom D]],'summary results'!$A$29:$N$51,11,FALSE)</f>
        <v>0</v>
      </c>
      <c r="M5" t="e">
        <f>'summary results'!$G$30</f>
        <v>#NUM!</v>
      </c>
      <c r="N5" t="e">
        <f>'summary results'!$G$31</f>
        <v>#NUM!</v>
      </c>
      <c r="Q5" s="122" t="s">
        <v>100</v>
      </c>
      <c r="U5" s="122" t="s">
        <v>100</v>
      </c>
    </row>
    <row r="6" spans="1:23" x14ac:dyDescent="0.35">
      <c r="A6" s="1" t="str">
        <f t="shared" si="1"/>
        <v>Testo-100µg/L</v>
      </c>
      <c r="B6" s="44" t="str">
        <f t="shared" si="2"/>
        <v>Testo-100µg/L + Testostérone</v>
      </c>
      <c r="D6" s="44" t="str">
        <f>CONCATENATE(VLOOKUP(Tableau3[[#This Row],[Nom ND]],liste_groupe[],3,FALSE),VLOOKUP(Tableau3[[#This Row],[Nom ND]],liste_groupe[],4,FALSE))</f>
        <v>100µg/L</v>
      </c>
      <c r="E6" s="44">
        <f>HLOOKUP(Tableau3[[#This Row],[Nom ND]],'pooled normalised values'!$B$74:$AK$83,4,FALSE)</f>
        <v>1213.487232066655</v>
      </c>
      <c r="F6" s="44" t="str">
        <f>HLOOKUP(Tableau3[[#This Row],[Nom ND]],'pooled normalised values'!$B$74:$AK$83,8,FALSE)</f>
        <v>Mann Withney</v>
      </c>
      <c r="G6" s="44" t="e">
        <f>VLOOKUP(Tableau3[[#This Row],[Nom ND]],'summary results'!$A$6:$N$26,9,FALSE)</f>
        <v>#NUM!</v>
      </c>
      <c r="H6" s="44" t="e">
        <f>VLOOKUP(Tableau3[[#This Row],[Nom ND]],'summary results'!$A$6:$N$26,11,FALSE)</f>
        <v>#NUM!</v>
      </c>
      <c r="I6" s="44">
        <f>HLOOKUP(Tableau3[[#This Row],[Nom D]],'pooled normalised values'!$B$74:$AK$83,4,FALSE)</f>
        <v>45.489817482278283</v>
      </c>
      <c r="J6" s="44" t="str">
        <f>HLOOKUP(Tableau3[[#This Row],[Nom D]],'pooled normalised values'!$B$74:$AK$83,8,FALSE)</f>
        <v>T-Test Welch</v>
      </c>
      <c r="K6" s="44" t="str">
        <f>VLOOKUP(Tableau3[[#This Row],[Nom D]],'summary results'!$A$29:$N$51,9,FALSE)</f>
        <v>NC</v>
      </c>
      <c r="L6" s="44">
        <f>VLOOKUP(Tableau3[[#This Row],[Nom D]],'summary results'!$A$29:$N$51,11,FALSE)</f>
        <v>0</v>
      </c>
      <c r="M6" t="e">
        <f>'summary results'!$G$30</f>
        <v>#NUM!</v>
      </c>
      <c r="N6" t="e">
        <f>'summary results'!$G$31</f>
        <v>#NUM!</v>
      </c>
      <c r="Q6" s="149" t="s">
        <v>112</v>
      </c>
      <c r="U6" s="149" t="s">
        <v>101</v>
      </c>
    </row>
    <row r="7" spans="1:23" x14ac:dyDescent="0.35">
      <c r="A7" s="1" t="str">
        <f t="shared" si="1"/>
        <v>Testo-300µg/L</v>
      </c>
      <c r="B7" s="44" t="str">
        <f t="shared" si="2"/>
        <v>Testo-300µg/L + Testostérone</v>
      </c>
      <c r="D7" s="44" t="str">
        <f>CONCATENATE(VLOOKUP(Tableau3[[#This Row],[Nom ND]],liste_groupe[],3,FALSE),VLOOKUP(Tableau3[[#This Row],[Nom ND]],liste_groupe[],4,FALSE))</f>
        <v>300µg/L</v>
      </c>
      <c r="E7" s="44">
        <f>HLOOKUP(Tableau3[[#This Row],[Nom ND]],'pooled normalised values'!$B$74:$AK$83,4,FALSE)</f>
        <v>1417.7267995057682</v>
      </c>
      <c r="F7" s="44" t="str">
        <f>HLOOKUP(Tableau3[[#This Row],[Nom ND]],'pooled normalised values'!$B$74:$AK$83,8,FALSE)</f>
        <v>Mann Withney</v>
      </c>
      <c r="G7" s="44" t="e">
        <f>VLOOKUP(Tableau3[[#This Row],[Nom ND]],'summary results'!$A$6:$N$26,9,FALSE)</f>
        <v>#NUM!</v>
      </c>
      <c r="H7" s="44" t="e">
        <f>VLOOKUP(Tableau3[[#This Row],[Nom ND]],'summary results'!$A$6:$N$26,11,FALSE)</f>
        <v>#NUM!</v>
      </c>
      <c r="I7" s="44">
        <f>HLOOKUP(Tableau3[[#This Row],[Nom D]],'pooled normalised values'!$B$74:$AK$83,4,FALSE)</f>
        <v>86.258143163103654</v>
      </c>
      <c r="J7" s="44" t="str">
        <f>HLOOKUP(Tableau3[[#This Row],[Nom D]],'pooled normalised values'!$B$74:$AK$83,8,FALSE)</f>
        <v>Mann Withney</v>
      </c>
      <c r="K7" s="44" t="e">
        <f>VLOOKUP(Tableau3[[#This Row],[Nom D]],'summary results'!$A$29:$N$51,9,FALSE)</f>
        <v>#NUM!</v>
      </c>
      <c r="L7" s="44" t="e">
        <f>VLOOKUP(Tableau3[[#This Row],[Nom D]],'summary results'!$A$29:$N$51,11,FALSE)</f>
        <v>#NUM!</v>
      </c>
      <c r="M7" t="e">
        <f>'summary results'!$G$30</f>
        <v>#NUM!</v>
      </c>
      <c r="N7" t="e">
        <f>'summary results'!$G$31</f>
        <v>#NUM!</v>
      </c>
      <c r="Q7" s="149" t="s">
        <v>1687</v>
      </c>
      <c r="U7" s="149" t="s">
        <v>3064</v>
      </c>
    </row>
    <row r="8" spans="1:23" x14ac:dyDescent="0.35">
      <c r="A8" s="1">
        <f t="shared" si="1"/>
        <v>0</v>
      </c>
      <c r="B8" s="44">
        <f t="shared" si="2"/>
        <v>0</v>
      </c>
      <c r="D8" s="44" t="e">
        <f>CONCATENATE(VLOOKUP(Tableau3[[#This Row],[Nom ND]],liste_groupe[],3,FALSE),VLOOKUP(Tableau3[[#This Row],[Nom ND]],liste_groupe[],4,FALSE))</f>
        <v>#N/A</v>
      </c>
      <c r="E8" s="151" t="e">
        <f>HLOOKUP(Tableau3[[#This Row],[Nom ND]],'pooled normalised values'!$B$74:$AK$83,4,FALSE)</f>
        <v>#N/A</v>
      </c>
      <c r="F8" s="44" t="e">
        <f>HLOOKUP(Tableau3[[#This Row],[Nom ND]],'pooled normalised values'!$B$74:$AK$83,8,FALSE)</f>
        <v>#N/A</v>
      </c>
      <c r="G8" s="44" t="e">
        <f>VLOOKUP(Tableau3[[#This Row],[Nom ND]],'summary results'!$A$6:$N$26,9,FALSE)</f>
        <v>#N/A</v>
      </c>
      <c r="H8" s="44" t="e">
        <f>VLOOKUP(Tableau3[[#This Row],[Nom ND]],'summary results'!$A$6:$N$26,11,FALSE)</f>
        <v>#N/A</v>
      </c>
      <c r="I8" s="44" t="e">
        <f>HLOOKUP(Tableau3[[#This Row],[Nom D]],'pooled normalised values'!$B$74:$AK$83,4,FALSE)</f>
        <v>#N/A</v>
      </c>
      <c r="J8" s="44" t="e">
        <f>HLOOKUP(Tableau3[[#This Row],[Nom D]],'pooled normalised values'!$B$74:$AK$83,8,FALSE)</f>
        <v>#N/A</v>
      </c>
      <c r="K8" s="44" t="e">
        <f>VLOOKUP(Tableau3[[#This Row],[Nom D]],'summary results'!$A$29:$N$51,9,FALSE)</f>
        <v>#N/A</v>
      </c>
      <c r="L8" s="44" t="e">
        <f>VLOOKUP(Tableau3[[#This Row],[Nom D]],'summary results'!$A$29:$N$51,11,FALSE)</f>
        <v>#N/A</v>
      </c>
      <c r="M8" t="e">
        <f>'summary results'!$G$30</f>
        <v>#NUM!</v>
      </c>
      <c r="N8" t="e">
        <f>'summary results'!$G$31</f>
        <v>#NUM!</v>
      </c>
      <c r="Q8" s="149" t="s">
        <v>1688</v>
      </c>
      <c r="U8" s="149" t="s">
        <v>3065</v>
      </c>
    </row>
    <row r="9" spans="1:23" x14ac:dyDescent="0.35">
      <c r="A9" s="1">
        <f t="shared" si="1"/>
        <v>0</v>
      </c>
      <c r="B9" s="44">
        <f t="shared" si="2"/>
        <v>0</v>
      </c>
      <c r="D9" s="44" t="e">
        <f>CONCATENATE(VLOOKUP(Tableau3[[#This Row],[Nom ND]],liste_groupe[],3,FALSE),VLOOKUP(Tableau3[[#This Row],[Nom ND]],liste_groupe[],4,FALSE))</f>
        <v>#N/A</v>
      </c>
      <c r="E9" s="44" t="e">
        <f>HLOOKUP(Tableau3[[#This Row],[Nom ND]],'pooled normalised values'!$B$74:$AK$83,4,FALSE)</f>
        <v>#N/A</v>
      </c>
      <c r="F9" s="44" t="e">
        <f>HLOOKUP(Tableau3[[#This Row],[Nom ND]],'pooled normalised values'!$B$74:$AK$83,8,FALSE)</f>
        <v>#N/A</v>
      </c>
      <c r="G9" s="44" t="e">
        <f>VLOOKUP(Tableau3[[#This Row],[Nom ND]],'summary results'!$A$6:$N$26,9,FALSE)</f>
        <v>#N/A</v>
      </c>
      <c r="H9" s="44" t="e">
        <f>VLOOKUP(Tableau3[[#This Row],[Nom ND]],'summary results'!$A$6:$N$26,11,FALSE)</f>
        <v>#N/A</v>
      </c>
      <c r="I9" s="44" t="e">
        <f>HLOOKUP(Tableau3[[#This Row],[Nom D]],'pooled normalised values'!$B$74:$AK$83,4,FALSE)</f>
        <v>#N/A</v>
      </c>
      <c r="J9" s="44" t="e">
        <f>HLOOKUP(Tableau3[[#This Row],[Nom D]],'pooled normalised values'!$B$74:$AK$83,8,FALSE)</f>
        <v>#N/A</v>
      </c>
      <c r="K9" s="44" t="e">
        <f>VLOOKUP(Tableau3[[#This Row],[Nom D]],'summary results'!$A$29:$N$51,9,FALSE)</f>
        <v>#N/A</v>
      </c>
      <c r="L9" s="44" t="e">
        <f>VLOOKUP(Tableau3[[#This Row],[Nom D]],'summary results'!$A$29:$N$51,11,FALSE)</f>
        <v>#N/A</v>
      </c>
      <c r="M9" t="e">
        <f>'summary results'!$G$30</f>
        <v>#NUM!</v>
      </c>
      <c r="N9" t="e">
        <f>'summary results'!$G$31</f>
        <v>#NUM!</v>
      </c>
      <c r="Q9" s="149" t="s">
        <v>1689</v>
      </c>
      <c r="U9" s="149" t="s">
        <v>3066</v>
      </c>
    </row>
    <row r="10" spans="1:23" x14ac:dyDescent="0.35">
      <c r="A10" s="1">
        <f t="shared" si="1"/>
        <v>0</v>
      </c>
      <c r="B10" s="44">
        <f t="shared" si="2"/>
        <v>0</v>
      </c>
      <c r="D10" s="44" t="e">
        <f>CONCATENATE(VLOOKUP(Tableau3[[#This Row],[Nom ND]],liste_groupe[],3,FALSE),VLOOKUP(Tableau3[[#This Row],[Nom ND]],liste_groupe[],4,FALSE))</f>
        <v>#N/A</v>
      </c>
      <c r="E10" s="44" t="e">
        <f>HLOOKUP(Tableau3[[#This Row],[Nom ND]],'pooled normalised values'!$B$74:$AK$83,4,FALSE)</f>
        <v>#N/A</v>
      </c>
      <c r="F10" s="44" t="e">
        <f>HLOOKUP(Tableau3[[#This Row],[Nom ND]],'pooled normalised values'!$B$74:$AK$83,8,FALSE)</f>
        <v>#N/A</v>
      </c>
      <c r="G10" s="44" t="e">
        <f>VLOOKUP(Tableau3[[#This Row],[Nom ND]],'summary results'!$A$6:$N$26,9,FALSE)</f>
        <v>#N/A</v>
      </c>
      <c r="H10" s="44" t="e">
        <f>VLOOKUP(Tableau3[[#This Row],[Nom ND]],'summary results'!$A$6:$N$26,11,FALSE)</f>
        <v>#N/A</v>
      </c>
      <c r="I10" s="44" t="e">
        <f>HLOOKUP(Tableau3[[#This Row],[Nom D]],'pooled normalised values'!$B$74:$AK$83,4,FALSE)</f>
        <v>#N/A</v>
      </c>
      <c r="J10" s="44" t="e">
        <f>HLOOKUP(Tableau3[[#This Row],[Nom D]],'pooled normalised values'!$B$74:$AK$83,8,FALSE)</f>
        <v>#N/A</v>
      </c>
      <c r="K10" s="44" t="e">
        <f>VLOOKUP(Tableau3[[#This Row],[Nom D]],'summary results'!$A$29:$N$51,9,FALSE)</f>
        <v>#N/A</v>
      </c>
      <c r="L10" s="44" t="e">
        <f>VLOOKUP(Tableau3[[#This Row],[Nom D]],'summary results'!$A$29:$N$51,11,FALSE)</f>
        <v>#N/A</v>
      </c>
      <c r="M10" t="e">
        <f>'summary results'!$G$30</f>
        <v>#NUM!</v>
      </c>
      <c r="N10" t="e">
        <f>'summary results'!$G$31</f>
        <v>#NUM!</v>
      </c>
      <c r="Q10" s="149" t="s">
        <v>1690</v>
      </c>
      <c r="U10" s="149" t="s">
        <v>3067</v>
      </c>
    </row>
    <row r="11" spans="1:23" x14ac:dyDescent="0.35">
      <c r="A11" s="1">
        <f t="shared" si="1"/>
        <v>0</v>
      </c>
      <c r="B11" s="44">
        <f t="shared" si="2"/>
        <v>0</v>
      </c>
      <c r="D11" s="44" t="e">
        <f>CONCATENATE(VLOOKUP(Tableau3[[#This Row],[Nom ND]],liste_groupe[],3,FALSE),VLOOKUP(Tableau3[[#This Row],[Nom ND]],liste_groupe[],4,FALSE))</f>
        <v>#N/A</v>
      </c>
      <c r="E11" s="44" t="e">
        <f>HLOOKUP(Tableau3[[#This Row],[Nom ND]],'pooled normalised values'!$B$74:$AK$83,4,FALSE)</f>
        <v>#N/A</v>
      </c>
      <c r="F11" s="44" t="e">
        <f>HLOOKUP(Tableau3[[#This Row],[Nom ND]],'pooled normalised values'!$B$74:$AK$83,8,FALSE)</f>
        <v>#N/A</v>
      </c>
      <c r="G11" s="44" t="e">
        <f>VLOOKUP(Tableau3[[#This Row],[Nom ND]],'summary results'!$A$6:$N$26,9,FALSE)</f>
        <v>#N/A</v>
      </c>
      <c r="H11" s="44" t="e">
        <f>VLOOKUP(Tableau3[[#This Row],[Nom ND]],'summary results'!$A$6:$N$26,11,FALSE)</f>
        <v>#N/A</v>
      </c>
      <c r="I11" s="44" t="e">
        <f>HLOOKUP(Tableau3[[#This Row],[Nom D]],'pooled normalised values'!$B$74:$AK$83,4,FALSE)</f>
        <v>#N/A</v>
      </c>
      <c r="J11" s="44" t="e">
        <f>HLOOKUP(Tableau3[[#This Row],[Nom D]],'pooled normalised values'!$B$74:$AK$83,8,FALSE)</f>
        <v>#N/A</v>
      </c>
      <c r="K11" s="44" t="e">
        <f>VLOOKUP(Tableau3[[#This Row],[Nom D]],'summary results'!$A$29:$N$51,9,FALSE)</f>
        <v>#N/A</v>
      </c>
      <c r="L11" s="44" t="e">
        <f>VLOOKUP(Tableau3[[#This Row],[Nom D]],'summary results'!$A$29:$N$51,11,FALSE)</f>
        <v>#N/A</v>
      </c>
      <c r="M11" t="e">
        <f>'summary results'!$G$30</f>
        <v>#NUM!</v>
      </c>
      <c r="N11" t="e">
        <f>'summary results'!$G$31</f>
        <v>#NUM!</v>
      </c>
      <c r="Q11" s="149" t="s">
        <v>1691</v>
      </c>
      <c r="U11" s="149" t="s">
        <v>3068</v>
      </c>
    </row>
    <row r="12" spans="1:23" x14ac:dyDescent="0.35">
      <c r="A12" s="1">
        <f t="shared" si="1"/>
        <v>0</v>
      </c>
      <c r="B12" s="44">
        <f t="shared" si="2"/>
        <v>0</v>
      </c>
      <c r="D12" s="44" t="e">
        <f>CONCATENATE(VLOOKUP(Tableau3[[#This Row],[Nom ND]],liste_groupe[],3,FALSE),VLOOKUP(Tableau3[[#This Row],[Nom ND]],liste_groupe[],4,FALSE))</f>
        <v>#N/A</v>
      </c>
      <c r="E12" s="44" t="e">
        <f>HLOOKUP(Tableau3[[#This Row],[Nom ND]],'pooled normalised values'!$B$74:$AK$83,4,FALSE)</f>
        <v>#N/A</v>
      </c>
      <c r="F12" s="44" t="e">
        <f>HLOOKUP(Tableau3[[#This Row],[Nom ND]],'pooled normalised values'!$B$74:$AK$83,8,FALSE)</f>
        <v>#N/A</v>
      </c>
      <c r="G12" s="44" t="e">
        <f>VLOOKUP(Tableau3[[#This Row],[Nom ND]],'summary results'!$A$6:$N$26,9,FALSE)</f>
        <v>#N/A</v>
      </c>
      <c r="H12" s="44" t="e">
        <f>VLOOKUP(Tableau3[[#This Row],[Nom ND]],'summary results'!$A$6:$N$26,11,FALSE)</f>
        <v>#N/A</v>
      </c>
      <c r="I12" s="44" t="e">
        <f>HLOOKUP(Tableau3[[#This Row],[Nom D]],'pooled normalised values'!$B$74:$AK$83,4,FALSE)</f>
        <v>#N/A</v>
      </c>
      <c r="J12" s="44" t="e">
        <f>HLOOKUP(Tableau3[[#This Row],[Nom D]],'pooled normalised values'!$B$74:$AK$83,8,FALSE)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5">
      <c r="A13" s="1">
        <f t="shared" si="1"/>
        <v>0</v>
      </c>
      <c r="B13" s="44">
        <f t="shared" si="2"/>
        <v>0</v>
      </c>
      <c r="D13" s="44" t="e">
        <f>CONCATENATE(VLOOKUP(Tableau3[[#This Row],[Nom ND]],liste_groupe[],3,FALSE),VLOOKUP(Tableau3[[#This Row],[Nom ND]],liste_groupe[],4,FALSE))</f>
        <v>#N/A</v>
      </c>
      <c r="E13" s="44" t="e">
        <f>HLOOKUP(Tableau3[[#This Row],[Nom ND]],'pooled normalised values'!$B$74:$AK$83,4,FALSE)</f>
        <v>#N/A</v>
      </c>
      <c r="F13" s="44" t="e">
        <f>HLOOKUP(Tableau3[[#This Row],[Nom ND]],'pooled normalised values'!$B$74:$AK$83,8,FALSE)</f>
        <v>#N/A</v>
      </c>
      <c r="G13" s="44" t="e">
        <f>VLOOKUP(Tableau3[[#This Row],[Nom ND]],'summary results'!$A$6:$N$26,9,FALSE)</f>
        <v>#N/A</v>
      </c>
      <c r="H13" s="44" t="e">
        <f>VLOOKUP(Tableau3[[#This Row],[Nom ND]],'summary results'!$A$6:$N$26,11,FALSE)</f>
        <v>#N/A</v>
      </c>
      <c r="I13" s="44" t="e">
        <f>HLOOKUP(Tableau3[[#This Row],[Nom D]],'pooled normalised values'!$B$74:$AK$83,4,FALSE)</f>
        <v>#N/A</v>
      </c>
      <c r="J13" s="44" t="e">
        <f>HLOOKUP(Tableau3[[#This Row],[Nom D]],'pooled normalised values'!$B$74:$AK$83,8,FALSE)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5">
      <c r="A14" s="1">
        <f t="shared" si="1"/>
        <v>0</v>
      </c>
      <c r="B14" s="44">
        <f t="shared" si="2"/>
        <v>0</v>
      </c>
      <c r="D14" s="44" t="e">
        <f>CONCATENATE(VLOOKUP(Tableau3[[#This Row],[Nom ND]],liste_groupe[],3,FALSE),VLOOKUP(Tableau3[[#This Row],[Nom ND]],liste_groupe[],4,FALSE))</f>
        <v>#N/A</v>
      </c>
      <c r="E14" s="44" t="e">
        <f>HLOOKUP(Tableau3[[#This Row],[Nom ND]],'pooled normalised values'!$B$74:$AK$83,4,FALSE)</f>
        <v>#N/A</v>
      </c>
      <c r="F14" s="44" t="e">
        <f>HLOOKUP(Tableau3[[#This Row],[Nom ND]],'pooled normalised values'!$B$74:$AK$83,8,FALSE)</f>
        <v>#N/A</v>
      </c>
      <c r="G14" s="44" t="e">
        <f>VLOOKUP(Tableau3[[#This Row],[Nom ND]],'summary results'!$A$6:$N$26,9,FALSE)</f>
        <v>#N/A</v>
      </c>
      <c r="H14" s="44" t="e">
        <f>VLOOKUP(Tableau3[[#This Row],[Nom ND]],'summary results'!$A$6:$N$26,11,FALSE)</f>
        <v>#N/A</v>
      </c>
      <c r="I14" s="44" t="e">
        <f>HLOOKUP(Tableau3[[#This Row],[Nom D]],'pooled normalised values'!$B$74:$AK$83,4,FALSE)</f>
        <v>#N/A</v>
      </c>
      <c r="J14" s="44" t="e">
        <f>HLOOKUP(Tableau3[[#This Row],[Nom D]],'pooled normalised values'!$B$74:$AK$83,8,FALSE)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5">
      <c r="A15" s="1">
        <f t="shared" si="1"/>
        <v>0</v>
      </c>
      <c r="B15" s="44">
        <f t="shared" si="2"/>
        <v>0</v>
      </c>
      <c r="D15" s="44" t="e">
        <f>CONCATENATE(VLOOKUP(Tableau3[[#This Row],[Nom ND]],liste_groupe[],3,FALSE),VLOOKUP(Tableau3[[#This Row],[Nom ND]],liste_groupe[],4,FALSE))</f>
        <v>#N/A</v>
      </c>
      <c r="E15" s="44" t="e">
        <f>HLOOKUP(Tableau3[[#This Row],[Nom ND]],'pooled normalised values'!$B$74:$AK$83,4,FALSE)</f>
        <v>#N/A</v>
      </c>
      <c r="F15" s="44" t="e">
        <f>HLOOKUP(Tableau3[[#This Row],[Nom ND]],'pooled normalised values'!$B$74:$AK$83,8,FALSE)</f>
        <v>#N/A</v>
      </c>
      <c r="G15" s="44" t="e">
        <f>VLOOKUP(Tableau3[[#This Row],[Nom ND]],'summary results'!$A$6:$N$26,9,FALSE)</f>
        <v>#N/A</v>
      </c>
      <c r="H15" s="44" t="e">
        <f>VLOOKUP(Tableau3[[#This Row],[Nom ND]],'summary results'!$A$6:$N$26,11,FALSE)</f>
        <v>#N/A</v>
      </c>
      <c r="I15" s="44" t="e">
        <f>HLOOKUP(Tableau3[[#This Row],[Nom D]],'pooled normalised values'!$B$74:$AK$83,4,FALSE)</f>
        <v>#N/A</v>
      </c>
      <c r="J15" s="44" t="e">
        <f>HLOOKUP(Tableau3[[#This Row],[Nom D]],'pooled normalised values'!$B$74:$AK$83,8,FALSE)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64C5A5-5144-4469-B1F8-309EAD6C304B}"/>
</file>

<file path=customXml/itemProps2.xml><?xml version="1.0" encoding="utf-8"?>
<ds:datastoreItem xmlns:ds="http://schemas.openxmlformats.org/officeDocument/2006/customXml" ds:itemID="{FD5AF260-521A-492F-9B1B-36FF6355DFF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2022-10-05T13:56:49Z</dcterms:modified>
</cp:coreProperties>
</file>