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6.xml" ContentType="application/vnd.openxmlformats-officedocument.drawingml.chartshapes+xml"/>
  <Override PartName="/xl/drawings/drawing2.xml" ContentType="application/vnd.openxmlformats-officedocument.drawingml.chartshapes+xml"/>
  <Override PartName="/xl/drawings/drawing4.xml" ContentType="application/vnd.openxmlformats-officedocument.drawingml.chartshap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worksheets/sheet5.xml" ContentType="application/vnd.openxmlformats-officedocument.spreadsheetml.worksheet+xml"/>
  <Override PartName="/xl/chartsheets/sheet3.xml" ContentType="application/vnd.openxmlformats-officedocument.spreadsheetml.chartsheet+xml"/>
  <Override PartName="/xl/worksheets/sheet6.xml" ContentType="application/vnd.openxmlformats-officedocument.spreadsheetml.work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filterPrivacy="1" hidePivotFieldList="1" defaultThemeVersion="124226"/>
  <xr:revisionPtr revIDLastSave="0" documentId="13_ncr:1_{3BCDA0EC-E111-4003-92EA-3A000993D35B}" xr6:coauthVersionLast="47" xr6:coauthVersionMax="47" xr10:uidLastSave="{00000000-0000-0000-0000-000000000000}"/>
  <bookViews>
    <workbookView xWindow="-110" yWindow="-110" windowWidth="19420" windowHeight="10420" firstSheet="4" activeTab="8" xr2:uid="{00000000-000D-0000-FFFF-FFFF00000000}"/>
  </bookViews>
  <sheets>
    <sheet name="Front page" sheetId="10" r:id="rId1"/>
    <sheet name="Feuil1" sheetId="35" r:id="rId2"/>
    <sheet name="R1" sheetId="1" r:id="rId3"/>
    <sheet name="Graph R1" sheetId="8" r:id="rId4"/>
    <sheet name="R2" sheetId="23" r:id="rId5"/>
    <sheet name="Graph R2" sheetId="19" r:id="rId6"/>
    <sheet name="R3" sheetId="33" r:id="rId7"/>
    <sheet name="Graph R3" sheetId="34" r:id="rId8"/>
    <sheet name="pooled normalised values" sheetId="4" r:id="rId9"/>
    <sheet name="pooled normalised graphe" sheetId="5" r:id="rId10"/>
  </sheets>
  <externalReferences>
    <externalReference r:id="rId11"/>
    <externalReference r:id="rId12"/>
  </externalReferences>
  <definedNames>
    <definedName name="_xlnm.Print_Area" localSheetId="0">'Front page'!$A$1:$I$51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94" i="4" l="1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A7" i="10" l="1"/>
  <c r="U35" i="1"/>
  <c r="P36" i="1"/>
  <c r="Q36" i="1"/>
  <c r="R36" i="1"/>
  <c r="S36" i="1"/>
  <c r="T36" i="1"/>
  <c r="U36" i="1"/>
  <c r="V36" i="1"/>
  <c r="F35" i="1"/>
  <c r="B36" i="1"/>
  <c r="C36" i="1"/>
  <c r="D36" i="1"/>
  <c r="E36" i="1"/>
  <c r="F36" i="1"/>
  <c r="G36" i="1"/>
  <c r="H36" i="1"/>
  <c r="I36" i="1"/>
  <c r="J36" i="1"/>
  <c r="K36" i="1"/>
  <c r="L36" i="1"/>
  <c r="M36" i="1"/>
  <c r="A45" i="33"/>
  <c r="A27" i="33"/>
  <c r="A52" i="33" s="1"/>
  <c r="A22" i="33"/>
  <c r="A45" i="23"/>
  <c r="A27" i="23"/>
  <c r="A52" i="23" s="1"/>
  <c r="A22" i="23"/>
  <c r="A27" i="1"/>
  <c r="A45" i="1"/>
  <c r="B39" i="10"/>
  <c r="C39" i="10"/>
  <c r="D39" i="10"/>
  <c r="E39" i="10"/>
  <c r="B40" i="10"/>
  <c r="C40" i="10"/>
  <c r="D40" i="10"/>
  <c r="E40" i="10"/>
  <c r="B41" i="10"/>
  <c r="C41" i="10"/>
  <c r="D41" i="10"/>
  <c r="E41" i="10"/>
  <c r="B42" i="10"/>
  <c r="C42" i="10"/>
  <c r="D42" i="10"/>
  <c r="E42" i="10"/>
  <c r="B43" i="10"/>
  <c r="C43" i="10"/>
  <c r="D43" i="10"/>
  <c r="E43" i="10"/>
  <c r="B44" i="10"/>
  <c r="C44" i="10"/>
  <c r="D44" i="10"/>
  <c r="E44" i="10"/>
  <c r="B45" i="10"/>
  <c r="C45" i="10"/>
  <c r="D45" i="10"/>
  <c r="E45" i="10"/>
  <c r="B46" i="10"/>
  <c r="C46" i="10"/>
  <c r="D46" i="10"/>
  <c r="E46" i="10"/>
  <c r="B47" i="10"/>
  <c r="C47" i="10"/>
  <c r="D47" i="10"/>
  <c r="E47" i="10"/>
  <c r="B48" i="10"/>
  <c r="C48" i="10"/>
  <c r="D48" i="10"/>
  <c r="E48" i="10"/>
  <c r="B49" i="10"/>
  <c r="C49" i="10"/>
  <c r="D49" i="10"/>
  <c r="E49" i="10"/>
  <c r="B50" i="10"/>
  <c r="C50" i="10"/>
  <c r="D50" i="10"/>
  <c r="E50" i="10"/>
  <c r="B51" i="10"/>
  <c r="C51" i="10"/>
  <c r="D51" i="10"/>
  <c r="E51" i="10"/>
  <c r="B52" i="10"/>
  <c r="C52" i="10"/>
  <c r="D52" i="10"/>
  <c r="E52" i="10"/>
  <c r="B53" i="10"/>
  <c r="C53" i="10"/>
  <c r="D53" i="10"/>
  <c r="E53" i="10"/>
  <c r="B54" i="10"/>
  <c r="C54" i="10"/>
  <c r="D54" i="10"/>
  <c r="E54" i="10"/>
  <c r="B55" i="10"/>
  <c r="C55" i="10"/>
  <c r="D55" i="10"/>
  <c r="E55" i="10"/>
  <c r="B56" i="10"/>
  <c r="C56" i="10"/>
  <c r="D56" i="10"/>
  <c r="E56" i="10"/>
  <c r="B57" i="10"/>
  <c r="C57" i="10"/>
  <c r="D57" i="10"/>
  <c r="E57" i="10"/>
  <c r="C38" i="10"/>
  <c r="D38" i="10"/>
  <c r="E38" i="10"/>
  <c r="B38" i="10"/>
  <c r="K78" i="4"/>
  <c r="I78" i="4"/>
  <c r="O78" i="4"/>
  <c r="M78" i="4"/>
  <c r="B78" i="4"/>
  <c r="L78" i="4"/>
  <c r="G78" i="4"/>
  <c r="U78" i="4"/>
  <c r="J78" i="4"/>
  <c r="E78" i="4"/>
  <c r="T78" i="4"/>
  <c r="C78" i="4"/>
  <c r="H78" i="4"/>
  <c r="F78" i="4"/>
  <c r="Q78" i="4"/>
  <c r="P78" i="4"/>
  <c r="R78" i="4"/>
  <c r="S78" i="4"/>
  <c r="V78" i="4"/>
  <c r="D78" i="4"/>
  <c r="A8" i="10" l="1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B4" i="33" l="1"/>
  <c r="B4" i="23" l="1"/>
  <c r="B4" i="1"/>
  <c r="H4" i="33" l="1"/>
  <c r="H4" i="23"/>
  <c r="H4" i="1"/>
  <c r="G4" i="33"/>
  <c r="G4" i="23"/>
  <c r="G4" i="1"/>
  <c r="C4" i="33"/>
  <c r="C4" i="23"/>
  <c r="C4" i="1"/>
  <c r="D4" i="33"/>
  <c r="D4" i="23"/>
  <c r="D4" i="1"/>
  <c r="F4" i="33" l="1"/>
  <c r="F4" i="23"/>
  <c r="F4" i="1"/>
  <c r="E4" i="33"/>
  <c r="E4" i="23"/>
  <c r="E4" i="1"/>
  <c r="I4" i="33"/>
  <c r="I4" i="23"/>
  <c r="I4" i="1"/>
  <c r="V43" i="33" l="1"/>
  <c r="V53" i="4" s="1"/>
  <c r="U43" i="33"/>
  <c r="U53" i="4" s="1"/>
  <c r="T43" i="33"/>
  <c r="T53" i="4" s="1"/>
  <c r="S43" i="33"/>
  <c r="S53" i="4" s="1"/>
  <c r="R43" i="33"/>
  <c r="R53" i="4" s="1"/>
  <c r="Q43" i="33"/>
  <c r="Q53" i="4" s="1"/>
  <c r="P43" i="33"/>
  <c r="P53" i="4" s="1"/>
  <c r="M43" i="33"/>
  <c r="M53" i="4" s="1"/>
  <c r="L43" i="33"/>
  <c r="L53" i="4" s="1"/>
  <c r="K43" i="33"/>
  <c r="K53" i="4" s="1"/>
  <c r="J43" i="33"/>
  <c r="J53" i="4" s="1"/>
  <c r="I43" i="33"/>
  <c r="I53" i="4" s="1"/>
  <c r="H43" i="33"/>
  <c r="H53" i="4" s="1"/>
  <c r="G43" i="33"/>
  <c r="G53" i="4" s="1"/>
  <c r="F43" i="33"/>
  <c r="F53" i="4" s="1"/>
  <c r="E43" i="33"/>
  <c r="E53" i="4" s="1"/>
  <c r="D43" i="33"/>
  <c r="D53" i="4" s="1"/>
  <c r="C43" i="33"/>
  <c r="C53" i="4" s="1"/>
  <c r="B43" i="33"/>
  <c r="B53" i="4" s="1"/>
  <c r="V42" i="33"/>
  <c r="V52" i="4" s="1"/>
  <c r="U42" i="33"/>
  <c r="U52" i="4" s="1"/>
  <c r="T42" i="33"/>
  <c r="T52" i="4" s="1"/>
  <c r="S42" i="33"/>
  <c r="S52" i="4" s="1"/>
  <c r="R42" i="33"/>
  <c r="R52" i="4" s="1"/>
  <c r="Q42" i="33"/>
  <c r="Q52" i="4" s="1"/>
  <c r="P42" i="33"/>
  <c r="P52" i="4" s="1"/>
  <c r="M42" i="33"/>
  <c r="M52" i="4" s="1"/>
  <c r="L42" i="33"/>
  <c r="L52" i="4" s="1"/>
  <c r="K42" i="33"/>
  <c r="K52" i="4" s="1"/>
  <c r="J42" i="33"/>
  <c r="J52" i="4" s="1"/>
  <c r="I42" i="33"/>
  <c r="I52" i="4" s="1"/>
  <c r="H42" i="33"/>
  <c r="H52" i="4" s="1"/>
  <c r="G42" i="33"/>
  <c r="G52" i="4" s="1"/>
  <c r="F42" i="33"/>
  <c r="F52" i="4" s="1"/>
  <c r="E42" i="33"/>
  <c r="E52" i="4" s="1"/>
  <c r="D42" i="33"/>
  <c r="D52" i="4" s="1"/>
  <c r="C42" i="33"/>
  <c r="C52" i="4" s="1"/>
  <c r="B42" i="33"/>
  <c r="B52" i="4" s="1"/>
  <c r="V41" i="33"/>
  <c r="V51" i="4" s="1"/>
  <c r="U41" i="33"/>
  <c r="U51" i="4" s="1"/>
  <c r="T41" i="33"/>
  <c r="T51" i="4" s="1"/>
  <c r="S41" i="33"/>
  <c r="S51" i="4" s="1"/>
  <c r="R41" i="33"/>
  <c r="R51" i="4" s="1"/>
  <c r="Q41" i="33"/>
  <c r="Q51" i="4" s="1"/>
  <c r="P41" i="33"/>
  <c r="P51" i="4" s="1"/>
  <c r="M41" i="33"/>
  <c r="M51" i="4" s="1"/>
  <c r="L41" i="33"/>
  <c r="L51" i="4" s="1"/>
  <c r="K41" i="33"/>
  <c r="K51" i="4" s="1"/>
  <c r="J41" i="33"/>
  <c r="J51" i="4" s="1"/>
  <c r="I41" i="33"/>
  <c r="I51" i="4" s="1"/>
  <c r="H41" i="33"/>
  <c r="H51" i="4" s="1"/>
  <c r="G41" i="33"/>
  <c r="G51" i="4" s="1"/>
  <c r="F41" i="33"/>
  <c r="F51" i="4" s="1"/>
  <c r="E41" i="33"/>
  <c r="E51" i="4" s="1"/>
  <c r="D41" i="33"/>
  <c r="D51" i="4" s="1"/>
  <c r="C41" i="33"/>
  <c r="C51" i="4" s="1"/>
  <c r="B41" i="33"/>
  <c r="B51" i="4" s="1"/>
  <c r="V40" i="33"/>
  <c r="V50" i="4" s="1"/>
  <c r="U40" i="33"/>
  <c r="U50" i="4" s="1"/>
  <c r="T40" i="33"/>
  <c r="T50" i="4" s="1"/>
  <c r="S40" i="33"/>
  <c r="S50" i="4" s="1"/>
  <c r="R40" i="33"/>
  <c r="R50" i="4" s="1"/>
  <c r="Q40" i="33"/>
  <c r="Q50" i="4" s="1"/>
  <c r="P40" i="33"/>
  <c r="P50" i="4" s="1"/>
  <c r="M40" i="33"/>
  <c r="M50" i="4" s="1"/>
  <c r="L40" i="33"/>
  <c r="L50" i="4" s="1"/>
  <c r="K40" i="33"/>
  <c r="K50" i="4" s="1"/>
  <c r="J40" i="33"/>
  <c r="J50" i="4" s="1"/>
  <c r="I40" i="33"/>
  <c r="I50" i="4" s="1"/>
  <c r="H40" i="33"/>
  <c r="H50" i="4" s="1"/>
  <c r="G40" i="33"/>
  <c r="G50" i="4" s="1"/>
  <c r="F40" i="33"/>
  <c r="F50" i="4" s="1"/>
  <c r="E40" i="33"/>
  <c r="E50" i="4" s="1"/>
  <c r="D40" i="33"/>
  <c r="D50" i="4" s="1"/>
  <c r="C40" i="33"/>
  <c r="C50" i="4" s="1"/>
  <c r="B40" i="33"/>
  <c r="B50" i="4" s="1"/>
  <c r="V39" i="33"/>
  <c r="V49" i="4" s="1"/>
  <c r="U39" i="33"/>
  <c r="U49" i="4" s="1"/>
  <c r="T39" i="33"/>
  <c r="T49" i="4" s="1"/>
  <c r="S39" i="33"/>
  <c r="S49" i="4" s="1"/>
  <c r="R39" i="33"/>
  <c r="R49" i="4" s="1"/>
  <c r="Q39" i="33"/>
  <c r="Q49" i="4" s="1"/>
  <c r="P39" i="33"/>
  <c r="P49" i="4" s="1"/>
  <c r="M39" i="33"/>
  <c r="M49" i="4" s="1"/>
  <c r="L39" i="33"/>
  <c r="L49" i="4" s="1"/>
  <c r="K39" i="33"/>
  <c r="K49" i="4" s="1"/>
  <c r="J39" i="33"/>
  <c r="J49" i="4" s="1"/>
  <c r="I39" i="33"/>
  <c r="I49" i="4" s="1"/>
  <c r="H39" i="33"/>
  <c r="H49" i="4" s="1"/>
  <c r="G39" i="33"/>
  <c r="G49" i="4" s="1"/>
  <c r="F39" i="33"/>
  <c r="F49" i="4" s="1"/>
  <c r="E39" i="33"/>
  <c r="E49" i="4" s="1"/>
  <c r="D39" i="33"/>
  <c r="D49" i="4" s="1"/>
  <c r="C39" i="33"/>
  <c r="C49" i="4" s="1"/>
  <c r="B39" i="33"/>
  <c r="B49" i="4" s="1"/>
  <c r="V38" i="33"/>
  <c r="V48" i="4" s="1"/>
  <c r="U38" i="33"/>
  <c r="U48" i="4" s="1"/>
  <c r="T38" i="33"/>
  <c r="T48" i="4" s="1"/>
  <c r="S38" i="33"/>
  <c r="S48" i="4" s="1"/>
  <c r="R38" i="33"/>
  <c r="R48" i="4" s="1"/>
  <c r="Q38" i="33"/>
  <c r="Q48" i="4" s="1"/>
  <c r="P38" i="33"/>
  <c r="P48" i="4" s="1"/>
  <c r="M38" i="33"/>
  <c r="M48" i="4" s="1"/>
  <c r="L38" i="33"/>
  <c r="L48" i="4" s="1"/>
  <c r="K38" i="33"/>
  <c r="K48" i="4" s="1"/>
  <c r="J38" i="33"/>
  <c r="J48" i="4" s="1"/>
  <c r="I38" i="33"/>
  <c r="I48" i="4" s="1"/>
  <c r="H38" i="33"/>
  <c r="H48" i="4" s="1"/>
  <c r="G38" i="33"/>
  <c r="G48" i="4" s="1"/>
  <c r="F38" i="33"/>
  <c r="F48" i="4" s="1"/>
  <c r="E38" i="33"/>
  <c r="E48" i="4" s="1"/>
  <c r="D38" i="33"/>
  <c r="D48" i="4" s="1"/>
  <c r="C38" i="33"/>
  <c r="C48" i="4" s="1"/>
  <c r="B38" i="33"/>
  <c r="B48" i="4" s="1"/>
  <c r="V37" i="33"/>
  <c r="V47" i="4" s="1"/>
  <c r="U37" i="33"/>
  <c r="U47" i="4" s="1"/>
  <c r="T37" i="33"/>
  <c r="T47" i="4" s="1"/>
  <c r="S37" i="33"/>
  <c r="S47" i="4" s="1"/>
  <c r="R37" i="33"/>
  <c r="R47" i="4" s="1"/>
  <c r="Q37" i="33"/>
  <c r="Q47" i="4" s="1"/>
  <c r="P37" i="33"/>
  <c r="P47" i="4" s="1"/>
  <c r="M37" i="33"/>
  <c r="M47" i="4" s="1"/>
  <c r="L37" i="33"/>
  <c r="L47" i="4" s="1"/>
  <c r="K37" i="33"/>
  <c r="K47" i="4" s="1"/>
  <c r="J37" i="33"/>
  <c r="J47" i="4" s="1"/>
  <c r="I37" i="33"/>
  <c r="I47" i="4" s="1"/>
  <c r="H37" i="33"/>
  <c r="H47" i="4" s="1"/>
  <c r="G37" i="33"/>
  <c r="G47" i="4" s="1"/>
  <c r="F37" i="33"/>
  <c r="F47" i="4" s="1"/>
  <c r="E37" i="33"/>
  <c r="E47" i="4" s="1"/>
  <c r="D37" i="33"/>
  <c r="D47" i="4" s="1"/>
  <c r="C37" i="33"/>
  <c r="C47" i="4" s="1"/>
  <c r="B37" i="33"/>
  <c r="B47" i="4" s="1"/>
  <c r="V36" i="33"/>
  <c r="V46" i="4" s="1"/>
  <c r="U36" i="33"/>
  <c r="U46" i="4" s="1"/>
  <c r="T36" i="33"/>
  <c r="T46" i="4" s="1"/>
  <c r="S36" i="33"/>
  <c r="S46" i="4" s="1"/>
  <c r="R36" i="33"/>
  <c r="R46" i="4" s="1"/>
  <c r="Q36" i="33"/>
  <c r="Q46" i="4" s="1"/>
  <c r="P36" i="33"/>
  <c r="P46" i="4" s="1"/>
  <c r="M36" i="33"/>
  <c r="M46" i="4" s="1"/>
  <c r="L36" i="33"/>
  <c r="L46" i="4" s="1"/>
  <c r="K36" i="33"/>
  <c r="K46" i="4" s="1"/>
  <c r="J36" i="33"/>
  <c r="J46" i="4" s="1"/>
  <c r="I36" i="33"/>
  <c r="I46" i="4" s="1"/>
  <c r="H36" i="33"/>
  <c r="H46" i="4" s="1"/>
  <c r="G36" i="33"/>
  <c r="G46" i="4" s="1"/>
  <c r="F36" i="33"/>
  <c r="F46" i="4" s="1"/>
  <c r="E36" i="33"/>
  <c r="E46" i="4" s="1"/>
  <c r="D36" i="33"/>
  <c r="D46" i="4" s="1"/>
  <c r="C36" i="33"/>
  <c r="C46" i="4" s="1"/>
  <c r="B36" i="33"/>
  <c r="B46" i="4" s="1"/>
  <c r="V35" i="33"/>
  <c r="V45" i="4" s="1"/>
  <c r="U35" i="33"/>
  <c r="U45" i="4" s="1"/>
  <c r="T35" i="33"/>
  <c r="T45" i="4" s="1"/>
  <c r="S35" i="33"/>
  <c r="S45" i="4" s="1"/>
  <c r="R35" i="33"/>
  <c r="R45" i="4" s="1"/>
  <c r="Q35" i="33"/>
  <c r="Q45" i="4" s="1"/>
  <c r="P35" i="33"/>
  <c r="P45" i="4" s="1"/>
  <c r="L35" i="33"/>
  <c r="L45" i="4" s="1"/>
  <c r="V30" i="33"/>
  <c r="V40" i="4" s="1"/>
  <c r="U30" i="33"/>
  <c r="U40" i="4" s="1"/>
  <c r="T30" i="33"/>
  <c r="T40" i="4" s="1"/>
  <c r="S30" i="33"/>
  <c r="S40" i="4" s="1"/>
  <c r="R30" i="33"/>
  <c r="R40" i="4" s="1"/>
  <c r="Q30" i="33"/>
  <c r="Q40" i="4" s="1"/>
  <c r="P30" i="33"/>
  <c r="P40" i="4" s="1"/>
  <c r="V29" i="33"/>
  <c r="V39" i="4" s="1"/>
  <c r="U29" i="33"/>
  <c r="U39" i="4" s="1"/>
  <c r="T29" i="33"/>
  <c r="T39" i="4" s="1"/>
  <c r="S29" i="33"/>
  <c r="S39" i="4" s="1"/>
  <c r="R29" i="33"/>
  <c r="R39" i="4" s="1"/>
  <c r="Q29" i="33"/>
  <c r="Q39" i="4" s="1"/>
  <c r="P29" i="33"/>
  <c r="P39" i="4" s="1"/>
  <c r="V28" i="33"/>
  <c r="U28" i="33"/>
  <c r="T28" i="33"/>
  <c r="S28" i="33"/>
  <c r="R28" i="33"/>
  <c r="Q28" i="33"/>
  <c r="P28" i="33"/>
  <c r="V24" i="33"/>
  <c r="U24" i="33"/>
  <c r="T24" i="33"/>
  <c r="S24" i="33"/>
  <c r="R24" i="33"/>
  <c r="Q24" i="33"/>
  <c r="P24" i="33"/>
  <c r="O24" i="33"/>
  <c r="L24" i="33"/>
  <c r="J24" i="33"/>
  <c r="I24" i="33"/>
  <c r="H24" i="33"/>
  <c r="G24" i="33"/>
  <c r="F24" i="33"/>
  <c r="E24" i="33"/>
  <c r="D24" i="33"/>
  <c r="C24" i="33"/>
  <c r="B24" i="33"/>
  <c r="V23" i="33"/>
  <c r="U23" i="33"/>
  <c r="T23" i="33"/>
  <c r="S23" i="33"/>
  <c r="R23" i="33"/>
  <c r="Q23" i="33"/>
  <c r="P23" i="33"/>
  <c r="O23" i="33"/>
  <c r="V34" i="33" s="1"/>
  <c r="V44" i="4" s="1"/>
  <c r="L23" i="33"/>
  <c r="J23" i="33"/>
  <c r="I23" i="33"/>
  <c r="H23" i="33"/>
  <c r="G23" i="33"/>
  <c r="F23" i="33"/>
  <c r="E23" i="33"/>
  <c r="D23" i="33"/>
  <c r="C23" i="33"/>
  <c r="B23" i="33"/>
  <c r="H22" i="33"/>
  <c r="G45" i="33"/>
  <c r="F27" i="33"/>
  <c r="F52" i="33" s="1"/>
  <c r="E45" i="33"/>
  <c r="D22" i="33"/>
  <c r="C45" i="33"/>
  <c r="B45" i="33"/>
  <c r="O37" i="33" l="1"/>
  <c r="O47" i="4" s="1"/>
  <c r="L29" i="33"/>
  <c r="L39" i="4" s="1"/>
  <c r="B34" i="33"/>
  <c r="B44" i="4" s="1"/>
  <c r="O38" i="33"/>
  <c r="O48" i="4" s="1"/>
  <c r="O42" i="33"/>
  <c r="O52" i="4" s="1"/>
  <c r="O29" i="33"/>
  <c r="O39" i="4" s="1"/>
  <c r="C34" i="33"/>
  <c r="C44" i="4" s="1"/>
  <c r="F35" i="33"/>
  <c r="F45" i="4" s="1"/>
  <c r="G35" i="33"/>
  <c r="G45" i="4" s="1"/>
  <c r="O39" i="33"/>
  <c r="O49" i="4" s="1"/>
  <c r="O43" i="33"/>
  <c r="O53" i="4" s="1"/>
  <c r="B28" i="33"/>
  <c r="O41" i="33"/>
  <c r="O51" i="4" s="1"/>
  <c r="C28" i="33"/>
  <c r="O36" i="33"/>
  <c r="O46" i="4" s="1"/>
  <c r="O40" i="33"/>
  <c r="O50" i="4" s="1"/>
  <c r="H35" i="33"/>
  <c r="H45" i="4" s="1"/>
  <c r="D28" i="33"/>
  <c r="D34" i="33"/>
  <c r="D44" i="4" s="1"/>
  <c r="E28" i="33"/>
  <c r="E34" i="33"/>
  <c r="E44" i="4" s="1"/>
  <c r="I35" i="33"/>
  <c r="I45" i="4" s="1"/>
  <c r="F28" i="33"/>
  <c r="B29" i="33"/>
  <c r="B39" i="4" s="1"/>
  <c r="F34" i="33"/>
  <c r="F44" i="4" s="1"/>
  <c r="J35" i="33"/>
  <c r="J45" i="4" s="1"/>
  <c r="G28" i="33"/>
  <c r="C29" i="33"/>
  <c r="C39" i="4" s="1"/>
  <c r="G34" i="33"/>
  <c r="G44" i="4" s="1"/>
  <c r="K35" i="33"/>
  <c r="K45" i="4" s="1"/>
  <c r="H34" i="33"/>
  <c r="H44" i="4" s="1"/>
  <c r="I28" i="33"/>
  <c r="I38" i="4" s="1"/>
  <c r="E29" i="33"/>
  <c r="E39" i="4" s="1"/>
  <c r="I34" i="33"/>
  <c r="I44" i="4" s="1"/>
  <c r="M35" i="33"/>
  <c r="M45" i="4" s="1"/>
  <c r="J28" i="33"/>
  <c r="F29" i="33"/>
  <c r="F39" i="4" s="1"/>
  <c r="O30" i="33"/>
  <c r="O40" i="4" s="1"/>
  <c r="J34" i="33"/>
  <c r="J44" i="4" s="1"/>
  <c r="O35" i="33"/>
  <c r="O45" i="4" s="1"/>
  <c r="K34" i="33"/>
  <c r="K44" i="4" s="1"/>
  <c r="D29" i="33"/>
  <c r="D39" i="4" s="1"/>
  <c r="L28" i="33"/>
  <c r="H29" i="33"/>
  <c r="H39" i="4" s="1"/>
  <c r="L34" i="33"/>
  <c r="L44" i="4" s="1"/>
  <c r="K28" i="33"/>
  <c r="K38" i="4" s="1"/>
  <c r="M28" i="33"/>
  <c r="M38" i="4" s="1"/>
  <c r="H28" i="33"/>
  <c r="H38" i="4" s="1"/>
  <c r="G29" i="33"/>
  <c r="G39" i="4" s="1"/>
  <c r="I29" i="33"/>
  <c r="I39" i="4" s="1"/>
  <c r="M34" i="33"/>
  <c r="M44" i="4" s="1"/>
  <c r="O28" i="33"/>
  <c r="J29" i="33"/>
  <c r="J39" i="4" s="1"/>
  <c r="B35" i="33"/>
  <c r="B45" i="4" s="1"/>
  <c r="K29" i="33"/>
  <c r="K39" i="4" s="1"/>
  <c r="C35" i="33"/>
  <c r="C45" i="4" s="1"/>
  <c r="D35" i="33"/>
  <c r="D45" i="4" s="1"/>
  <c r="M29" i="33"/>
  <c r="M39" i="4" s="1"/>
  <c r="E35" i="33"/>
  <c r="E45" i="4" s="1"/>
  <c r="L32" i="33"/>
  <c r="L42" i="4" s="1"/>
  <c r="M33" i="33"/>
  <c r="M43" i="4" s="1"/>
  <c r="F30" i="33"/>
  <c r="P31" i="33"/>
  <c r="Q32" i="33"/>
  <c r="Q42" i="4" s="1"/>
  <c r="R33" i="33"/>
  <c r="R43" i="4" s="1"/>
  <c r="B30" i="33"/>
  <c r="V33" i="33"/>
  <c r="V43" i="4" s="1"/>
  <c r="O34" i="33"/>
  <c r="O44" i="4" s="1"/>
  <c r="K31" i="33"/>
  <c r="K41" i="4" s="1"/>
  <c r="J30" i="33"/>
  <c r="C31" i="33"/>
  <c r="C41" i="4" s="1"/>
  <c r="T31" i="33"/>
  <c r="D32" i="33"/>
  <c r="D42" i="4" s="1"/>
  <c r="U32" i="33"/>
  <c r="U42" i="4" s="1"/>
  <c r="E33" i="33"/>
  <c r="E43" i="4" s="1"/>
  <c r="G31" i="33"/>
  <c r="G41" i="4" s="1"/>
  <c r="H32" i="33"/>
  <c r="H42" i="4" s="1"/>
  <c r="I33" i="33"/>
  <c r="I43" i="4" s="1"/>
  <c r="S34" i="33"/>
  <c r="S44" i="4" s="1"/>
  <c r="C30" i="33"/>
  <c r="G30" i="33"/>
  <c r="K30" i="33"/>
  <c r="D31" i="33"/>
  <c r="D41" i="4" s="1"/>
  <c r="H31" i="33"/>
  <c r="H41" i="4" s="1"/>
  <c r="L31" i="33"/>
  <c r="L41" i="4" s="1"/>
  <c r="Q31" i="33"/>
  <c r="U31" i="33"/>
  <c r="I32" i="33"/>
  <c r="I42" i="4" s="1"/>
  <c r="M32" i="33"/>
  <c r="M42" i="4" s="1"/>
  <c r="V32" i="33"/>
  <c r="V42" i="4" s="1"/>
  <c r="B33" i="33"/>
  <c r="B43" i="4" s="1"/>
  <c r="E32" i="33"/>
  <c r="E42" i="4" s="1"/>
  <c r="R32" i="33"/>
  <c r="R42" i="4" s="1"/>
  <c r="F33" i="33"/>
  <c r="F43" i="4" s="1"/>
  <c r="J33" i="33"/>
  <c r="J43" i="4" s="1"/>
  <c r="O33" i="33"/>
  <c r="O43" i="4" s="1"/>
  <c r="S33" i="33"/>
  <c r="S43" i="4" s="1"/>
  <c r="P34" i="33"/>
  <c r="P44" i="4" s="1"/>
  <c r="T34" i="33"/>
  <c r="T44" i="4" s="1"/>
  <c r="D30" i="33"/>
  <c r="H30" i="33"/>
  <c r="L30" i="33"/>
  <c r="E31" i="33"/>
  <c r="E41" i="4" s="1"/>
  <c r="I31" i="33"/>
  <c r="I41" i="4" s="1"/>
  <c r="M31" i="33"/>
  <c r="M41" i="4" s="1"/>
  <c r="R31" i="33"/>
  <c r="V31" i="33"/>
  <c r="B32" i="33"/>
  <c r="B42" i="4" s="1"/>
  <c r="F32" i="33"/>
  <c r="F42" i="4" s="1"/>
  <c r="J32" i="33"/>
  <c r="J42" i="4" s="1"/>
  <c r="O32" i="33"/>
  <c r="O42" i="4" s="1"/>
  <c r="S32" i="33"/>
  <c r="S42" i="4" s="1"/>
  <c r="C33" i="33"/>
  <c r="C43" i="4" s="1"/>
  <c r="G33" i="33"/>
  <c r="G43" i="4" s="1"/>
  <c r="K33" i="33"/>
  <c r="K43" i="4" s="1"/>
  <c r="P33" i="33"/>
  <c r="P43" i="4" s="1"/>
  <c r="T33" i="33"/>
  <c r="T43" i="4" s="1"/>
  <c r="Q34" i="33"/>
  <c r="Q44" i="4" s="1"/>
  <c r="U34" i="33"/>
  <c r="U44" i="4" s="1"/>
  <c r="E30" i="33"/>
  <c r="I30" i="33"/>
  <c r="M30" i="33"/>
  <c r="B31" i="33"/>
  <c r="B41" i="4" s="1"/>
  <c r="F31" i="33"/>
  <c r="F41" i="4" s="1"/>
  <c r="J31" i="33"/>
  <c r="J41" i="4" s="1"/>
  <c r="O31" i="33"/>
  <c r="S31" i="33"/>
  <c r="C32" i="33"/>
  <c r="C42" i="4" s="1"/>
  <c r="G32" i="33"/>
  <c r="G42" i="4" s="1"/>
  <c r="K32" i="33"/>
  <c r="K42" i="4" s="1"/>
  <c r="P32" i="33"/>
  <c r="P42" i="4" s="1"/>
  <c r="T32" i="33"/>
  <c r="T42" i="4" s="1"/>
  <c r="D33" i="33"/>
  <c r="D43" i="4" s="1"/>
  <c r="H33" i="33"/>
  <c r="H43" i="4" s="1"/>
  <c r="L33" i="33"/>
  <c r="L43" i="4" s="1"/>
  <c r="Q33" i="33"/>
  <c r="Q43" i="4" s="1"/>
  <c r="U33" i="33"/>
  <c r="U43" i="4" s="1"/>
  <c r="R34" i="33"/>
  <c r="R44" i="4" s="1"/>
  <c r="D38" i="4"/>
  <c r="U38" i="4"/>
  <c r="V38" i="4"/>
  <c r="E38" i="4"/>
  <c r="R38" i="4"/>
  <c r="B38" i="4"/>
  <c r="B22" i="33"/>
  <c r="E22" i="33"/>
  <c r="I45" i="33"/>
  <c r="I52" i="33"/>
  <c r="I27" i="33"/>
  <c r="C38" i="4"/>
  <c r="G38" i="4"/>
  <c r="P38" i="4"/>
  <c r="T38" i="4"/>
  <c r="B27" i="33"/>
  <c r="B52" i="33" s="1"/>
  <c r="L38" i="4"/>
  <c r="Q38" i="4"/>
  <c r="D27" i="33"/>
  <c r="D52" i="33" s="1"/>
  <c r="I22" i="33"/>
  <c r="E27" i="33"/>
  <c r="E52" i="33" s="1"/>
  <c r="F38" i="4"/>
  <c r="J38" i="4"/>
  <c r="O38" i="4"/>
  <c r="S38" i="4"/>
  <c r="D45" i="33"/>
  <c r="F22" i="33"/>
  <c r="F45" i="33"/>
  <c r="G22" i="33"/>
  <c r="G27" i="33"/>
  <c r="G52" i="33" s="1"/>
  <c r="C22" i="33"/>
  <c r="C27" i="33"/>
  <c r="C52" i="33" s="1"/>
  <c r="H27" i="33"/>
  <c r="H52" i="33" s="1"/>
  <c r="H45" i="33"/>
  <c r="G56" i="33"/>
  <c r="F56" i="33"/>
  <c r="U56" i="33"/>
  <c r="Q56" i="33"/>
  <c r="O56" i="33"/>
  <c r="C56" i="33"/>
  <c r="I56" i="33"/>
  <c r="P56" i="33"/>
  <c r="S56" i="33"/>
  <c r="T56" i="33"/>
  <c r="J56" i="33"/>
  <c r="L56" i="33"/>
  <c r="V56" i="33"/>
  <c r="H56" i="33"/>
  <c r="E56" i="33"/>
  <c r="K56" i="33"/>
  <c r="D56" i="33"/>
  <c r="B56" i="33"/>
  <c r="M56" i="33"/>
  <c r="R56" i="33"/>
  <c r="S47" i="33" l="1"/>
  <c r="S48" i="33" s="1"/>
  <c r="S54" i="33" s="1"/>
  <c r="K47" i="33"/>
  <c r="I47" i="33"/>
  <c r="I48" i="33" s="1"/>
  <c r="I54" i="33" s="1"/>
  <c r="L47" i="33"/>
  <c r="R47" i="33"/>
  <c r="R48" i="33" s="1"/>
  <c r="R54" i="33" s="1"/>
  <c r="I46" i="33"/>
  <c r="I53" i="33" s="1"/>
  <c r="G47" i="33"/>
  <c r="E46" i="33"/>
  <c r="E53" i="33" s="1"/>
  <c r="C47" i="33"/>
  <c r="C48" i="33" s="1"/>
  <c r="C54" i="33" s="1"/>
  <c r="R46" i="33"/>
  <c r="R53" i="33" s="1"/>
  <c r="Q46" i="33"/>
  <c r="Q53" i="33" s="1"/>
  <c r="H46" i="33"/>
  <c r="H53" i="33" s="1"/>
  <c r="D46" i="33"/>
  <c r="D53" i="33" s="1"/>
  <c r="H47" i="33"/>
  <c r="H48" i="33" s="1"/>
  <c r="H54" i="33" s="1"/>
  <c r="G46" i="33"/>
  <c r="G53" i="33" s="1"/>
  <c r="S57" i="33"/>
  <c r="V57" i="33"/>
  <c r="U57" i="33"/>
  <c r="P57" i="33"/>
  <c r="O57" i="33"/>
  <c r="S59" i="33" s="1"/>
  <c r="M57" i="33"/>
  <c r="R57" i="33"/>
  <c r="K57" i="33"/>
  <c r="J57" i="33"/>
  <c r="F57" i="33"/>
  <c r="I57" i="33"/>
  <c r="H57" i="33"/>
  <c r="G57" i="33"/>
  <c r="L57" i="33"/>
  <c r="Q57" i="33"/>
  <c r="B57" i="33"/>
  <c r="F59" i="33" s="1"/>
  <c r="E57" i="33"/>
  <c r="D57" i="33"/>
  <c r="C57" i="33"/>
  <c r="T57" i="33"/>
  <c r="S41" i="4"/>
  <c r="V41" i="4"/>
  <c r="U41" i="4"/>
  <c r="P41" i="4"/>
  <c r="L48" i="33"/>
  <c r="L54" i="33" s="1"/>
  <c r="K48" i="33"/>
  <c r="K54" i="33" s="1"/>
  <c r="O41" i="4"/>
  <c r="M40" i="4"/>
  <c r="R41" i="4"/>
  <c r="K40" i="4"/>
  <c r="J40" i="4"/>
  <c r="F40" i="4"/>
  <c r="O47" i="33"/>
  <c r="O48" i="33" s="1"/>
  <c r="O54" i="33" s="1"/>
  <c r="G48" i="33"/>
  <c r="G54" i="33" s="1"/>
  <c r="I40" i="4"/>
  <c r="H40" i="4"/>
  <c r="G40" i="4"/>
  <c r="L40" i="4"/>
  <c r="Q41" i="4"/>
  <c r="B40" i="4"/>
  <c r="M46" i="33"/>
  <c r="M53" i="33" s="1"/>
  <c r="V46" i="33"/>
  <c r="V53" i="33" s="1"/>
  <c r="M47" i="33"/>
  <c r="M48" i="33" s="1"/>
  <c r="M54" i="33" s="1"/>
  <c r="B46" i="33"/>
  <c r="B53" i="33" s="1"/>
  <c r="U46" i="33"/>
  <c r="U53" i="33" s="1"/>
  <c r="Q47" i="33"/>
  <c r="Q48" i="33" s="1"/>
  <c r="Q54" i="33" s="1"/>
  <c r="F46" i="33"/>
  <c r="F53" i="33" s="1"/>
  <c r="E40" i="4"/>
  <c r="D40" i="4"/>
  <c r="C40" i="4"/>
  <c r="T41" i="4"/>
  <c r="V47" i="33"/>
  <c r="V48" i="33" s="1"/>
  <c r="V54" i="33" s="1"/>
  <c r="E47" i="33"/>
  <c r="E48" i="33" s="1"/>
  <c r="E54" i="33" s="1"/>
  <c r="U47" i="33"/>
  <c r="U48" i="33" s="1"/>
  <c r="U54" i="33" s="1"/>
  <c r="D47" i="33"/>
  <c r="D48" i="33" s="1"/>
  <c r="D54" i="33" s="1"/>
  <c r="S46" i="33"/>
  <c r="S53" i="33" s="1"/>
  <c r="J47" i="33"/>
  <c r="J48" i="33" s="1"/>
  <c r="J54" i="33" s="1"/>
  <c r="P47" i="33"/>
  <c r="P48" i="33" s="1"/>
  <c r="P54" i="33" s="1"/>
  <c r="J46" i="33"/>
  <c r="J53" i="33" s="1"/>
  <c r="B47" i="33"/>
  <c r="B48" i="33" s="1"/>
  <c r="B54" i="33" s="1"/>
  <c r="O46" i="33"/>
  <c r="O53" i="33" s="1"/>
  <c r="O55" i="33" s="1"/>
  <c r="T47" i="33"/>
  <c r="T48" i="33" s="1"/>
  <c r="T54" i="33" s="1"/>
  <c r="C46" i="33"/>
  <c r="C53" i="33" s="1"/>
  <c r="F47" i="33"/>
  <c r="F48" i="33" s="1"/>
  <c r="F54" i="33" s="1"/>
  <c r="T46" i="33"/>
  <c r="T53" i="33" s="1"/>
  <c r="P46" i="33"/>
  <c r="P53" i="33" s="1"/>
  <c r="L46" i="33"/>
  <c r="L53" i="33" s="1"/>
  <c r="K46" i="33"/>
  <c r="K53" i="33" s="1"/>
  <c r="M55" i="33" l="1"/>
  <c r="E59" i="33"/>
  <c r="E60" i="33" s="1"/>
  <c r="E61" i="33" s="1"/>
  <c r="J59" i="33"/>
  <c r="J60" i="33" s="1"/>
  <c r="J61" i="33" s="1"/>
  <c r="H59" i="33"/>
  <c r="H60" i="33" s="1"/>
  <c r="H61" i="33" s="1"/>
  <c r="Q59" i="33"/>
  <c r="Q60" i="33" s="1"/>
  <c r="Q61" i="33" s="1"/>
  <c r="T59" i="33"/>
  <c r="T60" i="33" s="1"/>
  <c r="T61" i="33" s="1"/>
  <c r="R59" i="33"/>
  <c r="R60" i="33" s="1"/>
  <c r="R61" i="33" s="1"/>
  <c r="P55" i="33"/>
  <c r="V59" i="33"/>
  <c r="V60" i="33" s="1"/>
  <c r="V61" i="33" s="1"/>
  <c r="P59" i="33"/>
  <c r="P60" i="33" s="1"/>
  <c r="P61" i="33" s="1"/>
  <c r="U59" i="33"/>
  <c r="U60" i="33" s="1"/>
  <c r="U61" i="33" s="1"/>
  <c r="S55" i="33"/>
  <c r="L59" i="33"/>
  <c r="L60" i="33" s="1"/>
  <c r="L61" i="33" s="1"/>
  <c r="D59" i="33"/>
  <c r="D60" i="33" s="1"/>
  <c r="D61" i="33" s="1"/>
  <c r="O59" i="33"/>
  <c r="O60" i="33" s="1"/>
  <c r="O61" i="33" s="1"/>
  <c r="C59" i="33"/>
  <c r="C60" i="33" s="1"/>
  <c r="C61" i="33" s="1"/>
  <c r="G59" i="33"/>
  <c r="G60" i="33" s="1"/>
  <c r="G61" i="33" s="1"/>
  <c r="I59" i="33"/>
  <c r="I60" i="33" s="1"/>
  <c r="I61" i="33" s="1"/>
  <c r="K59" i="33"/>
  <c r="K60" i="33" s="1"/>
  <c r="K61" i="33" s="1"/>
  <c r="M59" i="33"/>
  <c r="M60" i="33" s="1"/>
  <c r="M61" i="33" s="1"/>
  <c r="F60" i="33"/>
  <c r="F61" i="33" s="1"/>
  <c r="S60" i="33"/>
  <c r="S61" i="33" s="1"/>
  <c r="T55" i="33"/>
  <c r="R55" i="33"/>
  <c r="Q55" i="33"/>
  <c r="U55" i="33"/>
  <c r="V55" i="33"/>
  <c r="D55" i="33"/>
  <c r="B55" i="33"/>
  <c r="K55" i="33"/>
  <c r="L55" i="33"/>
  <c r="G55" i="33"/>
  <c r="F55" i="33"/>
  <c r="C55" i="33"/>
  <c r="J55" i="33"/>
  <c r="H55" i="33"/>
  <c r="I55" i="33"/>
  <c r="E55" i="33"/>
  <c r="M4" i="33" l="1"/>
  <c r="L4" i="33" l="1"/>
  <c r="L22" i="33" s="1"/>
  <c r="K4" i="33"/>
  <c r="K22" i="33" s="1"/>
  <c r="J4" i="33"/>
  <c r="J52" i="33" s="1"/>
  <c r="M45" i="33"/>
  <c r="M52" i="33"/>
  <c r="M27" i="33"/>
  <c r="M22" i="33"/>
  <c r="K45" i="33" l="1"/>
  <c r="K52" i="33"/>
  <c r="K27" i="33"/>
  <c r="O4" i="33"/>
  <c r="O4" i="23"/>
  <c r="O4" i="1"/>
  <c r="Q4" i="1"/>
  <c r="Q4" i="33"/>
  <c r="Q4" i="23"/>
  <c r="P4" i="33"/>
  <c r="P4" i="23"/>
  <c r="P4" i="1"/>
  <c r="J22" i="33"/>
  <c r="L52" i="33"/>
  <c r="J45" i="33"/>
  <c r="L27" i="33"/>
  <c r="J27" i="33"/>
  <c r="L45" i="33"/>
  <c r="Q22" i="33" l="1"/>
  <c r="Q45" i="33"/>
  <c r="Q27" i="33"/>
  <c r="Q52" i="33" s="1"/>
  <c r="O27" i="33"/>
  <c r="O52" i="33" s="1"/>
  <c r="O22" i="33"/>
  <c r="O45" i="33"/>
  <c r="P22" i="33"/>
  <c r="P45" i="33"/>
  <c r="P27" i="33"/>
  <c r="P52" i="33" s="1"/>
  <c r="P22" i="1" l="1"/>
  <c r="Q45" i="1"/>
  <c r="P37" i="23"/>
  <c r="P31" i="4" s="1"/>
  <c r="Q37" i="23"/>
  <c r="Q31" i="4" s="1"/>
  <c r="R37" i="23"/>
  <c r="R31" i="4" s="1"/>
  <c r="S37" i="23"/>
  <c r="S31" i="4" s="1"/>
  <c r="T37" i="23"/>
  <c r="T31" i="4" s="1"/>
  <c r="U37" i="23"/>
  <c r="U31" i="4" s="1"/>
  <c r="V37" i="23"/>
  <c r="V31" i="4" s="1"/>
  <c r="P38" i="23"/>
  <c r="P32" i="4" s="1"/>
  <c r="Q38" i="23"/>
  <c r="Q32" i="4" s="1"/>
  <c r="R38" i="23"/>
  <c r="R32" i="4" s="1"/>
  <c r="S38" i="23"/>
  <c r="S32" i="4" s="1"/>
  <c r="T38" i="23"/>
  <c r="T32" i="4" s="1"/>
  <c r="U38" i="23"/>
  <c r="U32" i="4" s="1"/>
  <c r="V38" i="23"/>
  <c r="V32" i="4" s="1"/>
  <c r="P39" i="23"/>
  <c r="P33" i="4" s="1"/>
  <c r="Q39" i="23"/>
  <c r="Q33" i="4" s="1"/>
  <c r="R39" i="23"/>
  <c r="R33" i="4" s="1"/>
  <c r="S39" i="23"/>
  <c r="S33" i="4" s="1"/>
  <c r="T39" i="23"/>
  <c r="T33" i="4" s="1"/>
  <c r="U39" i="23"/>
  <c r="U33" i="4" s="1"/>
  <c r="V39" i="23"/>
  <c r="P40" i="23"/>
  <c r="P34" i="4" s="1"/>
  <c r="Q40" i="23"/>
  <c r="Q34" i="4" s="1"/>
  <c r="R40" i="23"/>
  <c r="R34" i="4" s="1"/>
  <c r="S40" i="23"/>
  <c r="S34" i="4" s="1"/>
  <c r="T40" i="23"/>
  <c r="T34" i="4" s="1"/>
  <c r="U40" i="23"/>
  <c r="U34" i="4" s="1"/>
  <c r="V40" i="23"/>
  <c r="V34" i="4" s="1"/>
  <c r="P41" i="23"/>
  <c r="P35" i="4" s="1"/>
  <c r="Q41" i="23"/>
  <c r="Q35" i="4" s="1"/>
  <c r="R41" i="23"/>
  <c r="R35" i="4" s="1"/>
  <c r="S41" i="23"/>
  <c r="S35" i="4" s="1"/>
  <c r="T41" i="23"/>
  <c r="T35" i="4" s="1"/>
  <c r="U41" i="23"/>
  <c r="U35" i="4" s="1"/>
  <c r="V41" i="23"/>
  <c r="V35" i="4" s="1"/>
  <c r="P42" i="23"/>
  <c r="P36" i="4" s="1"/>
  <c r="Q42" i="23"/>
  <c r="Q36" i="4" s="1"/>
  <c r="R42" i="23"/>
  <c r="R36" i="4" s="1"/>
  <c r="S42" i="23"/>
  <c r="S36" i="4" s="1"/>
  <c r="T42" i="23"/>
  <c r="T36" i="4" s="1"/>
  <c r="U42" i="23"/>
  <c r="U36" i="4" s="1"/>
  <c r="V42" i="23"/>
  <c r="V36" i="4" s="1"/>
  <c r="P43" i="23"/>
  <c r="Q43" i="23"/>
  <c r="R43" i="23"/>
  <c r="S43" i="23"/>
  <c r="T43" i="23"/>
  <c r="U43" i="23"/>
  <c r="U37" i="4" s="1"/>
  <c r="V43" i="23"/>
  <c r="K36" i="23"/>
  <c r="K30" i="4" s="1"/>
  <c r="L36" i="23"/>
  <c r="L30" i="4" s="1"/>
  <c r="M36" i="23"/>
  <c r="M30" i="4" s="1"/>
  <c r="K37" i="23"/>
  <c r="K31" i="4" s="1"/>
  <c r="L37" i="23"/>
  <c r="L31" i="4" s="1"/>
  <c r="M37" i="23"/>
  <c r="M31" i="4" s="1"/>
  <c r="K38" i="23"/>
  <c r="K32" i="4" s="1"/>
  <c r="L38" i="23"/>
  <c r="L32" i="4" s="1"/>
  <c r="M38" i="23"/>
  <c r="M32" i="4" s="1"/>
  <c r="K39" i="23"/>
  <c r="K33" i="4" s="1"/>
  <c r="L39" i="23"/>
  <c r="L33" i="4" s="1"/>
  <c r="M39" i="23"/>
  <c r="M33" i="4" s="1"/>
  <c r="K40" i="23"/>
  <c r="K34" i="4" s="1"/>
  <c r="L40" i="23"/>
  <c r="L34" i="4" s="1"/>
  <c r="M40" i="23"/>
  <c r="M34" i="4" s="1"/>
  <c r="K41" i="23"/>
  <c r="K35" i="4" s="1"/>
  <c r="L41" i="23"/>
  <c r="L35" i="4" s="1"/>
  <c r="M41" i="23"/>
  <c r="M35" i="4" s="1"/>
  <c r="K42" i="23"/>
  <c r="K36" i="4" s="1"/>
  <c r="L42" i="23"/>
  <c r="L36" i="4" s="1"/>
  <c r="M42" i="23"/>
  <c r="M36" i="4" s="1"/>
  <c r="K43" i="23"/>
  <c r="L43" i="23"/>
  <c r="M43" i="23"/>
  <c r="U13" i="4"/>
  <c r="S14" i="4"/>
  <c r="T14" i="4"/>
  <c r="U14" i="4"/>
  <c r="V14" i="4"/>
  <c r="S37" i="1"/>
  <c r="S15" i="4" s="1"/>
  <c r="T37" i="1"/>
  <c r="T15" i="4" s="1"/>
  <c r="U37" i="1"/>
  <c r="U15" i="4" s="1"/>
  <c r="V37" i="1"/>
  <c r="V15" i="4" s="1"/>
  <c r="S38" i="1"/>
  <c r="S16" i="4" s="1"/>
  <c r="T38" i="1"/>
  <c r="T16" i="4" s="1"/>
  <c r="U38" i="1"/>
  <c r="U16" i="4" s="1"/>
  <c r="V38" i="1"/>
  <c r="V16" i="4" s="1"/>
  <c r="S39" i="1"/>
  <c r="S17" i="4" s="1"/>
  <c r="T39" i="1"/>
  <c r="T17" i="4" s="1"/>
  <c r="U39" i="1"/>
  <c r="U17" i="4" s="1"/>
  <c r="V39" i="1"/>
  <c r="V17" i="4" s="1"/>
  <c r="S40" i="1"/>
  <c r="S18" i="4" s="1"/>
  <c r="T40" i="1"/>
  <c r="T18" i="4" s="1"/>
  <c r="U40" i="1"/>
  <c r="U18" i="4" s="1"/>
  <c r="V40" i="1"/>
  <c r="V18" i="4" s="1"/>
  <c r="S41" i="1"/>
  <c r="S19" i="4" s="1"/>
  <c r="T41" i="1"/>
  <c r="T19" i="4" s="1"/>
  <c r="U41" i="1"/>
  <c r="U19" i="4" s="1"/>
  <c r="V41" i="1"/>
  <c r="V19" i="4" s="1"/>
  <c r="S42" i="1"/>
  <c r="S20" i="4" s="1"/>
  <c r="T42" i="1"/>
  <c r="T20" i="4" s="1"/>
  <c r="U42" i="1"/>
  <c r="U20" i="4" s="1"/>
  <c r="V42" i="1"/>
  <c r="V20" i="4" s="1"/>
  <c r="S43" i="1"/>
  <c r="S21" i="4" s="1"/>
  <c r="T43" i="1"/>
  <c r="U43" i="1"/>
  <c r="V43" i="1"/>
  <c r="K14" i="4"/>
  <c r="L14" i="4"/>
  <c r="M14" i="4"/>
  <c r="K37" i="1"/>
  <c r="K15" i="4" s="1"/>
  <c r="L37" i="1"/>
  <c r="L15" i="4" s="1"/>
  <c r="M37" i="1"/>
  <c r="M15" i="4" s="1"/>
  <c r="K38" i="1"/>
  <c r="K16" i="4" s="1"/>
  <c r="L38" i="1"/>
  <c r="L16" i="4" s="1"/>
  <c r="M38" i="1"/>
  <c r="M16" i="4" s="1"/>
  <c r="K39" i="1"/>
  <c r="K17" i="4" s="1"/>
  <c r="L39" i="1"/>
  <c r="L17" i="4" s="1"/>
  <c r="M39" i="1"/>
  <c r="M17" i="4" s="1"/>
  <c r="K40" i="1"/>
  <c r="K18" i="4" s="1"/>
  <c r="L40" i="1"/>
  <c r="L18" i="4" s="1"/>
  <c r="M40" i="1"/>
  <c r="M18" i="4" s="1"/>
  <c r="K41" i="1"/>
  <c r="K19" i="4" s="1"/>
  <c r="L41" i="1"/>
  <c r="L19" i="4" s="1"/>
  <c r="M41" i="1"/>
  <c r="M19" i="4" s="1"/>
  <c r="K42" i="1"/>
  <c r="K20" i="4" s="1"/>
  <c r="L42" i="1"/>
  <c r="L20" i="4" s="1"/>
  <c r="M42" i="1"/>
  <c r="M20" i="4" s="1"/>
  <c r="K43" i="1"/>
  <c r="L43" i="1"/>
  <c r="M43" i="1"/>
  <c r="N45" i="1"/>
  <c r="A22" i="1"/>
  <c r="Q37" i="4"/>
  <c r="I43" i="23"/>
  <c r="H43" i="23"/>
  <c r="G43" i="23"/>
  <c r="F43" i="23"/>
  <c r="E43" i="23"/>
  <c r="D43" i="23"/>
  <c r="C43" i="23"/>
  <c r="B43" i="23"/>
  <c r="I42" i="23"/>
  <c r="I36" i="4" s="1"/>
  <c r="H42" i="23"/>
  <c r="H36" i="4" s="1"/>
  <c r="G42" i="23"/>
  <c r="G36" i="4" s="1"/>
  <c r="F42" i="23"/>
  <c r="F36" i="4" s="1"/>
  <c r="E42" i="23"/>
  <c r="E36" i="4" s="1"/>
  <c r="D42" i="23"/>
  <c r="D36" i="4" s="1"/>
  <c r="C42" i="23"/>
  <c r="C36" i="4" s="1"/>
  <c r="B42" i="23"/>
  <c r="B36" i="4" s="1"/>
  <c r="I41" i="23"/>
  <c r="I35" i="4" s="1"/>
  <c r="H41" i="23"/>
  <c r="H35" i="4" s="1"/>
  <c r="G41" i="23"/>
  <c r="G35" i="4" s="1"/>
  <c r="F41" i="23"/>
  <c r="F35" i="4" s="1"/>
  <c r="E41" i="23"/>
  <c r="E35" i="4" s="1"/>
  <c r="D41" i="23"/>
  <c r="D35" i="4" s="1"/>
  <c r="C41" i="23"/>
  <c r="C35" i="4" s="1"/>
  <c r="B41" i="23"/>
  <c r="B35" i="4" s="1"/>
  <c r="I40" i="23"/>
  <c r="I34" i="4" s="1"/>
  <c r="H40" i="23"/>
  <c r="H34" i="4" s="1"/>
  <c r="G40" i="23"/>
  <c r="G34" i="4" s="1"/>
  <c r="F40" i="23"/>
  <c r="F34" i="4" s="1"/>
  <c r="E40" i="23"/>
  <c r="E34" i="4" s="1"/>
  <c r="D40" i="23"/>
  <c r="D34" i="4" s="1"/>
  <c r="C40" i="23"/>
  <c r="C34" i="4" s="1"/>
  <c r="B40" i="23"/>
  <c r="B34" i="4" s="1"/>
  <c r="V33" i="4"/>
  <c r="I39" i="23"/>
  <c r="I33" i="4" s="1"/>
  <c r="H39" i="23"/>
  <c r="H33" i="4" s="1"/>
  <c r="G39" i="23"/>
  <c r="G33" i="4" s="1"/>
  <c r="F39" i="23"/>
  <c r="F33" i="4" s="1"/>
  <c r="E39" i="23"/>
  <c r="E33" i="4" s="1"/>
  <c r="D39" i="23"/>
  <c r="D33" i="4" s="1"/>
  <c r="C39" i="23"/>
  <c r="C33" i="4" s="1"/>
  <c r="B39" i="23"/>
  <c r="B33" i="4" s="1"/>
  <c r="I38" i="23"/>
  <c r="I32" i="4" s="1"/>
  <c r="H38" i="23"/>
  <c r="H32" i="4" s="1"/>
  <c r="G38" i="23"/>
  <c r="G32" i="4" s="1"/>
  <c r="F38" i="23"/>
  <c r="F32" i="4" s="1"/>
  <c r="E38" i="23"/>
  <c r="E32" i="4" s="1"/>
  <c r="D38" i="23"/>
  <c r="D32" i="4" s="1"/>
  <c r="C38" i="23"/>
  <c r="C32" i="4" s="1"/>
  <c r="I37" i="23"/>
  <c r="I31" i="4" s="1"/>
  <c r="H37" i="23"/>
  <c r="H31" i="4" s="1"/>
  <c r="G37" i="23"/>
  <c r="G31" i="4" s="1"/>
  <c r="F37" i="23"/>
  <c r="F31" i="4" s="1"/>
  <c r="E37" i="23"/>
  <c r="E31" i="4" s="1"/>
  <c r="D37" i="23"/>
  <c r="D31" i="4" s="1"/>
  <c r="C37" i="23"/>
  <c r="C31" i="4" s="1"/>
  <c r="B37" i="23"/>
  <c r="B31" i="4" s="1"/>
  <c r="I36" i="23"/>
  <c r="I30" i="4" s="1"/>
  <c r="H36" i="23"/>
  <c r="H30" i="4" s="1"/>
  <c r="G36" i="23"/>
  <c r="G30" i="4" s="1"/>
  <c r="F36" i="23"/>
  <c r="F30" i="4" s="1"/>
  <c r="E36" i="23"/>
  <c r="E30" i="4" s="1"/>
  <c r="D36" i="23"/>
  <c r="D30" i="4" s="1"/>
  <c r="C36" i="23"/>
  <c r="C30" i="4" s="1"/>
  <c r="B36" i="23"/>
  <c r="B30" i="4" s="1"/>
  <c r="V24" i="23"/>
  <c r="U24" i="23"/>
  <c r="T24" i="23"/>
  <c r="S24" i="23"/>
  <c r="R24" i="23"/>
  <c r="Q24" i="23"/>
  <c r="P24" i="23"/>
  <c r="O24" i="23"/>
  <c r="L24" i="23"/>
  <c r="J24" i="23"/>
  <c r="I24" i="23"/>
  <c r="H24" i="23"/>
  <c r="G24" i="23"/>
  <c r="F24" i="23"/>
  <c r="E24" i="23"/>
  <c r="D24" i="23"/>
  <c r="C24" i="23"/>
  <c r="B24" i="23"/>
  <c r="V23" i="23"/>
  <c r="U23" i="23"/>
  <c r="T23" i="23"/>
  <c r="S23" i="23"/>
  <c r="R23" i="23"/>
  <c r="Q23" i="23"/>
  <c r="P23" i="23"/>
  <c r="O23" i="23"/>
  <c r="U30" i="23" s="1"/>
  <c r="U24" i="4" s="1"/>
  <c r="L23" i="23"/>
  <c r="J23" i="23"/>
  <c r="I23" i="23"/>
  <c r="H23" i="23"/>
  <c r="G23" i="23"/>
  <c r="F23" i="23"/>
  <c r="E23" i="23"/>
  <c r="D23" i="23"/>
  <c r="C23" i="23"/>
  <c r="B23" i="23"/>
  <c r="Q45" i="23"/>
  <c r="P45" i="23"/>
  <c r="O45" i="23"/>
  <c r="I22" i="23"/>
  <c r="H27" i="23"/>
  <c r="H52" i="23" s="1"/>
  <c r="G45" i="23"/>
  <c r="F27" i="23"/>
  <c r="F52" i="23" s="1"/>
  <c r="E45" i="23"/>
  <c r="C45" i="23"/>
  <c r="B45" i="23"/>
  <c r="J40" i="23"/>
  <c r="J34" i="4" s="1"/>
  <c r="J36" i="23"/>
  <c r="J30" i="4" s="1"/>
  <c r="J42" i="23"/>
  <c r="J36" i="4" s="1"/>
  <c r="J38" i="23"/>
  <c r="J32" i="4" s="1"/>
  <c r="J41" i="23"/>
  <c r="J35" i="4" s="1"/>
  <c r="J37" i="23"/>
  <c r="J31" i="4" s="1"/>
  <c r="J43" i="23"/>
  <c r="J39" i="23"/>
  <c r="J33" i="4" s="1"/>
  <c r="P22" i="23"/>
  <c r="S23" i="1"/>
  <c r="T23" i="1"/>
  <c r="U23" i="1"/>
  <c r="V23" i="1"/>
  <c r="S24" i="1"/>
  <c r="T24" i="1"/>
  <c r="U24" i="1"/>
  <c r="V24" i="1"/>
  <c r="L23" i="1"/>
  <c r="M23" i="1"/>
  <c r="L24" i="1"/>
  <c r="M24" i="1"/>
  <c r="I23" i="1"/>
  <c r="I24" i="1"/>
  <c r="C14" i="4"/>
  <c r="D14" i="4"/>
  <c r="E14" i="4"/>
  <c r="F14" i="4"/>
  <c r="G14" i="4"/>
  <c r="H14" i="4"/>
  <c r="I14" i="4"/>
  <c r="J14" i="4"/>
  <c r="C37" i="1"/>
  <c r="C15" i="4" s="1"/>
  <c r="D37" i="1"/>
  <c r="D15" i="4" s="1"/>
  <c r="E37" i="1"/>
  <c r="E15" i="4" s="1"/>
  <c r="F37" i="1"/>
  <c r="F15" i="4" s="1"/>
  <c r="G37" i="1"/>
  <c r="G15" i="4" s="1"/>
  <c r="H37" i="1"/>
  <c r="H15" i="4" s="1"/>
  <c r="I37" i="1"/>
  <c r="I15" i="4" s="1"/>
  <c r="J37" i="1"/>
  <c r="J15" i="4" s="1"/>
  <c r="C38" i="1"/>
  <c r="C16" i="4" s="1"/>
  <c r="D38" i="1"/>
  <c r="D16" i="4" s="1"/>
  <c r="E38" i="1"/>
  <c r="E16" i="4" s="1"/>
  <c r="F38" i="1"/>
  <c r="F16" i="4" s="1"/>
  <c r="G38" i="1"/>
  <c r="G16" i="4" s="1"/>
  <c r="H38" i="1"/>
  <c r="H16" i="4" s="1"/>
  <c r="I38" i="1"/>
  <c r="I16" i="4" s="1"/>
  <c r="J38" i="1"/>
  <c r="J16" i="4" s="1"/>
  <c r="C39" i="1"/>
  <c r="C17" i="4" s="1"/>
  <c r="D39" i="1"/>
  <c r="E39" i="1"/>
  <c r="E17" i="4" s="1"/>
  <c r="F39" i="1"/>
  <c r="F17" i="4" s="1"/>
  <c r="G39" i="1"/>
  <c r="G17" i="4" s="1"/>
  <c r="H39" i="1"/>
  <c r="H17" i="4" s="1"/>
  <c r="I39" i="1"/>
  <c r="I17" i="4" s="1"/>
  <c r="J39" i="1"/>
  <c r="J17" i="4" s="1"/>
  <c r="C40" i="1"/>
  <c r="C18" i="4" s="1"/>
  <c r="D40" i="1"/>
  <c r="D18" i="4" s="1"/>
  <c r="E40" i="1"/>
  <c r="E18" i="4" s="1"/>
  <c r="F40" i="1"/>
  <c r="F18" i="4" s="1"/>
  <c r="G40" i="1"/>
  <c r="G18" i="4" s="1"/>
  <c r="H40" i="1"/>
  <c r="H18" i="4" s="1"/>
  <c r="I40" i="1"/>
  <c r="I18" i="4" s="1"/>
  <c r="J40" i="1"/>
  <c r="J18" i="4" s="1"/>
  <c r="C41" i="1"/>
  <c r="C19" i="4" s="1"/>
  <c r="D41" i="1"/>
  <c r="D19" i="4" s="1"/>
  <c r="E41" i="1"/>
  <c r="E19" i="4" s="1"/>
  <c r="F41" i="1"/>
  <c r="F19" i="4" s="1"/>
  <c r="G41" i="1"/>
  <c r="G19" i="4" s="1"/>
  <c r="H41" i="1"/>
  <c r="H19" i="4" s="1"/>
  <c r="I41" i="1"/>
  <c r="I19" i="4" s="1"/>
  <c r="J41" i="1"/>
  <c r="J19" i="4" s="1"/>
  <c r="C42" i="1"/>
  <c r="C20" i="4" s="1"/>
  <c r="D42" i="1"/>
  <c r="D20" i="4" s="1"/>
  <c r="E42" i="1"/>
  <c r="E20" i="4" s="1"/>
  <c r="F42" i="1"/>
  <c r="F20" i="4" s="1"/>
  <c r="G42" i="1"/>
  <c r="G20" i="4" s="1"/>
  <c r="H42" i="1"/>
  <c r="H20" i="4" s="1"/>
  <c r="I42" i="1"/>
  <c r="I20" i="4" s="1"/>
  <c r="J42" i="1"/>
  <c r="J20" i="4" s="1"/>
  <c r="C43" i="1"/>
  <c r="D43" i="1"/>
  <c r="E43" i="1"/>
  <c r="F43" i="1"/>
  <c r="G43" i="1"/>
  <c r="H43" i="1"/>
  <c r="I43" i="1"/>
  <c r="J43" i="1"/>
  <c r="I45" i="1"/>
  <c r="Q14" i="4"/>
  <c r="R14" i="4"/>
  <c r="Q37" i="1"/>
  <c r="Q15" i="4" s="1"/>
  <c r="P38" i="1"/>
  <c r="P16" i="4" s="1"/>
  <c r="Q38" i="1"/>
  <c r="Q16" i="4" s="1"/>
  <c r="P39" i="1"/>
  <c r="P17" i="4" s="1"/>
  <c r="Q39" i="1"/>
  <c r="Q17" i="4" s="1"/>
  <c r="R39" i="1"/>
  <c r="R17" i="4" s="1"/>
  <c r="P40" i="1"/>
  <c r="P18" i="4" s="1"/>
  <c r="Q40" i="1"/>
  <c r="Q18" i="4" s="1"/>
  <c r="R40" i="1"/>
  <c r="R18" i="4" s="1"/>
  <c r="P41" i="1"/>
  <c r="P19" i="4" s="1"/>
  <c r="Q41" i="1"/>
  <c r="Q19" i="4" s="1"/>
  <c r="P42" i="1"/>
  <c r="P20" i="4" s="1"/>
  <c r="Q42" i="1"/>
  <c r="Q20" i="4" s="1"/>
  <c r="P43" i="1"/>
  <c r="Q43" i="1"/>
  <c r="R43" i="1"/>
  <c r="B14" i="4"/>
  <c r="B37" i="1"/>
  <c r="B15" i="4" s="1"/>
  <c r="B38" i="1"/>
  <c r="B16" i="4" s="1"/>
  <c r="B39" i="1"/>
  <c r="B17" i="4" s="1"/>
  <c r="B40" i="1"/>
  <c r="B18" i="4" s="1"/>
  <c r="B41" i="1"/>
  <c r="B19" i="4" s="1"/>
  <c r="B42" i="1"/>
  <c r="B20" i="4" s="1"/>
  <c r="B43" i="1"/>
  <c r="B23" i="1"/>
  <c r="B4" i="4"/>
  <c r="B62" i="4" s="1"/>
  <c r="A52" i="1"/>
  <c r="O22" i="1"/>
  <c r="Q24" i="1"/>
  <c r="P24" i="1"/>
  <c r="O24" i="1"/>
  <c r="Q23" i="1"/>
  <c r="P23" i="1"/>
  <c r="O23" i="1"/>
  <c r="H27" i="1"/>
  <c r="H52" i="1" s="1"/>
  <c r="G27" i="1"/>
  <c r="G52" i="1" s="1"/>
  <c r="F27" i="1"/>
  <c r="F52" i="1" s="1"/>
  <c r="E4" i="4"/>
  <c r="D22" i="1"/>
  <c r="C45" i="1"/>
  <c r="F13" i="4"/>
  <c r="P28" i="1"/>
  <c r="P30" i="1"/>
  <c r="P8" i="4" s="1"/>
  <c r="Q28" i="1"/>
  <c r="Q27" i="1"/>
  <c r="Q52" i="1" s="1"/>
  <c r="K24" i="1"/>
  <c r="J24" i="1"/>
  <c r="H24" i="1"/>
  <c r="G24" i="1"/>
  <c r="F24" i="1"/>
  <c r="E24" i="1"/>
  <c r="D24" i="1"/>
  <c r="C24" i="1"/>
  <c r="B24" i="1"/>
  <c r="K23" i="1"/>
  <c r="J23" i="1"/>
  <c r="H23" i="1"/>
  <c r="G23" i="1"/>
  <c r="F23" i="1"/>
  <c r="E23" i="1"/>
  <c r="D23" i="1"/>
  <c r="C23" i="1"/>
  <c r="R24" i="1"/>
  <c r="R23" i="1"/>
  <c r="K4" i="1"/>
  <c r="K4" i="4" s="1"/>
  <c r="K62" i="4" s="1"/>
  <c r="L4" i="1"/>
  <c r="L4" i="4" s="1"/>
  <c r="K4" i="23"/>
  <c r="K52" i="23" s="1"/>
  <c r="L4" i="23"/>
  <c r="L27" i="23" s="1"/>
  <c r="V56" i="1"/>
  <c r="T56" i="1"/>
  <c r="U56" i="1"/>
  <c r="S56" i="1"/>
  <c r="J29" i="1" l="1"/>
  <c r="J7" i="4" s="1"/>
  <c r="O39" i="1"/>
  <c r="O17" i="4" s="1"/>
  <c r="Q33" i="1"/>
  <c r="S35" i="1"/>
  <c r="S13" i="4" s="1"/>
  <c r="P31" i="1"/>
  <c r="R33" i="1"/>
  <c r="T35" i="1"/>
  <c r="T13" i="4" s="1"/>
  <c r="Q31" i="1"/>
  <c r="S33" i="1"/>
  <c r="R31" i="1"/>
  <c r="T33" i="1"/>
  <c r="V35" i="1"/>
  <c r="V13" i="4" s="1"/>
  <c r="S31" i="1"/>
  <c r="U33" i="1"/>
  <c r="U11" i="4" s="1"/>
  <c r="T31" i="1"/>
  <c r="T9" i="4" s="1"/>
  <c r="V33" i="1"/>
  <c r="U31" i="1"/>
  <c r="P34" i="1"/>
  <c r="V31" i="1"/>
  <c r="Q34" i="1"/>
  <c r="P32" i="1"/>
  <c r="R34" i="1"/>
  <c r="Q32" i="1"/>
  <c r="S34" i="1"/>
  <c r="R32" i="1"/>
  <c r="T34" i="1"/>
  <c r="S32" i="1"/>
  <c r="U34" i="1"/>
  <c r="T32" i="1"/>
  <c r="V34" i="1"/>
  <c r="V12" i="4" s="1"/>
  <c r="U32" i="1"/>
  <c r="U10" i="4" s="1"/>
  <c r="P35" i="1"/>
  <c r="V32" i="1"/>
  <c r="Q35" i="1"/>
  <c r="Q13" i="4" s="1"/>
  <c r="P33" i="1"/>
  <c r="P11" i="4" s="1"/>
  <c r="R35" i="1"/>
  <c r="T28" i="1"/>
  <c r="S28" i="1"/>
  <c r="V30" i="1"/>
  <c r="V8" i="4" s="1"/>
  <c r="U30" i="1"/>
  <c r="U8" i="4" s="1"/>
  <c r="T30" i="1"/>
  <c r="T8" i="4" s="1"/>
  <c r="S30" i="1"/>
  <c r="S8" i="4" s="1"/>
  <c r="V29" i="1"/>
  <c r="V7" i="4" s="1"/>
  <c r="U29" i="1"/>
  <c r="U7" i="4" s="1"/>
  <c r="S32" i="23"/>
  <c r="S26" i="4" s="1"/>
  <c r="T29" i="1"/>
  <c r="T7" i="4" s="1"/>
  <c r="B32" i="23"/>
  <c r="B26" i="4" s="1"/>
  <c r="O43" i="23"/>
  <c r="S29" i="1"/>
  <c r="S7" i="4" s="1"/>
  <c r="R29" i="23"/>
  <c r="R23" i="4" s="1"/>
  <c r="V28" i="1"/>
  <c r="U28" i="1"/>
  <c r="R32" i="23"/>
  <c r="R26" i="4" s="1"/>
  <c r="T30" i="23"/>
  <c r="T24" i="4" s="1"/>
  <c r="V28" i="23"/>
  <c r="V31" i="23"/>
  <c r="V25" i="4" s="1"/>
  <c r="S30" i="23"/>
  <c r="S24" i="4" s="1"/>
  <c r="U28" i="23"/>
  <c r="U22" i="4" s="1"/>
  <c r="U31" i="23"/>
  <c r="U25" i="4" s="1"/>
  <c r="R30" i="23"/>
  <c r="R24" i="4" s="1"/>
  <c r="T28" i="23"/>
  <c r="T22" i="4" s="1"/>
  <c r="T31" i="23"/>
  <c r="T25" i="4" s="1"/>
  <c r="V29" i="23"/>
  <c r="V23" i="4" s="1"/>
  <c r="S28" i="23"/>
  <c r="S22" i="4" s="1"/>
  <c r="V32" i="23"/>
  <c r="V26" i="4" s="1"/>
  <c r="S31" i="23"/>
  <c r="S25" i="4" s="1"/>
  <c r="U29" i="23"/>
  <c r="U23" i="4" s="1"/>
  <c r="R28" i="23"/>
  <c r="R22" i="4" s="1"/>
  <c r="U32" i="23"/>
  <c r="U26" i="4" s="1"/>
  <c r="R31" i="23"/>
  <c r="R25" i="4" s="1"/>
  <c r="T29" i="23"/>
  <c r="T23" i="4" s="1"/>
  <c r="T32" i="23"/>
  <c r="T26" i="4" s="1"/>
  <c r="V30" i="23"/>
  <c r="V24" i="4" s="1"/>
  <c r="S29" i="23"/>
  <c r="S23" i="4" s="1"/>
  <c r="E31" i="23"/>
  <c r="E25" i="4" s="1"/>
  <c r="L31" i="23"/>
  <c r="L25" i="4" s="1"/>
  <c r="O29" i="23"/>
  <c r="O23" i="4" s="1"/>
  <c r="C30" i="23"/>
  <c r="C24" i="4" s="1"/>
  <c r="H30" i="23"/>
  <c r="H24" i="4" s="1"/>
  <c r="F29" i="23"/>
  <c r="F23" i="4" s="1"/>
  <c r="K31" i="23"/>
  <c r="K25" i="4" s="1"/>
  <c r="L28" i="23"/>
  <c r="L22" i="4" s="1"/>
  <c r="O39" i="23"/>
  <c r="O33" i="4" s="1"/>
  <c r="P31" i="23"/>
  <c r="P25" i="4" s="1"/>
  <c r="I34" i="23"/>
  <c r="I28" i="4" s="1"/>
  <c r="D31" i="23"/>
  <c r="D25" i="4" s="1"/>
  <c r="M28" i="23"/>
  <c r="M22" i="4" s="1"/>
  <c r="P32" i="23"/>
  <c r="P26" i="4" s="1"/>
  <c r="H28" i="23"/>
  <c r="H22" i="4" s="1"/>
  <c r="G30" i="23"/>
  <c r="G24" i="4" s="1"/>
  <c r="C31" i="23"/>
  <c r="C25" i="4" s="1"/>
  <c r="E30" i="23"/>
  <c r="E24" i="4" s="1"/>
  <c r="M30" i="23"/>
  <c r="M24" i="4" s="1"/>
  <c r="K28" i="23"/>
  <c r="K22" i="4" s="1"/>
  <c r="C28" i="23"/>
  <c r="C22" i="4" s="1"/>
  <c r="Q32" i="23"/>
  <c r="Q26" i="4" s="1"/>
  <c r="G29" i="23"/>
  <c r="G23" i="4" s="1"/>
  <c r="F31" i="23"/>
  <c r="F25" i="4" s="1"/>
  <c r="D28" i="23"/>
  <c r="F28" i="23"/>
  <c r="F22" i="4" s="1"/>
  <c r="G31" i="23"/>
  <c r="G25" i="4" s="1"/>
  <c r="L30" i="23"/>
  <c r="L24" i="4" s="1"/>
  <c r="Q28" i="23"/>
  <c r="M31" i="23"/>
  <c r="M25" i="4" s="1"/>
  <c r="H31" i="23"/>
  <c r="H25" i="4" s="1"/>
  <c r="D30" i="23"/>
  <c r="D24" i="4" s="1"/>
  <c r="E28" i="23"/>
  <c r="E22" i="4" s="1"/>
  <c r="J31" i="23"/>
  <c r="J25" i="4" s="1"/>
  <c r="C29" i="23"/>
  <c r="C23" i="4" s="1"/>
  <c r="J28" i="23"/>
  <c r="J22" i="4" s="1"/>
  <c r="K30" i="23"/>
  <c r="K24" i="4" s="1"/>
  <c r="O42" i="23"/>
  <c r="O36" i="4" s="1"/>
  <c r="Q29" i="23"/>
  <c r="Q23" i="4" s="1"/>
  <c r="P28" i="23"/>
  <c r="H29" i="23"/>
  <c r="H23" i="4" s="1"/>
  <c r="K29" i="23"/>
  <c r="K23" i="4" s="1"/>
  <c r="I28" i="23"/>
  <c r="I32" i="23"/>
  <c r="I26" i="4" s="1"/>
  <c r="F30" i="23"/>
  <c r="F24" i="4" s="1"/>
  <c r="E29" i="23"/>
  <c r="E23" i="4" s="1"/>
  <c r="M29" i="23"/>
  <c r="M23" i="4" s="1"/>
  <c r="O41" i="23"/>
  <c r="O35" i="4" s="1"/>
  <c r="Q30" i="23"/>
  <c r="Q24" i="4" s="1"/>
  <c r="P29" i="23"/>
  <c r="G28" i="23"/>
  <c r="G22" i="4" s="1"/>
  <c r="I31" i="23"/>
  <c r="I25" i="4" s="1"/>
  <c r="I30" i="23"/>
  <c r="I24" i="4" s="1"/>
  <c r="D29" i="23"/>
  <c r="D23" i="4" s="1"/>
  <c r="J30" i="23"/>
  <c r="J24" i="4" s="1"/>
  <c r="I29" i="23"/>
  <c r="I23" i="4" s="1"/>
  <c r="J29" i="23"/>
  <c r="J23" i="4" s="1"/>
  <c r="L29" i="23"/>
  <c r="L23" i="4" s="1"/>
  <c r="O40" i="23"/>
  <c r="O34" i="4" s="1"/>
  <c r="Q31" i="23"/>
  <c r="Q25" i="4" s="1"/>
  <c r="P30" i="23"/>
  <c r="P24" i="4" s="1"/>
  <c r="O40" i="1"/>
  <c r="O18" i="4" s="1"/>
  <c r="I34" i="1"/>
  <c r="I12" i="4" s="1"/>
  <c r="E35" i="1"/>
  <c r="E13" i="4" s="1"/>
  <c r="M35" i="1"/>
  <c r="M13" i="4" s="1"/>
  <c r="O31" i="1"/>
  <c r="O32" i="1"/>
  <c r="O10" i="4" s="1"/>
  <c r="O33" i="1"/>
  <c r="O11" i="4" s="1"/>
  <c r="O34" i="1"/>
  <c r="O35" i="1"/>
  <c r="O36" i="1"/>
  <c r="B34" i="1"/>
  <c r="J34" i="1"/>
  <c r="J12" i="4" s="1"/>
  <c r="C34" i="1"/>
  <c r="G35" i="1"/>
  <c r="G13" i="4" s="1"/>
  <c r="D34" i="1"/>
  <c r="L34" i="1"/>
  <c r="L12" i="4" s="1"/>
  <c r="H35" i="1"/>
  <c r="H13" i="4" s="1"/>
  <c r="B35" i="1"/>
  <c r="L35" i="1"/>
  <c r="L13" i="4" s="1"/>
  <c r="E34" i="1"/>
  <c r="M34" i="1"/>
  <c r="M12" i="4" s="1"/>
  <c r="I35" i="1"/>
  <c r="F34" i="1"/>
  <c r="F12" i="4" s="1"/>
  <c r="J35" i="1"/>
  <c r="J13" i="4" s="1"/>
  <c r="K34" i="1"/>
  <c r="K12" i="4" s="1"/>
  <c r="G34" i="1"/>
  <c r="G12" i="4" s="1"/>
  <c r="C35" i="1"/>
  <c r="C13" i="4" s="1"/>
  <c r="K35" i="1"/>
  <c r="K13" i="4" s="1"/>
  <c r="H34" i="1"/>
  <c r="H12" i="4" s="1"/>
  <c r="D35" i="1"/>
  <c r="D13" i="4" s="1"/>
  <c r="O42" i="1"/>
  <c r="O20" i="4" s="1"/>
  <c r="I29" i="1"/>
  <c r="G29" i="1"/>
  <c r="J28" i="1"/>
  <c r="L29" i="1"/>
  <c r="L7" i="4" s="1"/>
  <c r="O38" i="1"/>
  <c r="O16" i="4" s="1"/>
  <c r="M29" i="1"/>
  <c r="M7" i="4" s="1"/>
  <c r="O43" i="1"/>
  <c r="O21" i="4" s="1"/>
  <c r="E29" i="1"/>
  <c r="E7" i="4" s="1"/>
  <c r="K29" i="1"/>
  <c r="K7" i="4" s="1"/>
  <c r="M28" i="1"/>
  <c r="L28" i="1"/>
  <c r="O41" i="1"/>
  <c r="O19" i="4" s="1"/>
  <c r="F29" i="1"/>
  <c r="F7" i="4" s="1"/>
  <c r="K28" i="1"/>
  <c r="C34" i="23"/>
  <c r="C28" i="4" s="1"/>
  <c r="C33" i="23"/>
  <c r="C27" i="4" s="1"/>
  <c r="C29" i="1"/>
  <c r="C7" i="4" s="1"/>
  <c r="B30" i="1"/>
  <c r="B8" i="4" s="1"/>
  <c r="F30" i="1"/>
  <c r="F8" i="4" s="1"/>
  <c r="J30" i="1"/>
  <c r="J8" i="4" s="1"/>
  <c r="B31" i="1"/>
  <c r="F31" i="1"/>
  <c r="J31" i="1"/>
  <c r="J9" i="4" s="1"/>
  <c r="B32" i="1"/>
  <c r="F32" i="1"/>
  <c r="F10" i="4" s="1"/>
  <c r="J32" i="1"/>
  <c r="J10" i="4" s="1"/>
  <c r="B33" i="1"/>
  <c r="F33" i="1"/>
  <c r="F11" i="4" s="1"/>
  <c r="J33" i="1"/>
  <c r="C30" i="1"/>
  <c r="G30" i="1"/>
  <c r="G8" i="4" s="1"/>
  <c r="K30" i="1"/>
  <c r="K8" i="4" s="1"/>
  <c r="C31" i="1"/>
  <c r="G31" i="1"/>
  <c r="G9" i="4" s="1"/>
  <c r="K31" i="1"/>
  <c r="C32" i="1"/>
  <c r="G32" i="1"/>
  <c r="K32" i="1"/>
  <c r="C33" i="1"/>
  <c r="C11" i="4" s="1"/>
  <c r="G33" i="1"/>
  <c r="K33" i="1"/>
  <c r="K11" i="4" s="1"/>
  <c r="H30" i="1"/>
  <c r="H8" i="4" s="1"/>
  <c r="L30" i="1"/>
  <c r="D31" i="1"/>
  <c r="D9" i="4" s="1"/>
  <c r="L31" i="1"/>
  <c r="D32" i="1"/>
  <c r="L32" i="1"/>
  <c r="L10" i="4" s="1"/>
  <c r="D33" i="1"/>
  <c r="D11" i="4" s="1"/>
  <c r="L33" i="1"/>
  <c r="L11" i="4" s="1"/>
  <c r="D30" i="1"/>
  <c r="H31" i="1"/>
  <c r="H32" i="1"/>
  <c r="H10" i="4" s="1"/>
  <c r="H33" i="1"/>
  <c r="E30" i="1"/>
  <c r="E8" i="4" s="1"/>
  <c r="I30" i="1"/>
  <c r="I8" i="4" s="1"/>
  <c r="M30" i="1"/>
  <c r="M8" i="4" s="1"/>
  <c r="E31" i="1"/>
  <c r="E9" i="4" s="1"/>
  <c r="I31" i="1"/>
  <c r="I9" i="4" s="1"/>
  <c r="M31" i="1"/>
  <c r="M9" i="4" s="1"/>
  <c r="E32" i="1"/>
  <c r="E10" i="4" s="1"/>
  <c r="I32" i="1"/>
  <c r="M32" i="1"/>
  <c r="E33" i="1"/>
  <c r="E11" i="4" s="1"/>
  <c r="I33" i="1"/>
  <c r="I11" i="4" s="1"/>
  <c r="M33" i="1"/>
  <c r="F33" i="23"/>
  <c r="F27" i="4" s="1"/>
  <c r="E35" i="23"/>
  <c r="E29" i="4" s="1"/>
  <c r="H34" i="23"/>
  <c r="H28" i="4" s="1"/>
  <c r="M33" i="23"/>
  <c r="M27" i="4" s="1"/>
  <c r="L35" i="23"/>
  <c r="L29" i="4" s="1"/>
  <c r="M32" i="23"/>
  <c r="O36" i="23"/>
  <c r="O30" i="4" s="1"/>
  <c r="S36" i="23"/>
  <c r="S30" i="4" s="1"/>
  <c r="S34" i="23"/>
  <c r="S28" i="4" s="1"/>
  <c r="U33" i="23"/>
  <c r="J33" i="23"/>
  <c r="J27" i="4" s="1"/>
  <c r="I35" i="23"/>
  <c r="I29" i="4" s="1"/>
  <c r="D33" i="23"/>
  <c r="D27" i="4" s="1"/>
  <c r="G34" i="23"/>
  <c r="G28" i="4" s="1"/>
  <c r="H35" i="23"/>
  <c r="H29" i="4" s="1"/>
  <c r="F34" i="23"/>
  <c r="F28" i="4" s="1"/>
  <c r="E33" i="23"/>
  <c r="E27" i="4" s="1"/>
  <c r="C35" i="23"/>
  <c r="C29" i="4" s="1"/>
  <c r="K35" i="23"/>
  <c r="K29" i="4" s="1"/>
  <c r="L32" i="23"/>
  <c r="V36" i="23"/>
  <c r="V30" i="4" s="1"/>
  <c r="R36" i="23"/>
  <c r="R30" i="4" s="1"/>
  <c r="T35" i="23"/>
  <c r="T29" i="4" s="1"/>
  <c r="P35" i="23"/>
  <c r="P29" i="4" s="1"/>
  <c r="V34" i="23"/>
  <c r="V28" i="4" s="1"/>
  <c r="T33" i="23"/>
  <c r="T27" i="4" s="1"/>
  <c r="D35" i="23"/>
  <c r="D29" i="4" s="1"/>
  <c r="D32" i="23"/>
  <c r="H33" i="23"/>
  <c r="H27" i="4" s="1"/>
  <c r="F35" i="23"/>
  <c r="F29" i="4" s="1"/>
  <c r="C32" i="23"/>
  <c r="J34" i="23"/>
  <c r="J28" i="4" s="1"/>
  <c r="F32" i="23"/>
  <c r="I33" i="23"/>
  <c r="G35" i="23"/>
  <c r="G29" i="4" s="1"/>
  <c r="M34" i="23"/>
  <c r="M28" i="4" s="1"/>
  <c r="L33" i="23"/>
  <c r="L27" i="4" s="1"/>
  <c r="K32" i="23"/>
  <c r="O33" i="23"/>
  <c r="O27" i="4" s="1"/>
  <c r="U36" i="23"/>
  <c r="U30" i="4" s="1"/>
  <c r="Q36" i="23"/>
  <c r="Q30" i="4" s="1"/>
  <c r="S35" i="23"/>
  <c r="S29" i="4" s="1"/>
  <c r="U34" i="23"/>
  <c r="U28" i="4" s="1"/>
  <c r="Q34" i="23"/>
  <c r="Q28" i="4" s="1"/>
  <c r="S33" i="23"/>
  <c r="K34" i="23"/>
  <c r="K28" i="4" s="1"/>
  <c r="U35" i="23"/>
  <c r="U29" i="4" s="1"/>
  <c r="Q35" i="23"/>
  <c r="Q29" i="4" s="1"/>
  <c r="Q33" i="23"/>
  <c r="O35" i="23"/>
  <c r="O29" i="4" s="1"/>
  <c r="R34" i="23"/>
  <c r="R28" i="4" s="1"/>
  <c r="P33" i="23"/>
  <c r="G32" i="23"/>
  <c r="G33" i="23"/>
  <c r="G27" i="4" s="1"/>
  <c r="E32" i="23"/>
  <c r="J35" i="23"/>
  <c r="J29" i="4" s="1"/>
  <c r="E34" i="23"/>
  <c r="E28" i="4" s="1"/>
  <c r="H32" i="23"/>
  <c r="J32" i="23"/>
  <c r="D34" i="23"/>
  <c r="D28" i="4" s="1"/>
  <c r="M35" i="23"/>
  <c r="M29" i="4" s="1"/>
  <c r="L34" i="23"/>
  <c r="L28" i="4" s="1"/>
  <c r="K33" i="23"/>
  <c r="K27" i="4" s="1"/>
  <c r="T36" i="23"/>
  <c r="T30" i="4" s="1"/>
  <c r="P36" i="23"/>
  <c r="P30" i="4" s="1"/>
  <c r="V35" i="23"/>
  <c r="V29" i="4" s="1"/>
  <c r="R35" i="23"/>
  <c r="R29" i="4" s="1"/>
  <c r="T34" i="23"/>
  <c r="T28" i="4" s="1"/>
  <c r="P34" i="23"/>
  <c r="P28" i="4" s="1"/>
  <c r="V33" i="23"/>
  <c r="R33" i="23"/>
  <c r="H11" i="4"/>
  <c r="B11" i="4"/>
  <c r="T10" i="4"/>
  <c r="S9" i="4"/>
  <c r="M11" i="4"/>
  <c r="R11" i="4"/>
  <c r="J11" i="4"/>
  <c r="U12" i="4"/>
  <c r="L8" i="4"/>
  <c r="T12" i="4"/>
  <c r="S11" i="4"/>
  <c r="V10" i="4"/>
  <c r="U9" i="4"/>
  <c r="K10" i="4"/>
  <c r="T11" i="4"/>
  <c r="S10" i="4"/>
  <c r="V9" i="4"/>
  <c r="Q12" i="4"/>
  <c r="Q11" i="4"/>
  <c r="P12" i="4"/>
  <c r="Q9" i="4"/>
  <c r="M10" i="4"/>
  <c r="L9" i="4"/>
  <c r="S12" i="4"/>
  <c r="V11" i="4"/>
  <c r="D22" i="4"/>
  <c r="I22" i="4"/>
  <c r="Q22" i="4"/>
  <c r="P22" i="4"/>
  <c r="T6" i="4"/>
  <c r="J6" i="4"/>
  <c r="K6" i="4"/>
  <c r="S6" i="4"/>
  <c r="Q6" i="4"/>
  <c r="L6" i="4"/>
  <c r="P6" i="4"/>
  <c r="M6" i="4"/>
  <c r="U6" i="4"/>
  <c r="T4" i="33"/>
  <c r="T22" i="33" s="1"/>
  <c r="Q22" i="1"/>
  <c r="R13" i="4"/>
  <c r="G10" i="4"/>
  <c r="H29" i="1"/>
  <c r="E28" i="1"/>
  <c r="D12" i="4"/>
  <c r="F28" i="1"/>
  <c r="R41" i="1"/>
  <c r="R19" i="4" s="1"/>
  <c r="R37" i="1"/>
  <c r="R15" i="4" s="1"/>
  <c r="Q29" i="1"/>
  <c r="O37" i="1"/>
  <c r="O15" i="4" s="1"/>
  <c r="P29" i="1"/>
  <c r="P46" i="1" s="1"/>
  <c r="B12" i="4"/>
  <c r="B13" i="4"/>
  <c r="C12" i="4"/>
  <c r="I28" i="1"/>
  <c r="H28" i="1"/>
  <c r="G28" i="1"/>
  <c r="I10" i="4"/>
  <c r="R42" i="1"/>
  <c r="R20" i="4" s="1"/>
  <c r="R38" i="1"/>
  <c r="R16" i="4" s="1"/>
  <c r="R12" i="4"/>
  <c r="L74" i="4"/>
  <c r="L62" i="4"/>
  <c r="E55" i="4"/>
  <c r="E62" i="4"/>
  <c r="P21" i="4"/>
  <c r="I52" i="23"/>
  <c r="R4" i="33"/>
  <c r="V37" i="4"/>
  <c r="R37" i="4"/>
  <c r="K37" i="4"/>
  <c r="I45" i="23"/>
  <c r="U4" i="33"/>
  <c r="R21" i="4"/>
  <c r="Q21" i="4"/>
  <c r="S4" i="33"/>
  <c r="C27" i="23"/>
  <c r="C52" i="23" s="1"/>
  <c r="I27" i="23"/>
  <c r="V21" i="4"/>
  <c r="T21" i="4"/>
  <c r="B21" i="4"/>
  <c r="O37" i="23"/>
  <c r="O31" i="4" s="1"/>
  <c r="O34" i="23"/>
  <c r="O28" i="4" s="1"/>
  <c r="O38" i="23"/>
  <c r="T37" i="4"/>
  <c r="B38" i="23"/>
  <c r="F37" i="4"/>
  <c r="L37" i="4"/>
  <c r="P37" i="4"/>
  <c r="S37" i="4"/>
  <c r="J37" i="4"/>
  <c r="H37" i="4"/>
  <c r="M37" i="4"/>
  <c r="O37" i="4"/>
  <c r="Q4" i="4"/>
  <c r="Q62" i="4" s="1"/>
  <c r="P27" i="23"/>
  <c r="P52" i="23" s="1"/>
  <c r="J4" i="1"/>
  <c r="J4" i="4" s="1"/>
  <c r="J4" i="23"/>
  <c r="J45" i="23" s="1"/>
  <c r="M4" i="23"/>
  <c r="M27" i="23" s="1"/>
  <c r="M4" i="1"/>
  <c r="M4" i="4" s="1"/>
  <c r="L45" i="1"/>
  <c r="L27" i="1"/>
  <c r="L52" i="1" s="1"/>
  <c r="O32" i="23"/>
  <c r="O31" i="23"/>
  <c r="O25" i="4" s="1"/>
  <c r="O30" i="23"/>
  <c r="O24" i="4" s="1"/>
  <c r="B33" i="23"/>
  <c r="B27" i="4" s="1"/>
  <c r="B28" i="23"/>
  <c r="B30" i="23"/>
  <c r="B24" i="4" s="1"/>
  <c r="B34" i="23"/>
  <c r="B28" i="4" s="1"/>
  <c r="B35" i="23"/>
  <c r="O28" i="23"/>
  <c r="B31" i="23"/>
  <c r="B25" i="4" s="1"/>
  <c r="B29" i="23"/>
  <c r="B23" i="4" s="1"/>
  <c r="P10" i="4"/>
  <c r="D4" i="4"/>
  <c r="P23" i="4"/>
  <c r="O29" i="1"/>
  <c r="O7" i="4" s="1"/>
  <c r="B27" i="23"/>
  <c r="B52" i="23" s="1"/>
  <c r="K45" i="23"/>
  <c r="E27" i="23"/>
  <c r="E52" i="23" s="1"/>
  <c r="Q30" i="1"/>
  <c r="Q8" i="4" s="1"/>
  <c r="B29" i="1"/>
  <c r="B7" i="4" s="1"/>
  <c r="P13" i="4"/>
  <c r="P9" i="4"/>
  <c r="H22" i="23"/>
  <c r="P37" i="1"/>
  <c r="F22" i="23"/>
  <c r="H45" i="23"/>
  <c r="R9" i="4"/>
  <c r="V22" i="4"/>
  <c r="V57" i="1"/>
  <c r="U57" i="1"/>
  <c r="T57" i="1"/>
  <c r="S57" i="1"/>
  <c r="J21" i="4"/>
  <c r="E37" i="4"/>
  <c r="M21" i="4"/>
  <c r="R28" i="1"/>
  <c r="R30" i="1"/>
  <c r="R8" i="4" s="1"/>
  <c r="L21" i="4"/>
  <c r="U21" i="4"/>
  <c r="R29" i="1"/>
  <c r="R7" i="4" s="1"/>
  <c r="D21" i="4"/>
  <c r="C37" i="4"/>
  <c r="I37" i="4"/>
  <c r="K21" i="4"/>
  <c r="P14" i="4"/>
  <c r="C21" i="4"/>
  <c r="B37" i="4"/>
  <c r="D37" i="4"/>
  <c r="G37" i="4"/>
  <c r="O12" i="4"/>
  <c r="O13" i="4"/>
  <c r="O30" i="1"/>
  <c r="O8" i="4" s="1"/>
  <c r="B9" i="4"/>
  <c r="O9" i="4"/>
  <c r="K9" i="4"/>
  <c r="D28" i="1"/>
  <c r="B28" i="1"/>
  <c r="C28" i="1"/>
  <c r="O28" i="1"/>
  <c r="C8" i="4"/>
  <c r="C9" i="4"/>
  <c r="D29" i="1"/>
  <c r="D7" i="4" s="1"/>
  <c r="S47" i="1"/>
  <c r="S48" i="1" s="1"/>
  <c r="S54" i="1" s="1"/>
  <c r="V6" i="4"/>
  <c r="G21" i="4"/>
  <c r="I21" i="4"/>
  <c r="F21" i="4"/>
  <c r="H21" i="4"/>
  <c r="E21" i="4"/>
  <c r="L52" i="23"/>
  <c r="D17" i="4"/>
  <c r="H9" i="4"/>
  <c r="G7" i="4"/>
  <c r="C4" i="4"/>
  <c r="G27" i="23"/>
  <c r="G52" i="23" s="1"/>
  <c r="K27" i="23"/>
  <c r="L22" i="1"/>
  <c r="I7" i="4"/>
  <c r="D27" i="1"/>
  <c r="D52" i="1" s="1"/>
  <c r="D45" i="1"/>
  <c r="D22" i="23"/>
  <c r="D45" i="23"/>
  <c r="D27" i="23"/>
  <c r="D52" i="23" s="1"/>
  <c r="F45" i="23"/>
  <c r="E22" i="23"/>
  <c r="G22" i="23"/>
  <c r="K22" i="23"/>
  <c r="L45" i="23"/>
  <c r="O22" i="23"/>
  <c r="Q22" i="23"/>
  <c r="B22" i="23"/>
  <c r="C22" i="23"/>
  <c r="L22" i="23"/>
  <c r="Q27" i="23"/>
  <c r="Q52" i="23" s="1"/>
  <c r="O27" i="23"/>
  <c r="O52" i="23" s="1"/>
  <c r="E45" i="1"/>
  <c r="B27" i="1"/>
  <c r="B52" i="1" s="1"/>
  <c r="K27" i="1"/>
  <c r="K52" i="1" s="1"/>
  <c r="F4" i="4"/>
  <c r="G22" i="1"/>
  <c r="F45" i="1"/>
  <c r="C22" i="1"/>
  <c r="B22" i="1"/>
  <c r="G45" i="1"/>
  <c r="E27" i="1"/>
  <c r="E52" i="1" s="1"/>
  <c r="E22" i="1"/>
  <c r="I22" i="1"/>
  <c r="I27" i="1"/>
  <c r="P27" i="1"/>
  <c r="P52" i="1" s="1"/>
  <c r="H4" i="4"/>
  <c r="F22" i="1"/>
  <c r="I4" i="4"/>
  <c r="G4" i="4"/>
  <c r="C27" i="1"/>
  <c r="C52" i="1" s="1"/>
  <c r="B45" i="1"/>
  <c r="K74" i="4"/>
  <c r="K22" i="1"/>
  <c r="H22" i="1"/>
  <c r="O4" i="4"/>
  <c r="H45" i="1"/>
  <c r="O45" i="1"/>
  <c r="P4" i="4"/>
  <c r="K45" i="1"/>
  <c r="P45" i="1"/>
  <c r="O27" i="1"/>
  <c r="O52" i="1" s="1"/>
  <c r="I52" i="1"/>
  <c r="K55" i="4"/>
  <c r="B55" i="4"/>
  <c r="L55" i="4"/>
  <c r="E74" i="4"/>
  <c r="B74" i="4"/>
  <c r="M56" i="1"/>
  <c r="U56" i="23"/>
  <c r="F56" i="1"/>
  <c r="D56" i="1"/>
  <c r="V56" i="23"/>
  <c r="K56" i="1"/>
  <c r="E56" i="1"/>
  <c r="S56" i="23"/>
  <c r="P56" i="23"/>
  <c r="R56" i="23"/>
  <c r="D56" i="23"/>
  <c r="H56" i="23"/>
  <c r="F56" i="23"/>
  <c r="L56" i="1"/>
  <c r="G56" i="1"/>
  <c r="C56" i="23"/>
  <c r="T56" i="23"/>
  <c r="J56" i="1"/>
  <c r="Q56" i="1"/>
  <c r="C56" i="1"/>
  <c r="Q56" i="23"/>
  <c r="O56" i="23"/>
  <c r="I56" i="23"/>
  <c r="L56" i="23"/>
  <c r="I56" i="1"/>
  <c r="K56" i="23"/>
  <c r="J56" i="23"/>
  <c r="B56" i="1"/>
  <c r="P56" i="1"/>
  <c r="G56" i="23"/>
  <c r="O56" i="1"/>
  <c r="E56" i="23"/>
  <c r="M56" i="23"/>
  <c r="H56" i="1"/>
  <c r="B56" i="23"/>
  <c r="R56" i="1"/>
  <c r="M46" i="23" l="1"/>
  <c r="M53" i="23" s="1"/>
  <c r="E47" i="23"/>
  <c r="E48" i="23" s="1"/>
  <c r="E54" i="23" s="1"/>
  <c r="P47" i="23"/>
  <c r="P48" i="23" s="1"/>
  <c r="P54" i="23" s="1"/>
  <c r="S46" i="23"/>
  <c r="S53" i="23" s="1"/>
  <c r="V57" i="23"/>
  <c r="I57" i="23"/>
  <c r="T57" i="23"/>
  <c r="U57" i="23"/>
  <c r="M57" i="23"/>
  <c r="G57" i="23"/>
  <c r="Q57" i="23"/>
  <c r="S57" i="23"/>
  <c r="F57" i="23"/>
  <c r="P57" i="23"/>
  <c r="D57" i="23"/>
  <c r="L57" i="23"/>
  <c r="H57" i="23"/>
  <c r="K57" i="23"/>
  <c r="R57" i="23"/>
  <c r="J57" i="23"/>
  <c r="E57" i="23"/>
  <c r="C57" i="23"/>
  <c r="V27" i="4"/>
  <c r="V56" i="4" s="1"/>
  <c r="V75" i="4" s="1"/>
  <c r="I27" i="4"/>
  <c r="U27" i="4"/>
  <c r="U63" i="4" s="1"/>
  <c r="U64" i="4" s="1"/>
  <c r="M26" i="4"/>
  <c r="G26" i="4"/>
  <c r="Q27" i="4"/>
  <c r="S27" i="4"/>
  <c r="S63" i="4" s="1"/>
  <c r="S64" i="4" s="1"/>
  <c r="F26" i="4"/>
  <c r="P27" i="4"/>
  <c r="D26" i="4"/>
  <c r="L26" i="4"/>
  <c r="L56" i="4" s="1"/>
  <c r="L75" i="4" s="1"/>
  <c r="H26" i="4"/>
  <c r="K26" i="4"/>
  <c r="K63" i="4" s="1"/>
  <c r="K64" i="4" s="1"/>
  <c r="V46" i="23"/>
  <c r="V53" i="23" s="1"/>
  <c r="V47" i="23"/>
  <c r="V48" i="23" s="1"/>
  <c r="V54" i="23" s="1"/>
  <c r="R27" i="4"/>
  <c r="J26" i="4"/>
  <c r="J63" i="4" s="1"/>
  <c r="J64" i="4" s="1"/>
  <c r="E26" i="4"/>
  <c r="C26" i="4"/>
  <c r="M57" i="1"/>
  <c r="K57" i="1"/>
  <c r="J57" i="1"/>
  <c r="L57" i="1"/>
  <c r="E46" i="23"/>
  <c r="E53" i="23" s="1"/>
  <c r="F46" i="23"/>
  <c r="F53" i="23" s="1"/>
  <c r="K46" i="23"/>
  <c r="K53" i="23" s="1"/>
  <c r="G46" i="23"/>
  <c r="G53" i="23" s="1"/>
  <c r="M47" i="23"/>
  <c r="M48" i="23" s="1"/>
  <c r="M54" i="23" s="1"/>
  <c r="I46" i="23"/>
  <c r="I53" i="23" s="1"/>
  <c r="Q47" i="23"/>
  <c r="Q48" i="23" s="1"/>
  <c r="Q54" i="23" s="1"/>
  <c r="Q46" i="23"/>
  <c r="Q53" i="23" s="1"/>
  <c r="F47" i="23"/>
  <c r="F48" i="23" s="1"/>
  <c r="F54" i="23" s="1"/>
  <c r="S47" i="23"/>
  <c r="S48" i="23" s="1"/>
  <c r="S54" i="23" s="1"/>
  <c r="I47" i="23"/>
  <c r="I48" i="23" s="1"/>
  <c r="I54" i="23" s="1"/>
  <c r="T47" i="23"/>
  <c r="T48" i="23" s="1"/>
  <c r="T54" i="23" s="1"/>
  <c r="D46" i="23"/>
  <c r="D53" i="23" s="1"/>
  <c r="L46" i="23"/>
  <c r="L53" i="23" s="1"/>
  <c r="P46" i="23"/>
  <c r="P53" i="23" s="1"/>
  <c r="C46" i="23"/>
  <c r="C53" i="23" s="1"/>
  <c r="U47" i="23"/>
  <c r="U48" i="23" s="1"/>
  <c r="U54" i="23" s="1"/>
  <c r="H46" i="23"/>
  <c r="H53" i="23" s="1"/>
  <c r="U46" i="23"/>
  <c r="U53" i="23" s="1"/>
  <c r="H47" i="23"/>
  <c r="H48" i="23" s="1"/>
  <c r="H54" i="23" s="1"/>
  <c r="D47" i="23"/>
  <c r="D48" i="23" s="1"/>
  <c r="D54" i="23" s="1"/>
  <c r="R47" i="23"/>
  <c r="R48" i="23" s="1"/>
  <c r="R54" i="23" s="1"/>
  <c r="J47" i="23"/>
  <c r="J48" i="23" s="1"/>
  <c r="J54" i="23" s="1"/>
  <c r="T46" i="23"/>
  <c r="T53" i="23" s="1"/>
  <c r="L47" i="23"/>
  <c r="L48" i="23" s="1"/>
  <c r="L54" i="23" s="1"/>
  <c r="J46" i="23"/>
  <c r="J53" i="23" s="1"/>
  <c r="C47" i="23"/>
  <c r="C48" i="23" s="1"/>
  <c r="C54" i="23" s="1"/>
  <c r="K47" i="23"/>
  <c r="K48" i="23" s="1"/>
  <c r="K54" i="23" s="1"/>
  <c r="G47" i="23"/>
  <c r="G48" i="23" s="1"/>
  <c r="G54" i="23" s="1"/>
  <c r="R46" i="23"/>
  <c r="R53" i="23" s="1"/>
  <c r="L47" i="1"/>
  <c r="L48" i="1" s="1"/>
  <c r="L54" i="1" s="1"/>
  <c r="U47" i="1"/>
  <c r="U48" i="1" s="1"/>
  <c r="U54" i="1" s="1"/>
  <c r="V46" i="1"/>
  <c r="V53" i="1" s="1"/>
  <c r="S46" i="1"/>
  <c r="S53" i="1" s="1"/>
  <c r="T46" i="1"/>
  <c r="T53" i="1" s="1"/>
  <c r="U46" i="1"/>
  <c r="U53" i="1" s="1"/>
  <c r="M47" i="1"/>
  <c r="M48" i="1" s="1"/>
  <c r="M54" i="1" s="1"/>
  <c r="M63" i="4"/>
  <c r="M64" i="4" s="1"/>
  <c r="J46" i="1"/>
  <c r="J53" i="1" s="1"/>
  <c r="K47" i="1"/>
  <c r="K48" i="1" s="1"/>
  <c r="K54" i="1" s="1"/>
  <c r="V47" i="1"/>
  <c r="V48" i="1" s="1"/>
  <c r="V54" i="1" s="1"/>
  <c r="M46" i="1"/>
  <c r="M53" i="1" s="1"/>
  <c r="F46" i="1"/>
  <c r="F53" i="1" s="1"/>
  <c r="L46" i="1"/>
  <c r="L53" i="1" s="1"/>
  <c r="J47" i="1"/>
  <c r="J48" i="1" s="1"/>
  <c r="J54" i="1" s="1"/>
  <c r="T47" i="1"/>
  <c r="T48" i="1" s="1"/>
  <c r="T54" i="1" s="1"/>
  <c r="K46" i="1"/>
  <c r="K53" i="1" s="1"/>
  <c r="B22" i="4"/>
  <c r="D6" i="4"/>
  <c r="R6" i="4"/>
  <c r="I6" i="4"/>
  <c r="P7" i="4"/>
  <c r="E6" i="4"/>
  <c r="O6" i="4"/>
  <c r="B6" i="4"/>
  <c r="C6" i="4"/>
  <c r="H6" i="4"/>
  <c r="F6" i="4"/>
  <c r="P47" i="1"/>
  <c r="P48" i="1" s="1"/>
  <c r="P54" i="1" s="1"/>
  <c r="G6" i="4"/>
  <c r="Q7" i="4"/>
  <c r="T63" i="4"/>
  <c r="T64" i="4" s="1"/>
  <c r="T27" i="33"/>
  <c r="T52" i="33" s="1"/>
  <c r="T45" i="33"/>
  <c r="I47" i="1"/>
  <c r="I48" i="1" s="1"/>
  <c r="I54" i="1" s="1"/>
  <c r="F47" i="1"/>
  <c r="F48" i="1" s="1"/>
  <c r="F54" i="1" s="1"/>
  <c r="G47" i="1"/>
  <c r="G48" i="1" s="1"/>
  <c r="G54" i="1" s="1"/>
  <c r="E47" i="1"/>
  <c r="E48" i="1" s="1"/>
  <c r="E54" i="1" s="1"/>
  <c r="Q46" i="1"/>
  <c r="Q53" i="1" s="1"/>
  <c r="E46" i="1"/>
  <c r="E53" i="1" s="1"/>
  <c r="Q47" i="1"/>
  <c r="Q48" i="1" s="1"/>
  <c r="Q54" i="1" s="1"/>
  <c r="I46" i="1"/>
  <c r="I53" i="1" s="1"/>
  <c r="Q74" i="4"/>
  <c r="M57" i="4"/>
  <c r="M58" i="4" s="1"/>
  <c r="M76" i="4" s="1"/>
  <c r="T57" i="4"/>
  <c r="T58" i="4" s="1"/>
  <c r="T76" i="4" s="1"/>
  <c r="H57" i="1"/>
  <c r="G57" i="1"/>
  <c r="F57" i="1"/>
  <c r="I57" i="1"/>
  <c r="E57" i="1"/>
  <c r="H7" i="4"/>
  <c r="G46" i="1"/>
  <c r="G53" i="1" s="1"/>
  <c r="H46" i="1"/>
  <c r="H53" i="1" s="1"/>
  <c r="H47" i="1"/>
  <c r="H48" i="1" s="1"/>
  <c r="H54" i="1" s="1"/>
  <c r="G11" i="4"/>
  <c r="F9" i="4"/>
  <c r="I13" i="4"/>
  <c r="E12" i="4"/>
  <c r="I55" i="4"/>
  <c r="I62" i="4"/>
  <c r="O55" i="4"/>
  <c r="O62" i="4"/>
  <c r="F55" i="4"/>
  <c r="F62" i="4"/>
  <c r="M55" i="4"/>
  <c r="M62" i="4"/>
  <c r="J55" i="4"/>
  <c r="J62" i="4"/>
  <c r="P55" i="4"/>
  <c r="P62" i="4"/>
  <c r="G55" i="4"/>
  <c r="G62" i="4"/>
  <c r="H74" i="4"/>
  <c r="H62" i="4"/>
  <c r="U22" i="33"/>
  <c r="U45" i="33"/>
  <c r="U27" i="33"/>
  <c r="U52" i="33" s="1"/>
  <c r="R45" i="33"/>
  <c r="R27" i="33"/>
  <c r="R52" i="33" s="1"/>
  <c r="R22" i="33"/>
  <c r="M56" i="4"/>
  <c r="M75" i="4" s="1"/>
  <c r="T56" i="4"/>
  <c r="T75" i="4" s="1"/>
  <c r="C74" i="4"/>
  <c r="C62" i="4"/>
  <c r="D55" i="4"/>
  <c r="D62" i="4"/>
  <c r="S27" i="33"/>
  <c r="S52" i="33" s="1"/>
  <c r="S22" i="33"/>
  <c r="S45" i="33"/>
  <c r="V4" i="33"/>
  <c r="Q55" i="4"/>
  <c r="V4" i="1"/>
  <c r="V45" i="1" s="1"/>
  <c r="O32" i="4"/>
  <c r="Q10" i="4"/>
  <c r="B32" i="4"/>
  <c r="H55" i="4"/>
  <c r="R10" i="4"/>
  <c r="O14" i="4"/>
  <c r="P15" i="4"/>
  <c r="V4" i="23"/>
  <c r="V45" i="23" s="1"/>
  <c r="B10" i="4"/>
  <c r="T79" i="4"/>
  <c r="O26" i="4"/>
  <c r="P53" i="1"/>
  <c r="U4" i="1"/>
  <c r="U22" i="1" s="1"/>
  <c r="M74" i="4"/>
  <c r="M27" i="1"/>
  <c r="M52" i="1" s="1"/>
  <c r="M22" i="1"/>
  <c r="J52" i="1"/>
  <c r="J74" i="4"/>
  <c r="J27" i="1"/>
  <c r="J45" i="1"/>
  <c r="S4" i="1"/>
  <c r="S4" i="23"/>
  <c r="C55" i="4"/>
  <c r="U4" i="23"/>
  <c r="U22" i="23" s="1"/>
  <c r="J22" i="23"/>
  <c r="J52" i="23"/>
  <c r="J22" i="1"/>
  <c r="J27" i="23"/>
  <c r="R4" i="1"/>
  <c r="R22" i="1" s="1"/>
  <c r="R4" i="23"/>
  <c r="R22" i="23" s="1"/>
  <c r="M52" i="23"/>
  <c r="M22" i="23"/>
  <c r="M45" i="23"/>
  <c r="M45" i="1"/>
  <c r="B46" i="23"/>
  <c r="B53" i="23" s="1"/>
  <c r="B55" i="23" s="1"/>
  <c r="O46" i="23"/>
  <c r="O53" i="23" s="1"/>
  <c r="O55" i="23" s="1"/>
  <c r="O47" i="23"/>
  <c r="O48" i="23" s="1"/>
  <c r="O54" i="23" s="1"/>
  <c r="B47" i="23"/>
  <c r="B48" i="23" s="1"/>
  <c r="B54" i="23" s="1"/>
  <c r="B57" i="23"/>
  <c r="O57" i="23"/>
  <c r="B29" i="4"/>
  <c r="O22" i="4"/>
  <c r="R47" i="1"/>
  <c r="R48" i="1" s="1"/>
  <c r="R54" i="1" s="1"/>
  <c r="Q57" i="1"/>
  <c r="D74" i="4"/>
  <c r="R46" i="1"/>
  <c r="R53" i="1" s="1"/>
  <c r="C47" i="1"/>
  <c r="C48" i="1" s="1"/>
  <c r="C54" i="1" s="1"/>
  <c r="G74" i="4"/>
  <c r="D57" i="1"/>
  <c r="R57" i="1"/>
  <c r="P57" i="1"/>
  <c r="O57" i="1"/>
  <c r="C57" i="1"/>
  <c r="D10" i="4"/>
  <c r="C10" i="4"/>
  <c r="B57" i="1"/>
  <c r="C46" i="1"/>
  <c r="C53" i="1" s="1"/>
  <c r="B46" i="1"/>
  <c r="B53" i="1" s="1"/>
  <c r="B47" i="1"/>
  <c r="B48" i="1" s="1"/>
  <c r="B54" i="1" s="1"/>
  <c r="D46" i="1"/>
  <c r="D53" i="1" s="1"/>
  <c r="O47" i="1"/>
  <c r="O48" i="1" s="1"/>
  <c r="O54" i="1" s="1"/>
  <c r="O46" i="1"/>
  <c r="O53" i="1" s="1"/>
  <c r="O55" i="1" s="1"/>
  <c r="D47" i="1"/>
  <c r="D48" i="1" s="1"/>
  <c r="D54" i="1" s="1"/>
  <c r="D8" i="4"/>
  <c r="T4" i="1"/>
  <c r="T4" i="23"/>
  <c r="F74" i="4"/>
  <c r="I74" i="4"/>
  <c r="O74" i="4"/>
  <c r="P74" i="4"/>
  <c r="S56" i="4" l="1"/>
  <c r="S75" i="4" s="1"/>
  <c r="S57" i="4"/>
  <c r="S58" i="4" s="1"/>
  <c r="S76" i="4" s="1"/>
  <c r="J57" i="4"/>
  <c r="J58" i="4" s="1"/>
  <c r="J76" i="4" s="1"/>
  <c r="V57" i="4"/>
  <c r="V58" i="4" s="1"/>
  <c r="V76" i="4" s="1"/>
  <c r="L57" i="4"/>
  <c r="L58" i="4" s="1"/>
  <c r="L76" i="4" s="1"/>
  <c r="L63" i="4"/>
  <c r="L64" i="4" s="1"/>
  <c r="J56" i="4"/>
  <c r="J75" i="4" s="1"/>
  <c r="V63" i="4"/>
  <c r="V64" i="4" s="1"/>
  <c r="K57" i="4"/>
  <c r="K58" i="4" s="1"/>
  <c r="K76" i="4" s="1"/>
  <c r="U56" i="4"/>
  <c r="U75" i="4" s="1"/>
  <c r="U57" i="4"/>
  <c r="U58" i="4" s="1"/>
  <c r="U76" i="4" s="1"/>
  <c r="K56" i="4"/>
  <c r="K75" i="4" s="1"/>
  <c r="J79" i="4"/>
  <c r="K79" i="4"/>
  <c r="V79" i="4"/>
  <c r="M79" i="4"/>
  <c r="L79" i="4"/>
  <c r="S79" i="4"/>
  <c r="U79" i="4"/>
  <c r="C63" i="4"/>
  <c r="C64" i="4" s="1"/>
  <c r="R63" i="4"/>
  <c r="R64" i="4" s="1"/>
  <c r="I57" i="4"/>
  <c r="I58" i="4" s="1"/>
  <c r="I76" i="4" s="1"/>
  <c r="F55" i="23"/>
  <c r="C55" i="23"/>
  <c r="I63" i="4"/>
  <c r="I64" i="4" s="1"/>
  <c r="H56" i="4"/>
  <c r="H75" i="4" s="1"/>
  <c r="F63" i="4"/>
  <c r="F64" i="4" s="1"/>
  <c r="G55" i="1"/>
  <c r="V4" i="4"/>
  <c r="V55" i="4" s="1"/>
  <c r="Q55" i="23"/>
  <c r="U55" i="23"/>
  <c r="T55" i="23"/>
  <c r="R55" i="23"/>
  <c r="S55" i="23"/>
  <c r="V55" i="23"/>
  <c r="P55" i="23"/>
  <c r="S55" i="1"/>
  <c r="U55" i="1"/>
  <c r="R55" i="1"/>
  <c r="T55" i="1"/>
  <c r="P55" i="1"/>
  <c r="Q55" i="1"/>
  <c r="V55" i="1"/>
  <c r="D63" i="4"/>
  <c r="D64" i="4" s="1"/>
  <c r="B63" i="4"/>
  <c r="B64" i="4" s="1"/>
  <c r="O63" i="4"/>
  <c r="O64" i="4" s="1"/>
  <c r="G56" i="4"/>
  <c r="G75" i="4" s="1"/>
  <c r="H57" i="4"/>
  <c r="H58" i="4" s="1"/>
  <c r="H76" i="4" s="1"/>
  <c r="H63" i="4"/>
  <c r="H64" i="4" s="1"/>
  <c r="P63" i="4"/>
  <c r="P64" i="4" s="1"/>
  <c r="G63" i="4"/>
  <c r="G64" i="4" s="1"/>
  <c r="E63" i="4"/>
  <c r="E64" i="4" s="1"/>
  <c r="Q63" i="4"/>
  <c r="Q64" i="4" s="1"/>
  <c r="V27" i="23"/>
  <c r="V52" i="23" s="1"/>
  <c r="I56" i="4"/>
  <c r="I75" i="4" s="1"/>
  <c r="U45" i="1"/>
  <c r="V22" i="1"/>
  <c r="V22" i="23"/>
  <c r="V27" i="1"/>
  <c r="V52" i="1" s="1"/>
  <c r="G57" i="4"/>
  <c r="G58" i="4" s="1"/>
  <c r="G76" i="4" s="1"/>
  <c r="F57" i="4"/>
  <c r="F58" i="4" s="1"/>
  <c r="F76" i="4" s="1"/>
  <c r="B56" i="4"/>
  <c r="E79" i="4"/>
  <c r="G79" i="4"/>
  <c r="I79" i="4"/>
  <c r="H79" i="4"/>
  <c r="F79" i="4"/>
  <c r="E57" i="4"/>
  <c r="E58" i="4" s="1"/>
  <c r="E76" i="4" s="1"/>
  <c r="E56" i="4"/>
  <c r="E75" i="4" s="1"/>
  <c r="F56" i="4"/>
  <c r="F75" i="4" s="1"/>
  <c r="P57" i="4"/>
  <c r="P58" i="4" s="1"/>
  <c r="P76" i="4" s="1"/>
  <c r="R56" i="4"/>
  <c r="R75" i="4" s="1"/>
  <c r="D56" i="4"/>
  <c r="D75" i="4" s="1"/>
  <c r="B57" i="4"/>
  <c r="B58" i="4" s="1"/>
  <c r="B76" i="4" s="1"/>
  <c r="V45" i="33"/>
  <c r="V27" i="33"/>
  <c r="V52" i="33" s="1"/>
  <c r="V22" i="33"/>
  <c r="D57" i="4"/>
  <c r="D58" i="4" s="1"/>
  <c r="D76" i="4" s="1"/>
  <c r="O57" i="4"/>
  <c r="O58" i="4" s="1"/>
  <c r="O76" i="4" s="1"/>
  <c r="C57" i="4"/>
  <c r="C58" i="4" s="1"/>
  <c r="C76" i="4" s="1"/>
  <c r="Q56" i="4"/>
  <c r="Q75" i="4" s="1"/>
  <c r="O56" i="4"/>
  <c r="O75" i="4" s="1"/>
  <c r="T77" i="4" s="1"/>
  <c r="C56" i="4"/>
  <c r="C75" i="4" s="1"/>
  <c r="V74" i="4"/>
  <c r="P56" i="4"/>
  <c r="R57" i="4"/>
  <c r="R58" i="4" s="1"/>
  <c r="R76" i="4" s="1"/>
  <c r="Q57" i="4"/>
  <c r="Q58" i="4" s="1"/>
  <c r="Q76" i="4" s="1"/>
  <c r="Q79" i="4"/>
  <c r="P79" i="4"/>
  <c r="R79" i="4"/>
  <c r="U4" i="4"/>
  <c r="U27" i="1"/>
  <c r="U52" i="1" s="1"/>
  <c r="C79" i="4"/>
  <c r="D79" i="4"/>
  <c r="L55" i="23"/>
  <c r="D55" i="23"/>
  <c r="H55" i="23"/>
  <c r="K55" i="23"/>
  <c r="J55" i="23"/>
  <c r="M55" i="23"/>
  <c r="G55" i="23"/>
  <c r="E55" i="23"/>
  <c r="I55" i="23"/>
  <c r="R59" i="23"/>
  <c r="R60" i="23" s="1"/>
  <c r="O79" i="4"/>
  <c r="B79" i="4"/>
  <c r="L59" i="23"/>
  <c r="L60" i="23" s="1"/>
  <c r="F59" i="23"/>
  <c r="F60" i="23" s="1"/>
  <c r="Q59" i="23"/>
  <c r="Q60" i="23" s="1"/>
  <c r="V59" i="23"/>
  <c r="V60" i="23" s="1"/>
  <c r="P59" i="23"/>
  <c r="P60" i="23" s="1"/>
  <c r="T59" i="23"/>
  <c r="T60" i="23" s="1"/>
  <c r="U59" i="23"/>
  <c r="U60" i="23" s="1"/>
  <c r="S59" i="23"/>
  <c r="S60" i="23" s="1"/>
  <c r="R45" i="23"/>
  <c r="S4" i="4"/>
  <c r="S62" i="4" s="1"/>
  <c r="S45" i="1"/>
  <c r="S27" i="1"/>
  <c r="S52" i="1" s="1"/>
  <c r="S22" i="1"/>
  <c r="U27" i="23"/>
  <c r="U52" i="23" s="1"/>
  <c r="U45" i="23"/>
  <c r="S45" i="23"/>
  <c r="S27" i="23"/>
  <c r="S52" i="23" s="1"/>
  <c r="S22" i="23"/>
  <c r="R45" i="1"/>
  <c r="R4" i="4"/>
  <c r="R62" i="4" s="1"/>
  <c r="R27" i="1"/>
  <c r="R52" i="1" s="1"/>
  <c r="R27" i="23"/>
  <c r="R52" i="23" s="1"/>
  <c r="C59" i="23"/>
  <c r="C60" i="23" s="1"/>
  <c r="E59" i="23"/>
  <c r="E60" i="23" s="1"/>
  <c r="J59" i="23"/>
  <c r="J60" i="23" s="1"/>
  <c r="K59" i="23"/>
  <c r="K60" i="23" s="1"/>
  <c r="D59" i="23"/>
  <c r="D60" i="23" s="1"/>
  <c r="I59" i="23"/>
  <c r="I60" i="23" s="1"/>
  <c r="O59" i="23"/>
  <c r="O60" i="23" s="1"/>
  <c r="G59" i="23"/>
  <c r="G60" i="23" s="1"/>
  <c r="H59" i="23"/>
  <c r="H60" i="23" s="1"/>
  <c r="M59" i="23"/>
  <c r="M60" i="23" s="1"/>
  <c r="C55" i="1"/>
  <c r="H55" i="1"/>
  <c r="F55" i="1"/>
  <c r="I55" i="1"/>
  <c r="L55" i="1"/>
  <c r="J55" i="1"/>
  <c r="D55" i="1"/>
  <c r="K55" i="1"/>
  <c r="E55" i="1"/>
  <c r="O59" i="1"/>
  <c r="O60" i="1" s="1"/>
  <c r="J59" i="1"/>
  <c r="J60" i="1" s="1"/>
  <c r="F59" i="1"/>
  <c r="F60" i="1" s="1"/>
  <c r="M59" i="1"/>
  <c r="M60" i="1" s="1"/>
  <c r="I59" i="1"/>
  <c r="I60" i="1" s="1"/>
  <c r="E59" i="1"/>
  <c r="E60" i="1" s="1"/>
  <c r="L59" i="1"/>
  <c r="L60" i="1" s="1"/>
  <c r="H59" i="1"/>
  <c r="H60" i="1" s="1"/>
  <c r="D59" i="1"/>
  <c r="D60" i="1" s="1"/>
  <c r="K59" i="1"/>
  <c r="K60" i="1" s="1"/>
  <c r="C59" i="1"/>
  <c r="C60" i="1" s="1"/>
  <c r="G59" i="1"/>
  <c r="G60" i="1" s="1"/>
  <c r="M55" i="1"/>
  <c r="T59" i="1"/>
  <c r="T60" i="1" s="1"/>
  <c r="P59" i="1"/>
  <c r="P60" i="1" s="1"/>
  <c r="S59" i="1"/>
  <c r="S60" i="1" s="1"/>
  <c r="V59" i="1"/>
  <c r="V60" i="1" s="1"/>
  <c r="R59" i="1"/>
  <c r="R60" i="1" s="1"/>
  <c r="U59" i="1"/>
  <c r="U60" i="1" s="1"/>
  <c r="Q59" i="1"/>
  <c r="Q60" i="1" s="1"/>
  <c r="B55" i="1"/>
  <c r="T27" i="23"/>
  <c r="T52" i="23" s="1"/>
  <c r="T45" i="23"/>
  <c r="T22" i="23"/>
  <c r="T27" i="1"/>
  <c r="T52" i="1" s="1"/>
  <c r="T45" i="1"/>
  <c r="T4" i="4"/>
  <c r="T62" i="4" s="1"/>
  <c r="T22" i="1"/>
  <c r="V62" i="4" l="1"/>
  <c r="P75" i="4"/>
  <c r="P77" i="4" s="1"/>
  <c r="O81" i="4"/>
  <c r="U74" i="4"/>
  <c r="U62" i="4"/>
  <c r="R61" i="23"/>
  <c r="U55" i="4"/>
  <c r="V77" i="4"/>
  <c r="U77" i="4"/>
  <c r="O77" i="4"/>
  <c r="S77" i="4"/>
  <c r="Q77" i="4"/>
  <c r="R77" i="4"/>
  <c r="P81" i="4"/>
  <c r="P82" i="4" s="1"/>
  <c r="Q81" i="4"/>
  <c r="B75" i="4"/>
  <c r="M61" i="23"/>
  <c r="I61" i="23"/>
  <c r="E61" i="23"/>
  <c r="D61" i="23"/>
  <c r="C61" i="23"/>
  <c r="Q61" i="23"/>
  <c r="U61" i="23"/>
  <c r="P61" i="23"/>
  <c r="F61" i="23"/>
  <c r="H61" i="23"/>
  <c r="K61" i="23"/>
  <c r="G61" i="23"/>
  <c r="J61" i="23"/>
  <c r="S61" i="23"/>
  <c r="T61" i="23"/>
  <c r="V61" i="23"/>
  <c r="L61" i="23"/>
  <c r="D61" i="1"/>
  <c r="U61" i="1"/>
  <c r="S61" i="1"/>
  <c r="G61" i="1"/>
  <c r="M61" i="1"/>
  <c r="L61" i="1"/>
  <c r="T61" i="1"/>
  <c r="E61" i="1"/>
  <c r="F61" i="1"/>
  <c r="K61" i="1"/>
  <c r="I61" i="1"/>
  <c r="J61" i="1"/>
  <c r="V61" i="1"/>
  <c r="H61" i="1"/>
  <c r="S55" i="4"/>
  <c r="S74" i="4"/>
  <c r="R55" i="4"/>
  <c r="R74" i="4"/>
  <c r="O61" i="1"/>
  <c r="Q61" i="1"/>
  <c r="P61" i="1"/>
  <c r="C61" i="1"/>
  <c r="R61" i="1"/>
  <c r="T55" i="4"/>
  <c r="T74" i="4"/>
  <c r="O82" i="4"/>
  <c r="Q82" i="4"/>
  <c r="K77" i="4" l="1"/>
  <c r="J77" i="4"/>
  <c r="G77" i="4"/>
  <c r="F77" i="4"/>
  <c r="L77" i="4"/>
  <c r="B77" i="4"/>
  <c r="M77" i="4"/>
  <c r="I77" i="4"/>
  <c r="H77" i="4"/>
  <c r="D77" i="4"/>
  <c r="C77" i="4"/>
  <c r="E77" i="4"/>
  <c r="P83" i="4"/>
  <c r="Q83" i="4"/>
  <c r="O83" i="4"/>
  <c r="O61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A68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A modifier si erreur dans le doc word - peut etre c'est Testo le témoin de référence</t>
        </r>
      </text>
    </comment>
    <comment ref="A69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A modifier si erreur dans le doc word - peut etre c'est Testo le témoin de référence</t>
        </r>
      </text>
    </comment>
  </commentList>
</comments>
</file>

<file path=xl/sharedStrings.xml><?xml version="1.0" encoding="utf-8"?>
<sst xmlns="http://schemas.openxmlformats.org/spreadsheetml/2006/main" count="248" uniqueCount="58">
  <si>
    <t>mean</t>
  </si>
  <si>
    <t>SD</t>
  </si>
  <si>
    <t>SEM</t>
  </si>
  <si>
    <t>Rep1</t>
  </si>
  <si>
    <t>Rep2</t>
  </si>
  <si>
    <t>R1</t>
  </si>
  <si>
    <t>R2</t>
  </si>
  <si>
    <t>Concentration</t>
  </si>
  <si>
    <t xml:space="preserve">Testo </t>
  </si>
  <si>
    <t>R3</t>
  </si>
  <si>
    <t>Mean</t>
  </si>
  <si>
    <t>Noms des groupes</t>
  </si>
  <si>
    <t>Nom des groupes</t>
  </si>
  <si>
    <t xml:space="preserve"> + Testostérone</t>
  </si>
  <si>
    <t>% induction</t>
  </si>
  <si>
    <t>Annotation</t>
  </si>
  <si>
    <t>Rep3</t>
  </si>
  <si>
    <t>ng/L</t>
  </si>
  <si>
    <t>EE2</t>
  </si>
  <si>
    <t>µg/L</t>
  </si>
  <si>
    <t xml:space="preserve">Testo 30µg/L + EE2 </t>
  </si>
  <si>
    <t>mg/L</t>
  </si>
  <si>
    <t>Testo 30µg/L + FAD</t>
  </si>
  <si>
    <t>Date performed :</t>
  </si>
  <si>
    <t>Experiment number :</t>
  </si>
  <si>
    <t>Do not fill in</t>
  </si>
  <si>
    <t>Do not fill in2</t>
  </si>
  <si>
    <t>Units</t>
  </si>
  <si>
    <t>Chemical name</t>
  </si>
  <si>
    <t>Do not fill in3</t>
  </si>
  <si>
    <t>test chemical</t>
  </si>
  <si>
    <t>Solvent control</t>
  </si>
  <si>
    <t>33.8</t>
  </si>
  <si>
    <t>50.6</t>
  </si>
  <si>
    <t>170.9</t>
  </si>
  <si>
    <t>Raw data</t>
  </si>
  <si>
    <t>Data normalised to the "Testo" group</t>
  </si>
  <si>
    <t>Group names</t>
  </si>
  <si>
    <t>Normality test : p value</t>
  </si>
  <si>
    <t>Normality test : normal distibution?</t>
  </si>
  <si>
    <t>Statistical test used</t>
  </si>
  <si>
    <t>Statistical test : p value</t>
  </si>
  <si>
    <t>Unspiked</t>
  </si>
  <si>
    <t>Testosterone spiked</t>
  </si>
  <si>
    <t>N</t>
  </si>
  <si>
    <t>Group Name</t>
  </si>
  <si>
    <t>Control</t>
  </si>
  <si>
    <t>Estrone</t>
  </si>
  <si>
    <t>6 deads in the Estrone 25 mg/L well, the 2 remaining embryos was close to death. And not light up at all</t>
  </si>
  <si>
    <t xml:space="preserve">R2 : Start of the exposure : 10.02, start of reading 12h until 15h </t>
  </si>
  <si>
    <t xml:space="preserve">R1 Start of the exposure: 15h45 (09.02.2022) start of reading : 15h30 (10.02.2022) (end of the reading 18h30) </t>
  </si>
  <si>
    <t xml:space="preserve">In the embryos used for R1 did not looked nice : 1/3 hatched correctly, 1/3 hatched with a curved spine, 1/3 didnt hatched at jpf7  </t>
  </si>
  <si>
    <t>In the group Testo + Fadrozole : only 7 pictures because a technical problem when the picture was saved (half of the picture is gray). We can get rid of the value or do another analysis with a croped picture?</t>
  </si>
  <si>
    <t>ns</t>
  </si>
  <si>
    <t>&gt;0,99</t>
  </si>
  <si>
    <t>***</t>
  </si>
  <si>
    <t>&lt;0,001</t>
  </si>
  <si>
    <t>Kruskal-WalliS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</si>
</sst>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name val="Arial"/>
      <family val="2"/>
    </font>
    <font>
      <sz val="16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3"/>
      <name val="Calibri"/>
      <family val="2"/>
      <scheme val="minor"/>
    </font>
    <font>
      <sz val="1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4" fillId="0" borderId="0"/>
    <xf numFmtId="0" fontId="8" fillId="0" borderId="0"/>
    <xf numFmtId="0" fontId="4" fillId="0" borderId="0"/>
    <xf numFmtId="0" fontId="8" fillId="0" borderId="0"/>
    <xf numFmtId="0" fontId="4" fillId="0" borderId="0"/>
    <xf numFmtId="0" fontId="8" fillId="0" borderId="0"/>
  </cellStyleXfs>
  <cellXfs count="154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5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8" borderId="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1" fillId="4" borderId="3" xfId="0" applyFont="1" applyFill="1" applyBorder="1" applyAlignment="1">
      <alignment horizontal="center"/>
    </xf>
    <xf numFmtId="0" fontId="3" fillId="0" borderId="15" xfId="0" applyFont="1" applyBorder="1" applyAlignment="1">
      <alignment vertical="center"/>
    </xf>
    <xf numFmtId="0" fontId="0" fillId="0" borderId="0" xfId="0" applyFont="1"/>
    <xf numFmtId="0" fontId="3" fillId="0" borderId="9" xfId="0" applyNumberFormat="1" applyFont="1" applyBorder="1" applyAlignment="1">
      <alignment vertical="center"/>
    </xf>
    <xf numFmtId="0" fontId="0" fillId="0" borderId="0" xfId="0" applyNumberFormat="1"/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23" xfId="0" applyFill="1" applyBorder="1"/>
    <xf numFmtId="0" fontId="0" fillId="0" borderId="0" xfId="0" applyAlignment="1">
      <alignment vertical="center"/>
    </xf>
    <xf numFmtId="164" fontId="7" fillId="11" borderId="7" xfId="0" applyNumberFormat="1" applyFont="1" applyFill="1" applyBorder="1" applyAlignment="1">
      <alignment horizontal="left" vertical="center"/>
    </xf>
    <xf numFmtId="164" fontId="7" fillId="11" borderId="6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3" fillId="13" borderId="26" xfId="0" applyFont="1" applyFill="1" applyBorder="1" applyAlignment="1">
      <alignment vertical="center"/>
    </xf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0" fillId="0" borderId="6" xfId="0" applyBorder="1"/>
    <xf numFmtId="49" fontId="0" fillId="0" borderId="0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0" borderId="0" xfId="0" applyFill="1"/>
    <xf numFmtId="164" fontId="0" fillId="6" borderId="10" xfId="0" applyNumberFormat="1" applyFill="1" applyBorder="1" applyAlignment="1">
      <alignment horizontal="center"/>
    </xf>
    <xf numFmtId="164" fontId="0" fillId="6" borderId="18" xfId="0" applyNumberFormat="1" applyFill="1" applyBorder="1" applyAlignment="1">
      <alignment horizontal="center"/>
    </xf>
    <xf numFmtId="0" fontId="3" fillId="7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9" borderId="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13" borderId="3" xfId="0" applyFont="1" applyFill="1" applyBorder="1" applyAlignment="1">
      <alignment vertical="center"/>
    </xf>
    <xf numFmtId="2" fontId="3" fillId="7" borderId="2" xfId="0" applyNumberFormat="1" applyFont="1" applyFill="1" applyBorder="1" applyAlignment="1">
      <alignment horizontal="center" vertical="center" wrapText="1"/>
    </xf>
    <xf numFmtId="2" fontId="3" fillId="7" borderId="21" xfId="0" applyNumberFormat="1" applyFont="1" applyFill="1" applyBorder="1" applyAlignment="1">
      <alignment horizontal="center" vertical="center" wrapText="1"/>
    </xf>
    <xf numFmtId="0" fontId="3" fillId="0" borderId="25" xfId="0" applyFont="1" applyBorder="1" applyAlignment="1">
      <alignment vertical="center"/>
    </xf>
    <xf numFmtId="0" fontId="3" fillId="13" borderId="13" xfId="0" applyFont="1" applyFill="1" applyBorder="1" applyAlignment="1">
      <alignment vertical="center"/>
    </xf>
    <xf numFmtId="0" fontId="3" fillId="13" borderId="15" xfId="0" applyFont="1" applyFill="1" applyBorder="1" applyAlignment="1">
      <alignment vertical="center"/>
    </xf>
    <xf numFmtId="0" fontId="3" fillId="13" borderId="4" xfId="0" applyFont="1" applyFill="1" applyBorder="1" applyAlignment="1">
      <alignment vertical="center"/>
    </xf>
    <xf numFmtId="0" fontId="3" fillId="0" borderId="1" xfId="0" applyNumberFormat="1" applyFont="1" applyBorder="1" applyAlignment="1">
      <alignment horizontal="center" vertical="center"/>
    </xf>
    <xf numFmtId="0" fontId="3" fillId="13" borderId="9" xfId="0" applyNumberFormat="1" applyFont="1" applyFill="1" applyBorder="1" applyAlignment="1">
      <alignment horizontal="center" vertical="center"/>
    </xf>
    <xf numFmtId="0" fontId="3" fillId="13" borderId="1" xfId="0" applyNumberFormat="1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13" borderId="23" xfId="0" applyFont="1" applyFill="1" applyBorder="1" applyAlignment="1">
      <alignment vertical="center"/>
    </xf>
    <xf numFmtId="0" fontId="3" fillId="13" borderId="0" xfId="0" applyFont="1" applyFill="1" applyBorder="1" applyAlignment="1">
      <alignment vertical="center"/>
    </xf>
    <xf numFmtId="0" fontId="3" fillId="0" borderId="3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3" fillId="13" borderId="26" xfId="0" applyNumberFormat="1" applyFont="1" applyFill="1" applyBorder="1" applyAlignment="1">
      <alignment horizontal="center" vertical="center"/>
    </xf>
    <xf numFmtId="0" fontId="3" fillId="13" borderId="3" xfId="0" applyNumberFormat="1" applyFon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164" fontId="0" fillId="6" borderId="0" xfId="0" applyNumberFormat="1" applyFill="1" applyBorder="1" applyAlignment="1">
      <alignment horizontal="center"/>
    </xf>
    <xf numFmtId="164" fontId="0" fillId="6" borderId="15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14" borderId="3" xfId="0" applyFont="1" applyFill="1" applyBorder="1" applyAlignment="1">
      <alignment horizontal="center"/>
    </xf>
    <xf numFmtId="164" fontId="0" fillId="14" borderId="1" xfId="0" applyNumberForma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0" fillId="0" borderId="0" xfId="0" applyAlignment="1"/>
    <xf numFmtId="0" fontId="3" fillId="0" borderId="3" xfId="0" applyNumberFormat="1" applyFont="1" applyFill="1" applyBorder="1" applyAlignment="1">
      <alignment vertical="center"/>
    </xf>
    <xf numFmtId="2" fontId="3" fillId="0" borderId="15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2" fontId="3" fillId="0" borderId="3" xfId="0" applyNumberFormat="1" applyFont="1" applyFill="1" applyBorder="1" applyAlignment="1">
      <alignment horizontal="center" vertical="center"/>
    </xf>
    <xf numFmtId="0" fontId="3" fillId="0" borderId="0" xfId="0" applyFont="1" applyFill="1"/>
    <xf numFmtId="0" fontId="3" fillId="0" borderId="21" xfId="0" applyFont="1" applyBorder="1" applyAlignment="1">
      <alignment vertical="center"/>
    </xf>
    <xf numFmtId="0" fontId="3" fillId="0" borderId="22" xfId="0" applyNumberFormat="1" applyFont="1" applyBorder="1" applyAlignment="1">
      <alignment horizontal="center" vertical="center"/>
    </xf>
    <xf numFmtId="0" fontId="3" fillId="13" borderId="31" xfId="0" applyNumberFormat="1" applyFont="1" applyFill="1" applyBorder="1" applyAlignment="1">
      <alignment vertical="center"/>
    </xf>
    <xf numFmtId="0" fontId="3" fillId="13" borderId="29" xfId="0" applyFont="1" applyFill="1" applyBorder="1" applyAlignment="1">
      <alignment vertical="center"/>
    </xf>
    <xf numFmtId="0" fontId="3" fillId="13" borderId="32" xfId="0" applyNumberFormat="1" applyFont="1" applyFill="1" applyBorder="1" applyAlignment="1">
      <alignment vertical="center"/>
    </xf>
    <xf numFmtId="0" fontId="3" fillId="13" borderId="24" xfId="0" applyFont="1" applyFill="1" applyBorder="1" applyAlignment="1">
      <alignment vertical="center"/>
    </xf>
    <xf numFmtId="0" fontId="3" fillId="13" borderId="33" xfId="0" applyNumberFormat="1" applyFont="1" applyFill="1" applyBorder="1" applyAlignment="1">
      <alignment vertical="center"/>
    </xf>
    <xf numFmtId="0" fontId="3" fillId="13" borderId="34" xfId="0" applyFont="1" applyFill="1" applyBorder="1" applyAlignment="1">
      <alignment vertical="center"/>
    </xf>
    <xf numFmtId="0" fontId="3" fillId="13" borderId="11" xfId="0" applyNumberFormat="1" applyFont="1" applyFill="1" applyBorder="1" applyAlignment="1">
      <alignment horizontal="center" vertical="center"/>
    </xf>
    <xf numFmtId="0" fontId="3" fillId="13" borderId="35" xfId="0" applyNumberFormat="1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3" borderId="30" xfId="0" applyFont="1" applyFill="1" applyBorder="1" applyAlignment="1">
      <alignment vertical="center"/>
    </xf>
    <xf numFmtId="0" fontId="3" fillId="8" borderId="8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18" xfId="0" applyFont="1" applyFill="1" applyBorder="1" applyAlignment="1">
      <alignment horizontal="center"/>
    </xf>
    <xf numFmtId="0" fontId="3" fillId="13" borderId="39" xfId="0" applyNumberFormat="1" applyFont="1" applyFill="1" applyBorder="1" applyAlignment="1">
      <alignment vertical="center"/>
    </xf>
    <xf numFmtId="0" fontId="3" fillId="13" borderId="25" xfId="0" applyNumberFormat="1" applyFont="1" applyFill="1" applyBorder="1" applyAlignment="1">
      <alignment vertical="center"/>
    </xf>
    <xf numFmtId="0" fontId="3" fillId="13" borderId="1" xfId="0" applyNumberFormat="1" applyFont="1" applyFill="1" applyBorder="1" applyAlignment="1">
      <alignment vertical="center"/>
    </xf>
    <xf numFmtId="0" fontId="10" fillId="8" borderId="12" xfId="0" applyFont="1" applyFill="1" applyBorder="1" applyAlignment="1">
      <alignment horizontal="left"/>
    </xf>
    <xf numFmtId="0" fontId="3" fillId="0" borderId="15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7" fillId="12" borderId="7" xfId="0" applyFont="1" applyFill="1" applyBorder="1" applyAlignment="1">
      <alignment horizontal="center" vertical="center" wrapText="1"/>
    </xf>
    <xf numFmtId="0" fontId="7" fillId="12" borderId="6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14" fontId="3" fillId="0" borderId="9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5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3" fillId="0" borderId="38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7" fillId="11" borderId="7" xfId="0" applyFont="1" applyFill="1" applyBorder="1" applyAlignment="1">
      <alignment horizontal="left"/>
    </xf>
    <xf numFmtId="0" fontId="7" fillId="11" borderId="6" xfId="0" applyFont="1" applyFill="1" applyBorder="1" applyAlignment="1">
      <alignment horizontal="left"/>
    </xf>
    <xf numFmtId="164" fontId="7" fillId="11" borderId="7" xfId="0" applyNumberFormat="1" applyFont="1" applyFill="1" applyBorder="1" applyAlignment="1">
      <alignment horizontal="left"/>
    </xf>
    <xf numFmtId="164" fontId="7" fillId="11" borderId="6" xfId="0" applyNumberFormat="1" applyFont="1" applyFill="1" applyBorder="1" applyAlignment="1">
      <alignment horizontal="left"/>
    </xf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164" fontId="7" fillId="11" borderId="7" xfId="0" applyNumberFormat="1" applyFont="1" applyFill="1" applyBorder="1" applyAlignment="1">
      <alignment horizontal="left" vertical="center"/>
    </xf>
    <xf numFmtId="164" fontId="7" fillId="11" borderId="6" xfId="0" applyNumberFormat="1" applyFont="1" applyFill="1" applyBorder="1" applyAlignment="1">
      <alignment horizontal="left" vertical="center"/>
    </xf>
  </cellXfs>
  <cellStyles count="7">
    <cellStyle name="Normal" xfId="0" builtinId="0"/>
    <cellStyle name="Normal 2" xfId="1" xr:uid="{00000000-0005-0000-0000-000001000000}"/>
    <cellStyle name="Normal 2 2" xfId="5" xr:uid="{00000000-0005-0000-0000-000002000000}"/>
    <cellStyle name="Normal 2 2 2" xfId="3" xr:uid="{00000000-0005-0000-0000-000003000000}"/>
    <cellStyle name="Normal 3" xfId="2" xr:uid="{00000000-0005-0000-0000-000004000000}"/>
    <cellStyle name="Normal 3 2" xfId="4" xr:uid="{00000000-0005-0000-0000-000005000000}"/>
    <cellStyle name="Normal 4" xfId="6" xr:uid="{00000000-0005-0000-0000-000006000000}"/>
  </cellStyles>
  <dxfs count="9"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65" formatCode="#,000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colors>
    <mruColors>
      <color rgb="FF5F5F5F"/>
      <color rgb="FFBA3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12" Type="http://schemas.openxmlformats.org/officeDocument/2006/relationships/externalLink" Target="externalLinks/externalLink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4.xml"/><Relationship Id="rId15" Type="http://schemas.openxmlformats.org/officeDocument/2006/relationships/sharedStrings" Target="sharedStrings.xml"/><Relationship Id="rId10" Type="http://schemas.openxmlformats.org/officeDocument/2006/relationships/chartsheet" Target="chartsheets/sheet4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6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61954963560215E-2"/>
          <c:y val="0.14661966108751268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R1</c:v>
          </c:tx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1-9479-4293-B6F6-2F33FB06526E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2-9479-4293-B6F6-2F33FB06526E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9479-4293-B6F6-2F33FB06526E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4-9479-4293-B6F6-2F33FB06526E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5-9479-4293-B6F6-2F33FB06526E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6-9479-4293-B6F6-2F33FB06526E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7-9479-4293-B6F6-2F33FB06526E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8-9479-4293-B6F6-2F33FB06526E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9479-4293-B6F6-2F33FB06526E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A-9479-4293-B6F6-2F33FB06526E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9479-4293-B6F6-2F33FB06526E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C-9479-4293-B6F6-2F33FB06526E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2-9479-4293-B6F6-2F33FB06526E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9479-4293-B6F6-2F33FB06526E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E-9479-4293-B6F6-2F33FB06526E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9479-4293-B6F6-2F33FB06526E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0-9479-4293-B6F6-2F33FB06526E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9479-4293-B6F6-2F33FB06526E}"/>
              </c:ext>
            </c:extLst>
          </c:dPt>
          <c:errBars>
            <c:errBarType val="plus"/>
            <c:errValType val="cust"/>
            <c:noEndCap val="0"/>
            <c:plus>
              <c:numRef>
                <c:f>'R1'!$B$54:$V$54</c:f>
                <c:numCache>
                  <c:formatCode>General</c:formatCode>
                  <c:ptCount val="21"/>
                  <c:pt idx="0">
                    <c:v>2.5841618266615345E-2</c:v>
                  </c:pt>
                  <c:pt idx="1">
                    <c:v>2.4585078654937413E-2</c:v>
                  </c:pt>
                  <c:pt idx="2">
                    <c:v>3.7610202293209279E-2</c:v>
                  </c:pt>
                  <c:pt idx="3">
                    <c:v>5.0492428843144782E-2</c:v>
                  </c:pt>
                  <c:pt idx="4">
                    <c:v>0.24171416358523337</c:v>
                  </c:pt>
                  <c:pt idx="5">
                    <c:v>0.23124473321012268</c:v>
                  </c:pt>
                  <c:pt idx="6">
                    <c:v>0.405037446754412</c:v>
                  </c:pt>
                  <c:pt idx="7">
                    <c:v>2.6126887091996995E-2</c:v>
                  </c:pt>
                  <c:pt idx="8">
                    <c:v>1.2348996447881419E-2</c:v>
                  </c:pt>
                  <c:pt idx="9">
                    <c:v>9.3920401166917078E-2</c:v>
                  </c:pt>
                  <c:pt idx="10">
                    <c:v>0.29201120813032544</c:v>
                  </c:pt>
                  <c:pt idx="11">
                    <c:v>0.52431110301349404</c:v>
                  </c:pt>
                  <c:pt idx="13">
                    <c:v>0.16272618615136786</c:v>
                  </c:pt>
                  <c:pt idx="14">
                    <c:v>0.34695198118360093</c:v>
                  </c:pt>
                  <c:pt idx="15">
                    <c:v>0.47829312028835091</c:v>
                  </c:pt>
                  <c:pt idx="16">
                    <c:v>0.27772484227466859</c:v>
                  </c:pt>
                  <c:pt idx="17">
                    <c:v>0.31571372008109166</c:v>
                  </c:pt>
                  <c:pt idx="18">
                    <c:v>0.29948817746451806</c:v>
                  </c:pt>
                  <c:pt idx="19">
                    <c:v>0.52995735981915548</c:v>
                  </c:pt>
                  <c:pt idx="20">
                    <c:v>0.30628121663783042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'R1'!$B$52:$V$52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Estrone-0.04µg/L</c:v>
                </c:pt>
                <c:pt idx="8">
                  <c:v>Estrone-0.2µg/L</c:v>
                </c:pt>
                <c:pt idx="9">
                  <c:v>Estrone-1µg/L</c:v>
                </c:pt>
                <c:pt idx="10">
                  <c:v>Estrone-5µg/L</c:v>
                </c:pt>
                <c:pt idx="11">
                  <c:v>Estrone-25µg/L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Estrone-0.04µg/L + Testostérone</c:v>
                </c:pt>
                <c:pt idx="17">
                  <c:v>Estrone-0.2µg/L + Testostérone</c:v>
                </c:pt>
                <c:pt idx="18">
                  <c:v>Estrone-1µg/L + Testostérone</c:v>
                </c:pt>
                <c:pt idx="19">
                  <c:v>Estrone-5µg/L + Testostérone</c:v>
                </c:pt>
                <c:pt idx="20">
                  <c:v>Estrone-25µg/L + Testostérone</c:v>
                </c:pt>
              </c:strCache>
            </c:strRef>
          </c:cat>
          <c:val>
            <c:numRef>
              <c:f>'R1'!$B$53:$V$53</c:f>
              <c:numCache>
                <c:formatCode>0.0000</c:formatCode>
                <c:ptCount val="21"/>
                <c:pt idx="0">
                  <c:v>8.2904227639858677E-2</c:v>
                </c:pt>
                <c:pt idx="1">
                  <c:v>6.8873783265240462E-2</c:v>
                </c:pt>
                <c:pt idx="2">
                  <c:v>0.14804831511167643</c:v>
                </c:pt>
                <c:pt idx="3">
                  <c:v>0.32027937757544828</c:v>
                </c:pt>
                <c:pt idx="4">
                  <c:v>1.2047668944956751</c:v>
                </c:pt>
                <c:pt idx="5">
                  <c:v>1.8991571410998813</c:v>
                </c:pt>
                <c:pt idx="6">
                  <c:v>3.5280667872500469</c:v>
                </c:pt>
                <c:pt idx="7">
                  <c:v>6.7678538095897578E-2</c:v>
                </c:pt>
                <c:pt idx="8">
                  <c:v>4.1557334472399385E-2</c:v>
                </c:pt>
                <c:pt idx="9">
                  <c:v>0.20288176172489858</c:v>
                </c:pt>
                <c:pt idx="10">
                  <c:v>3.2901682068102858</c:v>
                </c:pt>
                <c:pt idx="11">
                  <c:v>4.1470136197612559</c:v>
                </c:pt>
                <c:pt idx="13">
                  <c:v>1</c:v>
                </c:pt>
                <c:pt idx="14">
                  <c:v>2.2263950906777756</c:v>
                </c:pt>
                <c:pt idx="15">
                  <c:v>0.60715130551641305</c:v>
                </c:pt>
                <c:pt idx="16">
                  <c:v>1.4057209436470752</c:v>
                </c:pt>
                <c:pt idx="17">
                  <c:v>1.7627497631076054</c:v>
                </c:pt>
                <c:pt idx="18">
                  <c:v>2.3314797704156023</c:v>
                </c:pt>
                <c:pt idx="19">
                  <c:v>3.9531534043645076</c:v>
                </c:pt>
                <c:pt idx="20">
                  <c:v>3.9488627628995605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8-433F-93CE-959A7E857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4817512"/>
        <c:axId val="324817904"/>
      </c:barChart>
      <c:catAx>
        <c:axId val="324817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324817904"/>
        <c:crosses val="autoZero"/>
        <c:auto val="1"/>
        <c:lblAlgn val="ctr"/>
        <c:lblOffset val="100"/>
        <c:noMultiLvlLbl val="0"/>
      </c:catAx>
      <c:valAx>
        <c:axId val="324817904"/>
        <c:scaling>
          <c:orientation val="minMax"/>
          <c:max val="5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324817512"/>
        <c:crosses val="autoZero"/>
        <c:crossBetween val="between"/>
        <c:majorUnit val="0.2"/>
        <c:minorUnit val="0.1"/>
      </c:valAx>
    </c:plotArea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95319521821627E-2"/>
          <c:y val="0.14871824529979213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R2</c:v>
          </c:tx>
          <c:spPr>
            <a:solidFill>
              <a:schemeClr val="accent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7-20C9-4512-B8CA-3370C5107DCA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9-20C9-4512-B8CA-3370C5107DCA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A-20C9-4512-B8CA-3370C5107DC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B-20C9-4512-B8CA-3370C5107DCA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C-20C9-4512-B8CA-3370C5107DCA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D-20C9-4512-B8CA-3370C5107DCA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E-20C9-4512-B8CA-3370C5107DCA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20C9-4512-B8CA-3370C5107DCA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0-20C9-4512-B8CA-3370C5107DCA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ED2-4ACE-91AA-7F8713196E92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1-20C9-4512-B8CA-3370C5107DCA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ED2-4ACE-91AA-7F8713196E92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5-EED2-4ACE-91AA-7F8713196E92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8-20C9-4512-B8CA-3370C5107DCA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7-EED2-4ACE-91AA-7F8713196E92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2-20C9-4512-B8CA-3370C5107DCA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3-20C9-4512-B8CA-3370C5107DCA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4-20C9-4512-B8CA-3370C5107DCA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5-20C9-4512-B8CA-3370C5107DCA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6-20C9-4512-B8CA-3370C5107DCA}"/>
              </c:ext>
            </c:extLst>
          </c:dPt>
          <c:dPt>
            <c:idx val="2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9-EED2-4ACE-91AA-7F8713196E92}"/>
              </c:ext>
            </c:extLst>
          </c:dPt>
          <c:dPt>
            <c:idx val="2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EED2-4ACE-91AA-7F8713196E92}"/>
              </c:ext>
            </c:extLst>
          </c:dPt>
          <c:dPt>
            <c:idx val="27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D-EED2-4ACE-91AA-7F8713196E92}"/>
              </c:ext>
            </c:extLst>
          </c:dPt>
          <c:dPt>
            <c:idx val="2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EED2-4ACE-91AA-7F8713196E92}"/>
              </c:ext>
            </c:extLst>
          </c:dPt>
          <c:dPt>
            <c:idx val="3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EED2-4ACE-91AA-7F8713196E92}"/>
              </c:ext>
            </c:extLst>
          </c:dPt>
          <c:dPt>
            <c:idx val="3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EED2-4ACE-91AA-7F8713196E92}"/>
              </c:ext>
            </c:extLst>
          </c:dPt>
          <c:dPt>
            <c:idx val="34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EED2-4ACE-91AA-7F8713196E92}"/>
              </c:ext>
            </c:extLst>
          </c:dPt>
          <c:errBars>
            <c:errBarType val="plus"/>
            <c:errValType val="cust"/>
            <c:noEndCap val="0"/>
            <c:plus>
              <c:numRef>
                <c:f>'R2'!$B$54:$V$54</c:f>
                <c:numCache>
                  <c:formatCode>General</c:formatCode>
                  <c:ptCount val="21"/>
                  <c:pt idx="0">
                    <c:v>3.9162069080911105E-2</c:v>
                  </c:pt>
                  <c:pt idx="1">
                    <c:v>2.6937893851464095E-2</c:v>
                  </c:pt>
                  <c:pt idx="2">
                    <c:v>0.20356826306432088</c:v>
                  </c:pt>
                  <c:pt idx="3">
                    <c:v>0.13490678718921861</c:v>
                  </c:pt>
                  <c:pt idx="4">
                    <c:v>0.30856704381979599</c:v>
                  </c:pt>
                  <c:pt idx="5">
                    <c:v>0.12598171732667021</c:v>
                  </c:pt>
                  <c:pt idx="6">
                    <c:v>0.26657803248185347</c:v>
                  </c:pt>
                  <c:pt idx="7">
                    <c:v>8.1335186161557559E-3</c:v>
                  </c:pt>
                  <c:pt idx="8">
                    <c:v>7.0075064182135932E-3</c:v>
                  </c:pt>
                  <c:pt idx="9">
                    <c:v>6.2520778206623967E-2</c:v>
                  </c:pt>
                  <c:pt idx="10">
                    <c:v>0.18162385030625522</c:v>
                  </c:pt>
                  <c:pt idx="11">
                    <c:v>0</c:v>
                  </c:pt>
                  <c:pt idx="13">
                    <c:v>0.1011866930956173</c:v>
                  </c:pt>
                  <c:pt idx="14">
                    <c:v>0.13633035740303084</c:v>
                  </c:pt>
                  <c:pt idx="15">
                    <c:v>1.7946507188814752E-2</c:v>
                  </c:pt>
                  <c:pt idx="16">
                    <c:v>8.6315394303654189E-2</c:v>
                  </c:pt>
                  <c:pt idx="17">
                    <c:v>0.17097861281352211</c:v>
                  </c:pt>
                  <c:pt idx="18">
                    <c:v>0.14108324567172073</c:v>
                  </c:pt>
                  <c:pt idx="19">
                    <c:v>0.25424862399903325</c:v>
                  </c:pt>
                  <c:pt idx="20">
                    <c:v>0.19660952998451678</c:v>
                  </c:pt>
                </c:numCache>
              </c:numRef>
            </c:plus>
            <c:minus>
              <c:numRef>
                <c:f>'R1'!$N$48:$V$48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0.16272618615136786</c:v>
                  </c:pt>
                  <c:pt idx="2">
                    <c:v>0.34695198118360093</c:v>
                  </c:pt>
                  <c:pt idx="3">
                    <c:v>0.47829312028835091</c:v>
                  </c:pt>
                  <c:pt idx="4">
                    <c:v>0.27772484227466859</c:v>
                  </c:pt>
                  <c:pt idx="5">
                    <c:v>0.31571372008109166</c:v>
                  </c:pt>
                  <c:pt idx="6">
                    <c:v>0.29948817746451806</c:v>
                  </c:pt>
                  <c:pt idx="7">
                    <c:v>0.52995735981915548</c:v>
                  </c:pt>
                  <c:pt idx="8">
                    <c:v>0.30628121663783042</c:v>
                  </c:pt>
                </c:numCache>
              </c:numRef>
            </c:minus>
          </c:errBars>
          <c:cat>
            <c:strRef>
              <c:f>'R2'!$B$52:$V$52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Estrone-0.04µg/L</c:v>
                </c:pt>
                <c:pt idx="8">
                  <c:v>Estrone-0.2µg/L</c:v>
                </c:pt>
                <c:pt idx="9">
                  <c:v>Estrone-1µg/L</c:v>
                </c:pt>
                <c:pt idx="10">
                  <c:v>Estrone-5µg/L</c:v>
                </c:pt>
                <c:pt idx="11">
                  <c:v>Estrone-25µg/L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Estrone-0.04µg/L + Testostérone</c:v>
                </c:pt>
                <c:pt idx="17">
                  <c:v>Estrone-0.2µg/L + Testostérone</c:v>
                </c:pt>
                <c:pt idx="18">
                  <c:v>Estrone-1µg/L + Testostérone</c:v>
                </c:pt>
                <c:pt idx="19">
                  <c:v>Estrone-5µg/L + Testostérone</c:v>
                </c:pt>
                <c:pt idx="20">
                  <c:v>Estrone-25µg/L + Testostérone</c:v>
                </c:pt>
              </c:strCache>
            </c:strRef>
          </c:cat>
          <c:val>
            <c:numRef>
              <c:f>'R2'!$B$53:$V$53</c:f>
              <c:numCache>
                <c:formatCode>0.0000</c:formatCode>
                <c:ptCount val="21"/>
                <c:pt idx="0">
                  <c:v>0.10959804421127374</c:v>
                </c:pt>
                <c:pt idx="1">
                  <c:v>6.9037281762711608E-2</c:v>
                </c:pt>
                <c:pt idx="2">
                  <c:v>0.29463011642387926</c:v>
                </c:pt>
                <c:pt idx="3">
                  <c:v>0.50854877606844517</c:v>
                </c:pt>
                <c:pt idx="4">
                  <c:v>1.1867649834350287</c:v>
                </c:pt>
                <c:pt idx="5">
                  <c:v>1.3108876286061695</c:v>
                </c:pt>
                <c:pt idx="6">
                  <c:v>2.2756884350562987</c:v>
                </c:pt>
                <c:pt idx="7">
                  <c:v>2.806141088302978E-2</c:v>
                </c:pt>
                <c:pt idx="8">
                  <c:v>3.0945279489052034E-2</c:v>
                </c:pt>
                <c:pt idx="9">
                  <c:v>0.24710551730354272</c:v>
                </c:pt>
                <c:pt idx="10">
                  <c:v>2.1860331078682234</c:v>
                </c:pt>
                <c:pt idx="11">
                  <c:v>0</c:v>
                </c:pt>
                <c:pt idx="13">
                  <c:v>1</c:v>
                </c:pt>
                <c:pt idx="14">
                  <c:v>2.2533329531637163</c:v>
                </c:pt>
                <c:pt idx="15">
                  <c:v>6.4837891383087737E-2</c:v>
                </c:pt>
                <c:pt idx="16">
                  <c:v>1.0273768848288409</c:v>
                </c:pt>
                <c:pt idx="17">
                  <c:v>1.1453492440449802</c:v>
                </c:pt>
                <c:pt idx="18">
                  <c:v>1.3369675709184958</c:v>
                </c:pt>
                <c:pt idx="19">
                  <c:v>2.2342971614206326</c:v>
                </c:pt>
                <c:pt idx="20">
                  <c:v>2.3003459052972954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ED2-4ACE-91AA-7F8713196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4818296"/>
        <c:axId val="324818688"/>
      </c:barChart>
      <c:catAx>
        <c:axId val="324818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324818688"/>
        <c:crosses val="autoZero"/>
        <c:auto val="1"/>
        <c:lblAlgn val="ctr"/>
        <c:lblOffset val="100"/>
        <c:noMultiLvlLbl val="0"/>
      </c:catAx>
      <c:valAx>
        <c:axId val="324818688"/>
        <c:scaling>
          <c:orientation val="minMax"/>
          <c:max val="2.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324818296"/>
        <c:crosses val="autoZero"/>
        <c:crossBetween val="between"/>
        <c:majorUnit val="0.2"/>
      </c:valAx>
    </c:plotArea>
    <c:plotVisOnly val="1"/>
    <c:dispBlanksAs val="gap"/>
    <c:showDLblsOverMax val="0"/>
  </c:chart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95319521821627E-2"/>
          <c:y val="0.14871824529979213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R2</c:v>
          </c:tx>
          <c:spPr>
            <a:solidFill>
              <a:schemeClr val="accent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D-EA59-4FF1-816E-B4B22253AA0B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6-EA59-4FF1-816E-B4B22253AA0B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5-EA59-4FF1-816E-B4B22253AA0B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4-EA59-4FF1-816E-B4B22253AA0B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3-EA59-4FF1-816E-B4B22253AA0B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2-EA59-4FF1-816E-B4B22253AA0B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1-EA59-4FF1-816E-B4B22253AA0B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EA59-4FF1-816E-B4B22253AA0B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0-EA59-4FF1-816E-B4B22253AA0B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ED2-4ACE-91AA-7F8713196E92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E-EA59-4FF1-816E-B4B22253AA0B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ED2-4ACE-91AA-7F8713196E92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5-EED2-4ACE-91AA-7F8713196E92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C-EA59-4FF1-816E-B4B22253AA0B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7-EED2-4ACE-91AA-7F8713196E92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EA59-4FF1-816E-B4B22253AA0B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8-EA59-4FF1-816E-B4B22253AA0B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9-EA59-4FF1-816E-B4B22253AA0B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A-EA59-4FF1-816E-B4B22253AA0B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B-EA59-4FF1-816E-B4B22253AA0B}"/>
              </c:ext>
            </c:extLst>
          </c:dPt>
          <c:dPt>
            <c:idx val="2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9-EED2-4ACE-91AA-7F8713196E92}"/>
              </c:ext>
            </c:extLst>
          </c:dPt>
          <c:dPt>
            <c:idx val="2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EED2-4ACE-91AA-7F8713196E92}"/>
              </c:ext>
            </c:extLst>
          </c:dPt>
          <c:dPt>
            <c:idx val="27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D-EED2-4ACE-91AA-7F8713196E92}"/>
              </c:ext>
            </c:extLst>
          </c:dPt>
          <c:dPt>
            <c:idx val="2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EED2-4ACE-91AA-7F8713196E92}"/>
              </c:ext>
            </c:extLst>
          </c:dPt>
          <c:dPt>
            <c:idx val="3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EED2-4ACE-91AA-7F8713196E92}"/>
              </c:ext>
            </c:extLst>
          </c:dPt>
          <c:dPt>
            <c:idx val="3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EED2-4ACE-91AA-7F8713196E92}"/>
              </c:ext>
            </c:extLst>
          </c:dPt>
          <c:dPt>
            <c:idx val="34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EED2-4ACE-91AA-7F8713196E92}"/>
              </c:ext>
            </c:extLst>
          </c:dPt>
          <c:errBars>
            <c:errBarType val="plus"/>
            <c:errValType val="cust"/>
            <c:noEndCap val="0"/>
            <c:plus>
              <c:numRef>
                <c:f>'R3'!$B$54:$V$54</c:f>
                <c:numCache>
                  <c:formatCode>General</c:formatCode>
                  <c:ptCount val="21"/>
                  <c:pt idx="0">
                    <c:v>3.006180009049151E-2</c:v>
                  </c:pt>
                  <c:pt idx="1">
                    <c:v>2.3407833434842932E-2</c:v>
                  </c:pt>
                  <c:pt idx="2">
                    <c:v>7.8625427745628848E-2</c:v>
                  </c:pt>
                  <c:pt idx="3">
                    <c:v>0.23165890276803908</c:v>
                  </c:pt>
                  <c:pt idx="4">
                    <c:v>0.29747822524582179</c:v>
                  </c:pt>
                  <c:pt idx="5">
                    <c:v>0.27028510054334443</c:v>
                  </c:pt>
                  <c:pt idx="6">
                    <c:v>0.5057856369870749</c:v>
                  </c:pt>
                  <c:pt idx="7">
                    <c:v>1.2171413669867055E-2</c:v>
                  </c:pt>
                  <c:pt idx="8">
                    <c:v>3.2661386799500827E-2</c:v>
                  </c:pt>
                  <c:pt idx="9">
                    <c:v>7.8189214935485821E-2</c:v>
                  </c:pt>
                  <c:pt idx="10">
                    <c:v>0.43373563172040186</c:v>
                  </c:pt>
                  <c:pt idx="11">
                    <c:v>0.27111634860469946</c:v>
                  </c:pt>
                  <c:pt idx="13">
                    <c:v>0.25149062863361699</c:v>
                  </c:pt>
                  <c:pt idx="14">
                    <c:v>0.30312430244717886</c:v>
                  </c:pt>
                  <c:pt idx="15">
                    <c:v>3.3764722428661222E-2</c:v>
                  </c:pt>
                  <c:pt idx="16">
                    <c:v>0.41877932535117696</c:v>
                  </c:pt>
                  <c:pt idx="17">
                    <c:v>0.60679751411479788</c:v>
                  </c:pt>
                  <c:pt idx="18">
                    <c:v>0.29817552824864407</c:v>
                  </c:pt>
                  <c:pt idx="19">
                    <c:v>0.37472930304547242</c:v>
                  </c:pt>
                  <c:pt idx="20">
                    <c:v>0.51356748930323604</c:v>
                  </c:pt>
                </c:numCache>
              </c:numRef>
            </c:plus>
            <c:minus>
              <c:numRef>
                <c:f>'R1'!$N$48:$V$48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0.16272618615136786</c:v>
                  </c:pt>
                  <c:pt idx="2">
                    <c:v>0.34695198118360093</c:v>
                  </c:pt>
                  <c:pt idx="3">
                    <c:v>0.47829312028835091</c:v>
                  </c:pt>
                  <c:pt idx="4">
                    <c:v>0.27772484227466859</c:v>
                  </c:pt>
                  <c:pt idx="5">
                    <c:v>0.31571372008109166</c:v>
                  </c:pt>
                  <c:pt idx="6">
                    <c:v>0.29948817746451806</c:v>
                  </c:pt>
                  <c:pt idx="7">
                    <c:v>0.52995735981915548</c:v>
                  </c:pt>
                  <c:pt idx="8">
                    <c:v>0.30628121663783042</c:v>
                  </c:pt>
                </c:numCache>
              </c:numRef>
            </c:minus>
          </c:errBars>
          <c:cat>
            <c:strRef>
              <c:f>'R3'!$B$52:$V$52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Estrone-0.04µg/L</c:v>
                </c:pt>
                <c:pt idx="8">
                  <c:v>Estrone-0.2µg/L</c:v>
                </c:pt>
                <c:pt idx="9">
                  <c:v>Estrone-1µg/L</c:v>
                </c:pt>
                <c:pt idx="10">
                  <c:v>Estrone-5µg/L</c:v>
                </c:pt>
                <c:pt idx="11">
                  <c:v>Estrone-25µg/L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Estrone-0.04µg/L + Testostérone</c:v>
                </c:pt>
                <c:pt idx="17">
                  <c:v>Estrone-0.2µg/L + Testostérone</c:v>
                </c:pt>
                <c:pt idx="18">
                  <c:v>Estrone-1µg/L + Testostérone</c:v>
                </c:pt>
                <c:pt idx="19">
                  <c:v>Estrone-5µg/L + Testostérone</c:v>
                </c:pt>
                <c:pt idx="20">
                  <c:v>Estrone-25µg/L + Testostérone</c:v>
                </c:pt>
              </c:strCache>
            </c:strRef>
          </c:cat>
          <c:val>
            <c:numRef>
              <c:f>'R3'!$B$53:$V$53</c:f>
              <c:numCache>
                <c:formatCode>0.0000</c:formatCode>
                <c:ptCount val="21"/>
                <c:pt idx="0">
                  <c:v>5.9082862715870182E-2</c:v>
                </c:pt>
                <c:pt idx="1">
                  <c:v>9.2647358132103175E-2</c:v>
                </c:pt>
                <c:pt idx="2">
                  <c:v>0.27001455129639806</c:v>
                </c:pt>
                <c:pt idx="3">
                  <c:v>1.4890286738039724</c:v>
                </c:pt>
                <c:pt idx="4">
                  <c:v>2.4896475928070672</c:v>
                </c:pt>
                <c:pt idx="5">
                  <c:v>4.5542219583336054</c:v>
                </c:pt>
                <c:pt idx="6">
                  <c:v>6.4739714500522592</c:v>
                </c:pt>
                <c:pt idx="7">
                  <c:v>5.1392278034785494E-2</c:v>
                </c:pt>
                <c:pt idx="8">
                  <c:v>0.10591473259005107</c:v>
                </c:pt>
                <c:pt idx="9">
                  <c:v>0.21060946319550522</c:v>
                </c:pt>
                <c:pt idx="10">
                  <c:v>5.0550883957886388</c:v>
                </c:pt>
                <c:pt idx="11">
                  <c:v>7.0102002125112168</c:v>
                </c:pt>
                <c:pt idx="13">
                  <c:v>0.99999999999999989</c:v>
                </c:pt>
                <c:pt idx="14">
                  <c:v>4.4512095176632744</c:v>
                </c:pt>
                <c:pt idx="15">
                  <c:v>8.0642357527308112E-2</c:v>
                </c:pt>
                <c:pt idx="16">
                  <c:v>2.3001002981965519</c:v>
                </c:pt>
                <c:pt idx="17">
                  <c:v>1.8566188480211614</c:v>
                </c:pt>
                <c:pt idx="18">
                  <c:v>3.8531642731993223</c:v>
                </c:pt>
                <c:pt idx="19">
                  <c:v>5.2122146146006934</c:v>
                </c:pt>
                <c:pt idx="20">
                  <c:v>4.4422954000085468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ED2-4ACE-91AA-7F8713196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373488"/>
        <c:axId val="434373880"/>
      </c:barChart>
      <c:catAx>
        <c:axId val="434373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434373880"/>
        <c:crosses val="autoZero"/>
        <c:auto val="1"/>
        <c:lblAlgn val="ctr"/>
        <c:lblOffset val="100"/>
        <c:noMultiLvlLbl val="0"/>
      </c:catAx>
      <c:valAx>
        <c:axId val="434373880"/>
        <c:scaling>
          <c:orientation val="minMax"/>
          <c:max val="7.4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434373488"/>
        <c:crosses val="autoZero"/>
        <c:crossBetween val="between"/>
        <c:majorUnit val="0.2"/>
      </c:valAx>
    </c:plotArea>
    <c:plotVisOnly val="1"/>
    <c:dispBlanksAs val="gap"/>
    <c:showDLblsOverMax val="0"/>
  </c:chart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086563142153819E-2"/>
          <c:y val="0.10694631110669023"/>
          <c:w val="0.91688911122572669"/>
          <c:h val="0.69895377069250364"/>
        </c:manualLayout>
      </c:layout>
      <c:barChart>
        <c:barDir val="col"/>
        <c:grouping val="clustered"/>
        <c:varyColors val="0"/>
        <c:ser>
          <c:idx val="0"/>
          <c:order val="0"/>
          <c:tx>
            <c:v>Pool</c:v>
          </c:tx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2C-033C-4530-84A9-991A3866ABD4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1-033C-4530-84A9-991A3866ABD4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033C-4530-84A9-991A3866ABD4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5-033C-4530-84A9-991A3866ABD4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7-033C-4530-84A9-991A3866ABD4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033C-4530-84A9-991A3866ABD4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B-033C-4530-84A9-991A3866ABD4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033C-4530-84A9-991A3866ABD4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033C-4530-84A9-991A3866ABD4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033C-4530-84A9-991A3866ABD4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033C-4530-84A9-991A3866ABD4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033C-4530-84A9-991A3866ABD4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033C-4530-84A9-991A3866ABD4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9-033C-4530-84A9-991A3866ABD4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033C-4530-84A9-991A3866ABD4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033C-4530-84A9-991A3866ABD4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033C-4530-84A9-991A3866ABD4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1-033C-4530-84A9-991A3866ABD4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3-033C-4530-84A9-991A3866ABD4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5-033C-4530-84A9-991A3866ABD4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7-033C-4530-84A9-991A3866ABD4}"/>
              </c:ext>
            </c:extLst>
          </c:dPt>
          <c:dPt>
            <c:idx val="2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9-033C-4530-84A9-991A3866ABD4}"/>
              </c:ext>
            </c:extLst>
          </c:dPt>
          <c:dPt>
            <c:idx val="2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B-033C-4530-84A9-991A3866ABD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B2AA364-A875-467D-9349-D1700B719B85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033C-4530-84A9-991A3866ABD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5D562BF-5EF3-4BA2-91C2-F2910757909D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33C-4530-84A9-991A3866ABD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7C9DC09-7F0F-43EE-B081-C32A5478273A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33C-4530-84A9-991A3866ABD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D424D2A-62ED-4C49-BC0C-5268B22D0857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33C-4530-84A9-991A3866ABD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DBD956C-DB82-42AE-B514-75E2709EE0AF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33C-4530-84A9-991A3866ABD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B2A6326-CDA5-444C-B2FD-B262579C7533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33C-4530-84A9-991A3866ABD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4528EFC-72A0-4CF2-B152-4A7AE66E8F0E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33C-4530-84A9-991A3866ABD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599B0E4-76F5-452F-9661-CEF78EFCD699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33C-4530-84A9-991A3866ABD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9EB70D5-CB86-4C08-BFC1-C894B0033291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33C-4530-84A9-991A3866ABD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3824E11-DD6A-46D2-87F0-DD0771391346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33C-4530-84A9-991A3866ABD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DD30D74-7141-479E-81B5-14EC04A94361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33C-4530-84A9-991A3866ABD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06A006F-2947-4E59-B3F1-D28821838AD4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033C-4530-84A9-991A3866ABD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33C-4530-84A9-991A3866ABD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AA66F27-B611-4769-816A-6A57C8603AEE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33C-4530-84A9-991A3866ABD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6ABC5DF-D293-4CA3-87DA-0044D1034A8C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33C-4530-84A9-991A3866ABD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97B4566-B78E-4ADF-B2BF-B6C210ECC108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033C-4530-84A9-991A3866ABD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56B47CD-082A-43E5-908F-65D75CC4B809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033C-4530-84A9-991A3866ABD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7AA5618-12D1-4237-BE3D-29F35773ABCD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033C-4530-84A9-991A3866ABD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A01FAF4-ED74-4891-8F5B-D52A8E86BD2C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033C-4530-84A9-991A3866ABD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5AF36AE-0519-414F-B750-83D316AE9DF9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033C-4530-84A9-991A3866ABD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C6C07AB-104A-47F3-9557-0F93DF7A70D7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033C-4530-84A9-991A3866ABD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033C-4530-84A9-991A3866ABD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'pooled normalised values'!$B$76:$V$76</c:f>
                <c:numCache>
                  <c:formatCode>General</c:formatCode>
                  <c:ptCount val="21"/>
                  <c:pt idx="0">
                    <c:v>1.8262755297126548E-2</c:v>
                  </c:pt>
                  <c:pt idx="1">
                    <c:v>1.3998051254696215E-2</c:v>
                  </c:pt>
                  <c:pt idx="2">
                    <c:v>7.1786549372513914E-2</c:v>
                  </c:pt>
                  <c:pt idx="3">
                    <c:v>0.13770864300522917</c:v>
                  </c:pt>
                  <c:pt idx="4">
                    <c:v>0.20606117672290139</c:v>
                  </c:pt>
                  <c:pt idx="5">
                    <c:v>0.31779006255701819</c:v>
                  </c:pt>
                  <c:pt idx="6">
                    <c:v>0.42948171331992741</c:v>
                  </c:pt>
                  <c:pt idx="7">
                    <c:v>1.0123448974242921E-2</c:v>
                  </c:pt>
                  <c:pt idx="8">
                    <c:v>1.3280813099271014E-2</c:v>
                  </c:pt>
                  <c:pt idx="9">
                    <c:v>4.3907000893851363E-2</c:v>
                  </c:pt>
                  <c:pt idx="10">
                    <c:v>0.30000704884426277</c:v>
                  </c:pt>
                  <c:pt idx="11">
                    <c:v>0.4668248130730045</c:v>
                  </c:pt>
                  <c:pt idx="13">
                    <c:v>0.10312463787661916</c:v>
                  </c:pt>
                  <c:pt idx="14">
                    <c:v>0.26584067718432197</c:v>
                  </c:pt>
                  <c:pt idx="15">
                    <c:v>0.16160906766319749</c:v>
                  </c:pt>
                  <c:pt idx="16">
                    <c:v>0.19685930476121255</c:v>
                  </c:pt>
                  <c:pt idx="17">
                    <c:v>0.23400785075256977</c:v>
                  </c:pt>
                  <c:pt idx="18">
                    <c:v>0.25824057528489586</c:v>
                  </c:pt>
                  <c:pt idx="19">
                    <c:v>0.34149418482315241</c:v>
                  </c:pt>
                  <c:pt idx="20">
                    <c:v>0.27688351404450645</c:v>
                  </c:pt>
                </c:numCache>
              </c:numRef>
            </c:plus>
            <c:minus>
              <c:numRef>
                <c:f>'pooled normalised values'!$B$76:$V$76</c:f>
                <c:numCache>
                  <c:formatCode>General</c:formatCode>
                  <c:ptCount val="21"/>
                  <c:pt idx="0">
                    <c:v>1.8262755297126548E-2</c:v>
                  </c:pt>
                  <c:pt idx="1">
                    <c:v>1.3998051254696215E-2</c:v>
                  </c:pt>
                  <c:pt idx="2">
                    <c:v>7.1786549372513914E-2</c:v>
                  </c:pt>
                  <c:pt idx="3">
                    <c:v>0.13770864300522917</c:v>
                  </c:pt>
                  <c:pt idx="4">
                    <c:v>0.20606117672290139</c:v>
                  </c:pt>
                  <c:pt idx="5">
                    <c:v>0.31779006255701819</c:v>
                  </c:pt>
                  <c:pt idx="6">
                    <c:v>0.42948171331992741</c:v>
                  </c:pt>
                  <c:pt idx="7">
                    <c:v>1.0123448974242921E-2</c:v>
                  </c:pt>
                  <c:pt idx="8">
                    <c:v>1.3280813099271014E-2</c:v>
                  </c:pt>
                  <c:pt idx="9">
                    <c:v>4.3907000893851363E-2</c:v>
                  </c:pt>
                  <c:pt idx="10">
                    <c:v>0.30000704884426277</c:v>
                  </c:pt>
                  <c:pt idx="11">
                    <c:v>0.4668248130730045</c:v>
                  </c:pt>
                  <c:pt idx="13">
                    <c:v>0.10312463787661916</c:v>
                  </c:pt>
                  <c:pt idx="14">
                    <c:v>0.26584067718432197</c:v>
                  </c:pt>
                  <c:pt idx="15">
                    <c:v>0.16160906766319749</c:v>
                  </c:pt>
                  <c:pt idx="16">
                    <c:v>0.19685930476121255</c:v>
                  </c:pt>
                  <c:pt idx="17">
                    <c:v>0.23400785075256977</c:v>
                  </c:pt>
                  <c:pt idx="18">
                    <c:v>0.25824057528489586</c:v>
                  </c:pt>
                  <c:pt idx="19">
                    <c:v>0.34149418482315241</c:v>
                  </c:pt>
                  <c:pt idx="20">
                    <c:v>0.27688351404450645</c:v>
                  </c:pt>
                </c:numCache>
              </c:numRef>
            </c:minus>
          </c:errBars>
          <c:cat>
            <c:strRef>
              <c:f>'pooled normalised values'!$B$74:$V$74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Estrone-0.04µg/L</c:v>
                </c:pt>
                <c:pt idx="8">
                  <c:v>Estrone-0.2µg/L</c:v>
                </c:pt>
                <c:pt idx="9">
                  <c:v>Estrone-1µg/L</c:v>
                </c:pt>
                <c:pt idx="10">
                  <c:v>Estrone-5µg/L</c:v>
                </c:pt>
                <c:pt idx="11">
                  <c:v>Estrone-25µg/L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Estrone-0.04µg/L + Testostérone</c:v>
                </c:pt>
                <c:pt idx="17">
                  <c:v>Estrone-0.2µg/L + Testostérone</c:v>
                </c:pt>
                <c:pt idx="18">
                  <c:v>Estrone-1µg/L + Testostérone</c:v>
                </c:pt>
                <c:pt idx="19">
                  <c:v>Estrone-5µg/L + Testostérone</c:v>
                </c:pt>
                <c:pt idx="20">
                  <c:v>Estrone-25µg/L + Testostérone</c:v>
                </c:pt>
              </c:strCache>
            </c:strRef>
          </c:cat>
          <c:val>
            <c:numRef>
              <c:f>'pooled normalised values'!$B$75:$V$75</c:f>
              <c:numCache>
                <c:formatCode>0.0000</c:formatCode>
                <c:ptCount val="21"/>
                <c:pt idx="0">
                  <c:v>8.3861711522334223E-2</c:v>
                </c:pt>
                <c:pt idx="1">
                  <c:v>7.6852807720018443E-2</c:v>
                </c:pt>
                <c:pt idx="2">
                  <c:v>0.23756432761065124</c:v>
                </c:pt>
                <c:pt idx="3">
                  <c:v>0.77261894248262208</c:v>
                </c:pt>
                <c:pt idx="4">
                  <c:v>1.6454203857133261</c:v>
                </c:pt>
                <c:pt idx="5">
                  <c:v>2.5880889093465522</c:v>
                </c:pt>
                <c:pt idx="6">
                  <c:v>4.0925755574528679</c:v>
                </c:pt>
                <c:pt idx="7">
                  <c:v>4.9044075671237614E-2</c:v>
                </c:pt>
                <c:pt idx="8">
                  <c:v>5.9472448850500827E-2</c:v>
                </c:pt>
                <c:pt idx="9">
                  <c:v>0.22019891407464884</c:v>
                </c:pt>
                <c:pt idx="10">
                  <c:v>3.4432708386064594</c:v>
                </c:pt>
                <c:pt idx="11">
                  <c:v>5.5786069161362368</c:v>
                </c:pt>
                <c:pt idx="13">
                  <c:v>1</c:v>
                </c:pt>
                <c:pt idx="14">
                  <c:v>2.9769791871682556</c:v>
                </c:pt>
                <c:pt idx="15">
                  <c:v>0.25087718480893634</c:v>
                </c:pt>
                <c:pt idx="16">
                  <c:v>1.5777327088908224</c:v>
                </c:pt>
                <c:pt idx="17">
                  <c:v>1.5882392850579157</c:v>
                </c:pt>
                <c:pt idx="18">
                  <c:v>2.5072038715111407</c:v>
                </c:pt>
                <c:pt idx="19">
                  <c:v>3.7932246973357455</c:v>
                </c:pt>
                <c:pt idx="20">
                  <c:v>3.5638346894018009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'pooled normalised values'!$B$83:$V$83</c15:f>
                <c15:dlblRangeCache>
                  <c:ptCount val="21"/>
                  <c:pt idx="1">
                    <c:v>ns</c:v>
                  </c:pt>
                  <c:pt idx="2">
                    <c:v>ns</c:v>
                  </c:pt>
                  <c:pt idx="3">
                    <c:v>***</c:v>
                  </c:pt>
                  <c:pt idx="4">
                    <c:v>***</c:v>
                  </c:pt>
                  <c:pt idx="5">
                    <c:v>***</c:v>
                  </c:pt>
                  <c:pt idx="6">
                    <c:v>***</c:v>
                  </c:pt>
                  <c:pt idx="7">
                    <c:v>ns</c:v>
                  </c:pt>
                  <c:pt idx="8">
                    <c:v>ns</c:v>
                  </c:pt>
                  <c:pt idx="9">
                    <c:v>ns</c:v>
                  </c:pt>
                  <c:pt idx="10">
                    <c:v>***</c:v>
                  </c:pt>
                  <c:pt idx="11">
                    <c:v>***</c:v>
                  </c:pt>
                  <c:pt idx="13">
                    <c:v>***</c:v>
                  </c:pt>
                  <c:pt idx="14">
                    <c:v>***</c:v>
                  </c:pt>
                  <c:pt idx="15">
                    <c:v>***</c:v>
                  </c:pt>
                  <c:pt idx="16">
                    <c:v>ns</c:v>
                  </c:pt>
                  <c:pt idx="17">
                    <c:v>ns</c:v>
                  </c:pt>
                  <c:pt idx="18">
                    <c:v>***</c:v>
                  </c:pt>
                  <c:pt idx="19">
                    <c:v>***</c:v>
                  </c:pt>
                  <c:pt idx="20">
                    <c:v>***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B-033C-4530-84A9-991A3866A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374272"/>
        <c:axId val="434374664"/>
      </c:barChart>
      <c:catAx>
        <c:axId val="434374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2700000"/>
          <a:lstStyle/>
          <a:p>
            <a:pPr>
              <a:defRPr lang="en-GB" sz="1000"/>
            </a:pPr>
            <a:endParaRPr lang="fr-FR"/>
          </a:p>
        </c:txPr>
        <c:crossAx val="434374664"/>
        <c:crosses val="autoZero"/>
        <c:auto val="1"/>
        <c:lblAlgn val="ctr"/>
        <c:lblOffset val="100"/>
        <c:noMultiLvlLbl val="0"/>
      </c:catAx>
      <c:valAx>
        <c:axId val="43437466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en-GB" sz="1400"/>
                </a:pPr>
                <a:r>
                  <a:rPr lang="en-US" sz="1400"/>
                  <a:t>fluorescence totale (unités arbitraires)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434374272"/>
        <c:crosses val="autoZero"/>
        <c:crossBetween val="between"/>
      </c:valAx>
    </c:plotArea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85" workbookViewId="0"/>
  </sheetViews>
  <pageMargins left="0.7" right="0.7" top="0.75" bottom="0.75" header="0.3" footer="0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zoomScale="76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zoomScale="62" workbookViewId="0" zoomToFit="1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2088" cy="608479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0.42494</cdr:x>
      <cdr:y>0.01696</cdr:y>
    </cdr:from>
    <cdr:to>
      <cdr:x>0.59244</cdr:x>
      <cdr:y>0.06852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946365" y="102453"/>
          <a:ext cx="1555576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9408" cy="6074276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0.37494</cdr:x>
      <cdr:y>0.01504</cdr:y>
    </cdr:from>
    <cdr:to>
      <cdr:x>0.5575</cdr:x>
      <cdr:y>0.06657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80830" y="90920"/>
          <a:ext cx="1694833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8609" cy="607391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0.37494</cdr:x>
      <cdr:y>0.01504</cdr:y>
    </cdr:from>
    <cdr:to>
      <cdr:x>0.5575</cdr:x>
      <cdr:y>0.0666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82021" y="90854"/>
          <a:ext cx="1695412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9677" cy="607346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alStats/RealStats%202013%202016.xla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alStats\RealStats%202013%202016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Prime"/>
      <sheetName val="RealStats 2013 2016"/>
      <sheetName val="RSign Table"/>
    </sheetNames>
    <definedNames>
      <definedName name="MTEST"/>
      <definedName name="SWTES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Prime"/>
    </sheetNames>
    <definedNames>
      <definedName name="DPTEST"/>
      <definedName name="MTES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e_groupe" displayName="liste_groupe" ref="A6:F57" totalsRowShown="0" headerRowDxfId="8" dataDxfId="7" tableBorderDxfId="6">
  <autoFilter ref="A6:F57" xr:uid="{00000000-0009-0000-0100-000001000000}"/>
  <tableColumns count="6">
    <tableColumn id="4" xr3:uid="{00000000-0010-0000-0000-000004000000}" name="Do not fill in" dataDxfId="5">
      <calculatedColumnFormula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calculatedColumnFormula>
    </tableColumn>
    <tableColumn id="1" xr3:uid="{00000000-0010-0000-0000-000001000000}" name="Do not fill in2" dataDxfId="4">
      <calculatedColumnFormula>A2</calculatedColumnFormula>
    </tableColumn>
    <tableColumn id="2" xr3:uid="{00000000-0010-0000-0000-000002000000}" name="Concentration" dataDxfId="3">
      <calculatedColumnFormula>B2</calculatedColumnFormula>
    </tableColumn>
    <tableColumn id="10" xr3:uid="{00000000-0010-0000-0000-00000A000000}" name="Units" dataDxfId="2"/>
    <tableColumn id="3" xr3:uid="{00000000-0010-0000-0000-000003000000}" name="Chemical name" dataDxfId="1">
      <calculatedColumnFormula>C2</calculatedColumnFormula>
    </tableColumn>
    <tableColumn id="9" xr3:uid="{00000000-0010-0000-0000-000009000000}" name="Do not fill in3" dataDxfId="0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7"/>
  <sheetViews>
    <sheetView showGridLines="0" topLeftCell="A40" zoomScale="55" zoomScaleNormal="55" workbookViewId="0">
      <selection activeCell="C20" sqref="C20"/>
    </sheetView>
  </sheetViews>
  <sheetFormatPr baseColWidth="10" defaultRowHeight="39" customHeight="1" x14ac:dyDescent="0.35"/>
  <cols>
    <col min="1" max="1" width="42" bestFit="1" customWidth="1"/>
    <col min="2" max="2" width="33.81640625" style="26" bestFit="1" customWidth="1"/>
    <col min="3" max="3" width="21.26953125" customWidth="1"/>
    <col min="4" max="4" width="30.453125" customWidth="1"/>
    <col min="5" max="5" width="62.26953125" style="87" bestFit="1" customWidth="1"/>
    <col min="6" max="6" width="56.7265625" bestFit="1" customWidth="1"/>
    <col min="7" max="7" width="19.453125" customWidth="1"/>
    <col min="8" max="8" width="15.26953125" customWidth="1"/>
    <col min="9" max="9" width="18" customWidth="1"/>
    <col min="10" max="10" width="19.54296875" bestFit="1" customWidth="1"/>
  </cols>
  <sheetData>
    <row r="1" spans="1:9" ht="39" customHeight="1" thickBot="1" x14ac:dyDescent="0.4">
      <c r="A1" s="121"/>
      <c r="B1" s="122"/>
      <c r="C1" s="122"/>
      <c r="D1" s="122"/>
      <c r="E1" s="122"/>
      <c r="F1" s="122"/>
      <c r="G1" s="122"/>
      <c r="H1" s="122"/>
      <c r="I1" s="123"/>
    </row>
    <row r="2" spans="1:9" ht="21.5" thickBot="1" x14ac:dyDescent="0.55000000000000004">
      <c r="A2" s="106" t="s">
        <v>5</v>
      </c>
      <c r="B2" s="25" t="s">
        <v>24</v>
      </c>
      <c r="C2" s="124"/>
      <c r="D2" s="125"/>
      <c r="E2" s="25" t="s">
        <v>23</v>
      </c>
      <c r="F2" s="136"/>
      <c r="G2" s="137"/>
      <c r="H2" s="137"/>
      <c r="I2" s="138"/>
    </row>
    <row r="3" spans="1:9" ht="21.5" thickBot="1" x14ac:dyDescent="0.55000000000000004">
      <c r="A3" s="107" t="s">
        <v>6</v>
      </c>
      <c r="B3" s="25" t="s">
        <v>24</v>
      </c>
      <c r="C3" s="126"/>
      <c r="D3" s="127"/>
      <c r="E3" s="25" t="s">
        <v>23</v>
      </c>
      <c r="F3" s="133"/>
      <c r="G3" s="134"/>
      <c r="H3" s="134"/>
      <c r="I3" s="135"/>
    </row>
    <row r="4" spans="1:9" ht="21.5" thickBot="1" x14ac:dyDescent="0.55000000000000004">
      <c r="A4" s="108" t="s">
        <v>9</v>
      </c>
      <c r="B4" s="25" t="s">
        <v>24</v>
      </c>
      <c r="C4" s="128"/>
      <c r="D4" s="129"/>
      <c r="E4" s="25" t="s">
        <v>23</v>
      </c>
      <c r="F4" s="130"/>
      <c r="G4" s="131"/>
      <c r="H4" s="131"/>
      <c r="I4" s="132"/>
    </row>
    <row r="5" spans="1:9" s="1" customFormat="1" ht="65.25" customHeight="1" thickBot="1" x14ac:dyDescent="0.4">
      <c r="A5" s="121"/>
      <c r="B5" s="122"/>
      <c r="C5" s="122"/>
      <c r="D5" s="122"/>
      <c r="E5" s="122"/>
      <c r="F5" s="122"/>
      <c r="G5" s="122"/>
      <c r="H5" s="122"/>
      <c r="I5" s="123"/>
    </row>
    <row r="6" spans="1:9" s="66" customFormat="1" ht="39" customHeight="1" x14ac:dyDescent="0.5">
      <c r="A6" s="56" t="s">
        <v>25</v>
      </c>
      <c r="B6" s="57" t="s">
        <v>26</v>
      </c>
      <c r="C6" s="45" t="s">
        <v>7</v>
      </c>
      <c r="D6" s="45" t="s">
        <v>27</v>
      </c>
      <c r="E6" s="84" t="s">
        <v>28</v>
      </c>
      <c r="F6" s="65" t="s">
        <v>29</v>
      </c>
    </row>
    <row r="7" spans="1:9" s="93" customFormat="1" ht="39" customHeight="1" x14ac:dyDescent="0.5">
      <c r="A7" s="8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Solvent control</v>
      </c>
      <c r="B7" s="89" t="s">
        <v>46</v>
      </c>
      <c r="C7" s="90"/>
      <c r="D7" s="91"/>
      <c r="E7" s="92" t="s">
        <v>31</v>
      </c>
      <c r="F7" s="67"/>
    </row>
    <row r="8" spans="1:9" s="93" customFormat="1" ht="39" customHeight="1" x14ac:dyDescent="0.5">
      <c r="A8" s="8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EE2-33.8ng/L</v>
      </c>
      <c r="B8" s="89" t="s">
        <v>46</v>
      </c>
      <c r="C8" s="90" t="s">
        <v>32</v>
      </c>
      <c r="D8" s="91" t="s">
        <v>17</v>
      </c>
      <c r="E8" s="92" t="s">
        <v>18</v>
      </c>
      <c r="F8" s="67"/>
    </row>
    <row r="9" spans="1:9" s="93" customFormat="1" ht="39" customHeight="1" x14ac:dyDescent="0.5">
      <c r="A9" s="8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EE2-50.6ng/L</v>
      </c>
      <c r="B9" s="89" t="s">
        <v>46</v>
      </c>
      <c r="C9" s="90" t="s">
        <v>33</v>
      </c>
      <c r="D9" s="91" t="s">
        <v>17</v>
      </c>
      <c r="E9" s="92" t="s">
        <v>18</v>
      </c>
      <c r="F9" s="67"/>
    </row>
    <row r="10" spans="1:9" s="93" customFormat="1" ht="39" customHeight="1" x14ac:dyDescent="0.5">
      <c r="A10" s="8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EE2-76ng/L</v>
      </c>
      <c r="B10" s="89" t="s">
        <v>46</v>
      </c>
      <c r="C10" s="90">
        <v>76</v>
      </c>
      <c r="D10" s="91" t="s">
        <v>17</v>
      </c>
      <c r="E10" s="92" t="s">
        <v>18</v>
      </c>
      <c r="F10" s="67"/>
    </row>
    <row r="11" spans="1:9" s="93" customFormat="1" ht="39" customHeight="1" x14ac:dyDescent="0.5">
      <c r="A11" s="8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EE2-114ng/L</v>
      </c>
      <c r="B11" s="89" t="s">
        <v>46</v>
      </c>
      <c r="C11" s="90">
        <v>114</v>
      </c>
      <c r="D11" s="91" t="s">
        <v>17</v>
      </c>
      <c r="E11" s="92" t="s">
        <v>18</v>
      </c>
      <c r="F11" s="67"/>
    </row>
    <row r="12" spans="1:9" s="93" customFormat="1" ht="39" customHeight="1" x14ac:dyDescent="0.5">
      <c r="A12" s="8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EE2-170.9ng/L</v>
      </c>
      <c r="B12" s="89" t="s">
        <v>46</v>
      </c>
      <c r="C12" s="90" t="s">
        <v>34</v>
      </c>
      <c r="D12" s="91" t="s">
        <v>17</v>
      </c>
      <c r="E12" s="92" t="s">
        <v>18</v>
      </c>
      <c r="F12" s="67"/>
    </row>
    <row r="13" spans="1:9" s="93" customFormat="1" ht="39" customHeight="1" x14ac:dyDescent="0.5">
      <c r="A13" s="8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EE2-488ng/L</v>
      </c>
      <c r="B13" s="89" t="s">
        <v>46</v>
      </c>
      <c r="C13" s="90">
        <v>488</v>
      </c>
      <c r="D13" s="91" t="s">
        <v>17</v>
      </c>
      <c r="E13" s="92" t="s">
        <v>18</v>
      </c>
      <c r="F13" s="67"/>
    </row>
    <row r="14" spans="1:9" s="93" customFormat="1" ht="39" customHeight="1" x14ac:dyDescent="0.5">
      <c r="A14" s="8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Estrone-0.04µg/L</v>
      </c>
      <c r="B14" s="89" t="s">
        <v>30</v>
      </c>
      <c r="C14" s="90">
        <v>0.04</v>
      </c>
      <c r="D14" s="91" t="s">
        <v>19</v>
      </c>
      <c r="E14" s="92" t="s">
        <v>47</v>
      </c>
      <c r="F14" s="67"/>
    </row>
    <row r="15" spans="1:9" s="68" customFormat="1" ht="39" customHeight="1" x14ac:dyDescent="0.35">
      <c r="A15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Estrone-0.2µg/L</v>
      </c>
      <c r="B15" s="89" t="s">
        <v>30</v>
      </c>
      <c r="C15" s="62">
        <v>0.2</v>
      </c>
      <c r="D15" s="62" t="s">
        <v>19</v>
      </c>
      <c r="E15" s="113" t="s">
        <v>47</v>
      </c>
      <c r="F15" s="67"/>
    </row>
    <row r="16" spans="1:9" s="68" customFormat="1" ht="39" customHeight="1" x14ac:dyDescent="0.35">
      <c r="A16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Estrone-1µg/L</v>
      </c>
      <c r="B16" s="89" t="s">
        <v>30</v>
      </c>
      <c r="C16" s="62">
        <v>1</v>
      </c>
      <c r="D16" s="62" t="s">
        <v>19</v>
      </c>
      <c r="E16" s="114" t="s">
        <v>47</v>
      </c>
      <c r="F16" s="67"/>
    </row>
    <row r="17" spans="1:6" s="68" customFormat="1" ht="39" customHeight="1" x14ac:dyDescent="0.35">
      <c r="A17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Estrone-5µg/L</v>
      </c>
      <c r="B17" s="89" t="s">
        <v>30</v>
      </c>
      <c r="C17" s="62">
        <v>5</v>
      </c>
      <c r="D17" s="62" t="s">
        <v>19</v>
      </c>
      <c r="E17" s="113" t="s">
        <v>47</v>
      </c>
      <c r="F17" s="67"/>
    </row>
    <row r="18" spans="1:6" s="68" customFormat="1" ht="39" customHeight="1" x14ac:dyDescent="0.35">
      <c r="A18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Estrone-25µg/L</v>
      </c>
      <c r="B18" s="89" t="s">
        <v>30</v>
      </c>
      <c r="C18" s="62">
        <v>25</v>
      </c>
      <c r="D18" s="62" t="s">
        <v>19</v>
      </c>
      <c r="E18" s="114" t="s">
        <v>47</v>
      </c>
      <c r="F18" s="67"/>
    </row>
    <row r="19" spans="1:6" s="68" customFormat="1" ht="39" customHeight="1" x14ac:dyDescent="0.35">
      <c r="A19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19" s="89" t="s">
        <v>30</v>
      </c>
      <c r="C19" s="62"/>
      <c r="D19" s="62"/>
      <c r="E19" s="23"/>
      <c r="F19" s="67"/>
    </row>
    <row r="20" spans="1:6" s="68" customFormat="1" ht="39" customHeight="1" x14ac:dyDescent="0.35">
      <c r="A20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0" s="89" t="s">
        <v>30</v>
      </c>
      <c r="C20" s="62"/>
      <c r="D20" s="62"/>
      <c r="E20" s="58"/>
      <c r="F20" s="67"/>
    </row>
    <row r="21" spans="1:6" s="68" customFormat="1" ht="39" customHeight="1" x14ac:dyDescent="0.35">
      <c r="A21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1" s="89" t="s">
        <v>30</v>
      </c>
      <c r="C21" s="62"/>
      <c r="D21" s="62"/>
      <c r="E21" s="23"/>
      <c r="F21" s="67"/>
    </row>
    <row r="22" spans="1:6" s="68" customFormat="1" ht="39" customHeight="1" x14ac:dyDescent="0.35">
      <c r="A22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2" s="89" t="s">
        <v>30</v>
      </c>
      <c r="C22" s="62"/>
      <c r="D22" s="62"/>
      <c r="E22" s="58"/>
      <c r="F22" s="67"/>
    </row>
    <row r="23" spans="1:6" s="68" customFormat="1" ht="39" customHeight="1" x14ac:dyDescent="0.35">
      <c r="A23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3" s="89" t="s">
        <v>30</v>
      </c>
      <c r="C23" s="62"/>
      <c r="D23" s="62"/>
      <c r="E23" s="23"/>
      <c r="F23" s="67"/>
    </row>
    <row r="24" spans="1:6" s="68" customFormat="1" ht="39" customHeight="1" x14ac:dyDescent="0.35">
      <c r="A24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4" s="89" t="s">
        <v>30</v>
      </c>
      <c r="C24" s="62"/>
      <c r="D24" s="62"/>
      <c r="E24" s="58"/>
      <c r="F24" s="67"/>
    </row>
    <row r="25" spans="1:6" s="68" customFormat="1" ht="39" customHeight="1" x14ac:dyDescent="0.35">
      <c r="A25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5" s="89" t="s">
        <v>30</v>
      </c>
      <c r="C25" s="62"/>
      <c r="D25" s="62"/>
      <c r="E25" s="23"/>
      <c r="F25" s="67"/>
    </row>
    <row r="26" spans="1:6" s="68" customFormat="1" ht="39" customHeight="1" x14ac:dyDescent="0.35">
      <c r="A26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6" s="89" t="s">
        <v>30</v>
      </c>
      <c r="C26" s="62"/>
      <c r="D26" s="62"/>
      <c r="E26" s="58"/>
      <c r="F26" s="67"/>
    </row>
    <row r="27" spans="1:6" s="68" customFormat="1" ht="39" customHeight="1" x14ac:dyDescent="0.35">
      <c r="A27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7" s="89" t="s">
        <v>30</v>
      </c>
      <c r="C27" s="62"/>
      <c r="D27" s="62"/>
      <c r="E27" s="23"/>
      <c r="F27" s="67"/>
    </row>
    <row r="28" spans="1:6" s="68" customFormat="1" ht="39" customHeight="1" x14ac:dyDescent="0.35">
      <c r="A28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8" s="89" t="s">
        <v>30</v>
      </c>
      <c r="C28" s="62"/>
      <c r="D28" s="62"/>
      <c r="E28" s="58"/>
      <c r="F28" s="67"/>
    </row>
    <row r="29" spans="1:6" s="68" customFormat="1" ht="39" customHeight="1" x14ac:dyDescent="0.35">
      <c r="A29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9" s="89" t="s">
        <v>30</v>
      </c>
      <c r="C29" s="62"/>
      <c r="D29" s="71"/>
      <c r="E29" s="23"/>
      <c r="F29" s="67"/>
    </row>
    <row r="30" spans="1:6" s="68" customFormat="1" ht="39" customHeight="1" x14ac:dyDescent="0.35">
      <c r="A30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0" s="89" t="s">
        <v>30</v>
      </c>
      <c r="C30" s="62"/>
      <c r="D30" s="71"/>
      <c r="E30" s="58"/>
      <c r="F30" s="67"/>
    </row>
    <row r="31" spans="1:6" s="68" customFormat="1" ht="39" customHeight="1" x14ac:dyDescent="0.35">
      <c r="A31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1" s="89" t="s">
        <v>30</v>
      </c>
      <c r="C31" s="62"/>
      <c r="D31" s="71"/>
      <c r="E31" s="23"/>
      <c r="F31" s="67"/>
    </row>
    <row r="32" spans="1:6" s="68" customFormat="1" ht="39" customHeight="1" x14ac:dyDescent="0.35">
      <c r="A32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2" s="89" t="s">
        <v>30</v>
      </c>
      <c r="C32" s="62"/>
      <c r="D32" s="71"/>
      <c r="E32" s="58"/>
      <c r="F32" s="67"/>
    </row>
    <row r="33" spans="1:6" s="68" customFormat="1" ht="39" customHeight="1" x14ac:dyDescent="0.35">
      <c r="A33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3" s="89" t="s">
        <v>30</v>
      </c>
      <c r="C33" s="62"/>
      <c r="D33" s="71"/>
      <c r="E33" s="23"/>
      <c r="F33" s="67"/>
    </row>
    <row r="34" spans="1:6" s="68" customFormat="1" ht="39" customHeight="1" thickBot="1" x14ac:dyDescent="0.4">
      <c r="A34" s="54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4" s="89" t="s">
        <v>30</v>
      </c>
      <c r="C34" s="95"/>
      <c r="D34" s="72"/>
      <c r="E34" s="94"/>
      <c r="F34" s="67"/>
    </row>
    <row r="35" spans="1:6" s="68" customFormat="1" ht="39" customHeight="1" x14ac:dyDescent="0.35">
      <c r="A35" s="9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-30µg/L</v>
      </c>
      <c r="B35" s="59" t="s">
        <v>46</v>
      </c>
      <c r="C35" s="63">
        <v>30</v>
      </c>
      <c r="D35" s="73" t="s">
        <v>19</v>
      </c>
      <c r="E35" s="85" t="s">
        <v>8</v>
      </c>
      <c r="F35" s="97"/>
    </row>
    <row r="36" spans="1:6" s="68" customFormat="1" ht="39" customHeight="1" x14ac:dyDescent="0.35">
      <c r="A36" s="9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30µg/L + EE2 -64ng/L</v>
      </c>
      <c r="B36" s="60" t="s">
        <v>46</v>
      </c>
      <c r="C36" s="64">
        <v>64</v>
      </c>
      <c r="D36" s="74" t="s">
        <v>17</v>
      </c>
      <c r="E36" s="86" t="s">
        <v>20</v>
      </c>
      <c r="F36" s="99"/>
    </row>
    <row r="37" spans="1:6" s="68" customFormat="1" ht="39" customHeight="1" thickBot="1" x14ac:dyDescent="0.4">
      <c r="A37" s="100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30µg/L + FAD-10mg/L</v>
      </c>
      <c r="B37" s="101" t="s">
        <v>46</v>
      </c>
      <c r="C37" s="102">
        <v>10</v>
      </c>
      <c r="D37" s="103" t="s">
        <v>21</v>
      </c>
      <c r="E37" s="104" t="s">
        <v>22</v>
      </c>
      <c r="F37" s="105"/>
    </row>
    <row r="38" spans="1:6" s="68" customFormat="1" ht="39" customHeight="1" x14ac:dyDescent="0.35">
      <c r="A38" s="34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Estrone-0.04µg/L + Testostérone</v>
      </c>
      <c r="B38" s="109" t="str">
        <f>B14</f>
        <v>test chemical</v>
      </c>
      <c r="C38" s="109">
        <f t="shared" ref="C38:E38" si="0">C14</f>
        <v>0.04</v>
      </c>
      <c r="D38" s="109" t="str">
        <f t="shared" si="0"/>
        <v>µg/L</v>
      </c>
      <c r="E38" s="109" t="str">
        <f t="shared" si="0"/>
        <v>Estrone</v>
      </c>
      <c r="F38" s="69" t="s">
        <v>13</v>
      </c>
    </row>
    <row r="39" spans="1:6" s="68" customFormat="1" ht="39" customHeight="1" x14ac:dyDescent="0.35">
      <c r="A39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Estrone-0.2µg/L + Testostérone</v>
      </c>
      <c r="B39" s="111" t="str">
        <f t="shared" ref="B39:E39" si="1">B15</f>
        <v>test chemical</v>
      </c>
      <c r="C39" s="111">
        <f t="shared" si="1"/>
        <v>0.2</v>
      </c>
      <c r="D39" s="111" t="str">
        <f t="shared" si="1"/>
        <v>µg/L</v>
      </c>
      <c r="E39" s="111" t="str">
        <f t="shared" si="1"/>
        <v>Estrone</v>
      </c>
      <c r="F39" s="70" t="s">
        <v>13</v>
      </c>
    </row>
    <row r="40" spans="1:6" s="68" customFormat="1" ht="39" customHeight="1" x14ac:dyDescent="0.35">
      <c r="A40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Estrone-1µg/L + Testostérone</v>
      </c>
      <c r="B40" s="111" t="str">
        <f t="shared" ref="B40:E40" si="2">B16</f>
        <v>test chemical</v>
      </c>
      <c r="C40" s="111">
        <f t="shared" si="2"/>
        <v>1</v>
      </c>
      <c r="D40" s="111" t="str">
        <f t="shared" si="2"/>
        <v>µg/L</v>
      </c>
      <c r="E40" s="111" t="str">
        <f t="shared" si="2"/>
        <v>Estrone</v>
      </c>
      <c r="F40" s="70" t="s">
        <v>13</v>
      </c>
    </row>
    <row r="41" spans="1:6" s="68" customFormat="1" ht="39" customHeight="1" x14ac:dyDescent="0.35">
      <c r="A41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Estrone-5µg/L + Testostérone</v>
      </c>
      <c r="B41" s="111" t="str">
        <f t="shared" ref="B41:E41" si="3">B17</f>
        <v>test chemical</v>
      </c>
      <c r="C41" s="111">
        <f t="shared" si="3"/>
        <v>5</v>
      </c>
      <c r="D41" s="111" t="str">
        <f t="shared" si="3"/>
        <v>µg/L</v>
      </c>
      <c r="E41" s="111" t="str">
        <f t="shared" si="3"/>
        <v>Estrone</v>
      </c>
      <c r="F41" s="70" t="s">
        <v>13</v>
      </c>
    </row>
    <row r="42" spans="1:6" s="68" customFormat="1" ht="39" customHeight="1" x14ac:dyDescent="0.35">
      <c r="A42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Estrone-25µg/L + Testostérone</v>
      </c>
      <c r="B42" s="111" t="str">
        <f t="shared" ref="B42:E42" si="4">B18</f>
        <v>test chemical</v>
      </c>
      <c r="C42" s="111">
        <f t="shared" si="4"/>
        <v>25</v>
      </c>
      <c r="D42" s="111" t="str">
        <f t="shared" si="4"/>
        <v>µg/L</v>
      </c>
      <c r="E42" s="111" t="str">
        <f t="shared" si="4"/>
        <v>Estrone</v>
      </c>
      <c r="F42" s="70" t="s">
        <v>13</v>
      </c>
    </row>
    <row r="43" spans="1:6" s="68" customFormat="1" ht="39" customHeight="1" x14ac:dyDescent="0.35">
      <c r="A43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3" s="111" t="str">
        <f t="shared" ref="B43:E43" si="5">B19</f>
        <v>test chemical</v>
      </c>
      <c r="C43" s="111">
        <f t="shared" si="5"/>
        <v>0</v>
      </c>
      <c r="D43" s="111">
        <f t="shared" si="5"/>
        <v>0</v>
      </c>
      <c r="E43" s="111">
        <f t="shared" si="5"/>
        <v>0</v>
      </c>
      <c r="F43" s="70" t="s">
        <v>13</v>
      </c>
    </row>
    <row r="44" spans="1:6" s="68" customFormat="1" ht="39" customHeight="1" x14ac:dyDescent="0.35">
      <c r="A44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4" s="111" t="str">
        <f t="shared" ref="B44:E44" si="6">B20</f>
        <v>test chemical</v>
      </c>
      <c r="C44" s="111">
        <f t="shared" si="6"/>
        <v>0</v>
      </c>
      <c r="D44" s="111">
        <f t="shared" si="6"/>
        <v>0</v>
      </c>
      <c r="E44" s="111">
        <f t="shared" si="6"/>
        <v>0</v>
      </c>
      <c r="F44" s="70" t="s">
        <v>13</v>
      </c>
    </row>
    <row r="45" spans="1:6" s="68" customFormat="1" ht="39" customHeight="1" x14ac:dyDescent="0.35">
      <c r="A45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5" s="111" t="str">
        <f t="shared" ref="B45:E45" si="7">B21</f>
        <v>test chemical</v>
      </c>
      <c r="C45" s="111">
        <f t="shared" si="7"/>
        <v>0</v>
      </c>
      <c r="D45" s="111">
        <f t="shared" si="7"/>
        <v>0</v>
      </c>
      <c r="E45" s="111">
        <f t="shared" si="7"/>
        <v>0</v>
      </c>
      <c r="F45" s="70" t="s">
        <v>13</v>
      </c>
    </row>
    <row r="46" spans="1:6" s="68" customFormat="1" ht="39" customHeight="1" x14ac:dyDescent="0.35">
      <c r="A46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6" s="111" t="str">
        <f t="shared" ref="B46:E46" si="8">B22</f>
        <v>test chemical</v>
      </c>
      <c r="C46" s="111">
        <f t="shared" si="8"/>
        <v>0</v>
      </c>
      <c r="D46" s="111">
        <f t="shared" si="8"/>
        <v>0</v>
      </c>
      <c r="E46" s="111">
        <f t="shared" si="8"/>
        <v>0</v>
      </c>
      <c r="F46" s="70" t="s">
        <v>13</v>
      </c>
    </row>
    <row r="47" spans="1:6" s="68" customFormat="1" ht="39" customHeight="1" x14ac:dyDescent="0.35">
      <c r="A47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7" s="111" t="str">
        <f t="shared" ref="B47:E47" si="9">B23</f>
        <v>test chemical</v>
      </c>
      <c r="C47" s="111">
        <f t="shared" si="9"/>
        <v>0</v>
      </c>
      <c r="D47" s="111">
        <f t="shared" si="9"/>
        <v>0</v>
      </c>
      <c r="E47" s="111">
        <f t="shared" si="9"/>
        <v>0</v>
      </c>
      <c r="F47" s="70" t="s">
        <v>13</v>
      </c>
    </row>
    <row r="48" spans="1:6" s="68" customFormat="1" ht="39" customHeight="1" x14ac:dyDescent="0.35">
      <c r="A48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8" s="111" t="str">
        <f t="shared" ref="B48:E48" si="10">B24</f>
        <v>test chemical</v>
      </c>
      <c r="C48" s="111">
        <f t="shared" si="10"/>
        <v>0</v>
      </c>
      <c r="D48" s="111">
        <f t="shared" si="10"/>
        <v>0</v>
      </c>
      <c r="E48" s="111">
        <f t="shared" si="10"/>
        <v>0</v>
      </c>
      <c r="F48" s="70" t="s">
        <v>13</v>
      </c>
    </row>
    <row r="49" spans="1:6" s="68" customFormat="1" ht="39" customHeight="1" x14ac:dyDescent="0.35">
      <c r="A49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9" s="111" t="str">
        <f t="shared" ref="B49:E49" si="11">B25</f>
        <v>test chemical</v>
      </c>
      <c r="C49" s="111">
        <f t="shared" si="11"/>
        <v>0</v>
      </c>
      <c r="D49" s="111">
        <f t="shared" si="11"/>
        <v>0</v>
      </c>
      <c r="E49" s="111">
        <f t="shared" si="11"/>
        <v>0</v>
      </c>
      <c r="F49" s="70" t="s">
        <v>13</v>
      </c>
    </row>
    <row r="50" spans="1:6" s="68" customFormat="1" ht="39" customHeight="1" x14ac:dyDescent="0.35">
      <c r="A50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0" s="111" t="str">
        <f t="shared" ref="B50:E50" si="12">B26</f>
        <v>test chemical</v>
      </c>
      <c r="C50" s="111">
        <f t="shared" si="12"/>
        <v>0</v>
      </c>
      <c r="D50" s="111">
        <f t="shared" si="12"/>
        <v>0</v>
      </c>
      <c r="E50" s="111">
        <f t="shared" si="12"/>
        <v>0</v>
      </c>
      <c r="F50" s="70" t="s">
        <v>13</v>
      </c>
    </row>
    <row r="51" spans="1:6" s="68" customFormat="1" ht="39" customHeight="1" x14ac:dyDescent="0.35">
      <c r="A51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1" s="111" t="str">
        <f t="shared" ref="B51:E51" si="13">B27</f>
        <v>test chemical</v>
      </c>
      <c r="C51" s="111">
        <f t="shared" si="13"/>
        <v>0</v>
      </c>
      <c r="D51" s="111">
        <f t="shared" si="13"/>
        <v>0</v>
      </c>
      <c r="E51" s="111">
        <f t="shared" si="13"/>
        <v>0</v>
      </c>
      <c r="F51" s="70" t="s">
        <v>13</v>
      </c>
    </row>
    <row r="52" spans="1:6" s="68" customFormat="1" ht="39" customHeight="1" x14ac:dyDescent="0.35">
      <c r="A52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2" s="111" t="str">
        <f t="shared" ref="B52:E52" si="14">B28</f>
        <v>test chemical</v>
      </c>
      <c r="C52" s="111">
        <f t="shared" si="14"/>
        <v>0</v>
      </c>
      <c r="D52" s="111">
        <f t="shared" si="14"/>
        <v>0</v>
      </c>
      <c r="E52" s="111">
        <f t="shared" si="14"/>
        <v>0</v>
      </c>
      <c r="F52" s="70" t="s">
        <v>13</v>
      </c>
    </row>
    <row r="53" spans="1:6" s="68" customFormat="1" ht="39" customHeight="1" x14ac:dyDescent="0.35">
      <c r="A53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3" s="111" t="str">
        <f t="shared" ref="B53:E53" si="15">B29</f>
        <v>test chemical</v>
      </c>
      <c r="C53" s="111">
        <f t="shared" si="15"/>
        <v>0</v>
      </c>
      <c r="D53" s="111">
        <f t="shared" si="15"/>
        <v>0</v>
      </c>
      <c r="E53" s="111">
        <f t="shared" si="15"/>
        <v>0</v>
      </c>
      <c r="F53" s="70" t="s">
        <v>13</v>
      </c>
    </row>
    <row r="54" spans="1:6" s="68" customFormat="1" ht="39" customHeight="1" x14ac:dyDescent="0.35">
      <c r="A54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4" s="111" t="str">
        <f t="shared" ref="B54:E54" si="16">B30</f>
        <v>test chemical</v>
      </c>
      <c r="C54" s="111">
        <f t="shared" si="16"/>
        <v>0</v>
      </c>
      <c r="D54" s="111">
        <f t="shared" si="16"/>
        <v>0</v>
      </c>
      <c r="E54" s="111">
        <f t="shared" si="16"/>
        <v>0</v>
      </c>
      <c r="F54" s="70" t="s">
        <v>13</v>
      </c>
    </row>
    <row r="55" spans="1:6" s="68" customFormat="1" ht="39" customHeight="1" x14ac:dyDescent="0.35">
      <c r="A55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5" s="111" t="str">
        <f t="shared" ref="B55:E55" si="17">B31</f>
        <v>test chemical</v>
      </c>
      <c r="C55" s="111">
        <f t="shared" si="17"/>
        <v>0</v>
      </c>
      <c r="D55" s="111">
        <f t="shared" si="17"/>
        <v>0</v>
      </c>
      <c r="E55" s="111">
        <f t="shared" si="17"/>
        <v>0</v>
      </c>
      <c r="F55" s="70" t="s">
        <v>13</v>
      </c>
    </row>
    <row r="56" spans="1:6" s="68" customFormat="1" ht="39" customHeight="1" x14ac:dyDescent="0.35">
      <c r="A56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6" s="111" t="str">
        <f t="shared" ref="B56:E56" si="18">B32</f>
        <v>test chemical</v>
      </c>
      <c r="C56" s="111">
        <f t="shared" si="18"/>
        <v>0</v>
      </c>
      <c r="D56" s="111">
        <f t="shared" si="18"/>
        <v>0</v>
      </c>
      <c r="E56" s="111">
        <f t="shared" si="18"/>
        <v>0</v>
      </c>
      <c r="F56" s="70" t="s">
        <v>13</v>
      </c>
    </row>
    <row r="57" spans="1:6" s="68" customFormat="1" ht="39" customHeight="1" x14ac:dyDescent="0.35">
      <c r="A57" s="6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7" s="110" t="str">
        <f t="shared" ref="B57:E57" si="19">B33</f>
        <v>test chemical</v>
      </c>
      <c r="C57" s="110">
        <f t="shared" si="19"/>
        <v>0</v>
      </c>
      <c r="D57" s="110">
        <f t="shared" si="19"/>
        <v>0</v>
      </c>
      <c r="E57" s="110">
        <f t="shared" si="19"/>
        <v>0</v>
      </c>
      <c r="F57" s="70" t="s">
        <v>13</v>
      </c>
    </row>
  </sheetData>
  <protectedRanges>
    <protectedRange sqref="C15:D37 A15:A51" name="Plage1_1"/>
  </protectedRanges>
  <mergeCells count="8">
    <mergeCell ref="A5:I5"/>
    <mergeCell ref="A1:I1"/>
    <mergeCell ref="C2:D2"/>
    <mergeCell ref="C3:D3"/>
    <mergeCell ref="C4:D4"/>
    <mergeCell ref="F4:I4"/>
    <mergeCell ref="F3:I3"/>
    <mergeCell ref="F2:I2"/>
  </mergeCells>
  <dataValidations count="1">
    <dataValidation type="custom" allowBlank="1" showInputMessage="1" showErrorMessage="1" sqref="E7:E37" xr:uid="{E0A8F951-ED76-4488-98E3-F13AD7875916}">
      <formula1>ISERROR(SEARCH("-",E7))=TRUE</formula1>
    </dataValidation>
  </dataValidations>
  <pageMargins left="0.7" right="0.7" top="0.75" bottom="0.75" header="0.3" footer="0.3"/>
  <pageSetup paperSize="9" scale="35" orientation="landscape" r:id="rId1"/>
  <headerFooter>
    <oddHeader>&amp;C&amp;"-,Gras"&amp;20Résultats&amp;R&amp;"-,Gras"&amp;20Page : &amp;P/&amp;P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C05F-BB8C-4E65-89D0-7752771B6710}">
  <dimension ref="A1:I12"/>
  <sheetViews>
    <sheetView workbookViewId="0">
      <selection activeCell="I14" sqref="I14"/>
    </sheetView>
  </sheetViews>
  <sheetFormatPr baseColWidth="10" defaultRowHeight="14.5" x14ac:dyDescent="0.35"/>
  <sheetData>
    <row r="1" spans="1:9" x14ac:dyDescent="0.35">
      <c r="A1" s="1" t="s">
        <v>50</v>
      </c>
      <c r="B1" s="1"/>
      <c r="C1" s="1"/>
      <c r="D1" s="1"/>
      <c r="E1" s="1"/>
      <c r="F1" s="1"/>
      <c r="G1" s="1"/>
      <c r="H1" s="1"/>
      <c r="I1" s="1"/>
    </row>
    <row r="4" spans="1:9" x14ac:dyDescent="0.35">
      <c r="A4" t="s">
        <v>52</v>
      </c>
    </row>
    <row r="8" spans="1:9" x14ac:dyDescent="0.35">
      <c r="A8" t="s">
        <v>49</v>
      </c>
    </row>
    <row r="10" spans="1:9" x14ac:dyDescent="0.35">
      <c r="A10" t="s">
        <v>48</v>
      </c>
    </row>
    <row r="12" spans="1:9" x14ac:dyDescent="0.35">
      <c r="A1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74"/>
  <sheetViews>
    <sheetView showGridLines="0" zoomScale="70" zoomScaleNormal="70" zoomScaleSheetLayoutView="40" zoomScalePageLayoutView="30" workbookViewId="0">
      <pane xSplit="1" topLeftCell="B1" activePane="topRight" state="frozen"/>
      <selection pane="topRight" activeCell="E14" sqref="E14"/>
    </sheetView>
  </sheetViews>
  <sheetFormatPr baseColWidth="10" defaultColWidth="9.1796875" defaultRowHeight="14.5" x14ac:dyDescent="0.35"/>
  <cols>
    <col min="1" max="1" width="29.54296875" style="1" customWidth="1"/>
    <col min="2" max="2" width="14.81640625" style="1" customWidth="1"/>
    <col min="3" max="5" width="25.81640625" style="1" bestFit="1" customWidth="1"/>
    <col min="6" max="8" width="26.453125" style="1" bestFit="1" customWidth="1"/>
    <col min="9" max="9" width="26.453125" style="1" customWidth="1"/>
    <col min="10" max="10" width="25.81640625" style="1" bestFit="1" customWidth="1"/>
    <col min="11" max="11" width="26.453125" style="1" bestFit="1" customWidth="1"/>
    <col min="12" max="13" width="26.453125" style="1" customWidth="1"/>
    <col min="14" max="14" width="18.26953125" bestFit="1" customWidth="1"/>
    <col min="15" max="15" width="14.81640625" customWidth="1"/>
    <col min="16" max="16" width="17.7265625" customWidth="1"/>
    <col min="17" max="18" width="25.81640625" bestFit="1" customWidth="1"/>
    <col min="19" max="22" width="25.81640625" style="1" customWidth="1"/>
  </cols>
  <sheetData>
    <row r="1" spans="1:22" s="1" customFormat="1" ht="26.5" thickBot="1" x14ac:dyDescent="0.65">
      <c r="A1" s="139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</row>
    <row r="2" spans="1:22" ht="15" thickBot="1" x14ac:dyDescent="0.4">
      <c r="A2"/>
      <c r="B2"/>
      <c r="C2"/>
      <c r="D2"/>
      <c r="E2"/>
      <c r="F2"/>
      <c r="G2"/>
      <c r="H2"/>
      <c r="I2"/>
      <c r="J2"/>
      <c r="K2"/>
      <c r="L2"/>
      <c r="M2"/>
      <c r="S2"/>
      <c r="T2"/>
      <c r="U2"/>
      <c r="V2"/>
    </row>
    <row r="3" spans="1:22" ht="15" thickBot="1" x14ac:dyDescent="0.4">
      <c r="A3" s="33" t="s">
        <v>5</v>
      </c>
      <c r="B3" s="147" t="s">
        <v>42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O3" s="147" t="s">
        <v>43</v>
      </c>
      <c r="P3" s="148"/>
      <c r="Q3" s="148"/>
      <c r="R3" s="148"/>
      <c r="S3" s="148"/>
      <c r="T3" s="148"/>
      <c r="U3" s="148"/>
      <c r="V3" s="148"/>
    </row>
    <row r="4" spans="1:22" x14ac:dyDescent="0.35">
      <c r="A4" s="17" t="s">
        <v>37</v>
      </c>
      <c r="B4" s="18" t="str">
        <f>'Front page'!A7</f>
        <v>Solvent control</v>
      </c>
      <c r="C4" s="18" t="str">
        <f>'Front page'!A8</f>
        <v>EE2-33.8ng/L</v>
      </c>
      <c r="D4" s="18" t="str">
        <f>'Front page'!A9</f>
        <v>EE2-50.6ng/L</v>
      </c>
      <c r="E4" s="18" t="str">
        <f>'Front page'!A10</f>
        <v>EE2-76ng/L</v>
      </c>
      <c r="F4" s="18" t="str">
        <f>'Front page'!A11</f>
        <v>EE2-114ng/L</v>
      </c>
      <c r="G4" s="18" t="str">
        <f>'Front page'!A12</f>
        <v>EE2-170.9ng/L</v>
      </c>
      <c r="H4" s="18" t="str">
        <f>'Front page'!A13</f>
        <v>EE2-488ng/L</v>
      </c>
      <c r="I4" s="18" t="str">
        <f>'Front page'!A14</f>
        <v>Estrone-0.04µg/L</v>
      </c>
      <c r="J4" s="18" t="str">
        <f>'Front page'!A15</f>
        <v>Estrone-0.2µg/L</v>
      </c>
      <c r="K4" s="18" t="str">
        <f>'Front page'!A16</f>
        <v>Estrone-1µg/L</v>
      </c>
      <c r="L4" s="18" t="str">
        <f>'Front page'!A17</f>
        <v>Estrone-5µg/L</v>
      </c>
      <c r="M4" s="18" t="str">
        <f>'Front page'!A18</f>
        <v>Estrone-25µg/L</v>
      </c>
      <c r="N4" s="3"/>
      <c r="O4" s="19" t="str">
        <f>'Front page'!A35</f>
        <v>Testo -30µg/L</v>
      </c>
      <c r="P4" s="19" t="str">
        <f>'Front page'!A36</f>
        <v>Testo 30µg/L + EE2 -64ng/L</v>
      </c>
      <c r="Q4" s="19" t="str">
        <f>'Front page'!A37</f>
        <v>Testo 30µg/L + FAD-10mg/L</v>
      </c>
      <c r="R4" s="19" t="str">
        <f>'Front page'!A38</f>
        <v>Estrone-0.04µg/L + Testostérone</v>
      </c>
      <c r="S4" s="19" t="str">
        <f>'Front page'!A39</f>
        <v>Estrone-0.2µg/L + Testostérone</v>
      </c>
      <c r="T4" s="19" t="str">
        <f>'Front page'!A40</f>
        <v>Estrone-1µg/L + Testostérone</v>
      </c>
      <c r="U4" s="19" t="str">
        <f>'Front page'!A41</f>
        <v>Estrone-5µg/L + Testostérone</v>
      </c>
      <c r="V4" s="19" t="str">
        <f>'Front page'!A42</f>
        <v>Estrone-25µg/L + Testostérone</v>
      </c>
    </row>
    <row r="5" spans="1:22" ht="15.5" x14ac:dyDescent="0.35">
      <c r="A5" s="143" t="s">
        <v>35</v>
      </c>
      <c r="B5" s="116">
        <v>460516</v>
      </c>
      <c r="C5" s="117">
        <v>154767</v>
      </c>
      <c r="D5" s="117">
        <v>304641</v>
      </c>
      <c r="E5" s="117">
        <v>767946</v>
      </c>
      <c r="F5" s="117">
        <v>3499126</v>
      </c>
      <c r="G5" s="117">
        <v>4065868</v>
      </c>
      <c r="H5" s="117">
        <v>6216468</v>
      </c>
      <c r="I5" s="117">
        <v>120140</v>
      </c>
      <c r="J5" s="117">
        <v>17127</v>
      </c>
      <c r="K5" s="117">
        <v>43276</v>
      </c>
      <c r="L5" s="117">
        <v>7350933</v>
      </c>
      <c r="M5" s="117">
        <v>10218264</v>
      </c>
      <c r="N5" s="118"/>
      <c r="O5" s="117">
        <v>1208389</v>
      </c>
      <c r="P5" s="117">
        <v>4341670</v>
      </c>
      <c r="Q5" s="117">
        <v>59694</v>
      </c>
      <c r="R5" s="117">
        <v>1028627</v>
      </c>
      <c r="S5" s="117">
        <v>2288918</v>
      </c>
      <c r="T5" s="117">
        <v>4605139</v>
      </c>
      <c r="U5" s="117">
        <v>8227139</v>
      </c>
      <c r="V5" s="117">
        <v>6832148</v>
      </c>
    </row>
    <row r="6" spans="1:22" ht="15.5" x14ac:dyDescent="0.35">
      <c r="A6" s="144"/>
      <c r="B6" s="116">
        <v>121006</v>
      </c>
      <c r="C6" s="117">
        <v>34380</v>
      </c>
      <c r="D6" s="117">
        <v>217309</v>
      </c>
      <c r="E6" s="117">
        <v>197269</v>
      </c>
      <c r="F6" s="117">
        <v>2089830</v>
      </c>
      <c r="G6" s="117">
        <v>2699167</v>
      </c>
      <c r="H6" s="117">
        <v>8594881</v>
      </c>
      <c r="I6" s="117">
        <v>466554</v>
      </c>
      <c r="J6" s="117">
        <v>65450</v>
      </c>
      <c r="K6" s="117">
        <v>1577835</v>
      </c>
      <c r="L6" s="117">
        <v>4948028</v>
      </c>
      <c r="M6" s="117">
        <v>2031029</v>
      </c>
      <c r="N6" s="118"/>
      <c r="O6" s="117">
        <v>610108</v>
      </c>
      <c r="P6" s="117">
        <v>1061513</v>
      </c>
      <c r="Q6" s="117">
        <v>193297</v>
      </c>
      <c r="R6" s="117">
        <v>3537944</v>
      </c>
      <c r="S6" s="117">
        <v>3909521</v>
      </c>
      <c r="T6" s="117">
        <v>7139065</v>
      </c>
      <c r="U6" s="117">
        <v>9532429</v>
      </c>
      <c r="V6" s="117">
        <v>5647024</v>
      </c>
    </row>
    <row r="7" spans="1:22" ht="15.5" x14ac:dyDescent="0.35">
      <c r="A7" s="144"/>
      <c r="B7" s="116">
        <v>40550</v>
      </c>
      <c r="C7" s="116">
        <v>360721</v>
      </c>
      <c r="D7" s="116">
        <v>146880</v>
      </c>
      <c r="E7" s="116">
        <v>597346</v>
      </c>
      <c r="F7" s="116">
        <v>1407147</v>
      </c>
      <c r="G7" s="116">
        <v>2824200</v>
      </c>
      <c r="H7" s="116">
        <v>8636929</v>
      </c>
      <c r="I7" s="116">
        <v>221890</v>
      </c>
      <c r="J7" s="116">
        <v>124360</v>
      </c>
      <c r="K7" s="116">
        <v>187670</v>
      </c>
      <c r="L7" s="116">
        <v>6830685</v>
      </c>
      <c r="M7" s="116">
        <v>10207333</v>
      </c>
      <c r="N7" s="118"/>
      <c r="O7" s="117">
        <v>1051750</v>
      </c>
      <c r="P7" s="117">
        <v>6575230</v>
      </c>
      <c r="Q7" s="117">
        <v>509042</v>
      </c>
      <c r="R7" s="117">
        <v>3585093</v>
      </c>
      <c r="S7" s="117">
        <v>5050297</v>
      </c>
      <c r="T7" s="117">
        <v>2959656</v>
      </c>
      <c r="U7" s="117">
        <v>3061895</v>
      </c>
      <c r="V7" s="117">
        <v>9941655</v>
      </c>
    </row>
    <row r="8" spans="1:22" ht="15.5" x14ac:dyDescent="0.35">
      <c r="A8" s="144"/>
      <c r="B8" s="116">
        <v>53094</v>
      </c>
      <c r="C8" s="116">
        <v>344097</v>
      </c>
      <c r="D8" s="116">
        <v>748608</v>
      </c>
      <c r="E8" s="116">
        <v>302042</v>
      </c>
      <c r="F8" s="116">
        <v>3407131</v>
      </c>
      <c r="G8" s="116">
        <v>4204638</v>
      </c>
      <c r="H8" s="116">
        <v>8970874</v>
      </c>
      <c r="I8" s="116">
        <v>22654</v>
      </c>
      <c r="J8" s="116">
        <v>99056</v>
      </c>
      <c r="K8" s="116">
        <v>601125</v>
      </c>
      <c r="L8" s="116">
        <v>6970468</v>
      </c>
      <c r="M8" s="116">
        <v>9296723</v>
      </c>
      <c r="N8" s="118"/>
      <c r="O8" s="116">
        <v>2595395</v>
      </c>
      <c r="P8" s="116">
        <v>5892886</v>
      </c>
      <c r="Q8" s="116">
        <v>757127</v>
      </c>
      <c r="R8" s="116">
        <v>4185361</v>
      </c>
      <c r="S8" s="116">
        <v>3591559</v>
      </c>
      <c r="T8" s="116">
        <v>5631530</v>
      </c>
      <c r="U8" s="116">
        <v>10406767</v>
      </c>
      <c r="V8" s="116">
        <v>8117949</v>
      </c>
    </row>
    <row r="9" spans="1:22" ht="15.5" x14ac:dyDescent="0.35">
      <c r="A9" s="144"/>
      <c r="B9" s="116">
        <v>75087</v>
      </c>
      <c r="C9" s="116">
        <v>77787</v>
      </c>
      <c r="D9" s="116">
        <v>234915</v>
      </c>
      <c r="E9" s="116">
        <v>700636</v>
      </c>
      <c r="F9" s="116">
        <v>1763103</v>
      </c>
      <c r="G9" s="116">
        <v>4443005</v>
      </c>
      <c r="H9" s="116">
        <v>6909642</v>
      </c>
      <c r="I9" s="116">
        <v>77501</v>
      </c>
      <c r="J9" s="116">
        <v>232367</v>
      </c>
      <c r="K9" s="116">
        <v>85237</v>
      </c>
      <c r="L9" s="116">
        <v>4069831</v>
      </c>
      <c r="M9" s="116">
        <v>11759164</v>
      </c>
      <c r="N9" s="118"/>
      <c r="O9" s="116">
        <v>2510173</v>
      </c>
      <c r="P9" s="116">
        <v>6207305</v>
      </c>
      <c r="Q9" s="116">
        <v>600</v>
      </c>
      <c r="R9" s="116">
        <v>5178763</v>
      </c>
      <c r="S9" s="116">
        <v>6572033</v>
      </c>
      <c r="T9" s="116">
        <v>5108736</v>
      </c>
      <c r="U9" s="116">
        <v>5756618</v>
      </c>
      <c r="V9" s="116">
        <v>9521278</v>
      </c>
    </row>
    <row r="10" spans="1:22" ht="15.5" x14ac:dyDescent="0.35">
      <c r="A10" s="144"/>
      <c r="B10" s="116">
        <v>68929</v>
      </c>
      <c r="C10" s="116">
        <v>6194</v>
      </c>
      <c r="D10" s="116">
        <v>137492</v>
      </c>
      <c r="E10" s="116">
        <v>687994</v>
      </c>
      <c r="F10" s="116">
        <v>700008</v>
      </c>
      <c r="G10" s="116">
        <v>6553005</v>
      </c>
      <c r="H10" s="116">
        <v>3075559</v>
      </c>
      <c r="I10" s="116">
        <v>138073</v>
      </c>
      <c r="J10" s="116">
        <v>85130</v>
      </c>
      <c r="K10" s="116">
        <v>710239</v>
      </c>
      <c r="L10" s="116">
        <v>9605732</v>
      </c>
      <c r="M10" s="116">
        <v>6824751</v>
      </c>
      <c r="N10" s="118"/>
      <c r="O10" s="116">
        <v>4189082</v>
      </c>
      <c r="P10" s="116">
        <v>5587389</v>
      </c>
      <c r="Q10" s="116">
        <v>72680</v>
      </c>
      <c r="R10" s="116">
        <v>2780175</v>
      </c>
      <c r="S10" s="116">
        <v>4362055</v>
      </c>
      <c r="T10" s="116">
        <v>1594421</v>
      </c>
      <c r="U10" s="116">
        <v>7961656</v>
      </c>
      <c r="V10" s="116">
        <v>9507970</v>
      </c>
    </row>
    <row r="11" spans="1:22" ht="15.5" x14ac:dyDescent="0.35">
      <c r="A11" s="144"/>
      <c r="B11" s="116">
        <v>276722</v>
      </c>
      <c r="C11" s="117">
        <v>131435</v>
      </c>
      <c r="D11" s="117">
        <v>490774</v>
      </c>
      <c r="E11" s="117">
        <v>863991</v>
      </c>
      <c r="F11" s="117">
        <v>4290628</v>
      </c>
      <c r="G11" s="117">
        <v>3745163</v>
      </c>
      <c r="H11" s="117">
        <v>10020915</v>
      </c>
      <c r="I11" s="117">
        <v>384</v>
      </c>
      <c r="J11" s="117">
        <v>30573</v>
      </c>
      <c r="K11" s="117">
        <v>86996</v>
      </c>
      <c r="L11" s="117">
        <v>6274060</v>
      </c>
      <c r="M11" s="117">
        <v>7589197</v>
      </c>
      <c r="N11" s="118"/>
      <c r="O11" s="116">
        <v>147960</v>
      </c>
      <c r="P11" s="116">
        <v>2109787</v>
      </c>
      <c r="Q11" s="116">
        <v>271968</v>
      </c>
      <c r="R11" s="116">
        <v>432076</v>
      </c>
      <c r="S11" s="116">
        <v>913864</v>
      </c>
      <c r="T11" s="116">
        <v>5483057</v>
      </c>
      <c r="U11" s="116">
        <v>11349985</v>
      </c>
      <c r="V11" s="116">
        <v>5671926</v>
      </c>
    </row>
    <row r="12" spans="1:22" ht="15.5" x14ac:dyDescent="0.35">
      <c r="A12" s="144"/>
      <c r="B12" s="116">
        <v>253389</v>
      </c>
      <c r="C12" s="117">
        <v>11562</v>
      </c>
      <c r="D12" s="117">
        <v>128915</v>
      </c>
      <c r="E12" s="117">
        <v>1095426</v>
      </c>
      <c r="F12" s="117"/>
      <c r="G12" s="117">
        <v>2374348</v>
      </c>
      <c r="H12" s="117">
        <v>4995155</v>
      </c>
      <c r="I12" s="117">
        <v>54294</v>
      </c>
      <c r="J12" s="117">
        <v>22296</v>
      </c>
      <c r="K12" s="117">
        <v>9588</v>
      </c>
      <c r="L12" s="117">
        <v>7498810</v>
      </c>
      <c r="M12" s="117">
        <v>9567521</v>
      </c>
      <c r="N12" s="118"/>
      <c r="O12" s="117">
        <v>1523142</v>
      </c>
      <c r="P12" s="117">
        <v>4459517</v>
      </c>
      <c r="Q12" s="117">
        <v>8017175</v>
      </c>
      <c r="R12" s="117">
        <v>2150522</v>
      </c>
      <c r="S12" s="117">
        <v>2001073</v>
      </c>
      <c r="T12" s="117">
        <v>5423980</v>
      </c>
      <c r="U12" s="117"/>
      <c r="V12" s="117">
        <v>9029063</v>
      </c>
    </row>
    <row r="13" spans="1:22" ht="15.5" x14ac:dyDescent="0.35">
      <c r="A13" s="144"/>
      <c r="B13" s="116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8"/>
      <c r="O13" s="117">
        <v>3209674</v>
      </c>
      <c r="P13" s="117"/>
      <c r="Q13" s="117"/>
      <c r="R13" s="117"/>
      <c r="S13" s="117"/>
      <c r="T13" s="117"/>
      <c r="U13" s="117"/>
      <c r="V13" s="117"/>
    </row>
    <row r="14" spans="1:22" ht="15.5" x14ac:dyDescent="0.35">
      <c r="A14" s="144"/>
      <c r="B14" s="116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8"/>
      <c r="O14" s="117">
        <v>3132146</v>
      </c>
      <c r="P14" s="117"/>
      <c r="Q14" s="117"/>
      <c r="R14" s="117"/>
      <c r="S14" s="117"/>
      <c r="T14" s="117"/>
      <c r="U14" s="117"/>
      <c r="V14" s="117"/>
    </row>
    <row r="15" spans="1:22" ht="15.5" x14ac:dyDescent="0.35">
      <c r="A15" s="144"/>
      <c r="B15" s="116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8"/>
      <c r="O15" s="117">
        <v>2576970</v>
      </c>
      <c r="P15" s="117"/>
      <c r="Q15" s="117"/>
      <c r="R15" s="117"/>
      <c r="S15" s="117"/>
      <c r="T15" s="117"/>
      <c r="U15" s="117"/>
      <c r="V15" s="117"/>
    </row>
    <row r="16" spans="1:22" ht="15.5" x14ac:dyDescent="0.35">
      <c r="A16" s="144"/>
      <c r="B16" s="116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8"/>
      <c r="O16" s="117">
        <v>4394890</v>
      </c>
      <c r="P16" s="117"/>
      <c r="Q16" s="117"/>
      <c r="R16" s="117"/>
      <c r="S16" s="117"/>
      <c r="T16" s="117"/>
      <c r="U16" s="117"/>
      <c r="V16" s="117"/>
    </row>
    <row r="17" spans="1:22" s="1" customFormat="1" ht="15.5" x14ac:dyDescent="0.35">
      <c r="A17" s="144"/>
      <c r="B17" s="116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8"/>
      <c r="O17" s="117">
        <v>2383529</v>
      </c>
      <c r="P17" s="117"/>
      <c r="Q17" s="117"/>
      <c r="R17" s="117"/>
      <c r="S17" s="117"/>
      <c r="T17" s="117"/>
      <c r="U17" s="117"/>
      <c r="V17" s="117"/>
    </row>
    <row r="18" spans="1:22" s="1" customFormat="1" ht="15.5" x14ac:dyDescent="0.35">
      <c r="A18" s="144"/>
      <c r="B18" s="116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8"/>
      <c r="O18" s="117">
        <v>2117810</v>
      </c>
      <c r="P18" s="117"/>
      <c r="Q18" s="117"/>
      <c r="R18" s="117"/>
      <c r="S18" s="117"/>
      <c r="T18" s="117"/>
      <c r="U18" s="117"/>
      <c r="V18" s="117"/>
    </row>
    <row r="19" spans="1:22" s="1" customFormat="1" ht="15.5" x14ac:dyDescent="0.35">
      <c r="A19" s="144"/>
      <c r="B19" s="116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8"/>
      <c r="O19" s="117">
        <v>548401</v>
      </c>
      <c r="P19" s="117"/>
      <c r="Q19" s="117"/>
      <c r="R19" s="117"/>
      <c r="S19" s="117"/>
      <c r="T19" s="117"/>
      <c r="U19" s="117"/>
      <c r="V19" s="117"/>
    </row>
    <row r="20" spans="1:22" ht="15.5" x14ac:dyDescent="0.35">
      <c r="A20" s="144"/>
      <c r="B20" s="116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8"/>
      <c r="O20" s="117">
        <v>351225</v>
      </c>
      <c r="P20" s="117"/>
      <c r="Q20" s="117"/>
      <c r="R20" s="117"/>
      <c r="S20" s="117"/>
      <c r="T20" s="117"/>
      <c r="U20" s="117"/>
      <c r="V20" s="117"/>
    </row>
    <row r="21" spans="1:22" s="1" customFormat="1" ht="16.5" x14ac:dyDescent="0.35">
      <c r="A21" s="47"/>
      <c r="B21" s="48"/>
      <c r="C21" s="6"/>
      <c r="D21" s="6"/>
      <c r="E21" s="6"/>
      <c r="F21" s="6"/>
      <c r="G21" s="6"/>
      <c r="H21" s="6"/>
      <c r="I21" s="6"/>
      <c r="J21" s="6"/>
      <c r="K21" s="16"/>
      <c r="L21" s="16"/>
      <c r="M21" s="16"/>
      <c r="N21" s="3"/>
      <c r="O21" s="6"/>
      <c r="P21" s="16"/>
      <c r="Q21" s="16"/>
      <c r="R21" s="6"/>
      <c r="S21" s="6"/>
      <c r="T21" s="6"/>
      <c r="U21" s="6"/>
      <c r="V21" s="6"/>
    </row>
    <row r="22" spans="1:22" s="50" customFormat="1" x14ac:dyDescent="0.35">
      <c r="A22" s="49" t="str">
        <f t="shared" ref="A22:M22" si="0">A4</f>
        <v>Group names</v>
      </c>
      <c r="B22" s="49" t="str">
        <f t="shared" si="0"/>
        <v>Solvent control</v>
      </c>
      <c r="C22" s="49" t="str">
        <f t="shared" si="0"/>
        <v>EE2-33.8ng/L</v>
      </c>
      <c r="D22" s="49" t="str">
        <f t="shared" si="0"/>
        <v>EE2-50.6ng/L</v>
      </c>
      <c r="E22" s="49" t="str">
        <f t="shared" si="0"/>
        <v>EE2-76ng/L</v>
      </c>
      <c r="F22" s="49" t="str">
        <f t="shared" si="0"/>
        <v>EE2-114ng/L</v>
      </c>
      <c r="G22" s="49" t="str">
        <f t="shared" si="0"/>
        <v>EE2-170.9ng/L</v>
      </c>
      <c r="H22" s="49" t="str">
        <f t="shared" si="0"/>
        <v>EE2-488ng/L</v>
      </c>
      <c r="I22" s="49" t="str">
        <f t="shared" si="0"/>
        <v>Estrone-0.04µg/L</v>
      </c>
      <c r="J22" s="49" t="str">
        <f t="shared" si="0"/>
        <v>Estrone-0.2µg/L</v>
      </c>
      <c r="K22" s="49" t="str">
        <f t="shared" si="0"/>
        <v>Estrone-1µg/L</v>
      </c>
      <c r="L22" s="49" t="str">
        <f t="shared" si="0"/>
        <v>Estrone-5µg/L</v>
      </c>
      <c r="M22" s="49" t="str">
        <f t="shared" si="0"/>
        <v>Estrone-25µg/L</v>
      </c>
      <c r="N22" s="49" t="s">
        <v>12</v>
      </c>
      <c r="O22" s="49" t="str">
        <f t="shared" ref="O22:V22" si="1">O4</f>
        <v>Testo -30µg/L</v>
      </c>
      <c r="P22" s="49" t="str">
        <f t="shared" si="1"/>
        <v>Testo 30µg/L + EE2 -64ng/L</v>
      </c>
      <c r="Q22" s="49" t="str">
        <f t="shared" si="1"/>
        <v>Testo 30µg/L + FAD-10mg/L</v>
      </c>
      <c r="R22" s="49" t="str">
        <f t="shared" si="1"/>
        <v>Estrone-0.04µg/L + Testostérone</v>
      </c>
      <c r="S22" s="49" t="str">
        <f t="shared" si="1"/>
        <v>Estrone-0.2µg/L + Testostérone</v>
      </c>
      <c r="T22" s="49" t="str">
        <f t="shared" si="1"/>
        <v>Estrone-1µg/L + Testostérone</v>
      </c>
      <c r="U22" s="49" t="str">
        <f t="shared" si="1"/>
        <v>Estrone-5µg/L + Testostérone</v>
      </c>
      <c r="V22" s="49" t="str">
        <f t="shared" si="1"/>
        <v>Estrone-25µg/L + Testostérone</v>
      </c>
    </row>
    <row r="23" spans="1:22" x14ac:dyDescent="0.35">
      <c r="A23" s="4" t="s">
        <v>0</v>
      </c>
      <c r="B23" s="4">
        <f t="shared" ref="B23:M23" si="2">AVERAGE(B5:B20)</f>
        <v>168661.625</v>
      </c>
      <c r="C23" s="4">
        <f t="shared" si="2"/>
        <v>140117.875</v>
      </c>
      <c r="D23" s="4">
        <f t="shared" si="2"/>
        <v>301191.75</v>
      </c>
      <c r="E23" s="4">
        <f t="shared" si="2"/>
        <v>651581.25</v>
      </c>
      <c r="F23" s="4">
        <f t="shared" si="2"/>
        <v>2450996.1428571427</v>
      </c>
      <c r="G23" s="4">
        <f t="shared" si="2"/>
        <v>3863674.25</v>
      </c>
      <c r="H23" s="4">
        <f t="shared" si="2"/>
        <v>7177552.875</v>
      </c>
      <c r="I23" s="4">
        <f t="shared" si="2"/>
        <v>137686.25</v>
      </c>
      <c r="J23" s="4">
        <f t="shared" si="2"/>
        <v>84544.875</v>
      </c>
      <c r="K23" s="4">
        <f t="shared" si="2"/>
        <v>412745.75</v>
      </c>
      <c r="L23" s="4">
        <f t="shared" si="2"/>
        <v>6693568.375</v>
      </c>
      <c r="M23" s="4">
        <f t="shared" si="2"/>
        <v>8436747.75</v>
      </c>
      <c r="N23" s="4" t="s">
        <v>0</v>
      </c>
      <c r="O23" s="4">
        <f t="shared" ref="O23:V23" si="3">AVERAGE(O5:O20)</f>
        <v>2034415.25</v>
      </c>
      <c r="P23" s="4">
        <f t="shared" si="3"/>
        <v>4529412.125</v>
      </c>
      <c r="Q23" s="4">
        <f t="shared" si="3"/>
        <v>1235197.875</v>
      </c>
      <c r="R23" s="4">
        <f t="shared" si="3"/>
        <v>2859820.125</v>
      </c>
      <c r="S23" s="4">
        <f t="shared" si="3"/>
        <v>3586165</v>
      </c>
      <c r="T23" s="4">
        <f t="shared" si="3"/>
        <v>4743198</v>
      </c>
      <c r="U23" s="4">
        <f t="shared" si="3"/>
        <v>8042355.5714285718</v>
      </c>
      <c r="V23" s="4">
        <f t="shared" si="3"/>
        <v>8033626.625</v>
      </c>
    </row>
    <row r="24" spans="1:22" x14ac:dyDescent="0.35">
      <c r="A24" s="3" t="s">
        <v>1</v>
      </c>
      <c r="B24" s="3">
        <f t="shared" ref="B24:M24" si="4">STDEV(B5:B20)</f>
        <v>148697.71775646775</v>
      </c>
      <c r="C24" s="3">
        <f t="shared" si="4"/>
        <v>141467.34345872144</v>
      </c>
      <c r="D24" s="3">
        <f t="shared" si="4"/>
        <v>216416.44836864874</v>
      </c>
      <c r="E24" s="3">
        <f t="shared" si="4"/>
        <v>290543.29552790284</v>
      </c>
      <c r="F24" s="3">
        <f t="shared" si="4"/>
        <v>1301040.2184725665</v>
      </c>
      <c r="G24" s="3">
        <f t="shared" si="4"/>
        <v>1330627.3514600708</v>
      </c>
      <c r="H24" s="3">
        <f t="shared" si="4"/>
        <v>2330664.5627567526</v>
      </c>
      <c r="I24" s="3">
        <f t="shared" si="4"/>
        <v>150339.21028389671</v>
      </c>
      <c r="J24" s="3">
        <f t="shared" si="4"/>
        <v>71058.53702494163</v>
      </c>
      <c r="K24" s="3">
        <f t="shared" si="4"/>
        <v>540436.32872383774</v>
      </c>
      <c r="L24" s="3">
        <f t="shared" si="4"/>
        <v>1680289.5143909778</v>
      </c>
      <c r="M24" s="3">
        <f t="shared" si="4"/>
        <v>3016988.4721656153</v>
      </c>
      <c r="N24" s="3" t="s">
        <v>1</v>
      </c>
      <c r="O24" s="3">
        <f t="shared" ref="O24:V24" si="5">STDEV(O5:O20)</f>
        <v>1324210.5387227263</v>
      </c>
      <c r="P24" s="3">
        <f t="shared" si="5"/>
        <v>1996429.4511592751</v>
      </c>
      <c r="Q24" s="3">
        <f t="shared" si="5"/>
        <v>2752192.0133530675</v>
      </c>
      <c r="R24" s="3">
        <f t="shared" si="5"/>
        <v>1598082.9754717669</v>
      </c>
      <c r="S24" s="3">
        <f t="shared" si="5"/>
        <v>1816678.3966897232</v>
      </c>
      <c r="T24" s="3">
        <f t="shared" si="5"/>
        <v>1723313.4560133195</v>
      </c>
      <c r="U24" s="3">
        <f t="shared" si="5"/>
        <v>2852525.5987207689</v>
      </c>
      <c r="V24" s="3">
        <f t="shared" si="5"/>
        <v>1762401.9299347401</v>
      </c>
    </row>
    <row r="25" spans="1:22" ht="15" thickBot="1" x14ac:dyDescent="0.4"/>
    <row r="26" spans="1:22" ht="15" thickBot="1" x14ac:dyDescent="0.4">
      <c r="B26" s="147" t="s">
        <v>42</v>
      </c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"/>
      <c r="O26" s="147" t="s">
        <v>43</v>
      </c>
      <c r="P26" s="148"/>
      <c r="Q26" s="148"/>
      <c r="R26" s="148"/>
      <c r="S26" s="148"/>
      <c r="T26" s="148"/>
      <c r="U26" s="148"/>
      <c r="V26" s="148"/>
    </row>
    <row r="27" spans="1:22" s="1" customFormat="1" x14ac:dyDescent="0.35">
      <c r="A27" s="17" t="str">
        <f>A4</f>
        <v>Group names</v>
      </c>
      <c r="B27" s="18" t="str">
        <f t="shared" ref="B27:M27" si="6">B4</f>
        <v>Solvent control</v>
      </c>
      <c r="C27" s="18" t="str">
        <f t="shared" si="6"/>
        <v>EE2-33.8ng/L</v>
      </c>
      <c r="D27" s="18" t="str">
        <f t="shared" si="6"/>
        <v>EE2-50.6ng/L</v>
      </c>
      <c r="E27" s="18" t="str">
        <f t="shared" si="6"/>
        <v>EE2-76ng/L</v>
      </c>
      <c r="F27" s="18" t="str">
        <f t="shared" si="6"/>
        <v>EE2-114ng/L</v>
      </c>
      <c r="G27" s="18" t="str">
        <f t="shared" si="6"/>
        <v>EE2-170.9ng/L</v>
      </c>
      <c r="H27" s="18" t="str">
        <f t="shared" si="6"/>
        <v>EE2-488ng/L</v>
      </c>
      <c r="I27" s="18" t="str">
        <f t="shared" si="6"/>
        <v>Estrone-0.04µg/L</v>
      </c>
      <c r="J27" s="18" t="str">
        <f t="shared" si="6"/>
        <v>Estrone-0.2µg/L</v>
      </c>
      <c r="K27" s="18" t="str">
        <f t="shared" si="6"/>
        <v>Estrone-1µg/L</v>
      </c>
      <c r="L27" s="18" t="str">
        <f t="shared" si="6"/>
        <v>Estrone-5µg/L</v>
      </c>
      <c r="M27" s="18" t="str">
        <f t="shared" si="6"/>
        <v>Estrone-25µg/L</v>
      </c>
      <c r="N27" s="3"/>
      <c r="O27" s="19" t="str">
        <f t="shared" ref="O27:V27" si="7">O4</f>
        <v>Testo -30µg/L</v>
      </c>
      <c r="P27" s="19" t="str">
        <f t="shared" si="7"/>
        <v>Testo 30µg/L + EE2 -64ng/L</v>
      </c>
      <c r="Q27" s="19" t="str">
        <f t="shared" si="7"/>
        <v>Testo 30µg/L + FAD-10mg/L</v>
      </c>
      <c r="R27" s="19" t="str">
        <f t="shared" si="7"/>
        <v>Estrone-0.04µg/L + Testostérone</v>
      </c>
      <c r="S27" s="19" t="str">
        <f t="shared" si="7"/>
        <v>Estrone-0.2µg/L + Testostérone</v>
      </c>
      <c r="T27" s="19" t="str">
        <f t="shared" si="7"/>
        <v>Estrone-1µg/L + Testostérone</v>
      </c>
      <c r="U27" s="19" t="str">
        <f t="shared" si="7"/>
        <v>Estrone-5µg/L + Testostérone</v>
      </c>
      <c r="V27" s="19" t="str">
        <f t="shared" si="7"/>
        <v>Estrone-25µg/L + Testostérone</v>
      </c>
    </row>
    <row r="28" spans="1:22" x14ac:dyDescent="0.35">
      <c r="A28" s="145" t="s">
        <v>36</v>
      </c>
      <c r="B28" s="10">
        <f t="shared" ref="B28:M28" si="8">IF(B5="","",(B5/$O$23))</f>
        <v>0.22636283325147116</v>
      </c>
      <c r="C28" s="10">
        <f t="shared" si="8"/>
        <v>7.6074439571763922E-2</v>
      </c>
      <c r="D28" s="10">
        <f t="shared" si="8"/>
        <v>0.14974376543825063</v>
      </c>
      <c r="E28" s="10">
        <f t="shared" si="8"/>
        <v>0.37747750858631246</v>
      </c>
      <c r="F28" s="10">
        <f t="shared" si="8"/>
        <v>1.7199664621074777</v>
      </c>
      <c r="G28" s="10">
        <f t="shared" si="8"/>
        <v>1.9985438076125315</v>
      </c>
      <c r="H28" s="10">
        <f t="shared" si="8"/>
        <v>3.0556534611112456</v>
      </c>
      <c r="I28" s="10">
        <f t="shared" si="8"/>
        <v>5.9053823942776675E-2</v>
      </c>
      <c r="J28" s="10">
        <f t="shared" si="8"/>
        <v>8.4186352810715504E-3</v>
      </c>
      <c r="K28" s="10">
        <f t="shared" si="8"/>
        <v>2.1271960087794268E-2</v>
      </c>
      <c r="L28" s="10">
        <f t="shared" si="8"/>
        <v>3.6132903545625701</v>
      </c>
      <c r="M28" s="10">
        <f t="shared" si="8"/>
        <v>5.0227032067322535</v>
      </c>
      <c r="N28" s="5"/>
      <c r="O28" s="10">
        <f t="shared" ref="O28:V37" si="9">IF(O5="","",(O5/$O$23))</f>
        <v>0.59397362460785719</v>
      </c>
      <c r="P28" s="10">
        <f t="shared" si="9"/>
        <v>2.134112000979151</v>
      </c>
      <c r="Q28" s="10">
        <f t="shared" si="9"/>
        <v>2.9342092279341692E-2</v>
      </c>
      <c r="R28" s="10">
        <f t="shared" si="9"/>
        <v>0.50561309939059884</v>
      </c>
      <c r="S28" s="10">
        <f t="shared" si="9"/>
        <v>1.1250987230851714</v>
      </c>
      <c r="T28" s="10">
        <f t="shared" si="9"/>
        <v>2.2636180101382939</v>
      </c>
      <c r="U28" s="10">
        <f t="shared" si="9"/>
        <v>4.0439821712897599</v>
      </c>
      <c r="V28" s="10">
        <f t="shared" si="9"/>
        <v>3.3582858760029448</v>
      </c>
    </row>
    <row r="29" spans="1:22" x14ac:dyDescent="0.35">
      <c r="A29" s="146"/>
      <c r="B29" s="10">
        <f t="shared" ref="B29:M29" si="10">IF(B6="","",(B6/$O$23))</f>
        <v>5.9479499084564964E-2</v>
      </c>
      <c r="C29" s="10">
        <f t="shared" si="10"/>
        <v>1.6899204820648096E-2</v>
      </c>
      <c r="D29" s="10">
        <f t="shared" si="10"/>
        <v>0.10681644271001213</v>
      </c>
      <c r="E29" s="10">
        <f t="shared" si="10"/>
        <v>9.6965946357313232E-2</v>
      </c>
      <c r="F29" s="10">
        <f t="shared" si="10"/>
        <v>1.0272386623134093</v>
      </c>
      <c r="G29" s="10">
        <f t="shared" si="10"/>
        <v>1.3267532279852896</v>
      </c>
      <c r="H29" s="10">
        <f t="shared" si="10"/>
        <v>4.224742711695658</v>
      </c>
      <c r="I29" s="10">
        <f t="shared" si="10"/>
        <v>0.22933076224236915</v>
      </c>
      <c r="J29" s="10">
        <f t="shared" si="10"/>
        <v>3.2171406501204709E-2</v>
      </c>
      <c r="K29" s="10">
        <f t="shared" si="10"/>
        <v>0.77557175212877505</v>
      </c>
      <c r="L29" s="10">
        <f t="shared" si="10"/>
        <v>2.4321622638249494</v>
      </c>
      <c r="M29" s="10">
        <f t="shared" si="10"/>
        <v>0.99833551680267829</v>
      </c>
      <c r="N29" s="5"/>
      <c r="O29" s="10">
        <f t="shared" si="9"/>
        <v>0.29989354434892285</v>
      </c>
      <c r="P29" s="10">
        <f t="shared" si="9"/>
        <v>0.52177794086040208</v>
      </c>
      <c r="Q29" s="10">
        <f t="shared" si="9"/>
        <v>9.5013542589203456E-2</v>
      </c>
      <c r="R29" s="10">
        <f t="shared" si="9"/>
        <v>1.7390471291443572</v>
      </c>
      <c r="S29" s="10">
        <f t="shared" si="9"/>
        <v>1.9216927321007842</v>
      </c>
      <c r="T29" s="10">
        <f t="shared" si="9"/>
        <v>3.5091483904281588</v>
      </c>
      <c r="U29" s="10">
        <f t="shared" si="9"/>
        <v>4.6855866814800962</v>
      </c>
      <c r="V29" s="10">
        <f t="shared" si="9"/>
        <v>2.7757479698404737</v>
      </c>
    </row>
    <row r="30" spans="1:22" x14ac:dyDescent="0.35">
      <c r="A30" s="146"/>
      <c r="B30" s="10">
        <f t="shared" ref="B30:M30" si="11">IF(B7="","",(B7/$O$23))</f>
        <v>1.9932017320456089E-2</v>
      </c>
      <c r="C30" s="10">
        <f t="shared" si="11"/>
        <v>0.17730942589031418</v>
      </c>
      <c r="D30" s="10">
        <f t="shared" si="11"/>
        <v>7.2197649914391857E-2</v>
      </c>
      <c r="E30" s="10">
        <f t="shared" si="11"/>
        <v>0.29362048873748858</v>
      </c>
      <c r="F30" s="10">
        <f t="shared" si="11"/>
        <v>0.69167147660734452</v>
      </c>
      <c r="G30" s="10">
        <f t="shared" si="11"/>
        <v>1.3882121656333435</v>
      </c>
      <c r="H30" s="10">
        <f t="shared" si="11"/>
        <v>4.2454110585338958</v>
      </c>
      <c r="I30" s="10">
        <f t="shared" si="11"/>
        <v>0.10906819539422938</v>
      </c>
      <c r="J30" s="10">
        <f t="shared" si="11"/>
        <v>6.1128130060959775E-2</v>
      </c>
      <c r="K30" s="10">
        <f t="shared" si="11"/>
        <v>9.224763725104794E-2</v>
      </c>
      <c r="L30" s="10">
        <f t="shared" si="11"/>
        <v>3.3575667504458591</v>
      </c>
      <c r="M30" s="10">
        <f t="shared" si="11"/>
        <v>5.0173301640360783</v>
      </c>
      <c r="N30" s="5"/>
      <c r="O30" s="10">
        <f t="shared" si="9"/>
        <v>0.51697901890973341</v>
      </c>
      <c r="P30" s="10">
        <f t="shared" si="9"/>
        <v>3.2319999567443274</v>
      </c>
      <c r="Q30" s="10">
        <f t="shared" si="9"/>
        <v>0.25021538744364014</v>
      </c>
      <c r="R30" s="10">
        <f t="shared" si="9"/>
        <v>1.762222830368579</v>
      </c>
      <c r="S30" s="10">
        <f t="shared" si="9"/>
        <v>2.4824317454364344</v>
      </c>
      <c r="T30" s="10">
        <f t="shared" si="9"/>
        <v>1.454794442776616</v>
      </c>
      <c r="U30" s="10">
        <f t="shared" si="9"/>
        <v>1.5050491781360762</v>
      </c>
      <c r="V30" s="10">
        <f t="shared" si="9"/>
        <v>4.8867383391861621</v>
      </c>
    </row>
    <row r="31" spans="1:22" x14ac:dyDescent="0.35">
      <c r="A31" s="146"/>
      <c r="B31" s="10">
        <f t="shared" ref="B31:M31" si="12">IF(B8="","",(B8/$O$23))</f>
        <v>2.609791683384206E-2</v>
      </c>
      <c r="C31" s="10">
        <f t="shared" si="12"/>
        <v>0.16913803610152844</v>
      </c>
      <c r="D31" s="10">
        <f t="shared" si="12"/>
        <v>0.36797207453099851</v>
      </c>
      <c r="E31" s="10">
        <f t="shared" si="12"/>
        <v>0.14846624847115161</v>
      </c>
      <c r="F31" s="10">
        <f t="shared" si="12"/>
        <v>1.6747470802728204</v>
      </c>
      <c r="G31" s="10">
        <f t="shared" si="12"/>
        <v>2.0667550540628321</v>
      </c>
      <c r="H31" s="10">
        <f t="shared" si="12"/>
        <v>4.4095589629501646</v>
      </c>
      <c r="I31" s="10">
        <f t="shared" si="12"/>
        <v>1.1135386445810412E-2</v>
      </c>
      <c r="J31" s="10">
        <f t="shared" si="12"/>
        <v>4.8690158019607847E-2</v>
      </c>
      <c r="K31" s="10">
        <f t="shared" si="12"/>
        <v>0.29547802495090419</v>
      </c>
      <c r="L31" s="10">
        <f t="shared" si="12"/>
        <v>3.4262759286728706</v>
      </c>
      <c r="M31" s="10">
        <f t="shared" si="12"/>
        <v>4.569727345486621</v>
      </c>
      <c r="N31" s="5"/>
      <c r="O31" s="10">
        <f t="shared" si="9"/>
        <v>1.275744959147352</v>
      </c>
      <c r="P31" s="10">
        <f t="shared" si="9"/>
        <v>2.8965994036861451</v>
      </c>
      <c r="Q31" s="10">
        <f t="shared" si="9"/>
        <v>0.37215951856436391</v>
      </c>
      <c r="R31" s="10">
        <f t="shared" si="9"/>
        <v>2.0572796040533023</v>
      </c>
      <c r="S31" s="10">
        <f t="shared" si="9"/>
        <v>1.7654011392217002</v>
      </c>
      <c r="T31" s="10">
        <f t="shared" si="9"/>
        <v>2.7681320222112964</v>
      </c>
      <c r="U31" s="10">
        <f t="shared" si="9"/>
        <v>5.1153602982478628</v>
      </c>
      <c r="V31" s="10">
        <f t="shared" si="9"/>
        <v>3.990310729336108</v>
      </c>
    </row>
    <row r="32" spans="1:22" x14ac:dyDescent="0.35">
      <c r="A32" s="146"/>
      <c r="B32" s="10">
        <f t="shared" ref="B32:M32" si="13">IF(B9="","",(B9/$O$23))</f>
        <v>3.6908394193368339E-2</v>
      </c>
      <c r="C32" s="10">
        <f t="shared" si="13"/>
        <v>3.8235556875618193E-2</v>
      </c>
      <c r="D32" s="10">
        <f t="shared" si="13"/>
        <v>0.11547052648174949</v>
      </c>
      <c r="E32" s="10">
        <f t="shared" si="13"/>
        <v>0.34439183445955784</v>
      </c>
      <c r="F32" s="10">
        <f t="shared" si="13"/>
        <v>0.86663870613435479</v>
      </c>
      <c r="G32" s="10">
        <f t="shared" si="13"/>
        <v>2.1839223826109246</v>
      </c>
      <c r="H32" s="10">
        <f t="shared" si="13"/>
        <v>3.3963774111504521</v>
      </c>
      <c r="I32" s="10">
        <f t="shared" si="13"/>
        <v>3.8094975939646537E-2</v>
      </c>
      <c r="J32" s="10">
        <f t="shared" si="13"/>
        <v>0.11421807814309295</v>
      </c>
      <c r="K32" s="10">
        <f t="shared" si="13"/>
        <v>4.1897542795159441E-2</v>
      </c>
      <c r="L32" s="10">
        <f t="shared" si="13"/>
        <v>2.0004917875050339</v>
      </c>
      <c r="M32" s="10">
        <f t="shared" si="13"/>
        <v>5.7801198649095848</v>
      </c>
      <c r="N32" s="5"/>
      <c r="O32" s="10">
        <f t="shared" si="9"/>
        <v>1.233854789478205</v>
      </c>
      <c r="P32" s="10">
        <f t="shared" si="9"/>
        <v>3.0511494642010768</v>
      </c>
      <c r="Q32" s="10">
        <f t="shared" si="9"/>
        <v>2.9492504049996674E-4</v>
      </c>
      <c r="R32" s="10">
        <f t="shared" si="9"/>
        <v>2.5455781458578821</v>
      </c>
      <c r="S32" s="10">
        <f t="shared" si="9"/>
        <v>3.2304284978201969</v>
      </c>
      <c r="T32" s="10">
        <f t="shared" si="9"/>
        <v>2.5111569528393969</v>
      </c>
      <c r="U32" s="10">
        <f t="shared" si="9"/>
        <v>2.8296179946547295</v>
      </c>
      <c r="V32" s="10">
        <f t="shared" si="9"/>
        <v>4.6801054996024041</v>
      </c>
    </row>
    <row r="33" spans="1:22" x14ac:dyDescent="0.35">
      <c r="A33" s="146"/>
      <c r="B33" s="10">
        <f t="shared" ref="B33:M33" si="14">IF(B10="","",(B10/$O$23))</f>
        <v>3.3881480194370345E-2</v>
      </c>
      <c r="C33" s="10">
        <f t="shared" si="14"/>
        <v>3.04460950142799E-3</v>
      </c>
      <c r="D33" s="10">
        <f t="shared" si="14"/>
        <v>6.7583056114035714E-2</v>
      </c>
      <c r="E33" s="10">
        <f t="shared" si="14"/>
        <v>0.33817776385622356</v>
      </c>
      <c r="F33" s="10">
        <f t="shared" si="14"/>
        <v>0.34408314625050124</v>
      </c>
      <c r="G33" s="10">
        <f t="shared" si="14"/>
        <v>3.2210754417024745</v>
      </c>
      <c r="H33" s="10">
        <f t="shared" si="14"/>
        <v>1.5117656043917287</v>
      </c>
      <c r="I33" s="10">
        <f t="shared" si="14"/>
        <v>6.7868641861586518E-2</v>
      </c>
      <c r="J33" s="10">
        <f t="shared" si="14"/>
        <v>4.1844947829603615E-2</v>
      </c>
      <c r="K33" s="10">
        <f t="shared" si="14"/>
        <v>0.3491121097327598</v>
      </c>
      <c r="L33" s="10">
        <f t="shared" si="14"/>
        <v>4.7216181652197111</v>
      </c>
      <c r="M33" s="10">
        <f t="shared" si="14"/>
        <v>3.3546499417953144</v>
      </c>
      <c r="N33" s="5"/>
      <c r="O33" s="10">
        <f t="shared" si="9"/>
        <v>2.0591086308461364</v>
      </c>
      <c r="P33" s="10">
        <f t="shared" si="9"/>
        <v>2.746434878523448</v>
      </c>
      <c r="Q33" s="10">
        <f t="shared" si="9"/>
        <v>3.5725253239229308E-2</v>
      </c>
      <c r="R33" s="10">
        <f t="shared" si="9"/>
        <v>1.3665720407866584</v>
      </c>
      <c r="S33" s="10">
        <f t="shared" si="9"/>
        <v>2.1441320792301375</v>
      </c>
      <c r="T33" s="10">
        <f t="shared" si="9"/>
        <v>0.78372446333166246</v>
      </c>
      <c r="U33" s="10">
        <f t="shared" si="9"/>
        <v>3.9134861970780057</v>
      </c>
      <c r="V33" s="10">
        <f t="shared" si="9"/>
        <v>4.6735640622041146</v>
      </c>
    </row>
    <row r="34" spans="1:22" x14ac:dyDescent="0.35">
      <c r="A34" s="146"/>
      <c r="B34" s="10">
        <f t="shared" ref="B34:M34" si="15">IF(B11="","",(B11/$O$23))</f>
        <v>0.13602041176205301</v>
      </c>
      <c r="C34" s="10">
        <f t="shared" si="15"/>
        <v>6.4605787830188555E-2</v>
      </c>
      <c r="D34" s="10">
        <f t="shared" si="15"/>
        <v>0.24123590304388448</v>
      </c>
      <c r="E34" s="10">
        <f t="shared" si="15"/>
        <v>0.42468763444434465</v>
      </c>
      <c r="F34" s="10">
        <f t="shared" si="15"/>
        <v>2.1090227277838189</v>
      </c>
      <c r="G34" s="10">
        <f t="shared" si="15"/>
        <v>1.8409039157566283</v>
      </c>
      <c r="H34" s="10">
        <f t="shared" si="15"/>
        <v>4.9256979370362073</v>
      </c>
      <c r="I34" s="10">
        <f t="shared" si="15"/>
        <v>1.8875202591997871E-4</v>
      </c>
      <c r="J34" s="10">
        <f t="shared" si="15"/>
        <v>1.5027905438675807E-2</v>
      </c>
      <c r="K34" s="10">
        <f t="shared" si="15"/>
        <v>4.2762164705558513E-2</v>
      </c>
      <c r="L34" s="10">
        <f t="shared" si="15"/>
        <v>3.0839623326653691</v>
      </c>
      <c r="M34" s="10">
        <f t="shared" si="15"/>
        <v>3.7304070543120438</v>
      </c>
      <c r="N34" s="5"/>
      <c r="O34" s="10">
        <f t="shared" si="9"/>
        <v>7.2728514987291798E-2</v>
      </c>
      <c r="P34" s="10">
        <f t="shared" si="9"/>
        <v>1.0370483607021723</v>
      </c>
      <c r="Q34" s="10">
        <f t="shared" si="9"/>
        <v>0.13368362235782494</v>
      </c>
      <c r="R34" s="10">
        <f t="shared" si="9"/>
        <v>0.21238338633177273</v>
      </c>
      <c r="S34" s="10">
        <f t="shared" si="9"/>
        <v>0.44920229535243605</v>
      </c>
      <c r="T34" s="10">
        <f t="shared" si="9"/>
        <v>2.6951513463143772</v>
      </c>
      <c r="U34" s="10">
        <f t="shared" si="9"/>
        <v>5.5789913096650254</v>
      </c>
      <c r="V34" s="10">
        <f t="shared" si="9"/>
        <v>2.7879883421046907</v>
      </c>
    </row>
    <row r="35" spans="1:22" x14ac:dyDescent="0.35">
      <c r="A35" s="146"/>
      <c r="B35" s="10">
        <f t="shared" ref="B35:M35" si="16">IF(B12="","",(B12/$O$23))</f>
        <v>0.12455126847874347</v>
      </c>
      <c r="C35" s="10">
        <f t="shared" si="16"/>
        <v>5.6832055304343598E-3</v>
      </c>
      <c r="D35" s="10">
        <f t="shared" si="16"/>
        <v>6.3367102660088687E-2</v>
      </c>
      <c r="E35" s="10">
        <f t="shared" si="16"/>
        <v>0.53844759569119427</v>
      </c>
      <c r="F35" s="10" t="str">
        <f t="shared" si="16"/>
        <v/>
      </c>
      <c r="G35" s="10">
        <f t="shared" si="16"/>
        <v>1.1670911334350251</v>
      </c>
      <c r="H35" s="10">
        <f t="shared" si="16"/>
        <v>2.4553271511310193</v>
      </c>
      <c r="I35" s="10">
        <f t="shared" si="16"/>
        <v>2.6687766914841992E-2</v>
      </c>
      <c r="J35" s="10">
        <f t="shared" si="16"/>
        <v>1.0959414504978764E-2</v>
      </c>
      <c r="K35" s="10">
        <f t="shared" si="16"/>
        <v>4.7129021471894687E-3</v>
      </c>
      <c r="L35" s="10">
        <f t="shared" si="16"/>
        <v>3.6859780715859261</v>
      </c>
      <c r="M35" s="10">
        <f t="shared" si="16"/>
        <v>4.702835864015471</v>
      </c>
      <c r="N35" s="5"/>
      <c r="O35" s="10">
        <f t="shared" si="9"/>
        <v>0.74868786006200061</v>
      </c>
      <c r="P35" s="10">
        <f t="shared" si="9"/>
        <v>2.1920387197254838</v>
      </c>
      <c r="Q35" s="10">
        <f t="shared" si="9"/>
        <v>3.9407761026172015</v>
      </c>
      <c r="R35" s="10">
        <f t="shared" si="9"/>
        <v>1.0570713132434493</v>
      </c>
      <c r="S35" s="10">
        <f t="shared" si="9"/>
        <v>0.98361089261398327</v>
      </c>
      <c r="T35" s="10">
        <f t="shared" si="9"/>
        <v>2.6661125352850163</v>
      </c>
      <c r="U35" s="10" t="str">
        <f t="shared" si="9"/>
        <v/>
      </c>
      <c r="V35" s="10">
        <f t="shared" si="9"/>
        <v>4.4381612849195857</v>
      </c>
    </row>
    <row r="36" spans="1:22" s="1" customFormat="1" x14ac:dyDescent="0.35">
      <c r="A36" s="146"/>
      <c r="B36" s="10" t="str">
        <f t="shared" ref="B36:M36" si="17">IF(B13="","",(B13/$O$23))</f>
        <v/>
      </c>
      <c r="C36" s="10" t="str">
        <f t="shared" si="17"/>
        <v/>
      </c>
      <c r="D36" s="10" t="str">
        <f t="shared" si="17"/>
        <v/>
      </c>
      <c r="E36" s="10" t="str">
        <f t="shared" si="17"/>
        <v/>
      </c>
      <c r="F36" s="10" t="str">
        <f t="shared" si="17"/>
        <v/>
      </c>
      <c r="G36" s="10" t="str">
        <f t="shared" si="17"/>
        <v/>
      </c>
      <c r="H36" s="10" t="str">
        <f t="shared" si="17"/>
        <v/>
      </c>
      <c r="I36" s="10" t="str">
        <f t="shared" si="17"/>
        <v/>
      </c>
      <c r="J36" s="10" t="str">
        <f t="shared" si="17"/>
        <v/>
      </c>
      <c r="K36" s="10" t="str">
        <f t="shared" si="17"/>
        <v/>
      </c>
      <c r="L36" s="10" t="str">
        <f t="shared" si="17"/>
        <v/>
      </c>
      <c r="M36" s="10" t="str">
        <f t="shared" si="17"/>
        <v/>
      </c>
      <c r="N36" s="5"/>
      <c r="O36" s="10">
        <f t="shared" si="9"/>
        <v>1.5776887240694839</v>
      </c>
      <c r="P36" s="10" t="str">
        <f t="shared" si="9"/>
        <v/>
      </c>
      <c r="Q36" s="10" t="str">
        <f t="shared" si="9"/>
        <v/>
      </c>
      <c r="R36" s="10" t="str">
        <f t="shared" si="9"/>
        <v/>
      </c>
      <c r="S36" s="10" t="str">
        <f t="shared" si="9"/>
        <v/>
      </c>
      <c r="T36" s="10" t="str">
        <f t="shared" si="9"/>
        <v/>
      </c>
      <c r="U36" s="10" t="str">
        <f t="shared" si="9"/>
        <v/>
      </c>
      <c r="V36" s="10" t="str">
        <f t="shared" si="9"/>
        <v/>
      </c>
    </row>
    <row r="37" spans="1:22" s="1" customFormat="1" x14ac:dyDescent="0.35">
      <c r="A37" s="146"/>
      <c r="B37" s="10" t="str">
        <f t="shared" ref="B37:M37" si="18">IF(B14="","",(B14/$O$23))</f>
        <v/>
      </c>
      <c r="C37" s="10" t="str">
        <f t="shared" si="18"/>
        <v/>
      </c>
      <c r="D37" s="10" t="str">
        <f t="shared" si="18"/>
        <v/>
      </c>
      <c r="E37" s="10" t="str">
        <f t="shared" si="18"/>
        <v/>
      </c>
      <c r="F37" s="10" t="str">
        <f t="shared" si="18"/>
        <v/>
      </c>
      <c r="G37" s="10" t="str">
        <f t="shared" si="18"/>
        <v/>
      </c>
      <c r="H37" s="10" t="str">
        <f t="shared" si="18"/>
        <v/>
      </c>
      <c r="I37" s="10" t="str">
        <f t="shared" si="18"/>
        <v/>
      </c>
      <c r="J37" s="10" t="str">
        <f t="shared" si="18"/>
        <v/>
      </c>
      <c r="K37" s="10" t="str">
        <f t="shared" si="18"/>
        <v/>
      </c>
      <c r="L37" s="10" t="str">
        <f t="shared" si="18"/>
        <v/>
      </c>
      <c r="M37" s="10" t="str">
        <f t="shared" si="18"/>
        <v/>
      </c>
      <c r="N37" s="5"/>
      <c r="O37" s="10">
        <f t="shared" si="9"/>
        <v>1.5395804765030148</v>
      </c>
      <c r="P37" s="10" t="str">
        <f t="shared" si="9"/>
        <v/>
      </c>
      <c r="Q37" s="10" t="str">
        <f t="shared" si="9"/>
        <v/>
      </c>
      <c r="R37" s="10" t="str">
        <f t="shared" si="9"/>
        <v/>
      </c>
      <c r="S37" s="10" t="str">
        <f t="shared" si="9"/>
        <v/>
      </c>
      <c r="T37" s="10" t="str">
        <f t="shared" si="9"/>
        <v/>
      </c>
      <c r="U37" s="10" t="str">
        <f t="shared" si="9"/>
        <v/>
      </c>
      <c r="V37" s="10" t="str">
        <f t="shared" si="9"/>
        <v/>
      </c>
    </row>
    <row r="38" spans="1:22" s="1" customFormat="1" x14ac:dyDescent="0.35">
      <c r="A38" s="146"/>
      <c r="B38" s="10" t="str">
        <f t="shared" ref="B38:M38" si="19">IF(B15="","",(B15/$O$23))</f>
        <v/>
      </c>
      <c r="C38" s="10" t="str">
        <f t="shared" si="19"/>
        <v/>
      </c>
      <c r="D38" s="10" t="str">
        <f t="shared" si="19"/>
        <v/>
      </c>
      <c r="E38" s="10" t="str">
        <f t="shared" si="19"/>
        <v/>
      </c>
      <c r="F38" s="10" t="str">
        <f t="shared" si="19"/>
        <v/>
      </c>
      <c r="G38" s="10" t="str">
        <f t="shared" si="19"/>
        <v/>
      </c>
      <c r="H38" s="10" t="str">
        <f t="shared" si="19"/>
        <v/>
      </c>
      <c r="I38" s="10" t="str">
        <f t="shared" si="19"/>
        <v/>
      </c>
      <c r="J38" s="10" t="str">
        <f t="shared" si="19"/>
        <v/>
      </c>
      <c r="K38" s="10" t="str">
        <f t="shared" si="19"/>
        <v/>
      </c>
      <c r="L38" s="10" t="str">
        <f t="shared" si="19"/>
        <v/>
      </c>
      <c r="M38" s="10" t="str">
        <f t="shared" si="19"/>
        <v/>
      </c>
      <c r="N38" s="5"/>
      <c r="O38" s="10">
        <f t="shared" ref="O38:R38" si="20">IF(O15="","",(O15/$O$23))</f>
        <v>1.2666883026953322</v>
      </c>
      <c r="P38" s="10" t="str">
        <f t="shared" si="20"/>
        <v/>
      </c>
      <c r="Q38" s="10" t="str">
        <f t="shared" si="20"/>
        <v/>
      </c>
      <c r="R38" s="10" t="str">
        <f t="shared" si="20"/>
        <v/>
      </c>
      <c r="S38" s="10" t="str">
        <f t="shared" ref="S38:V43" si="21">IF(S15="","",(S15/$O$23))</f>
        <v/>
      </c>
      <c r="T38" s="10" t="str">
        <f t="shared" si="21"/>
        <v/>
      </c>
      <c r="U38" s="10" t="str">
        <f t="shared" si="21"/>
        <v/>
      </c>
      <c r="V38" s="10" t="str">
        <f t="shared" si="21"/>
        <v/>
      </c>
    </row>
    <row r="39" spans="1:22" s="1" customFormat="1" x14ac:dyDescent="0.35">
      <c r="A39" s="146"/>
      <c r="B39" s="10" t="str">
        <f t="shared" ref="B39:M39" si="22">IF(B16="","",(B16/$O$23))</f>
        <v/>
      </c>
      <c r="C39" s="10" t="str">
        <f t="shared" si="22"/>
        <v/>
      </c>
      <c r="D39" s="10" t="str">
        <f t="shared" si="22"/>
        <v/>
      </c>
      <c r="E39" s="10" t="str">
        <f t="shared" si="22"/>
        <v/>
      </c>
      <c r="F39" s="10" t="str">
        <f t="shared" si="22"/>
        <v/>
      </c>
      <c r="G39" s="10" t="str">
        <f t="shared" si="22"/>
        <v/>
      </c>
      <c r="H39" s="10" t="str">
        <f t="shared" si="22"/>
        <v/>
      </c>
      <c r="I39" s="10" t="str">
        <f t="shared" si="22"/>
        <v/>
      </c>
      <c r="J39" s="10" t="str">
        <f t="shared" si="22"/>
        <v/>
      </c>
      <c r="K39" s="10" t="str">
        <f t="shared" si="22"/>
        <v/>
      </c>
      <c r="L39" s="10" t="str">
        <f t="shared" si="22"/>
        <v/>
      </c>
      <c r="M39" s="10" t="str">
        <f t="shared" si="22"/>
        <v/>
      </c>
      <c r="N39" s="5"/>
      <c r="O39" s="10">
        <f t="shared" ref="O39:R39" si="23">IF(O16="","",(O16/$O$23))</f>
        <v>2.1602718520714981</v>
      </c>
      <c r="P39" s="10" t="str">
        <f t="shared" si="23"/>
        <v/>
      </c>
      <c r="Q39" s="10" t="str">
        <f t="shared" si="23"/>
        <v/>
      </c>
      <c r="R39" s="10" t="str">
        <f t="shared" si="23"/>
        <v/>
      </c>
      <c r="S39" s="10" t="str">
        <f t="shared" si="21"/>
        <v/>
      </c>
      <c r="T39" s="10" t="str">
        <f t="shared" si="21"/>
        <v/>
      </c>
      <c r="U39" s="10" t="str">
        <f t="shared" si="21"/>
        <v/>
      </c>
      <c r="V39" s="10" t="str">
        <f t="shared" si="21"/>
        <v/>
      </c>
    </row>
    <row r="40" spans="1:22" s="1" customFormat="1" x14ac:dyDescent="0.35">
      <c r="A40" s="146"/>
      <c r="B40" s="10" t="str">
        <f t="shared" ref="B40:M40" si="24">IF(B17="","",(B17/$O$23))</f>
        <v/>
      </c>
      <c r="C40" s="10" t="str">
        <f t="shared" si="24"/>
        <v/>
      </c>
      <c r="D40" s="10" t="str">
        <f t="shared" si="24"/>
        <v/>
      </c>
      <c r="E40" s="10" t="str">
        <f t="shared" si="24"/>
        <v/>
      </c>
      <c r="F40" s="10" t="str">
        <f t="shared" si="24"/>
        <v/>
      </c>
      <c r="G40" s="10" t="str">
        <f t="shared" si="24"/>
        <v/>
      </c>
      <c r="H40" s="10" t="str">
        <f t="shared" si="24"/>
        <v/>
      </c>
      <c r="I40" s="10" t="str">
        <f t="shared" si="24"/>
        <v/>
      </c>
      <c r="J40" s="10" t="str">
        <f t="shared" si="24"/>
        <v/>
      </c>
      <c r="K40" s="10" t="str">
        <f t="shared" si="24"/>
        <v/>
      </c>
      <c r="L40" s="10" t="str">
        <f t="shared" si="24"/>
        <v/>
      </c>
      <c r="M40" s="10" t="str">
        <f t="shared" si="24"/>
        <v/>
      </c>
      <c r="N40" s="5"/>
      <c r="O40" s="10">
        <f t="shared" ref="O40:R40" si="25">IF(O17="","",(O17/$O$23))</f>
        <v>1.1716039780964087</v>
      </c>
      <c r="P40" s="10" t="str">
        <f t="shared" si="25"/>
        <v/>
      </c>
      <c r="Q40" s="10" t="str">
        <f t="shared" si="25"/>
        <v/>
      </c>
      <c r="R40" s="10" t="str">
        <f t="shared" si="25"/>
        <v/>
      </c>
      <c r="S40" s="10" t="str">
        <f t="shared" si="21"/>
        <v/>
      </c>
      <c r="T40" s="10" t="str">
        <f t="shared" si="21"/>
        <v/>
      </c>
      <c r="U40" s="10" t="str">
        <f t="shared" si="21"/>
        <v/>
      </c>
      <c r="V40" s="10" t="str">
        <f t="shared" si="21"/>
        <v/>
      </c>
    </row>
    <row r="41" spans="1:22" s="1" customFormat="1" x14ac:dyDescent="0.35">
      <c r="A41" s="146"/>
      <c r="B41" s="10" t="str">
        <f t="shared" ref="B41:M41" si="26">IF(B18="","",(B18/$O$23))</f>
        <v/>
      </c>
      <c r="C41" s="10" t="str">
        <f t="shared" si="26"/>
        <v/>
      </c>
      <c r="D41" s="10" t="str">
        <f t="shared" si="26"/>
        <v/>
      </c>
      <c r="E41" s="10" t="str">
        <f t="shared" si="26"/>
        <v/>
      </c>
      <c r="F41" s="10" t="str">
        <f t="shared" si="26"/>
        <v/>
      </c>
      <c r="G41" s="10" t="str">
        <f t="shared" si="26"/>
        <v/>
      </c>
      <c r="H41" s="10" t="str">
        <f t="shared" si="26"/>
        <v/>
      </c>
      <c r="I41" s="10" t="str">
        <f t="shared" si="26"/>
        <v/>
      </c>
      <c r="J41" s="10" t="str">
        <f t="shared" si="26"/>
        <v/>
      </c>
      <c r="K41" s="10" t="str">
        <f t="shared" si="26"/>
        <v/>
      </c>
      <c r="L41" s="10" t="str">
        <f t="shared" si="26"/>
        <v/>
      </c>
      <c r="M41" s="10" t="str">
        <f t="shared" si="26"/>
        <v/>
      </c>
      <c r="N41" s="5"/>
      <c r="O41" s="10">
        <f t="shared" ref="O41:R41" si="27">IF(O18="","",(O18/$O$23))</f>
        <v>1.0409920000353909</v>
      </c>
      <c r="P41" s="10" t="str">
        <f t="shared" si="27"/>
        <v/>
      </c>
      <c r="Q41" s="10" t="str">
        <f t="shared" si="27"/>
        <v/>
      </c>
      <c r="R41" s="10" t="str">
        <f t="shared" si="27"/>
        <v/>
      </c>
      <c r="S41" s="10" t="str">
        <f t="shared" si="21"/>
        <v/>
      </c>
      <c r="T41" s="10" t="str">
        <f t="shared" si="21"/>
        <v/>
      </c>
      <c r="U41" s="10" t="str">
        <f t="shared" si="21"/>
        <v/>
      </c>
      <c r="V41" s="10" t="str">
        <f t="shared" si="21"/>
        <v/>
      </c>
    </row>
    <row r="42" spans="1:22" s="1" customFormat="1" x14ac:dyDescent="0.35">
      <c r="A42" s="146"/>
      <c r="B42" s="10" t="str">
        <f t="shared" ref="B42:M42" si="28">IF(B19="","",(B19/$O$23))</f>
        <v/>
      </c>
      <c r="C42" s="10" t="str">
        <f t="shared" si="28"/>
        <v/>
      </c>
      <c r="D42" s="10" t="str">
        <f t="shared" si="28"/>
        <v/>
      </c>
      <c r="E42" s="10" t="str">
        <f t="shared" si="28"/>
        <v/>
      </c>
      <c r="F42" s="10" t="str">
        <f t="shared" si="28"/>
        <v/>
      </c>
      <c r="G42" s="10" t="str">
        <f t="shared" si="28"/>
        <v/>
      </c>
      <c r="H42" s="10" t="str">
        <f t="shared" si="28"/>
        <v/>
      </c>
      <c r="I42" s="10" t="str">
        <f t="shared" si="28"/>
        <v/>
      </c>
      <c r="J42" s="10" t="str">
        <f t="shared" si="28"/>
        <v/>
      </c>
      <c r="K42" s="10" t="str">
        <f t="shared" si="28"/>
        <v/>
      </c>
      <c r="L42" s="10" t="str">
        <f t="shared" si="28"/>
        <v/>
      </c>
      <c r="M42" s="10" t="str">
        <f t="shared" si="28"/>
        <v/>
      </c>
      <c r="N42" s="5"/>
      <c r="O42" s="10">
        <f t="shared" ref="O42:R42" si="29">IF(O19="","",(O19/$O$23))</f>
        <v>0.26956197855870379</v>
      </c>
      <c r="P42" s="10" t="str">
        <f t="shared" si="29"/>
        <v/>
      </c>
      <c r="Q42" s="10" t="str">
        <f t="shared" si="29"/>
        <v/>
      </c>
      <c r="R42" s="10" t="str">
        <f t="shared" si="29"/>
        <v/>
      </c>
      <c r="S42" s="10" t="str">
        <f t="shared" si="21"/>
        <v/>
      </c>
      <c r="T42" s="10" t="str">
        <f t="shared" si="21"/>
        <v/>
      </c>
      <c r="U42" s="10" t="str">
        <f t="shared" si="21"/>
        <v/>
      </c>
      <c r="V42" s="10" t="str">
        <f t="shared" si="21"/>
        <v/>
      </c>
    </row>
    <row r="43" spans="1:22" s="1" customFormat="1" x14ac:dyDescent="0.35">
      <c r="A43" s="146"/>
      <c r="B43" s="10" t="str">
        <f t="shared" ref="B43:M43" si="30">IF(B20="","",(B20/$O$23))</f>
        <v/>
      </c>
      <c r="C43" s="10" t="str">
        <f t="shared" si="30"/>
        <v/>
      </c>
      <c r="D43" s="10" t="str">
        <f t="shared" si="30"/>
        <v/>
      </c>
      <c r="E43" s="10" t="str">
        <f t="shared" si="30"/>
        <v/>
      </c>
      <c r="F43" s="10" t="str">
        <f t="shared" si="30"/>
        <v/>
      </c>
      <c r="G43" s="10" t="str">
        <f t="shared" si="30"/>
        <v/>
      </c>
      <c r="H43" s="10" t="str">
        <f t="shared" si="30"/>
        <v/>
      </c>
      <c r="I43" s="10" t="str">
        <f t="shared" si="30"/>
        <v/>
      </c>
      <c r="J43" s="10" t="str">
        <f t="shared" si="30"/>
        <v/>
      </c>
      <c r="K43" s="10" t="str">
        <f t="shared" si="30"/>
        <v/>
      </c>
      <c r="L43" s="10" t="str">
        <f t="shared" si="30"/>
        <v/>
      </c>
      <c r="M43" s="10" t="str">
        <f t="shared" si="30"/>
        <v/>
      </c>
      <c r="N43" s="5"/>
      <c r="O43" s="10">
        <f t="shared" ref="O43:R43" si="31">IF(O20="","",(O20/$O$23))</f>
        <v>0.17264174558266804</v>
      </c>
      <c r="P43" s="10" t="str">
        <f t="shared" si="31"/>
        <v/>
      </c>
      <c r="Q43" s="10" t="str">
        <f t="shared" si="31"/>
        <v/>
      </c>
      <c r="R43" s="10" t="str">
        <f t="shared" si="31"/>
        <v/>
      </c>
      <c r="S43" s="10" t="str">
        <f t="shared" si="21"/>
        <v/>
      </c>
      <c r="T43" s="10" t="str">
        <f t="shared" si="21"/>
        <v/>
      </c>
      <c r="U43" s="10" t="str">
        <f t="shared" si="21"/>
        <v/>
      </c>
      <c r="V43" s="10" t="str">
        <f t="shared" si="21"/>
        <v/>
      </c>
    </row>
    <row r="44" spans="1:22" x14ac:dyDescent="0.35">
      <c r="A44" s="6"/>
      <c r="B44" s="3"/>
      <c r="C44" s="3"/>
      <c r="D44" s="3"/>
      <c r="E44" s="3"/>
      <c r="F44" s="3"/>
      <c r="G44" s="3"/>
      <c r="H44" s="3"/>
      <c r="I44" s="3"/>
      <c r="J44" s="3"/>
      <c r="N44" s="6"/>
      <c r="O44" s="3"/>
      <c r="P44" s="3"/>
      <c r="Q44" s="3"/>
      <c r="R44" s="3"/>
      <c r="S44" s="3"/>
      <c r="T44" s="3"/>
      <c r="U44" s="3"/>
      <c r="V44" s="3"/>
    </row>
    <row r="45" spans="1:22" s="50" customFormat="1" x14ac:dyDescent="0.35">
      <c r="A45" s="51" t="str">
        <f t="shared" ref="A45:M45" si="32">A4</f>
        <v>Group names</v>
      </c>
      <c r="B45" s="51" t="str">
        <f t="shared" si="32"/>
        <v>Solvent control</v>
      </c>
      <c r="C45" s="51" t="str">
        <f t="shared" si="32"/>
        <v>EE2-33.8ng/L</v>
      </c>
      <c r="D45" s="51" t="str">
        <f t="shared" si="32"/>
        <v>EE2-50.6ng/L</v>
      </c>
      <c r="E45" s="51" t="str">
        <f t="shared" si="32"/>
        <v>EE2-76ng/L</v>
      </c>
      <c r="F45" s="51" t="str">
        <f t="shared" si="32"/>
        <v>EE2-114ng/L</v>
      </c>
      <c r="G45" s="51" t="str">
        <f t="shared" si="32"/>
        <v>EE2-170.9ng/L</v>
      </c>
      <c r="H45" s="51" t="str">
        <f t="shared" si="32"/>
        <v>EE2-488ng/L</v>
      </c>
      <c r="I45" s="51" t="str">
        <f t="shared" si="32"/>
        <v>Estrone-0.04µg/L</v>
      </c>
      <c r="J45" s="51" t="str">
        <f t="shared" si="32"/>
        <v>Estrone-0.2µg/L</v>
      </c>
      <c r="K45" s="51" t="str">
        <f t="shared" si="32"/>
        <v>Estrone-1µg/L</v>
      </c>
      <c r="L45" s="51" t="str">
        <f t="shared" si="32"/>
        <v>Estrone-5µg/L</v>
      </c>
      <c r="M45" s="51" t="str">
        <f t="shared" si="32"/>
        <v>Estrone-25µg/L</v>
      </c>
      <c r="N45" s="51" t="str">
        <f>N22</f>
        <v>Nom des groupes</v>
      </c>
      <c r="O45" s="51" t="str">
        <f t="shared" ref="O45:V45" si="33">O4</f>
        <v>Testo -30µg/L</v>
      </c>
      <c r="P45" s="51" t="str">
        <f t="shared" si="33"/>
        <v>Testo 30µg/L + EE2 -64ng/L</v>
      </c>
      <c r="Q45" s="51" t="str">
        <f t="shared" si="33"/>
        <v>Testo 30µg/L + FAD-10mg/L</v>
      </c>
      <c r="R45" s="51" t="str">
        <f t="shared" si="33"/>
        <v>Estrone-0.04µg/L + Testostérone</v>
      </c>
      <c r="S45" s="51" t="str">
        <f t="shared" si="33"/>
        <v>Estrone-0.2µg/L + Testostérone</v>
      </c>
      <c r="T45" s="51" t="str">
        <f t="shared" si="33"/>
        <v>Estrone-1µg/L + Testostérone</v>
      </c>
      <c r="U45" s="51" t="str">
        <f t="shared" si="33"/>
        <v>Estrone-5µg/L + Testostérone</v>
      </c>
      <c r="V45" s="51" t="str">
        <f t="shared" si="33"/>
        <v>Estrone-25µg/L + Testostérone</v>
      </c>
    </row>
    <row r="46" spans="1:22" x14ac:dyDescent="0.35">
      <c r="A46" s="7" t="s">
        <v>0</v>
      </c>
      <c r="B46" s="9">
        <f t="shared" ref="B46:H46" si="34">AVERAGE(B28:B43)</f>
        <v>8.2904227639858677E-2</v>
      </c>
      <c r="C46" s="9">
        <f t="shared" si="34"/>
        <v>6.8873783265240462E-2</v>
      </c>
      <c r="D46" s="9">
        <f t="shared" si="34"/>
        <v>0.14804831511167643</v>
      </c>
      <c r="E46" s="9">
        <f t="shared" si="34"/>
        <v>0.32027937757544828</v>
      </c>
      <c r="F46" s="9">
        <f t="shared" si="34"/>
        <v>1.2047668944956751</v>
      </c>
      <c r="G46" s="9">
        <f t="shared" si="34"/>
        <v>1.8991571410998813</v>
      </c>
      <c r="H46" s="9">
        <f t="shared" si="34"/>
        <v>3.5280667872500469</v>
      </c>
      <c r="I46" s="9">
        <f>AVERAGE(I28:I43)</f>
        <v>6.7678538095897578E-2</v>
      </c>
      <c r="J46" s="8">
        <f>AVERAGE(J28:J43)</f>
        <v>4.1557334472399385E-2</v>
      </c>
      <c r="K46" s="8">
        <f>AVERAGE(K28:K43)</f>
        <v>0.20288176172489858</v>
      </c>
      <c r="L46" s="8">
        <f t="shared" ref="L46:M46" si="35">AVERAGE(L28:L43)</f>
        <v>3.2901682068102858</v>
      </c>
      <c r="M46" s="8">
        <f t="shared" si="35"/>
        <v>4.1470136197612559</v>
      </c>
      <c r="N46" s="7" t="s">
        <v>0</v>
      </c>
      <c r="O46" s="9">
        <f>AVERAGE(O28:O43)</f>
        <v>1</v>
      </c>
      <c r="P46" s="9">
        <f>AVERAGE(P28:P43)</f>
        <v>2.2263950906777756</v>
      </c>
      <c r="Q46" s="9">
        <f>AVERAGE(Q28:Q43)</f>
        <v>0.60715130551641305</v>
      </c>
      <c r="R46" s="9">
        <f>AVERAGE(R28:R43)</f>
        <v>1.4057209436470752</v>
      </c>
      <c r="S46" s="9">
        <f t="shared" ref="S46:V46" si="36">AVERAGE(S28:S43)</f>
        <v>1.7627497631076054</v>
      </c>
      <c r="T46" s="9">
        <f t="shared" si="36"/>
        <v>2.3314797704156023</v>
      </c>
      <c r="U46" s="9">
        <f t="shared" si="36"/>
        <v>3.9531534043645076</v>
      </c>
      <c r="V46" s="9">
        <f t="shared" si="36"/>
        <v>3.9488627628995605</v>
      </c>
    </row>
    <row r="47" spans="1:22" x14ac:dyDescent="0.35">
      <c r="A47" s="7" t="s">
        <v>1</v>
      </c>
      <c r="B47" s="7">
        <f t="shared" ref="B47:K47" si="37">STDEV(B28:B43)</f>
        <v>7.3091134052631471E-2</v>
      </c>
      <c r="C47" s="7">
        <f t="shared" si="37"/>
        <v>6.9537103331643563E-2</v>
      </c>
      <c r="D47" s="7">
        <f t="shared" si="37"/>
        <v>0.10637771633330449</v>
      </c>
      <c r="E47" s="7">
        <f t="shared" si="37"/>
        <v>0.14281415533426761</v>
      </c>
      <c r="F47" s="7">
        <f t="shared" si="37"/>
        <v>0.63951556520851216</v>
      </c>
      <c r="G47" s="7">
        <f t="shared" si="37"/>
        <v>0.65405887586620715</v>
      </c>
      <c r="H47" s="7">
        <f t="shared" si="37"/>
        <v>1.1456189009381197</v>
      </c>
      <c r="I47" s="7">
        <f>STDEV(I28:I43)</f>
        <v>7.3897996136185418E-2</v>
      </c>
      <c r="J47" s="7">
        <f t="shared" si="37"/>
        <v>3.492823651658216E-2</v>
      </c>
      <c r="K47" s="7">
        <f t="shared" si="37"/>
        <v>0.26564701022755199</v>
      </c>
      <c r="L47" s="7">
        <f t="shared" ref="L47:M47" si="38">STDEV(L28:L43)</f>
        <v>0.82593242180571769</v>
      </c>
      <c r="M47" s="7">
        <f t="shared" si="38"/>
        <v>1.4829757455689605</v>
      </c>
      <c r="N47" s="7" t="s">
        <v>1</v>
      </c>
      <c r="O47" s="7">
        <f>STDEV(O28:O43)</f>
        <v>0.65090474460547143</v>
      </c>
      <c r="P47" s="7">
        <f>STDEV(P28:P43)</f>
        <v>0.98132839456412668</v>
      </c>
      <c r="Q47" s="7">
        <f>STDEV(Q28:Q43)</f>
        <v>1.3528172350030641</v>
      </c>
      <c r="R47" s="7">
        <f>STDEV(R28:R43)</f>
        <v>0.78552447710553008</v>
      </c>
      <c r="S47" s="7">
        <f t="shared" ref="S47:V47" si="39">STDEV(S28:S43)</f>
        <v>0.89297324953188562</v>
      </c>
      <c r="T47" s="7">
        <f t="shared" si="39"/>
        <v>0.84708048468144359</v>
      </c>
      <c r="U47" s="7">
        <f t="shared" si="39"/>
        <v>1.4021353795498597</v>
      </c>
      <c r="V47" s="7">
        <f t="shared" si="39"/>
        <v>0.86629410093870374</v>
      </c>
    </row>
    <row r="48" spans="1:22" x14ac:dyDescent="0.35">
      <c r="A48" s="7" t="s">
        <v>2</v>
      </c>
      <c r="B48" s="7">
        <f t="shared" ref="B48:K48" si="40" xml:space="preserve"> B47/SQRT(COUNT(B28:B43))</f>
        <v>2.5841618266615345E-2</v>
      </c>
      <c r="C48" s="7">
        <f t="shared" si="40"/>
        <v>2.4585078654937413E-2</v>
      </c>
      <c r="D48" s="7">
        <f t="shared" si="40"/>
        <v>3.7610202293209279E-2</v>
      </c>
      <c r="E48" s="7">
        <f t="shared" si="40"/>
        <v>5.0492428843144782E-2</v>
      </c>
      <c r="F48" s="7">
        <f t="shared" si="40"/>
        <v>0.24171416358523337</v>
      </c>
      <c r="G48" s="7">
        <f t="shared" si="40"/>
        <v>0.23124473321012268</v>
      </c>
      <c r="H48" s="7">
        <f t="shared" si="40"/>
        <v>0.405037446754412</v>
      </c>
      <c r="I48" s="7">
        <f xml:space="preserve"> I47/SQRT(COUNT(I28:I43))</f>
        <v>2.6126887091996995E-2</v>
      </c>
      <c r="J48" s="7">
        <f t="shared" si="40"/>
        <v>1.2348996447881419E-2</v>
      </c>
      <c r="K48" s="7">
        <f t="shared" si="40"/>
        <v>9.3920401166917078E-2</v>
      </c>
      <c r="L48" s="7">
        <f t="shared" ref="L48:M48" si="41" xml:space="preserve"> L47/SQRT(COUNT(L28:L43))</f>
        <v>0.29201120813032544</v>
      </c>
      <c r="M48" s="7">
        <f t="shared" si="41"/>
        <v>0.52431110301349404</v>
      </c>
      <c r="N48" s="7" t="s">
        <v>2</v>
      </c>
      <c r="O48" s="7">
        <f xml:space="preserve"> O47/SQRT(COUNT(O28:O43))</f>
        <v>0.16272618615136786</v>
      </c>
      <c r="P48" s="7">
        <f xml:space="preserve"> P47/SQRT(COUNT(P28:P43))</f>
        <v>0.34695198118360093</v>
      </c>
      <c r="Q48" s="7">
        <f xml:space="preserve"> Q47/SQRT(COUNT(Q28:Q43))</f>
        <v>0.47829312028835091</v>
      </c>
      <c r="R48" s="7">
        <f xml:space="preserve"> R47/SQRT(COUNT(R28:R43))</f>
        <v>0.27772484227466859</v>
      </c>
      <c r="S48" s="7">
        <f t="shared" ref="S48:V48" si="42" xml:space="preserve"> S47/SQRT(COUNT(S28:S43))</f>
        <v>0.31571372008109166</v>
      </c>
      <c r="T48" s="7">
        <f t="shared" si="42"/>
        <v>0.29948817746451806</v>
      </c>
      <c r="U48" s="7">
        <f t="shared" si="42"/>
        <v>0.52995735981915548</v>
      </c>
      <c r="V48" s="7">
        <f t="shared" si="42"/>
        <v>0.30628121663783042</v>
      </c>
    </row>
    <row r="49" spans="1:22" s="1" customFormat="1" ht="15" thickBot="1" x14ac:dyDescent="0.4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26.5" thickBot="1" x14ac:dyDescent="0.65">
      <c r="A50" s="141"/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</row>
    <row r="51" spans="1:22" ht="15" thickBot="1" x14ac:dyDescent="0.4">
      <c r="A51"/>
      <c r="B51"/>
      <c r="C51"/>
      <c r="D51"/>
      <c r="E51"/>
      <c r="F51"/>
      <c r="G51"/>
      <c r="H51"/>
      <c r="I51"/>
      <c r="J51"/>
      <c r="K51"/>
      <c r="L51"/>
      <c r="M51"/>
      <c r="S51"/>
      <c r="T51"/>
      <c r="U51"/>
      <c r="V51"/>
    </row>
    <row r="52" spans="1:22" x14ac:dyDescent="0.35">
      <c r="A52" s="27" t="str">
        <f t="shared" ref="A52:H52" si="43">A27</f>
        <v>Group names</v>
      </c>
      <c r="B52" s="28" t="str">
        <f t="shared" si="43"/>
        <v>Solvent control</v>
      </c>
      <c r="C52" s="28" t="str">
        <f t="shared" si="43"/>
        <v>EE2-33.8ng/L</v>
      </c>
      <c r="D52" s="28" t="str">
        <f t="shared" si="43"/>
        <v>EE2-50.6ng/L</v>
      </c>
      <c r="E52" s="28" t="str">
        <f t="shared" si="43"/>
        <v>EE2-76ng/L</v>
      </c>
      <c r="F52" s="28" t="str">
        <f t="shared" si="43"/>
        <v>EE2-114ng/L</v>
      </c>
      <c r="G52" s="28" t="str">
        <f t="shared" si="43"/>
        <v>EE2-170.9ng/L</v>
      </c>
      <c r="H52" s="28" t="str">
        <f t="shared" si="43"/>
        <v>EE2-488ng/L</v>
      </c>
      <c r="I52" s="28" t="str">
        <f>I4</f>
        <v>Estrone-0.04µg/L</v>
      </c>
      <c r="J52" s="28" t="str">
        <f>J4</f>
        <v>Estrone-0.2µg/L</v>
      </c>
      <c r="K52" s="28" t="str">
        <f>K27</f>
        <v>Estrone-1µg/L</v>
      </c>
      <c r="L52" s="28" t="str">
        <f t="shared" ref="L52:M52" si="44">L27</f>
        <v>Estrone-5µg/L</v>
      </c>
      <c r="M52" s="28" t="str">
        <f t="shared" si="44"/>
        <v>Estrone-25µg/L</v>
      </c>
      <c r="N52" s="29"/>
      <c r="O52" s="28" t="str">
        <f>O27</f>
        <v>Testo -30µg/L</v>
      </c>
      <c r="P52" s="28" t="str">
        <f>P27</f>
        <v>Testo 30µg/L + EE2 -64ng/L</v>
      </c>
      <c r="Q52" s="28" t="str">
        <f>Q27</f>
        <v>Testo 30µg/L + FAD-10mg/L</v>
      </c>
      <c r="R52" s="28" t="str">
        <f>R27</f>
        <v>Estrone-0.04µg/L + Testostérone</v>
      </c>
      <c r="S52" s="28" t="str">
        <f t="shared" ref="S52:V52" si="45">S27</f>
        <v>Estrone-0.2µg/L + Testostérone</v>
      </c>
      <c r="T52" s="28" t="str">
        <f t="shared" si="45"/>
        <v>Estrone-1µg/L + Testostérone</v>
      </c>
      <c r="U52" s="28" t="str">
        <f t="shared" si="45"/>
        <v>Estrone-5µg/L + Testostérone</v>
      </c>
      <c r="V52" s="28" t="str">
        <f t="shared" si="45"/>
        <v>Estrone-25µg/L + Testostérone</v>
      </c>
    </row>
    <row r="53" spans="1:22" s="3" customFormat="1" x14ac:dyDescent="0.35">
      <c r="A53" s="43" t="s">
        <v>10</v>
      </c>
      <c r="B53" s="75">
        <f t="shared" ref="B53:M53" si="46">B46</f>
        <v>8.2904227639858677E-2</v>
      </c>
      <c r="C53" s="75">
        <f t="shared" si="46"/>
        <v>6.8873783265240462E-2</v>
      </c>
      <c r="D53" s="75">
        <f t="shared" si="46"/>
        <v>0.14804831511167643</v>
      </c>
      <c r="E53" s="75">
        <f t="shared" si="46"/>
        <v>0.32027937757544828</v>
      </c>
      <c r="F53" s="75">
        <f t="shared" si="46"/>
        <v>1.2047668944956751</v>
      </c>
      <c r="G53" s="75">
        <f t="shared" si="46"/>
        <v>1.8991571410998813</v>
      </c>
      <c r="H53" s="75">
        <f t="shared" si="46"/>
        <v>3.5280667872500469</v>
      </c>
      <c r="I53" s="75">
        <f t="shared" si="46"/>
        <v>6.7678538095897578E-2</v>
      </c>
      <c r="J53" s="75">
        <f t="shared" si="46"/>
        <v>4.1557334472399385E-2</v>
      </c>
      <c r="K53" s="75">
        <f t="shared" si="46"/>
        <v>0.20288176172489858</v>
      </c>
      <c r="L53" s="75">
        <f t="shared" si="46"/>
        <v>3.2901682068102858</v>
      </c>
      <c r="M53" s="75">
        <f t="shared" si="46"/>
        <v>4.1470136197612559</v>
      </c>
      <c r="N53" s="75"/>
      <c r="O53" s="75">
        <f t="shared" ref="O53:V53" si="47">O46</f>
        <v>1</v>
      </c>
      <c r="P53" s="75">
        <f t="shared" si="47"/>
        <v>2.2263950906777756</v>
      </c>
      <c r="Q53" s="75">
        <f t="shared" si="47"/>
        <v>0.60715130551641305</v>
      </c>
      <c r="R53" s="75">
        <f t="shared" si="47"/>
        <v>1.4057209436470752</v>
      </c>
      <c r="S53" s="75">
        <f t="shared" si="47"/>
        <v>1.7627497631076054</v>
      </c>
      <c r="T53" s="75">
        <f t="shared" si="47"/>
        <v>2.3314797704156023</v>
      </c>
      <c r="U53" s="75">
        <f t="shared" si="47"/>
        <v>3.9531534043645076</v>
      </c>
      <c r="V53" s="75">
        <f t="shared" si="47"/>
        <v>3.9488627628995605</v>
      </c>
    </row>
    <row r="54" spans="1:22" s="3" customFormat="1" x14ac:dyDescent="0.35">
      <c r="A54" s="43" t="s">
        <v>2</v>
      </c>
      <c r="B54" s="75">
        <f t="shared" ref="B54:M54" si="48">B48</f>
        <v>2.5841618266615345E-2</v>
      </c>
      <c r="C54" s="75">
        <f t="shared" si="48"/>
        <v>2.4585078654937413E-2</v>
      </c>
      <c r="D54" s="75">
        <f t="shared" si="48"/>
        <v>3.7610202293209279E-2</v>
      </c>
      <c r="E54" s="75">
        <f t="shared" si="48"/>
        <v>5.0492428843144782E-2</v>
      </c>
      <c r="F54" s="75">
        <f t="shared" si="48"/>
        <v>0.24171416358523337</v>
      </c>
      <c r="G54" s="75">
        <f t="shared" si="48"/>
        <v>0.23124473321012268</v>
      </c>
      <c r="H54" s="75">
        <f t="shared" si="48"/>
        <v>0.405037446754412</v>
      </c>
      <c r="I54" s="75">
        <f t="shared" si="48"/>
        <v>2.6126887091996995E-2</v>
      </c>
      <c r="J54" s="75">
        <f t="shared" si="48"/>
        <v>1.2348996447881419E-2</v>
      </c>
      <c r="K54" s="75">
        <f t="shared" si="48"/>
        <v>9.3920401166917078E-2</v>
      </c>
      <c r="L54" s="75">
        <f t="shared" si="48"/>
        <v>0.29201120813032544</v>
      </c>
      <c r="M54" s="75">
        <f t="shared" si="48"/>
        <v>0.52431110301349404</v>
      </c>
      <c r="N54" s="75"/>
      <c r="O54" s="75">
        <f t="shared" ref="O54:V54" si="49">O48</f>
        <v>0.16272618615136786</v>
      </c>
      <c r="P54" s="75">
        <f t="shared" si="49"/>
        <v>0.34695198118360093</v>
      </c>
      <c r="Q54" s="75">
        <f t="shared" si="49"/>
        <v>0.47829312028835091</v>
      </c>
      <c r="R54" s="75">
        <f t="shared" si="49"/>
        <v>0.27772484227466859</v>
      </c>
      <c r="S54" s="75">
        <f t="shared" si="49"/>
        <v>0.31571372008109166</v>
      </c>
      <c r="T54" s="75">
        <f t="shared" si="49"/>
        <v>0.29948817746451806</v>
      </c>
      <c r="U54" s="75">
        <f t="shared" si="49"/>
        <v>0.52995735981915548</v>
      </c>
      <c r="V54" s="75">
        <f t="shared" si="49"/>
        <v>0.30628121663783042</v>
      </c>
    </row>
    <row r="55" spans="1:22" s="3" customFormat="1" x14ac:dyDescent="0.35">
      <c r="A55" s="43" t="s">
        <v>14</v>
      </c>
      <c r="B55" s="75">
        <f t="shared" ref="B55:M55" si="50">(B53*100/$B$53)-100</f>
        <v>0</v>
      </c>
      <c r="C55" s="75">
        <f t="shared" si="50"/>
        <v>-16.923677807562925</v>
      </c>
      <c r="D55" s="75">
        <f t="shared" si="50"/>
        <v>78.577521709517498</v>
      </c>
      <c r="E55" s="75">
        <f t="shared" si="50"/>
        <v>286.32454181560269</v>
      </c>
      <c r="F55" s="75">
        <f t="shared" si="50"/>
        <v>1353.2032066317056</v>
      </c>
      <c r="G55" s="75">
        <f t="shared" si="50"/>
        <v>2190.7844330327071</v>
      </c>
      <c r="H55" s="75">
        <f t="shared" si="50"/>
        <v>4155.5933366585323</v>
      </c>
      <c r="I55" s="75">
        <f t="shared" si="50"/>
        <v>-18.3653958035801</v>
      </c>
      <c r="J55" s="75">
        <f t="shared" si="50"/>
        <v>-49.873081680554186</v>
      </c>
      <c r="K55" s="75">
        <f t="shared" si="50"/>
        <v>144.71823391954158</v>
      </c>
      <c r="L55" s="75">
        <f t="shared" si="50"/>
        <v>3868.637427156295</v>
      </c>
      <c r="M55" s="75">
        <f t="shared" si="50"/>
        <v>4902.1738792093347</v>
      </c>
      <c r="N55" s="75"/>
      <c r="O55" s="75">
        <f t="shared" ref="O55:V55" si="51">(O53*100/$O$53)-100</f>
        <v>0</v>
      </c>
      <c r="P55" s="75">
        <f t="shared" si="51"/>
        <v>122.63950906777757</v>
      </c>
      <c r="Q55" s="75">
        <f t="shared" si="51"/>
        <v>-39.284869448358691</v>
      </c>
      <c r="R55" s="75">
        <f t="shared" si="51"/>
        <v>40.57209436470751</v>
      </c>
      <c r="S55" s="75">
        <f t="shared" si="51"/>
        <v>76.274976310760536</v>
      </c>
      <c r="T55" s="75">
        <f t="shared" si="51"/>
        <v>133.14797704156024</v>
      </c>
      <c r="U55" s="75">
        <f t="shared" si="51"/>
        <v>295.31534043645075</v>
      </c>
      <c r="V55" s="75">
        <f t="shared" si="51"/>
        <v>294.88627628995607</v>
      </c>
    </row>
    <row r="56" spans="1:22" s="3" customFormat="1" x14ac:dyDescent="0.35">
      <c r="A56" s="43" t="s">
        <v>38</v>
      </c>
      <c r="B56" s="75" t="e">
        <f ca="1">[1]!SWTEST(B28:B43)</f>
        <v>#NAME?</v>
      </c>
      <c r="C56" s="75" t="e">
        <f ca="1">[1]!SWTEST(C28:C43)</f>
        <v>#NAME?</v>
      </c>
      <c r="D56" s="75" t="e">
        <f ca="1">[1]!SWTEST(D28:D43)</f>
        <v>#NAME?</v>
      </c>
      <c r="E56" s="75" t="e">
        <f ca="1">[1]!SWTEST(E28:E43)</f>
        <v>#NAME?</v>
      </c>
      <c r="F56" s="75" t="e">
        <f ca="1">[1]!SWTEST(F28:F43)</f>
        <v>#NAME?</v>
      </c>
      <c r="G56" s="75" t="e">
        <f ca="1">[1]!SWTEST(G28:G43)</f>
        <v>#NAME?</v>
      </c>
      <c r="H56" s="75" t="e">
        <f ca="1">[1]!SWTEST(H28:H43)</f>
        <v>#NAME?</v>
      </c>
      <c r="I56" s="75" t="e">
        <f ca="1">[1]!SWTEST(I28:I43)</f>
        <v>#NAME?</v>
      </c>
      <c r="J56" s="75" t="e">
        <f ca="1">[1]!SWTEST(J28:J43)</f>
        <v>#NAME?</v>
      </c>
      <c r="K56" s="75" t="e">
        <f ca="1">[1]!SWTEST(K28:K43)</f>
        <v>#NAME?</v>
      </c>
      <c r="L56" s="75" t="e">
        <f ca="1">[1]!SWTEST(L28:L43)</f>
        <v>#NAME?</v>
      </c>
      <c r="M56" s="75" t="e">
        <f ca="1">[1]!SWTEST(M28:M43)</f>
        <v>#NAME?</v>
      </c>
      <c r="N56" s="75"/>
      <c r="O56" s="75" t="e">
        <f ca="1">[1]!SWTEST(O28:O43)</f>
        <v>#NAME?</v>
      </c>
      <c r="P56" s="75" t="e">
        <f ca="1">[1]!SWTEST(P28:P43)</f>
        <v>#NAME?</v>
      </c>
      <c r="Q56" s="75" t="e">
        <f ca="1">[1]!SWTEST(Q28:Q43)</f>
        <v>#NAME?</v>
      </c>
      <c r="R56" s="75" t="e">
        <f ca="1">[1]!SWTEST(R28:R43)</f>
        <v>#NAME?</v>
      </c>
      <c r="S56" s="75" t="e">
        <f ca="1">[1]!SWTEST(S28:S43)</f>
        <v>#NAME?</v>
      </c>
      <c r="T56" s="75" t="e">
        <f ca="1">[1]!SWTEST(T28:T43)</f>
        <v>#NAME?</v>
      </c>
      <c r="U56" s="75" t="e">
        <f ca="1">[1]!SWTEST(U28:U43)</f>
        <v>#NAME?</v>
      </c>
      <c r="V56" s="75" t="e">
        <f ca="1">[1]!SWTEST(V28:V43)</f>
        <v>#NAME?</v>
      </c>
    </row>
    <row r="57" spans="1:22" s="3" customFormat="1" x14ac:dyDescent="0.35">
      <c r="A57" s="43" t="s">
        <v>39</v>
      </c>
      <c r="B57" s="75" t="e">
        <f t="shared" ref="B57:M57" ca="1" si="52">IF(B56&gt;0.05,"Oui","Non")</f>
        <v>#NAME?</v>
      </c>
      <c r="C57" s="75" t="e">
        <f t="shared" ca="1" si="52"/>
        <v>#NAME?</v>
      </c>
      <c r="D57" s="75" t="e">
        <f t="shared" ca="1" si="52"/>
        <v>#NAME?</v>
      </c>
      <c r="E57" s="75" t="e">
        <f t="shared" ca="1" si="52"/>
        <v>#NAME?</v>
      </c>
      <c r="F57" s="75" t="e">
        <f t="shared" ca="1" si="52"/>
        <v>#NAME?</v>
      </c>
      <c r="G57" s="75" t="e">
        <f t="shared" ca="1" si="52"/>
        <v>#NAME?</v>
      </c>
      <c r="H57" s="75" t="e">
        <f t="shared" ca="1" si="52"/>
        <v>#NAME?</v>
      </c>
      <c r="I57" s="75" t="e">
        <f t="shared" ca="1" si="52"/>
        <v>#NAME?</v>
      </c>
      <c r="J57" s="75" t="e">
        <f t="shared" ca="1" si="52"/>
        <v>#NAME?</v>
      </c>
      <c r="K57" s="75" t="e">
        <f t="shared" ca="1" si="52"/>
        <v>#NAME?</v>
      </c>
      <c r="L57" s="75" t="e">
        <f t="shared" ca="1" si="52"/>
        <v>#NAME?</v>
      </c>
      <c r="M57" s="75" t="e">
        <f t="shared" ca="1" si="52"/>
        <v>#NAME?</v>
      </c>
      <c r="N57" s="75"/>
      <c r="O57" s="75" t="e">
        <f t="shared" ref="O57:V57" ca="1" si="53">IF(O56&gt;0.05,"Oui","Non")</f>
        <v>#NAME?</v>
      </c>
      <c r="P57" s="75" t="e">
        <f t="shared" ca="1" si="53"/>
        <v>#NAME?</v>
      </c>
      <c r="Q57" s="75" t="e">
        <f t="shared" ca="1" si="53"/>
        <v>#NAME?</v>
      </c>
      <c r="R57" s="75" t="e">
        <f t="shared" ca="1" si="53"/>
        <v>#NAME?</v>
      </c>
      <c r="S57" s="75" t="e">
        <f t="shared" ca="1" si="53"/>
        <v>#NAME?</v>
      </c>
      <c r="T57" s="75" t="e">
        <f t="shared" ca="1" si="53"/>
        <v>#NAME?</v>
      </c>
      <c r="U57" s="75" t="e">
        <f t="shared" ca="1" si="53"/>
        <v>#NAME?</v>
      </c>
      <c r="V57" s="75" t="e">
        <f t="shared" ca="1" si="53"/>
        <v>#NAME?</v>
      </c>
    </row>
    <row r="58" spans="1:22" s="3" customFormat="1" x14ac:dyDescent="0.35">
      <c r="A58" s="43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7"/>
      <c r="O58" s="78"/>
      <c r="P58" s="75"/>
      <c r="Q58" s="75"/>
      <c r="R58" s="75"/>
      <c r="S58" s="75"/>
      <c r="T58" s="75"/>
      <c r="U58" s="75"/>
      <c r="V58" s="75"/>
    </row>
    <row r="59" spans="1:22" s="3" customFormat="1" x14ac:dyDescent="0.35">
      <c r="A59" s="43" t="s">
        <v>40</v>
      </c>
      <c r="B59" s="79"/>
      <c r="C59" s="79" t="e">
        <f t="shared" ref="C59:M59" ca="1" si="54">IF($B57="Non",IF(C$57="Non","Mann Withney",IF(C$57="Oui","Mann Withney","")),IF($B$57="Oui",IF(C$57="Oui","T-Test Welch",IF(C$57="Non","Mann Withney",""))))</f>
        <v>#NAME?</v>
      </c>
      <c r="D59" s="79" t="e">
        <f t="shared" ca="1" si="54"/>
        <v>#NAME?</v>
      </c>
      <c r="E59" s="79" t="e">
        <f t="shared" ca="1" si="54"/>
        <v>#NAME?</v>
      </c>
      <c r="F59" s="79" t="e">
        <f t="shared" ca="1" si="54"/>
        <v>#NAME?</v>
      </c>
      <c r="G59" s="79" t="e">
        <f t="shared" ca="1" si="54"/>
        <v>#NAME?</v>
      </c>
      <c r="H59" s="79" t="e">
        <f t="shared" ca="1" si="54"/>
        <v>#NAME?</v>
      </c>
      <c r="I59" s="79" t="e">
        <f t="shared" ca="1" si="54"/>
        <v>#NAME?</v>
      </c>
      <c r="J59" s="79" t="e">
        <f t="shared" ca="1" si="54"/>
        <v>#NAME?</v>
      </c>
      <c r="K59" s="79" t="e">
        <f t="shared" ca="1" si="54"/>
        <v>#NAME?</v>
      </c>
      <c r="L59" s="79" t="e">
        <f t="shared" ca="1" si="54"/>
        <v>#NAME?</v>
      </c>
      <c r="M59" s="79" t="e">
        <f t="shared" ca="1" si="54"/>
        <v>#NAME?</v>
      </c>
      <c r="N59" s="79"/>
      <c r="O59" s="79" t="e">
        <f ca="1">IF($B57="Non",IF(O$57="Non","Mann Withney",IF(O$57="Oui","Mann Withney","")),IF($B$57="Oui",IF(O$57="Oui","T-Test Welch",IF(O$57="Non","Mann Withney",""))))</f>
        <v>#NAME?</v>
      </c>
      <c r="P59" s="79" t="e">
        <f t="shared" ref="P59:V59" ca="1" si="55">IF($O57="Non",IF(P$57="Non","Mann Withney",IF(P$57="Oui","Mann Withney","")),IF($O$57="Oui",IF(P$57="Oui","T-Test Welch",IF(P$57="Non","Mann Withney",""))))</f>
        <v>#NAME?</v>
      </c>
      <c r="Q59" s="79" t="e">
        <f t="shared" ca="1" si="55"/>
        <v>#NAME?</v>
      </c>
      <c r="R59" s="79" t="e">
        <f t="shared" ca="1" si="55"/>
        <v>#NAME?</v>
      </c>
      <c r="S59" s="79" t="e">
        <f t="shared" ca="1" si="55"/>
        <v>#NAME?</v>
      </c>
      <c r="T59" s="79" t="e">
        <f t="shared" ca="1" si="55"/>
        <v>#NAME?</v>
      </c>
      <c r="U59" s="79" t="e">
        <f t="shared" ca="1" si="55"/>
        <v>#NAME?</v>
      </c>
      <c r="V59" s="79" t="e">
        <f t="shared" ca="1" si="55"/>
        <v>#NAME?</v>
      </c>
    </row>
    <row r="60" spans="1:22" s="3" customFormat="1" x14ac:dyDescent="0.35">
      <c r="A60" s="43" t="s">
        <v>41</v>
      </c>
      <c r="B60" s="80"/>
      <c r="C60" s="80" t="e">
        <f ca="1">IF(C59="Mann Withney",[1]!MTEST($B28:$B43,C28:C43,2), IF(C59="T-Test Welch",_xlfn.T.TEST($B28:$B43,C28:C43,2,3),""))</f>
        <v>#NAME?</v>
      </c>
      <c r="D60" s="80" t="e">
        <f ca="1">IF(D59="Mann Withney",[1]!MTEST($B28:$B43,D28:D43,2), IF(D59="T-Test Welch",_xlfn.T.TEST($B28:$B43,D28:D43,2,3),""))</f>
        <v>#NAME?</v>
      </c>
      <c r="E60" s="80" t="e">
        <f ca="1">IF(E59="Mann Withney",[1]!MTEST($B28:$B43,E28:E43,2), IF(E59="T-Test Welch",_xlfn.T.TEST($B28:$B43,E28:E43,2,3),""))</f>
        <v>#NAME?</v>
      </c>
      <c r="F60" s="80" t="e">
        <f ca="1">IF(F59="Mann Withney",[1]!MTEST($B28:$B43,F28:F43,2), IF(F59="T-Test Welch",_xlfn.T.TEST($B28:$B43,F28:F43,2,3),""))</f>
        <v>#NAME?</v>
      </c>
      <c r="G60" s="80" t="e">
        <f ca="1">IF(G59="Mann Withney",[1]!MTEST($B28:$B43,G28:G43,2), IF(G59="T-Test Welch",_xlfn.T.TEST($B28:$B43,G28:G43,2,3),""))</f>
        <v>#NAME?</v>
      </c>
      <c r="H60" s="80" t="e">
        <f ca="1">IF(H59="Mann Withney",[1]!MTEST($B28:$B43,H28:H43,2), IF(H59="T-Test Welch",_xlfn.T.TEST($B28:$B43,H28:H43,2,3),""))</f>
        <v>#NAME?</v>
      </c>
      <c r="I60" s="80" t="e">
        <f ca="1">IF(I59="Mann Withney",[1]!MTEST($B28:$B43,I28:I43,2), IF(I59="T-Test Welch",_xlfn.T.TEST($B28:$B43,I28:I43,2,3),""))</f>
        <v>#NAME?</v>
      </c>
      <c r="J60" s="80" t="e">
        <f ca="1">IF(J59="Mann Withney",[1]!MTEST($B28:$B43,J28:J43,2), IF(J59="T-Test Welch",_xlfn.T.TEST($B28:$B43,J28:J43,2,3),""))</f>
        <v>#NAME?</v>
      </c>
      <c r="K60" s="80" t="e">
        <f ca="1">IF(K59="Mann Withney",[1]!MTEST($B28:$B43,K28:K43,2), IF(K59="T-Test Welch",_xlfn.T.TEST($B28:$B43,K28:K43,2,3),""))</f>
        <v>#NAME?</v>
      </c>
      <c r="L60" s="80" t="e">
        <f ca="1">IF(L59="Mann Withney",[1]!MTEST($B28:$B43,L28:L43,2), IF(L59="T-Test Welch",_xlfn.T.TEST($B28:$B43,L28:L43,2,3),""))</f>
        <v>#NAME?</v>
      </c>
      <c r="M60" s="80" t="e">
        <f ca="1">IF(M59="Mann Withney",[1]!MTEST($B28:$B43,M28:M43,2), IF(M59="T-Test Welch",_xlfn.T.TEST($B28:$B43,M28:M43,2,3),""))</f>
        <v>#NAME?</v>
      </c>
      <c r="N60" s="80"/>
      <c r="O60" s="80" t="e">
        <f ca="1">IF(O59="Mann Withney",[1]!MTEST($B28:$B43,O28:O43,2), IF(O59="T-Test Welch",_xlfn.T.TEST($B28:$B43,O28:O43,2,3),""))</f>
        <v>#NAME?</v>
      </c>
      <c r="P60" s="80" t="e">
        <f ca="1">IF(P59="Mann Withney",[1]!MTEST($O28:$O43,P28:P43,2), IF(P59="T-Test Welch",_xlfn.T.TEST($O28:$O43,P28:P43,2,3),""))</f>
        <v>#NAME?</v>
      </c>
      <c r="Q60" s="80" t="e">
        <f ca="1">IF(Q59="Mann Withney",[1]!MTEST($O28:$O43,Q28:Q43,2), IF(Q59="T-Test Welch",_xlfn.T.TEST($O28:$O43,Q28:Q43,2,3),""))</f>
        <v>#NAME?</v>
      </c>
      <c r="R60" s="80" t="e">
        <f ca="1">IF(R59="Mann Withney",[1]!MTEST($O28:$O43,R28:R43,2), IF(R59="T-Test Welch",_xlfn.T.TEST($O28:$O43,R28:R43,2,3),""))</f>
        <v>#NAME?</v>
      </c>
      <c r="S60" s="80" t="e">
        <f ca="1">IF(S59="Mann Withney",[1]!MTEST($O28:$O43,S28:S43,2), IF(S59="T-Test Welch",_xlfn.T.TEST($O28:$O43,S28:S43,2,3),""))</f>
        <v>#NAME?</v>
      </c>
      <c r="T60" s="80" t="e">
        <f ca="1">IF(T59="Mann Withney",[1]!MTEST($O28:$O43,T28:T43,2), IF(T59="T-Test Welch",_xlfn.T.TEST($O28:$O43,T28:T43,2,3),""))</f>
        <v>#NAME?</v>
      </c>
      <c r="U60" s="80" t="e">
        <f ca="1">IF(U59="Mann Withney",[1]!MTEST($O28:$O43,U28:U43,2), IF(U59="T-Test Welch",_xlfn.T.TEST($O28:$O43,U28:U43,2,3),""))</f>
        <v>#NAME?</v>
      </c>
      <c r="V60" s="80" t="e">
        <f ca="1">IF(V59="Mann Withney",[1]!MTEST($O28:$O43,V28:V43,2), IF(V59="T-Test Welch",_xlfn.T.TEST($O28:$O43,V28:V43,2,3),""))</f>
        <v>#NAME?</v>
      </c>
    </row>
    <row r="61" spans="1:22" s="3" customFormat="1" ht="15" thickBot="1" x14ac:dyDescent="0.4">
      <c r="A61" s="44" t="s">
        <v>15</v>
      </c>
      <c r="B61" s="76"/>
      <c r="C61" s="76" t="e">
        <f t="shared" ref="C61:M61" ca="1" si="56">IF(C60&gt;0.05,"NS",IF(C60&gt;0.01,"*",IF(C60&gt;0.001,"**","***")))</f>
        <v>#NAME?</v>
      </c>
      <c r="D61" s="76" t="e">
        <f t="shared" ca="1" si="56"/>
        <v>#NAME?</v>
      </c>
      <c r="E61" s="76" t="e">
        <f t="shared" ca="1" si="56"/>
        <v>#NAME?</v>
      </c>
      <c r="F61" s="76" t="e">
        <f t="shared" ca="1" si="56"/>
        <v>#NAME?</v>
      </c>
      <c r="G61" s="76" t="e">
        <f t="shared" ca="1" si="56"/>
        <v>#NAME?</v>
      </c>
      <c r="H61" s="76" t="e">
        <f t="shared" ca="1" si="56"/>
        <v>#NAME?</v>
      </c>
      <c r="I61" s="76" t="e">
        <f t="shared" ca="1" si="56"/>
        <v>#NAME?</v>
      </c>
      <c r="J61" s="76" t="e">
        <f t="shared" ca="1" si="56"/>
        <v>#NAME?</v>
      </c>
      <c r="K61" s="76" t="e">
        <f t="shared" ca="1" si="56"/>
        <v>#NAME?</v>
      </c>
      <c r="L61" s="76" t="e">
        <f t="shared" ca="1" si="56"/>
        <v>#NAME?</v>
      </c>
      <c r="M61" s="76" t="e">
        <f t="shared" ca="1" si="56"/>
        <v>#NAME?</v>
      </c>
      <c r="N61" s="76"/>
      <c r="O61" s="76" t="e">
        <f ca="1">IF(O60&gt;0.05,"NS",IF(O60&gt;0.01,"*",IF(O60&gt;0.001,"**","***")))</f>
        <v>#NAME?</v>
      </c>
      <c r="P61" s="76" t="e">
        <f ca="1">IF(P60&gt;0.05,"NS",IF(P60&gt;0.01,"*",IF(P60&gt;0.001,"**","***")))</f>
        <v>#NAME?</v>
      </c>
      <c r="Q61" s="76" t="e">
        <f t="shared" ref="Q61" ca="1" si="57">IF(Q60&gt;0.05,"NS",IF(Q60&gt;0.01,"*",IF(Q60&gt;0.001,"**","***")))</f>
        <v>#NAME?</v>
      </c>
      <c r="R61" s="76" t="e">
        <f t="shared" ref="R61" ca="1" si="58">IF(R60&gt;0.05,"NS",IF(R60&gt;0.01,"*",IF(R60&gt;0.001,"**","***")))</f>
        <v>#NAME?</v>
      </c>
      <c r="S61" s="76" t="e">
        <f t="shared" ref="S61" ca="1" si="59">IF(S60&gt;0.05,"NS",IF(S60&gt;0.01,"*",IF(S60&gt;0.001,"**","***")))</f>
        <v>#NAME?</v>
      </c>
      <c r="T61" s="76" t="e">
        <f t="shared" ref="T61" ca="1" si="60">IF(T60&gt;0.05,"NS",IF(T60&gt;0.01,"*",IF(T60&gt;0.001,"**","***")))</f>
        <v>#NAME?</v>
      </c>
      <c r="U61" s="76" t="e">
        <f t="shared" ref="U61" ca="1" si="61">IF(U60&gt;0.05,"NS",IF(U60&gt;0.01,"*",IF(U60&gt;0.001,"**","***")))</f>
        <v>#NAME?</v>
      </c>
      <c r="V61" s="76" t="e">
        <f t="shared" ref="V61" ca="1" si="62">IF(V60&gt;0.05,"NS",IF(V60&gt;0.01,"*",IF(V60&gt;0.001,"**","***")))</f>
        <v>#NAME?</v>
      </c>
    </row>
    <row r="63" spans="1:22" x14ac:dyDescent="0.35">
      <c r="A63" s="2"/>
    </row>
    <row r="66" spans="1:22" ht="15" thickBot="1" x14ac:dyDescent="0.4"/>
    <row r="67" spans="1:22" s="1" customFormat="1" ht="26.5" thickBot="1" x14ac:dyDescent="0.65">
      <c r="A67" s="141"/>
      <c r="B67" s="142"/>
      <c r="C67" s="142"/>
      <c r="D67" s="142"/>
      <c r="E67" s="142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</row>
    <row r="68" spans="1:22" ht="16.5" x14ac:dyDescent="0.35">
      <c r="A68" s="11"/>
      <c r="B68" s="11"/>
      <c r="C68" s="11"/>
      <c r="D68" s="11"/>
      <c r="E68" s="11"/>
      <c r="F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 ht="16.5" x14ac:dyDescent="0.35">
      <c r="A69" s="11"/>
      <c r="B69" s="11"/>
      <c r="C69" s="11"/>
      <c r="D69" s="11"/>
      <c r="E69" s="11"/>
      <c r="F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 ht="16.5" x14ac:dyDescent="0.35">
      <c r="A70" s="11"/>
      <c r="B70" s="11"/>
      <c r="C70" s="11"/>
      <c r="D70" s="11"/>
      <c r="E70" s="11"/>
      <c r="F70" s="11"/>
      <c r="N70" s="11"/>
      <c r="O70" s="11"/>
      <c r="P70" s="11"/>
      <c r="Q70" s="11"/>
      <c r="R70" s="11"/>
      <c r="S70" s="11"/>
      <c r="T70" s="11"/>
      <c r="U70" s="11"/>
      <c r="V70" s="11"/>
    </row>
    <row r="71" spans="1:22" ht="16.5" x14ac:dyDescent="0.35">
      <c r="A71" s="11"/>
      <c r="B71" s="11"/>
      <c r="C71" s="11"/>
      <c r="D71" s="11"/>
      <c r="E71" s="11"/>
      <c r="F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 ht="16.5" x14ac:dyDescent="0.35">
      <c r="A72" s="11"/>
      <c r="B72" s="11"/>
      <c r="C72" s="11"/>
      <c r="D72" s="11"/>
      <c r="E72" s="11"/>
      <c r="F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1:22" ht="16.5" x14ac:dyDescent="0.35">
      <c r="A73" s="11"/>
      <c r="B73" s="11"/>
      <c r="C73" s="11"/>
      <c r="D73" s="11"/>
      <c r="E73" s="11"/>
      <c r="F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 ht="16.5" x14ac:dyDescent="0.35">
      <c r="A74" s="11"/>
      <c r="B74" s="11"/>
      <c r="C74" s="11"/>
      <c r="D74" s="11"/>
      <c r="E74" s="11"/>
      <c r="F74" s="11"/>
      <c r="N74" s="11"/>
      <c r="O74" s="11"/>
      <c r="P74" s="11"/>
      <c r="Q74" s="11"/>
      <c r="R74" s="11"/>
      <c r="S74" s="11"/>
      <c r="T74" s="11"/>
      <c r="U74" s="11"/>
      <c r="V74" s="11"/>
    </row>
  </sheetData>
  <protectedRanges>
    <protectedRange sqref="O51:V51" name="Plage2"/>
    <protectedRange sqref="R12:V21 R5:V7" name="Plage1"/>
    <protectedRange sqref="B51:J51" name="Plage2_1"/>
    <protectedRange sqref="O5:O7 J5:J6 B13:J21 J11:J12 O12:O21" name="Plage1_1"/>
    <protectedRange sqref="B5:I6 B11:I12 O8:V11 B7:M10" name="Plage1_1_1"/>
  </protectedRanges>
  <mergeCells count="9">
    <mergeCell ref="A1:V1"/>
    <mergeCell ref="A67:V67"/>
    <mergeCell ref="A50:V50"/>
    <mergeCell ref="A5:A20"/>
    <mergeCell ref="A28:A43"/>
    <mergeCell ref="B3:M3"/>
    <mergeCell ref="B26:M26"/>
    <mergeCell ref="O26:V26"/>
    <mergeCell ref="O3:V3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74"/>
  <sheetViews>
    <sheetView showGridLines="0" topLeftCell="J1" zoomScale="70" zoomScaleNormal="70" zoomScaleSheetLayoutView="40" zoomScalePageLayoutView="30" workbookViewId="0">
      <selection activeCell="M5" sqref="M5:M6"/>
    </sheetView>
  </sheetViews>
  <sheetFormatPr baseColWidth="10" defaultColWidth="9.1796875" defaultRowHeight="14.5" x14ac:dyDescent="0.35"/>
  <cols>
    <col min="1" max="1" width="33.54296875" style="1" customWidth="1"/>
    <col min="2" max="2" width="14.81640625" style="1" customWidth="1"/>
    <col min="3" max="5" width="25.81640625" style="1" bestFit="1" customWidth="1"/>
    <col min="6" max="8" width="26.453125" style="1" bestFit="1" customWidth="1"/>
    <col min="9" max="9" width="26.453125" style="1" customWidth="1"/>
    <col min="10" max="10" width="25.81640625" style="1" bestFit="1" customWidth="1"/>
    <col min="11" max="11" width="26.453125" style="1" bestFit="1" customWidth="1"/>
    <col min="12" max="13" width="26.453125" style="1" customWidth="1"/>
    <col min="14" max="14" width="11.7265625" style="1" customWidth="1"/>
    <col min="15" max="15" width="14.81640625" style="1" customWidth="1"/>
    <col min="16" max="16" width="17.7265625" style="1" customWidth="1"/>
    <col min="17" max="18" width="25.81640625" style="1" bestFit="1" customWidth="1"/>
    <col min="19" max="22" width="25.81640625" style="1" customWidth="1"/>
    <col min="23" max="16384" width="9.1796875" style="1"/>
  </cols>
  <sheetData>
    <row r="1" spans="1:22" ht="26.5" thickBot="1" x14ac:dyDescent="0.65">
      <c r="A1" s="139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</row>
    <row r="2" spans="1:22" customFormat="1" ht="15" thickBot="1" x14ac:dyDescent="0.4"/>
    <row r="3" spans="1:22" ht="15" thickBot="1" x14ac:dyDescent="0.4">
      <c r="A3" s="81" t="s">
        <v>6</v>
      </c>
      <c r="B3" s="147" t="s">
        <v>42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O3" s="147" t="s">
        <v>43</v>
      </c>
      <c r="P3" s="148"/>
      <c r="Q3" s="148"/>
      <c r="R3" s="148"/>
      <c r="S3" s="148"/>
      <c r="T3" s="148"/>
      <c r="U3" s="148"/>
      <c r="V3" s="148"/>
    </row>
    <row r="4" spans="1:22" x14ac:dyDescent="0.35">
      <c r="A4" s="17" t="s">
        <v>37</v>
      </c>
      <c r="B4" s="18" t="str">
        <f>'Front page'!A7</f>
        <v>Solvent control</v>
      </c>
      <c r="C4" s="18" t="str">
        <f>'Front page'!A8</f>
        <v>EE2-33.8ng/L</v>
      </c>
      <c r="D4" s="18" t="str">
        <f>'Front page'!A9</f>
        <v>EE2-50.6ng/L</v>
      </c>
      <c r="E4" s="18" t="str">
        <f>'Front page'!A10</f>
        <v>EE2-76ng/L</v>
      </c>
      <c r="F4" s="18" t="str">
        <f>'Front page'!A11</f>
        <v>EE2-114ng/L</v>
      </c>
      <c r="G4" s="18" t="str">
        <f>'Front page'!A12</f>
        <v>EE2-170.9ng/L</v>
      </c>
      <c r="H4" s="18" t="str">
        <f>'Front page'!A13</f>
        <v>EE2-488ng/L</v>
      </c>
      <c r="I4" s="18" t="str">
        <f>'Front page'!A14</f>
        <v>Estrone-0.04µg/L</v>
      </c>
      <c r="J4" s="18" t="str">
        <f>'Front page'!A15</f>
        <v>Estrone-0.2µg/L</v>
      </c>
      <c r="K4" s="18" t="str">
        <f>'Front page'!A16</f>
        <v>Estrone-1µg/L</v>
      </c>
      <c r="L4" s="18" t="str">
        <f>'Front page'!A17</f>
        <v>Estrone-5µg/L</v>
      </c>
      <c r="M4" s="18" t="str">
        <f>'Front page'!A18</f>
        <v>Estrone-25µg/L</v>
      </c>
      <c r="N4" s="3"/>
      <c r="O4" s="19" t="str">
        <f>'Front page'!A35</f>
        <v>Testo -30µg/L</v>
      </c>
      <c r="P4" s="19" t="str">
        <f>'Front page'!A36</f>
        <v>Testo 30µg/L + EE2 -64ng/L</v>
      </c>
      <c r="Q4" s="19" t="str">
        <f>'Front page'!A37</f>
        <v>Testo 30µg/L + FAD-10mg/L</v>
      </c>
      <c r="R4" s="19" t="str">
        <f>'Front page'!A38</f>
        <v>Estrone-0.04µg/L + Testostérone</v>
      </c>
      <c r="S4" s="19" t="str">
        <f>'Front page'!A39</f>
        <v>Estrone-0.2µg/L + Testostérone</v>
      </c>
      <c r="T4" s="19" t="str">
        <f>'Front page'!A40</f>
        <v>Estrone-1µg/L + Testostérone</v>
      </c>
      <c r="U4" s="19" t="str">
        <f>'Front page'!A41</f>
        <v>Estrone-5µg/L + Testostérone</v>
      </c>
      <c r="V4" s="19" t="str">
        <f>'Front page'!A42</f>
        <v>Estrone-25µg/L + Testostérone</v>
      </c>
    </row>
    <row r="5" spans="1:22" x14ac:dyDescent="0.35">
      <c r="A5" s="143" t="s">
        <v>35</v>
      </c>
      <c r="B5" s="119">
        <v>305217</v>
      </c>
      <c r="C5" s="119">
        <v>58590</v>
      </c>
      <c r="D5" s="119">
        <v>95889</v>
      </c>
      <c r="E5" s="119">
        <v>3564799</v>
      </c>
      <c r="F5" s="119">
        <v>1183619</v>
      </c>
      <c r="G5" s="119">
        <v>4632668</v>
      </c>
      <c r="H5" s="119">
        <v>4381135</v>
      </c>
      <c r="I5" s="15">
        <v>248905</v>
      </c>
      <c r="J5" s="15">
        <v>148896</v>
      </c>
      <c r="K5" s="12">
        <v>978579</v>
      </c>
      <c r="L5" s="12">
        <v>6338972</v>
      </c>
      <c r="M5" s="12"/>
      <c r="N5" s="3"/>
      <c r="O5" s="115">
        <v>4057873</v>
      </c>
      <c r="P5" s="115">
        <v>6265745</v>
      </c>
      <c r="Q5" s="115">
        <v>118416</v>
      </c>
      <c r="R5" s="115">
        <v>4397980</v>
      </c>
      <c r="S5" s="115">
        <v>3593712</v>
      </c>
      <c r="T5" s="115">
        <v>2250586</v>
      </c>
      <c r="U5" s="115">
        <v>6813132</v>
      </c>
      <c r="V5" s="115">
        <v>10909006</v>
      </c>
    </row>
    <row r="6" spans="1:22" ht="17" x14ac:dyDescent="0.4">
      <c r="A6" s="144"/>
      <c r="B6" s="120">
        <v>26943</v>
      </c>
      <c r="C6" s="119">
        <v>803685</v>
      </c>
      <c r="D6" s="119">
        <v>1364889</v>
      </c>
      <c r="E6" s="119">
        <v>1570998</v>
      </c>
      <c r="F6" s="119">
        <v>9359684</v>
      </c>
      <c r="G6" s="119">
        <v>6058316</v>
      </c>
      <c r="H6" s="119">
        <v>6003363</v>
      </c>
      <c r="I6" s="15">
        <v>78049</v>
      </c>
      <c r="J6" s="15">
        <v>88161</v>
      </c>
      <c r="K6" s="12">
        <v>1193809</v>
      </c>
      <c r="L6" s="12">
        <v>7666578</v>
      </c>
      <c r="M6" s="12"/>
      <c r="N6" s="3"/>
      <c r="O6" s="115">
        <v>5299284</v>
      </c>
      <c r="P6" s="115">
        <v>7834906</v>
      </c>
      <c r="Q6" s="115">
        <v>70832</v>
      </c>
      <c r="R6" s="115">
        <v>4259943</v>
      </c>
      <c r="S6" s="115">
        <v>3166045</v>
      </c>
      <c r="T6" s="115">
        <v>6080131</v>
      </c>
      <c r="U6" s="115">
        <v>10131885</v>
      </c>
      <c r="V6" s="115">
        <v>10109318</v>
      </c>
    </row>
    <row r="7" spans="1:22" ht="17" x14ac:dyDescent="0.4">
      <c r="A7" s="144"/>
      <c r="B7" s="120">
        <v>544707</v>
      </c>
      <c r="C7" s="119">
        <v>260148</v>
      </c>
      <c r="D7" s="119">
        <v>267311</v>
      </c>
      <c r="E7" s="119">
        <v>1022016</v>
      </c>
      <c r="F7" s="119">
        <v>6028957</v>
      </c>
      <c r="G7" s="119">
        <v>2730310</v>
      </c>
      <c r="H7" s="119">
        <v>10312751</v>
      </c>
      <c r="I7" s="15">
        <v>41033</v>
      </c>
      <c r="J7" s="15">
        <v>240187</v>
      </c>
      <c r="K7" s="12">
        <v>1444052</v>
      </c>
      <c r="L7" s="12">
        <v>7765633</v>
      </c>
      <c r="M7" s="12"/>
      <c r="N7" s="3"/>
      <c r="O7" s="115">
        <v>4340526</v>
      </c>
      <c r="P7" s="115">
        <v>6122385</v>
      </c>
      <c r="Q7" s="115">
        <v>203420</v>
      </c>
      <c r="R7" s="115">
        <v>3463646</v>
      </c>
      <c r="S7" s="115">
        <v>4669516</v>
      </c>
      <c r="T7" s="115">
        <v>5075563</v>
      </c>
      <c r="U7" s="115">
        <v>3783209</v>
      </c>
      <c r="V7" s="115">
        <v>8279756</v>
      </c>
    </row>
    <row r="8" spans="1:22" ht="17" x14ac:dyDescent="0.4">
      <c r="A8" s="144"/>
      <c r="B8" s="120">
        <v>1147853</v>
      </c>
      <c r="C8" s="119">
        <v>26991</v>
      </c>
      <c r="D8" s="119">
        <v>5725054</v>
      </c>
      <c r="E8" s="119">
        <v>3830520</v>
      </c>
      <c r="F8" s="119">
        <v>3080965</v>
      </c>
      <c r="G8" s="119">
        <v>4479328</v>
      </c>
      <c r="H8" s="119">
        <v>6819276</v>
      </c>
      <c r="I8" s="15">
        <v>52826</v>
      </c>
      <c r="J8" s="15">
        <v>127459</v>
      </c>
      <c r="K8" s="12">
        <v>106082</v>
      </c>
      <c r="L8" s="12">
        <v>3950339</v>
      </c>
      <c r="M8" s="12"/>
      <c r="N8" s="3"/>
      <c r="O8" s="115">
        <v>3613929</v>
      </c>
      <c r="P8" s="115">
        <v>7044763</v>
      </c>
      <c r="Q8" s="115">
        <v>330439</v>
      </c>
      <c r="R8" s="115">
        <v>2684299</v>
      </c>
      <c r="S8" s="115">
        <v>5020190</v>
      </c>
      <c r="T8" s="115">
        <v>6366718</v>
      </c>
      <c r="U8" s="115">
        <v>8793481</v>
      </c>
      <c r="V8" s="115">
        <v>7454509</v>
      </c>
    </row>
    <row r="9" spans="1:22" ht="17" x14ac:dyDescent="0.4">
      <c r="A9" s="144"/>
      <c r="B9" s="120">
        <v>67656</v>
      </c>
      <c r="C9" s="119">
        <v>98975</v>
      </c>
      <c r="D9" s="119">
        <v>131205</v>
      </c>
      <c r="E9" s="119">
        <v>393420</v>
      </c>
      <c r="F9" s="119">
        <v>2434121</v>
      </c>
      <c r="G9" s="119">
        <v>4946377</v>
      </c>
      <c r="H9" s="119">
        <v>11599237</v>
      </c>
      <c r="I9" s="15">
        <v>77445</v>
      </c>
      <c r="J9" s="15">
        <v>86562</v>
      </c>
      <c r="K9" s="12">
        <v>1270556</v>
      </c>
      <c r="L9" s="12">
        <v>8693529</v>
      </c>
      <c r="M9" s="12"/>
      <c r="N9" s="3"/>
      <c r="O9" s="115">
        <v>3124823</v>
      </c>
      <c r="P9" s="115">
        <v>8078230</v>
      </c>
      <c r="Q9" s="115">
        <v>44878</v>
      </c>
      <c r="R9" s="115">
        <v>2849756</v>
      </c>
      <c r="S9" s="115">
        <v>445360</v>
      </c>
      <c r="T9" s="115">
        <v>4550719</v>
      </c>
      <c r="U9" s="115">
        <v>9349788</v>
      </c>
      <c r="V9" s="115">
        <v>5373383</v>
      </c>
    </row>
    <row r="10" spans="1:22" ht="17" x14ac:dyDescent="0.4">
      <c r="A10" s="144"/>
      <c r="B10" s="120">
        <v>566626</v>
      </c>
      <c r="C10" s="119">
        <v>148075</v>
      </c>
      <c r="D10" s="119">
        <v>197768</v>
      </c>
      <c r="E10" s="119">
        <v>523581</v>
      </c>
      <c r="F10" s="119">
        <v>2879141</v>
      </c>
      <c r="G10" s="119">
        <v>4386312</v>
      </c>
      <c r="H10" s="119">
        <v>5877475</v>
      </c>
      <c r="I10" s="15">
        <v>98415</v>
      </c>
      <c r="J10" s="15">
        <v>22151</v>
      </c>
      <c r="K10" s="12">
        <v>1420485</v>
      </c>
      <c r="L10" s="12">
        <v>6791730</v>
      </c>
      <c r="M10" s="12"/>
      <c r="N10" s="3"/>
      <c r="O10" s="115">
        <v>4113260</v>
      </c>
      <c r="P10" s="115">
        <v>7807673</v>
      </c>
      <c r="Q10" s="115">
        <v>387437</v>
      </c>
      <c r="R10" s="115">
        <v>2308110</v>
      </c>
      <c r="S10" s="115">
        <v>3766427</v>
      </c>
      <c r="T10" s="115">
        <v>4686024</v>
      </c>
      <c r="U10" s="115">
        <v>4257696</v>
      </c>
      <c r="V10" s="115">
        <v>7124171</v>
      </c>
    </row>
    <row r="11" spans="1:22" ht="17" x14ac:dyDescent="0.4">
      <c r="A11" s="144"/>
      <c r="B11" s="120">
        <v>248673</v>
      </c>
      <c r="C11" s="119">
        <v>90741</v>
      </c>
      <c r="D11" s="119">
        <v>156354</v>
      </c>
      <c r="E11" s="119">
        <v>1647190</v>
      </c>
      <c r="F11" s="119">
        <v>818764</v>
      </c>
      <c r="G11" s="119">
        <v>5666062</v>
      </c>
      <c r="H11" s="119">
        <v>6872517</v>
      </c>
      <c r="I11" s="15">
        <v>888</v>
      </c>
      <c r="J11" s="15">
        <v>72892</v>
      </c>
      <c r="K11" s="12">
        <v>216801</v>
      </c>
      <c r="L11" s="12">
        <v>8761068</v>
      </c>
      <c r="M11" s="12"/>
      <c r="N11" s="3"/>
      <c r="O11" s="115">
        <v>1382800</v>
      </c>
      <c r="P11" s="115">
        <v>10322436</v>
      </c>
      <c r="Q11" s="115">
        <v>90708</v>
      </c>
      <c r="R11" s="115">
        <v>4460719</v>
      </c>
      <c r="S11" s="115">
        <v>4563775</v>
      </c>
      <c r="T11" s="115">
        <v>3467922</v>
      </c>
      <c r="U11" s="115">
        <v>9709234</v>
      </c>
      <c r="V11" s="115">
        <v>7182911</v>
      </c>
    </row>
    <row r="12" spans="1:22" ht="17" x14ac:dyDescent="0.4">
      <c r="A12" s="144"/>
      <c r="B12" s="120">
        <v>71293</v>
      </c>
      <c r="C12" s="119">
        <v>389287</v>
      </c>
      <c r="D12" s="119">
        <v>69827</v>
      </c>
      <c r="E12" s="119">
        <v>1270264</v>
      </c>
      <c r="F12" s="119">
        <v>6472030</v>
      </c>
      <c r="G12" s="119">
        <v>2731667</v>
      </c>
      <c r="H12" s="119">
        <v>9989392</v>
      </c>
      <c r="I12" s="15">
        <v>165172</v>
      </c>
      <c r="J12" s="15">
        <v>54811</v>
      </c>
      <c r="K12" s="12">
        <v>86174</v>
      </c>
      <c r="L12" s="12">
        <v>9450389</v>
      </c>
      <c r="M12" s="12"/>
      <c r="N12" s="3"/>
      <c r="O12" s="115">
        <v>4220841</v>
      </c>
      <c r="P12" s="115">
        <v>7771367</v>
      </c>
      <c r="Q12" s="115">
        <v>516219</v>
      </c>
      <c r="R12" s="115">
        <v>3500524</v>
      </c>
      <c r="S12" s="115">
        <v>5906541</v>
      </c>
      <c r="T12" s="115">
        <v>3862252</v>
      </c>
      <c r="U12" s="115">
        <v>7891671</v>
      </c>
      <c r="V12" s="115">
        <v>6092303</v>
      </c>
    </row>
    <row r="13" spans="1:22" ht="17" x14ac:dyDescent="0.4">
      <c r="A13" s="144"/>
      <c r="B13" s="120"/>
      <c r="C13" s="119"/>
      <c r="D13" s="119"/>
      <c r="E13" s="119"/>
      <c r="F13" s="119"/>
      <c r="G13" s="119"/>
      <c r="H13" s="119"/>
      <c r="I13" s="15"/>
      <c r="J13" s="15"/>
      <c r="K13" s="12"/>
      <c r="L13" s="12"/>
      <c r="M13" s="12"/>
      <c r="N13" s="3"/>
      <c r="O13" s="115">
        <v>1898306</v>
      </c>
      <c r="P13" s="115"/>
      <c r="Q13" s="115"/>
      <c r="R13" s="115"/>
      <c r="S13" s="115"/>
      <c r="T13" s="115"/>
      <c r="U13" s="115"/>
      <c r="V13" s="115"/>
    </row>
    <row r="14" spans="1:22" ht="17" x14ac:dyDescent="0.4">
      <c r="A14" s="144"/>
      <c r="B14" s="120"/>
      <c r="C14" s="119"/>
      <c r="D14" s="119"/>
      <c r="E14" s="119"/>
      <c r="F14" s="119"/>
      <c r="G14" s="119"/>
      <c r="H14" s="119"/>
      <c r="I14" s="15"/>
      <c r="J14" s="15"/>
      <c r="K14" s="12"/>
      <c r="L14" s="12"/>
      <c r="M14" s="12"/>
      <c r="N14" s="3"/>
      <c r="O14" s="115">
        <v>4872254</v>
      </c>
      <c r="P14" s="115"/>
      <c r="Q14" s="115"/>
      <c r="R14" s="115"/>
      <c r="S14" s="115"/>
      <c r="T14" s="115"/>
      <c r="U14" s="115"/>
      <c r="V14" s="115"/>
    </row>
    <row r="15" spans="1:22" ht="16.5" x14ac:dyDescent="0.35">
      <c r="A15" s="144"/>
      <c r="B15" s="13"/>
      <c r="C15" s="15"/>
      <c r="D15" s="15"/>
      <c r="E15" s="15"/>
      <c r="F15" s="15"/>
      <c r="G15" s="15"/>
      <c r="H15" s="15"/>
      <c r="I15" s="15"/>
      <c r="J15" s="15"/>
      <c r="K15" s="12"/>
      <c r="L15" s="12"/>
      <c r="M15" s="12"/>
      <c r="N15" s="3"/>
      <c r="O15" s="115">
        <v>3383261</v>
      </c>
      <c r="P15" s="115"/>
      <c r="Q15" s="115"/>
      <c r="R15" s="115"/>
      <c r="S15" s="115"/>
      <c r="T15" s="115"/>
      <c r="U15" s="115"/>
      <c r="V15" s="115"/>
    </row>
    <row r="16" spans="1:22" ht="16.5" x14ac:dyDescent="0.35">
      <c r="A16" s="144"/>
      <c r="B16" s="13"/>
      <c r="C16" s="15"/>
      <c r="D16" s="15"/>
      <c r="E16" s="15"/>
      <c r="F16" s="15"/>
      <c r="G16" s="15"/>
      <c r="H16" s="15"/>
      <c r="I16" s="15"/>
      <c r="J16" s="15"/>
      <c r="K16" s="12"/>
      <c r="L16" s="12"/>
      <c r="M16" s="12"/>
      <c r="N16" s="3"/>
      <c r="O16" s="115">
        <v>3712936</v>
      </c>
      <c r="P16" s="115"/>
      <c r="Q16" s="115"/>
      <c r="R16" s="115"/>
      <c r="S16" s="115"/>
      <c r="T16" s="115"/>
      <c r="U16" s="115"/>
      <c r="V16" s="115"/>
    </row>
    <row r="17" spans="1:22" ht="16.5" x14ac:dyDescent="0.35">
      <c r="A17" s="144"/>
      <c r="B17" s="13"/>
      <c r="C17" s="15"/>
      <c r="D17" s="15"/>
      <c r="E17" s="15"/>
      <c r="F17" s="15"/>
      <c r="G17" s="15"/>
      <c r="H17" s="15"/>
      <c r="I17" s="15"/>
      <c r="J17" s="15"/>
      <c r="K17" s="12"/>
      <c r="L17" s="12"/>
      <c r="M17" s="12"/>
      <c r="N17" s="3"/>
      <c r="O17" s="115">
        <v>3079447</v>
      </c>
      <c r="P17" s="115"/>
      <c r="Q17" s="115"/>
      <c r="R17" s="115"/>
      <c r="S17" s="115"/>
      <c r="T17" s="115"/>
      <c r="U17" s="115"/>
      <c r="V17" s="115"/>
    </row>
    <row r="18" spans="1:22" ht="16.5" x14ac:dyDescent="0.35">
      <c r="A18" s="144"/>
      <c r="B18" s="13"/>
      <c r="C18" s="15"/>
      <c r="D18" s="15"/>
      <c r="E18" s="15"/>
      <c r="F18" s="15"/>
      <c r="G18" s="15"/>
      <c r="H18" s="15"/>
      <c r="I18" s="15"/>
      <c r="J18" s="15"/>
      <c r="K18" s="12"/>
      <c r="L18" s="12"/>
      <c r="M18" s="12"/>
      <c r="N18" s="3"/>
      <c r="O18" s="115">
        <v>2169490</v>
      </c>
      <c r="P18" s="115"/>
      <c r="Q18" s="115"/>
      <c r="R18" s="115"/>
      <c r="S18" s="115"/>
      <c r="T18" s="115"/>
      <c r="U18" s="115"/>
      <c r="V18" s="115"/>
    </row>
    <row r="19" spans="1:22" ht="16.5" x14ac:dyDescent="0.35">
      <c r="A19" s="144"/>
      <c r="B19" s="13"/>
      <c r="C19" s="15"/>
      <c r="D19" s="15"/>
      <c r="E19" s="15"/>
      <c r="F19" s="15"/>
      <c r="G19" s="15"/>
      <c r="H19" s="15"/>
      <c r="I19" s="15"/>
      <c r="J19" s="15"/>
      <c r="K19" s="12"/>
      <c r="L19" s="12"/>
      <c r="M19" s="12"/>
      <c r="N19" s="3"/>
      <c r="O19" s="115">
        <v>4834729</v>
      </c>
      <c r="P19" s="115"/>
      <c r="Q19" s="115"/>
      <c r="R19" s="115"/>
      <c r="S19" s="115"/>
      <c r="T19" s="115"/>
      <c r="U19" s="115"/>
      <c r="V19" s="115"/>
    </row>
    <row r="20" spans="1:22" ht="16.5" x14ac:dyDescent="0.35">
      <c r="A20" s="144"/>
      <c r="B20" s="13"/>
      <c r="C20" s="15"/>
      <c r="D20" s="15"/>
      <c r="E20" s="15"/>
      <c r="F20" s="15"/>
      <c r="G20" s="15"/>
      <c r="H20" s="15"/>
      <c r="I20" s="15"/>
      <c r="J20" s="15"/>
      <c r="K20" s="12"/>
      <c r="L20" s="12"/>
      <c r="M20" s="12"/>
      <c r="N20" s="3"/>
      <c r="O20" s="115">
        <v>257941</v>
      </c>
      <c r="P20" s="115"/>
      <c r="Q20" s="115"/>
      <c r="R20" s="115"/>
      <c r="S20" s="115"/>
      <c r="T20" s="115"/>
      <c r="U20" s="115"/>
      <c r="V20" s="115"/>
    </row>
    <row r="21" spans="1:22" x14ac:dyDescent="0.35">
      <c r="A21" s="47"/>
      <c r="B21" s="6"/>
      <c r="C21" s="6"/>
      <c r="D21" s="6"/>
      <c r="E21" s="6"/>
      <c r="F21" s="6"/>
      <c r="G21" s="6"/>
      <c r="H21" s="6"/>
      <c r="I21" s="6"/>
      <c r="J21" s="6"/>
      <c r="N21" s="3"/>
      <c r="O21" s="6"/>
      <c r="R21" s="6"/>
      <c r="S21" s="6"/>
      <c r="T21" s="6"/>
      <c r="U21" s="6"/>
      <c r="V21" s="6"/>
    </row>
    <row r="22" spans="1:22" x14ac:dyDescent="0.35">
      <c r="A22" s="49" t="str">
        <f t="shared" ref="A22" si="0">A4</f>
        <v>Group names</v>
      </c>
      <c r="B22" s="3" t="str">
        <f t="shared" ref="B22:V22" si="1">B4</f>
        <v>Solvent control</v>
      </c>
      <c r="C22" s="3" t="str">
        <f t="shared" si="1"/>
        <v>EE2-33.8ng/L</v>
      </c>
      <c r="D22" s="3" t="str">
        <f t="shared" si="1"/>
        <v>EE2-50.6ng/L</v>
      </c>
      <c r="E22" s="3" t="str">
        <f t="shared" si="1"/>
        <v>EE2-76ng/L</v>
      </c>
      <c r="F22" s="3" t="str">
        <f t="shared" si="1"/>
        <v>EE2-114ng/L</v>
      </c>
      <c r="G22" s="3" t="str">
        <f t="shared" si="1"/>
        <v>EE2-170.9ng/L</v>
      </c>
      <c r="H22" s="3" t="str">
        <f t="shared" si="1"/>
        <v>EE2-488ng/L</v>
      </c>
      <c r="I22" s="3" t="str">
        <f t="shared" si="1"/>
        <v>Estrone-0.04µg/L</v>
      </c>
      <c r="J22" s="3" t="str">
        <f t="shared" si="1"/>
        <v>Estrone-0.2µg/L</v>
      </c>
      <c r="K22" s="3" t="str">
        <f t="shared" si="1"/>
        <v>Estrone-1µg/L</v>
      </c>
      <c r="L22" s="3" t="str">
        <f t="shared" si="1"/>
        <v>Estrone-5µg/L</v>
      </c>
      <c r="M22" s="3" t="str">
        <f t="shared" si="1"/>
        <v>Estrone-25µg/L</v>
      </c>
      <c r="N22" s="3" t="s">
        <v>11</v>
      </c>
      <c r="O22" s="3" t="str">
        <f t="shared" si="1"/>
        <v>Testo -30µg/L</v>
      </c>
      <c r="P22" s="3" t="str">
        <f t="shared" si="1"/>
        <v>Testo 30µg/L + EE2 -64ng/L</v>
      </c>
      <c r="Q22" s="3" t="str">
        <f t="shared" si="1"/>
        <v>Testo 30µg/L + FAD-10mg/L</v>
      </c>
      <c r="R22" s="3" t="str">
        <f t="shared" si="1"/>
        <v>Estrone-0.04µg/L + Testostérone</v>
      </c>
      <c r="S22" s="3" t="str">
        <f t="shared" si="1"/>
        <v>Estrone-0.2µg/L + Testostérone</v>
      </c>
      <c r="T22" s="3" t="str">
        <f t="shared" si="1"/>
        <v>Estrone-1µg/L + Testostérone</v>
      </c>
      <c r="U22" s="3" t="str">
        <f t="shared" si="1"/>
        <v>Estrone-5µg/L + Testostérone</v>
      </c>
      <c r="V22" s="3" t="str">
        <f t="shared" si="1"/>
        <v>Estrone-25µg/L + Testostérone</v>
      </c>
    </row>
    <row r="23" spans="1:22" x14ac:dyDescent="0.35">
      <c r="A23" s="4" t="s">
        <v>0</v>
      </c>
      <c r="B23" s="4">
        <f t="shared" ref="B23:J23" si="2">AVERAGE(B5:B20)</f>
        <v>372371</v>
      </c>
      <c r="C23" s="4">
        <f t="shared" si="2"/>
        <v>234561.5</v>
      </c>
      <c r="D23" s="4">
        <f t="shared" si="2"/>
        <v>1001037.125</v>
      </c>
      <c r="E23" s="4">
        <f t="shared" si="2"/>
        <v>1727848.5</v>
      </c>
      <c r="F23" s="4">
        <f t="shared" si="2"/>
        <v>4032160.125</v>
      </c>
      <c r="G23" s="4">
        <f t="shared" si="2"/>
        <v>4453880</v>
      </c>
      <c r="H23" s="4">
        <f t="shared" si="2"/>
        <v>7731893.25</v>
      </c>
      <c r="I23" s="4">
        <f t="shared" si="2"/>
        <v>95341.625</v>
      </c>
      <c r="J23" s="4">
        <f t="shared" si="2"/>
        <v>105139.875</v>
      </c>
      <c r="K23" s="4"/>
      <c r="L23" s="4">
        <f>AVERAGE(L5:L20)</f>
        <v>7427279.75</v>
      </c>
      <c r="M23" s="4"/>
      <c r="N23" s="4" t="s">
        <v>0</v>
      </c>
      <c r="O23" s="4">
        <f>AVERAGE(O5:O20)</f>
        <v>3397606.25</v>
      </c>
      <c r="P23" s="4">
        <f>AVERAGE(P5:P20)</f>
        <v>7655938.125</v>
      </c>
      <c r="Q23" s="4">
        <f>AVERAGE(Q5:Q20)</f>
        <v>220293.625</v>
      </c>
      <c r="R23" s="4">
        <f>AVERAGE(R5:R20)</f>
        <v>3490622.125</v>
      </c>
      <c r="S23" s="4">
        <f>AVERAGE(S5:S20)</f>
        <v>3891445.75</v>
      </c>
      <c r="T23" s="4">
        <f t="shared" ref="T23:V23" si="3">AVERAGE(T5:T20)</f>
        <v>4542489.375</v>
      </c>
      <c r="U23" s="4">
        <f t="shared" si="3"/>
        <v>7591262</v>
      </c>
      <c r="V23" s="4">
        <f t="shared" si="3"/>
        <v>7815669.625</v>
      </c>
    </row>
    <row r="24" spans="1:22" x14ac:dyDescent="0.35">
      <c r="A24" s="3" t="s">
        <v>1</v>
      </c>
      <c r="B24" s="3">
        <f t="shared" ref="B24:J24" si="4">STDEV(B5:B20)</f>
        <v>376342.85008258856</v>
      </c>
      <c r="C24" s="3">
        <f t="shared" si="4"/>
        <v>258869.97253226792</v>
      </c>
      <c r="D24" s="3">
        <f t="shared" si="4"/>
        <v>1956266.9211809253</v>
      </c>
      <c r="E24" s="3">
        <f t="shared" si="4"/>
        <v>1296438.2622731074</v>
      </c>
      <c r="F24" s="3">
        <f t="shared" si="4"/>
        <v>2965292.7804395608</v>
      </c>
      <c r="G24" s="3">
        <f t="shared" si="4"/>
        <v>1210669.3969376727</v>
      </c>
      <c r="H24" s="3">
        <f t="shared" si="4"/>
        <v>2561783.349760015</v>
      </c>
      <c r="I24" s="3">
        <f t="shared" si="4"/>
        <v>78162.151516551981</v>
      </c>
      <c r="J24" s="3">
        <f t="shared" si="4"/>
        <v>67341.30752779881</v>
      </c>
      <c r="K24" s="3"/>
      <c r="L24" s="3">
        <f>STDEV(L5:L20)</f>
        <v>1745383.7111110922</v>
      </c>
      <c r="M24" s="3"/>
      <c r="N24" s="3" t="s">
        <v>1</v>
      </c>
      <c r="O24" s="3">
        <f>STDEV(O5:O20)</f>
        <v>1375170.1635140043</v>
      </c>
      <c r="P24" s="3">
        <f>STDEV(P5:P20)</f>
        <v>1310118.603586325</v>
      </c>
      <c r="Q24" s="3">
        <f>STDEV(Q5:Q20)</f>
        <v>172463.81059468474</v>
      </c>
      <c r="R24" s="3">
        <f>STDEV(R5:R20)</f>
        <v>829480.72613644204</v>
      </c>
      <c r="S24" s="3">
        <f>STDEV(S5:S20)</f>
        <v>1643084.2383854778</v>
      </c>
      <c r="T24" s="3">
        <f t="shared" ref="T24:V24" si="5">STDEV(T5:T20)</f>
        <v>1355793.2974710455</v>
      </c>
      <c r="U24" s="3">
        <f t="shared" si="5"/>
        <v>2443299.1930963229</v>
      </c>
      <c r="V24" s="3">
        <f t="shared" si="5"/>
        <v>1889394.3196642173</v>
      </c>
    </row>
    <row r="25" spans="1:22" ht="15" thickBot="1" x14ac:dyDescent="0.4"/>
    <row r="26" spans="1:22" ht="15" thickBot="1" x14ac:dyDescent="0.4">
      <c r="B26" s="147" t="s">
        <v>42</v>
      </c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O26" s="147" t="s">
        <v>43</v>
      </c>
      <c r="P26" s="148"/>
      <c r="Q26" s="148"/>
      <c r="R26" s="148"/>
      <c r="S26" s="148"/>
      <c r="T26" s="148"/>
      <c r="U26" s="148"/>
      <c r="V26" s="148"/>
    </row>
    <row r="27" spans="1:22" x14ac:dyDescent="0.35">
      <c r="A27" s="17" t="str">
        <f>A4</f>
        <v>Group names</v>
      </c>
      <c r="B27" s="18" t="str">
        <f>B4</f>
        <v>Solvent control</v>
      </c>
      <c r="C27" s="18" t="str">
        <f t="shared" ref="C27:M27" si="6">C4</f>
        <v>EE2-33.8ng/L</v>
      </c>
      <c r="D27" s="18" t="str">
        <f t="shared" si="6"/>
        <v>EE2-50.6ng/L</v>
      </c>
      <c r="E27" s="18" t="str">
        <f t="shared" si="6"/>
        <v>EE2-76ng/L</v>
      </c>
      <c r="F27" s="18" t="str">
        <f t="shared" si="6"/>
        <v>EE2-114ng/L</v>
      </c>
      <c r="G27" s="18" t="str">
        <f t="shared" si="6"/>
        <v>EE2-170.9ng/L</v>
      </c>
      <c r="H27" s="18" t="str">
        <f t="shared" si="6"/>
        <v>EE2-488ng/L</v>
      </c>
      <c r="I27" s="18" t="str">
        <f t="shared" si="6"/>
        <v>Estrone-0.04µg/L</v>
      </c>
      <c r="J27" s="18" t="str">
        <f t="shared" si="6"/>
        <v>Estrone-0.2µg/L</v>
      </c>
      <c r="K27" s="18" t="str">
        <f t="shared" si="6"/>
        <v>Estrone-1µg/L</v>
      </c>
      <c r="L27" s="18" t="str">
        <f t="shared" si="6"/>
        <v>Estrone-5µg/L</v>
      </c>
      <c r="M27" s="18" t="str">
        <f t="shared" si="6"/>
        <v>Estrone-25µg/L</v>
      </c>
      <c r="N27" s="3"/>
      <c r="O27" s="19" t="str">
        <f>O4</f>
        <v>Testo -30µg/L</v>
      </c>
      <c r="P27" s="19" t="str">
        <f t="shared" ref="P27:R27" si="7">P4</f>
        <v>Testo 30µg/L + EE2 -64ng/L</v>
      </c>
      <c r="Q27" s="19" t="str">
        <f t="shared" si="7"/>
        <v>Testo 30µg/L + FAD-10mg/L</v>
      </c>
      <c r="R27" s="19" t="str">
        <f t="shared" si="7"/>
        <v>Estrone-0.04µg/L + Testostérone</v>
      </c>
      <c r="S27" s="19" t="str">
        <f t="shared" ref="S27:V27" si="8">S4</f>
        <v>Estrone-0.2µg/L + Testostérone</v>
      </c>
      <c r="T27" s="19" t="str">
        <f t="shared" si="8"/>
        <v>Estrone-1µg/L + Testostérone</v>
      </c>
      <c r="U27" s="19" t="str">
        <f t="shared" si="8"/>
        <v>Estrone-5µg/L + Testostérone</v>
      </c>
      <c r="V27" s="19" t="str">
        <f t="shared" si="8"/>
        <v>Estrone-25µg/L + Testostérone</v>
      </c>
    </row>
    <row r="28" spans="1:22" ht="14.5" customHeight="1" x14ac:dyDescent="0.35">
      <c r="A28" s="145" t="s">
        <v>36</v>
      </c>
      <c r="B28" s="10">
        <f t="shared" ref="B28:M28" si="9">IF(B5="","",(B5/$O$23))</f>
        <v>8.9832952243951159E-2</v>
      </c>
      <c r="C28" s="10">
        <f t="shared" si="9"/>
        <v>1.7244493825616197E-2</v>
      </c>
      <c r="D28" s="10">
        <f t="shared" si="9"/>
        <v>2.8222516955871507E-2</v>
      </c>
      <c r="E28" s="10">
        <f t="shared" si="9"/>
        <v>1.0492089835306844</v>
      </c>
      <c r="F28" s="10">
        <f t="shared" si="9"/>
        <v>0.34836850208878678</v>
      </c>
      <c r="G28" s="10">
        <f t="shared" si="9"/>
        <v>1.363509382524829</v>
      </c>
      <c r="H28" s="10">
        <f t="shared" si="9"/>
        <v>1.2894769663200378</v>
      </c>
      <c r="I28" s="10">
        <f t="shared" si="9"/>
        <v>7.3258930460232116E-2</v>
      </c>
      <c r="J28" s="10">
        <f t="shared" si="9"/>
        <v>4.3823795061596678E-2</v>
      </c>
      <c r="K28" s="10">
        <f t="shared" si="9"/>
        <v>0.28802013182074881</v>
      </c>
      <c r="L28" s="10">
        <f t="shared" si="9"/>
        <v>1.8657170765446998</v>
      </c>
      <c r="M28" s="10" t="str">
        <f t="shared" si="9"/>
        <v/>
      </c>
      <c r="N28" s="5"/>
      <c r="O28" s="10">
        <f t="shared" ref="O28:S37" si="10">IF(O5="","",(O5/$O$23))</f>
        <v>1.1943329218916996</v>
      </c>
      <c r="P28" s="10">
        <f t="shared" si="10"/>
        <v>1.8441645496737593</v>
      </c>
      <c r="Q28" s="10">
        <f t="shared" si="10"/>
        <v>3.4852773184061575E-2</v>
      </c>
      <c r="R28" s="10">
        <f t="shared" si="10"/>
        <v>1.2944348686667269</v>
      </c>
      <c r="S28" s="10">
        <f t="shared" si="10"/>
        <v>1.0577187983451584</v>
      </c>
      <c r="T28" s="10">
        <f t="shared" ref="T28:V43" si="11">IF(T5="","",(T5/$O$23))</f>
        <v>0.66240342005492836</v>
      </c>
      <c r="U28" s="10">
        <f t="shared" si="11"/>
        <v>2.0052741544138613</v>
      </c>
      <c r="V28" s="10">
        <f t="shared" si="11"/>
        <v>3.2107917154908696</v>
      </c>
    </row>
    <row r="29" spans="1:22" x14ac:dyDescent="0.35">
      <c r="A29" s="146"/>
      <c r="B29" s="10">
        <f t="shared" ref="B29:M29" si="12">IF(B6="","",(B6/$O$23))</f>
        <v>7.9299948309195633E-3</v>
      </c>
      <c r="C29" s="10">
        <f t="shared" si="12"/>
        <v>0.23654447892541991</v>
      </c>
      <c r="D29" s="10">
        <f t="shared" si="12"/>
        <v>0.40172077032175224</v>
      </c>
      <c r="E29" s="10">
        <f t="shared" si="12"/>
        <v>0.4623837738702064</v>
      </c>
      <c r="F29" s="10">
        <f t="shared" si="12"/>
        <v>2.7547877273889521</v>
      </c>
      <c r="G29" s="10">
        <f t="shared" si="12"/>
        <v>1.7831130373038371</v>
      </c>
      <c r="H29" s="10">
        <f t="shared" si="12"/>
        <v>1.7669390030113112</v>
      </c>
      <c r="I29" s="10">
        <f t="shared" si="12"/>
        <v>2.2971761368757785E-2</v>
      </c>
      <c r="J29" s="10">
        <f t="shared" si="12"/>
        <v>2.5947974401094889E-2</v>
      </c>
      <c r="K29" s="10">
        <f t="shared" si="12"/>
        <v>0.35136767246057427</v>
      </c>
      <c r="L29" s="10">
        <f t="shared" si="12"/>
        <v>2.2564645329340327</v>
      </c>
      <c r="M29" s="10" t="str">
        <f t="shared" si="12"/>
        <v/>
      </c>
      <c r="N29" s="5"/>
      <c r="O29" s="10">
        <f t="shared" si="10"/>
        <v>1.5597110465640331</v>
      </c>
      <c r="P29" s="10">
        <f t="shared" si="10"/>
        <v>2.3060076487674226</v>
      </c>
      <c r="Q29" s="10">
        <f t="shared" si="10"/>
        <v>2.0847618819867665E-2</v>
      </c>
      <c r="R29" s="10">
        <f t="shared" si="10"/>
        <v>1.2538071473114343</v>
      </c>
      <c r="S29" s="10">
        <f t="shared" si="10"/>
        <v>0.93184576641275019</v>
      </c>
      <c r="T29" s="10">
        <f t="shared" si="11"/>
        <v>1.7895337342283262</v>
      </c>
      <c r="U29" s="10">
        <f t="shared" si="11"/>
        <v>2.9820656822726295</v>
      </c>
      <c r="V29" s="10">
        <f t="shared" si="11"/>
        <v>2.9754236530498495</v>
      </c>
    </row>
    <row r="30" spans="1:22" x14ac:dyDescent="0.35">
      <c r="A30" s="146"/>
      <c r="B30" s="10">
        <f t="shared" ref="B30:M30" si="13">IF(B7="","",(B7/$O$23))</f>
        <v>0.1603208141025759</v>
      </c>
      <c r="C30" s="10">
        <f t="shared" si="13"/>
        <v>7.6568024914599797E-2</v>
      </c>
      <c r="D30" s="10">
        <f t="shared" si="13"/>
        <v>7.8676273920793502E-2</v>
      </c>
      <c r="E30" s="10">
        <f t="shared" si="13"/>
        <v>0.30080472097083055</v>
      </c>
      <c r="F30" s="10">
        <f t="shared" si="13"/>
        <v>1.7744719535996851</v>
      </c>
      <c r="G30" s="10">
        <f t="shared" si="13"/>
        <v>0.80359812147155074</v>
      </c>
      <c r="H30" s="10">
        <f t="shared" si="13"/>
        <v>3.0352990432602365</v>
      </c>
      <c r="I30" s="10">
        <f t="shared" si="13"/>
        <v>1.2077032175226309E-2</v>
      </c>
      <c r="J30" s="10">
        <f t="shared" si="13"/>
        <v>7.069300628935446E-2</v>
      </c>
      <c r="K30" s="10">
        <f t="shared" si="13"/>
        <v>0.42502040958983989</v>
      </c>
      <c r="L30" s="10">
        <f t="shared" si="13"/>
        <v>2.2856188824116979</v>
      </c>
      <c r="M30" s="10" t="str">
        <f t="shared" si="13"/>
        <v/>
      </c>
      <c r="N30" s="5"/>
      <c r="O30" s="10">
        <f t="shared" si="10"/>
        <v>1.2775247278874649</v>
      </c>
      <c r="P30" s="10">
        <f t="shared" si="10"/>
        <v>1.8019701370634105</v>
      </c>
      <c r="Q30" s="10">
        <f t="shared" si="10"/>
        <v>5.9871563987145361E-2</v>
      </c>
      <c r="R30" s="10">
        <f t="shared" si="10"/>
        <v>1.0194371404867766</v>
      </c>
      <c r="S30" s="10">
        <f t="shared" si="10"/>
        <v>1.3743546651410827</v>
      </c>
      <c r="T30" s="10">
        <f t="shared" si="11"/>
        <v>1.4938643934976279</v>
      </c>
      <c r="U30" s="10">
        <f t="shared" si="11"/>
        <v>1.11349247724041</v>
      </c>
      <c r="V30" s="10">
        <f t="shared" si="11"/>
        <v>2.4369380648508048</v>
      </c>
    </row>
    <row r="31" spans="1:22" x14ac:dyDescent="0.35">
      <c r="A31" s="146"/>
      <c r="B31" s="10">
        <f t="shared" ref="B31:M31" si="14">IF(B8="","",(B8/$O$23))</f>
        <v>0.33784167897619094</v>
      </c>
      <c r="C31" s="10">
        <f t="shared" si="14"/>
        <v>7.9441224244274928E-3</v>
      </c>
      <c r="D31" s="10">
        <f t="shared" si="14"/>
        <v>1.6850257442280134</v>
      </c>
      <c r="E31" s="10">
        <f t="shared" si="14"/>
        <v>1.1274172809165277</v>
      </c>
      <c r="F31" s="10">
        <f t="shared" si="14"/>
        <v>0.90680460691994547</v>
      </c>
      <c r="G31" s="10">
        <f t="shared" si="14"/>
        <v>1.3183776077642899</v>
      </c>
      <c r="H31" s="10">
        <f t="shared" si="14"/>
        <v>2.0070824863828762</v>
      </c>
      <c r="I31" s="10">
        <f t="shared" si="14"/>
        <v>1.5548005305205687E-2</v>
      </c>
      <c r="J31" s="10">
        <f t="shared" si="14"/>
        <v>3.7514352935982501E-2</v>
      </c>
      <c r="K31" s="10">
        <f t="shared" si="14"/>
        <v>3.1222570302253241E-2</v>
      </c>
      <c r="L31" s="10">
        <f t="shared" si="14"/>
        <v>1.1626829918858315</v>
      </c>
      <c r="M31" s="10" t="str">
        <f t="shared" si="14"/>
        <v/>
      </c>
      <c r="N31" s="5"/>
      <c r="O31" s="10">
        <f t="shared" si="10"/>
        <v>1.0636691641357794</v>
      </c>
      <c r="P31" s="10">
        <f t="shared" si="10"/>
        <v>2.0734489171604271</v>
      </c>
      <c r="Q31" s="10">
        <f t="shared" si="10"/>
        <v>9.7256413982638512E-2</v>
      </c>
      <c r="R31" s="10">
        <f t="shared" si="10"/>
        <v>0.79005594011960623</v>
      </c>
      <c r="S31" s="10">
        <f t="shared" si="10"/>
        <v>1.4775667427619077</v>
      </c>
      <c r="T31" s="10">
        <f t="shared" si="11"/>
        <v>1.8738834142420122</v>
      </c>
      <c r="U31" s="10">
        <f t="shared" si="11"/>
        <v>2.5881401059937419</v>
      </c>
      <c r="V31" s="10">
        <f t="shared" si="11"/>
        <v>2.1940473531916771</v>
      </c>
    </row>
    <row r="32" spans="1:22" x14ac:dyDescent="0.35">
      <c r="A32" s="146"/>
      <c r="B32" s="10">
        <f t="shared" ref="B32:M32" si="15">IF(B9="","",(B9/$O$23))</f>
        <v>1.9912843049426341E-2</v>
      </c>
      <c r="C32" s="10">
        <f t="shared" si="15"/>
        <v>2.9130803488485461E-2</v>
      </c>
      <c r="D32" s="10">
        <f t="shared" si="15"/>
        <v>3.8616893879330483E-2</v>
      </c>
      <c r="E32" s="10">
        <f t="shared" si="15"/>
        <v>0.11579328828936548</v>
      </c>
      <c r="F32" s="10">
        <f t="shared" si="15"/>
        <v>0.71642233410654932</v>
      </c>
      <c r="G32" s="10">
        <f t="shared" si="15"/>
        <v>1.4558417415202247</v>
      </c>
      <c r="H32" s="10">
        <f t="shared" si="15"/>
        <v>3.4139438612111102</v>
      </c>
      <c r="I32" s="10">
        <f t="shared" si="15"/>
        <v>2.2793989150449674E-2</v>
      </c>
      <c r="J32" s="10">
        <f t="shared" si="15"/>
        <v>2.5477348942361994E-2</v>
      </c>
      <c r="K32" s="10">
        <f t="shared" si="15"/>
        <v>0.37395622285542945</v>
      </c>
      <c r="L32" s="10">
        <f t="shared" si="15"/>
        <v>2.5587217471123971</v>
      </c>
      <c r="M32" s="10" t="str">
        <f t="shared" si="15"/>
        <v/>
      </c>
      <c r="N32" s="5"/>
      <c r="O32" s="10">
        <f t="shared" si="10"/>
        <v>0.91971310683808638</v>
      </c>
      <c r="P32" s="10">
        <f t="shared" si="10"/>
        <v>2.3776239521574931</v>
      </c>
      <c r="Q32" s="10">
        <f t="shared" si="10"/>
        <v>1.3208711280184394E-2</v>
      </c>
      <c r="R32" s="10">
        <f t="shared" si="10"/>
        <v>0.83875404926630326</v>
      </c>
      <c r="S32" s="10">
        <f t="shared" si="10"/>
        <v>0.13108052176440399</v>
      </c>
      <c r="T32" s="10">
        <f t="shared" si="11"/>
        <v>1.339389754183552</v>
      </c>
      <c r="U32" s="10">
        <f t="shared" si="11"/>
        <v>2.7518750885274006</v>
      </c>
      <c r="V32" s="10">
        <f t="shared" si="11"/>
        <v>1.5815202247170341</v>
      </c>
    </row>
    <row r="33" spans="1:22" x14ac:dyDescent="0.35">
      <c r="A33" s="146"/>
      <c r="B33" s="10">
        <f t="shared" ref="B33:M33" si="16">IF(B10="","",(B10/$O$23))</f>
        <v>0.16677212081299886</v>
      </c>
      <c r="C33" s="10">
        <f t="shared" si="16"/>
        <v>4.3582154347638132E-2</v>
      </c>
      <c r="D33" s="10">
        <f t="shared" si="16"/>
        <v>5.8208039851586686E-2</v>
      </c>
      <c r="E33" s="10">
        <f t="shared" si="16"/>
        <v>0.15410290700989851</v>
      </c>
      <c r="F33" s="10">
        <f t="shared" si="16"/>
        <v>0.84740278541693881</v>
      </c>
      <c r="G33" s="10">
        <f t="shared" si="16"/>
        <v>1.2910006861448409</v>
      </c>
      <c r="H33" s="10">
        <f t="shared" si="16"/>
        <v>1.7298870344378487</v>
      </c>
      <c r="I33" s="10">
        <f t="shared" si="16"/>
        <v>2.8965981564226286E-2</v>
      </c>
      <c r="J33" s="10">
        <f t="shared" si="16"/>
        <v>6.5195900790446211E-3</v>
      </c>
      <c r="K33" s="10">
        <f t="shared" si="16"/>
        <v>0.41808405550231137</v>
      </c>
      <c r="L33" s="10">
        <f t="shared" si="16"/>
        <v>1.9989750136585132</v>
      </c>
      <c r="M33" s="10" t="str">
        <f t="shared" si="16"/>
        <v/>
      </c>
      <c r="N33" s="5"/>
      <c r="O33" s="10">
        <f t="shared" si="10"/>
        <v>1.2106346931755261</v>
      </c>
      <c r="P33" s="10">
        <f t="shared" si="10"/>
        <v>2.2979922997257258</v>
      </c>
      <c r="Q33" s="10">
        <f t="shared" si="10"/>
        <v>0.11403234262357505</v>
      </c>
      <c r="R33" s="10">
        <f t="shared" si="10"/>
        <v>0.67933416357472265</v>
      </c>
      <c r="S33" s="10">
        <f t="shared" si="10"/>
        <v>1.1085531173602003</v>
      </c>
      <c r="T33" s="10">
        <f t="shared" si="11"/>
        <v>1.3792133800083515</v>
      </c>
      <c r="U33" s="10">
        <f t="shared" si="11"/>
        <v>1.2531457993403443</v>
      </c>
      <c r="V33" s="10">
        <f t="shared" si="11"/>
        <v>2.0968206660203785</v>
      </c>
    </row>
    <row r="34" spans="1:22" x14ac:dyDescent="0.35">
      <c r="A34" s="146"/>
      <c r="B34" s="10">
        <f t="shared" ref="B34:M34" si="17">IF(B11="","",(B11/$O$23))</f>
        <v>7.3190647091610453E-2</v>
      </c>
      <c r="C34" s="10">
        <f t="shared" si="17"/>
        <v>2.670733255214609E-2</v>
      </c>
      <c r="D34" s="10">
        <f t="shared" si="17"/>
        <v>4.6018869902891189E-2</v>
      </c>
      <c r="E34" s="10">
        <f t="shared" si="17"/>
        <v>0.48480897396512618</v>
      </c>
      <c r="F34" s="10">
        <f t="shared" si="17"/>
        <v>0.24098260356096296</v>
      </c>
      <c r="G34" s="10">
        <f t="shared" si="17"/>
        <v>1.6676629318067684</v>
      </c>
      <c r="H34" s="10">
        <f t="shared" si="17"/>
        <v>2.0227526365069526</v>
      </c>
      <c r="I34" s="10">
        <f t="shared" si="17"/>
        <v>2.6136047989669197E-4</v>
      </c>
      <c r="J34" s="10">
        <f t="shared" si="17"/>
        <v>2.1453928041249629E-2</v>
      </c>
      <c r="K34" s="10">
        <f t="shared" si="17"/>
        <v>6.3809925002345405E-2</v>
      </c>
      <c r="L34" s="10">
        <f t="shared" si="17"/>
        <v>2.5786001541526478</v>
      </c>
      <c r="M34" s="10" t="str">
        <f t="shared" si="17"/>
        <v/>
      </c>
      <c r="N34" s="5"/>
      <c r="O34" s="10">
        <f t="shared" si="10"/>
        <v>0.40699242297426313</v>
      </c>
      <c r="P34" s="10">
        <f t="shared" si="10"/>
        <v>3.0381495795753262</v>
      </c>
      <c r="Q34" s="10">
        <f t="shared" si="10"/>
        <v>2.6697619831609388E-2</v>
      </c>
      <c r="R34" s="10">
        <f t="shared" si="10"/>
        <v>1.3129005163561847</v>
      </c>
      <c r="S34" s="10">
        <f t="shared" si="10"/>
        <v>1.3432324596177088</v>
      </c>
      <c r="T34" s="10">
        <f t="shared" si="11"/>
        <v>1.0206956736084412</v>
      </c>
      <c r="U34" s="10">
        <f t="shared" si="11"/>
        <v>2.8576689838617999</v>
      </c>
      <c r="V34" s="10">
        <f t="shared" si="11"/>
        <v>2.1141093085757068</v>
      </c>
    </row>
    <row r="35" spans="1:22" x14ac:dyDescent="0.35">
      <c r="A35" s="146"/>
      <c r="B35" s="10">
        <f t="shared" ref="B35:M35" si="18">IF(B12="","",(B12/$O$23))</f>
        <v>2.0983302582516735E-2</v>
      </c>
      <c r="C35" s="10">
        <f t="shared" si="18"/>
        <v>0.11457684362335983</v>
      </c>
      <c r="D35" s="10">
        <f t="shared" si="18"/>
        <v>2.0551822330795395E-2</v>
      </c>
      <c r="E35" s="10">
        <f t="shared" si="18"/>
        <v>0.37387027999492289</v>
      </c>
      <c r="F35" s="10">
        <f t="shared" si="18"/>
        <v>1.9048793543984093</v>
      </c>
      <c r="G35" s="10">
        <f t="shared" si="18"/>
        <v>0.80399752031301452</v>
      </c>
      <c r="H35" s="10">
        <f t="shared" si="18"/>
        <v>2.9401264493200174</v>
      </c>
      <c r="I35" s="10">
        <f t="shared" si="18"/>
        <v>4.8614226560243702E-2</v>
      </c>
      <c r="J35" s="10">
        <f t="shared" si="18"/>
        <v>1.6132240161731513E-2</v>
      </c>
      <c r="K35" s="10">
        <f t="shared" si="18"/>
        <v>2.5363150894839565E-2</v>
      </c>
      <c r="L35" s="10">
        <f t="shared" si="18"/>
        <v>2.7814844642459673</v>
      </c>
      <c r="M35" s="10" t="str">
        <f t="shared" si="18"/>
        <v/>
      </c>
      <c r="N35" s="5"/>
      <c r="O35" s="10">
        <f t="shared" si="10"/>
        <v>1.2422984564500374</v>
      </c>
      <c r="P35" s="10">
        <f t="shared" si="10"/>
        <v>2.2873065411861662</v>
      </c>
      <c r="Q35" s="10">
        <f t="shared" si="10"/>
        <v>0.15193608735561986</v>
      </c>
      <c r="R35" s="10">
        <f t="shared" si="10"/>
        <v>1.0302912528489727</v>
      </c>
      <c r="S35" s="10">
        <f t="shared" si="10"/>
        <v>1.7384418809566293</v>
      </c>
      <c r="T35" s="10">
        <f t="shared" si="11"/>
        <v>1.1367567975247279</v>
      </c>
      <c r="U35" s="10">
        <f t="shared" si="11"/>
        <v>2.3227149997148726</v>
      </c>
      <c r="V35" s="10">
        <f t="shared" si="11"/>
        <v>1.7931162564820453</v>
      </c>
    </row>
    <row r="36" spans="1:22" x14ac:dyDescent="0.35">
      <c r="A36" s="146"/>
      <c r="B36" s="10" t="str">
        <f t="shared" ref="B36:M36" si="19">IF(B13="","",(B13/$O$23))</f>
        <v/>
      </c>
      <c r="C36" s="10" t="str">
        <f t="shared" si="19"/>
        <v/>
      </c>
      <c r="D36" s="10" t="str">
        <f t="shared" si="19"/>
        <v/>
      </c>
      <c r="E36" s="10" t="str">
        <f t="shared" si="19"/>
        <v/>
      </c>
      <c r="F36" s="10" t="str">
        <f t="shared" si="19"/>
        <v/>
      </c>
      <c r="G36" s="10" t="str">
        <f t="shared" si="19"/>
        <v/>
      </c>
      <c r="H36" s="10" t="str">
        <f t="shared" si="19"/>
        <v/>
      </c>
      <c r="I36" s="10" t="str">
        <f t="shared" si="19"/>
        <v/>
      </c>
      <c r="J36" s="10" t="str">
        <f t="shared" si="19"/>
        <v/>
      </c>
      <c r="K36" s="10" t="str">
        <f t="shared" si="19"/>
        <v/>
      </c>
      <c r="L36" s="10" t="str">
        <f t="shared" si="19"/>
        <v/>
      </c>
      <c r="M36" s="10" t="str">
        <f t="shared" si="19"/>
        <v/>
      </c>
      <c r="N36" s="5"/>
      <c r="O36" s="10">
        <f t="shared" si="10"/>
        <v>0.55871865670131726</v>
      </c>
      <c r="P36" s="10" t="str">
        <f t="shared" si="10"/>
        <v/>
      </c>
      <c r="Q36" s="10" t="str">
        <f t="shared" si="10"/>
        <v/>
      </c>
      <c r="R36" s="10" t="str">
        <f t="shared" si="10"/>
        <v/>
      </c>
      <c r="S36" s="10" t="str">
        <f t="shared" si="10"/>
        <v/>
      </c>
      <c r="T36" s="10" t="str">
        <f t="shared" si="11"/>
        <v/>
      </c>
      <c r="U36" s="10" t="str">
        <f t="shared" si="11"/>
        <v/>
      </c>
      <c r="V36" s="10" t="str">
        <f t="shared" si="11"/>
        <v/>
      </c>
    </row>
    <row r="37" spans="1:22" x14ac:dyDescent="0.35">
      <c r="A37" s="146"/>
      <c r="B37" s="10" t="str">
        <f t="shared" ref="B37:M37" si="20">IF(B14="","",(B14/$O$23))</f>
        <v/>
      </c>
      <c r="C37" s="10" t="str">
        <f t="shared" si="20"/>
        <v/>
      </c>
      <c r="D37" s="10" t="str">
        <f t="shared" si="20"/>
        <v/>
      </c>
      <c r="E37" s="10" t="str">
        <f t="shared" si="20"/>
        <v/>
      </c>
      <c r="F37" s="10" t="str">
        <f t="shared" si="20"/>
        <v/>
      </c>
      <c r="G37" s="10" t="str">
        <f t="shared" si="20"/>
        <v/>
      </c>
      <c r="H37" s="10" t="str">
        <f t="shared" si="20"/>
        <v/>
      </c>
      <c r="I37" s="10" t="str">
        <f t="shared" si="20"/>
        <v/>
      </c>
      <c r="J37" s="10" t="str">
        <f t="shared" si="20"/>
        <v/>
      </c>
      <c r="K37" s="10" t="str">
        <f t="shared" si="20"/>
        <v/>
      </c>
      <c r="L37" s="10" t="str">
        <f t="shared" si="20"/>
        <v/>
      </c>
      <c r="M37" s="10" t="str">
        <f t="shared" si="20"/>
        <v/>
      </c>
      <c r="N37" s="5"/>
      <c r="O37" s="10">
        <f t="shared" si="10"/>
        <v>1.4340254995704695</v>
      </c>
      <c r="P37" s="10" t="str">
        <f t="shared" si="10"/>
        <v/>
      </c>
      <c r="Q37" s="10" t="str">
        <f t="shared" si="10"/>
        <v/>
      </c>
      <c r="R37" s="10" t="str">
        <f t="shared" si="10"/>
        <v/>
      </c>
      <c r="S37" s="10" t="str">
        <f t="shared" si="10"/>
        <v/>
      </c>
      <c r="T37" s="10" t="str">
        <f t="shared" si="11"/>
        <v/>
      </c>
      <c r="U37" s="10" t="str">
        <f t="shared" si="11"/>
        <v/>
      </c>
      <c r="V37" s="10" t="str">
        <f t="shared" si="11"/>
        <v/>
      </c>
    </row>
    <row r="38" spans="1:22" x14ac:dyDescent="0.35">
      <c r="A38" s="146"/>
      <c r="B38" s="10" t="str">
        <f t="shared" ref="B38:M38" si="21">IF(B15="","",(B15/$O$23))</f>
        <v/>
      </c>
      <c r="C38" s="10" t="str">
        <f t="shared" si="21"/>
        <v/>
      </c>
      <c r="D38" s="10" t="str">
        <f t="shared" si="21"/>
        <v/>
      </c>
      <c r="E38" s="10" t="str">
        <f t="shared" si="21"/>
        <v/>
      </c>
      <c r="F38" s="10" t="str">
        <f t="shared" si="21"/>
        <v/>
      </c>
      <c r="G38" s="10" t="str">
        <f t="shared" si="21"/>
        <v/>
      </c>
      <c r="H38" s="10" t="str">
        <f t="shared" si="21"/>
        <v/>
      </c>
      <c r="I38" s="10" t="str">
        <f t="shared" si="21"/>
        <v/>
      </c>
      <c r="J38" s="10" t="str">
        <f t="shared" si="21"/>
        <v/>
      </c>
      <c r="K38" s="10" t="str">
        <f t="shared" si="21"/>
        <v/>
      </c>
      <c r="L38" s="10" t="str">
        <f t="shared" si="21"/>
        <v/>
      </c>
      <c r="M38" s="10" t="str">
        <f t="shared" si="21"/>
        <v/>
      </c>
      <c r="N38" s="5"/>
      <c r="O38" s="10">
        <f t="shared" ref="O38:S43" si="22">IF(O15="","",(O15/$O$23))</f>
        <v>0.99577783623396621</v>
      </c>
      <c r="P38" s="10" t="str">
        <f t="shared" si="22"/>
        <v/>
      </c>
      <c r="Q38" s="10" t="str">
        <f t="shared" si="22"/>
        <v/>
      </c>
      <c r="R38" s="10" t="str">
        <f t="shared" si="22"/>
        <v/>
      </c>
      <c r="S38" s="10" t="str">
        <f t="shared" si="22"/>
        <v/>
      </c>
      <c r="T38" s="10" t="str">
        <f t="shared" si="11"/>
        <v/>
      </c>
      <c r="U38" s="10" t="str">
        <f t="shared" si="11"/>
        <v/>
      </c>
      <c r="V38" s="10" t="str">
        <f t="shared" si="11"/>
        <v/>
      </c>
    </row>
    <row r="39" spans="1:22" x14ac:dyDescent="0.35">
      <c r="A39" s="146"/>
      <c r="B39" s="10" t="str">
        <f t="shared" ref="B39:M39" si="23">IF(B16="","",(B16/$O$23))</f>
        <v/>
      </c>
      <c r="C39" s="10" t="str">
        <f t="shared" si="23"/>
        <v/>
      </c>
      <c r="D39" s="10" t="str">
        <f t="shared" si="23"/>
        <v/>
      </c>
      <c r="E39" s="10" t="str">
        <f t="shared" si="23"/>
        <v/>
      </c>
      <c r="F39" s="10" t="str">
        <f t="shared" si="23"/>
        <v/>
      </c>
      <c r="G39" s="10" t="str">
        <f t="shared" si="23"/>
        <v/>
      </c>
      <c r="H39" s="10" t="str">
        <f t="shared" si="23"/>
        <v/>
      </c>
      <c r="I39" s="10" t="str">
        <f t="shared" si="23"/>
        <v/>
      </c>
      <c r="J39" s="10" t="str">
        <f t="shared" si="23"/>
        <v/>
      </c>
      <c r="K39" s="10" t="str">
        <f t="shared" si="23"/>
        <v/>
      </c>
      <c r="L39" s="10" t="str">
        <f t="shared" si="23"/>
        <v/>
      </c>
      <c r="M39" s="10" t="str">
        <f t="shared" si="23"/>
        <v/>
      </c>
      <c r="N39" s="5"/>
      <c r="O39" s="10">
        <f t="shared" si="22"/>
        <v>1.0928093860199368</v>
      </c>
      <c r="P39" s="10" t="str">
        <f t="shared" si="22"/>
        <v/>
      </c>
      <c r="Q39" s="10" t="str">
        <f t="shared" si="22"/>
        <v/>
      </c>
      <c r="R39" s="10" t="str">
        <f t="shared" si="22"/>
        <v/>
      </c>
      <c r="S39" s="10" t="str">
        <f t="shared" si="22"/>
        <v/>
      </c>
      <c r="T39" s="10" t="str">
        <f t="shared" si="11"/>
        <v/>
      </c>
      <c r="U39" s="10" t="str">
        <f t="shared" si="11"/>
        <v/>
      </c>
      <c r="V39" s="10" t="str">
        <f t="shared" si="11"/>
        <v/>
      </c>
    </row>
    <row r="40" spans="1:22" x14ac:dyDescent="0.35">
      <c r="A40" s="146"/>
      <c r="B40" s="10" t="str">
        <f t="shared" ref="B40:M40" si="24">IF(B17="","",(B17/$O$23))</f>
        <v/>
      </c>
      <c r="C40" s="10" t="str">
        <f t="shared" si="24"/>
        <v/>
      </c>
      <c r="D40" s="10" t="str">
        <f t="shared" si="24"/>
        <v/>
      </c>
      <c r="E40" s="10" t="str">
        <f t="shared" si="24"/>
        <v/>
      </c>
      <c r="F40" s="10" t="str">
        <f t="shared" si="24"/>
        <v/>
      </c>
      <c r="G40" s="10" t="str">
        <f t="shared" si="24"/>
        <v/>
      </c>
      <c r="H40" s="10" t="str">
        <f t="shared" si="24"/>
        <v/>
      </c>
      <c r="I40" s="10" t="str">
        <f t="shared" si="24"/>
        <v/>
      </c>
      <c r="J40" s="10" t="str">
        <f t="shared" si="24"/>
        <v/>
      </c>
      <c r="K40" s="10" t="str">
        <f t="shared" si="24"/>
        <v/>
      </c>
      <c r="L40" s="10" t="str">
        <f t="shared" si="24"/>
        <v/>
      </c>
      <c r="M40" s="10" t="str">
        <f t="shared" si="24"/>
        <v/>
      </c>
      <c r="N40" s="5"/>
      <c r="O40" s="10">
        <f t="shared" si="22"/>
        <v>0.90635782177525726</v>
      </c>
      <c r="P40" s="10" t="str">
        <f t="shared" si="22"/>
        <v/>
      </c>
      <c r="Q40" s="10" t="str">
        <f t="shared" si="22"/>
        <v/>
      </c>
      <c r="R40" s="10" t="str">
        <f t="shared" si="22"/>
        <v/>
      </c>
      <c r="S40" s="10" t="str">
        <f t="shared" si="22"/>
        <v/>
      </c>
      <c r="T40" s="10" t="str">
        <f t="shared" si="11"/>
        <v/>
      </c>
      <c r="U40" s="10" t="str">
        <f t="shared" si="11"/>
        <v/>
      </c>
      <c r="V40" s="10" t="str">
        <f t="shared" si="11"/>
        <v/>
      </c>
    </row>
    <row r="41" spans="1:22" x14ac:dyDescent="0.35">
      <c r="A41" s="146"/>
      <c r="B41" s="10" t="str">
        <f t="shared" ref="B41:M41" si="25">IF(B18="","",(B18/$O$23))</f>
        <v/>
      </c>
      <c r="C41" s="10" t="str">
        <f t="shared" si="25"/>
        <v/>
      </c>
      <c r="D41" s="10" t="str">
        <f t="shared" si="25"/>
        <v/>
      </c>
      <c r="E41" s="10" t="str">
        <f t="shared" si="25"/>
        <v/>
      </c>
      <c r="F41" s="10" t="str">
        <f t="shared" si="25"/>
        <v/>
      </c>
      <c r="G41" s="10" t="str">
        <f t="shared" si="25"/>
        <v/>
      </c>
      <c r="H41" s="10" t="str">
        <f t="shared" si="25"/>
        <v/>
      </c>
      <c r="I41" s="10" t="str">
        <f t="shared" si="25"/>
        <v/>
      </c>
      <c r="J41" s="10" t="str">
        <f t="shared" si="25"/>
        <v/>
      </c>
      <c r="K41" s="10" t="str">
        <f t="shared" si="25"/>
        <v/>
      </c>
      <c r="L41" s="10" t="str">
        <f t="shared" si="25"/>
        <v/>
      </c>
      <c r="M41" s="10" t="str">
        <f t="shared" si="25"/>
        <v/>
      </c>
      <c r="N41" s="5"/>
      <c r="O41" s="10">
        <f t="shared" si="22"/>
        <v>0.63853485082328187</v>
      </c>
      <c r="P41" s="10" t="str">
        <f t="shared" si="22"/>
        <v/>
      </c>
      <c r="Q41" s="10" t="str">
        <f t="shared" si="22"/>
        <v/>
      </c>
      <c r="R41" s="10" t="str">
        <f t="shared" si="22"/>
        <v/>
      </c>
      <c r="S41" s="10" t="str">
        <f t="shared" si="22"/>
        <v/>
      </c>
      <c r="T41" s="10" t="str">
        <f t="shared" si="11"/>
        <v/>
      </c>
      <c r="U41" s="10" t="str">
        <f t="shared" si="11"/>
        <v/>
      </c>
      <c r="V41" s="10" t="str">
        <f t="shared" si="11"/>
        <v/>
      </c>
    </row>
    <row r="42" spans="1:22" x14ac:dyDescent="0.35">
      <c r="A42" s="146"/>
      <c r="B42" s="10" t="str">
        <f t="shared" ref="B42:M42" si="26">IF(B19="","",(B19/$O$23))</f>
        <v/>
      </c>
      <c r="C42" s="10" t="str">
        <f t="shared" si="26"/>
        <v/>
      </c>
      <c r="D42" s="10" t="str">
        <f t="shared" si="26"/>
        <v/>
      </c>
      <c r="E42" s="10" t="str">
        <f t="shared" si="26"/>
        <v/>
      </c>
      <c r="F42" s="10" t="str">
        <f t="shared" si="26"/>
        <v/>
      </c>
      <c r="G42" s="10" t="str">
        <f t="shared" si="26"/>
        <v/>
      </c>
      <c r="H42" s="10" t="str">
        <f t="shared" si="26"/>
        <v/>
      </c>
      <c r="I42" s="10" t="str">
        <f t="shared" si="26"/>
        <v/>
      </c>
      <c r="J42" s="10" t="str">
        <f t="shared" si="26"/>
        <v/>
      </c>
      <c r="K42" s="10" t="str">
        <f t="shared" si="26"/>
        <v/>
      </c>
      <c r="L42" s="10" t="str">
        <f t="shared" si="26"/>
        <v/>
      </c>
      <c r="M42" s="10" t="str">
        <f t="shared" si="26"/>
        <v/>
      </c>
      <c r="N42" s="5"/>
      <c r="O42" s="10">
        <f t="shared" si="22"/>
        <v>1.4229809590207811</v>
      </c>
      <c r="P42" s="10" t="str">
        <f t="shared" si="22"/>
        <v/>
      </c>
      <c r="Q42" s="10" t="str">
        <f t="shared" si="22"/>
        <v/>
      </c>
      <c r="R42" s="10" t="str">
        <f t="shared" si="22"/>
        <v/>
      </c>
      <c r="S42" s="10" t="str">
        <f t="shared" si="22"/>
        <v/>
      </c>
      <c r="T42" s="10" t="str">
        <f t="shared" si="11"/>
        <v/>
      </c>
      <c r="U42" s="10" t="str">
        <f t="shared" si="11"/>
        <v/>
      </c>
      <c r="V42" s="10" t="str">
        <f t="shared" si="11"/>
        <v/>
      </c>
    </row>
    <row r="43" spans="1:22" x14ac:dyDescent="0.35">
      <c r="A43" s="146"/>
      <c r="B43" s="10" t="str">
        <f t="shared" ref="B43:M43" si="27">IF(B20="","",(B20/$O$23))</f>
        <v/>
      </c>
      <c r="C43" s="10" t="str">
        <f t="shared" si="27"/>
        <v/>
      </c>
      <c r="D43" s="10" t="str">
        <f t="shared" si="27"/>
        <v/>
      </c>
      <c r="E43" s="10" t="str">
        <f t="shared" si="27"/>
        <v/>
      </c>
      <c r="F43" s="10" t="str">
        <f t="shared" si="27"/>
        <v/>
      </c>
      <c r="G43" s="10" t="str">
        <f t="shared" si="27"/>
        <v/>
      </c>
      <c r="H43" s="10" t="str">
        <f t="shared" si="27"/>
        <v/>
      </c>
      <c r="I43" s="10" t="str">
        <f t="shared" si="27"/>
        <v/>
      </c>
      <c r="J43" s="10" t="str">
        <f t="shared" si="27"/>
        <v/>
      </c>
      <c r="K43" s="10" t="str">
        <f t="shared" si="27"/>
        <v/>
      </c>
      <c r="L43" s="10" t="str">
        <f t="shared" si="27"/>
        <v/>
      </c>
      <c r="M43" s="10" t="str">
        <f t="shared" si="27"/>
        <v/>
      </c>
      <c r="N43" s="5"/>
      <c r="O43" s="10">
        <f t="shared" si="22"/>
        <v>7.5918449938099805E-2</v>
      </c>
      <c r="P43" s="10" t="str">
        <f t="shared" si="22"/>
        <v/>
      </c>
      <c r="Q43" s="10" t="str">
        <f t="shared" si="22"/>
        <v/>
      </c>
      <c r="R43" s="10" t="str">
        <f t="shared" si="22"/>
        <v/>
      </c>
      <c r="S43" s="10" t="str">
        <f t="shared" si="22"/>
        <v/>
      </c>
      <c r="T43" s="10" t="str">
        <f t="shared" si="11"/>
        <v/>
      </c>
      <c r="U43" s="10" t="str">
        <f t="shared" si="11"/>
        <v/>
      </c>
      <c r="V43" s="10" t="str">
        <f t="shared" si="11"/>
        <v/>
      </c>
    </row>
    <row r="44" spans="1:22" x14ac:dyDescent="0.35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6"/>
      <c r="O44" s="3"/>
      <c r="P44" s="3"/>
      <c r="Q44" s="3"/>
      <c r="R44" s="3"/>
      <c r="S44" s="3"/>
      <c r="T44" s="3"/>
      <c r="U44" s="3"/>
      <c r="V44" s="3"/>
    </row>
    <row r="45" spans="1:22" x14ac:dyDescent="0.35">
      <c r="A45" s="51" t="str">
        <f t="shared" ref="A45" si="28">A4</f>
        <v>Group names</v>
      </c>
      <c r="B45" s="6" t="str">
        <f t="shared" ref="B45:R45" si="29">B4</f>
        <v>Solvent control</v>
      </c>
      <c r="C45" s="6" t="str">
        <f t="shared" si="29"/>
        <v>EE2-33.8ng/L</v>
      </c>
      <c r="D45" s="6" t="str">
        <f t="shared" si="29"/>
        <v>EE2-50.6ng/L</v>
      </c>
      <c r="E45" s="6" t="str">
        <f t="shared" si="29"/>
        <v>EE2-76ng/L</v>
      </c>
      <c r="F45" s="6" t="str">
        <f t="shared" si="29"/>
        <v>EE2-114ng/L</v>
      </c>
      <c r="G45" s="6" t="str">
        <f t="shared" si="29"/>
        <v>EE2-170.9ng/L</v>
      </c>
      <c r="H45" s="6" t="str">
        <f t="shared" si="29"/>
        <v>EE2-488ng/L</v>
      </c>
      <c r="I45" s="6" t="str">
        <f t="shared" si="29"/>
        <v>Estrone-0.04µg/L</v>
      </c>
      <c r="J45" s="6" t="str">
        <f t="shared" si="29"/>
        <v>Estrone-0.2µg/L</v>
      </c>
      <c r="K45" s="6" t="str">
        <f t="shared" ref="K45:M45" si="30">K4</f>
        <v>Estrone-1µg/L</v>
      </c>
      <c r="L45" s="6" t="str">
        <f t="shared" si="30"/>
        <v>Estrone-5µg/L</v>
      </c>
      <c r="M45" s="6" t="str">
        <f t="shared" si="30"/>
        <v>Estrone-25µg/L</v>
      </c>
      <c r="N45" s="6"/>
      <c r="O45" s="6" t="str">
        <f t="shared" si="29"/>
        <v>Testo -30µg/L</v>
      </c>
      <c r="P45" s="6" t="str">
        <f t="shared" si="29"/>
        <v>Testo 30µg/L + EE2 -64ng/L</v>
      </c>
      <c r="Q45" s="6" t="str">
        <f t="shared" si="29"/>
        <v>Testo 30µg/L + FAD-10mg/L</v>
      </c>
      <c r="R45" s="6" t="str">
        <f t="shared" si="29"/>
        <v>Estrone-0.04µg/L + Testostérone</v>
      </c>
      <c r="S45" s="6" t="str">
        <f t="shared" ref="S45:V45" si="31">S4</f>
        <v>Estrone-0.2µg/L + Testostérone</v>
      </c>
      <c r="T45" s="6" t="str">
        <f t="shared" si="31"/>
        <v>Estrone-1µg/L + Testostérone</v>
      </c>
      <c r="U45" s="6" t="str">
        <f t="shared" si="31"/>
        <v>Estrone-5µg/L + Testostérone</v>
      </c>
      <c r="V45" s="6" t="str">
        <f t="shared" si="31"/>
        <v>Estrone-25µg/L + Testostérone</v>
      </c>
    </row>
    <row r="46" spans="1:22" x14ac:dyDescent="0.35">
      <c r="A46" s="7" t="s">
        <v>0</v>
      </c>
      <c r="B46" s="9">
        <f t="shared" ref="B46:H46" si="32">AVERAGE(B28:B43)</f>
        <v>0.10959804421127374</v>
      </c>
      <c r="C46" s="9">
        <f t="shared" si="32"/>
        <v>6.9037281762711608E-2</v>
      </c>
      <c r="D46" s="9">
        <f t="shared" si="32"/>
        <v>0.29463011642387926</v>
      </c>
      <c r="E46" s="9">
        <f t="shared" si="32"/>
        <v>0.50854877606844517</v>
      </c>
      <c r="F46" s="9">
        <f t="shared" si="32"/>
        <v>1.1867649834350287</v>
      </c>
      <c r="G46" s="9">
        <f t="shared" si="32"/>
        <v>1.3108876286061695</v>
      </c>
      <c r="H46" s="9">
        <f t="shared" si="32"/>
        <v>2.2756884350562987</v>
      </c>
      <c r="I46" s="9">
        <f>AVERAGE(I28:I43)</f>
        <v>2.806141088302978E-2</v>
      </c>
      <c r="J46" s="8">
        <f>AVERAGE(J28:J43)</f>
        <v>3.0945279489052034E-2</v>
      </c>
      <c r="K46" s="8">
        <f t="shared" ref="K46:M46" si="33">AVERAGE(K28:K43)</f>
        <v>0.24710551730354272</v>
      </c>
      <c r="L46" s="8">
        <f t="shared" si="33"/>
        <v>2.1860331078682234</v>
      </c>
      <c r="M46" s="8" t="e">
        <f t="shared" si="33"/>
        <v>#DIV/0!</v>
      </c>
      <c r="N46" s="7" t="s">
        <v>0</v>
      </c>
      <c r="O46" s="9">
        <f t="shared" ref="O46:R46" si="34">AVERAGE(O28:O43)</f>
        <v>1</v>
      </c>
      <c r="P46" s="9">
        <f t="shared" si="34"/>
        <v>2.2533329531637163</v>
      </c>
      <c r="Q46" s="9">
        <f t="shared" si="34"/>
        <v>6.4837891383087737E-2</v>
      </c>
      <c r="R46" s="9">
        <f t="shared" si="34"/>
        <v>1.0273768848288409</v>
      </c>
      <c r="S46" s="9">
        <f t="shared" ref="S46:V46" si="35">AVERAGE(S28:S43)</f>
        <v>1.1453492440449802</v>
      </c>
      <c r="T46" s="9">
        <f t="shared" si="35"/>
        <v>1.3369675709184958</v>
      </c>
      <c r="U46" s="9">
        <f t="shared" si="35"/>
        <v>2.2342971614206326</v>
      </c>
      <c r="V46" s="9">
        <f t="shared" si="35"/>
        <v>2.3003459052972954</v>
      </c>
    </row>
    <row r="47" spans="1:22" x14ac:dyDescent="0.35">
      <c r="A47" s="7" t="s">
        <v>1</v>
      </c>
      <c r="B47" s="7">
        <f t="shared" ref="B47:J47" si="36">STDEV(B28:B43)</f>
        <v>0.11076705844963307</v>
      </c>
      <c r="C47" s="7">
        <f t="shared" si="36"/>
        <v>7.6191869653014666E-2</v>
      </c>
      <c r="D47" s="7">
        <f t="shared" si="36"/>
        <v>0.57577799698859322</v>
      </c>
      <c r="E47" s="7">
        <f t="shared" si="36"/>
        <v>0.3815740161983478</v>
      </c>
      <c r="F47" s="7">
        <f t="shared" si="36"/>
        <v>0.87275939654265733</v>
      </c>
      <c r="G47" s="7">
        <f t="shared" si="36"/>
        <v>0.35633010650886116</v>
      </c>
      <c r="H47" s="7">
        <f t="shared" si="36"/>
        <v>0.75399653793314525</v>
      </c>
      <c r="I47" s="7">
        <f t="shared" si="36"/>
        <v>2.3005064673563037E-2</v>
      </c>
      <c r="J47" s="7">
        <f t="shared" si="36"/>
        <v>1.9820221230108348E-2</v>
      </c>
      <c r="K47" s="7">
        <f t="shared" ref="K47:M47" si="37">STDEV(K28:K43)</f>
        <v>0.17683546493985569</v>
      </c>
      <c r="L47" s="7">
        <f t="shared" si="37"/>
        <v>0.51370982470705395</v>
      </c>
      <c r="M47" s="7" t="e">
        <f t="shared" si="37"/>
        <v>#DIV/0!</v>
      </c>
      <c r="N47" s="7" t="s">
        <v>1</v>
      </c>
      <c r="O47" s="7">
        <f t="shared" ref="O47:R47" si="38">STDEV(O28:O43)</f>
        <v>0.4047467723824692</v>
      </c>
      <c r="P47" s="7">
        <f t="shared" si="38"/>
        <v>0.38560048080507503</v>
      </c>
      <c r="Q47" s="7">
        <f t="shared" si="38"/>
        <v>5.0760387727296144E-2</v>
      </c>
      <c r="R47" s="7">
        <f t="shared" si="38"/>
        <v>0.24413680253161829</v>
      </c>
      <c r="S47" s="7">
        <f t="shared" ref="S47:V47" si="39">STDEV(S28:S43)</f>
        <v>0.48360054623324245</v>
      </c>
      <c r="T47" s="7">
        <f t="shared" si="39"/>
        <v>0.39904367890512543</v>
      </c>
      <c r="U47" s="7">
        <f t="shared" si="39"/>
        <v>0.71912370454826091</v>
      </c>
      <c r="V47" s="7">
        <f t="shared" si="39"/>
        <v>0.5560957275918067</v>
      </c>
    </row>
    <row r="48" spans="1:22" x14ac:dyDescent="0.35">
      <c r="A48" s="7" t="s">
        <v>2</v>
      </c>
      <c r="B48" s="7">
        <f t="shared" ref="B48:J48" si="40" xml:space="preserve"> B47/SQRT(COUNT(B28:B43))</f>
        <v>3.9162069080911105E-2</v>
      </c>
      <c r="C48" s="7">
        <f t="shared" si="40"/>
        <v>2.6937893851464095E-2</v>
      </c>
      <c r="D48" s="7">
        <f t="shared" si="40"/>
        <v>0.20356826306432088</v>
      </c>
      <c r="E48" s="7">
        <f t="shared" si="40"/>
        <v>0.13490678718921861</v>
      </c>
      <c r="F48" s="7">
        <f t="shared" si="40"/>
        <v>0.30856704381979599</v>
      </c>
      <c r="G48" s="7">
        <f t="shared" si="40"/>
        <v>0.12598171732667021</v>
      </c>
      <c r="H48" s="7">
        <f t="shared" si="40"/>
        <v>0.26657803248185347</v>
      </c>
      <c r="I48" s="7">
        <f t="shared" si="40"/>
        <v>8.1335186161557559E-3</v>
      </c>
      <c r="J48" s="7">
        <f t="shared" si="40"/>
        <v>7.0075064182135932E-3</v>
      </c>
      <c r="K48" s="7">
        <f t="shared" ref="K48:M48" si="41" xml:space="preserve"> K47/SQRT(COUNT(K28:K43))</f>
        <v>6.2520778206623967E-2</v>
      </c>
      <c r="L48" s="7">
        <f t="shared" si="41"/>
        <v>0.18162385030625522</v>
      </c>
      <c r="M48" s="7" t="e">
        <f t="shared" si="41"/>
        <v>#DIV/0!</v>
      </c>
      <c r="N48" s="7" t="s">
        <v>2</v>
      </c>
      <c r="O48" s="7">
        <f t="shared" ref="O48:R48" si="42" xml:space="preserve"> O47/SQRT(COUNT(O28:O43))</f>
        <v>0.1011866930956173</v>
      </c>
      <c r="P48" s="7">
        <f t="shared" si="42"/>
        <v>0.13633035740303084</v>
      </c>
      <c r="Q48" s="7">
        <f t="shared" si="42"/>
        <v>1.7946507188814752E-2</v>
      </c>
      <c r="R48" s="7">
        <f t="shared" si="42"/>
        <v>8.6315394303654189E-2</v>
      </c>
      <c r="S48" s="7">
        <f t="shared" ref="S48:V48" si="43" xml:space="preserve"> S47/SQRT(COUNT(S28:S43))</f>
        <v>0.17097861281352211</v>
      </c>
      <c r="T48" s="7">
        <f t="shared" si="43"/>
        <v>0.14108324567172073</v>
      </c>
      <c r="U48" s="7">
        <f t="shared" si="43"/>
        <v>0.25424862399903325</v>
      </c>
      <c r="V48" s="7">
        <f t="shared" si="43"/>
        <v>0.19660952998451678</v>
      </c>
    </row>
    <row r="49" spans="1:22" ht="15" thickBot="1" x14ac:dyDescent="0.4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26.5" thickBot="1" x14ac:dyDescent="0.65">
      <c r="A50" s="141"/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</row>
    <row r="51" spans="1:22" customFormat="1" ht="15" thickBot="1" x14ac:dyDescent="0.4"/>
    <row r="52" spans="1:22" x14ac:dyDescent="0.35">
      <c r="A52" s="27" t="str">
        <f t="shared" ref="A52" si="44">A27</f>
        <v>Group names</v>
      </c>
      <c r="B52" s="28" t="str">
        <f t="shared" ref="B52:H52" si="45">B27</f>
        <v>Solvent control</v>
      </c>
      <c r="C52" s="28" t="str">
        <f t="shared" si="45"/>
        <v>EE2-33.8ng/L</v>
      </c>
      <c r="D52" s="28" t="str">
        <f t="shared" si="45"/>
        <v>EE2-50.6ng/L</v>
      </c>
      <c r="E52" s="28" t="str">
        <f t="shared" si="45"/>
        <v>EE2-76ng/L</v>
      </c>
      <c r="F52" s="28" t="str">
        <f t="shared" si="45"/>
        <v>EE2-114ng/L</v>
      </c>
      <c r="G52" s="28" t="str">
        <f t="shared" si="45"/>
        <v>EE2-170.9ng/L</v>
      </c>
      <c r="H52" s="28" t="str">
        <f t="shared" si="45"/>
        <v>EE2-488ng/L</v>
      </c>
      <c r="I52" s="28" t="str">
        <f>I4</f>
        <v>Estrone-0.04µg/L</v>
      </c>
      <c r="J52" s="28" t="str">
        <f>J4</f>
        <v>Estrone-0.2µg/L</v>
      </c>
      <c r="K52" s="28" t="str">
        <f t="shared" ref="K52:M52" si="46">K4</f>
        <v>Estrone-1µg/L</v>
      </c>
      <c r="L52" s="28" t="str">
        <f t="shared" si="46"/>
        <v>Estrone-5µg/L</v>
      </c>
      <c r="M52" s="28" t="str">
        <f t="shared" si="46"/>
        <v>Estrone-25µg/L</v>
      </c>
      <c r="N52" s="29"/>
      <c r="O52" s="28" t="str">
        <f>O27</f>
        <v>Testo -30µg/L</v>
      </c>
      <c r="P52" s="28" t="str">
        <f>P27</f>
        <v>Testo 30µg/L + EE2 -64ng/L</v>
      </c>
      <c r="Q52" s="28" t="str">
        <f>Q27</f>
        <v>Testo 30µg/L + FAD-10mg/L</v>
      </c>
      <c r="R52" s="28" t="str">
        <f>R27</f>
        <v>Estrone-0.04µg/L + Testostérone</v>
      </c>
      <c r="S52" s="28" t="str">
        <f t="shared" ref="S52:V52" si="47">S27</f>
        <v>Estrone-0.2µg/L + Testostérone</v>
      </c>
      <c r="T52" s="28" t="str">
        <f t="shared" si="47"/>
        <v>Estrone-1µg/L + Testostérone</v>
      </c>
      <c r="U52" s="28" t="str">
        <f t="shared" si="47"/>
        <v>Estrone-5µg/L + Testostérone</v>
      </c>
      <c r="V52" s="28" t="str">
        <f t="shared" si="47"/>
        <v>Estrone-25µg/L + Testostérone</v>
      </c>
    </row>
    <row r="53" spans="1:22" s="3" customFormat="1" x14ac:dyDescent="0.35">
      <c r="A53" s="43" t="s">
        <v>10</v>
      </c>
      <c r="B53" s="75">
        <f t="shared" ref="B53" si="48">B46</f>
        <v>0.10959804421127374</v>
      </c>
      <c r="C53" s="75">
        <f t="shared" ref="C53:V53" si="49">C46</f>
        <v>6.9037281762711608E-2</v>
      </c>
      <c r="D53" s="75">
        <f t="shared" si="49"/>
        <v>0.29463011642387926</v>
      </c>
      <c r="E53" s="75">
        <f t="shared" si="49"/>
        <v>0.50854877606844517</v>
      </c>
      <c r="F53" s="75">
        <f t="shared" si="49"/>
        <v>1.1867649834350287</v>
      </c>
      <c r="G53" s="75">
        <f t="shared" si="49"/>
        <v>1.3108876286061695</v>
      </c>
      <c r="H53" s="75">
        <f t="shared" si="49"/>
        <v>2.2756884350562987</v>
      </c>
      <c r="I53" s="75">
        <f t="shared" si="49"/>
        <v>2.806141088302978E-2</v>
      </c>
      <c r="J53" s="75">
        <f t="shared" si="49"/>
        <v>3.0945279489052034E-2</v>
      </c>
      <c r="K53" s="75">
        <f t="shared" si="49"/>
        <v>0.24710551730354272</v>
      </c>
      <c r="L53" s="75">
        <f t="shared" si="49"/>
        <v>2.1860331078682234</v>
      </c>
      <c r="M53" s="75" t="e">
        <f t="shared" si="49"/>
        <v>#DIV/0!</v>
      </c>
      <c r="N53" s="75"/>
      <c r="O53" s="75">
        <f t="shared" si="49"/>
        <v>1</v>
      </c>
      <c r="P53" s="75">
        <f t="shared" si="49"/>
        <v>2.2533329531637163</v>
      </c>
      <c r="Q53" s="75">
        <f t="shared" si="49"/>
        <v>6.4837891383087737E-2</v>
      </c>
      <c r="R53" s="75">
        <f t="shared" si="49"/>
        <v>1.0273768848288409</v>
      </c>
      <c r="S53" s="75">
        <f t="shared" si="49"/>
        <v>1.1453492440449802</v>
      </c>
      <c r="T53" s="75">
        <f t="shared" si="49"/>
        <v>1.3369675709184958</v>
      </c>
      <c r="U53" s="75">
        <f t="shared" si="49"/>
        <v>2.2342971614206326</v>
      </c>
      <c r="V53" s="75">
        <f t="shared" si="49"/>
        <v>2.3003459052972954</v>
      </c>
    </row>
    <row r="54" spans="1:22" s="3" customFormat="1" x14ac:dyDescent="0.35">
      <c r="A54" s="43" t="s">
        <v>2</v>
      </c>
      <c r="B54" s="75">
        <f t="shared" ref="B54" si="50">B48</f>
        <v>3.9162069080911105E-2</v>
      </c>
      <c r="C54" s="75">
        <f t="shared" ref="C54:V54" si="51">C48</f>
        <v>2.6937893851464095E-2</v>
      </c>
      <c r="D54" s="75">
        <f t="shared" si="51"/>
        <v>0.20356826306432088</v>
      </c>
      <c r="E54" s="75">
        <f t="shared" si="51"/>
        <v>0.13490678718921861</v>
      </c>
      <c r="F54" s="75">
        <f t="shared" si="51"/>
        <v>0.30856704381979599</v>
      </c>
      <c r="G54" s="75">
        <f t="shared" si="51"/>
        <v>0.12598171732667021</v>
      </c>
      <c r="H54" s="75">
        <f t="shared" si="51"/>
        <v>0.26657803248185347</v>
      </c>
      <c r="I54" s="75">
        <f t="shared" si="51"/>
        <v>8.1335186161557559E-3</v>
      </c>
      <c r="J54" s="75">
        <f t="shared" si="51"/>
        <v>7.0075064182135932E-3</v>
      </c>
      <c r="K54" s="75">
        <f t="shared" si="51"/>
        <v>6.2520778206623967E-2</v>
      </c>
      <c r="L54" s="75">
        <f t="shared" si="51"/>
        <v>0.18162385030625522</v>
      </c>
      <c r="M54" s="75" t="e">
        <f t="shared" si="51"/>
        <v>#DIV/0!</v>
      </c>
      <c r="N54" s="75"/>
      <c r="O54" s="75">
        <f t="shared" si="51"/>
        <v>0.1011866930956173</v>
      </c>
      <c r="P54" s="75">
        <f t="shared" si="51"/>
        <v>0.13633035740303084</v>
      </c>
      <c r="Q54" s="75">
        <f t="shared" si="51"/>
        <v>1.7946507188814752E-2</v>
      </c>
      <c r="R54" s="75">
        <f t="shared" si="51"/>
        <v>8.6315394303654189E-2</v>
      </c>
      <c r="S54" s="75">
        <f t="shared" si="51"/>
        <v>0.17097861281352211</v>
      </c>
      <c r="T54" s="75">
        <f t="shared" si="51"/>
        <v>0.14108324567172073</v>
      </c>
      <c r="U54" s="75">
        <f t="shared" si="51"/>
        <v>0.25424862399903325</v>
      </c>
      <c r="V54" s="75">
        <f t="shared" si="51"/>
        <v>0.19660952998451678</v>
      </c>
    </row>
    <row r="55" spans="1:22" s="3" customFormat="1" x14ac:dyDescent="0.35">
      <c r="A55" s="43" t="s">
        <v>14</v>
      </c>
      <c r="B55" s="75">
        <f>(B53*100/$B53)-100</f>
        <v>0</v>
      </c>
      <c r="C55" s="75">
        <f t="shared" ref="C55:M55" si="52">(C53*100/$B53)-100</f>
        <v>-37.008655346415274</v>
      </c>
      <c r="D55" s="75">
        <f t="shared" si="52"/>
        <v>168.82789610361704</v>
      </c>
      <c r="E55" s="75">
        <f t="shared" si="52"/>
        <v>364.01263793367366</v>
      </c>
      <c r="F55" s="75">
        <f t="shared" si="52"/>
        <v>982.83408885224685</v>
      </c>
      <c r="G55" s="75">
        <f t="shared" si="52"/>
        <v>1096.0866984808163</v>
      </c>
      <c r="H55" s="75">
        <f t="shared" si="52"/>
        <v>1976.3951140126378</v>
      </c>
      <c r="I55" s="75">
        <f t="shared" si="52"/>
        <v>-74.396066020178807</v>
      </c>
      <c r="J55" s="75">
        <f t="shared" si="52"/>
        <v>-71.76475208864278</v>
      </c>
      <c r="K55" s="75">
        <f t="shared" si="52"/>
        <v>125.46526179535999</v>
      </c>
      <c r="L55" s="75">
        <f t="shared" si="52"/>
        <v>1894.5913484132761</v>
      </c>
      <c r="M55" s="75" t="e">
        <f t="shared" si="52"/>
        <v>#DIV/0!</v>
      </c>
      <c r="N55" s="75"/>
      <c r="O55" s="75">
        <f t="shared" ref="O55:V55" si="53">(O53*100/$O53)-100</f>
        <v>0</v>
      </c>
      <c r="P55" s="75">
        <f t="shared" si="53"/>
        <v>125.33329531637162</v>
      </c>
      <c r="Q55" s="75">
        <f t="shared" si="53"/>
        <v>-93.516210861691221</v>
      </c>
      <c r="R55" s="75">
        <f t="shared" si="53"/>
        <v>2.7376884828840957</v>
      </c>
      <c r="S55" s="75">
        <f t="shared" si="53"/>
        <v>14.534924404498014</v>
      </c>
      <c r="T55" s="75">
        <f t="shared" si="53"/>
        <v>33.696757091849577</v>
      </c>
      <c r="U55" s="75">
        <f t="shared" si="53"/>
        <v>123.42971614206326</v>
      </c>
      <c r="V55" s="75">
        <f t="shared" si="53"/>
        <v>130.03459052972954</v>
      </c>
    </row>
    <row r="56" spans="1:22" s="3" customFormat="1" x14ac:dyDescent="0.35">
      <c r="A56" s="43" t="s">
        <v>38</v>
      </c>
      <c r="B56" s="75" t="e">
        <f ca="1">[1]!SWTEST(B28:B43)</f>
        <v>#NAME?</v>
      </c>
      <c r="C56" s="75" t="e">
        <f ca="1">[1]!SWTEST(C28:C43)</f>
        <v>#NAME?</v>
      </c>
      <c r="D56" s="75" t="e">
        <f ca="1">[1]!SWTEST(D28:D43)</f>
        <v>#NAME?</v>
      </c>
      <c r="E56" s="75" t="e">
        <f ca="1">[1]!SWTEST(E28:E43)</f>
        <v>#NAME?</v>
      </c>
      <c r="F56" s="75" t="e">
        <f ca="1">[1]!SWTEST(F28:F43)</f>
        <v>#NAME?</v>
      </c>
      <c r="G56" s="75" t="e">
        <f ca="1">[1]!SWTEST(G28:G43)</f>
        <v>#NAME?</v>
      </c>
      <c r="H56" s="75" t="e">
        <f ca="1">[1]!SWTEST(H28:H43)</f>
        <v>#NAME?</v>
      </c>
      <c r="I56" s="75" t="e">
        <f ca="1">[1]!SWTEST(I28:I43)</f>
        <v>#NAME?</v>
      </c>
      <c r="J56" s="75" t="e">
        <f ca="1">[1]!SWTEST(J28:J43)</f>
        <v>#NAME?</v>
      </c>
      <c r="K56" s="75" t="e">
        <f ca="1">[1]!SWTEST(K28:K43)</f>
        <v>#NAME?</v>
      </c>
      <c r="L56" s="75" t="e">
        <f ca="1">[1]!SWTEST(L28:L43)</f>
        <v>#NAME?</v>
      </c>
      <c r="M56" s="75" t="e">
        <f ca="1">[1]!SWTEST(M28:M43)</f>
        <v>#NAME?</v>
      </c>
      <c r="N56" s="75"/>
      <c r="O56" s="75" t="e">
        <f ca="1">[1]!SWTEST(O28:O43)</f>
        <v>#NAME?</v>
      </c>
      <c r="P56" s="75" t="e">
        <f ca="1">[1]!SWTEST(P28:P43)</f>
        <v>#NAME?</v>
      </c>
      <c r="Q56" s="75" t="e">
        <f ca="1">[1]!SWTEST(Q28:Q43)</f>
        <v>#NAME?</v>
      </c>
      <c r="R56" s="75" t="e">
        <f ca="1">[1]!SWTEST(R28:R43)</f>
        <v>#NAME?</v>
      </c>
      <c r="S56" s="75" t="e">
        <f ca="1">[1]!SWTEST(S28:S43)</f>
        <v>#NAME?</v>
      </c>
      <c r="T56" s="75" t="e">
        <f ca="1">[1]!SWTEST(T28:T43)</f>
        <v>#NAME?</v>
      </c>
      <c r="U56" s="75" t="e">
        <f ca="1">[1]!SWTEST(U28:U43)</f>
        <v>#NAME?</v>
      </c>
      <c r="V56" s="75" t="e">
        <f ca="1">[1]!SWTEST(V28:V43)</f>
        <v>#NAME?</v>
      </c>
    </row>
    <row r="57" spans="1:22" s="3" customFormat="1" x14ac:dyDescent="0.35">
      <c r="A57" s="43" t="s">
        <v>39</v>
      </c>
      <c r="B57" s="75" t="e">
        <f ca="1">IF(B56&gt;0.05,"Oui","Non")</f>
        <v>#NAME?</v>
      </c>
      <c r="C57" s="75" t="e">
        <f t="shared" ref="C57:V57" ca="1" si="54">IF(C56&gt;0.05,"Oui","Non")</f>
        <v>#NAME?</v>
      </c>
      <c r="D57" s="75" t="e">
        <f t="shared" ca="1" si="54"/>
        <v>#NAME?</v>
      </c>
      <c r="E57" s="75" t="e">
        <f t="shared" ca="1" si="54"/>
        <v>#NAME?</v>
      </c>
      <c r="F57" s="75" t="e">
        <f t="shared" ca="1" si="54"/>
        <v>#NAME?</v>
      </c>
      <c r="G57" s="75" t="e">
        <f t="shared" ca="1" si="54"/>
        <v>#NAME?</v>
      </c>
      <c r="H57" s="75" t="e">
        <f t="shared" ca="1" si="54"/>
        <v>#NAME?</v>
      </c>
      <c r="I57" s="75" t="e">
        <f t="shared" ca="1" si="54"/>
        <v>#NAME?</v>
      </c>
      <c r="J57" s="75" t="e">
        <f t="shared" ca="1" si="54"/>
        <v>#NAME?</v>
      </c>
      <c r="K57" s="75" t="e">
        <f t="shared" ca="1" si="54"/>
        <v>#NAME?</v>
      </c>
      <c r="L57" s="75" t="e">
        <f t="shared" ca="1" si="54"/>
        <v>#NAME?</v>
      </c>
      <c r="M57" s="75" t="e">
        <f t="shared" ca="1" si="54"/>
        <v>#NAME?</v>
      </c>
      <c r="N57" s="75"/>
      <c r="O57" s="75" t="e">
        <f t="shared" ca="1" si="54"/>
        <v>#NAME?</v>
      </c>
      <c r="P57" s="75" t="e">
        <f t="shared" ca="1" si="54"/>
        <v>#NAME?</v>
      </c>
      <c r="Q57" s="75" t="e">
        <f t="shared" ca="1" si="54"/>
        <v>#NAME?</v>
      </c>
      <c r="R57" s="75" t="e">
        <f t="shared" ca="1" si="54"/>
        <v>#NAME?</v>
      </c>
      <c r="S57" s="75" t="e">
        <f t="shared" ca="1" si="54"/>
        <v>#NAME?</v>
      </c>
      <c r="T57" s="75" t="e">
        <f t="shared" ca="1" si="54"/>
        <v>#NAME?</v>
      </c>
      <c r="U57" s="75" t="e">
        <f t="shared" ca="1" si="54"/>
        <v>#NAME?</v>
      </c>
      <c r="V57" s="75" t="e">
        <f t="shared" ca="1" si="54"/>
        <v>#NAME?</v>
      </c>
    </row>
    <row r="58" spans="1:22" s="3" customFormat="1" x14ac:dyDescent="0.35">
      <c r="A58" s="43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7"/>
      <c r="O58" s="78"/>
      <c r="P58" s="75"/>
      <c r="Q58" s="75"/>
      <c r="R58" s="75"/>
      <c r="S58" s="75"/>
      <c r="T58" s="75"/>
      <c r="U58" s="75"/>
      <c r="V58" s="75"/>
    </row>
    <row r="59" spans="1:22" s="3" customFormat="1" x14ac:dyDescent="0.35">
      <c r="A59" s="43" t="s">
        <v>40</v>
      </c>
      <c r="B59" s="79"/>
      <c r="C59" s="79" t="e">
        <f t="shared" ref="C59:O59" ca="1" si="55">IF($B57="Non",IF(C57="Non","MW",IF(C57="Oui","MW","")),IF($B57="Oui",IF(C57="Oui","T-Test Welch",IF(C57="Non","MW",""))))</f>
        <v>#NAME?</v>
      </c>
      <c r="D59" s="79" t="e">
        <f t="shared" ca="1" si="55"/>
        <v>#NAME?</v>
      </c>
      <c r="E59" s="79" t="e">
        <f t="shared" ca="1" si="55"/>
        <v>#NAME?</v>
      </c>
      <c r="F59" s="79" t="e">
        <f t="shared" ca="1" si="55"/>
        <v>#NAME?</v>
      </c>
      <c r="G59" s="79" t="e">
        <f t="shared" ca="1" si="55"/>
        <v>#NAME?</v>
      </c>
      <c r="H59" s="79" t="e">
        <f t="shared" ca="1" si="55"/>
        <v>#NAME?</v>
      </c>
      <c r="I59" s="79" t="e">
        <f t="shared" ca="1" si="55"/>
        <v>#NAME?</v>
      </c>
      <c r="J59" s="79" t="e">
        <f t="shared" ca="1" si="55"/>
        <v>#NAME?</v>
      </c>
      <c r="K59" s="79" t="e">
        <f t="shared" ca="1" si="55"/>
        <v>#NAME?</v>
      </c>
      <c r="L59" s="79" t="e">
        <f t="shared" ca="1" si="55"/>
        <v>#NAME?</v>
      </c>
      <c r="M59" s="79" t="e">
        <f t="shared" ca="1" si="55"/>
        <v>#NAME?</v>
      </c>
      <c r="N59" s="79"/>
      <c r="O59" s="79" t="e">
        <f t="shared" ca="1" si="55"/>
        <v>#NAME?</v>
      </c>
      <c r="P59" s="79" t="e">
        <f t="shared" ref="P59:V59" ca="1" si="56">IF($O57="Non",IF(P57="Non","MW",IF(P57="Oui","MW","")),IF($O57="Oui",IF(P57="Oui","T-Test Welch",IF(P57="Non","MW",""))))</f>
        <v>#NAME?</v>
      </c>
      <c r="Q59" s="79" t="e">
        <f t="shared" ca="1" si="56"/>
        <v>#NAME?</v>
      </c>
      <c r="R59" s="79" t="e">
        <f t="shared" ca="1" si="56"/>
        <v>#NAME?</v>
      </c>
      <c r="S59" s="79" t="e">
        <f t="shared" ca="1" si="56"/>
        <v>#NAME?</v>
      </c>
      <c r="T59" s="79" t="e">
        <f t="shared" ca="1" si="56"/>
        <v>#NAME?</v>
      </c>
      <c r="U59" s="79" t="e">
        <f t="shared" ca="1" si="56"/>
        <v>#NAME?</v>
      </c>
      <c r="V59" s="79" t="e">
        <f t="shared" ca="1" si="56"/>
        <v>#NAME?</v>
      </c>
    </row>
    <row r="60" spans="1:22" s="3" customFormat="1" x14ac:dyDescent="0.35">
      <c r="A60" s="43" t="s">
        <v>41</v>
      </c>
      <c r="B60" s="80"/>
      <c r="C60" s="80" t="e">
        <f ca="1">IF(C59="MW",[1]!MTEST($B28:$B43,C28:C43,2), IF(C59="T-Test Welch",_xlfn.T.TEST($B28:$B43,C28:C43,2,3),""))</f>
        <v>#NAME?</v>
      </c>
      <c r="D60" s="80" t="e">
        <f ca="1">IF(D59="MW",[1]!MTEST($B28:$B43,D28:D43,2), IF(D59="T-Test Welch",_xlfn.T.TEST($B28:$B43,D28:D43,2,3),""))</f>
        <v>#NAME?</v>
      </c>
      <c r="E60" s="80" t="e">
        <f ca="1">IF(E59="MW",[1]!MTEST($B28:$B43,E28:E43,2), IF(E59="T-Test Welch",_xlfn.T.TEST($B28:$B43,E28:E43,2,3),""))</f>
        <v>#NAME?</v>
      </c>
      <c r="F60" s="80" t="e">
        <f ca="1">IF(F59="MW",[1]!MTEST($B28:$B43,F28:F43,2), IF(F59="T-Test Welch",_xlfn.T.TEST($B28:$B43,F28:F43,2,3),""))</f>
        <v>#NAME?</v>
      </c>
      <c r="G60" s="80" t="e">
        <f ca="1">IF(G59="MW",[1]!MTEST($B28:$B43,G28:G43,2), IF(G59="T-Test Welch",_xlfn.T.TEST($B28:$B43,G28:G43,2,3),""))</f>
        <v>#NAME?</v>
      </c>
      <c r="H60" s="80" t="e">
        <f ca="1">IF(H59="MW",[1]!MTEST($B28:$B43,H28:H43,2), IF(H59="T-Test Welch",_xlfn.T.TEST($B28:$B43,H28:H43,2,3),""))</f>
        <v>#NAME?</v>
      </c>
      <c r="I60" s="80" t="e">
        <f ca="1">IF(I59="MW",[1]!MTEST($B28:$B43,I28:I43,2), IF(I59="T-Test Welch",_xlfn.T.TEST($B28:$B43,I28:I43,2,3),""))</f>
        <v>#NAME?</v>
      </c>
      <c r="J60" s="80" t="e">
        <f ca="1">IF(J59="MW",[1]!MTEST($B28:$B43,J28:J43,2), IF(J59="T-Test Welch",_xlfn.T.TEST($B28:$B43,J28:J43,2,3),""))</f>
        <v>#NAME?</v>
      </c>
      <c r="K60" s="80" t="e">
        <f ca="1">IF(K59="MW",[1]!MTEST($B28:$B43,K28:K43,2), IF(K59="T-Test Welch",_xlfn.T.TEST($B28:$B43,K28:K43,2,3),""))</f>
        <v>#NAME?</v>
      </c>
      <c r="L60" s="80" t="e">
        <f ca="1">IF(L59="MW",[1]!MTEST($B28:$B43,L28:L43,2), IF(L59="T-Test Welch",_xlfn.T.TEST($B28:$B43,L28:L43,2,3),""))</f>
        <v>#NAME?</v>
      </c>
      <c r="M60" s="80" t="e">
        <f ca="1">IF(M59="MW",[1]!MTEST($B28:$B43,M28:M43,2), IF(M59="T-Test Welch",_xlfn.T.TEST($B28:$B43,M28:M43,2,3),""))</f>
        <v>#NAME?</v>
      </c>
      <c r="N60" s="80"/>
      <c r="O60" s="80" t="e">
        <f ca="1">IF(O59="MW",[1]!MTEST($B28:$B43,O28:O43,2), IF(O59="T-Test Welch",_xlfn.T.TEST($B28:$B43,O28:O43,2,3),""))</f>
        <v>#NAME?</v>
      </c>
      <c r="P60" s="80" t="e">
        <f ca="1">IF(P59="MW",[1]!MTEST($O28:$O43,P28:P43,2), IF(P59="T-Test Welch",_xlfn.T.TEST($O28:$O43,P28:P43,2,3),""))</f>
        <v>#NAME?</v>
      </c>
      <c r="Q60" s="80" t="e">
        <f ca="1">IF(Q59="MW",[1]!MTEST($O28:$O43,Q28:Q43,2), IF(Q59="T-Test Welch",_xlfn.T.TEST($O28:$O43,Q28:Q43,2,3),""))</f>
        <v>#NAME?</v>
      </c>
      <c r="R60" s="80" t="e">
        <f ca="1">IF(R59="MW",[1]!MTEST($O28:$O43,R28:R43,2), IF(R59="T-Test Welch",_xlfn.T.TEST($O28:$O43,R28:R43,2,3),""))</f>
        <v>#NAME?</v>
      </c>
      <c r="S60" s="80" t="e">
        <f ca="1">IF(S59="MW",[1]!MTEST($O28:$O43,S28:S43,2), IF(S59="T-Test Welch",_xlfn.T.TEST($O28:$O43,S28:S43,2,3),""))</f>
        <v>#NAME?</v>
      </c>
      <c r="T60" s="80" t="e">
        <f ca="1">IF(T59="MW",[1]!MTEST($O28:$O43,T28:T43,2), IF(T59="T-Test Welch",_xlfn.T.TEST($O28:$O43,T28:T43,2,3),""))</f>
        <v>#NAME?</v>
      </c>
      <c r="U60" s="80" t="e">
        <f ca="1">IF(U59="MW",[1]!MTEST($O28:$O43,U28:U43,2), IF(U59="T-Test Welch",_xlfn.T.TEST($O28:$O43,U28:U43,2,3),""))</f>
        <v>#NAME?</v>
      </c>
      <c r="V60" s="80" t="e">
        <f ca="1">IF(V59="MW",[1]!MTEST($O28:$O43,V28:V43,2), IF(V59="T-Test Welch",_xlfn.T.TEST($O28:$O43,V28:V43,2,3),""))</f>
        <v>#NAME?</v>
      </c>
    </row>
    <row r="61" spans="1:22" s="3" customFormat="1" ht="15" thickBot="1" x14ac:dyDescent="0.4">
      <c r="A61" s="44" t="s">
        <v>15</v>
      </c>
      <c r="B61" s="76"/>
      <c r="C61" s="76" t="e">
        <f t="shared" ref="C61:O61" ca="1" si="57">IF(C60&gt;0.05,"NS",IF(C60&gt;0.01,"*",IF(C60&gt;0.001,"**","***")))</f>
        <v>#NAME?</v>
      </c>
      <c r="D61" s="76" t="e">
        <f t="shared" ca="1" si="57"/>
        <v>#NAME?</v>
      </c>
      <c r="E61" s="76" t="e">
        <f t="shared" ca="1" si="57"/>
        <v>#NAME?</v>
      </c>
      <c r="F61" s="76" t="e">
        <f t="shared" ca="1" si="57"/>
        <v>#NAME?</v>
      </c>
      <c r="G61" s="76" t="e">
        <f t="shared" ca="1" si="57"/>
        <v>#NAME?</v>
      </c>
      <c r="H61" s="76" t="e">
        <f t="shared" ca="1" si="57"/>
        <v>#NAME?</v>
      </c>
      <c r="I61" s="76" t="e">
        <f t="shared" ca="1" si="57"/>
        <v>#NAME?</v>
      </c>
      <c r="J61" s="76" t="e">
        <f t="shared" ca="1" si="57"/>
        <v>#NAME?</v>
      </c>
      <c r="K61" s="76" t="e">
        <f t="shared" ca="1" si="57"/>
        <v>#NAME?</v>
      </c>
      <c r="L61" s="76" t="e">
        <f t="shared" ca="1" si="57"/>
        <v>#NAME?</v>
      </c>
      <c r="M61" s="76" t="e">
        <f t="shared" ca="1" si="57"/>
        <v>#NAME?</v>
      </c>
      <c r="N61" s="76"/>
      <c r="O61" s="76" t="e">
        <f t="shared" ca="1" si="57"/>
        <v>#NAME?</v>
      </c>
      <c r="P61" s="76" t="e">
        <f ca="1">IF(P60&gt;0.05,"NS",IF(P60&gt;0.01,"*",IF(P60&gt;0.001,"**","***")))</f>
        <v>#NAME?</v>
      </c>
      <c r="Q61" s="76" t="e">
        <f t="shared" ref="Q61:V61" ca="1" si="58">IF(Q60&gt;0.05,"NS",IF(Q60&gt;0.01,"*",IF(Q60&gt;0.001,"**","***")))</f>
        <v>#NAME?</v>
      </c>
      <c r="R61" s="76" t="e">
        <f t="shared" ca="1" si="58"/>
        <v>#NAME?</v>
      </c>
      <c r="S61" s="76" t="e">
        <f t="shared" ca="1" si="58"/>
        <v>#NAME?</v>
      </c>
      <c r="T61" s="76" t="e">
        <f t="shared" ca="1" si="58"/>
        <v>#NAME?</v>
      </c>
      <c r="U61" s="76" t="e">
        <f t="shared" ca="1" si="58"/>
        <v>#NAME?</v>
      </c>
      <c r="V61" s="76" t="e">
        <f t="shared" ca="1" si="58"/>
        <v>#NAME?</v>
      </c>
    </row>
    <row r="63" spans="1:22" x14ac:dyDescent="0.35">
      <c r="A63" s="2"/>
    </row>
    <row r="66" spans="1:22" ht="15" thickBot="1" x14ac:dyDescent="0.4"/>
    <row r="67" spans="1:22" ht="26.5" thickBot="1" x14ac:dyDescent="0.65">
      <c r="A67" s="141"/>
      <c r="B67" s="142"/>
      <c r="C67" s="142"/>
      <c r="D67" s="142"/>
      <c r="E67" s="142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</row>
    <row r="68" spans="1:22" ht="16.5" x14ac:dyDescent="0.35">
      <c r="A68" s="11"/>
      <c r="B68" s="11"/>
      <c r="C68" s="11"/>
      <c r="D68" s="11"/>
      <c r="E68" s="11"/>
      <c r="F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 ht="16.5" x14ac:dyDescent="0.35">
      <c r="A69" s="11"/>
      <c r="B69" s="11"/>
      <c r="C69" s="11"/>
      <c r="D69" s="11"/>
      <c r="E69" s="11"/>
      <c r="F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 ht="16.5" x14ac:dyDescent="0.35">
      <c r="A70" s="11"/>
      <c r="B70" s="11"/>
      <c r="C70" s="11"/>
      <c r="D70" s="11"/>
      <c r="E70" s="11"/>
      <c r="F70" s="11"/>
      <c r="N70" s="11"/>
      <c r="O70" s="11"/>
      <c r="P70" s="11"/>
      <c r="Q70" s="11"/>
      <c r="R70" s="11"/>
      <c r="S70" s="11"/>
      <c r="T70" s="11"/>
      <c r="U70" s="11"/>
      <c r="V70" s="11"/>
    </row>
    <row r="71" spans="1:22" ht="16.5" x14ac:dyDescent="0.35">
      <c r="A71" s="11"/>
      <c r="B71" s="11"/>
      <c r="C71" s="11"/>
      <c r="D71" s="11"/>
      <c r="E71" s="11"/>
      <c r="F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 ht="16.5" x14ac:dyDescent="0.35">
      <c r="A72" s="11"/>
      <c r="B72" s="11"/>
      <c r="C72" s="11"/>
      <c r="D72" s="11"/>
      <c r="E72" s="11"/>
      <c r="F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1:22" ht="16.5" x14ac:dyDescent="0.35">
      <c r="A73" s="11"/>
      <c r="B73" s="11"/>
      <c r="C73" s="11"/>
      <c r="D73" s="11"/>
      <c r="E73" s="11"/>
      <c r="F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 ht="16.5" x14ac:dyDescent="0.35">
      <c r="A74" s="11"/>
      <c r="B74" s="11"/>
      <c r="C74" s="11"/>
      <c r="D74" s="11"/>
      <c r="E74" s="11"/>
      <c r="F74" s="11"/>
      <c r="N74" s="11"/>
      <c r="O74" s="11"/>
      <c r="P74" s="11"/>
      <c r="Q74" s="11"/>
      <c r="R74" s="11"/>
      <c r="S74" s="11"/>
      <c r="T74" s="11"/>
      <c r="U74" s="11"/>
      <c r="V74" s="11"/>
    </row>
  </sheetData>
  <protectedRanges>
    <protectedRange sqref="O51:V51" name="Plage2"/>
    <protectedRange sqref="R5:V20" name="Plage1"/>
    <protectedRange sqref="B51:J51" name="Plage2_1"/>
    <protectedRange sqref="O5:O20 B5:J20" name="Plage1_1"/>
  </protectedRanges>
  <mergeCells count="9">
    <mergeCell ref="A1:V1"/>
    <mergeCell ref="A67:V67"/>
    <mergeCell ref="A5:A20"/>
    <mergeCell ref="B3:M3"/>
    <mergeCell ref="O3:V3"/>
    <mergeCell ref="B26:M26"/>
    <mergeCell ref="O26:V26"/>
    <mergeCell ref="A28:A43"/>
    <mergeCell ref="A50:V50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74"/>
  <sheetViews>
    <sheetView showGridLines="0" zoomScaleNormal="100" zoomScaleSheetLayoutView="40" zoomScalePageLayoutView="30" workbookViewId="0">
      <selection activeCell="S19" sqref="S19"/>
    </sheetView>
  </sheetViews>
  <sheetFormatPr baseColWidth="10" defaultColWidth="9.1796875" defaultRowHeight="14.5" x14ac:dyDescent="0.35"/>
  <cols>
    <col min="1" max="1" width="33.54296875" style="1" customWidth="1"/>
    <col min="2" max="2" width="14.81640625" style="1" customWidth="1"/>
    <col min="3" max="5" width="25.81640625" style="1" bestFit="1" customWidth="1"/>
    <col min="6" max="8" width="26.453125" style="1" bestFit="1" customWidth="1"/>
    <col min="9" max="9" width="26.453125" style="1" customWidth="1"/>
    <col min="10" max="10" width="25.81640625" style="1" bestFit="1" customWidth="1"/>
    <col min="11" max="11" width="26.453125" style="1" bestFit="1" customWidth="1"/>
    <col min="12" max="13" width="26.453125" style="1" customWidth="1"/>
    <col min="14" max="14" width="11.7265625" style="1" customWidth="1"/>
    <col min="15" max="15" width="14.81640625" style="1" customWidth="1"/>
    <col min="16" max="16" width="17.7265625" style="1" customWidth="1"/>
    <col min="17" max="18" width="25.81640625" style="1" bestFit="1" customWidth="1"/>
    <col min="19" max="22" width="25.81640625" style="1" customWidth="1"/>
    <col min="23" max="16384" width="9.1796875" style="1"/>
  </cols>
  <sheetData>
    <row r="1" spans="1:22" ht="26.5" thickBot="1" x14ac:dyDescent="0.65">
      <c r="A1" s="139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</row>
    <row r="2" spans="1:22" ht="15" thickBot="1" x14ac:dyDescent="0.4"/>
    <row r="3" spans="1:22" ht="15" thickBot="1" x14ac:dyDescent="0.4">
      <c r="A3" s="81" t="s">
        <v>9</v>
      </c>
      <c r="B3" s="147" t="s">
        <v>42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O3" s="147" t="s">
        <v>43</v>
      </c>
      <c r="P3" s="148"/>
      <c r="Q3" s="148"/>
      <c r="R3" s="148"/>
      <c r="S3" s="148"/>
      <c r="T3" s="148"/>
      <c r="U3" s="148"/>
      <c r="V3" s="148"/>
    </row>
    <row r="4" spans="1:22" x14ac:dyDescent="0.35">
      <c r="A4" s="17" t="s">
        <v>37</v>
      </c>
      <c r="B4" s="18" t="str">
        <f>'Front page'!A7</f>
        <v>Solvent control</v>
      </c>
      <c r="C4" s="18" t="str">
        <f>'Front page'!A8</f>
        <v>EE2-33.8ng/L</v>
      </c>
      <c r="D4" s="18" t="str">
        <f>'Front page'!A9</f>
        <v>EE2-50.6ng/L</v>
      </c>
      <c r="E4" s="18" t="str">
        <f>'Front page'!A10</f>
        <v>EE2-76ng/L</v>
      </c>
      <c r="F4" s="18" t="str">
        <f>'Front page'!A11</f>
        <v>EE2-114ng/L</v>
      </c>
      <c r="G4" s="18" t="str">
        <f>'Front page'!A12</f>
        <v>EE2-170.9ng/L</v>
      </c>
      <c r="H4" s="18" t="str">
        <f>'Front page'!A13</f>
        <v>EE2-488ng/L</v>
      </c>
      <c r="I4" s="18" t="str">
        <f>'Front page'!A14</f>
        <v>Estrone-0.04µg/L</v>
      </c>
      <c r="J4" s="18" t="str">
        <f>'Front page'!A15</f>
        <v>Estrone-0.2µg/L</v>
      </c>
      <c r="K4" s="18" t="str">
        <f>'Front page'!A16</f>
        <v>Estrone-1µg/L</v>
      </c>
      <c r="L4" s="18" t="str">
        <f>'Front page'!A17</f>
        <v>Estrone-5µg/L</v>
      </c>
      <c r="M4" s="18" t="str">
        <f>'Front page'!A18</f>
        <v>Estrone-25µg/L</v>
      </c>
      <c r="N4" s="3"/>
      <c r="O4" s="19" t="str">
        <f>'Front page'!A35</f>
        <v>Testo -30µg/L</v>
      </c>
      <c r="P4" s="19" t="str">
        <f>'Front page'!A36</f>
        <v>Testo 30µg/L + EE2 -64ng/L</v>
      </c>
      <c r="Q4" s="19" t="str">
        <f>'Front page'!A37</f>
        <v>Testo 30µg/L + FAD-10mg/L</v>
      </c>
      <c r="R4" s="19" t="str">
        <f>'Front page'!A38</f>
        <v>Estrone-0.04µg/L + Testostérone</v>
      </c>
      <c r="S4" s="19" t="str">
        <f>'Front page'!A39</f>
        <v>Estrone-0.2µg/L + Testostérone</v>
      </c>
      <c r="T4" s="19" t="str">
        <f>'Front page'!A40</f>
        <v>Estrone-1µg/L + Testostérone</v>
      </c>
      <c r="U4" s="19" t="str">
        <f>'Front page'!A41</f>
        <v>Estrone-5µg/L + Testostérone</v>
      </c>
      <c r="V4" s="19" t="str">
        <f>'Front page'!A42</f>
        <v>Estrone-25µg/L + Testostérone</v>
      </c>
    </row>
    <row r="5" spans="1:22" x14ac:dyDescent="0.35">
      <c r="A5" s="143" t="s">
        <v>35</v>
      </c>
      <c r="B5" s="15">
        <v>74147</v>
      </c>
      <c r="C5" s="15">
        <v>44732</v>
      </c>
      <c r="D5" s="15">
        <v>379561</v>
      </c>
      <c r="E5" s="15">
        <v>1693508</v>
      </c>
      <c r="F5" s="15">
        <v>2099582</v>
      </c>
      <c r="G5" s="15">
        <v>7385815</v>
      </c>
      <c r="H5" s="15">
        <v>11108900</v>
      </c>
      <c r="I5" s="15">
        <v>35552</v>
      </c>
      <c r="J5" s="15">
        <v>234283</v>
      </c>
      <c r="K5" s="12">
        <v>44856</v>
      </c>
      <c r="L5" s="12">
        <v>7889678</v>
      </c>
      <c r="M5" s="12">
        <v>10096210</v>
      </c>
      <c r="N5" s="3"/>
      <c r="O5" s="15">
        <v>485039</v>
      </c>
      <c r="P5" s="12">
        <v>8080152</v>
      </c>
      <c r="Q5" s="12">
        <v>58909</v>
      </c>
      <c r="R5" s="15">
        <v>1949562</v>
      </c>
      <c r="S5" s="15">
        <v>1176717</v>
      </c>
      <c r="T5" s="15">
        <v>5866028</v>
      </c>
      <c r="U5" s="15">
        <v>6503272</v>
      </c>
      <c r="V5" s="15">
        <v>8486113</v>
      </c>
    </row>
    <row r="6" spans="1:22" ht="16.5" x14ac:dyDescent="0.35">
      <c r="A6" s="144"/>
      <c r="B6" s="13">
        <v>32337</v>
      </c>
      <c r="C6" s="12">
        <v>46938</v>
      </c>
      <c r="D6" s="15">
        <v>860316</v>
      </c>
      <c r="E6" s="15">
        <v>1698245</v>
      </c>
      <c r="F6" s="15">
        <v>5003055</v>
      </c>
      <c r="G6" s="15">
        <v>6015837</v>
      </c>
      <c r="H6" s="15">
        <v>11528799</v>
      </c>
      <c r="I6" s="15">
        <v>36896</v>
      </c>
      <c r="J6" s="15">
        <v>152771</v>
      </c>
      <c r="K6" s="12">
        <v>265292</v>
      </c>
      <c r="L6" s="12">
        <v>7500991</v>
      </c>
      <c r="M6" s="12">
        <v>9627317</v>
      </c>
      <c r="N6" s="3"/>
      <c r="O6" s="15">
        <v>112447</v>
      </c>
      <c r="P6" s="12">
        <v>6523110</v>
      </c>
      <c r="Q6" s="12">
        <v>55250</v>
      </c>
      <c r="R6" s="15">
        <v>3325414</v>
      </c>
      <c r="S6" s="15">
        <v>3235019</v>
      </c>
      <c r="T6" s="15">
        <v>5499959</v>
      </c>
      <c r="U6" s="15">
        <v>6481012</v>
      </c>
      <c r="V6" s="15">
        <v>4167481</v>
      </c>
    </row>
    <row r="7" spans="1:22" ht="16.5" x14ac:dyDescent="0.35">
      <c r="A7" s="144"/>
      <c r="B7" s="13">
        <v>40850</v>
      </c>
      <c r="C7" s="12">
        <v>221087</v>
      </c>
      <c r="D7" s="15">
        <v>41630</v>
      </c>
      <c r="E7" s="15">
        <v>1936651</v>
      </c>
      <c r="F7" s="15">
        <v>3402079</v>
      </c>
      <c r="G7" s="15">
        <v>5179779</v>
      </c>
      <c r="H7" s="15">
        <v>6444913</v>
      </c>
      <c r="I7" s="15">
        <v>161898</v>
      </c>
      <c r="J7" s="15">
        <v>94190</v>
      </c>
      <c r="K7" s="12">
        <v>125960</v>
      </c>
      <c r="L7" s="12">
        <v>6672793</v>
      </c>
      <c r="M7" s="12">
        <v>8749194</v>
      </c>
      <c r="N7" s="3"/>
      <c r="O7" s="15">
        <v>555389</v>
      </c>
      <c r="P7" s="12">
        <v>7021303</v>
      </c>
      <c r="Q7" s="12">
        <v>434326</v>
      </c>
      <c r="R7" s="15">
        <v>1822805</v>
      </c>
      <c r="S7" s="15">
        <v>65034</v>
      </c>
      <c r="T7" s="15">
        <v>4407704</v>
      </c>
      <c r="U7" s="15">
        <v>5515866</v>
      </c>
      <c r="V7" s="15">
        <v>6843401</v>
      </c>
    </row>
    <row r="8" spans="1:22" ht="16.5" x14ac:dyDescent="0.35">
      <c r="A8" s="144"/>
      <c r="B8" s="13">
        <v>21127</v>
      </c>
      <c r="C8" s="12">
        <v>260557</v>
      </c>
      <c r="D8" s="15">
        <v>321176</v>
      </c>
      <c r="E8" s="15">
        <v>1271106</v>
      </c>
      <c r="F8" s="15">
        <v>1870947</v>
      </c>
      <c r="G8" s="15">
        <v>6938568</v>
      </c>
      <c r="H8" s="15">
        <v>8966832</v>
      </c>
      <c r="I8" s="15">
        <v>18883</v>
      </c>
      <c r="J8" s="15">
        <v>157569</v>
      </c>
      <c r="K8" s="12">
        <v>981392</v>
      </c>
      <c r="L8" s="12">
        <v>6948187</v>
      </c>
      <c r="M8" s="12">
        <v>8968394</v>
      </c>
      <c r="N8" s="3"/>
      <c r="O8" s="15">
        <v>115346</v>
      </c>
      <c r="P8" s="12">
        <v>5287188</v>
      </c>
      <c r="Q8" s="12">
        <v>41237</v>
      </c>
      <c r="R8" s="15">
        <v>4111881</v>
      </c>
      <c r="S8" s="15">
        <v>4263252</v>
      </c>
      <c r="T8" s="15">
        <v>5740009</v>
      </c>
      <c r="U8" s="15">
        <v>8457445</v>
      </c>
      <c r="V8" s="15">
        <v>3094864</v>
      </c>
    </row>
    <row r="9" spans="1:22" ht="16.5" x14ac:dyDescent="0.35">
      <c r="A9" s="144"/>
      <c r="B9" s="13">
        <v>366325</v>
      </c>
      <c r="C9" s="12">
        <v>67106</v>
      </c>
      <c r="D9" s="15">
        <v>158651</v>
      </c>
      <c r="E9" s="15">
        <v>2624085</v>
      </c>
      <c r="F9" s="15">
        <v>3000802</v>
      </c>
      <c r="G9" s="15">
        <v>7838420</v>
      </c>
      <c r="H9" s="15">
        <v>9337913</v>
      </c>
      <c r="I9" s="15">
        <v>87198</v>
      </c>
      <c r="J9" s="15">
        <v>209</v>
      </c>
      <c r="K9" s="12">
        <v>173241</v>
      </c>
      <c r="L9" s="12">
        <v>3618729</v>
      </c>
      <c r="M9" s="12">
        <v>10477669</v>
      </c>
      <c r="N9" s="3"/>
      <c r="O9" s="15">
        <v>10743</v>
      </c>
      <c r="P9" s="12">
        <v>4377155</v>
      </c>
      <c r="Q9" s="12">
        <v>97087</v>
      </c>
      <c r="R9" s="15">
        <v>2076272</v>
      </c>
      <c r="S9" s="15">
        <v>3061727</v>
      </c>
      <c r="T9" s="15">
        <v>3632917</v>
      </c>
      <c r="U9" s="15">
        <v>6933462</v>
      </c>
      <c r="V9" s="15">
        <v>7054948</v>
      </c>
    </row>
    <row r="10" spans="1:22" ht="16.5" x14ac:dyDescent="0.35">
      <c r="A10" s="144"/>
      <c r="B10" s="13">
        <v>7244</v>
      </c>
      <c r="C10" s="12">
        <v>100975</v>
      </c>
      <c r="D10" s="15">
        <v>34723</v>
      </c>
      <c r="E10" s="15">
        <v>1497454</v>
      </c>
      <c r="F10" s="15">
        <v>4966695</v>
      </c>
      <c r="G10" s="15">
        <v>5217063</v>
      </c>
      <c r="H10" s="15">
        <v>9818316</v>
      </c>
      <c r="I10" s="15">
        <v>65680</v>
      </c>
      <c r="J10" s="15">
        <v>112866</v>
      </c>
      <c r="K10" s="12">
        <v>86796</v>
      </c>
      <c r="L10" s="12">
        <v>8163852</v>
      </c>
      <c r="M10" s="12">
        <v>7909948</v>
      </c>
      <c r="N10" s="3"/>
      <c r="O10" s="15">
        <v>3649789</v>
      </c>
      <c r="P10" s="12">
        <v>6433613</v>
      </c>
      <c r="Q10" s="12">
        <v>72705</v>
      </c>
      <c r="R10" s="15">
        <v>4128909</v>
      </c>
      <c r="S10" s="15">
        <v>1540764</v>
      </c>
      <c r="T10" s="15">
        <v>6882939</v>
      </c>
      <c r="U10" s="15">
        <v>6214024</v>
      </c>
      <c r="V10" s="15">
        <v>4292373</v>
      </c>
    </row>
    <row r="11" spans="1:22" ht="16.5" x14ac:dyDescent="0.35">
      <c r="A11" s="144"/>
      <c r="B11" s="13">
        <v>73747</v>
      </c>
      <c r="C11" s="12">
        <v>224536</v>
      </c>
      <c r="D11" s="15">
        <v>755279</v>
      </c>
      <c r="E11" s="15">
        <v>1657973</v>
      </c>
      <c r="F11" s="15">
        <v>3276385</v>
      </c>
      <c r="G11" s="15">
        <v>6554341</v>
      </c>
      <c r="H11" s="15">
        <v>8230668</v>
      </c>
      <c r="I11" s="15">
        <v>111858</v>
      </c>
      <c r="J11" s="15">
        <v>18016</v>
      </c>
      <c r="K11" s="12">
        <v>202526</v>
      </c>
      <c r="L11" s="12">
        <v>8060323</v>
      </c>
      <c r="M11" s="12">
        <v>10698201</v>
      </c>
      <c r="N11" s="3"/>
      <c r="O11" s="15">
        <v>559411</v>
      </c>
      <c r="P11" s="12">
        <v>5069556</v>
      </c>
      <c r="Q11" s="12">
        <v>84081</v>
      </c>
      <c r="R11" s="15">
        <v>1646755</v>
      </c>
      <c r="S11" s="15">
        <v>87044</v>
      </c>
      <c r="T11" s="15">
        <v>6459448</v>
      </c>
      <c r="U11" s="15">
        <v>10116238</v>
      </c>
      <c r="V11" s="15">
        <v>8150576</v>
      </c>
    </row>
    <row r="12" spans="1:22" ht="16.5" x14ac:dyDescent="0.35">
      <c r="A12" s="144"/>
      <c r="B12" s="13">
        <v>36797</v>
      </c>
      <c r="C12" s="12">
        <v>57365</v>
      </c>
      <c r="D12" s="15">
        <v>430992</v>
      </c>
      <c r="E12" s="15">
        <v>4067395</v>
      </c>
      <c r="F12" s="15">
        <v>3878772</v>
      </c>
      <c r="G12" s="15">
        <v>5171850</v>
      </c>
      <c r="H12" s="15">
        <v>6069088</v>
      </c>
      <c r="I12" s="15">
        <v>49666</v>
      </c>
      <c r="J12" s="15">
        <v>399931</v>
      </c>
      <c r="K12" s="12">
        <v>446132</v>
      </c>
      <c r="L12" s="12"/>
      <c r="M12" s="12">
        <v>10901177</v>
      </c>
      <c r="N12" s="3"/>
      <c r="O12" s="15">
        <v>560834</v>
      </c>
      <c r="P12" s="12">
        <v>6371817</v>
      </c>
      <c r="Q12" s="12">
        <v>47105</v>
      </c>
      <c r="R12" s="15">
        <v>6343157</v>
      </c>
      <c r="S12" s="15">
        <v>7076917</v>
      </c>
      <c r="T12" s="15">
        <v>4069442</v>
      </c>
      <c r="U12" s="15">
        <v>7347925</v>
      </c>
      <c r="V12" s="15">
        <v>6975681</v>
      </c>
    </row>
    <row r="13" spans="1:22" ht="16.5" x14ac:dyDescent="0.35">
      <c r="A13" s="144"/>
      <c r="B13" s="13"/>
      <c r="C13" s="12"/>
      <c r="D13" s="15"/>
      <c r="E13" s="15"/>
      <c r="F13" s="15"/>
      <c r="G13" s="15"/>
      <c r="H13" s="15"/>
      <c r="I13" s="15"/>
      <c r="J13" s="15"/>
      <c r="K13" s="12"/>
      <c r="L13" s="12"/>
      <c r="M13" s="12"/>
      <c r="N13" s="3"/>
      <c r="O13" s="15">
        <v>24030</v>
      </c>
      <c r="P13" s="12"/>
      <c r="Q13" s="12"/>
      <c r="R13" s="15"/>
      <c r="S13" s="15"/>
      <c r="T13" s="15"/>
      <c r="U13" s="15"/>
      <c r="V13" s="15"/>
    </row>
    <row r="14" spans="1:22" ht="16.5" x14ac:dyDescent="0.35">
      <c r="A14" s="144"/>
      <c r="B14" s="13"/>
      <c r="C14" s="15"/>
      <c r="D14" s="15"/>
      <c r="E14" s="15"/>
      <c r="F14" s="15"/>
      <c r="G14" s="15"/>
      <c r="H14" s="15"/>
      <c r="I14" s="15"/>
      <c r="J14" s="15"/>
      <c r="K14" s="12"/>
      <c r="L14" s="12"/>
      <c r="M14" s="12"/>
      <c r="N14" s="3"/>
      <c r="O14" s="15">
        <v>1759750</v>
      </c>
      <c r="P14" s="12"/>
      <c r="Q14" s="12"/>
      <c r="R14" s="15"/>
      <c r="S14" s="15"/>
      <c r="T14" s="15"/>
      <c r="U14" s="15"/>
      <c r="V14" s="15"/>
    </row>
    <row r="15" spans="1:22" ht="16.5" x14ac:dyDescent="0.35">
      <c r="A15" s="144"/>
      <c r="B15" s="13"/>
      <c r="C15" s="15"/>
      <c r="D15" s="15"/>
      <c r="E15" s="15"/>
      <c r="F15" s="15"/>
      <c r="G15" s="15"/>
      <c r="H15" s="15"/>
      <c r="I15" s="15"/>
      <c r="J15" s="15"/>
      <c r="K15" s="12"/>
      <c r="L15" s="12"/>
      <c r="M15" s="12"/>
      <c r="N15" s="3"/>
      <c r="O15" s="15">
        <v>3578469</v>
      </c>
      <c r="P15" s="12"/>
      <c r="Q15" s="12"/>
      <c r="R15" s="15"/>
      <c r="S15" s="15"/>
      <c r="T15" s="15"/>
      <c r="U15" s="15"/>
      <c r="V15" s="15"/>
    </row>
    <row r="16" spans="1:22" ht="16.5" x14ac:dyDescent="0.35">
      <c r="A16" s="144"/>
      <c r="B16" s="13"/>
      <c r="C16" s="15"/>
      <c r="D16" s="15"/>
      <c r="E16" s="15"/>
      <c r="F16" s="15"/>
      <c r="G16" s="15"/>
      <c r="H16" s="15"/>
      <c r="I16" s="15"/>
      <c r="J16" s="15"/>
      <c r="K16" s="12"/>
      <c r="L16" s="12"/>
      <c r="M16" s="12"/>
      <c r="N16" s="3"/>
      <c r="O16" s="15">
        <v>1186434</v>
      </c>
      <c r="P16" s="12"/>
      <c r="Q16" s="12"/>
      <c r="R16" s="15"/>
      <c r="S16" s="15"/>
      <c r="T16" s="15"/>
      <c r="U16" s="15"/>
      <c r="V16" s="15"/>
    </row>
    <row r="17" spans="1:22" ht="16.5" x14ac:dyDescent="0.35">
      <c r="A17" s="144"/>
      <c r="B17" s="13"/>
      <c r="C17" s="15"/>
      <c r="D17" s="15"/>
      <c r="E17" s="15"/>
      <c r="F17" s="15"/>
      <c r="G17" s="15"/>
      <c r="H17" s="15"/>
      <c r="I17" s="15"/>
      <c r="J17" s="15"/>
      <c r="K17" s="12"/>
      <c r="L17" s="12"/>
      <c r="M17" s="12"/>
      <c r="N17" s="3"/>
      <c r="O17" s="15">
        <v>3505936</v>
      </c>
      <c r="P17" s="12"/>
      <c r="Q17" s="12"/>
      <c r="R17" s="15"/>
      <c r="S17" s="15"/>
      <c r="T17" s="15"/>
      <c r="U17" s="15"/>
      <c r="V17" s="15"/>
    </row>
    <row r="18" spans="1:22" ht="16.5" x14ac:dyDescent="0.35">
      <c r="A18" s="144"/>
      <c r="B18" s="13"/>
      <c r="C18" s="15"/>
      <c r="D18" s="15"/>
      <c r="E18" s="15"/>
      <c r="F18" s="15"/>
      <c r="G18" s="15"/>
      <c r="H18" s="15"/>
      <c r="I18" s="15"/>
      <c r="J18" s="15"/>
      <c r="K18" s="12"/>
      <c r="L18" s="12"/>
      <c r="M18" s="12"/>
      <c r="N18" s="3"/>
      <c r="O18" s="15">
        <v>1851091</v>
      </c>
      <c r="P18" s="12"/>
      <c r="Q18" s="12"/>
      <c r="R18" s="15"/>
      <c r="S18" s="15"/>
      <c r="T18" s="15"/>
      <c r="U18" s="15"/>
      <c r="V18" s="15"/>
    </row>
    <row r="19" spans="1:22" ht="16.5" x14ac:dyDescent="0.35">
      <c r="A19" s="144"/>
      <c r="B19" s="13"/>
      <c r="C19" s="15"/>
      <c r="D19" s="15"/>
      <c r="E19" s="15"/>
      <c r="F19" s="15"/>
      <c r="G19" s="15"/>
      <c r="H19" s="15"/>
      <c r="I19" s="15"/>
      <c r="J19" s="15"/>
      <c r="K19" s="12"/>
      <c r="L19" s="12"/>
      <c r="M19" s="12"/>
      <c r="N19" s="3"/>
      <c r="O19" s="15">
        <v>776394</v>
      </c>
      <c r="P19" s="12"/>
      <c r="Q19" s="12"/>
      <c r="R19" s="15"/>
      <c r="S19" s="15"/>
      <c r="T19" s="15"/>
      <c r="U19" s="15"/>
      <c r="V19" s="15"/>
    </row>
    <row r="20" spans="1:22" ht="16.5" x14ac:dyDescent="0.35">
      <c r="A20" s="144"/>
      <c r="B20" s="13"/>
      <c r="C20" s="15"/>
      <c r="D20" s="15"/>
      <c r="E20" s="15"/>
      <c r="F20" s="15"/>
      <c r="G20" s="15"/>
      <c r="H20" s="15"/>
      <c r="I20" s="15"/>
      <c r="J20" s="15"/>
      <c r="K20" s="12"/>
      <c r="L20" s="12"/>
      <c r="M20" s="12"/>
      <c r="N20" s="3"/>
      <c r="O20" s="15">
        <v>3359026</v>
      </c>
      <c r="P20" s="12"/>
      <c r="Q20" s="12"/>
      <c r="R20" s="15"/>
      <c r="S20" s="15"/>
      <c r="T20" s="15"/>
      <c r="U20" s="15"/>
      <c r="V20" s="15"/>
    </row>
    <row r="21" spans="1:22" x14ac:dyDescent="0.35">
      <c r="A21" s="47"/>
      <c r="B21" s="6"/>
      <c r="C21" s="6"/>
      <c r="D21" s="6"/>
      <c r="E21" s="6"/>
      <c r="F21" s="6"/>
      <c r="G21" s="6"/>
      <c r="H21" s="6"/>
      <c r="I21" s="6"/>
      <c r="J21" s="6"/>
      <c r="N21" s="3"/>
      <c r="O21" s="6"/>
      <c r="R21" s="6"/>
      <c r="S21" s="6"/>
      <c r="T21" s="6"/>
      <c r="U21" s="6"/>
      <c r="V21" s="6"/>
    </row>
    <row r="22" spans="1:22" x14ac:dyDescent="0.35">
      <c r="A22" s="49" t="str">
        <f t="shared" ref="A22" si="0">A4</f>
        <v>Group names</v>
      </c>
      <c r="B22" s="3" t="str">
        <f t="shared" ref="B22:V22" si="1">B4</f>
        <v>Solvent control</v>
      </c>
      <c r="C22" s="3" t="str">
        <f t="shared" si="1"/>
        <v>EE2-33.8ng/L</v>
      </c>
      <c r="D22" s="3" t="str">
        <f t="shared" si="1"/>
        <v>EE2-50.6ng/L</v>
      </c>
      <c r="E22" s="3" t="str">
        <f t="shared" si="1"/>
        <v>EE2-76ng/L</v>
      </c>
      <c r="F22" s="3" t="str">
        <f t="shared" si="1"/>
        <v>EE2-114ng/L</v>
      </c>
      <c r="G22" s="3" t="str">
        <f t="shared" si="1"/>
        <v>EE2-170.9ng/L</v>
      </c>
      <c r="H22" s="3" t="str">
        <f t="shared" si="1"/>
        <v>EE2-488ng/L</v>
      </c>
      <c r="I22" s="3" t="str">
        <f t="shared" si="1"/>
        <v>Estrone-0.04µg/L</v>
      </c>
      <c r="J22" s="3" t="str">
        <f t="shared" si="1"/>
        <v>Estrone-0.2µg/L</v>
      </c>
      <c r="K22" s="3" t="str">
        <f t="shared" si="1"/>
        <v>Estrone-1µg/L</v>
      </c>
      <c r="L22" s="3" t="str">
        <f t="shared" si="1"/>
        <v>Estrone-5µg/L</v>
      </c>
      <c r="M22" s="3" t="str">
        <f t="shared" si="1"/>
        <v>Estrone-25µg/L</v>
      </c>
      <c r="N22" s="3" t="s">
        <v>11</v>
      </c>
      <c r="O22" s="3" t="str">
        <f t="shared" si="1"/>
        <v>Testo -30µg/L</v>
      </c>
      <c r="P22" s="3" t="str">
        <f t="shared" si="1"/>
        <v>Testo 30µg/L + EE2 -64ng/L</v>
      </c>
      <c r="Q22" s="3" t="str">
        <f t="shared" si="1"/>
        <v>Testo 30µg/L + FAD-10mg/L</v>
      </c>
      <c r="R22" s="3" t="str">
        <f t="shared" si="1"/>
        <v>Estrone-0.04µg/L + Testostérone</v>
      </c>
      <c r="S22" s="3" t="str">
        <f t="shared" si="1"/>
        <v>Estrone-0.2µg/L + Testostérone</v>
      </c>
      <c r="T22" s="3" t="str">
        <f t="shared" si="1"/>
        <v>Estrone-1µg/L + Testostérone</v>
      </c>
      <c r="U22" s="3" t="str">
        <f t="shared" si="1"/>
        <v>Estrone-5µg/L + Testostérone</v>
      </c>
      <c r="V22" s="3" t="str">
        <f t="shared" si="1"/>
        <v>Estrone-25µg/L + Testostérone</v>
      </c>
    </row>
    <row r="23" spans="1:22" x14ac:dyDescent="0.35">
      <c r="A23" s="4" t="s">
        <v>0</v>
      </c>
      <c r="B23" s="4">
        <f t="shared" ref="B23:J23" si="2">AVERAGE(B5:B20)</f>
        <v>81571.75</v>
      </c>
      <c r="C23" s="4">
        <f t="shared" si="2"/>
        <v>127912</v>
      </c>
      <c r="D23" s="4">
        <f t="shared" si="2"/>
        <v>372791</v>
      </c>
      <c r="E23" s="4">
        <f t="shared" si="2"/>
        <v>2055802.125</v>
      </c>
      <c r="F23" s="4">
        <f t="shared" si="2"/>
        <v>3437289.625</v>
      </c>
      <c r="G23" s="4">
        <f t="shared" si="2"/>
        <v>6287709.125</v>
      </c>
      <c r="H23" s="4">
        <f t="shared" si="2"/>
        <v>8938178.625</v>
      </c>
      <c r="I23" s="4">
        <f t="shared" si="2"/>
        <v>70953.875</v>
      </c>
      <c r="J23" s="4">
        <f t="shared" si="2"/>
        <v>146229.375</v>
      </c>
      <c r="K23" s="4"/>
      <c r="L23" s="4">
        <f>AVERAGE(L5:L20)</f>
        <v>6979221.8571428573</v>
      </c>
      <c r="M23" s="4"/>
      <c r="N23" s="4" t="s">
        <v>0</v>
      </c>
      <c r="O23" s="4">
        <f>AVERAGE(O5:O20)</f>
        <v>1380633</v>
      </c>
      <c r="P23" s="4">
        <f>AVERAGE(P5:P20)</f>
        <v>6145486.75</v>
      </c>
      <c r="Q23" s="4">
        <f>AVERAGE(Q5:Q20)</f>
        <v>111337.5</v>
      </c>
      <c r="R23" s="4">
        <f>AVERAGE(R5:R20)</f>
        <v>3175594.375</v>
      </c>
      <c r="S23" s="4">
        <f>AVERAGE(S5:S20)</f>
        <v>2563309.25</v>
      </c>
      <c r="T23" s="4">
        <f t="shared" ref="T23:V23" si="3">AVERAGE(T5:T20)</f>
        <v>5319805.75</v>
      </c>
      <c r="U23" s="4">
        <f t="shared" si="3"/>
        <v>7196155.5</v>
      </c>
      <c r="V23" s="4">
        <f t="shared" si="3"/>
        <v>6133179.625</v>
      </c>
    </row>
    <row r="24" spans="1:22" x14ac:dyDescent="0.35">
      <c r="A24" s="3" t="s">
        <v>1</v>
      </c>
      <c r="B24" s="3">
        <f t="shared" ref="B24:J24" si="4">STDEV(B5:B20)</f>
        <v>117391.92537424125</v>
      </c>
      <c r="C24" s="3">
        <f t="shared" si="4"/>
        <v>91408.05365893252</v>
      </c>
      <c r="D24" s="3">
        <f t="shared" si="4"/>
        <v>307033.85421527334</v>
      </c>
      <c r="E24" s="3">
        <f t="shared" si="4"/>
        <v>904632.60829899297</v>
      </c>
      <c r="F24" s="3">
        <f t="shared" si="4"/>
        <v>1161658.367542828</v>
      </c>
      <c r="G24" s="3">
        <f t="shared" si="4"/>
        <v>1055468.6764346426</v>
      </c>
      <c r="H24" s="3">
        <f t="shared" si="4"/>
        <v>1975102.9404034282</v>
      </c>
      <c r="I24" s="3">
        <f t="shared" si="4"/>
        <v>47529.611697603839</v>
      </c>
      <c r="J24" s="3">
        <f t="shared" si="4"/>
        <v>127543.36301367973</v>
      </c>
      <c r="K24" s="3"/>
      <c r="L24" s="3">
        <f>STDEV(L5:L20)</f>
        <v>1584354.5338040595</v>
      </c>
      <c r="M24" s="3"/>
      <c r="N24" s="3" t="s">
        <v>1</v>
      </c>
      <c r="O24" s="3">
        <f>STDEV(O5:O20)</f>
        <v>1388865.0443292658</v>
      </c>
      <c r="P24" s="3">
        <f>STDEV(P5:P20)</f>
        <v>1183706.4109561904</v>
      </c>
      <c r="Q24" s="3">
        <f>STDEV(Q5:Q20)</f>
        <v>131851.91052085671</v>
      </c>
      <c r="R24" s="3">
        <f>STDEV(R5:R20)</f>
        <v>1635341.5684328927</v>
      </c>
      <c r="S24" s="3">
        <f>STDEV(S5:S20)</f>
        <v>2369556.3233011574</v>
      </c>
      <c r="T24" s="3">
        <f t="shared" ref="T24:V24" si="5">STDEV(T5:T20)</f>
        <v>1164381.3495939439</v>
      </c>
      <c r="U24" s="3">
        <f t="shared" si="5"/>
        <v>1463325.3579704782</v>
      </c>
      <c r="V24" s="3">
        <f t="shared" si="5"/>
        <v>2005491.2279850852</v>
      </c>
    </row>
    <row r="25" spans="1:22" ht="15" thickBot="1" x14ac:dyDescent="0.4"/>
    <row r="26" spans="1:22" ht="15" thickBot="1" x14ac:dyDescent="0.4">
      <c r="B26" s="147" t="s">
        <v>42</v>
      </c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O26" s="147" t="s">
        <v>43</v>
      </c>
      <c r="P26" s="148"/>
      <c r="Q26" s="148"/>
      <c r="R26" s="148"/>
      <c r="S26" s="148"/>
      <c r="T26" s="148"/>
      <c r="U26" s="148"/>
      <c r="V26" s="148"/>
    </row>
    <row r="27" spans="1:22" x14ac:dyDescent="0.35">
      <c r="A27" s="17" t="str">
        <f>A4</f>
        <v>Group names</v>
      </c>
      <c r="B27" s="18" t="str">
        <f>B4</f>
        <v>Solvent control</v>
      </c>
      <c r="C27" s="18" t="str">
        <f t="shared" ref="C27:M27" si="6">C4</f>
        <v>EE2-33.8ng/L</v>
      </c>
      <c r="D27" s="18" t="str">
        <f t="shared" si="6"/>
        <v>EE2-50.6ng/L</v>
      </c>
      <c r="E27" s="18" t="str">
        <f t="shared" si="6"/>
        <v>EE2-76ng/L</v>
      </c>
      <c r="F27" s="18" t="str">
        <f t="shared" si="6"/>
        <v>EE2-114ng/L</v>
      </c>
      <c r="G27" s="18" t="str">
        <f t="shared" si="6"/>
        <v>EE2-170.9ng/L</v>
      </c>
      <c r="H27" s="18" t="str">
        <f t="shared" si="6"/>
        <v>EE2-488ng/L</v>
      </c>
      <c r="I27" s="18" t="str">
        <f t="shared" si="6"/>
        <v>Estrone-0.04µg/L</v>
      </c>
      <c r="J27" s="18" t="str">
        <f t="shared" si="6"/>
        <v>Estrone-0.2µg/L</v>
      </c>
      <c r="K27" s="18" t="str">
        <f t="shared" si="6"/>
        <v>Estrone-1µg/L</v>
      </c>
      <c r="L27" s="18" t="str">
        <f t="shared" si="6"/>
        <v>Estrone-5µg/L</v>
      </c>
      <c r="M27" s="18" t="str">
        <f t="shared" si="6"/>
        <v>Estrone-25µg/L</v>
      </c>
      <c r="N27" s="3"/>
      <c r="O27" s="19" t="str">
        <f>O4</f>
        <v>Testo -30µg/L</v>
      </c>
      <c r="P27" s="19" t="str">
        <f t="shared" ref="P27:V27" si="7">P4</f>
        <v>Testo 30µg/L + EE2 -64ng/L</v>
      </c>
      <c r="Q27" s="19" t="str">
        <f t="shared" si="7"/>
        <v>Testo 30µg/L + FAD-10mg/L</v>
      </c>
      <c r="R27" s="19" t="str">
        <f t="shared" si="7"/>
        <v>Estrone-0.04µg/L + Testostérone</v>
      </c>
      <c r="S27" s="19" t="str">
        <f t="shared" si="7"/>
        <v>Estrone-0.2µg/L + Testostérone</v>
      </c>
      <c r="T27" s="19" t="str">
        <f t="shared" si="7"/>
        <v>Estrone-1µg/L + Testostérone</v>
      </c>
      <c r="U27" s="19" t="str">
        <f t="shared" si="7"/>
        <v>Estrone-5µg/L + Testostérone</v>
      </c>
      <c r="V27" s="19" t="str">
        <f t="shared" si="7"/>
        <v>Estrone-25µg/L + Testostérone</v>
      </c>
    </row>
    <row r="28" spans="1:22" ht="14.5" customHeight="1" x14ac:dyDescent="0.35">
      <c r="A28" s="145" t="s">
        <v>36</v>
      </c>
      <c r="B28" s="10">
        <f t="shared" ref="B28:M28" si="8">IF(B5="","",(B5/$O$23))</f>
        <v>5.3705075860130826E-2</v>
      </c>
      <c r="C28" s="10">
        <f t="shared" si="8"/>
        <v>3.2399631183667205E-2</v>
      </c>
      <c r="D28" s="10">
        <f t="shared" si="8"/>
        <v>0.2749180991617613</v>
      </c>
      <c r="E28" s="10">
        <f t="shared" si="8"/>
        <v>1.2266170662297655</v>
      </c>
      <c r="F28" s="10">
        <f t="shared" si="8"/>
        <v>1.5207386756654375</v>
      </c>
      <c r="G28" s="10">
        <f t="shared" si="8"/>
        <v>5.3495860232226811</v>
      </c>
      <c r="H28" s="10">
        <f t="shared" si="8"/>
        <v>8.0462367624126028</v>
      </c>
      <c r="I28" s="10">
        <f t="shared" si="8"/>
        <v>2.5750507194888143E-2</v>
      </c>
      <c r="J28" s="10">
        <f t="shared" si="8"/>
        <v>0.16969245266482838</v>
      </c>
      <c r="K28" s="10">
        <f t="shared" si="8"/>
        <v>3.24894450588969E-2</v>
      </c>
      <c r="L28" s="10">
        <f t="shared" si="8"/>
        <v>5.7145367378586487</v>
      </c>
      <c r="M28" s="10">
        <f t="shared" si="8"/>
        <v>7.3127398809096986</v>
      </c>
      <c r="N28" s="5"/>
      <c r="O28" s="10">
        <f t="shared" ref="O28:V37" si="9">IF(O5="","",(O5/$O$23))</f>
        <v>0.35131638893174361</v>
      </c>
      <c r="P28" s="10">
        <f t="shared" si="9"/>
        <v>5.8524980932659147</v>
      </c>
      <c r="Q28" s="10">
        <f t="shared" si="9"/>
        <v>4.2668109483113906E-2</v>
      </c>
      <c r="R28" s="10">
        <f t="shared" si="9"/>
        <v>1.4120783727464141</v>
      </c>
      <c r="S28" s="10">
        <f t="shared" si="9"/>
        <v>0.85230253079565677</v>
      </c>
      <c r="T28" s="10">
        <f t="shared" si="9"/>
        <v>4.2487960232733828</v>
      </c>
      <c r="U28" s="10">
        <f t="shared" si="9"/>
        <v>4.71035532252235</v>
      </c>
      <c r="V28" s="10">
        <f t="shared" si="9"/>
        <v>6.1465378561862565</v>
      </c>
    </row>
    <row r="29" spans="1:22" x14ac:dyDescent="0.35">
      <c r="A29" s="146"/>
      <c r="B29" s="10">
        <f t="shared" ref="B29:M29" si="10">IF(B6="","",(B6/$O$23))</f>
        <v>2.3421865187924669E-2</v>
      </c>
      <c r="C29" s="10">
        <f t="shared" si="10"/>
        <v>3.3997448996221299E-2</v>
      </c>
      <c r="D29" s="10">
        <f t="shared" si="10"/>
        <v>0.623131563565408</v>
      </c>
      <c r="E29" s="10">
        <f t="shared" si="10"/>
        <v>1.2300481011246291</v>
      </c>
      <c r="F29" s="10">
        <f t="shared" si="10"/>
        <v>3.6237399801395447</v>
      </c>
      <c r="G29" s="10">
        <f t="shared" si="10"/>
        <v>4.357303497743426</v>
      </c>
      <c r="H29" s="10">
        <f t="shared" si="10"/>
        <v>8.3503718946309409</v>
      </c>
      <c r="I29" s="10">
        <f t="shared" si="10"/>
        <v>2.6723973713506776E-2</v>
      </c>
      <c r="J29" s="10">
        <f t="shared" si="10"/>
        <v>0.1106528671993209</v>
      </c>
      <c r="K29" s="10">
        <f t="shared" si="10"/>
        <v>0.19215244022126082</v>
      </c>
      <c r="L29" s="10">
        <f t="shared" si="10"/>
        <v>5.4330086272021605</v>
      </c>
      <c r="M29" s="10">
        <f t="shared" si="10"/>
        <v>6.9731181276993954</v>
      </c>
      <c r="N29" s="5"/>
      <c r="O29" s="10">
        <f t="shared" si="9"/>
        <v>8.1445974418980285E-2</v>
      </c>
      <c r="P29" s="10">
        <f t="shared" si="9"/>
        <v>4.7247240939482111</v>
      </c>
      <c r="Q29" s="10">
        <f t="shared" si="9"/>
        <v>4.001787585839249E-2</v>
      </c>
      <c r="R29" s="10">
        <f t="shared" si="9"/>
        <v>2.408615468411953</v>
      </c>
      <c r="S29" s="10">
        <f t="shared" si="9"/>
        <v>2.3431418776749506</v>
      </c>
      <c r="T29" s="10">
        <f t="shared" si="9"/>
        <v>3.9836502531809685</v>
      </c>
      <c r="U29" s="10">
        <f t="shared" si="9"/>
        <v>4.6942322833077288</v>
      </c>
      <c r="V29" s="10">
        <f t="shared" si="9"/>
        <v>3.0185291819042424</v>
      </c>
    </row>
    <row r="30" spans="1:22" x14ac:dyDescent="0.35">
      <c r="A30" s="146"/>
      <c r="B30" s="10">
        <f t="shared" ref="B30:M30" si="11">IF(B7="","",(B7/$O$23))</f>
        <v>2.9587877444621418E-2</v>
      </c>
      <c r="C30" s="10">
        <f t="shared" si="11"/>
        <v>0.16013451800731984</v>
      </c>
      <c r="D30" s="10">
        <f t="shared" si="11"/>
        <v>3.0152835692034016E-2</v>
      </c>
      <c r="E30" s="10">
        <f t="shared" si="11"/>
        <v>1.4027268651408449</v>
      </c>
      <c r="F30" s="10">
        <f t="shared" si="11"/>
        <v>2.4641443453836032</v>
      </c>
      <c r="G30" s="10">
        <f t="shared" si="11"/>
        <v>3.7517421356725502</v>
      </c>
      <c r="H30" s="10">
        <f t="shared" si="11"/>
        <v>4.668085581034207</v>
      </c>
      <c r="I30" s="10">
        <f t="shared" si="11"/>
        <v>0.1172636029994937</v>
      </c>
      <c r="J30" s="10">
        <f t="shared" si="11"/>
        <v>6.8222329902298443E-2</v>
      </c>
      <c r="K30" s="10">
        <f t="shared" si="11"/>
        <v>9.1233513902680877E-2</v>
      </c>
      <c r="L30" s="10">
        <f t="shared" si="11"/>
        <v>4.8331403059321341</v>
      </c>
      <c r="M30" s="10">
        <f t="shared" si="11"/>
        <v>6.3370888570677364</v>
      </c>
      <c r="N30" s="5"/>
      <c r="O30" s="10">
        <f t="shared" si="9"/>
        <v>0.40227127701568771</v>
      </c>
      <c r="P30" s="10">
        <f t="shared" si="9"/>
        <v>5.0855679967087557</v>
      </c>
      <c r="Q30" s="10">
        <f t="shared" si="9"/>
        <v>0.31458468687913443</v>
      </c>
      <c r="R30" s="10">
        <f t="shared" si="9"/>
        <v>1.3202675874037488</v>
      </c>
      <c r="S30" s="10">
        <f t="shared" si="9"/>
        <v>4.7104480336193619E-2</v>
      </c>
      <c r="T30" s="10">
        <f t="shared" si="9"/>
        <v>3.1925240089147513</v>
      </c>
      <c r="U30" s="10">
        <f t="shared" si="9"/>
        <v>3.9951717799009585</v>
      </c>
      <c r="V30" s="10">
        <f t="shared" si="9"/>
        <v>4.9567126093610687</v>
      </c>
    </row>
    <row r="31" spans="1:22" x14ac:dyDescent="0.35">
      <c r="A31" s="146"/>
      <c r="B31" s="10">
        <f t="shared" ref="B31:M31" si="12">IF(B8="","",(B8/$O$23))</f>
        <v>1.5302401144982047E-2</v>
      </c>
      <c r="C31" s="10">
        <f t="shared" si="12"/>
        <v>0.18872285393728819</v>
      </c>
      <c r="D31" s="10">
        <f t="shared" si="12"/>
        <v>0.23262952573203741</v>
      </c>
      <c r="E31" s="10">
        <f t="shared" si="12"/>
        <v>0.92066899748158992</v>
      </c>
      <c r="F31" s="10">
        <f t="shared" si="12"/>
        <v>1.3551371001562327</v>
      </c>
      <c r="G31" s="10">
        <f t="shared" si="12"/>
        <v>5.0256425856835234</v>
      </c>
      <c r="H31" s="10">
        <f t="shared" si="12"/>
        <v>6.4947252455938687</v>
      </c>
      <c r="I31" s="10">
        <f t="shared" si="12"/>
        <v>1.3677059725502722E-2</v>
      </c>
      <c r="J31" s="10">
        <f t="shared" si="12"/>
        <v>0.11412808472635379</v>
      </c>
      <c r="K31" s="10">
        <f t="shared" si="12"/>
        <v>0.71082756967275151</v>
      </c>
      <c r="L31" s="10">
        <f t="shared" si="12"/>
        <v>5.0326096797628335</v>
      </c>
      <c r="M31" s="10">
        <f t="shared" si="12"/>
        <v>6.495856610699585</v>
      </c>
      <c r="N31" s="5"/>
      <c r="O31" s="10">
        <f t="shared" si="9"/>
        <v>8.3545735905197108E-2</v>
      </c>
      <c r="P31" s="10">
        <f t="shared" si="9"/>
        <v>3.8295390592576015</v>
      </c>
      <c r="Q31" s="10">
        <f t="shared" si="9"/>
        <v>2.9868183651991512E-2</v>
      </c>
      <c r="R31" s="10">
        <f t="shared" si="9"/>
        <v>2.9782577991399597</v>
      </c>
      <c r="S31" s="10">
        <f t="shared" si="9"/>
        <v>3.0878966387157196</v>
      </c>
      <c r="T31" s="10">
        <f t="shared" si="9"/>
        <v>4.1575197753494226</v>
      </c>
      <c r="U31" s="10">
        <f t="shared" si="9"/>
        <v>6.1257734676775071</v>
      </c>
      <c r="V31" s="10">
        <f t="shared" si="9"/>
        <v>2.2416268479748056</v>
      </c>
    </row>
    <row r="32" spans="1:22" x14ac:dyDescent="0.35">
      <c r="A32" s="146"/>
      <c r="B32" s="10">
        <f t="shared" ref="B32:M32" si="13">IF(B9="","",(B9/$O$23))</f>
        <v>0.2653311922864367</v>
      </c>
      <c r="C32" s="10">
        <f t="shared" si="13"/>
        <v>4.860524121906401E-2</v>
      </c>
      <c r="D32" s="10">
        <f t="shared" si="13"/>
        <v>0.11491178321827741</v>
      </c>
      <c r="E32" s="10">
        <f t="shared" si="13"/>
        <v>1.9006390546944771</v>
      </c>
      <c r="F32" s="10">
        <f t="shared" si="13"/>
        <v>2.1734972291695187</v>
      </c>
      <c r="G32" s="10">
        <f t="shared" si="13"/>
        <v>5.6774102893382965</v>
      </c>
      <c r="H32" s="10">
        <f t="shared" si="13"/>
        <v>6.7635012345786318</v>
      </c>
      <c r="I32" s="10">
        <f t="shared" si="13"/>
        <v>6.3157986228056268E-2</v>
      </c>
      <c r="J32" s="10">
        <f t="shared" si="13"/>
        <v>1.5137983808876073E-4</v>
      </c>
      <c r="K32" s="10">
        <f t="shared" si="13"/>
        <v>0.12547939966667462</v>
      </c>
      <c r="L32" s="10">
        <f t="shared" si="13"/>
        <v>2.6210651201296797</v>
      </c>
      <c r="M32" s="10">
        <f t="shared" si="13"/>
        <v>7.5890327118068308</v>
      </c>
      <c r="N32" s="5"/>
      <c r="O32" s="10">
        <f t="shared" si="9"/>
        <v>7.7812133999404622E-3</v>
      </c>
      <c r="P32" s="10">
        <f t="shared" si="9"/>
        <v>3.1703972018632034</v>
      </c>
      <c r="Q32" s="10">
        <f t="shared" si="9"/>
        <v>7.0320642777624467E-2</v>
      </c>
      <c r="R32" s="10">
        <f t="shared" si="9"/>
        <v>1.5038551157331457</v>
      </c>
      <c r="S32" s="10">
        <f t="shared" si="9"/>
        <v>2.2176255384305605</v>
      </c>
      <c r="T32" s="10">
        <f t="shared" si="9"/>
        <v>2.6313415657890258</v>
      </c>
      <c r="U32" s="10">
        <f t="shared" si="9"/>
        <v>5.021944282079307</v>
      </c>
      <c r="V32" s="10">
        <f t="shared" si="9"/>
        <v>5.1099372534192646</v>
      </c>
    </row>
    <row r="33" spans="1:22" x14ac:dyDescent="0.35">
      <c r="A33" s="146"/>
      <c r="B33" s="10">
        <f t="shared" ref="B33:M33" si="14">IF(B10="","",(B10/$O$23))</f>
        <v>5.2468686464831708E-3</v>
      </c>
      <c r="C33" s="10">
        <f t="shared" si="14"/>
        <v>7.3136742349342657E-2</v>
      </c>
      <c r="D33" s="10">
        <f t="shared" si="14"/>
        <v>2.5150057980650904E-2</v>
      </c>
      <c r="E33" s="10">
        <f t="shared" si="14"/>
        <v>1.0846140864371632</v>
      </c>
      <c r="F33" s="10">
        <f t="shared" si="14"/>
        <v>3.5974042341447725</v>
      </c>
      <c r="G33" s="10">
        <f t="shared" si="14"/>
        <v>3.7787471398988726</v>
      </c>
      <c r="H33" s="10">
        <f t="shared" si="14"/>
        <v>7.1114597434654971</v>
      </c>
      <c r="I33" s="10">
        <f t="shared" si="14"/>
        <v>4.757238165392251E-2</v>
      </c>
      <c r="J33" s="10">
        <f t="shared" si="14"/>
        <v>8.17494584006032E-2</v>
      </c>
      <c r="K33" s="10">
        <f t="shared" si="14"/>
        <v>6.2866815439005158E-2</v>
      </c>
      <c r="L33" s="10">
        <f t="shared" si="14"/>
        <v>5.913122459045959</v>
      </c>
      <c r="M33" s="10">
        <f t="shared" si="14"/>
        <v>5.729218409236922</v>
      </c>
      <c r="N33" s="5"/>
      <c r="O33" s="10">
        <f t="shared" si="9"/>
        <v>2.6435620472638277</v>
      </c>
      <c r="P33" s="10">
        <f t="shared" si="9"/>
        <v>4.6599009295011777</v>
      </c>
      <c r="Q33" s="10">
        <f t="shared" si="9"/>
        <v>5.2660627407862912E-2</v>
      </c>
      <c r="R33" s="10">
        <f t="shared" si="9"/>
        <v>2.9905912722642438</v>
      </c>
      <c r="S33" s="10">
        <f t="shared" si="9"/>
        <v>1.1159837552774705</v>
      </c>
      <c r="T33" s="10">
        <f t="shared" si="9"/>
        <v>4.9853501980613242</v>
      </c>
      <c r="U33" s="10">
        <f t="shared" si="9"/>
        <v>4.5008514210510686</v>
      </c>
      <c r="V33" s="10">
        <f t="shared" si="9"/>
        <v>3.1089891375912355</v>
      </c>
    </row>
    <row r="34" spans="1:22" x14ac:dyDescent="0.35">
      <c r="A34" s="146"/>
      <c r="B34" s="10">
        <f t="shared" ref="B34:M34" si="15">IF(B11="","",(B11/$O$23))</f>
        <v>5.3415353681970514E-2</v>
      </c>
      <c r="C34" s="10">
        <f t="shared" si="15"/>
        <v>0.16263264748850709</v>
      </c>
      <c r="D34" s="10">
        <f t="shared" si="15"/>
        <v>0.54705269249684751</v>
      </c>
      <c r="E34" s="10">
        <f t="shared" si="15"/>
        <v>1.2008788722274493</v>
      </c>
      <c r="F34" s="10">
        <f t="shared" si="15"/>
        <v>2.3731034967293989</v>
      </c>
      <c r="G34" s="10">
        <f t="shared" si="15"/>
        <v>4.7473448773135223</v>
      </c>
      <c r="H34" s="10">
        <f t="shared" si="15"/>
        <v>5.961517651685857</v>
      </c>
      <c r="I34" s="10">
        <f t="shared" si="15"/>
        <v>8.1019358511639231E-2</v>
      </c>
      <c r="J34" s="10">
        <f t="shared" si="15"/>
        <v>1.3049086904340255E-2</v>
      </c>
      <c r="K34" s="10">
        <f t="shared" si="15"/>
        <v>0.14669068463523616</v>
      </c>
      <c r="L34" s="10">
        <f t="shared" si="15"/>
        <v>5.8381358405890635</v>
      </c>
      <c r="M34" s="10">
        <f t="shared" si="15"/>
        <v>7.7487652402919531</v>
      </c>
      <c r="N34" s="5"/>
      <c r="O34" s="10">
        <f t="shared" si="9"/>
        <v>0.4051844335170896</v>
      </c>
      <c r="P34" s="10">
        <f t="shared" si="9"/>
        <v>3.6719070165641412</v>
      </c>
      <c r="Q34" s="10">
        <f t="shared" si="9"/>
        <v>6.0900326154742064E-2</v>
      </c>
      <c r="R34" s="10">
        <f t="shared" si="9"/>
        <v>1.1927536137409436</v>
      </c>
      <c r="S34" s="10">
        <f t="shared" si="9"/>
        <v>6.3046443189464549E-2</v>
      </c>
      <c r="T34" s="10">
        <f t="shared" si="9"/>
        <v>4.6786133606831068</v>
      </c>
      <c r="U34" s="10">
        <f t="shared" si="9"/>
        <v>7.3272462703701855</v>
      </c>
      <c r="V34" s="10">
        <f t="shared" si="9"/>
        <v>5.9035065799528184</v>
      </c>
    </row>
    <row r="35" spans="1:22" x14ac:dyDescent="0.35">
      <c r="A35" s="146"/>
      <c r="B35" s="10">
        <f t="shared" ref="B35:M35" si="16">IF(B12="","",(B12/$O$23))</f>
        <v>2.66522674744121E-2</v>
      </c>
      <c r="C35" s="10">
        <f t="shared" si="16"/>
        <v>4.1549781875415116E-2</v>
      </c>
      <c r="D35" s="10">
        <f t="shared" si="16"/>
        <v>0.31216985252416823</v>
      </c>
      <c r="E35" s="10">
        <f t="shared" si="16"/>
        <v>2.9460363470958613</v>
      </c>
      <c r="F35" s="10">
        <f t="shared" si="16"/>
        <v>2.8094156810680317</v>
      </c>
      <c r="G35" s="10">
        <f t="shared" si="16"/>
        <v>3.7459991177959675</v>
      </c>
      <c r="H35" s="10">
        <f t="shared" si="16"/>
        <v>4.3958734870164626</v>
      </c>
      <c r="I35" s="10">
        <f t="shared" si="16"/>
        <v>3.5973354251274597E-2</v>
      </c>
      <c r="J35" s="10">
        <f t="shared" si="16"/>
        <v>0.28967220108457498</v>
      </c>
      <c r="K35" s="10">
        <f t="shared" si="16"/>
        <v>0.32313583696753589</v>
      </c>
      <c r="L35" s="10" t="str">
        <f t="shared" si="16"/>
        <v/>
      </c>
      <c r="M35" s="10">
        <f t="shared" si="16"/>
        <v>7.8957818623776195</v>
      </c>
      <c r="N35" s="5"/>
      <c r="O35" s="10">
        <f t="shared" si="9"/>
        <v>0.40621512016589489</v>
      </c>
      <c r="P35" s="10">
        <f t="shared" si="9"/>
        <v>4.6151417501971919</v>
      </c>
      <c r="Q35" s="10">
        <f t="shared" si="9"/>
        <v>3.4118408005603229E-2</v>
      </c>
      <c r="R35" s="10">
        <f t="shared" si="9"/>
        <v>4.5943831561320065</v>
      </c>
      <c r="S35" s="10">
        <f t="shared" si="9"/>
        <v>5.1258495197492744</v>
      </c>
      <c r="T35" s="10">
        <f t="shared" si="9"/>
        <v>2.9475190003425964</v>
      </c>
      <c r="U35" s="10">
        <f t="shared" si="9"/>
        <v>5.3221420898964462</v>
      </c>
      <c r="V35" s="10">
        <f t="shared" si="9"/>
        <v>5.0525237336786821</v>
      </c>
    </row>
    <row r="36" spans="1:22" x14ac:dyDescent="0.35">
      <c r="A36" s="146"/>
      <c r="B36" s="10" t="str">
        <f t="shared" ref="B36:M36" si="17">IF(B13="","",(B13/$O$23))</f>
        <v/>
      </c>
      <c r="C36" s="10" t="str">
        <f t="shared" si="17"/>
        <v/>
      </c>
      <c r="D36" s="10" t="str">
        <f t="shared" si="17"/>
        <v/>
      </c>
      <c r="E36" s="10" t="str">
        <f t="shared" si="17"/>
        <v/>
      </c>
      <c r="F36" s="10" t="str">
        <f t="shared" si="17"/>
        <v/>
      </c>
      <c r="G36" s="10" t="str">
        <f t="shared" si="17"/>
        <v/>
      </c>
      <c r="H36" s="10" t="str">
        <f t="shared" si="17"/>
        <v/>
      </c>
      <c r="I36" s="10" t="str">
        <f t="shared" si="17"/>
        <v/>
      </c>
      <c r="J36" s="10" t="str">
        <f t="shared" si="17"/>
        <v/>
      </c>
      <c r="K36" s="10" t="str">
        <f t="shared" si="17"/>
        <v/>
      </c>
      <c r="L36" s="10" t="str">
        <f t="shared" si="17"/>
        <v/>
      </c>
      <c r="M36" s="10" t="str">
        <f t="shared" si="17"/>
        <v/>
      </c>
      <c r="N36" s="5"/>
      <c r="O36" s="10">
        <f t="shared" si="9"/>
        <v>1.7405059852980482E-2</v>
      </c>
      <c r="P36" s="10" t="str">
        <f t="shared" si="9"/>
        <v/>
      </c>
      <c r="Q36" s="10" t="str">
        <f t="shared" si="9"/>
        <v/>
      </c>
      <c r="R36" s="10" t="str">
        <f t="shared" si="9"/>
        <v/>
      </c>
      <c r="S36" s="10" t="str">
        <f t="shared" si="9"/>
        <v/>
      </c>
      <c r="T36" s="10" t="str">
        <f t="shared" si="9"/>
        <v/>
      </c>
      <c r="U36" s="10" t="str">
        <f t="shared" si="9"/>
        <v/>
      </c>
      <c r="V36" s="10" t="str">
        <f t="shared" si="9"/>
        <v/>
      </c>
    </row>
    <row r="37" spans="1:22" x14ac:dyDescent="0.35">
      <c r="A37" s="146"/>
      <c r="B37" s="10" t="str">
        <f t="shared" ref="B37:M37" si="18">IF(B14="","",(B14/$O$23))</f>
        <v/>
      </c>
      <c r="C37" s="10" t="str">
        <f t="shared" si="18"/>
        <v/>
      </c>
      <c r="D37" s="10" t="str">
        <f t="shared" si="18"/>
        <v/>
      </c>
      <c r="E37" s="10" t="str">
        <f t="shared" si="18"/>
        <v/>
      </c>
      <c r="F37" s="10" t="str">
        <f t="shared" si="18"/>
        <v/>
      </c>
      <c r="G37" s="10" t="str">
        <f t="shared" si="18"/>
        <v/>
      </c>
      <c r="H37" s="10" t="str">
        <f t="shared" si="18"/>
        <v/>
      </c>
      <c r="I37" s="10" t="str">
        <f t="shared" si="18"/>
        <v/>
      </c>
      <c r="J37" s="10" t="str">
        <f t="shared" si="18"/>
        <v/>
      </c>
      <c r="K37" s="10" t="str">
        <f t="shared" si="18"/>
        <v/>
      </c>
      <c r="L37" s="10" t="str">
        <f t="shared" si="18"/>
        <v/>
      </c>
      <c r="M37" s="10" t="str">
        <f t="shared" si="18"/>
        <v/>
      </c>
      <c r="N37" s="5"/>
      <c r="O37" s="10">
        <f t="shared" si="9"/>
        <v>1.2745965075440033</v>
      </c>
      <c r="P37" s="10" t="str">
        <f t="shared" si="9"/>
        <v/>
      </c>
      <c r="Q37" s="10" t="str">
        <f t="shared" si="9"/>
        <v/>
      </c>
      <c r="R37" s="10" t="str">
        <f t="shared" si="9"/>
        <v/>
      </c>
      <c r="S37" s="10" t="str">
        <f t="shared" si="9"/>
        <v/>
      </c>
      <c r="T37" s="10" t="str">
        <f t="shared" si="9"/>
        <v/>
      </c>
      <c r="U37" s="10" t="str">
        <f t="shared" si="9"/>
        <v/>
      </c>
      <c r="V37" s="10" t="str">
        <f t="shared" si="9"/>
        <v/>
      </c>
    </row>
    <row r="38" spans="1:22" x14ac:dyDescent="0.35">
      <c r="A38" s="146"/>
      <c r="B38" s="10" t="str">
        <f t="shared" ref="B38:M38" si="19">IF(B15="","",(B15/$O$23))</f>
        <v/>
      </c>
      <c r="C38" s="10" t="str">
        <f t="shared" si="19"/>
        <v/>
      </c>
      <c r="D38" s="10" t="str">
        <f t="shared" si="19"/>
        <v/>
      </c>
      <c r="E38" s="10" t="str">
        <f t="shared" si="19"/>
        <v/>
      </c>
      <c r="F38" s="10" t="str">
        <f t="shared" si="19"/>
        <v/>
      </c>
      <c r="G38" s="10" t="str">
        <f t="shared" si="19"/>
        <v/>
      </c>
      <c r="H38" s="10" t="str">
        <f t="shared" si="19"/>
        <v/>
      </c>
      <c r="I38" s="10" t="str">
        <f t="shared" si="19"/>
        <v/>
      </c>
      <c r="J38" s="10" t="str">
        <f t="shared" si="19"/>
        <v/>
      </c>
      <c r="K38" s="10" t="str">
        <f t="shared" si="19"/>
        <v/>
      </c>
      <c r="L38" s="10" t="str">
        <f t="shared" si="19"/>
        <v/>
      </c>
      <c r="M38" s="10" t="str">
        <f t="shared" si="19"/>
        <v/>
      </c>
      <c r="N38" s="5"/>
      <c r="O38" s="10">
        <f t="shared" ref="O38:V43" si="20">IF(O15="","",(O15/$O$23))</f>
        <v>2.5919045828978446</v>
      </c>
      <c r="P38" s="10" t="str">
        <f t="shared" si="20"/>
        <v/>
      </c>
      <c r="Q38" s="10" t="str">
        <f t="shared" si="20"/>
        <v/>
      </c>
      <c r="R38" s="10" t="str">
        <f t="shared" si="20"/>
        <v/>
      </c>
      <c r="S38" s="10" t="str">
        <f t="shared" si="20"/>
        <v/>
      </c>
      <c r="T38" s="10" t="str">
        <f t="shared" si="20"/>
        <v/>
      </c>
      <c r="U38" s="10" t="str">
        <f t="shared" si="20"/>
        <v/>
      </c>
      <c r="V38" s="10" t="str">
        <f t="shared" si="20"/>
        <v/>
      </c>
    </row>
    <row r="39" spans="1:22" x14ac:dyDescent="0.35">
      <c r="A39" s="146"/>
      <c r="B39" s="10" t="str">
        <f t="shared" ref="B39:M39" si="21">IF(B16="","",(B16/$O$23))</f>
        <v/>
      </c>
      <c r="C39" s="10" t="str">
        <f t="shared" si="21"/>
        <v/>
      </c>
      <c r="D39" s="10" t="str">
        <f t="shared" si="21"/>
        <v/>
      </c>
      <c r="E39" s="10" t="str">
        <f t="shared" si="21"/>
        <v/>
      </c>
      <c r="F39" s="10" t="str">
        <f t="shared" si="21"/>
        <v/>
      </c>
      <c r="G39" s="10" t="str">
        <f t="shared" si="21"/>
        <v/>
      </c>
      <c r="H39" s="10" t="str">
        <f t="shared" si="21"/>
        <v/>
      </c>
      <c r="I39" s="10" t="str">
        <f t="shared" si="21"/>
        <v/>
      </c>
      <c r="J39" s="10" t="str">
        <f t="shared" si="21"/>
        <v/>
      </c>
      <c r="K39" s="10" t="str">
        <f t="shared" si="21"/>
        <v/>
      </c>
      <c r="L39" s="10" t="str">
        <f t="shared" si="21"/>
        <v/>
      </c>
      <c r="M39" s="10" t="str">
        <f t="shared" si="21"/>
        <v/>
      </c>
      <c r="N39" s="5"/>
      <c r="O39" s="10">
        <f t="shared" si="20"/>
        <v>0.85934060680861601</v>
      </c>
      <c r="P39" s="10" t="str">
        <f t="shared" si="20"/>
        <v/>
      </c>
      <c r="Q39" s="10" t="str">
        <f t="shared" si="20"/>
        <v/>
      </c>
      <c r="R39" s="10" t="str">
        <f t="shared" si="20"/>
        <v/>
      </c>
      <c r="S39" s="10" t="str">
        <f t="shared" si="20"/>
        <v/>
      </c>
      <c r="T39" s="10" t="str">
        <f t="shared" si="20"/>
        <v/>
      </c>
      <c r="U39" s="10" t="str">
        <f t="shared" si="20"/>
        <v/>
      </c>
      <c r="V39" s="10" t="str">
        <f t="shared" si="20"/>
        <v/>
      </c>
    </row>
    <row r="40" spans="1:22" x14ac:dyDescent="0.35">
      <c r="A40" s="146"/>
      <c r="B40" s="10" t="str">
        <f t="shared" ref="B40:M40" si="22">IF(B17="","",(B17/$O$23))</f>
        <v/>
      </c>
      <c r="C40" s="10" t="str">
        <f t="shared" si="22"/>
        <v/>
      </c>
      <c r="D40" s="10" t="str">
        <f t="shared" si="22"/>
        <v/>
      </c>
      <c r="E40" s="10" t="str">
        <f t="shared" si="22"/>
        <v/>
      </c>
      <c r="F40" s="10" t="str">
        <f t="shared" si="22"/>
        <v/>
      </c>
      <c r="G40" s="10" t="str">
        <f t="shared" si="22"/>
        <v/>
      </c>
      <c r="H40" s="10" t="str">
        <f t="shared" si="22"/>
        <v/>
      </c>
      <c r="I40" s="10" t="str">
        <f t="shared" si="22"/>
        <v/>
      </c>
      <c r="J40" s="10" t="str">
        <f t="shared" si="22"/>
        <v/>
      </c>
      <c r="K40" s="10" t="str">
        <f t="shared" si="22"/>
        <v/>
      </c>
      <c r="L40" s="10" t="str">
        <f t="shared" si="22"/>
        <v/>
      </c>
      <c r="M40" s="10" t="str">
        <f t="shared" si="22"/>
        <v/>
      </c>
      <c r="N40" s="5"/>
      <c r="O40" s="10">
        <f t="shared" si="20"/>
        <v>2.5393685360265907</v>
      </c>
      <c r="P40" s="10" t="str">
        <f t="shared" si="20"/>
        <v/>
      </c>
      <c r="Q40" s="10" t="str">
        <f t="shared" si="20"/>
        <v/>
      </c>
      <c r="R40" s="10" t="str">
        <f t="shared" si="20"/>
        <v/>
      </c>
      <c r="S40" s="10" t="str">
        <f t="shared" si="20"/>
        <v/>
      </c>
      <c r="T40" s="10" t="str">
        <f t="shared" si="20"/>
        <v/>
      </c>
      <c r="U40" s="10" t="str">
        <f t="shared" si="20"/>
        <v/>
      </c>
      <c r="V40" s="10" t="str">
        <f t="shared" si="20"/>
        <v/>
      </c>
    </row>
    <row r="41" spans="1:22" x14ac:dyDescent="0.35">
      <c r="A41" s="146"/>
      <c r="B41" s="10" t="str">
        <f t="shared" ref="B41:M41" si="23">IF(B18="","",(B18/$O$23))</f>
        <v/>
      </c>
      <c r="C41" s="10" t="str">
        <f t="shared" si="23"/>
        <v/>
      </c>
      <c r="D41" s="10" t="str">
        <f t="shared" si="23"/>
        <v/>
      </c>
      <c r="E41" s="10" t="str">
        <f t="shared" si="23"/>
        <v/>
      </c>
      <c r="F41" s="10" t="str">
        <f t="shared" si="23"/>
        <v/>
      </c>
      <c r="G41" s="10" t="str">
        <f t="shared" si="23"/>
        <v/>
      </c>
      <c r="H41" s="10" t="str">
        <f t="shared" si="23"/>
        <v/>
      </c>
      <c r="I41" s="10" t="str">
        <f t="shared" si="23"/>
        <v/>
      </c>
      <c r="J41" s="10" t="str">
        <f t="shared" si="23"/>
        <v/>
      </c>
      <c r="K41" s="10" t="str">
        <f t="shared" si="23"/>
        <v/>
      </c>
      <c r="L41" s="10" t="str">
        <f t="shared" si="23"/>
        <v/>
      </c>
      <c r="M41" s="10" t="str">
        <f t="shared" si="23"/>
        <v/>
      </c>
      <c r="N41" s="5"/>
      <c r="O41" s="10">
        <f t="shared" si="20"/>
        <v>1.340755291232355</v>
      </c>
      <c r="P41" s="10" t="str">
        <f t="shared" si="20"/>
        <v/>
      </c>
      <c r="Q41" s="10" t="str">
        <f t="shared" si="20"/>
        <v/>
      </c>
      <c r="R41" s="10" t="str">
        <f t="shared" si="20"/>
        <v/>
      </c>
      <c r="S41" s="10" t="str">
        <f t="shared" si="20"/>
        <v/>
      </c>
      <c r="T41" s="10" t="str">
        <f t="shared" si="20"/>
        <v/>
      </c>
      <c r="U41" s="10" t="str">
        <f t="shared" si="20"/>
        <v/>
      </c>
      <c r="V41" s="10" t="str">
        <f t="shared" si="20"/>
        <v/>
      </c>
    </row>
    <row r="42" spans="1:22" x14ac:dyDescent="0.35">
      <c r="A42" s="146"/>
      <c r="B42" s="10" t="str">
        <f t="shared" ref="B42:M42" si="24">IF(B19="","",(B19/$O$23))</f>
        <v/>
      </c>
      <c r="C42" s="10" t="str">
        <f t="shared" si="24"/>
        <v/>
      </c>
      <c r="D42" s="10" t="str">
        <f t="shared" si="24"/>
        <v/>
      </c>
      <c r="E42" s="10" t="str">
        <f t="shared" si="24"/>
        <v/>
      </c>
      <c r="F42" s="10" t="str">
        <f t="shared" si="24"/>
        <v/>
      </c>
      <c r="G42" s="10" t="str">
        <f t="shared" si="24"/>
        <v/>
      </c>
      <c r="H42" s="10" t="str">
        <f t="shared" si="24"/>
        <v/>
      </c>
      <c r="I42" s="10" t="str">
        <f t="shared" si="24"/>
        <v/>
      </c>
      <c r="J42" s="10" t="str">
        <f t="shared" si="24"/>
        <v/>
      </c>
      <c r="K42" s="10" t="str">
        <f t="shared" si="24"/>
        <v/>
      </c>
      <c r="L42" s="10" t="str">
        <f t="shared" si="24"/>
        <v/>
      </c>
      <c r="M42" s="10" t="str">
        <f t="shared" si="24"/>
        <v/>
      </c>
      <c r="N42" s="5"/>
      <c r="O42" s="10">
        <f t="shared" si="20"/>
        <v>0.56234640197648467</v>
      </c>
      <c r="P42" s="10" t="str">
        <f t="shared" si="20"/>
        <v/>
      </c>
      <c r="Q42" s="10" t="str">
        <f t="shared" si="20"/>
        <v/>
      </c>
      <c r="R42" s="10" t="str">
        <f t="shared" si="20"/>
        <v/>
      </c>
      <c r="S42" s="10" t="str">
        <f t="shared" si="20"/>
        <v/>
      </c>
      <c r="T42" s="10" t="str">
        <f t="shared" si="20"/>
        <v/>
      </c>
      <c r="U42" s="10" t="str">
        <f t="shared" si="20"/>
        <v/>
      </c>
      <c r="V42" s="10" t="str">
        <f t="shared" si="20"/>
        <v/>
      </c>
    </row>
    <row r="43" spans="1:22" x14ac:dyDescent="0.35">
      <c r="A43" s="146"/>
      <c r="B43" s="10" t="str">
        <f t="shared" ref="B43:M43" si="25">IF(B20="","",(B20/$O$23))</f>
        <v/>
      </c>
      <c r="C43" s="10" t="str">
        <f t="shared" si="25"/>
        <v/>
      </c>
      <c r="D43" s="10" t="str">
        <f t="shared" si="25"/>
        <v/>
      </c>
      <c r="E43" s="10" t="str">
        <f t="shared" si="25"/>
        <v/>
      </c>
      <c r="F43" s="10" t="str">
        <f t="shared" si="25"/>
        <v/>
      </c>
      <c r="G43" s="10" t="str">
        <f t="shared" si="25"/>
        <v/>
      </c>
      <c r="H43" s="10" t="str">
        <f t="shared" si="25"/>
        <v/>
      </c>
      <c r="I43" s="10" t="str">
        <f t="shared" si="25"/>
        <v/>
      </c>
      <c r="J43" s="10" t="str">
        <f t="shared" si="25"/>
        <v/>
      </c>
      <c r="K43" s="10" t="str">
        <f t="shared" si="25"/>
        <v/>
      </c>
      <c r="L43" s="10" t="str">
        <f t="shared" si="25"/>
        <v/>
      </c>
      <c r="M43" s="10" t="str">
        <f t="shared" si="25"/>
        <v/>
      </c>
      <c r="N43" s="5"/>
      <c r="O43" s="10">
        <f t="shared" si="20"/>
        <v>2.4329608230427637</v>
      </c>
      <c r="P43" s="10" t="str">
        <f t="shared" si="20"/>
        <v/>
      </c>
      <c r="Q43" s="10" t="str">
        <f t="shared" si="20"/>
        <v/>
      </c>
      <c r="R43" s="10" t="str">
        <f t="shared" si="20"/>
        <v/>
      </c>
      <c r="S43" s="10" t="str">
        <f t="shared" si="20"/>
        <v/>
      </c>
      <c r="T43" s="10" t="str">
        <f t="shared" si="20"/>
        <v/>
      </c>
      <c r="U43" s="10" t="str">
        <f t="shared" si="20"/>
        <v/>
      </c>
      <c r="V43" s="10" t="str">
        <f t="shared" si="20"/>
        <v/>
      </c>
    </row>
    <row r="44" spans="1:22" x14ac:dyDescent="0.35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6"/>
      <c r="O44" s="3"/>
      <c r="P44" s="3"/>
      <c r="Q44" s="3"/>
      <c r="R44" s="3"/>
      <c r="S44" s="3"/>
      <c r="T44" s="3"/>
      <c r="U44" s="3"/>
      <c r="V44" s="3"/>
    </row>
    <row r="45" spans="1:22" x14ac:dyDescent="0.35">
      <c r="A45" s="51" t="str">
        <f t="shared" ref="A45" si="26">A4</f>
        <v>Group names</v>
      </c>
      <c r="B45" s="6" t="str">
        <f t="shared" ref="B45:V45" si="27">B4</f>
        <v>Solvent control</v>
      </c>
      <c r="C45" s="6" t="str">
        <f t="shared" si="27"/>
        <v>EE2-33.8ng/L</v>
      </c>
      <c r="D45" s="6" t="str">
        <f t="shared" si="27"/>
        <v>EE2-50.6ng/L</v>
      </c>
      <c r="E45" s="6" t="str">
        <f t="shared" si="27"/>
        <v>EE2-76ng/L</v>
      </c>
      <c r="F45" s="6" t="str">
        <f t="shared" si="27"/>
        <v>EE2-114ng/L</v>
      </c>
      <c r="G45" s="6" t="str">
        <f t="shared" si="27"/>
        <v>EE2-170.9ng/L</v>
      </c>
      <c r="H45" s="6" t="str">
        <f t="shared" si="27"/>
        <v>EE2-488ng/L</v>
      </c>
      <c r="I45" s="6" t="str">
        <f t="shared" si="27"/>
        <v>Estrone-0.04µg/L</v>
      </c>
      <c r="J45" s="6" t="str">
        <f t="shared" si="27"/>
        <v>Estrone-0.2µg/L</v>
      </c>
      <c r="K45" s="6" t="str">
        <f t="shared" si="27"/>
        <v>Estrone-1µg/L</v>
      </c>
      <c r="L45" s="6" t="str">
        <f t="shared" si="27"/>
        <v>Estrone-5µg/L</v>
      </c>
      <c r="M45" s="6" t="str">
        <f t="shared" si="27"/>
        <v>Estrone-25µg/L</v>
      </c>
      <c r="N45" s="6"/>
      <c r="O45" s="6" t="str">
        <f t="shared" si="27"/>
        <v>Testo -30µg/L</v>
      </c>
      <c r="P45" s="6" t="str">
        <f t="shared" si="27"/>
        <v>Testo 30µg/L + EE2 -64ng/L</v>
      </c>
      <c r="Q45" s="6" t="str">
        <f t="shared" si="27"/>
        <v>Testo 30µg/L + FAD-10mg/L</v>
      </c>
      <c r="R45" s="6" t="str">
        <f t="shared" si="27"/>
        <v>Estrone-0.04µg/L + Testostérone</v>
      </c>
      <c r="S45" s="6" t="str">
        <f t="shared" si="27"/>
        <v>Estrone-0.2µg/L + Testostérone</v>
      </c>
      <c r="T45" s="6" t="str">
        <f t="shared" si="27"/>
        <v>Estrone-1µg/L + Testostérone</v>
      </c>
      <c r="U45" s="6" t="str">
        <f t="shared" si="27"/>
        <v>Estrone-5µg/L + Testostérone</v>
      </c>
      <c r="V45" s="6" t="str">
        <f t="shared" si="27"/>
        <v>Estrone-25µg/L + Testostérone</v>
      </c>
    </row>
    <row r="46" spans="1:22" x14ac:dyDescent="0.35">
      <c r="A46" s="7" t="s">
        <v>0</v>
      </c>
      <c r="B46" s="9">
        <f t="shared" ref="B46:H46" si="28">AVERAGE(B28:B43)</f>
        <v>5.9082862715870182E-2</v>
      </c>
      <c r="C46" s="9">
        <f t="shared" si="28"/>
        <v>9.2647358132103175E-2</v>
      </c>
      <c r="D46" s="9">
        <f t="shared" si="28"/>
        <v>0.27001455129639806</v>
      </c>
      <c r="E46" s="9">
        <f t="shared" si="28"/>
        <v>1.4890286738039724</v>
      </c>
      <c r="F46" s="9">
        <f t="shared" si="28"/>
        <v>2.4896475928070672</v>
      </c>
      <c r="G46" s="9">
        <f t="shared" si="28"/>
        <v>4.5542219583336054</v>
      </c>
      <c r="H46" s="9">
        <f t="shared" si="28"/>
        <v>6.4739714500522592</v>
      </c>
      <c r="I46" s="9">
        <f>AVERAGE(I28:I43)</f>
        <v>5.1392278034785494E-2</v>
      </c>
      <c r="J46" s="8">
        <f>AVERAGE(J28:J43)</f>
        <v>0.10591473259005107</v>
      </c>
      <c r="K46" s="8">
        <f t="shared" ref="K46:M46" si="29">AVERAGE(K28:K43)</f>
        <v>0.21060946319550522</v>
      </c>
      <c r="L46" s="8">
        <f t="shared" si="29"/>
        <v>5.0550883957886388</v>
      </c>
      <c r="M46" s="8">
        <f t="shared" si="29"/>
        <v>7.0102002125112168</v>
      </c>
      <c r="N46" s="7" t="s">
        <v>0</v>
      </c>
      <c r="O46" s="9">
        <f t="shared" ref="O46:V46" si="30">AVERAGE(O28:O43)</f>
        <v>0.99999999999999989</v>
      </c>
      <c r="P46" s="9">
        <f t="shared" si="30"/>
        <v>4.4512095176632744</v>
      </c>
      <c r="Q46" s="9">
        <f t="shared" si="30"/>
        <v>8.0642357527308112E-2</v>
      </c>
      <c r="R46" s="9">
        <f t="shared" si="30"/>
        <v>2.3001002981965519</v>
      </c>
      <c r="S46" s="9">
        <f t="shared" si="30"/>
        <v>1.8566188480211614</v>
      </c>
      <c r="T46" s="9">
        <f t="shared" si="30"/>
        <v>3.8531642731993223</v>
      </c>
      <c r="U46" s="9">
        <f t="shared" si="30"/>
        <v>5.2122146146006934</v>
      </c>
      <c r="V46" s="9">
        <f t="shared" si="30"/>
        <v>4.4422954000085468</v>
      </c>
    </row>
    <row r="47" spans="1:22" x14ac:dyDescent="0.35">
      <c r="A47" s="7" t="s">
        <v>1</v>
      </c>
      <c r="B47" s="7">
        <f t="shared" ref="B47:M47" si="31">STDEV(B28:B43)</f>
        <v>8.502761079464366E-2</v>
      </c>
      <c r="C47" s="7">
        <f t="shared" si="31"/>
        <v>6.6207351018650537E-2</v>
      </c>
      <c r="D47" s="7">
        <f t="shared" si="31"/>
        <v>0.22238629253050834</v>
      </c>
      <c r="E47" s="7">
        <f t="shared" si="31"/>
        <v>0.65523032427806205</v>
      </c>
      <c r="F47" s="7">
        <f t="shared" si="31"/>
        <v>0.84139548130663933</v>
      </c>
      <c r="G47" s="7">
        <f t="shared" si="31"/>
        <v>0.76448170979154662</v>
      </c>
      <c r="H47" s="7">
        <f t="shared" si="31"/>
        <v>1.4305778149612727</v>
      </c>
      <c r="I47" s="7">
        <f t="shared" si="31"/>
        <v>3.4425956570358553E-2</v>
      </c>
      <c r="J47" s="7">
        <f t="shared" si="31"/>
        <v>9.2380352355535295E-2</v>
      </c>
      <c r="K47" s="7">
        <f t="shared" si="31"/>
        <v>0.22115249638613804</v>
      </c>
      <c r="L47" s="7">
        <f t="shared" si="31"/>
        <v>1.1475566162796818</v>
      </c>
      <c r="M47" s="7">
        <f t="shared" si="31"/>
        <v>0.76683283435567584</v>
      </c>
      <c r="N47" s="7" t="s">
        <v>1</v>
      </c>
      <c r="O47" s="7">
        <f t="shared" ref="O47:V47" si="32">STDEV(O28:O43)</f>
        <v>1.0059625145344679</v>
      </c>
      <c r="P47" s="7">
        <f t="shared" si="32"/>
        <v>0.85736499921136866</v>
      </c>
      <c r="Q47" s="7">
        <f t="shared" si="32"/>
        <v>9.5501056776751456E-2</v>
      </c>
      <c r="R47" s="7">
        <f t="shared" si="32"/>
        <v>1.1844868031061788</v>
      </c>
      <c r="S47" s="7">
        <f t="shared" si="32"/>
        <v>1.7162825481508535</v>
      </c>
      <c r="T47" s="7">
        <f t="shared" si="32"/>
        <v>0.84336775203398873</v>
      </c>
      <c r="U47" s="7">
        <f t="shared" si="32"/>
        <v>1.0598945251710494</v>
      </c>
      <c r="V47" s="7">
        <f t="shared" si="32"/>
        <v>1.4525882171330717</v>
      </c>
    </row>
    <row r="48" spans="1:22" x14ac:dyDescent="0.35">
      <c r="A48" s="7" t="s">
        <v>2</v>
      </c>
      <c r="B48" s="7">
        <f t="shared" ref="B48:M48" si="33" xml:space="preserve"> B47/SQRT(COUNT(B28:B43))</f>
        <v>3.006180009049151E-2</v>
      </c>
      <c r="C48" s="7">
        <f t="shared" si="33"/>
        <v>2.3407833434842932E-2</v>
      </c>
      <c r="D48" s="7">
        <f t="shared" si="33"/>
        <v>7.8625427745628848E-2</v>
      </c>
      <c r="E48" s="7">
        <f t="shared" si="33"/>
        <v>0.23165890276803908</v>
      </c>
      <c r="F48" s="7">
        <f t="shared" si="33"/>
        <v>0.29747822524582179</v>
      </c>
      <c r="G48" s="7">
        <f t="shared" si="33"/>
        <v>0.27028510054334443</v>
      </c>
      <c r="H48" s="7">
        <f t="shared" si="33"/>
        <v>0.5057856369870749</v>
      </c>
      <c r="I48" s="7">
        <f t="shared" si="33"/>
        <v>1.2171413669867055E-2</v>
      </c>
      <c r="J48" s="7">
        <f t="shared" si="33"/>
        <v>3.2661386799500827E-2</v>
      </c>
      <c r="K48" s="7">
        <f t="shared" si="33"/>
        <v>7.8189214935485821E-2</v>
      </c>
      <c r="L48" s="7">
        <f t="shared" si="33"/>
        <v>0.43373563172040186</v>
      </c>
      <c r="M48" s="7">
        <f t="shared" si="33"/>
        <v>0.27111634860469946</v>
      </c>
      <c r="N48" s="7" t="s">
        <v>2</v>
      </c>
      <c r="O48" s="7">
        <f t="shared" ref="O48:V48" si="34" xml:space="preserve"> O47/SQRT(COUNT(O28:O43))</f>
        <v>0.25149062863361699</v>
      </c>
      <c r="P48" s="7">
        <f t="shared" si="34"/>
        <v>0.30312430244717886</v>
      </c>
      <c r="Q48" s="7">
        <f t="shared" si="34"/>
        <v>3.3764722428661222E-2</v>
      </c>
      <c r="R48" s="7">
        <f t="shared" si="34"/>
        <v>0.41877932535117696</v>
      </c>
      <c r="S48" s="7">
        <f t="shared" si="34"/>
        <v>0.60679751411479788</v>
      </c>
      <c r="T48" s="7">
        <f t="shared" si="34"/>
        <v>0.29817552824864407</v>
      </c>
      <c r="U48" s="7">
        <f t="shared" si="34"/>
        <v>0.37472930304547242</v>
      </c>
      <c r="V48" s="7">
        <f t="shared" si="34"/>
        <v>0.51356748930323604</v>
      </c>
    </row>
    <row r="49" spans="1:22" ht="15" thickBot="1" x14ac:dyDescent="0.4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26.5" thickBot="1" x14ac:dyDescent="0.65">
      <c r="A50" s="141"/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</row>
    <row r="51" spans="1:22" ht="15" thickBot="1" x14ac:dyDescent="0.4"/>
    <row r="52" spans="1:22" x14ac:dyDescent="0.35">
      <c r="A52" s="27" t="str">
        <f t="shared" ref="A52" si="35">A27</f>
        <v>Group names</v>
      </c>
      <c r="B52" s="28" t="str">
        <f t="shared" ref="B52:H52" si="36">B27</f>
        <v>Solvent control</v>
      </c>
      <c r="C52" s="28" t="str">
        <f t="shared" si="36"/>
        <v>EE2-33.8ng/L</v>
      </c>
      <c r="D52" s="28" t="str">
        <f t="shared" si="36"/>
        <v>EE2-50.6ng/L</v>
      </c>
      <c r="E52" s="28" t="str">
        <f t="shared" si="36"/>
        <v>EE2-76ng/L</v>
      </c>
      <c r="F52" s="28" t="str">
        <f t="shared" si="36"/>
        <v>EE2-114ng/L</v>
      </c>
      <c r="G52" s="28" t="str">
        <f t="shared" si="36"/>
        <v>EE2-170.9ng/L</v>
      </c>
      <c r="H52" s="28" t="str">
        <f t="shared" si="36"/>
        <v>EE2-488ng/L</v>
      </c>
      <c r="I52" s="28" t="str">
        <f>I4</f>
        <v>Estrone-0.04µg/L</v>
      </c>
      <c r="J52" s="28" t="str">
        <f>J4</f>
        <v>Estrone-0.2µg/L</v>
      </c>
      <c r="K52" s="28" t="str">
        <f t="shared" ref="K52:M52" si="37">K4</f>
        <v>Estrone-1µg/L</v>
      </c>
      <c r="L52" s="28" t="str">
        <f t="shared" si="37"/>
        <v>Estrone-5µg/L</v>
      </c>
      <c r="M52" s="28" t="str">
        <f t="shared" si="37"/>
        <v>Estrone-25µg/L</v>
      </c>
      <c r="N52" s="29"/>
      <c r="O52" s="28" t="str">
        <f>O27</f>
        <v>Testo -30µg/L</v>
      </c>
      <c r="P52" s="28" t="str">
        <f>P27</f>
        <v>Testo 30µg/L + EE2 -64ng/L</v>
      </c>
      <c r="Q52" s="28" t="str">
        <f>Q27</f>
        <v>Testo 30µg/L + FAD-10mg/L</v>
      </c>
      <c r="R52" s="28" t="str">
        <f>R27</f>
        <v>Estrone-0.04µg/L + Testostérone</v>
      </c>
      <c r="S52" s="28" t="str">
        <f t="shared" ref="S52:V52" si="38">S27</f>
        <v>Estrone-0.2µg/L + Testostérone</v>
      </c>
      <c r="T52" s="28" t="str">
        <f t="shared" si="38"/>
        <v>Estrone-1µg/L + Testostérone</v>
      </c>
      <c r="U52" s="28" t="str">
        <f t="shared" si="38"/>
        <v>Estrone-5µg/L + Testostérone</v>
      </c>
      <c r="V52" s="28" t="str">
        <f t="shared" si="38"/>
        <v>Estrone-25µg/L + Testostérone</v>
      </c>
    </row>
    <row r="53" spans="1:22" s="3" customFormat="1" x14ac:dyDescent="0.35">
      <c r="A53" s="43" t="s">
        <v>10</v>
      </c>
      <c r="B53" s="75">
        <f t="shared" ref="B53:V53" si="39">B46</f>
        <v>5.9082862715870182E-2</v>
      </c>
      <c r="C53" s="75">
        <f t="shared" si="39"/>
        <v>9.2647358132103175E-2</v>
      </c>
      <c r="D53" s="75">
        <f t="shared" si="39"/>
        <v>0.27001455129639806</v>
      </c>
      <c r="E53" s="75">
        <f t="shared" si="39"/>
        <v>1.4890286738039724</v>
      </c>
      <c r="F53" s="75">
        <f t="shared" si="39"/>
        <v>2.4896475928070672</v>
      </c>
      <c r="G53" s="75">
        <f t="shared" si="39"/>
        <v>4.5542219583336054</v>
      </c>
      <c r="H53" s="75">
        <f t="shared" si="39"/>
        <v>6.4739714500522592</v>
      </c>
      <c r="I53" s="75">
        <f t="shared" si="39"/>
        <v>5.1392278034785494E-2</v>
      </c>
      <c r="J53" s="75">
        <f t="shared" si="39"/>
        <v>0.10591473259005107</v>
      </c>
      <c r="K53" s="75">
        <f t="shared" si="39"/>
        <v>0.21060946319550522</v>
      </c>
      <c r="L53" s="75">
        <f t="shared" si="39"/>
        <v>5.0550883957886388</v>
      </c>
      <c r="M53" s="75">
        <f t="shared" si="39"/>
        <v>7.0102002125112168</v>
      </c>
      <c r="N53" s="75"/>
      <c r="O53" s="75">
        <f t="shared" si="39"/>
        <v>0.99999999999999989</v>
      </c>
      <c r="P53" s="75">
        <f t="shared" si="39"/>
        <v>4.4512095176632744</v>
      </c>
      <c r="Q53" s="75">
        <f t="shared" si="39"/>
        <v>8.0642357527308112E-2</v>
      </c>
      <c r="R53" s="75">
        <f t="shared" si="39"/>
        <v>2.3001002981965519</v>
      </c>
      <c r="S53" s="75">
        <f t="shared" si="39"/>
        <v>1.8566188480211614</v>
      </c>
      <c r="T53" s="75">
        <f t="shared" si="39"/>
        <v>3.8531642731993223</v>
      </c>
      <c r="U53" s="75">
        <f t="shared" si="39"/>
        <v>5.2122146146006934</v>
      </c>
      <c r="V53" s="75">
        <f t="shared" si="39"/>
        <v>4.4422954000085468</v>
      </c>
    </row>
    <row r="54" spans="1:22" s="3" customFormat="1" x14ac:dyDescent="0.35">
      <c r="A54" s="43" t="s">
        <v>2</v>
      </c>
      <c r="B54" s="75">
        <f t="shared" ref="B54:V54" si="40">B48</f>
        <v>3.006180009049151E-2</v>
      </c>
      <c r="C54" s="75">
        <f t="shared" si="40"/>
        <v>2.3407833434842932E-2</v>
      </c>
      <c r="D54" s="75">
        <f t="shared" si="40"/>
        <v>7.8625427745628848E-2</v>
      </c>
      <c r="E54" s="75">
        <f t="shared" si="40"/>
        <v>0.23165890276803908</v>
      </c>
      <c r="F54" s="75">
        <f t="shared" si="40"/>
        <v>0.29747822524582179</v>
      </c>
      <c r="G54" s="75">
        <f t="shared" si="40"/>
        <v>0.27028510054334443</v>
      </c>
      <c r="H54" s="75">
        <f t="shared" si="40"/>
        <v>0.5057856369870749</v>
      </c>
      <c r="I54" s="75">
        <f t="shared" si="40"/>
        <v>1.2171413669867055E-2</v>
      </c>
      <c r="J54" s="75">
        <f t="shared" si="40"/>
        <v>3.2661386799500827E-2</v>
      </c>
      <c r="K54" s="75">
        <f t="shared" si="40"/>
        <v>7.8189214935485821E-2</v>
      </c>
      <c r="L54" s="75">
        <f t="shared" si="40"/>
        <v>0.43373563172040186</v>
      </c>
      <c r="M54" s="75">
        <f t="shared" si="40"/>
        <v>0.27111634860469946</v>
      </c>
      <c r="N54" s="75"/>
      <c r="O54" s="75">
        <f t="shared" si="40"/>
        <v>0.25149062863361699</v>
      </c>
      <c r="P54" s="75">
        <f t="shared" si="40"/>
        <v>0.30312430244717886</v>
      </c>
      <c r="Q54" s="75">
        <f t="shared" si="40"/>
        <v>3.3764722428661222E-2</v>
      </c>
      <c r="R54" s="75">
        <f t="shared" si="40"/>
        <v>0.41877932535117696</v>
      </c>
      <c r="S54" s="75">
        <f t="shared" si="40"/>
        <v>0.60679751411479788</v>
      </c>
      <c r="T54" s="75">
        <f t="shared" si="40"/>
        <v>0.29817552824864407</v>
      </c>
      <c r="U54" s="75">
        <f t="shared" si="40"/>
        <v>0.37472930304547242</v>
      </c>
      <c r="V54" s="75">
        <f t="shared" si="40"/>
        <v>0.51356748930323604</v>
      </c>
    </row>
    <row r="55" spans="1:22" s="3" customFormat="1" x14ac:dyDescent="0.35">
      <c r="A55" s="43" t="s">
        <v>14</v>
      </c>
      <c r="B55" s="75">
        <f>(B53*100/$B53)-100</f>
        <v>0</v>
      </c>
      <c r="C55" s="75">
        <f t="shared" ref="C55:M55" si="41">(C53*100/$B53)-100</f>
        <v>56.809189455908438</v>
      </c>
      <c r="D55" s="75">
        <f t="shared" si="41"/>
        <v>357.00993297311874</v>
      </c>
      <c r="E55" s="75">
        <f t="shared" si="41"/>
        <v>2420.2378580819955</v>
      </c>
      <c r="F55" s="75">
        <f t="shared" si="41"/>
        <v>4113.8235663694841</v>
      </c>
      <c r="G55" s="75">
        <f t="shared" si="41"/>
        <v>7608.1944729639872</v>
      </c>
      <c r="H55" s="75">
        <f t="shared" si="41"/>
        <v>10857.443753505349</v>
      </c>
      <c r="I55" s="75">
        <f t="shared" si="41"/>
        <v>-13.01660807816431</v>
      </c>
      <c r="J55" s="75">
        <f t="shared" si="41"/>
        <v>79.264727065436261</v>
      </c>
      <c r="K55" s="75">
        <f t="shared" si="41"/>
        <v>256.46455421147635</v>
      </c>
      <c r="L55" s="75">
        <f t="shared" si="41"/>
        <v>8455.9300335506541</v>
      </c>
      <c r="M55" s="75">
        <f t="shared" si="41"/>
        <v>11765.03139873792</v>
      </c>
      <c r="N55" s="75"/>
      <c r="O55" s="75">
        <f t="shared" ref="O55:V55" si="42">(O53*100/$O53)-100</f>
        <v>0</v>
      </c>
      <c r="P55" s="75">
        <f t="shared" si="42"/>
        <v>345.12095176632749</v>
      </c>
      <c r="Q55" s="75">
        <f t="shared" si="42"/>
        <v>-91.935764247269191</v>
      </c>
      <c r="R55" s="75">
        <f t="shared" si="42"/>
        <v>130.01002981965522</v>
      </c>
      <c r="S55" s="75">
        <f t="shared" si="42"/>
        <v>85.661884802116163</v>
      </c>
      <c r="T55" s="75">
        <f t="shared" si="42"/>
        <v>285.3164273199323</v>
      </c>
      <c r="U55" s="75">
        <f t="shared" si="42"/>
        <v>421.22146146006946</v>
      </c>
      <c r="V55" s="75">
        <f t="shared" si="42"/>
        <v>344.22954000085474</v>
      </c>
    </row>
    <row r="56" spans="1:22" s="3" customFormat="1" x14ac:dyDescent="0.35">
      <c r="A56" s="43" t="s">
        <v>38</v>
      </c>
      <c r="B56" s="75" t="e">
        <f ca="1">[1]!SWTEST(B28:B43)</f>
        <v>#NAME?</v>
      </c>
      <c r="C56" s="75" t="e">
        <f ca="1">[1]!SWTEST(C28:C43)</f>
        <v>#NAME?</v>
      </c>
      <c r="D56" s="75" t="e">
        <f ca="1">[1]!SWTEST(D28:D43)</f>
        <v>#NAME?</v>
      </c>
      <c r="E56" s="75" t="e">
        <f ca="1">[1]!SWTEST(E28:E43)</f>
        <v>#NAME?</v>
      </c>
      <c r="F56" s="75" t="e">
        <f ca="1">[1]!SWTEST(F28:F43)</f>
        <v>#NAME?</v>
      </c>
      <c r="G56" s="75" t="e">
        <f ca="1">[1]!SWTEST(G28:G43)</f>
        <v>#NAME?</v>
      </c>
      <c r="H56" s="75" t="e">
        <f ca="1">[1]!SWTEST(H28:H43)</f>
        <v>#NAME?</v>
      </c>
      <c r="I56" s="75" t="e">
        <f ca="1">[1]!SWTEST(I28:I43)</f>
        <v>#NAME?</v>
      </c>
      <c r="J56" s="75" t="e">
        <f ca="1">[1]!SWTEST(J28:J43)</f>
        <v>#NAME?</v>
      </c>
      <c r="K56" s="75" t="e">
        <f ca="1">[1]!SWTEST(K28:K43)</f>
        <v>#NAME?</v>
      </c>
      <c r="L56" s="75" t="e">
        <f ca="1">[1]!SWTEST(L28:L43)</f>
        <v>#NAME?</v>
      </c>
      <c r="M56" s="75" t="e">
        <f ca="1">[1]!SWTEST(M28:M43)</f>
        <v>#NAME?</v>
      </c>
      <c r="N56" s="75"/>
      <c r="O56" s="75" t="e">
        <f ca="1">[1]!SWTEST(O28:O43)</f>
        <v>#NAME?</v>
      </c>
      <c r="P56" s="75" t="e">
        <f ca="1">[1]!SWTEST(P28:P43)</f>
        <v>#NAME?</v>
      </c>
      <c r="Q56" s="75" t="e">
        <f ca="1">[1]!SWTEST(Q28:Q43)</f>
        <v>#NAME?</v>
      </c>
      <c r="R56" s="75" t="e">
        <f ca="1">[1]!SWTEST(R28:R43)</f>
        <v>#NAME?</v>
      </c>
      <c r="S56" s="75" t="e">
        <f ca="1">[1]!SWTEST(S28:S43)</f>
        <v>#NAME?</v>
      </c>
      <c r="T56" s="75" t="e">
        <f ca="1">[1]!SWTEST(T28:T43)</f>
        <v>#NAME?</v>
      </c>
      <c r="U56" s="75" t="e">
        <f ca="1">[1]!SWTEST(U28:U43)</f>
        <v>#NAME?</v>
      </c>
      <c r="V56" s="75" t="e">
        <f ca="1">[1]!SWTEST(V28:V43)</f>
        <v>#NAME?</v>
      </c>
    </row>
    <row r="57" spans="1:22" s="3" customFormat="1" x14ac:dyDescent="0.35">
      <c r="A57" s="43" t="s">
        <v>39</v>
      </c>
      <c r="B57" s="75" t="e">
        <f ca="1">IF(B56&gt;0.05,"Oui","Non")</f>
        <v>#NAME?</v>
      </c>
      <c r="C57" s="75" t="e">
        <f t="shared" ref="C57:V57" ca="1" si="43">IF(C56&gt;0.05,"Oui","Non")</f>
        <v>#NAME?</v>
      </c>
      <c r="D57" s="75" t="e">
        <f t="shared" ca="1" si="43"/>
        <v>#NAME?</v>
      </c>
      <c r="E57" s="75" t="e">
        <f t="shared" ca="1" si="43"/>
        <v>#NAME?</v>
      </c>
      <c r="F57" s="75" t="e">
        <f t="shared" ca="1" si="43"/>
        <v>#NAME?</v>
      </c>
      <c r="G57" s="75" t="e">
        <f t="shared" ca="1" si="43"/>
        <v>#NAME?</v>
      </c>
      <c r="H57" s="75" t="e">
        <f t="shared" ca="1" si="43"/>
        <v>#NAME?</v>
      </c>
      <c r="I57" s="75" t="e">
        <f t="shared" ca="1" si="43"/>
        <v>#NAME?</v>
      </c>
      <c r="J57" s="75" t="e">
        <f t="shared" ca="1" si="43"/>
        <v>#NAME?</v>
      </c>
      <c r="K57" s="75" t="e">
        <f t="shared" ca="1" si="43"/>
        <v>#NAME?</v>
      </c>
      <c r="L57" s="75" t="e">
        <f t="shared" ca="1" si="43"/>
        <v>#NAME?</v>
      </c>
      <c r="M57" s="75" t="e">
        <f t="shared" ca="1" si="43"/>
        <v>#NAME?</v>
      </c>
      <c r="N57" s="75"/>
      <c r="O57" s="75" t="e">
        <f t="shared" ca="1" si="43"/>
        <v>#NAME?</v>
      </c>
      <c r="P57" s="75" t="e">
        <f t="shared" ca="1" si="43"/>
        <v>#NAME?</v>
      </c>
      <c r="Q57" s="75" t="e">
        <f t="shared" ca="1" si="43"/>
        <v>#NAME?</v>
      </c>
      <c r="R57" s="75" t="e">
        <f t="shared" ca="1" si="43"/>
        <v>#NAME?</v>
      </c>
      <c r="S57" s="75" t="e">
        <f t="shared" ca="1" si="43"/>
        <v>#NAME?</v>
      </c>
      <c r="T57" s="75" t="e">
        <f t="shared" ca="1" si="43"/>
        <v>#NAME?</v>
      </c>
      <c r="U57" s="75" t="e">
        <f t="shared" ca="1" si="43"/>
        <v>#NAME?</v>
      </c>
      <c r="V57" s="75" t="e">
        <f t="shared" ca="1" si="43"/>
        <v>#NAME?</v>
      </c>
    </row>
    <row r="58" spans="1:22" s="3" customFormat="1" x14ac:dyDescent="0.35">
      <c r="A58" s="43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7"/>
      <c r="O58" s="78"/>
      <c r="P58" s="75"/>
      <c r="Q58" s="75"/>
      <c r="R58" s="75"/>
      <c r="S58" s="75"/>
      <c r="T58" s="75"/>
      <c r="U58" s="75"/>
      <c r="V58" s="75"/>
    </row>
    <row r="59" spans="1:22" s="3" customFormat="1" x14ac:dyDescent="0.35">
      <c r="A59" s="43" t="s">
        <v>40</v>
      </c>
      <c r="B59" s="79"/>
      <c r="C59" s="79" t="e">
        <f t="shared" ref="C59:O59" ca="1" si="44">IF($B57="Non",IF(C57="Non","MW",IF(C57="Oui","MW","")),IF($B57="Oui",IF(C57="Oui","T-Test Welch",IF(C57="Non","MW",""))))</f>
        <v>#NAME?</v>
      </c>
      <c r="D59" s="79" t="e">
        <f t="shared" ca="1" si="44"/>
        <v>#NAME?</v>
      </c>
      <c r="E59" s="79" t="e">
        <f t="shared" ca="1" si="44"/>
        <v>#NAME?</v>
      </c>
      <c r="F59" s="79" t="e">
        <f t="shared" ca="1" si="44"/>
        <v>#NAME?</v>
      </c>
      <c r="G59" s="79" t="e">
        <f t="shared" ca="1" si="44"/>
        <v>#NAME?</v>
      </c>
      <c r="H59" s="79" t="e">
        <f t="shared" ca="1" si="44"/>
        <v>#NAME?</v>
      </c>
      <c r="I59" s="79" t="e">
        <f t="shared" ca="1" si="44"/>
        <v>#NAME?</v>
      </c>
      <c r="J59" s="79" t="e">
        <f t="shared" ca="1" si="44"/>
        <v>#NAME?</v>
      </c>
      <c r="K59" s="79" t="e">
        <f t="shared" ca="1" si="44"/>
        <v>#NAME?</v>
      </c>
      <c r="L59" s="79" t="e">
        <f t="shared" ca="1" si="44"/>
        <v>#NAME?</v>
      </c>
      <c r="M59" s="79" t="e">
        <f t="shared" ca="1" si="44"/>
        <v>#NAME?</v>
      </c>
      <c r="N59" s="79"/>
      <c r="O59" s="79" t="e">
        <f t="shared" ca="1" si="44"/>
        <v>#NAME?</v>
      </c>
      <c r="P59" s="79" t="e">
        <f t="shared" ref="P59:V59" ca="1" si="45">IF($O57="Non",IF(P57="Non","MW",IF(P57="Oui","MW","")),IF($O57="Oui",IF(P57="Oui","T-Test Welch",IF(P57="Non","MW",""))))</f>
        <v>#NAME?</v>
      </c>
      <c r="Q59" s="79" t="e">
        <f t="shared" ca="1" si="45"/>
        <v>#NAME?</v>
      </c>
      <c r="R59" s="79" t="e">
        <f t="shared" ca="1" si="45"/>
        <v>#NAME?</v>
      </c>
      <c r="S59" s="79" t="e">
        <f t="shared" ca="1" si="45"/>
        <v>#NAME?</v>
      </c>
      <c r="T59" s="79" t="e">
        <f t="shared" ca="1" si="45"/>
        <v>#NAME?</v>
      </c>
      <c r="U59" s="79" t="e">
        <f t="shared" ca="1" si="45"/>
        <v>#NAME?</v>
      </c>
      <c r="V59" s="79" t="e">
        <f t="shared" ca="1" si="45"/>
        <v>#NAME?</v>
      </c>
    </row>
    <row r="60" spans="1:22" s="3" customFormat="1" x14ac:dyDescent="0.35">
      <c r="A60" s="43" t="s">
        <v>41</v>
      </c>
      <c r="B60" s="80"/>
      <c r="C60" s="80" t="e">
        <f ca="1">IF(C59="MW",[1]!MTEST($B28:$B43,C28:C43,2), IF(C59="T-Test Welch",_xlfn.T.TEST($B28:$B43,C28:C43,2,3),""))</f>
        <v>#NAME?</v>
      </c>
      <c r="D60" s="80" t="e">
        <f ca="1">IF(D59="MW",[1]!MTEST($B28:$B43,D28:D43,2), IF(D59="T-Test Welch",_xlfn.T.TEST($B28:$B43,D28:D43,2,3),""))</f>
        <v>#NAME?</v>
      </c>
      <c r="E60" s="80" t="e">
        <f ca="1">IF(E59="MW",[1]!MTEST($B28:$B43,E28:E43,2), IF(E59="T-Test Welch",_xlfn.T.TEST($B28:$B43,E28:E43,2,3),""))</f>
        <v>#NAME?</v>
      </c>
      <c r="F60" s="80" t="e">
        <f ca="1">IF(F59="MW",[1]!MTEST($B28:$B43,F28:F43,2), IF(F59="T-Test Welch",_xlfn.T.TEST($B28:$B43,F28:F43,2,3),""))</f>
        <v>#NAME?</v>
      </c>
      <c r="G60" s="80" t="e">
        <f ca="1">IF(G59="MW",[1]!MTEST($B28:$B43,G28:G43,2), IF(G59="T-Test Welch",_xlfn.T.TEST($B28:$B43,G28:G43,2,3),""))</f>
        <v>#NAME?</v>
      </c>
      <c r="H60" s="80" t="e">
        <f ca="1">IF(H59="MW",[1]!MTEST($B28:$B43,H28:H43,2), IF(H59="T-Test Welch",_xlfn.T.TEST($B28:$B43,H28:H43,2,3),""))</f>
        <v>#NAME?</v>
      </c>
      <c r="I60" s="80" t="e">
        <f ca="1">IF(I59="MW",[1]!MTEST($B28:$B43,I28:I43,2), IF(I59="T-Test Welch",_xlfn.T.TEST($B28:$B43,I28:I43,2,3),""))</f>
        <v>#NAME?</v>
      </c>
      <c r="J60" s="80" t="e">
        <f ca="1">IF(J59="MW",[1]!MTEST($B28:$B43,J28:J43,2), IF(J59="T-Test Welch",_xlfn.T.TEST($B28:$B43,J28:J43,2,3),""))</f>
        <v>#NAME?</v>
      </c>
      <c r="K60" s="80" t="e">
        <f ca="1">IF(K59="MW",[1]!MTEST($B28:$B43,K28:K43,2), IF(K59="T-Test Welch",_xlfn.T.TEST($B28:$B43,K28:K43,2,3),""))</f>
        <v>#NAME?</v>
      </c>
      <c r="L60" s="80" t="e">
        <f ca="1">IF(L59="MW",[1]!MTEST($B28:$B43,L28:L43,2), IF(L59="T-Test Welch",_xlfn.T.TEST($B28:$B43,L28:L43,2,3),""))</f>
        <v>#NAME?</v>
      </c>
      <c r="M60" s="80" t="e">
        <f ca="1">IF(M59="MW",[1]!MTEST($B28:$B43,M28:M43,2), IF(M59="T-Test Welch",_xlfn.T.TEST($B28:$B43,M28:M43,2,3),""))</f>
        <v>#NAME?</v>
      </c>
      <c r="N60" s="80"/>
      <c r="O60" s="80" t="e">
        <f ca="1">IF(O59="MW",[1]!MTEST($B28:$B43,O28:O43,2), IF(O59="T-Test Welch",_xlfn.T.TEST($B28:$B43,O28:O43,2,3),""))</f>
        <v>#NAME?</v>
      </c>
      <c r="P60" s="80" t="e">
        <f ca="1">IF(P59="MW",[1]!MTEST($O28:$O43,P28:P43,2), IF(P59="T-Test Welch",_xlfn.T.TEST($O28:$O43,P28:P43,2,3),""))</f>
        <v>#NAME?</v>
      </c>
      <c r="Q60" s="80" t="e">
        <f ca="1">IF(Q59="MW",[1]!MTEST($O28:$O43,Q28:Q43,2), IF(Q59="T-Test Welch",_xlfn.T.TEST($O28:$O43,Q28:Q43,2,3),""))</f>
        <v>#NAME?</v>
      </c>
      <c r="R60" s="80" t="e">
        <f ca="1">IF(R59="MW",[1]!MTEST($O28:$O43,R28:R43,2), IF(R59="T-Test Welch",_xlfn.T.TEST($O28:$O43,R28:R43,2,3),""))</f>
        <v>#NAME?</v>
      </c>
      <c r="S60" s="80" t="e">
        <f ca="1">IF(S59="MW",[1]!MTEST($O28:$O43,S28:S43,2), IF(S59="T-Test Welch",_xlfn.T.TEST($O28:$O43,S28:S43,2,3),""))</f>
        <v>#NAME?</v>
      </c>
      <c r="T60" s="80" t="e">
        <f ca="1">IF(T59="MW",[1]!MTEST($O28:$O43,T28:T43,2), IF(T59="T-Test Welch",_xlfn.T.TEST($O28:$O43,T28:T43,2,3),""))</f>
        <v>#NAME?</v>
      </c>
      <c r="U60" s="80" t="e">
        <f ca="1">IF(U59="MW",[1]!MTEST($O28:$O43,U28:U43,2), IF(U59="T-Test Welch",_xlfn.T.TEST($O28:$O43,U28:U43,2,3),""))</f>
        <v>#NAME?</v>
      </c>
      <c r="V60" s="80" t="e">
        <f ca="1">IF(V59="MW",[1]!MTEST($O28:$O43,V28:V43,2), IF(V59="T-Test Welch",_xlfn.T.TEST($O28:$O43,V28:V43,2,3),""))</f>
        <v>#NAME?</v>
      </c>
    </row>
    <row r="61" spans="1:22" s="3" customFormat="1" ht="15" thickBot="1" x14ac:dyDescent="0.4">
      <c r="A61" s="44" t="s">
        <v>15</v>
      </c>
      <c r="B61" s="76"/>
      <c r="C61" s="76" t="e">
        <f t="shared" ref="C61:O61" ca="1" si="46">IF(C60&gt;0.05,"NS",IF(C60&gt;0.01,"*",IF(C60&gt;0.001,"**","***")))</f>
        <v>#NAME?</v>
      </c>
      <c r="D61" s="76" t="e">
        <f t="shared" ca="1" si="46"/>
        <v>#NAME?</v>
      </c>
      <c r="E61" s="76" t="e">
        <f t="shared" ca="1" si="46"/>
        <v>#NAME?</v>
      </c>
      <c r="F61" s="76" t="e">
        <f t="shared" ca="1" si="46"/>
        <v>#NAME?</v>
      </c>
      <c r="G61" s="76" t="e">
        <f t="shared" ca="1" si="46"/>
        <v>#NAME?</v>
      </c>
      <c r="H61" s="76" t="e">
        <f t="shared" ca="1" si="46"/>
        <v>#NAME?</v>
      </c>
      <c r="I61" s="76" t="e">
        <f t="shared" ca="1" si="46"/>
        <v>#NAME?</v>
      </c>
      <c r="J61" s="76" t="e">
        <f t="shared" ca="1" si="46"/>
        <v>#NAME?</v>
      </c>
      <c r="K61" s="76" t="e">
        <f t="shared" ca="1" si="46"/>
        <v>#NAME?</v>
      </c>
      <c r="L61" s="76" t="e">
        <f t="shared" ca="1" si="46"/>
        <v>#NAME?</v>
      </c>
      <c r="M61" s="76" t="e">
        <f t="shared" ca="1" si="46"/>
        <v>#NAME?</v>
      </c>
      <c r="N61" s="76"/>
      <c r="O61" s="76" t="e">
        <f t="shared" ca="1" si="46"/>
        <v>#NAME?</v>
      </c>
      <c r="P61" s="76" t="e">
        <f ca="1">IF(P60&gt;0.05,"NS",IF(P60&gt;0.01,"*",IF(P60&gt;0.001,"**","***")))</f>
        <v>#NAME?</v>
      </c>
      <c r="Q61" s="76" t="e">
        <f t="shared" ref="Q61:V61" ca="1" si="47">IF(Q60&gt;0.05,"NS",IF(Q60&gt;0.01,"*",IF(Q60&gt;0.001,"**","***")))</f>
        <v>#NAME?</v>
      </c>
      <c r="R61" s="76" t="e">
        <f t="shared" ca="1" si="47"/>
        <v>#NAME?</v>
      </c>
      <c r="S61" s="76" t="e">
        <f t="shared" ca="1" si="47"/>
        <v>#NAME?</v>
      </c>
      <c r="T61" s="76" t="e">
        <f t="shared" ca="1" si="47"/>
        <v>#NAME?</v>
      </c>
      <c r="U61" s="76" t="e">
        <f t="shared" ca="1" si="47"/>
        <v>#NAME?</v>
      </c>
      <c r="V61" s="76" t="e">
        <f t="shared" ca="1" si="47"/>
        <v>#NAME?</v>
      </c>
    </row>
    <row r="63" spans="1:22" x14ac:dyDescent="0.35">
      <c r="A63" s="2"/>
    </row>
    <row r="66" spans="1:22" ht="15" thickBot="1" x14ac:dyDescent="0.4"/>
    <row r="67" spans="1:22" ht="26.5" thickBot="1" x14ac:dyDescent="0.65">
      <c r="A67" s="141"/>
      <c r="B67" s="142"/>
      <c r="C67" s="142"/>
      <c r="D67" s="142"/>
      <c r="E67" s="142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</row>
    <row r="68" spans="1:22" ht="16.5" x14ac:dyDescent="0.35">
      <c r="A68" s="11"/>
      <c r="B68" s="11"/>
      <c r="C68" s="11"/>
      <c r="D68" s="11"/>
      <c r="E68" s="11"/>
      <c r="F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 ht="16.5" x14ac:dyDescent="0.35">
      <c r="A69" s="11"/>
      <c r="B69" s="11"/>
      <c r="C69" s="11"/>
      <c r="D69" s="11"/>
      <c r="E69" s="11"/>
      <c r="F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 ht="16.5" x14ac:dyDescent="0.35">
      <c r="A70" s="11"/>
      <c r="B70" s="11"/>
      <c r="C70" s="11"/>
      <c r="D70" s="11"/>
      <c r="E70" s="11"/>
      <c r="F70" s="11"/>
      <c r="N70" s="11"/>
      <c r="O70" s="11"/>
      <c r="P70" s="11"/>
      <c r="Q70" s="11"/>
      <c r="R70" s="11"/>
      <c r="S70" s="11"/>
      <c r="T70" s="11"/>
      <c r="U70" s="11"/>
      <c r="V70" s="11"/>
    </row>
    <row r="71" spans="1:22" ht="16.5" x14ac:dyDescent="0.35">
      <c r="A71" s="11"/>
      <c r="B71" s="11"/>
      <c r="C71" s="11"/>
      <c r="D71" s="11"/>
      <c r="E71" s="11"/>
      <c r="F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 ht="16.5" x14ac:dyDescent="0.35">
      <c r="A72" s="11"/>
      <c r="B72" s="11"/>
      <c r="C72" s="11"/>
      <c r="D72" s="11"/>
      <c r="E72" s="11"/>
      <c r="F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1:22" ht="16.5" x14ac:dyDescent="0.35">
      <c r="A73" s="11"/>
      <c r="B73" s="11"/>
      <c r="C73" s="11"/>
      <c r="D73" s="11"/>
      <c r="E73" s="11"/>
      <c r="F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 ht="16.5" x14ac:dyDescent="0.35">
      <c r="A74" s="11"/>
      <c r="B74" s="11"/>
      <c r="C74" s="11"/>
      <c r="D74" s="11"/>
      <c r="E74" s="11"/>
      <c r="F74" s="11"/>
      <c r="N74" s="11"/>
      <c r="O74" s="11"/>
      <c r="P74" s="11"/>
      <c r="Q74" s="11"/>
      <c r="R74" s="11"/>
      <c r="S74" s="11"/>
      <c r="T74" s="11"/>
      <c r="U74" s="11"/>
      <c r="V74" s="11"/>
    </row>
  </sheetData>
  <protectedRanges>
    <protectedRange sqref="O51:V51" name="Plage2"/>
    <protectedRange sqref="R5:V20" name="Plage1"/>
    <protectedRange sqref="B51:J51" name="Plage2_1"/>
    <protectedRange sqref="O5:O20 B5:J20" name="Plage1_1"/>
  </protectedRanges>
  <mergeCells count="9">
    <mergeCell ref="A28:A43"/>
    <mergeCell ref="A50:V50"/>
    <mergeCell ref="A67:V67"/>
    <mergeCell ref="A1:V1"/>
    <mergeCell ref="B3:M3"/>
    <mergeCell ref="O3:V3"/>
    <mergeCell ref="A5:A20"/>
    <mergeCell ref="B26:M26"/>
    <mergeCell ref="O26:V26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22"/>
  <sheetViews>
    <sheetView showGridLines="0" tabSelected="1" topLeftCell="E72" zoomScale="70" zoomScaleNormal="70" workbookViewId="0">
      <selection activeCell="B94" sqref="B94:W94"/>
    </sheetView>
  </sheetViews>
  <sheetFormatPr baseColWidth="10" defaultRowHeight="14.5" x14ac:dyDescent="0.35"/>
  <cols>
    <col min="1" max="1" width="42.81640625" customWidth="1"/>
    <col min="2" max="2" width="14" bestFit="1" customWidth="1"/>
    <col min="3" max="13" width="22.7265625" bestFit="1" customWidth="1"/>
    <col min="14" max="14" width="8.453125" customWidth="1"/>
    <col min="15" max="15" width="22.7265625" customWidth="1"/>
    <col min="18" max="22" width="29.1796875" customWidth="1"/>
  </cols>
  <sheetData>
    <row r="1" spans="1:22" s="1" customFormat="1" ht="21.5" thickBot="1" x14ac:dyDescent="0.4">
      <c r="A1" s="20"/>
      <c r="B1" s="37"/>
      <c r="C1" s="21"/>
      <c r="D1" s="21"/>
      <c r="E1" s="21"/>
      <c r="F1" s="21"/>
      <c r="G1" s="21"/>
      <c r="H1" s="38"/>
      <c r="I1" s="37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2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22" s="16" customFormat="1" ht="15" thickBot="1" x14ac:dyDescent="0.4">
      <c r="B3" s="147" t="s">
        <v>42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53"/>
      <c r="O3" s="147" t="s">
        <v>43</v>
      </c>
      <c r="P3" s="148"/>
      <c r="Q3" s="148"/>
      <c r="R3" s="148"/>
      <c r="S3" s="148"/>
      <c r="T3" s="148"/>
      <c r="U3" s="148"/>
      <c r="V3" s="148"/>
    </row>
    <row r="4" spans="1:22" x14ac:dyDescent="0.35">
      <c r="A4" s="17"/>
      <c r="B4" s="18" t="str">
        <f>'R1'!B4</f>
        <v>Solvent control</v>
      </c>
      <c r="C4" s="18" t="str">
        <f>'R1'!C4</f>
        <v>EE2-33.8ng/L</v>
      </c>
      <c r="D4" s="18" t="str">
        <f>'R1'!D4</f>
        <v>EE2-50.6ng/L</v>
      </c>
      <c r="E4" s="18" t="str">
        <f>'R1'!E4</f>
        <v>EE2-76ng/L</v>
      </c>
      <c r="F4" s="18" t="str">
        <f>'R1'!F4</f>
        <v>EE2-114ng/L</v>
      </c>
      <c r="G4" s="18" t="str">
        <f>'R1'!G4</f>
        <v>EE2-170.9ng/L</v>
      </c>
      <c r="H4" s="18" t="str">
        <f>'R1'!H4</f>
        <v>EE2-488ng/L</v>
      </c>
      <c r="I4" s="18" t="str">
        <f>'R1'!I4</f>
        <v>Estrone-0.04µg/L</v>
      </c>
      <c r="J4" s="18" t="str">
        <f>'R1'!J4</f>
        <v>Estrone-0.2µg/L</v>
      </c>
      <c r="K4" s="18" t="str">
        <f>'R1'!K4</f>
        <v>Estrone-1µg/L</v>
      </c>
      <c r="L4" s="18" t="str">
        <f>'R1'!L4</f>
        <v>Estrone-5µg/L</v>
      </c>
      <c r="M4" s="18" t="str">
        <f>'R1'!M4</f>
        <v>Estrone-25µg/L</v>
      </c>
      <c r="O4" s="18" t="str">
        <f>'R1'!O4</f>
        <v>Testo -30µg/L</v>
      </c>
      <c r="P4" s="18" t="str">
        <f>'R1'!P4</f>
        <v>Testo 30µg/L + EE2 -64ng/L</v>
      </c>
      <c r="Q4" s="18" t="str">
        <f>'R1'!Q4</f>
        <v>Testo 30µg/L + FAD-10mg/L</v>
      </c>
      <c r="R4" s="18" t="str">
        <f>'R1'!R4</f>
        <v>Estrone-0.04µg/L + Testostérone</v>
      </c>
      <c r="S4" s="18" t="str">
        <f>'R1'!S4</f>
        <v>Estrone-0.2µg/L + Testostérone</v>
      </c>
      <c r="T4" s="18" t="str">
        <f>'R1'!T4</f>
        <v>Estrone-1µg/L + Testostérone</v>
      </c>
      <c r="U4" s="18" t="str">
        <f>'R1'!U4</f>
        <v>Estrone-5µg/L + Testostérone</v>
      </c>
      <c r="V4" s="18" t="str">
        <f>'R1'!V4</f>
        <v>Estrone-25µg/L + Testostérone</v>
      </c>
    </row>
    <row r="5" spans="1:22" s="1" customFormat="1" x14ac:dyDescent="0.35">
      <c r="A5" s="17"/>
      <c r="B5" s="18"/>
      <c r="C5" s="112"/>
      <c r="D5" s="18"/>
      <c r="E5" s="18"/>
      <c r="F5" s="18"/>
      <c r="G5" s="18"/>
      <c r="H5" s="18"/>
      <c r="I5" s="18"/>
      <c r="J5" s="18"/>
      <c r="K5" s="18"/>
      <c r="L5" s="18"/>
      <c r="M5" s="18"/>
      <c r="O5" s="18"/>
      <c r="P5" s="18"/>
      <c r="Q5" s="18"/>
      <c r="R5" s="18"/>
      <c r="S5" s="18"/>
      <c r="T5" s="18"/>
      <c r="U5" s="18"/>
      <c r="V5" s="18"/>
    </row>
    <row r="6" spans="1:22" s="1" customFormat="1" x14ac:dyDescent="0.35">
      <c r="A6" s="52" t="s">
        <v>3</v>
      </c>
      <c r="B6" s="35">
        <f>'R1'!B28</f>
        <v>0.22636283325147116</v>
      </c>
      <c r="C6" s="35">
        <f>'R1'!C28</f>
        <v>7.6074439571763922E-2</v>
      </c>
      <c r="D6" s="35">
        <f>'R1'!D28</f>
        <v>0.14974376543825063</v>
      </c>
      <c r="E6" s="35">
        <f>'R1'!E28</f>
        <v>0.37747750858631246</v>
      </c>
      <c r="F6" s="35">
        <f>'R1'!F28</f>
        <v>1.7199664621074777</v>
      </c>
      <c r="G6" s="35">
        <f>'R1'!G28</f>
        <v>1.9985438076125315</v>
      </c>
      <c r="H6" s="35">
        <f>'R1'!H28</f>
        <v>3.0556534611112456</v>
      </c>
      <c r="I6" s="35">
        <f>'R1'!I28</f>
        <v>5.9053823942776675E-2</v>
      </c>
      <c r="J6" s="35">
        <f>'R1'!J28</f>
        <v>8.4186352810715504E-3</v>
      </c>
      <c r="K6" s="35">
        <f>'R1'!K28</f>
        <v>2.1271960087794268E-2</v>
      </c>
      <c r="L6" s="35">
        <f>'R1'!L28</f>
        <v>3.6132903545625701</v>
      </c>
      <c r="M6" s="35">
        <f>'R1'!M28</f>
        <v>5.0227032067322535</v>
      </c>
      <c r="N6"/>
      <c r="O6" s="35">
        <f>'R1'!O28</f>
        <v>0.59397362460785719</v>
      </c>
      <c r="P6" s="35">
        <f>'R1'!P28</f>
        <v>2.134112000979151</v>
      </c>
      <c r="Q6" s="35">
        <f>'R1'!Q28</f>
        <v>2.9342092279341692E-2</v>
      </c>
      <c r="R6" s="35">
        <f>'R1'!R28</f>
        <v>0.50561309939059884</v>
      </c>
      <c r="S6" s="35">
        <f>'R1'!S28</f>
        <v>1.1250987230851714</v>
      </c>
      <c r="T6" s="35">
        <f>'R1'!T28</f>
        <v>2.2636180101382939</v>
      </c>
      <c r="U6" s="35">
        <f>'R1'!U28</f>
        <v>4.0439821712897599</v>
      </c>
      <c r="V6" s="35">
        <f>'R1'!V28</f>
        <v>3.3582858760029448</v>
      </c>
    </row>
    <row r="7" spans="1:22" s="1" customFormat="1" x14ac:dyDescent="0.35">
      <c r="A7" s="149"/>
      <c r="B7" s="35">
        <f>'R1'!B29</f>
        <v>5.9479499084564964E-2</v>
      </c>
      <c r="C7" s="35">
        <f>'R1'!C29</f>
        <v>1.6899204820648096E-2</v>
      </c>
      <c r="D7" s="35">
        <f>'R1'!D29</f>
        <v>0.10681644271001213</v>
      </c>
      <c r="E7" s="35">
        <f>'R1'!E29</f>
        <v>9.6965946357313232E-2</v>
      </c>
      <c r="F7" s="35">
        <f>'R1'!F29</f>
        <v>1.0272386623134093</v>
      </c>
      <c r="G7" s="35">
        <f>'R1'!G29</f>
        <v>1.3267532279852896</v>
      </c>
      <c r="H7" s="35">
        <f>'R1'!H29</f>
        <v>4.224742711695658</v>
      </c>
      <c r="I7" s="35">
        <f>'R1'!I29</f>
        <v>0.22933076224236915</v>
      </c>
      <c r="J7" s="35">
        <f>'R1'!J29</f>
        <v>3.2171406501204709E-2</v>
      </c>
      <c r="K7" s="35">
        <f>'R1'!K29</f>
        <v>0.77557175212877505</v>
      </c>
      <c r="L7" s="35">
        <f>'R1'!L29</f>
        <v>2.4321622638249494</v>
      </c>
      <c r="M7" s="35">
        <f>'R1'!M29</f>
        <v>0.99833551680267829</v>
      </c>
      <c r="N7"/>
      <c r="O7" s="35">
        <f>'R1'!O29</f>
        <v>0.29989354434892285</v>
      </c>
      <c r="P7" s="35">
        <f>'R1'!P29</f>
        <v>0.52177794086040208</v>
      </c>
      <c r="Q7" s="35">
        <f>'R1'!Q29</f>
        <v>9.5013542589203456E-2</v>
      </c>
      <c r="R7" s="35">
        <f>'R1'!R29</f>
        <v>1.7390471291443572</v>
      </c>
      <c r="S7" s="35">
        <f>'R1'!S29</f>
        <v>1.9216927321007842</v>
      </c>
      <c r="T7" s="35">
        <f>'R1'!T29</f>
        <v>3.5091483904281588</v>
      </c>
      <c r="U7" s="35">
        <f>'R1'!U29</f>
        <v>4.6855866814800962</v>
      </c>
      <c r="V7" s="35">
        <f>'R1'!V29</f>
        <v>2.7757479698404737</v>
      </c>
    </row>
    <row r="8" spans="1:22" s="1" customFormat="1" x14ac:dyDescent="0.35">
      <c r="A8" s="150"/>
      <c r="B8" s="35">
        <f>'R1'!B30</f>
        <v>1.9932017320456089E-2</v>
      </c>
      <c r="C8" s="35">
        <f>'R1'!C30</f>
        <v>0.17730942589031418</v>
      </c>
      <c r="D8" s="35">
        <f>'R1'!D30</f>
        <v>7.2197649914391857E-2</v>
      </c>
      <c r="E8" s="35">
        <f>'R1'!E30</f>
        <v>0.29362048873748858</v>
      </c>
      <c r="F8" s="35">
        <f>'R1'!F30</f>
        <v>0.69167147660734452</v>
      </c>
      <c r="G8" s="35">
        <f>'R1'!G30</f>
        <v>1.3882121656333435</v>
      </c>
      <c r="H8" s="35">
        <f>'R1'!H30</f>
        <v>4.2454110585338958</v>
      </c>
      <c r="I8" s="35">
        <f>'R1'!I30</f>
        <v>0.10906819539422938</v>
      </c>
      <c r="J8" s="35">
        <f>'R1'!J30</f>
        <v>6.1128130060959775E-2</v>
      </c>
      <c r="K8" s="35">
        <f>'R1'!K30</f>
        <v>9.224763725104794E-2</v>
      </c>
      <c r="L8" s="35">
        <f>'R1'!L30</f>
        <v>3.3575667504458591</v>
      </c>
      <c r="M8" s="35">
        <f>'R1'!M30</f>
        <v>5.0173301640360783</v>
      </c>
      <c r="N8"/>
      <c r="O8" s="35">
        <f>'R1'!O30</f>
        <v>0.51697901890973341</v>
      </c>
      <c r="P8" s="35">
        <f>'R1'!P30</f>
        <v>3.2319999567443274</v>
      </c>
      <c r="Q8" s="35">
        <f>'R1'!Q30</f>
        <v>0.25021538744364014</v>
      </c>
      <c r="R8" s="35">
        <f>'R1'!R30</f>
        <v>1.762222830368579</v>
      </c>
      <c r="S8" s="35">
        <f>'R1'!S30</f>
        <v>2.4824317454364344</v>
      </c>
      <c r="T8" s="35">
        <f>'R1'!T30</f>
        <v>1.454794442776616</v>
      </c>
      <c r="U8" s="35">
        <f>'R1'!U30</f>
        <v>1.5050491781360762</v>
      </c>
      <c r="V8" s="35">
        <f>'R1'!V30</f>
        <v>4.8867383391861621</v>
      </c>
    </row>
    <row r="9" spans="1:22" s="1" customFormat="1" x14ac:dyDescent="0.35">
      <c r="A9" s="150"/>
      <c r="B9" s="35">
        <f>'R1'!B31</f>
        <v>2.609791683384206E-2</v>
      </c>
      <c r="C9" s="35">
        <f>'R1'!C31</f>
        <v>0.16913803610152844</v>
      </c>
      <c r="D9" s="35">
        <f>'R1'!D31</f>
        <v>0.36797207453099851</v>
      </c>
      <c r="E9" s="35">
        <f>'R1'!E31</f>
        <v>0.14846624847115161</v>
      </c>
      <c r="F9" s="35">
        <f>'R1'!F31</f>
        <v>1.6747470802728204</v>
      </c>
      <c r="G9" s="35">
        <f>'R1'!G31</f>
        <v>2.0667550540628321</v>
      </c>
      <c r="H9" s="35">
        <f>'R1'!H31</f>
        <v>4.4095589629501646</v>
      </c>
      <c r="I9" s="35">
        <f>'R1'!I31</f>
        <v>1.1135386445810412E-2</v>
      </c>
      <c r="J9" s="35">
        <f>'R1'!J31</f>
        <v>4.8690158019607847E-2</v>
      </c>
      <c r="K9" s="35">
        <f>'R1'!K31</f>
        <v>0.29547802495090419</v>
      </c>
      <c r="L9" s="35">
        <f>'R1'!L31</f>
        <v>3.4262759286728706</v>
      </c>
      <c r="M9" s="35">
        <f>'R1'!M31</f>
        <v>4.569727345486621</v>
      </c>
      <c r="N9"/>
      <c r="O9" s="35">
        <f>'R1'!O31</f>
        <v>1.275744959147352</v>
      </c>
      <c r="P9" s="35">
        <f>'R1'!P31</f>
        <v>2.8965994036861451</v>
      </c>
      <c r="Q9" s="35">
        <f>'R1'!Q31</f>
        <v>0.37215951856436391</v>
      </c>
      <c r="R9" s="35">
        <f>'R1'!R31</f>
        <v>2.0572796040533023</v>
      </c>
      <c r="S9" s="35">
        <f>'R1'!S31</f>
        <v>1.7654011392217002</v>
      </c>
      <c r="T9" s="35">
        <f>'R1'!T31</f>
        <v>2.7681320222112964</v>
      </c>
      <c r="U9" s="35">
        <f>'R1'!U31</f>
        <v>5.1153602982478628</v>
      </c>
      <c r="V9" s="35">
        <f>'R1'!V31</f>
        <v>3.990310729336108</v>
      </c>
    </row>
    <row r="10" spans="1:22" s="1" customFormat="1" x14ac:dyDescent="0.35">
      <c r="A10" s="150"/>
      <c r="B10" s="35">
        <f>'R1'!B32</f>
        <v>3.6908394193368339E-2</v>
      </c>
      <c r="C10" s="35">
        <f>'R1'!C32</f>
        <v>3.8235556875618193E-2</v>
      </c>
      <c r="D10" s="35">
        <f>'R1'!D32</f>
        <v>0.11547052648174949</v>
      </c>
      <c r="E10" s="35">
        <f>'R1'!E32</f>
        <v>0.34439183445955784</v>
      </c>
      <c r="F10" s="35">
        <f>'R1'!F32</f>
        <v>0.86663870613435479</v>
      </c>
      <c r="G10" s="35">
        <f>'R1'!G32</f>
        <v>2.1839223826109246</v>
      </c>
      <c r="H10" s="35">
        <f>'R1'!H32</f>
        <v>3.3963774111504521</v>
      </c>
      <c r="I10" s="35">
        <f>'R1'!I32</f>
        <v>3.8094975939646537E-2</v>
      </c>
      <c r="J10" s="35">
        <f>'R1'!J32</f>
        <v>0.11421807814309295</v>
      </c>
      <c r="K10" s="35">
        <f>'R1'!K32</f>
        <v>4.1897542795159441E-2</v>
      </c>
      <c r="L10" s="35">
        <f>'R1'!L32</f>
        <v>2.0004917875050339</v>
      </c>
      <c r="M10" s="35">
        <f>'R1'!M32</f>
        <v>5.7801198649095848</v>
      </c>
      <c r="N10"/>
      <c r="O10" s="35">
        <f>'R1'!O32</f>
        <v>1.233854789478205</v>
      </c>
      <c r="P10" s="35">
        <f>'R1'!P32</f>
        <v>3.0511494642010768</v>
      </c>
      <c r="Q10" s="35">
        <f>'R1'!Q32</f>
        <v>2.9492504049996674E-4</v>
      </c>
      <c r="R10" s="35">
        <f>'R1'!R32</f>
        <v>2.5455781458578821</v>
      </c>
      <c r="S10" s="35">
        <f>'R1'!S32</f>
        <v>3.2304284978201969</v>
      </c>
      <c r="T10" s="35">
        <f>'R1'!T32</f>
        <v>2.5111569528393969</v>
      </c>
      <c r="U10" s="35">
        <f>'R1'!U32</f>
        <v>2.8296179946547295</v>
      </c>
      <c r="V10" s="35">
        <f>'R1'!V32</f>
        <v>4.6801054996024041</v>
      </c>
    </row>
    <row r="11" spans="1:22" s="1" customFormat="1" x14ac:dyDescent="0.35">
      <c r="A11" s="150"/>
      <c r="B11" s="35">
        <f>'R1'!B33</f>
        <v>3.3881480194370345E-2</v>
      </c>
      <c r="C11" s="35">
        <f>'R1'!C33</f>
        <v>3.04460950142799E-3</v>
      </c>
      <c r="D11" s="35">
        <f>'R1'!D33</f>
        <v>6.7583056114035714E-2</v>
      </c>
      <c r="E11" s="35">
        <f>'R1'!E33</f>
        <v>0.33817776385622356</v>
      </c>
      <c r="F11" s="35">
        <f>'R1'!F33</f>
        <v>0.34408314625050124</v>
      </c>
      <c r="G11" s="35">
        <f>'R1'!G33</f>
        <v>3.2210754417024745</v>
      </c>
      <c r="H11" s="35">
        <f>'R1'!H33</f>
        <v>1.5117656043917287</v>
      </c>
      <c r="I11" s="35">
        <f>'R1'!I33</f>
        <v>6.7868641861586518E-2</v>
      </c>
      <c r="J11" s="35">
        <f>'R1'!J33</f>
        <v>4.1844947829603615E-2</v>
      </c>
      <c r="K11" s="35">
        <f>'R1'!K33</f>
        <v>0.3491121097327598</v>
      </c>
      <c r="L11" s="35">
        <f>'R1'!L33</f>
        <v>4.7216181652197111</v>
      </c>
      <c r="M11" s="35">
        <f>'R1'!M33</f>
        <v>3.3546499417953144</v>
      </c>
      <c r="N11"/>
      <c r="O11" s="35">
        <f>'R1'!O33</f>
        <v>2.0591086308461364</v>
      </c>
      <c r="P11" s="35">
        <f>'R1'!P33</f>
        <v>2.746434878523448</v>
      </c>
      <c r="Q11" s="35">
        <f>'R1'!Q33</f>
        <v>3.5725253239229308E-2</v>
      </c>
      <c r="R11" s="35">
        <f>'R1'!R33</f>
        <v>1.3665720407866584</v>
      </c>
      <c r="S11" s="35">
        <f>'R1'!S33</f>
        <v>2.1441320792301375</v>
      </c>
      <c r="T11" s="35">
        <f>'R1'!T33</f>
        <v>0.78372446333166246</v>
      </c>
      <c r="U11" s="35">
        <f>'R1'!U33</f>
        <v>3.9134861970780057</v>
      </c>
      <c r="V11" s="35">
        <f>'R1'!V33</f>
        <v>4.6735640622041146</v>
      </c>
    </row>
    <row r="12" spans="1:22" s="1" customFormat="1" x14ac:dyDescent="0.35">
      <c r="A12" s="150"/>
      <c r="B12" s="35">
        <f>'R1'!B34</f>
        <v>0.13602041176205301</v>
      </c>
      <c r="C12" s="35">
        <f>'R1'!C34</f>
        <v>6.4605787830188555E-2</v>
      </c>
      <c r="D12" s="35">
        <f>'R1'!D34</f>
        <v>0.24123590304388448</v>
      </c>
      <c r="E12" s="35">
        <f>'R1'!E34</f>
        <v>0.42468763444434465</v>
      </c>
      <c r="F12" s="35">
        <f>'R1'!F34</f>
        <v>2.1090227277838189</v>
      </c>
      <c r="G12" s="35">
        <f>'R1'!G34</f>
        <v>1.8409039157566283</v>
      </c>
      <c r="H12" s="35">
        <f>'R1'!H34</f>
        <v>4.9256979370362073</v>
      </c>
      <c r="I12" s="35">
        <f>'R1'!I34</f>
        <v>1.8875202591997871E-4</v>
      </c>
      <c r="J12" s="35">
        <f>'R1'!J34</f>
        <v>1.5027905438675807E-2</v>
      </c>
      <c r="K12" s="35">
        <f>'R1'!K34</f>
        <v>4.2762164705558513E-2</v>
      </c>
      <c r="L12" s="35">
        <f>'R1'!L34</f>
        <v>3.0839623326653691</v>
      </c>
      <c r="M12" s="35">
        <f>'R1'!M34</f>
        <v>3.7304070543120438</v>
      </c>
      <c r="N12"/>
      <c r="O12" s="35">
        <f>'R1'!O34</f>
        <v>7.2728514987291798E-2</v>
      </c>
      <c r="P12" s="35">
        <f>'R1'!P34</f>
        <v>1.0370483607021723</v>
      </c>
      <c r="Q12" s="35">
        <f>'R1'!Q34</f>
        <v>0.13368362235782494</v>
      </c>
      <c r="R12" s="35">
        <f>'R1'!R34</f>
        <v>0.21238338633177273</v>
      </c>
      <c r="S12" s="35">
        <f>'R1'!S34</f>
        <v>0.44920229535243605</v>
      </c>
      <c r="T12" s="35">
        <f>'R1'!T34</f>
        <v>2.6951513463143772</v>
      </c>
      <c r="U12" s="35">
        <f>'R1'!U34</f>
        <v>5.5789913096650254</v>
      </c>
      <c r="V12" s="35">
        <f>'R1'!V34</f>
        <v>2.7879883421046907</v>
      </c>
    </row>
    <row r="13" spans="1:22" s="1" customFormat="1" x14ac:dyDescent="0.35">
      <c r="A13" s="150"/>
      <c r="B13" s="35">
        <f>'R1'!B35</f>
        <v>0.12455126847874347</v>
      </c>
      <c r="C13" s="35">
        <f>'R1'!C35</f>
        <v>5.6832055304343598E-3</v>
      </c>
      <c r="D13" s="35">
        <f>'R1'!D35</f>
        <v>6.3367102660088687E-2</v>
      </c>
      <c r="E13" s="35">
        <f>'R1'!E35</f>
        <v>0.53844759569119427</v>
      </c>
      <c r="F13" s="35" t="str">
        <f>'R1'!F35</f>
        <v/>
      </c>
      <c r="G13" s="35">
        <f>'R1'!G35</f>
        <v>1.1670911334350251</v>
      </c>
      <c r="H13" s="35">
        <f>'R1'!H35</f>
        <v>2.4553271511310193</v>
      </c>
      <c r="I13" s="35">
        <f>'R1'!I35</f>
        <v>2.6687766914841992E-2</v>
      </c>
      <c r="J13" s="35">
        <f>'R1'!J35</f>
        <v>1.0959414504978764E-2</v>
      </c>
      <c r="K13" s="35">
        <f>'R1'!K35</f>
        <v>4.7129021471894687E-3</v>
      </c>
      <c r="L13" s="35">
        <f>'R1'!L35</f>
        <v>3.6859780715859261</v>
      </c>
      <c r="M13" s="35">
        <f>'R1'!M35</f>
        <v>4.702835864015471</v>
      </c>
      <c r="N13"/>
      <c r="O13" s="35">
        <f>'R1'!O35</f>
        <v>0.74868786006200061</v>
      </c>
      <c r="P13" s="35">
        <f>'R1'!P35</f>
        <v>2.1920387197254838</v>
      </c>
      <c r="Q13" s="35">
        <f>'R1'!Q35</f>
        <v>3.9407761026172015</v>
      </c>
      <c r="R13" s="35">
        <f>'R1'!R35</f>
        <v>1.0570713132434493</v>
      </c>
      <c r="S13" s="35">
        <f>'R1'!S35</f>
        <v>0.98361089261398327</v>
      </c>
      <c r="T13" s="35">
        <f>'R1'!T35</f>
        <v>2.6661125352850163</v>
      </c>
      <c r="U13" s="35" t="str">
        <f>'R1'!U35</f>
        <v/>
      </c>
      <c r="V13" s="35">
        <f>'R1'!V35</f>
        <v>4.4381612849195857</v>
      </c>
    </row>
    <row r="14" spans="1:22" s="1" customFormat="1" x14ac:dyDescent="0.35">
      <c r="A14" s="150"/>
      <c r="B14" s="35" t="str">
        <f>'R1'!B36</f>
        <v/>
      </c>
      <c r="C14" s="35" t="str">
        <f>'R1'!C36</f>
        <v/>
      </c>
      <c r="D14" s="35" t="str">
        <f>'R1'!D36</f>
        <v/>
      </c>
      <c r="E14" s="35" t="str">
        <f>'R1'!E36</f>
        <v/>
      </c>
      <c r="F14" s="35" t="str">
        <f>'R1'!F36</f>
        <v/>
      </c>
      <c r="G14" s="35" t="str">
        <f>'R1'!G36</f>
        <v/>
      </c>
      <c r="H14" s="35" t="str">
        <f>'R1'!H36</f>
        <v/>
      </c>
      <c r="I14" s="35" t="str">
        <f>'R1'!I36</f>
        <v/>
      </c>
      <c r="J14" s="35" t="str">
        <f>'R1'!J36</f>
        <v/>
      </c>
      <c r="K14" s="35" t="str">
        <f>'R1'!K36</f>
        <v/>
      </c>
      <c r="L14" s="35" t="str">
        <f>'R1'!L36</f>
        <v/>
      </c>
      <c r="M14" s="35" t="str">
        <f>'R1'!M36</f>
        <v/>
      </c>
      <c r="N14"/>
      <c r="O14" s="35">
        <f>'R1'!O36</f>
        <v>1.5776887240694839</v>
      </c>
      <c r="P14" s="35" t="str">
        <f>'R1'!P36</f>
        <v/>
      </c>
      <c r="Q14" s="35" t="str">
        <f>'R1'!Q36</f>
        <v/>
      </c>
      <c r="R14" s="35" t="str">
        <f>'R1'!R36</f>
        <v/>
      </c>
      <c r="S14" s="35" t="str">
        <f>'R1'!S36</f>
        <v/>
      </c>
      <c r="T14" s="35" t="str">
        <f>'R1'!T36</f>
        <v/>
      </c>
      <c r="U14" s="35" t="str">
        <f>'R1'!U36</f>
        <v/>
      </c>
      <c r="V14" s="35" t="str">
        <f>'R1'!V36</f>
        <v/>
      </c>
    </row>
    <row r="15" spans="1:22" s="1" customFormat="1" x14ac:dyDescent="0.35">
      <c r="A15" s="150"/>
      <c r="B15" s="35" t="str">
        <f>'R1'!B37</f>
        <v/>
      </c>
      <c r="C15" s="35" t="str">
        <f>'R1'!C37</f>
        <v/>
      </c>
      <c r="D15" s="35" t="str">
        <f>'R1'!D37</f>
        <v/>
      </c>
      <c r="E15" s="35" t="str">
        <f>'R1'!E37</f>
        <v/>
      </c>
      <c r="F15" s="35" t="str">
        <f>'R1'!F37</f>
        <v/>
      </c>
      <c r="G15" s="35" t="str">
        <f>'R1'!G37</f>
        <v/>
      </c>
      <c r="H15" s="35" t="str">
        <f>'R1'!H37</f>
        <v/>
      </c>
      <c r="I15" s="35" t="str">
        <f>'R1'!I37</f>
        <v/>
      </c>
      <c r="J15" s="35" t="str">
        <f>'R1'!J37</f>
        <v/>
      </c>
      <c r="K15" s="35" t="str">
        <f>'R1'!K37</f>
        <v/>
      </c>
      <c r="L15" s="35" t="str">
        <f>'R1'!L37</f>
        <v/>
      </c>
      <c r="M15" s="35" t="str">
        <f>'R1'!M37</f>
        <v/>
      </c>
      <c r="N15"/>
      <c r="O15" s="35">
        <f>'R1'!O37</f>
        <v>1.5395804765030148</v>
      </c>
      <c r="P15" s="35" t="str">
        <f>'R1'!P37</f>
        <v/>
      </c>
      <c r="Q15" s="35" t="str">
        <f>'R1'!Q37</f>
        <v/>
      </c>
      <c r="R15" s="35" t="str">
        <f>'R1'!R37</f>
        <v/>
      </c>
      <c r="S15" s="35" t="str">
        <f>'R1'!S37</f>
        <v/>
      </c>
      <c r="T15" s="35" t="str">
        <f>'R1'!T37</f>
        <v/>
      </c>
      <c r="U15" s="35" t="str">
        <f>'R1'!U37</f>
        <v/>
      </c>
      <c r="V15" s="35" t="str">
        <f>'R1'!V37</f>
        <v/>
      </c>
    </row>
    <row r="16" spans="1:22" s="1" customFormat="1" x14ac:dyDescent="0.35">
      <c r="A16" s="150"/>
      <c r="B16" s="35" t="str">
        <f>'R1'!B38</f>
        <v/>
      </c>
      <c r="C16" s="35" t="str">
        <f>'R1'!C38</f>
        <v/>
      </c>
      <c r="D16" s="35" t="str">
        <f>'R1'!D38</f>
        <v/>
      </c>
      <c r="E16" s="35" t="str">
        <f>'R1'!E38</f>
        <v/>
      </c>
      <c r="F16" s="35" t="str">
        <f>'R1'!F38</f>
        <v/>
      </c>
      <c r="G16" s="35" t="str">
        <f>'R1'!G38</f>
        <v/>
      </c>
      <c r="H16" s="35" t="str">
        <f>'R1'!H38</f>
        <v/>
      </c>
      <c r="I16" s="35" t="str">
        <f>'R1'!I38</f>
        <v/>
      </c>
      <c r="J16" s="35" t="str">
        <f>'R1'!J38</f>
        <v/>
      </c>
      <c r="K16" s="35" t="str">
        <f>'R1'!K38</f>
        <v/>
      </c>
      <c r="L16" s="35" t="str">
        <f>'R1'!L38</f>
        <v/>
      </c>
      <c r="M16" s="35" t="str">
        <f>'R1'!M38</f>
        <v/>
      </c>
      <c r="N16"/>
      <c r="O16" s="35">
        <f>'R1'!O38</f>
        <v>1.2666883026953322</v>
      </c>
      <c r="P16" s="35" t="str">
        <f>'R1'!P38</f>
        <v/>
      </c>
      <c r="Q16" s="35" t="str">
        <f>'R1'!Q38</f>
        <v/>
      </c>
      <c r="R16" s="35" t="str">
        <f>'R1'!R38</f>
        <v/>
      </c>
      <c r="S16" s="35" t="str">
        <f>'R1'!S38</f>
        <v/>
      </c>
      <c r="T16" s="35" t="str">
        <f>'R1'!T38</f>
        <v/>
      </c>
      <c r="U16" s="35" t="str">
        <f>'R1'!U38</f>
        <v/>
      </c>
      <c r="V16" s="35" t="str">
        <f>'R1'!V38</f>
        <v/>
      </c>
    </row>
    <row r="17" spans="1:22" s="1" customFormat="1" x14ac:dyDescent="0.35">
      <c r="A17" s="150"/>
      <c r="B17" s="35" t="str">
        <f>'R1'!B39</f>
        <v/>
      </c>
      <c r="C17" s="35" t="str">
        <f>'R1'!C39</f>
        <v/>
      </c>
      <c r="D17" s="35" t="str">
        <f>'R1'!D39</f>
        <v/>
      </c>
      <c r="E17" s="35" t="str">
        <f>'R1'!E39</f>
        <v/>
      </c>
      <c r="F17" s="35" t="str">
        <f>'R1'!F39</f>
        <v/>
      </c>
      <c r="G17" s="35" t="str">
        <f>'R1'!G39</f>
        <v/>
      </c>
      <c r="H17" s="35" t="str">
        <f>'R1'!H39</f>
        <v/>
      </c>
      <c r="I17" s="35" t="str">
        <f>'R1'!I39</f>
        <v/>
      </c>
      <c r="J17" s="35" t="str">
        <f>'R1'!J39</f>
        <v/>
      </c>
      <c r="K17" s="35" t="str">
        <f>'R1'!K39</f>
        <v/>
      </c>
      <c r="L17" s="35" t="str">
        <f>'R1'!L39</f>
        <v/>
      </c>
      <c r="M17" s="35" t="str">
        <f>'R1'!M39</f>
        <v/>
      </c>
      <c r="N17"/>
      <c r="O17" s="35">
        <f>'R1'!O39</f>
        <v>2.1602718520714981</v>
      </c>
      <c r="P17" s="35" t="str">
        <f>'R1'!P39</f>
        <v/>
      </c>
      <c r="Q17" s="35" t="str">
        <f>'R1'!Q39</f>
        <v/>
      </c>
      <c r="R17" s="35" t="str">
        <f>'R1'!R39</f>
        <v/>
      </c>
      <c r="S17" s="35" t="str">
        <f>'R1'!S39</f>
        <v/>
      </c>
      <c r="T17" s="35" t="str">
        <f>'R1'!T39</f>
        <v/>
      </c>
      <c r="U17" s="35" t="str">
        <f>'R1'!U39</f>
        <v/>
      </c>
      <c r="V17" s="35" t="str">
        <f>'R1'!V39</f>
        <v/>
      </c>
    </row>
    <row r="18" spans="1:22" s="1" customFormat="1" x14ac:dyDescent="0.35">
      <c r="A18" s="150"/>
      <c r="B18" s="35" t="str">
        <f>'R1'!B40</f>
        <v/>
      </c>
      <c r="C18" s="35" t="str">
        <f>'R1'!C40</f>
        <v/>
      </c>
      <c r="D18" s="35" t="str">
        <f>'R1'!D40</f>
        <v/>
      </c>
      <c r="E18" s="35" t="str">
        <f>'R1'!E40</f>
        <v/>
      </c>
      <c r="F18" s="35" t="str">
        <f>'R1'!F40</f>
        <v/>
      </c>
      <c r="G18" s="35" t="str">
        <f>'R1'!G40</f>
        <v/>
      </c>
      <c r="H18" s="35" t="str">
        <f>'R1'!H40</f>
        <v/>
      </c>
      <c r="I18" s="35" t="str">
        <f>'R1'!I40</f>
        <v/>
      </c>
      <c r="J18" s="35" t="str">
        <f>'R1'!J40</f>
        <v/>
      </c>
      <c r="K18" s="35" t="str">
        <f>'R1'!K40</f>
        <v/>
      </c>
      <c r="L18" s="35" t="str">
        <f>'R1'!L40</f>
        <v/>
      </c>
      <c r="M18" s="35" t="str">
        <f>'R1'!M40</f>
        <v/>
      </c>
      <c r="N18"/>
      <c r="O18" s="35">
        <f>'R1'!O40</f>
        <v>1.1716039780964087</v>
      </c>
      <c r="P18" s="35" t="str">
        <f>'R1'!P40</f>
        <v/>
      </c>
      <c r="Q18" s="35" t="str">
        <f>'R1'!Q40</f>
        <v/>
      </c>
      <c r="R18" s="35" t="str">
        <f>'R1'!R40</f>
        <v/>
      </c>
      <c r="S18" s="35" t="str">
        <f>'R1'!S40</f>
        <v/>
      </c>
      <c r="T18" s="35" t="str">
        <f>'R1'!T40</f>
        <v/>
      </c>
      <c r="U18" s="35" t="str">
        <f>'R1'!U40</f>
        <v/>
      </c>
      <c r="V18" s="35" t="str">
        <f>'R1'!V40</f>
        <v/>
      </c>
    </row>
    <row r="19" spans="1:22" s="1" customFormat="1" x14ac:dyDescent="0.35">
      <c r="A19" s="150"/>
      <c r="B19" s="35" t="str">
        <f>'R1'!B41</f>
        <v/>
      </c>
      <c r="C19" s="35" t="str">
        <f>'R1'!C41</f>
        <v/>
      </c>
      <c r="D19" s="35" t="str">
        <f>'R1'!D41</f>
        <v/>
      </c>
      <c r="E19" s="35" t="str">
        <f>'R1'!E41</f>
        <v/>
      </c>
      <c r="F19" s="35" t="str">
        <f>'R1'!F41</f>
        <v/>
      </c>
      <c r="G19" s="35" t="str">
        <f>'R1'!G41</f>
        <v/>
      </c>
      <c r="H19" s="35" t="str">
        <f>'R1'!H41</f>
        <v/>
      </c>
      <c r="I19" s="35" t="str">
        <f>'R1'!I41</f>
        <v/>
      </c>
      <c r="J19" s="35" t="str">
        <f>'R1'!J41</f>
        <v/>
      </c>
      <c r="K19" s="35" t="str">
        <f>'R1'!K41</f>
        <v/>
      </c>
      <c r="L19" s="35" t="str">
        <f>'R1'!L41</f>
        <v/>
      </c>
      <c r="M19" s="35" t="str">
        <f>'R1'!M41</f>
        <v/>
      </c>
      <c r="N19"/>
      <c r="O19" s="35">
        <f>'R1'!O41</f>
        <v>1.0409920000353909</v>
      </c>
      <c r="P19" s="35" t="str">
        <f>'R1'!P41</f>
        <v/>
      </c>
      <c r="Q19" s="35" t="str">
        <f>'R1'!Q41</f>
        <v/>
      </c>
      <c r="R19" s="35" t="str">
        <f>'R1'!R41</f>
        <v/>
      </c>
      <c r="S19" s="35" t="str">
        <f>'R1'!S41</f>
        <v/>
      </c>
      <c r="T19" s="35" t="str">
        <f>'R1'!T41</f>
        <v/>
      </c>
      <c r="U19" s="35" t="str">
        <f>'R1'!U41</f>
        <v/>
      </c>
      <c r="V19" s="35" t="str">
        <f>'R1'!V41</f>
        <v/>
      </c>
    </row>
    <row r="20" spans="1:22" s="1" customFormat="1" x14ac:dyDescent="0.35">
      <c r="A20" s="150"/>
      <c r="B20" s="35" t="str">
        <f>'R1'!B42</f>
        <v/>
      </c>
      <c r="C20" s="35" t="str">
        <f>'R1'!C42</f>
        <v/>
      </c>
      <c r="D20" s="35" t="str">
        <f>'R1'!D42</f>
        <v/>
      </c>
      <c r="E20" s="35" t="str">
        <f>'R1'!E42</f>
        <v/>
      </c>
      <c r="F20" s="35" t="str">
        <f>'R1'!F42</f>
        <v/>
      </c>
      <c r="G20" s="35" t="str">
        <f>'R1'!G42</f>
        <v/>
      </c>
      <c r="H20" s="35" t="str">
        <f>'R1'!H42</f>
        <v/>
      </c>
      <c r="I20" s="35" t="str">
        <f>'R1'!I42</f>
        <v/>
      </c>
      <c r="J20" s="35" t="str">
        <f>'R1'!J42</f>
        <v/>
      </c>
      <c r="K20" s="35" t="str">
        <f>'R1'!K42</f>
        <v/>
      </c>
      <c r="L20" s="35" t="str">
        <f>'R1'!L42</f>
        <v/>
      </c>
      <c r="M20" s="35" t="str">
        <f>'R1'!M42</f>
        <v/>
      </c>
      <c r="N20"/>
      <c r="O20" s="35">
        <f>'R1'!O42</f>
        <v>0.26956197855870379</v>
      </c>
      <c r="P20" s="35" t="str">
        <f>'R1'!P42</f>
        <v/>
      </c>
      <c r="Q20" s="35" t="str">
        <f>'R1'!Q42</f>
        <v/>
      </c>
      <c r="R20" s="35" t="str">
        <f>'R1'!R42</f>
        <v/>
      </c>
      <c r="S20" s="35" t="str">
        <f>'R1'!S42</f>
        <v/>
      </c>
      <c r="T20" s="35" t="str">
        <f>'R1'!T42</f>
        <v/>
      </c>
      <c r="U20" s="35" t="str">
        <f>'R1'!U42</f>
        <v/>
      </c>
      <c r="V20" s="35" t="str">
        <f>'R1'!V42</f>
        <v/>
      </c>
    </row>
    <row r="21" spans="1:22" s="1" customFormat="1" x14ac:dyDescent="0.35">
      <c r="A21" s="151"/>
      <c r="B21" s="35" t="str">
        <f>'R1'!B43</f>
        <v/>
      </c>
      <c r="C21" s="35" t="str">
        <f>'R1'!C43</f>
        <v/>
      </c>
      <c r="D21" s="35" t="str">
        <f>'R1'!D43</f>
        <v/>
      </c>
      <c r="E21" s="35" t="str">
        <f>'R1'!E43</f>
        <v/>
      </c>
      <c r="F21" s="35" t="str">
        <f>'R1'!F43</f>
        <v/>
      </c>
      <c r="G21" s="35" t="str">
        <f>'R1'!G43</f>
        <v/>
      </c>
      <c r="H21" s="35" t="str">
        <f>'R1'!H43</f>
        <v/>
      </c>
      <c r="I21" s="35" t="str">
        <f>'R1'!I43</f>
        <v/>
      </c>
      <c r="J21" s="35" t="str">
        <f>'R1'!J43</f>
        <v/>
      </c>
      <c r="K21" s="35" t="str">
        <f>'R1'!K43</f>
        <v/>
      </c>
      <c r="L21" s="35" t="str">
        <f>'R1'!L43</f>
        <v/>
      </c>
      <c r="M21" s="35" t="str">
        <f>'R1'!M43</f>
        <v/>
      </c>
      <c r="N21"/>
      <c r="O21" s="35">
        <f>'R1'!O43</f>
        <v>0.17264174558266804</v>
      </c>
      <c r="P21" s="35" t="str">
        <f>'R1'!P43</f>
        <v/>
      </c>
      <c r="Q21" s="35" t="str">
        <f>'R1'!Q43</f>
        <v/>
      </c>
      <c r="R21" s="35" t="str">
        <f>'R1'!R43</f>
        <v/>
      </c>
      <c r="S21" s="35" t="str">
        <f>'R1'!S43</f>
        <v/>
      </c>
      <c r="T21" s="35" t="str">
        <f>'R1'!T43</f>
        <v/>
      </c>
      <c r="U21" s="35" t="str">
        <f>'R1'!U43</f>
        <v/>
      </c>
      <c r="V21" s="35" t="str">
        <f>'R1'!V43</f>
        <v/>
      </c>
    </row>
    <row r="22" spans="1:22" x14ac:dyDescent="0.35">
      <c r="A22" s="22" t="s">
        <v>4</v>
      </c>
      <c r="B22" s="36">
        <f>'R2'!B28</f>
        <v>8.9832952243951159E-2</v>
      </c>
      <c r="C22" s="36">
        <f>'R2'!C28</f>
        <v>1.7244493825616197E-2</v>
      </c>
      <c r="D22" s="36">
        <f>'R2'!D28</f>
        <v>2.8222516955871507E-2</v>
      </c>
      <c r="E22" s="36">
        <f>'R2'!E28</f>
        <v>1.0492089835306844</v>
      </c>
      <c r="F22" s="36">
        <f>'R2'!F28</f>
        <v>0.34836850208878678</v>
      </c>
      <c r="G22" s="36">
        <f>'R2'!G28</f>
        <v>1.363509382524829</v>
      </c>
      <c r="H22" s="36">
        <f>'R2'!H28</f>
        <v>1.2894769663200378</v>
      </c>
      <c r="I22" s="36">
        <f>'R2'!I28</f>
        <v>7.3258930460232116E-2</v>
      </c>
      <c r="J22" s="36">
        <f>'R2'!J28</f>
        <v>4.3823795061596678E-2</v>
      </c>
      <c r="K22" s="36">
        <f>'R2'!K28</f>
        <v>0.28802013182074881</v>
      </c>
      <c r="L22" s="36">
        <f>'R2'!L28</f>
        <v>1.8657170765446998</v>
      </c>
      <c r="M22" s="36" t="str">
        <f>'R2'!M28</f>
        <v/>
      </c>
      <c r="O22" s="36">
        <f>'R2'!O28</f>
        <v>1.1943329218916996</v>
      </c>
      <c r="P22" s="36">
        <f>'R2'!P28</f>
        <v>1.8441645496737593</v>
      </c>
      <c r="Q22" s="36">
        <f>'R2'!Q28</f>
        <v>3.4852773184061575E-2</v>
      </c>
      <c r="R22" s="36">
        <f>'R2'!R28</f>
        <v>1.2944348686667269</v>
      </c>
      <c r="S22" s="36">
        <f>'R2'!S28</f>
        <v>1.0577187983451584</v>
      </c>
      <c r="T22" s="36">
        <f>'R2'!T28</f>
        <v>0.66240342005492836</v>
      </c>
      <c r="U22" s="36">
        <f>'R2'!U28</f>
        <v>2.0052741544138613</v>
      </c>
      <c r="V22" s="36">
        <f>'R2'!V28</f>
        <v>3.2107917154908696</v>
      </c>
    </row>
    <row r="23" spans="1:22" x14ac:dyDescent="0.35">
      <c r="A23" s="149"/>
      <c r="B23" s="36">
        <f>'R2'!B29</f>
        <v>7.9299948309195633E-3</v>
      </c>
      <c r="C23" s="36">
        <f>'R2'!C29</f>
        <v>0.23654447892541991</v>
      </c>
      <c r="D23" s="36">
        <f>'R2'!D29</f>
        <v>0.40172077032175224</v>
      </c>
      <c r="E23" s="36">
        <f>'R2'!E29</f>
        <v>0.4623837738702064</v>
      </c>
      <c r="F23" s="36">
        <f>'R2'!F29</f>
        <v>2.7547877273889521</v>
      </c>
      <c r="G23" s="36">
        <f>'R2'!G29</f>
        <v>1.7831130373038371</v>
      </c>
      <c r="H23" s="36">
        <f>'R2'!H29</f>
        <v>1.7669390030113112</v>
      </c>
      <c r="I23" s="36">
        <f>'R2'!I29</f>
        <v>2.2971761368757785E-2</v>
      </c>
      <c r="J23" s="36">
        <f>'R2'!J29</f>
        <v>2.5947974401094889E-2</v>
      </c>
      <c r="K23" s="36">
        <f>'R2'!K29</f>
        <v>0.35136767246057427</v>
      </c>
      <c r="L23" s="36">
        <f>'R2'!L29</f>
        <v>2.2564645329340327</v>
      </c>
      <c r="M23" s="36" t="str">
        <f>'R2'!M29</f>
        <v/>
      </c>
      <c r="O23" s="36">
        <f>'R2'!O29</f>
        <v>1.5597110465640331</v>
      </c>
      <c r="P23" s="36">
        <f>'R2'!P29</f>
        <v>2.3060076487674226</v>
      </c>
      <c r="Q23" s="36">
        <f>'R2'!Q29</f>
        <v>2.0847618819867665E-2</v>
      </c>
      <c r="R23" s="36">
        <f>'R2'!R29</f>
        <v>1.2538071473114343</v>
      </c>
      <c r="S23" s="36">
        <f>'R2'!S29</f>
        <v>0.93184576641275019</v>
      </c>
      <c r="T23" s="36">
        <f>'R2'!T29</f>
        <v>1.7895337342283262</v>
      </c>
      <c r="U23" s="36">
        <f>'R2'!U29</f>
        <v>2.9820656822726295</v>
      </c>
      <c r="V23" s="36">
        <f>'R2'!V29</f>
        <v>2.9754236530498495</v>
      </c>
    </row>
    <row r="24" spans="1:22" x14ac:dyDescent="0.35">
      <c r="A24" s="150"/>
      <c r="B24" s="36">
        <f>'R2'!B30</f>
        <v>0.1603208141025759</v>
      </c>
      <c r="C24" s="36">
        <f>'R2'!C30</f>
        <v>7.6568024914599797E-2</v>
      </c>
      <c r="D24" s="36">
        <f>'R2'!D30</f>
        <v>7.8676273920793502E-2</v>
      </c>
      <c r="E24" s="36">
        <f>'R2'!E30</f>
        <v>0.30080472097083055</v>
      </c>
      <c r="F24" s="36">
        <f>'R2'!F30</f>
        <v>1.7744719535996851</v>
      </c>
      <c r="G24" s="36">
        <f>'R2'!G30</f>
        <v>0.80359812147155074</v>
      </c>
      <c r="H24" s="36">
        <f>'R2'!H30</f>
        <v>3.0352990432602365</v>
      </c>
      <c r="I24" s="36">
        <f>'R2'!I30</f>
        <v>1.2077032175226309E-2</v>
      </c>
      <c r="J24" s="36">
        <f>'R2'!J30</f>
        <v>7.069300628935446E-2</v>
      </c>
      <c r="K24" s="36">
        <f>'R2'!K30</f>
        <v>0.42502040958983989</v>
      </c>
      <c r="L24" s="36">
        <f>'R2'!L30</f>
        <v>2.2856188824116979</v>
      </c>
      <c r="M24" s="36" t="str">
        <f>'R2'!M30</f>
        <v/>
      </c>
      <c r="O24" s="36">
        <f>'R2'!O30</f>
        <v>1.2775247278874649</v>
      </c>
      <c r="P24" s="36">
        <f>'R2'!P30</f>
        <v>1.8019701370634105</v>
      </c>
      <c r="Q24" s="36">
        <f>'R2'!Q30</f>
        <v>5.9871563987145361E-2</v>
      </c>
      <c r="R24" s="36">
        <f>'R2'!R30</f>
        <v>1.0194371404867766</v>
      </c>
      <c r="S24" s="36">
        <f>'R2'!S30</f>
        <v>1.3743546651410827</v>
      </c>
      <c r="T24" s="36">
        <f>'R2'!T30</f>
        <v>1.4938643934976279</v>
      </c>
      <c r="U24" s="36">
        <f>'R2'!U30</f>
        <v>1.11349247724041</v>
      </c>
      <c r="V24" s="36">
        <f>'R2'!V30</f>
        <v>2.4369380648508048</v>
      </c>
    </row>
    <row r="25" spans="1:22" x14ac:dyDescent="0.35">
      <c r="A25" s="150"/>
      <c r="B25" s="36">
        <f>'R2'!B31</f>
        <v>0.33784167897619094</v>
      </c>
      <c r="C25" s="36">
        <f>'R2'!C31</f>
        <v>7.9441224244274928E-3</v>
      </c>
      <c r="D25" s="36">
        <f>'R2'!D31</f>
        <v>1.6850257442280134</v>
      </c>
      <c r="E25" s="36">
        <f>'R2'!E31</f>
        <v>1.1274172809165277</v>
      </c>
      <c r="F25" s="36">
        <f>'R2'!F31</f>
        <v>0.90680460691994547</v>
      </c>
      <c r="G25" s="36">
        <f>'R2'!G31</f>
        <v>1.3183776077642899</v>
      </c>
      <c r="H25" s="36">
        <f>'R2'!H31</f>
        <v>2.0070824863828762</v>
      </c>
      <c r="I25" s="36">
        <f>'R2'!I31</f>
        <v>1.5548005305205687E-2</v>
      </c>
      <c r="J25" s="36">
        <f>'R2'!J31</f>
        <v>3.7514352935982501E-2</v>
      </c>
      <c r="K25" s="36">
        <f>'R2'!K31</f>
        <v>3.1222570302253241E-2</v>
      </c>
      <c r="L25" s="36">
        <f>'R2'!L31</f>
        <v>1.1626829918858315</v>
      </c>
      <c r="M25" s="36" t="str">
        <f>'R2'!M31</f>
        <v/>
      </c>
      <c r="O25" s="36">
        <f>'R2'!O31</f>
        <v>1.0636691641357794</v>
      </c>
      <c r="P25" s="36">
        <f>'R2'!P31</f>
        <v>2.0734489171604271</v>
      </c>
      <c r="Q25" s="36">
        <f>'R2'!Q31</f>
        <v>9.7256413982638512E-2</v>
      </c>
      <c r="R25" s="36">
        <f>'R2'!R31</f>
        <v>0.79005594011960623</v>
      </c>
      <c r="S25" s="36">
        <f>'R2'!S31</f>
        <v>1.4775667427619077</v>
      </c>
      <c r="T25" s="36">
        <f>'R2'!T31</f>
        <v>1.8738834142420122</v>
      </c>
      <c r="U25" s="36">
        <f>'R2'!U31</f>
        <v>2.5881401059937419</v>
      </c>
      <c r="V25" s="36">
        <f>'R2'!V31</f>
        <v>2.1940473531916771</v>
      </c>
    </row>
    <row r="26" spans="1:22" x14ac:dyDescent="0.35">
      <c r="A26" s="150"/>
      <c r="B26" s="36">
        <f>'R2'!B32</f>
        <v>1.9912843049426341E-2</v>
      </c>
      <c r="C26" s="36">
        <f>'R2'!C32</f>
        <v>2.9130803488485461E-2</v>
      </c>
      <c r="D26" s="36">
        <f>'R2'!D32</f>
        <v>3.8616893879330483E-2</v>
      </c>
      <c r="E26" s="36">
        <f>'R2'!E32</f>
        <v>0.11579328828936548</v>
      </c>
      <c r="F26" s="36">
        <f>'R2'!F32</f>
        <v>0.71642233410654932</v>
      </c>
      <c r="G26" s="36">
        <f>'R2'!G32</f>
        <v>1.4558417415202247</v>
      </c>
      <c r="H26" s="36">
        <f>'R2'!H32</f>
        <v>3.4139438612111102</v>
      </c>
      <c r="I26" s="36">
        <f>'R2'!I32</f>
        <v>2.2793989150449674E-2</v>
      </c>
      <c r="J26" s="36">
        <f>'R2'!J32</f>
        <v>2.5477348942361994E-2</v>
      </c>
      <c r="K26" s="36">
        <f>'R2'!K32</f>
        <v>0.37395622285542945</v>
      </c>
      <c r="L26" s="36">
        <f>'R2'!L32</f>
        <v>2.5587217471123971</v>
      </c>
      <c r="M26" s="36" t="str">
        <f>'R2'!M32</f>
        <v/>
      </c>
      <c r="O26" s="36">
        <f>'R2'!O32</f>
        <v>0.91971310683808638</v>
      </c>
      <c r="P26" s="36">
        <f>'R2'!P32</f>
        <v>2.3776239521574931</v>
      </c>
      <c r="Q26" s="36">
        <f>'R2'!Q32</f>
        <v>1.3208711280184394E-2</v>
      </c>
      <c r="R26" s="36">
        <f>'R2'!R32</f>
        <v>0.83875404926630326</v>
      </c>
      <c r="S26" s="36">
        <f>'R2'!S32</f>
        <v>0.13108052176440399</v>
      </c>
      <c r="T26" s="36">
        <f>'R2'!T32</f>
        <v>1.339389754183552</v>
      </c>
      <c r="U26" s="36">
        <f>'R2'!U32</f>
        <v>2.7518750885274006</v>
      </c>
      <c r="V26" s="36">
        <f>'R2'!V32</f>
        <v>1.5815202247170341</v>
      </c>
    </row>
    <row r="27" spans="1:22" x14ac:dyDescent="0.35">
      <c r="A27" s="150"/>
      <c r="B27" s="36">
        <f>'R2'!B33</f>
        <v>0.16677212081299886</v>
      </c>
      <c r="C27" s="36">
        <f>'R2'!C33</f>
        <v>4.3582154347638132E-2</v>
      </c>
      <c r="D27" s="36">
        <f>'R2'!D33</f>
        <v>5.8208039851586686E-2</v>
      </c>
      <c r="E27" s="36">
        <f>'R2'!E33</f>
        <v>0.15410290700989851</v>
      </c>
      <c r="F27" s="36">
        <f>'R2'!F33</f>
        <v>0.84740278541693881</v>
      </c>
      <c r="G27" s="36">
        <f>'R2'!G33</f>
        <v>1.2910006861448409</v>
      </c>
      <c r="H27" s="36">
        <f>'R2'!H33</f>
        <v>1.7298870344378487</v>
      </c>
      <c r="I27" s="36">
        <f>'R2'!I33</f>
        <v>2.8965981564226286E-2</v>
      </c>
      <c r="J27" s="36">
        <f>'R2'!J33</f>
        <v>6.5195900790446211E-3</v>
      </c>
      <c r="K27" s="36">
        <f>'R2'!K33</f>
        <v>0.41808405550231137</v>
      </c>
      <c r="L27" s="36">
        <f>'R2'!L33</f>
        <v>1.9989750136585132</v>
      </c>
      <c r="M27" s="36" t="str">
        <f>'R2'!M33</f>
        <v/>
      </c>
      <c r="O27" s="36">
        <f>'R2'!O33</f>
        <v>1.2106346931755261</v>
      </c>
      <c r="P27" s="36">
        <f>'R2'!P33</f>
        <v>2.2979922997257258</v>
      </c>
      <c r="Q27" s="36">
        <f>'R2'!Q33</f>
        <v>0.11403234262357505</v>
      </c>
      <c r="R27" s="36">
        <f>'R2'!R33</f>
        <v>0.67933416357472265</v>
      </c>
      <c r="S27" s="36">
        <f>'R2'!S33</f>
        <v>1.1085531173602003</v>
      </c>
      <c r="T27" s="36">
        <f>'R2'!T33</f>
        <v>1.3792133800083515</v>
      </c>
      <c r="U27" s="36">
        <f>'R2'!U33</f>
        <v>1.2531457993403443</v>
      </c>
      <c r="V27" s="36">
        <f>'R2'!V33</f>
        <v>2.0968206660203785</v>
      </c>
    </row>
    <row r="28" spans="1:22" x14ac:dyDescent="0.35">
      <c r="A28" s="150"/>
      <c r="B28" s="36">
        <f>'R2'!B34</f>
        <v>7.3190647091610453E-2</v>
      </c>
      <c r="C28" s="36">
        <f>'R2'!C34</f>
        <v>2.670733255214609E-2</v>
      </c>
      <c r="D28" s="36">
        <f>'R2'!D34</f>
        <v>4.6018869902891189E-2</v>
      </c>
      <c r="E28" s="36">
        <f>'R2'!E34</f>
        <v>0.48480897396512618</v>
      </c>
      <c r="F28" s="36">
        <f>'R2'!F34</f>
        <v>0.24098260356096296</v>
      </c>
      <c r="G28" s="36">
        <f>'R2'!G34</f>
        <v>1.6676629318067684</v>
      </c>
      <c r="H28" s="36">
        <f>'R2'!H34</f>
        <v>2.0227526365069526</v>
      </c>
      <c r="I28" s="36">
        <f>'R2'!I34</f>
        <v>2.6136047989669197E-4</v>
      </c>
      <c r="J28" s="36">
        <f>'R2'!J34</f>
        <v>2.1453928041249629E-2</v>
      </c>
      <c r="K28" s="36">
        <f>'R2'!K34</f>
        <v>6.3809925002345405E-2</v>
      </c>
      <c r="L28" s="36">
        <f>'R2'!L34</f>
        <v>2.5786001541526478</v>
      </c>
      <c r="M28" s="36" t="str">
        <f>'R2'!M34</f>
        <v/>
      </c>
      <c r="O28" s="36">
        <f>'R2'!O34</f>
        <v>0.40699242297426313</v>
      </c>
      <c r="P28" s="36">
        <f>'R2'!P34</f>
        <v>3.0381495795753262</v>
      </c>
      <c r="Q28" s="36">
        <f>'R2'!Q34</f>
        <v>2.6697619831609388E-2</v>
      </c>
      <c r="R28" s="36">
        <f>'R2'!R34</f>
        <v>1.3129005163561847</v>
      </c>
      <c r="S28" s="36">
        <f>'R2'!S34</f>
        <v>1.3432324596177088</v>
      </c>
      <c r="T28" s="36">
        <f>'R2'!T34</f>
        <v>1.0206956736084412</v>
      </c>
      <c r="U28" s="36">
        <f>'R2'!U34</f>
        <v>2.8576689838617999</v>
      </c>
      <c r="V28" s="36">
        <f>'R2'!V34</f>
        <v>2.1141093085757068</v>
      </c>
    </row>
    <row r="29" spans="1:22" x14ac:dyDescent="0.35">
      <c r="A29" s="150"/>
      <c r="B29" s="36">
        <f>'R2'!B35</f>
        <v>2.0983302582516735E-2</v>
      </c>
      <c r="C29" s="36">
        <f>'R2'!C35</f>
        <v>0.11457684362335983</v>
      </c>
      <c r="D29" s="36">
        <f>'R2'!D35</f>
        <v>2.0551822330795395E-2</v>
      </c>
      <c r="E29" s="36">
        <f>'R2'!E35</f>
        <v>0.37387027999492289</v>
      </c>
      <c r="F29" s="36">
        <f>'R2'!F35</f>
        <v>1.9048793543984093</v>
      </c>
      <c r="G29" s="36">
        <f>'R2'!G35</f>
        <v>0.80399752031301452</v>
      </c>
      <c r="H29" s="36">
        <f>'R2'!H35</f>
        <v>2.9401264493200174</v>
      </c>
      <c r="I29" s="36">
        <f>'R2'!I35</f>
        <v>4.8614226560243702E-2</v>
      </c>
      <c r="J29" s="36">
        <f>'R2'!J35</f>
        <v>1.6132240161731513E-2</v>
      </c>
      <c r="K29" s="36">
        <f>'R2'!K35</f>
        <v>2.5363150894839565E-2</v>
      </c>
      <c r="L29" s="36">
        <f>'R2'!L35</f>
        <v>2.7814844642459673</v>
      </c>
      <c r="M29" s="36" t="str">
        <f>'R2'!M35</f>
        <v/>
      </c>
      <c r="O29" s="36">
        <f>'R2'!O35</f>
        <v>1.2422984564500374</v>
      </c>
      <c r="P29" s="36">
        <f>'R2'!P35</f>
        <v>2.2873065411861662</v>
      </c>
      <c r="Q29" s="36">
        <f>'R2'!Q35</f>
        <v>0.15193608735561986</v>
      </c>
      <c r="R29" s="36">
        <f>'R2'!R35</f>
        <v>1.0302912528489727</v>
      </c>
      <c r="S29" s="36">
        <f>'R2'!S35</f>
        <v>1.7384418809566293</v>
      </c>
      <c r="T29" s="36">
        <f>'R2'!T35</f>
        <v>1.1367567975247279</v>
      </c>
      <c r="U29" s="36">
        <f>'R2'!U35</f>
        <v>2.3227149997148726</v>
      </c>
      <c r="V29" s="36">
        <f>'R2'!V35</f>
        <v>1.7931162564820453</v>
      </c>
    </row>
    <row r="30" spans="1:22" x14ac:dyDescent="0.35">
      <c r="A30" s="150"/>
      <c r="B30" s="36" t="str">
        <f>'R2'!B36</f>
        <v/>
      </c>
      <c r="C30" s="36" t="str">
        <f>'R2'!C36</f>
        <v/>
      </c>
      <c r="D30" s="36" t="str">
        <f>'R2'!D36</f>
        <v/>
      </c>
      <c r="E30" s="36" t="str">
        <f>'R2'!E36</f>
        <v/>
      </c>
      <c r="F30" s="36" t="str">
        <f>'R2'!F36</f>
        <v/>
      </c>
      <c r="G30" s="36" t="str">
        <f>'R2'!G36</f>
        <v/>
      </c>
      <c r="H30" s="36" t="str">
        <f>'R2'!H36</f>
        <v/>
      </c>
      <c r="I30" s="36" t="str">
        <f>'R2'!I36</f>
        <v/>
      </c>
      <c r="J30" s="36" t="str">
        <f>'R2'!J36</f>
        <v/>
      </c>
      <c r="K30" s="36" t="str">
        <f>'R2'!K36</f>
        <v/>
      </c>
      <c r="L30" s="36" t="str">
        <f>'R2'!L36</f>
        <v/>
      </c>
      <c r="M30" s="36" t="str">
        <f>'R2'!M36</f>
        <v/>
      </c>
      <c r="O30" s="36">
        <f>'R2'!O36</f>
        <v>0.55871865670131726</v>
      </c>
      <c r="P30" s="36" t="str">
        <f>'R2'!P36</f>
        <v/>
      </c>
      <c r="Q30" s="36" t="str">
        <f>'R2'!Q36</f>
        <v/>
      </c>
      <c r="R30" s="36" t="str">
        <f>'R2'!R36</f>
        <v/>
      </c>
      <c r="S30" s="36" t="str">
        <f>'R2'!S36</f>
        <v/>
      </c>
      <c r="T30" s="36" t="str">
        <f>'R2'!T36</f>
        <v/>
      </c>
      <c r="U30" s="36" t="str">
        <f>'R2'!U36</f>
        <v/>
      </c>
      <c r="V30" s="36" t="str">
        <f>'R2'!V36</f>
        <v/>
      </c>
    </row>
    <row r="31" spans="1:22" s="1" customFormat="1" x14ac:dyDescent="0.35">
      <c r="A31" s="150"/>
      <c r="B31" s="36" t="str">
        <f>'R2'!B37</f>
        <v/>
      </c>
      <c r="C31" s="36" t="str">
        <f>'R2'!C37</f>
        <v/>
      </c>
      <c r="D31" s="36" t="str">
        <f>'R2'!D37</f>
        <v/>
      </c>
      <c r="E31" s="36" t="str">
        <f>'R2'!E37</f>
        <v/>
      </c>
      <c r="F31" s="36" t="str">
        <f>'R2'!F37</f>
        <v/>
      </c>
      <c r="G31" s="36" t="str">
        <f>'R2'!G37</f>
        <v/>
      </c>
      <c r="H31" s="36" t="str">
        <f>'R2'!H37</f>
        <v/>
      </c>
      <c r="I31" s="36" t="str">
        <f>'R2'!I37</f>
        <v/>
      </c>
      <c r="J31" s="36" t="str">
        <f>'R2'!J37</f>
        <v/>
      </c>
      <c r="K31" s="36" t="str">
        <f>'R2'!K37</f>
        <v/>
      </c>
      <c r="L31" s="36" t="str">
        <f>'R2'!L37</f>
        <v/>
      </c>
      <c r="M31" s="36" t="str">
        <f>'R2'!M37</f>
        <v/>
      </c>
      <c r="N31"/>
      <c r="O31" s="36">
        <f>'R2'!O37</f>
        <v>1.4340254995704695</v>
      </c>
      <c r="P31" s="36" t="str">
        <f>'R2'!P37</f>
        <v/>
      </c>
      <c r="Q31" s="36" t="str">
        <f>'R2'!Q37</f>
        <v/>
      </c>
      <c r="R31" s="36" t="str">
        <f>'R2'!R37</f>
        <v/>
      </c>
      <c r="S31" s="36" t="str">
        <f>'R2'!S37</f>
        <v/>
      </c>
      <c r="T31" s="36" t="str">
        <f>'R2'!T37</f>
        <v/>
      </c>
      <c r="U31" s="36" t="str">
        <f>'R2'!U37</f>
        <v/>
      </c>
      <c r="V31" s="36" t="str">
        <f>'R2'!V37</f>
        <v/>
      </c>
    </row>
    <row r="32" spans="1:22" s="1" customFormat="1" x14ac:dyDescent="0.35">
      <c r="A32" s="150"/>
      <c r="B32" s="36" t="str">
        <f>'R2'!B38</f>
        <v/>
      </c>
      <c r="C32" s="36" t="str">
        <f>'R2'!C38</f>
        <v/>
      </c>
      <c r="D32" s="36" t="str">
        <f>'R2'!D38</f>
        <v/>
      </c>
      <c r="E32" s="36" t="str">
        <f>'R2'!E38</f>
        <v/>
      </c>
      <c r="F32" s="36" t="str">
        <f>'R2'!F38</f>
        <v/>
      </c>
      <c r="G32" s="36" t="str">
        <f>'R2'!G38</f>
        <v/>
      </c>
      <c r="H32" s="36" t="str">
        <f>'R2'!H38</f>
        <v/>
      </c>
      <c r="I32" s="36" t="str">
        <f>'R2'!I38</f>
        <v/>
      </c>
      <c r="J32" s="36" t="str">
        <f>'R2'!J38</f>
        <v/>
      </c>
      <c r="K32" s="36" t="str">
        <f>'R2'!K38</f>
        <v/>
      </c>
      <c r="L32" s="36" t="str">
        <f>'R2'!L38</f>
        <v/>
      </c>
      <c r="M32" s="36" t="str">
        <f>'R2'!M38</f>
        <v/>
      </c>
      <c r="N32"/>
      <c r="O32" s="36">
        <f>'R2'!O38</f>
        <v>0.99577783623396621</v>
      </c>
      <c r="P32" s="36" t="str">
        <f>'R2'!P38</f>
        <v/>
      </c>
      <c r="Q32" s="36" t="str">
        <f>'R2'!Q38</f>
        <v/>
      </c>
      <c r="R32" s="36" t="str">
        <f>'R2'!R38</f>
        <v/>
      </c>
      <c r="S32" s="36" t="str">
        <f>'R2'!S38</f>
        <v/>
      </c>
      <c r="T32" s="36" t="str">
        <f>'R2'!T38</f>
        <v/>
      </c>
      <c r="U32" s="36" t="str">
        <f>'R2'!U38</f>
        <v/>
      </c>
      <c r="V32" s="36" t="str">
        <f>'R2'!V38</f>
        <v/>
      </c>
    </row>
    <row r="33" spans="1:22" s="1" customFormat="1" x14ac:dyDescent="0.35">
      <c r="A33" s="150"/>
      <c r="B33" s="36" t="str">
        <f>'R2'!B39</f>
        <v/>
      </c>
      <c r="C33" s="36" t="str">
        <f>'R2'!C39</f>
        <v/>
      </c>
      <c r="D33" s="36" t="str">
        <f>'R2'!D39</f>
        <v/>
      </c>
      <c r="E33" s="36" t="str">
        <f>'R2'!E39</f>
        <v/>
      </c>
      <c r="F33" s="36" t="str">
        <f>'R2'!F39</f>
        <v/>
      </c>
      <c r="G33" s="36" t="str">
        <f>'R2'!G39</f>
        <v/>
      </c>
      <c r="H33" s="36" t="str">
        <f>'R2'!H39</f>
        <v/>
      </c>
      <c r="I33" s="36" t="str">
        <f>'R2'!I39</f>
        <v/>
      </c>
      <c r="J33" s="36" t="str">
        <f>'R2'!J39</f>
        <v/>
      </c>
      <c r="K33" s="36" t="str">
        <f>'R2'!K39</f>
        <v/>
      </c>
      <c r="L33" s="36" t="str">
        <f>'R2'!L39</f>
        <v/>
      </c>
      <c r="M33" s="36" t="str">
        <f>'R2'!M39</f>
        <v/>
      </c>
      <c r="N33"/>
      <c r="O33" s="36">
        <f>'R2'!O39</f>
        <v>1.0928093860199368</v>
      </c>
      <c r="P33" s="36" t="str">
        <f>'R2'!P39</f>
        <v/>
      </c>
      <c r="Q33" s="36" t="str">
        <f>'R2'!Q39</f>
        <v/>
      </c>
      <c r="R33" s="36" t="str">
        <f>'R2'!R39</f>
        <v/>
      </c>
      <c r="S33" s="36" t="str">
        <f>'R2'!S39</f>
        <v/>
      </c>
      <c r="T33" s="36" t="str">
        <f>'R2'!T39</f>
        <v/>
      </c>
      <c r="U33" s="36" t="str">
        <f>'R2'!U39</f>
        <v/>
      </c>
      <c r="V33" s="36" t="str">
        <f>'R2'!V39</f>
        <v/>
      </c>
    </row>
    <row r="34" spans="1:22" s="1" customFormat="1" x14ac:dyDescent="0.35">
      <c r="A34" s="150"/>
      <c r="B34" s="36" t="str">
        <f>'R2'!B40</f>
        <v/>
      </c>
      <c r="C34" s="36" t="str">
        <f>'R2'!C40</f>
        <v/>
      </c>
      <c r="D34" s="36" t="str">
        <f>'R2'!D40</f>
        <v/>
      </c>
      <c r="E34" s="36" t="str">
        <f>'R2'!E40</f>
        <v/>
      </c>
      <c r="F34" s="36" t="str">
        <f>'R2'!F40</f>
        <v/>
      </c>
      <c r="G34" s="36" t="str">
        <f>'R2'!G40</f>
        <v/>
      </c>
      <c r="H34" s="36" t="str">
        <f>'R2'!H40</f>
        <v/>
      </c>
      <c r="I34" s="36" t="str">
        <f>'R2'!I40</f>
        <v/>
      </c>
      <c r="J34" s="36" t="str">
        <f>'R2'!J40</f>
        <v/>
      </c>
      <c r="K34" s="36" t="str">
        <f>'R2'!K40</f>
        <v/>
      </c>
      <c r="L34" s="36" t="str">
        <f>'R2'!L40</f>
        <v/>
      </c>
      <c r="M34" s="36" t="str">
        <f>'R2'!M40</f>
        <v/>
      </c>
      <c r="N34"/>
      <c r="O34" s="36">
        <f>'R2'!O40</f>
        <v>0.90635782177525726</v>
      </c>
      <c r="P34" s="36" t="str">
        <f>'R2'!P40</f>
        <v/>
      </c>
      <c r="Q34" s="36" t="str">
        <f>'R2'!Q40</f>
        <v/>
      </c>
      <c r="R34" s="36" t="str">
        <f>'R2'!R40</f>
        <v/>
      </c>
      <c r="S34" s="36" t="str">
        <f>'R2'!S40</f>
        <v/>
      </c>
      <c r="T34" s="36" t="str">
        <f>'R2'!T40</f>
        <v/>
      </c>
      <c r="U34" s="36" t="str">
        <f>'R2'!U40</f>
        <v/>
      </c>
      <c r="V34" s="36" t="str">
        <f>'R2'!V40</f>
        <v/>
      </c>
    </row>
    <row r="35" spans="1:22" s="1" customFormat="1" x14ac:dyDescent="0.35">
      <c r="A35" s="150"/>
      <c r="B35" s="36" t="str">
        <f>'R2'!B41</f>
        <v/>
      </c>
      <c r="C35" s="36" t="str">
        <f>'R2'!C41</f>
        <v/>
      </c>
      <c r="D35" s="36" t="str">
        <f>'R2'!D41</f>
        <v/>
      </c>
      <c r="E35" s="36" t="str">
        <f>'R2'!E41</f>
        <v/>
      </c>
      <c r="F35" s="36" t="str">
        <f>'R2'!F41</f>
        <v/>
      </c>
      <c r="G35" s="36" t="str">
        <f>'R2'!G41</f>
        <v/>
      </c>
      <c r="H35" s="36" t="str">
        <f>'R2'!H41</f>
        <v/>
      </c>
      <c r="I35" s="36" t="str">
        <f>'R2'!I41</f>
        <v/>
      </c>
      <c r="J35" s="36" t="str">
        <f>'R2'!J41</f>
        <v/>
      </c>
      <c r="K35" s="36" t="str">
        <f>'R2'!K41</f>
        <v/>
      </c>
      <c r="L35" s="36" t="str">
        <f>'R2'!L41</f>
        <v/>
      </c>
      <c r="M35" s="36" t="str">
        <f>'R2'!M41</f>
        <v/>
      </c>
      <c r="N35"/>
      <c r="O35" s="36">
        <f>'R2'!O41</f>
        <v>0.63853485082328187</v>
      </c>
      <c r="P35" s="36" t="str">
        <f>'R2'!P41</f>
        <v/>
      </c>
      <c r="Q35" s="36" t="str">
        <f>'R2'!Q41</f>
        <v/>
      </c>
      <c r="R35" s="36" t="str">
        <f>'R2'!R41</f>
        <v/>
      </c>
      <c r="S35" s="36" t="str">
        <f>'R2'!S41</f>
        <v/>
      </c>
      <c r="T35" s="36" t="str">
        <f>'R2'!T41</f>
        <v/>
      </c>
      <c r="U35" s="36" t="str">
        <f>'R2'!U41</f>
        <v/>
      </c>
      <c r="V35" s="36" t="str">
        <f>'R2'!V41</f>
        <v/>
      </c>
    </row>
    <row r="36" spans="1:22" x14ac:dyDescent="0.35">
      <c r="A36" s="150"/>
      <c r="B36" s="36" t="str">
        <f>'R2'!B42</f>
        <v/>
      </c>
      <c r="C36" s="36" t="str">
        <f>'R2'!C42</f>
        <v/>
      </c>
      <c r="D36" s="36" t="str">
        <f>'R2'!D42</f>
        <v/>
      </c>
      <c r="E36" s="36" t="str">
        <f>'R2'!E42</f>
        <v/>
      </c>
      <c r="F36" s="36" t="str">
        <f>'R2'!F42</f>
        <v/>
      </c>
      <c r="G36" s="36" t="str">
        <f>'R2'!G42</f>
        <v/>
      </c>
      <c r="H36" s="36" t="str">
        <f>'R2'!H42</f>
        <v/>
      </c>
      <c r="I36" s="36" t="str">
        <f>'R2'!I42</f>
        <v/>
      </c>
      <c r="J36" s="36" t="str">
        <f>'R2'!J42</f>
        <v/>
      </c>
      <c r="K36" s="36" t="str">
        <f>'R2'!K42</f>
        <v/>
      </c>
      <c r="L36" s="36" t="str">
        <f>'R2'!L42</f>
        <v/>
      </c>
      <c r="M36" s="36" t="str">
        <f>'R2'!M42</f>
        <v/>
      </c>
      <c r="O36" s="36">
        <f>'R2'!O42</f>
        <v>1.4229809590207811</v>
      </c>
      <c r="P36" s="36" t="str">
        <f>'R2'!P42</f>
        <v/>
      </c>
      <c r="Q36" s="36" t="str">
        <f>'R2'!Q42</f>
        <v/>
      </c>
      <c r="R36" s="36" t="str">
        <f>'R2'!R42</f>
        <v/>
      </c>
      <c r="S36" s="36" t="str">
        <f>'R2'!S42</f>
        <v/>
      </c>
      <c r="T36" s="36" t="str">
        <f>'R2'!T42</f>
        <v/>
      </c>
      <c r="U36" s="36" t="str">
        <f>'R2'!U42</f>
        <v/>
      </c>
      <c r="V36" s="36" t="str">
        <f>'R2'!V42</f>
        <v/>
      </c>
    </row>
    <row r="37" spans="1:22" x14ac:dyDescent="0.35">
      <c r="A37" s="151"/>
      <c r="B37" s="36" t="str">
        <f>'R2'!B43</f>
        <v/>
      </c>
      <c r="C37" s="36" t="str">
        <f>'R2'!C43</f>
        <v/>
      </c>
      <c r="D37" s="36" t="str">
        <f>'R2'!D43</f>
        <v/>
      </c>
      <c r="E37" s="36" t="str">
        <f>'R2'!E43</f>
        <v/>
      </c>
      <c r="F37" s="36" t="str">
        <f>'R2'!F43</f>
        <v/>
      </c>
      <c r="G37" s="36" t="str">
        <f>'R2'!G43</f>
        <v/>
      </c>
      <c r="H37" s="36" t="str">
        <f>'R2'!H43</f>
        <v/>
      </c>
      <c r="I37" s="36" t="str">
        <f>'R2'!I43</f>
        <v/>
      </c>
      <c r="J37" s="36" t="str">
        <f>'R2'!J43</f>
        <v/>
      </c>
      <c r="K37" s="36" t="str">
        <f>'R2'!K43</f>
        <v/>
      </c>
      <c r="L37" s="36" t="str">
        <f>'R2'!L43</f>
        <v/>
      </c>
      <c r="M37" s="36" t="str">
        <f>'R2'!M43</f>
        <v/>
      </c>
      <c r="O37" s="36">
        <f>'R2'!O43</f>
        <v>7.5918449938099805E-2</v>
      </c>
      <c r="P37" s="36" t="str">
        <f>'R2'!P43</f>
        <v/>
      </c>
      <c r="Q37" s="36" t="str">
        <f>'R2'!Q43</f>
        <v/>
      </c>
      <c r="R37" s="36" t="str">
        <f>'R2'!R43</f>
        <v/>
      </c>
      <c r="S37" s="36" t="str">
        <f>'R2'!S43</f>
        <v/>
      </c>
      <c r="T37" s="36" t="str">
        <f>'R2'!T43</f>
        <v/>
      </c>
      <c r="U37" s="36" t="str">
        <f>'R2'!U43</f>
        <v/>
      </c>
      <c r="V37" s="36" t="str">
        <f>'R2'!V43</f>
        <v/>
      </c>
    </row>
    <row r="38" spans="1:22" s="1" customFormat="1" x14ac:dyDescent="0.35">
      <c r="A38" s="82" t="s">
        <v>16</v>
      </c>
      <c r="B38" s="83">
        <f>'R3'!B28</f>
        <v>5.3705075860130826E-2</v>
      </c>
      <c r="C38" s="83">
        <f>'R3'!C28</f>
        <v>3.2399631183667205E-2</v>
      </c>
      <c r="D38" s="83">
        <f>'R3'!D28</f>
        <v>0.2749180991617613</v>
      </c>
      <c r="E38" s="83">
        <f>'R3'!E28</f>
        <v>1.2266170662297655</v>
      </c>
      <c r="F38" s="83">
        <f>'R3'!F28</f>
        <v>1.5207386756654375</v>
      </c>
      <c r="G38" s="83">
        <f>'R3'!G28</f>
        <v>5.3495860232226811</v>
      </c>
      <c r="H38" s="83">
        <f>'R3'!H28</f>
        <v>8.0462367624126028</v>
      </c>
      <c r="I38" s="83">
        <f>'R3'!I28</f>
        <v>2.5750507194888143E-2</v>
      </c>
      <c r="J38" s="83">
        <f>'R3'!J28</f>
        <v>0.16969245266482838</v>
      </c>
      <c r="K38" s="83">
        <f>'R3'!K28</f>
        <v>3.24894450588969E-2</v>
      </c>
      <c r="L38" s="83">
        <f>'R3'!L28</f>
        <v>5.7145367378586487</v>
      </c>
      <c r="M38" s="83">
        <f>'R3'!M28</f>
        <v>7.3127398809096986</v>
      </c>
      <c r="N38"/>
      <c r="O38" s="83">
        <f>'R3'!O28</f>
        <v>0.35131638893174361</v>
      </c>
      <c r="P38" s="83">
        <f>'R3'!P28</f>
        <v>5.8524980932659147</v>
      </c>
      <c r="Q38" s="83">
        <f>'R3'!Q28</f>
        <v>4.2668109483113906E-2</v>
      </c>
      <c r="R38" s="83">
        <f>'R3'!R28</f>
        <v>1.4120783727464141</v>
      </c>
      <c r="S38" s="83">
        <f>'R3'!S28</f>
        <v>0.85230253079565677</v>
      </c>
      <c r="T38" s="83">
        <f>'R3'!T28</f>
        <v>4.2487960232733828</v>
      </c>
      <c r="U38" s="83">
        <f>'R3'!U28</f>
        <v>4.71035532252235</v>
      </c>
      <c r="V38" s="83">
        <f>'R3'!V28</f>
        <v>6.1465378561862565</v>
      </c>
    </row>
    <row r="39" spans="1:22" s="1" customFormat="1" x14ac:dyDescent="0.35">
      <c r="A39" s="149"/>
      <c r="B39" s="83">
        <f>'R3'!B29</f>
        <v>2.3421865187924669E-2</v>
      </c>
      <c r="C39" s="83">
        <f>'R3'!C29</f>
        <v>3.3997448996221299E-2</v>
      </c>
      <c r="D39" s="83">
        <f>'R3'!D29</f>
        <v>0.623131563565408</v>
      </c>
      <c r="E39" s="83">
        <f>'R3'!E29</f>
        <v>1.2300481011246291</v>
      </c>
      <c r="F39" s="83">
        <f>'R3'!F29</f>
        <v>3.6237399801395447</v>
      </c>
      <c r="G39" s="83">
        <f>'R3'!G29</f>
        <v>4.357303497743426</v>
      </c>
      <c r="H39" s="83">
        <f>'R3'!H29</f>
        <v>8.3503718946309409</v>
      </c>
      <c r="I39" s="83">
        <f>'R3'!I29</f>
        <v>2.6723973713506776E-2</v>
      </c>
      <c r="J39" s="83">
        <f>'R3'!J29</f>
        <v>0.1106528671993209</v>
      </c>
      <c r="K39" s="83">
        <f>'R3'!K29</f>
        <v>0.19215244022126082</v>
      </c>
      <c r="L39" s="83">
        <f>'R3'!L29</f>
        <v>5.4330086272021605</v>
      </c>
      <c r="M39" s="83">
        <f>'R3'!M29</f>
        <v>6.9731181276993954</v>
      </c>
      <c r="N39"/>
      <c r="O39" s="83">
        <f>'R3'!O29</f>
        <v>8.1445974418980285E-2</v>
      </c>
      <c r="P39" s="83">
        <f>'R3'!P29</f>
        <v>4.7247240939482111</v>
      </c>
      <c r="Q39" s="83">
        <f>'R3'!Q29</f>
        <v>4.001787585839249E-2</v>
      </c>
      <c r="R39" s="83">
        <f>'R3'!R29</f>
        <v>2.408615468411953</v>
      </c>
      <c r="S39" s="83">
        <f>'R3'!S29</f>
        <v>2.3431418776749506</v>
      </c>
      <c r="T39" s="83">
        <f>'R3'!T29</f>
        <v>3.9836502531809685</v>
      </c>
      <c r="U39" s="83">
        <f>'R3'!U29</f>
        <v>4.6942322833077288</v>
      </c>
      <c r="V39" s="83">
        <f>'R3'!V29</f>
        <v>3.0185291819042424</v>
      </c>
    </row>
    <row r="40" spans="1:22" s="1" customFormat="1" x14ac:dyDescent="0.35">
      <c r="A40" s="150"/>
      <c r="B40" s="83">
        <f>'R3'!B30</f>
        <v>2.9587877444621418E-2</v>
      </c>
      <c r="C40" s="83">
        <f>'R3'!C30</f>
        <v>0.16013451800731984</v>
      </c>
      <c r="D40" s="83">
        <f>'R3'!D30</f>
        <v>3.0152835692034016E-2</v>
      </c>
      <c r="E40" s="83">
        <f>'R3'!E30</f>
        <v>1.4027268651408449</v>
      </c>
      <c r="F40" s="83">
        <f>'R3'!F30</f>
        <v>2.4641443453836032</v>
      </c>
      <c r="G40" s="83">
        <f>'R3'!G30</f>
        <v>3.7517421356725502</v>
      </c>
      <c r="H40" s="83">
        <f>'R3'!H30</f>
        <v>4.668085581034207</v>
      </c>
      <c r="I40" s="83">
        <f>'R3'!I30</f>
        <v>0.1172636029994937</v>
      </c>
      <c r="J40" s="83">
        <f>'R3'!J30</f>
        <v>6.8222329902298443E-2</v>
      </c>
      <c r="K40" s="83">
        <f>'R3'!K30</f>
        <v>9.1233513902680877E-2</v>
      </c>
      <c r="L40" s="83">
        <f>'R3'!L30</f>
        <v>4.8331403059321341</v>
      </c>
      <c r="M40" s="83">
        <f>'R3'!M30</f>
        <v>6.3370888570677364</v>
      </c>
      <c r="N40"/>
      <c r="O40" s="83">
        <f>'R3'!O30</f>
        <v>0.40227127701568771</v>
      </c>
      <c r="P40" s="83">
        <f>'R3'!P30</f>
        <v>5.0855679967087557</v>
      </c>
      <c r="Q40" s="83">
        <f>'R3'!Q30</f>
        <v>0.31458468687913443</v>
      </c>
      <c r="R40" s="83">
        <f>'R3'!R30</f>
        <v>1.3202675874037488</v>
      </c>
      <c r="S40" s="83">
        <f>'R3'!S30</f>
        <v>4.7104480336193619E-2</v>
      </c>
      <c r="T40" s="83">
        <f>'R3'!T30</f>
        <v>3.1925240089147513</v>
      </c>
      <c r="U40" s="83">
        <f>'R3'!U30</f>
        <v>3.9951717799009585</v>
      </c>
      <c r="V40" s="83">
        <f>'R3'!V30</f>
        <v>4.9567126093610687</v>
      </c>
    </row>
    <row r="41" spans="1:22" s="1" customFormat="1" x14ac:dyDescent="0.35">
      <c r="A41" s="150"/>
      <c r="B41" s="83">
        <f>'R3'!B31</f>
        <v>1.5302401144982047E-2</v>
      </c>
      <c r="C41" s="83">
        <f>'R3'!C31</f>
        <v>0.18872285393728819</v>
      </c>
      <c r="D41" s="83">
        <f>'R3'!D31</f>
        <v>0.23262952573203741</v>
      </c>
      <c r="E41" s="83">
        <f>'R3'!E31</f>
        <v>0.92066899748158992</v>
      </c>
      <c r="F41" s="83">
        <f>'R3'!F31</f>
        <v>1.3551371001562327</v>
      </c>
      <c r="G41" s="83">
        <f>'R3'!G31</f>
        <v>5.0256425856835234</v>
      </c>
      <c r="H41" s="83">
        <f>'R3'!H31</f>
        <v>6.4947252455938687</v>
      </c>
      <c r="I41" s="83">
        <f>'R3'!I31</f>
        <v>1.3677059725502722E-2</v>
      </c>
      <c r="J41" s="83">
        <f>'R3'!J31</f>
        <v>0.11412808472635379</v>
      </c>
      <c r="K41" s="83">
        <f>'R3'!K31</f>
        <v>0.71082756967275151</v>
      </c>
      <c r="L41" s="83">
        <f>'R3'!L31</f>
        <v>5.0326096797628335</v>
      </c>
      <c r="M41" s="83">
        <f>'R3'!M31</f>
        <v>6.495856610699585</v>
      </c>
      <c r="N41"/>
      <c r="O41" s="83">
        <f>'R3'!O31</f>
        <v>8.3545735905197108E-2</v>
      </c>
      <c r="P41" s="83">
        <f>'R3'!P31</f>
        <v>3.8295390592576015</v>
      </c>
      <c r="Q41" s="83">
        <f>'R3'!Q31</f>
        <v>2.9868183651991512E-2</v>
      </c>
      <c r="R41" s="83">
        <f>'R3'!R31</f>
        <v>2.9782577991399597</v>
      </c>
      <c r="S41" s="83">
        <f>'R3'!S31</f>
        <v>3.0878966387157196</v>
      </c>
      <c r="T41" s="83">
        <f>'R3'!T31</f>
        <v>4.1575197753494226</v>
      </c>
      <c r="U41" s="83">
        <f>'R3'!U31</f>
        <v>6.1257734676775071</v>
      </c>
      <c r="V41" s="83">
        <f>'R3'!V31</f>
        <v>2.2416268479748056</v>
      </c>
    </row>
    <row r="42" spans="1:22" s="1" customFormat="1" x14ac:dyDescent="0.35">
      <c r="A42" s="150"/>
      <c r="B42" s="83">
        <f>'R3'!B32</f>
        <v>0.2653311922864367</v>
      </c>
      <c r="C42" s="83">
        <f>'R3'!C32</f>
        <v>4.860524121906401E-2</v>
      </c>
      <c r="D42" s="83">
        <f>'R3'!D32</f>
        <v>0.11491178321827741</v>
      </c>
      <c r="E42" s="83">
        <f>'R3'!E32</f>
        <v>1.9006390546944771</v>
      </c>
      <c r="F42" s="83">
        <f>'R3'!F32</f>
        <v>2.1734972291695187</v>
      </c>
      <c r="G42" s="83">
        <f>'R3'!G32</f>
        <v>5.6774102893382965</v>
      </c>
      <c r="H42" s="83">
        <f>'R3'!H32</f>
        <v>6.7635012345786318</v>
      </c>
      <c r="I42" s="83">
        <f>'R3'!I32</f>
        <v>6.3157986228056268E-2</v>
      </c>
      <c r="J42" s="83">
        <f>'R3'!J32</f>
        <v>1.5137983808876073E-4</v>
      </c>
      <c r="K42" s="83">
        <f>'R3'!K32</f>
        <v>0.12547939966667462</v>
      </c>
      <c r="L42" s="83">
        <f>'R3'!L32</f>
        <v>2.6210651201296797</v>
      </c>
      <c r="M42" s="83">
        <f>'R3'!M32</f>
        <v>7.5890327118068308</v>
      </c>
      <c r="N42"/>
      <c r="O42" s="83">
        <f>'R3'!O32</f>
        <v>7.7812133999404622E-3</v>
      </c>
      <c r="P42" s="83">
        <f>'R3'!P32</f>
        <v>3.1703972018632034</v>
      </c>
      <c r="Q42" s="83">
        <f>'R3'!Q32</f>
        <v>7.0320642777624467E-2</v>
      </c>
      <c r="R42" s="83">
        <f>'R3'!R32</f>
        <v>1.5038551157331457</v>
      </c>
      <c r="S42" s="83">
        <f>'R3'!S32</f>
        <v>2.2176255384305605</v>
      </c>
      <c r="T42" s="83">
        <f>'R3'!T32</f>
        <v>2.6313415657890258</v>
      </c>
      <c r="U42" s="83">
        <f>'R3'!U32</f>
        <v>5.021944282079307</v>
      </c>
      <c r="V42" s="83">
        <f>'R3'!V32</f>
        <v>5.1099372534192646</v>
      </c>
    </row>
    <row r="43" spans="1:22" s="1" customFormat="1" x14ac:dyDescent="0.35">
      <c r="A43" s="150"/>
      <c r="B43" s="83">
        <f>'R3'!B33</f>
        <v>5.2468686464831708E-3</v>
      </c>
      <c r="C43" s="83">
        <f>'R3'!C33</f>
        <v>7.3136742349342657E-2</v>
      </c>
      <c r="D43" s="83">
        <f>'R3'!D33</f>
        <v>2.5150057980650904E-2</v>
      </c>
      <c r="E43" s="83">
        <f>'R3'!E33</f>
        <v>1.0846140864371632</v>
      </c>
      <c r="F43" s="83">
        <f>'R3'!F33</f>
        <v>3.5974042341447725</v>
      </c>
      <c r="G43" s="83">
        <f>'R3'!G33</f>
        <v>3.7787471398988726</v>
      </c>
      <c r="H43" s="83">
        <f>'R3'!H33</f>
        <v>7.1114597434654971</v>
      </c>
      <c r="I43" s="83">
        <f>'R3'!I33</f>
        <v>4.757238165392251E-2</v>
      </c>
      <c r="J43" s="83">
        <f>'R3'!J33</f>
        <v>8.17494584006032E-2</v>
      </c>
      <c r="K43" s="83">
        <f>'R3'!K33</f>
        <v>6.2866815439005158E-2</v>
      </c>
      <c r="L43" s="83">
        <f>'R3'!L33</f>
        <v>5.913122459045959</v>
      </c>
      <c r="M43" s="83">
        <f>'R3'!M33</f>
        <v>5.729218409236922</v>
      </c>
      <c r="N43"/>
      <c r="O43" s="83">
        <f>'R3'!O33</f>
        <v>2.6435620472638277</v>
      </c>
      <c r="P43" s="83">
        <f>'R3'!P33</f>
        <v>4.6599009295011777</v>
      </c>
      <c r="Q43" s="83">
        <f>'R3'!Q33</f>
        <v>5.2660627407862912E-2</v>
      </c>
      <c r="R43" s="83">
        <f>'R3'!R33</f>
        <v>2.9905912722642438</v>
      </c>
      <c r="S43" s="83">
        <f>'R3'!S33</f>
        <v>1.1159837552774705</v>
      </c>
      <c r="T43" s="83">
        <f>'R3'!T33</f>
        <v>4.9853501980613242</v>
      </c>
      <c r="U43" s="83">
        <f>'R3'!U33</f>
        <v>4.5008514210510686</v>
      </c>
      <c r="V43" s="83">
        <f>'R3'!V33</f>
        <v>3.1089891375912355</v>
      </c>
    </row>
    <row r="44" spans="1:22" s="1" customFormat="1" x14ac:dyDescent="0.35">
      <c r="A44" s="150"/>
      <c r="B44" s="83">
        <f>'R3'!B34</f>
        <v>5.3415353681970514E-2</v>
      </c>
      <c r="C44" s="83">
        <f>'R3'!C34</f>
        <v>0.16263264748850709</v>
      </c>
      <c r="D44" s="83">
        <f>'R3'!D34</f>
        <v>0.54705269249684751</v>
      </c>
      <c r="E44" s="83">
        <f>'R3'!E34</f>
        <v>1.2008788722274493</v>
      </c>
      <c r="F44" s="83">
        <f>'R3'!F34</f>
        <v>2.3731034967293989</v>
      </c>
      <c r="G44" s="83">
        <f>'R3'!G34</f>
        <v>4.7473448773135223</v>
      </c>
      <c r="H44" s="83">
        <f>'R3'!H34</f>
        <v>5.961517651685857</v>
      </c>
      <c r="I44" s="83">
        <f>'R3'!I34</f>
        <v>8.1019358511639231E-2</v>
      </c>
      <c r="J44" s="83">
        <f>'R3'!J34</f>
        <v>1.3049086904340255E-2</v>
      </c>
      <c r="K44" s="83">
        <f>'R3'!K34</f>
        <v>0.14669068463523616</v>
      </c>
      <c r="L44" s="83">
        <f>'R3'!L34</f>
        <v>5.8381358405890635</v>
      </c>
      <c r="M44" s="83">
        <f>'R3'!M34</f>
        <v>7.7487652402919531</v>
      </c>
      <c r="N44"/>
      <c r="O44" s="83">
        <f>'R3'!O34</f>
        <v>0.4051844335170896</v>
      </c>
      <c r="P44" s="83">
        <f>'R3'!P34</f>
        <v>3.6719070165641412</v>
      </c>
      <c r="Q44" s="83">
        <f>'R3'!Q34</f>
        <v>6.0900326154742064E-2</v>
      </c>
      <c r="R44" s="83">
        <f>'R3'!R34</f>
        <v>1.1927536137409436</v>
      </c>
      <c r="S44" s="83">
        <f>'R3'!S34</f>
        <v>6.3046443189464549E-2</v>
      </c>
      <c r="T44" s="83">
        <f>'R3'!T34</f>
        <v>4.6786133606831068</v>
      </c>
      <c r="U44" s="83">
        <f>'R3'!U34</f>
        <v>7.3272462703701855</v>
      </c>
      <c r="V44" s="83">
        <f>'R3'!V34</f>
        <v>5.9035065799528184</v>
      </c>
    </row>
    <row r="45" spans="1:22" s="1" customFormat="1" x14ac:dyDescent="0.35">
      <c r="A45" s="150"/>
      <c r="B45" s="83">
        <f>'R3'!B35</f>
        <v>2.66522674744121E-2</v>
      </c>
      <c r="C45" s="83">
        <f>'R3'!C35</f>
        <v>4.1549781875415116E-2</v>
      </c>
      <c r="D45" s="83">
        <f>'R3'!D35</f>
        <v>0.31216985252416823</v>
      </c>
      <c r="E45" s="83">
        <f>'R3'!E35</f>
        <v>2.9460363470958613</v>
      </c>
      <c r="F45" s="83">
        <f>'R3'!F35</f>
        <v>2.8094156810680317</v>
      </c>
      <c r="G45" s="83">
        <f>'R3'!G35</f>
        <v>3.7459991177959675</v>
      </c>
      <c r="H45" s="83">
        <f>'R3'!H35</f>
        <v>4.3958734870164626</v>
      </c>
      <c r="I45" s="83">
        <f>'R3'!I35</f>
        <v>3.5973354251274597E-2</v>
      </c>
      <c r="J45" s="83">
        <f>'R3'!J35</f>
        <v>0.28967220108457498</v>
      </c>
      <c r="K45" s="83">
        <f>'R3'!K35</f>
        <v>0.32313583696753589</v>
      </c>
      <c r="L45" s="83" t="str">
        <f>'R3'!L35</f>
        <v/>
      </c>
      <c r="M45" s="83">
        <f>'R3'!M35</f>
        <v>7.8957818623776195</v>
      </c>
      <c r="N45"/>
      <c r="O45" s="83">
        <f>'R3'!O35</f>
        <v>0.40621512016589489</v>
      </c>
      <c r="P45" s="83">
        <f>'R3'!P35</f>
        <v>4.6151417501971919</v>
      </c>
      <c r="Q45" s="83">
        <f>'R3'!Q35</f>
        <v>3.4118408005603229E-2</v>
      </c>
      <c r="R45" s="83">
        <f>'R3'!R35</f>
        <v>4.5943831561320065</v>
      </c>
      <c r="S45" s="83">
        <f>'R3'!S35</f>
        <v>5.1258495197492744</v>
      </c>
      <c r="T45" s="83">
        <f>'R3'!T35</f>
        <v>2.9475190003425964</v>
      </c>
      <c r="U45" s="83">
        <f>'R3'!U35</f>
        <v>5.3221420898964462</v>
      </c>
      <c r="V45" s="83">
        <f>'R3'!V35</f>
        <v>5.0525237336786821</v>
      </c>
    </row>
    <row r="46" spans="1:22" s="1" customFormat="1" x14ac:dyDescent="0.35">
      <c r="A46" s="150"/>
      <c r="B46" s="83" t="str">
        <f>'R3'!B36</f>
        <v/>
      </c>
      <c r="C46" s="83" t="str">
        <f>'R3'!C36</f>
        <v/>
      </c>
      <c r="D46" s="83" t="str">
        <f>'R3'!D36</f>
        <v/>
      </c>
      <c r="E46" s="83" t="str">
        <f>'R3'!E36</f>
        <v/>
      </c>
      <c r="F46" s="83" t="str">
        <f>'R3'!F36</f>
        <v/>
      </c>
      <c r="G46" s="83" t="str">
        <f>'R3'!G36</f>
        <v/>
      </c>
      <c r="H46" s="83" t="str">
        <f>'R3'!H36</f>
        <v/>
      </c>
      <c r="I46" s="83" t="str">
        <f>'R3'!I36</f>
        <v/>
      </c>
      <c r="J46" s="83" t="str">
        <f>'R3'!J36</f>
        <v/>
      </c>
      <c r="K46" s="83" t="str">
        <f>'R3'!K36</f>
        <v/>
      </c>
      <c r="L46" s="83" t="str">
        <f>'R3'!L36</f>
        <v/>
      </c>
      <c r="M46" s="83" t="str">
        <f>'R3'!M36</f>
        <v/>
      </c>
      <c r="N46"/>
      <c r="O46" s="83">
        <f>'R3'!O36</f>
        <v>1.7405059852980482E-2</v>
      </c>
      <c r="P46" s="83" t="str">
        <f>'R3'!P36</f>
        <v/>
      </c>
      <c r="Q46" s="83" t="str">
        <f>'R3'!Q36</f>
        <v/>
      </c>
      <c r="R46" s="83" t="str">
        <f>'R3'!R36</f>
        <v/>
      </c>
      <c r="S46" s="83" t="str">
        <f>'R3'!S36</f>
        <v/>
      </c>
      <c r="T46" s="83" t="str">
        <f>'R3'!T36</f>
        <v/>
      </c>
      <c r="U46" s="83" t="str">
        <f>'R3'!U36</f>
        <v/>
      </c>
      <c r="V46" s="83" t="str">
        <f>'R3'!V36</f>
        <v/>
      </c>
    </row>
    <row r="47" spans="1:22" s="1" customFormat="1" x14ac:dyDescent="0.35">
      <c r="A47" s="150"/>
      <c r="B47" s="83" t="str">
        <f>'R3'!B37</f>
        <v/>
      </c>
      <c r="C47" s="83" t="str">
        <f>'R3'!C37</f>
        <v/>
      </c>
      <c r="D47" s="83" t="str">
        <f>'R3'!D37</f>
        <v/>
      </c>
      <c r="E47" s="83" t="str">
        <f>'R3'!E37</f>
        <v/>
      </c>
      <c r="F47" s="83" t="str">
        <f>'R3'!F37</f>
        <v/>
      </c>
      <c r="G47" s="83" t="str">
        <f>'R3'!G37</f>
        <v/>
      </c>
      <c r="H47" s="83" t="str">
        <f>'R3'!H37</f>
        <v/>
      </c>
      <c r="I47" s="83" t="str">
        <f>'R3'!I37</f>
        <v/>
      </c>
      <c r="J47" s="83" t="str">
        <f>'R3'!J37</f>
        <v/>
      </c>
      <c r="K47" s="83" t="str">
        <f>'R3'!K37</f>
        <v/>
      </c>
      <c r="L47" s="83" t="str">
        <f>'R3'!L37</f>
        <v/>
      </c>
      <c r="M47" s="83" t="str">
        <f>'R3'!M37</f>
        <v/>
      </c>
      <c r="N47"/>
      <c r="O47" s="83">
        <f>'R3'!O37</f>
        <v>1.2745965075440033</v>
      </c>
      <c r="P47" s="83" t="str">
        <f>'R3'!P37</f>
        <v/>
      </c>
      <c r="Q47" s="83" t="str">
        <f>'R3'!Q37</f>
        <v/>
      </c>
      <c r="R47" s="83" t="str">
        <f>'R3'!R37</f>
        <v/>
      </c>
      <c r="S47" s="83" t="str">
        <f>'R3'!S37</f>
        <v/>
      </c>
      <c r="T47" s="83" t="str">
        <f>'R3'!T37</f>
        <v/>
      </c>
      <c r="U47" s="83" t="str">
        <f>'R3'!U37</f>
        <v/>
      </c>
      <c r="V47" s="83" t="str">
        <f>'R3'!V37</f>
        <v/>
      </c>
    </row>
    <row r="48" spans="1:22" s="1" customFormat="1" x14ac:dyDescent="0.35">
      <c r="A48" s="150"/>
      <c r="B48" s="83" t="str">
        <f>'R3'!B38</f>
        <v/>
      </c>
      <c r="C48" s="83" t="str">
        <f>'R3'!C38</f>
        <v/>
      </c>
      <c r="D48" s="83" t="str">
        <f>'R3'!D38</f>
        <v/>
      </c>
      <c r="E48" s="83" t="str">
        <f>'R3'!E38</f>
        <v/>
      </c>
      <c r="F48" s="83" t="str">
        <f>'R3'!F38</f>
        <v/>
      </c>
      <c r="G48" s="83" t="str">
        <f>'R3'!G38</f>
        <v/>
      </c>
      <c r="H48" s="83" t="str">
        <f>'R3'!H38</f>
        <v/>
      </c>
      <c r="I48" s="83" t="str">
        <f>'R3'!I38</f>
        <v/>
      </c>
      <c r="J48" s="83" t="str">
        <f>'R3'!J38</f>
        <v/>
      </c>
      <c r="K48" s="83" t="str">
        <f>'R3'!K38</f>
        <v/>
      </c>
      <c r="L48" s="83" t="str">
        <f>'R3'!L38</f>
        <v/>
      </c>
      <c r="M48" s="83" t="str">
        <f>'R3'!M38</f>
        <v/>
      </c>
      <c r="N48"/>
      <c r="O48" s="83">
        <f>'R3'!O38</f>
        <v>2.5919045828978446</v>
      </c>
      <c r="P48" s="83" t="str">
        <f>'R3'!P38</f>
        <v/>
      </c>
      <c r="Q48" s="83" t="str">
        <f>'R3'!Q38</f>
        <v/>
      </c>
      <c r="R48" s="83" t="str">
        <f>'R3'!R38</f>
        <v/>
      </c>
      <c r="S48" s="83" t="str">
        <f>'R3'!S38</f>
        <v/>
      </c>
      <c r="T48" s="83" t="str">
        <f>'R3'!T38</f>
        <v/>
      </c>
      <c r="U48" s="83" t="str">
        <f>'R3'!U38</f>
        <v/>
      </c>
      <c r="V48" s="83" t="str">
        <f>'R3'!V38</f>
        <v/>
      </c>
    </row>
    <row r="49" spans="1:24" s="1" customFormat="1" x14ac:dyDescent="0.35">
      <c r="A49" s="150"/>
      <c r="B49" s="83" t="str">
        <f>'R3'!B39</f>
        <v/>
      </c>
      <c r="C49" s="83" t="str">
        <f>'R3'!C39</f>
        <v/>
      </c>
      <c r="D49" s="83" t="str">
        <f>'R3'!D39</f>
        <v/>
      </c>
      <c r="E49" s="83" t="str">
        <f>'R3'!E39</f>
        <v/>
      </c>
      <c r="F49" s="83" t="str">
        <f>'R3'!F39</f>
        <v/>
      </c>
      <c r="G49" s="83" t="str">
        <f>'R3'!G39</f>
        <v/>
      </c>
      <c r="H49" s="83" t="str">
        <f>'R3'!H39</f>
        <v/>
      </c>
      <c r="I49" s="83" t="str">
        <f>'R3'!I39</f>
        <v/>
      </c>
      <c r="J49" s="83" t="str">
        <f>'R3'!J39</f>
        <v/>
      </c>
      <c r="K49" s="83" t="str">
        <f>'R3'!K39</f>
        <v/>
      </c>
      <c r="L49" s="83" t="str">
        <f>'R3'!L39</f>
        <v/>
      </c>
      <c r="M49" s="83" t="str">
        <f>'R3'!M39</f>
        <v/>
      </c>
      <c r="N49"/>
      <c r="O49" s="83">
        <f>'R3'!O39</f>
        <v>0.85934060680861601</v>
      </c>
      <c r="P49" s="83" t="str">
        <f>'R3'!P39</f>
        <v/>
      </c>
      <c r="Q49" s="83" t="str">
        <f>'R3'!Q39</f>
        <v/>
      </c>
      <c r="R49" s="83" t="str">
        <f>'R3'!R39</f>
        <v/>
      </c>
      <c r="S49" s="83" t="str">
        <f>'R3'!S39</f>
        <v/>
      </c>
      <c r="T49" s="83" t="str">
        <f>'R3'!T39</f>
        <v/>
      </c>
      <c r="U49" s="83" t="str">
        <f>'R3'!U39</f>
        <v/>
      </c>
      <c r="V49" s="83" t="str">
        <f>'R3'!V39</f>
        <v/>
      </c>
    </row>
    <row r="50" spans="1:24" s="1" customFormat="1" x14ac:dyDescent="0.35">
      <c r="A50" s="150"/>
      <c r="B50" s="83" t="str">
        <f>'R3'!B40</f>
        <v/>
      </c>
      <c r="C50" s="83" t="str">
        <f>'R3'!C40</f>
        <v/>
      </c>
      <c r="D50" s="83" t="str">
        <f>'R3'!D40</f>
        <v/>
      </c>
      <c r="E50" s="83" t="str">
        <f>'R3'!E40</f>
        <v/>
      </c>
      <c r="F50" s="83" t="str">
        <f>'R3'!F40</f>
        <v/>
      </c>
      <c r="G50" s="83" t="str">
        <f>'R3'!G40</f>
        <v/>
      </c>
      <c r="H50" s="83" t="str">
        <f>'R3'!H40</f>
        <v/>
      </c>
      <c r="I50" s="83" t="str">
        <f>'R3'!I40</f>
        <v/>
      </c>
      <c r="J50" s="83" t="str">
        <f>'R3'!J40</f>
        <v/>
      </c>
      <c r="K50" s="83" t="str">
        <f>'R3'!K40</f>
        <v/>
      </c>
      <c r="L50" s="83" t="str">
        <f>'R3'!L40</f>
        <v/>
      </c>
      <c r="M50" s="83" t="str">
        <f>'R3'!M40</f>
        <v/>
      </c>
      <c r="N50"/>
      <c r="O50" s="83">
        <f>'R3'!O40</f>
        <v>2.5393685360265907</v>
      </c>
      <c r="P50" s="83" t="str">
        <f>'R3'!P40</f>
        <v/>
      </c>
      <c r="Q50" s="83" t="str">
        <f>'R3'!Q40</f>
        <v/>
      </c>
      <c r="R50" s="83" t="str">
        <f>'R3'!R40</f>
        <v/>
      </c>
      <c r="S50" s="83" t="str">
        <f>'R3'!S40</f>
        <v/>
      </c>
      <c r="T50" s="83" t="str">
        <f>'R3'!T40</f>
        <v/>
      </c>
      <c r="U50" s="83" t="str">
        <f>'R3'!U40</f>
        <v/>
      </c>
      <c r="V50" s="83" t="str">
        <f>'R3'!V40</f>
        <v/>
      </c>
    </row>
    <row r="51" spans="1:24" s="1" customFormat="1" x14ac:dyDescent="0.35">
      <c r="A51" s="150"/>
      <c r="B51" s="83" t="str">
        <f>'R3'!B41</f>
        <v/>
      </c>
      <c r="C51" s="83" t="str">
        <f>'R3'!C41</f>
        <v/>
      </c>
      <c r="D51" s="83" t="str">
        <f>'R3'!D41</f>
        <v/>
      </c>
      <c r="E51" s="83" t="str">
        <f>'R3'!E41</f>
        <v/>
      </c>
      <c r="F51" s="83" t="str">
        <f>'R3'!F41</f>
        <v/>
      </c>
      <c r="G51" s="83" t="str">
        <f>'R3'!G41</f>
        <v/>
      </c>
      <c r="H51" s="83" t="str">
        <f>'R3'!H41</f>
        <v/>
      </c>
      <c r="I51" s="83" t="str">
        <f>'R3'!I41</f>
        <v/>
      </c>
      <c r="J51" s="83" t="str">
        <f>'R3'!J41</f>
        <v/>
      </c>
      <c r="K51" s="83" t="str">
        <f>'R3'!K41</f>
        <v/>
      </c>
      <c r="L51" s="83" t="str">
        <f>'R3'!L41</f>
        <v/>
      </c>
      <c r="M51" s="83" t="str">
        <f>'R3'!M41</f>
        <v/>
      </c>
      <c r="N51"/>
      <c r="O51" s="83">
        <f>'R3'!O41</f>
        <v>1.340755291232355</v>
      </c>
      <c r="P51" s="83" t="str">
        <f>'R3'!P41</f>
        <v/>
      </c>
      <c r="Q51" s="83" t="str">
        <f>'R3'!Q41</f>
        <v/>
      </c>
      <c r="R51" s="83" t="str">
        <f>'R3'!R41</f>
        <v/>
      </c>
      <c r="S51" s="83" t="str">
        <f>'R3'!S41</f>
        <v/>
      </c>
      <c r="T51" s="83" t="str">
        <f>'R3'!T41</f>
        <v/>
      </c>
      <c r="U51" s="83" t="str">
        <f>'R3'!U41</f>
        <v/>
      </c>
      <c r="V51" s="83" t="str">
        <f>'R3'!V41</f>
        <v/>
      </c>
    </row>
    <row r="52" spans="1:24" s="1" customFormat="1" x14ac:dyDescent="0.35">
      <c r="A52" s="150"/>
      <c r="B52" s="83" t="str">
        <f>'R3'!B42</f>
        <v/>
      </c>
      <c r="C52" s="83" t="str">
        <f>'R3'!C42</f>
        <v/>
      </c>
      <c r="D52" s="83" t="str">
        <f>'R3'!D42</f>
        <v/>
      </c>
      <c r="E52" s="83" t="str">
        <f>'R3'!E42</f>
        <v/>
      </c>
      <c r="F52" s="83" t="str">
        <f>'R3'!F42</f>
        <v/>
      </c>
      <c r="G52" s="83" t="str">
        <f>'R3'!G42</f>
        <v/>
      </c>
      <c r="H52" s="83" t="str">
        <f>'R3'!H42</f>
        <v/>
      </c>
      <c r="I52" s="83" t="str">
        <f>'R3'!I42</f>
        <v/>
      </c>
      <c r="J52" s="83" t="str">
        <f>'R3'!J42</f>
        <v/>
      </c>
      <c r="K52" s="83" t="str">
        <f>'R3'!K42</f>
        <v/>
      </c>
      <c r="L52" s="83" t="str">
        <f>'R3'!L42</f>
        <v/>
      </c>
      <c r="M52" s="83" t="str">
        <f>'R3'!M42</f>
        <v/>
      </c>
      <c r="N52"/>
      <c r="O52" s="83">
        <f>'R3'!O42</f>
        <v>0.56234640197648467</v>
      </c>
      <c r="P52" s="83" t="str">
        <f>'R3'!P42</f>
        <v/>
      </c>
      <c r="Q52" s="83" t="str">
        <f>'R3'!Q42</f>
        <v/>
      </c>
      <c r="R52" s="83" t="str">
        <f>'R3'!R42</f>
        <v/>
      </c>
      <c r="S52" s="83" t="str">
        <f>'R3'!S42</f>
        <v/>
      </c>
      <c r="T52" s="83" t="str">
        <f>'R3'!T42</f>
        <v/>
      </c>
      <c r="U52" s="83" t="str">
        <f>'R3'!U42</f>
        <v/>
      </c>
      <c r="V52" s="83" t="str">
        <f>'R3'!V42</f>
        <v/>
      </c>
    </row>
    <row r="53" spans="1:24" s="1" customFormat="1" x14ac:dyDescent="0.35">
      <c r="A53" s="151"/>
      <c r="B53" s="83" t="str">
        <f>'R3'!B43</f>
        <v/>
      </c>
      <c r="C53" s="83" t="str">
        <f>'R3'!C43</f>
        <v/>
      </c>
      <c r="D53" s="83" t="str">
        <f>'R3'!D43</f>
        <v/>
      </c>
      <c r="E53" s="83" t="str">
        <f>'R3'!E43</f>
        <v/>
      </c>
      <c r="F53" s="83" t="str">
        <f>'R3'!F43</f>
        <v/>
      </c>
      <c r="G53" s="83" t="str">
        <f>'R3'!G43</f>
        <v/>
      </c>
      <c r="H53" s="83" t="str">
        <f>'R3'!H43</f>
        <v/>
      </c>
      <c r="I53" s="83" t="str">
        <f>'R3'!I43</f>
        <v/>
      </c>
      <c r="J53" s="83" t="str">
        <f>'R3'!J43</f>
        <v/>
      </c>
      <c r="K53" s="83" t="str">
        <f>'R3'!K43</f>
        <v/>
      </c>
      <c r="L53" s="83" t="str">
        <f>'R3'!L43</f>
        <v/>
      </c>
      <c r="M53" s="83" t="str">
        <f>'R3'!M43</f>
        <v/>
      </c>
      <c r="N53"/>
      <c r="O53" s="83">
        <f>'R3'!O43</f>
        <v>2.4329608230427637</v>
      </c>
      <c r="P53" s="83" t="str">
        <f>'R3'!P43</f>
        <v/>
      </c>
      <c r="Q53" s="83" t="str">
        <f>'R3'!Q43</f>
        <v/>
      </c>
      <c r="R53" s="83" t="str">
        <f>'R3'!R43</f>
        <v/>
      </c>
      <c r="S53" s="83" t="str">
        <f>'R3'!S43</f>
        <v/>
      </c>
      <c r="T53" s="83" t="str">
        <f>'R3'!T43</f>
        <v/>
      </c>
      <c r="U53" s="83" t="str">
        <f>'R3'!U43</f>
        <v/>
      </c>
      <c r="V53" s="83" t="str">
        <f>'R3'!V43</f>
        <v/>
      </c>
    </row>
    <row r="54" spans="1:24" s="42" customFormat="1" x14ac:dyDescent="0.35">
      <c r="A54" s="40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/>
      <c r="O54" s="41"/>
      <c r="P54" s="41"/>
      <c r="Q54" s="41"/>
      <c r="R54" s="41"/>
      <c r="S54" s="41"/>
      <c r="T54" s="41"/>
      <c r="U54" s="41"/>
      <c r="V54" s="41"/>
    </row>
    <row r="55" spans="1:24" s="24" customFormat="1" x14ac:dyDescent="0.35">
      <c r="A55" s="24" t="s">
        <v>37</v>
      </c>
      <c r="B55" s="14" t="str">
        <f t="shared" ref="B55:M55" si="0">B4</f>
        <v>Solvent control</v>
      </c>
      <c r="C55" s="14" t="str">
        <f t="shared" si="0"/>
        <v>EE2-33.8ng/L</v>
      </c>
      <c r="D55" s="14" t="str">
        <f t="shared" si="0"/>
        <v>EE2-50.6ng/L</v>
      </c>
      <c r="E55" s="14" t="str">
        <f t="shared" si="0"/>
        <v>EE2-76ng/L</v>
      </c>
      <c r="F55" s="14" t="str">
        <f t="shared" si="0"/>
        <v>EE2-114ng/L</v>
      </c>
      <c r="G55" s="14" t="str">
        <f t="shared" si="0"/>
        <v>EE2-170.9ng/L</v>
      </c>
      <c r="H55" s="14" t="str">
        <f t="shared" si="0"/>
        <v>EE2-488ng/L</v>
      </c>
      <c r="I55" s="14" t="str">
        <f t="shared" si="0"/>
        <v>Estrone-0.04µg/L</v>
      </c>
      <c r="J55" s="14" t="str">
        <f t="shared" si="0"/>
        <v>Estrone-0.2µg/L</v>
      </c>
      <c r="K55" s="14" t="str">
        <f t="shared" si="0"/>
        <v>Estrone-1µg/L</v>
      </c>
      <c r="L55" s="14" t="str">
        <f t="shared" si="0"/>
        <v>Estrone-5µg/L</v>
      </c>
      <c r="M55" s="14" t="str">
        <f t="shared" si="0"/>
        <v>Estrone-25µg/L</v>
      </c>
      <c r="O55" s="14" t="str">
        <f t="shared" ref="O55:V55" si="1">O4</f>
        <v>Testo -30µg/L</v>
      </c>
      <c r="P55" s="14" t="str">
        <f t="shared" si="1"/>
        <v>Testo 30µg/L + EE2 -64ng/L</v>
      </c>
      <c r="Q55" s="14" t="str">
        <f t="shared" si="1"/>
        <v>Testo 30µg/L + FAD-10mg/L</v>
      </c>
      <c r="R55" s="14" t="str">
        <f t="shared" si="1"/>
        <v>Estrone-0.04µg/L + Testostérone</v>
      </c>
      <c r="S55" s="14" t="str">
        <f t="shared" si="1"/>
        <v>Estrone-0.2µg/L + Testostérone</v>
      </c>
      <c r="T55" s="14" t="str">
        <f t="shared" si="1"/>
        <v>Estrone-1µg/L + Testostérone</v>
      </c>
      <c r="U55" s="14" t="str">
        <f t="shared" si="1"/>
        <v>Estrone-5µg/L + Testostérone</v>
      </c>
      <c r="V55" s="14" t="str">
        <f t="shared" si="1"/>
        <v>Estrone-25µg/L + Testostérone</v>
      </c>
    </row>
    <row r="56" spans="1:24" x14ac:dyDescent="0.35">
      <c r="A56" t="s">
        <v>10</v>
      </c>
      <c r="B56" s="8">
        <f t="shared" ref="B56:V56" si="2">AVERAGE(B6:B53)</f>
        <v>8.3861711522334223E-2</v>
      </c>
      <c r="C56" s="8">
        <f t="shared" si="2"/>
        <v>7.6852807720018443E-2</v>
      </c>
      <c r="D56" s="8">
        <f t="shared" si="2"/>
        <v>0.23756432761065124</v>
      </c>
      <c r="E56" s="8">
        <f t="shared" si="2"/>
        <v>0.77261894248262208</v>
      </c>
      <c r="F56" s="8">
        <f t="shared" si="2"/>
        <v>1.6454203857133261</v>
      </c>
      <c r="G56" s="8">
        <f t="shared" si="2"/>
        <v>2.5880889093465522</v>
      </c>
      <c r="H56" s="8">
        <f t="shared" si="2"/>
        <v>4.0925755574528679</v>
      </c>
      <c r="I56" s="8">
        <f t="shared" si="2"/>
        <v>4.9044075671237614E-2</v>
      </c>
      <c r="J56" s="8">
        <f t="shared" si="2"/>
        <v>5.9472448850500827E-2</v>
      </c>
      <c r="K56" s="8">
        <f t="shared" si="2"/>
        <v>0.22019891407464884</v>
      </c>
      <c r="L56" s="8">
        <f t="shared" si="2"/>
        <v>3.4432708386064594</v>
      </c>
      <c r="M56" s="8">
        <f t="shared" si="2"/>
        <v>5.5786069161362368</v>
      </c>
      <c r="N56" s="8"/>
      <c r="O56" s="8">
        <f t="shared" si="2"/>
        <v>1</v>
      </c>
      <c r="P56" s="8">
        <f t="shared" si="2"/>
        <v>2.9769791871682556</v>
      </c>
      <c r="Q56" s="8">
        <f t="shared" si="2"/>
        <v>0.25087718480893634</v>
      </c>
      <c r="R56" s="8">
        <f t="shared" si="2"/>
        <v>1.5777327088908224</v>
      </c>
      <c r="S56" s="8">
        <f t="shared" si="2"/>
        <v>1.5882392850579157</v>
      </c>
      <c r="T56" s="8">
        <f t="shared" si="2"/>
        <v>2.5072038715111407</v>
      </c>
      <c r="U56" s="8">
        <f t="shared" si="2"/>
        <v>3.7932246973357455</v>
      </c>
      <c r="V56" s="8">
        <f t="shared" si="2"/>
        <v>3.5638346894018009</v>
      </c>
    </row>
    <row r="57" spans="1:24" x14ac:dyDescent="0.35">
      <c r="A57" t="s">
        <v>1</v>
      </c>
      <c r="B57" s="3">
        <f>STDEV(B6:B53)</f>
        <v>8.9468863550541261E-2</v>
      </c>
      <c r="C57" s="3">
        <f t="shared" ref="C57:V57" si="3">STDEV(C6:C53)</f>
        <v>6.8576165934663147E-2</v>
      </c>
      <c r="D57" s="3">
        <f t="shared" si="3"/>
        <v>0.35168083271554201</v>
      </c>
      <c r="E57" s="3">
        <f t="shared" si="3"/>
        <v>0.67463181706779851</v>
      </c>
      <c r="F57" s="3">
        <f t="shared" si="3"/>
        <v>0.98823468705860362</v>
      </c>
      <c r="G57" s="3">
        <f t="shared" si="3"/>
        <v>1.5568469971836809</v>
      </c>
      <c r="H57" s="3">
        <f t="shared" si="3"/>
        <v>2.1040221029802151</v>
      </c>
      <c r="I57" s="3">
        <f t="shared" si="3"/>
        <v>4.9594568847993833E-2</v>
      </c>
      <c r="J57" s="3">
        <f t="shared" si="3"/>
        <v>6.5062430924969633E-2</v>
      </c>
      <c r="K57" s="3">
        <f t="shared" si="3"/>
        <v>0.21509949665172146</v>
      </c>
      <c r="L57" s="3">
        <f t="shared" si="3"/>
        <v>1.4387832620633341</v>
      </c>
      <c r="M57" s="3">
        <f t="shared" si="3"/>
        <v>1.867299252292018</v>
      </c>
      <c r="N57" s="3"/>
      <c r="O57" s="3">
        <f t="shared" si="3"/>
        <v>0.71446844925778497</v>
      </c>
      <c r="P57" s="3">
        <f t="shared" si="3"/>
        <v>1.3023480239550613</v>
      </c>
      <c r="Q57" s="3">
        <f t="shared" si="3"/>
        <v>0.79171950716350969</v>
      </c>
      <c r="R57" s="3">
        <f t="shared" si="3"/>
        <v>0.96440969556803557</v>
      </c>
      <c r="S57" s="3">
        <f t="shared" si="3"/>
        <v>1.1463996602983129</v>
      </c>
      <c r="T57" s="3">
        <f t="shared" si="3"/>
        <v>1.2651152806615589</v>
      </c>
      <c r="U57" s="3">
        <f t="shared" si="3"/>
        <v>1.6377485766028543</v>
      </c>
      <c r="V57" s="3">
        <f t="shared" si="3"/>
        <v>1.356446655195561</v>
      </c>
      <c r="W57" s="3"/>
      <c r="X57" s="3"/>
    </row>
    <row r="58" spans="1:24" x14ac:dyDescent="0.35">
      <c r="A58" t="s">
        <v>2</v>
      </c>
      <c r="B58" s="3">
        <f xml:space="preserve"> B57/SQRT(COUNT(B6:B53))</f>
        <v>1.8262755297126548E-2</v>
      </c>
      <c r="C58" s="3">
        <f t="shared" ref="C58:V58" si="4" xml:space="preserve"> C57/SQRT(COUNT(C6:C53))</f>
        <v>1.3998051254696215E-2</v>
      </c>
      <c r="D58" s="3">
        <f t="shared" si="4"/>
        <v>7.1786549372513914E-2</v>
      </c>
      <c r="E58" s="3">
        <f t="shared" si="4"/>
        <v>0.13770864300522917</v>
      </c>
      <c r="F58" s="3">
        <f t="shared" si="4"/>
        <v>0.20606117672290139</v>
      </c>
      <c r="G58" s="3">
        <f t="shared" si="4"/>
        <v>0.31779006255701819</v>
      </c>
      <c r="H58" s="3">
        <f t="shared" si="4"/>
        <v>0.42948171331992741</v>
      </c>
      <c r="I58" s="3">
        <f t="shared" si="4"/>
        <v>1.0123448974242921E-2</v>
      </c>
      <c r="J58" s="3">
        <f t="shared" si="4"/>
        <v>1.3280813099271014E-2</v>
      </c>
      <c r="K58" s="3">
        <f t="shared" si="4"/>
        <v>4.3907000893851363E-2</v>
      </c>
      <c r="L58" s="3">
        <f t="shared" si="4"/>
        <v>0.30000704884426277</v>
      </c>
      <c r="M58" s="3">
        <f t="shared" si="4"/>
        <v>0.4668248130730045</v>
      </c>
      <c r="N58" s="3"/>
      <c r="O58" s="3">
        <f t="shared" si="4"/>
        <v>0.10312463787661916</v>
      </c>
      <c r="P58" s="3">
        <f t="shared" si="4"/>
        <v>0.26584067718432197</v>
      </c>
      <c r="Q58" s="3">
        <f t="shared" si="4"/>
        <v>0.16160906766319749</v>
      </c>
      <c r="R58" s="3">
        <f t="shared" si="4"/>
        <v>0.19685930476121255</v>
      </c>
      <c r="S58" s="3">
        <f t="shared" si="4"/>
        <v>0.23400785075256977</v>
      </c>
      <c r="T58" s="3">
        <f t="shared" si="4"/>
        <v>0.25824057528489586</v>
      </c>
      <c r="U58" s="3">
        <f t="shared" si="4"/>
        <v>0.34149418482315241</v>
      </c>
      <c r="V58" s="3">
        <f t="shared" si="4"/>
        <v>0.27688351404450645</v>
      </c>
      <c r="W58" s="3"/>
      <c r="X58" s="3"/>
    </row>
    <row r="59" spans="1:24" s="1" customFormat="1" ht="15" thickBot="1" x14ac:dyDescent="0.4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4" s="30" customFormat="1" ht="26.5" thickBot="1" x14ac:dyDescent="0.4">
      <c r="A60" s="152"/>
      <c r="B60" s="153"/>
      <c r="C60" s="153"/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  <c r="Q60" s="153"/>
      <c r="R60" s="153"/>
      <c r="S60" s="153"/>
      <c r="T60" s="153"/>
      <c r="U60" s="153"/>
      <c r="V60" s="153"/>
    </row>
    <row r="61" spans="1:24" s="1" customFormat="1" x14ac:dyDescent="0.3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4" s="1" customFormat="1" x14ac:dyDescent="0.35">
      <c r="A62" s="1" t="s">
        <v>37</v>
      </c>
      <c r="B62" s="3" t="str">
        <f t="shared" ref="B62" si="5">B4</f>
        <v>Solvent control</v>
      </c>
      <c r="C62" s="3" t="str">
        <f t="shared" ref="C62:V62" si="6">C4</f>
        <v>EE2-33.8ng/L</v>
      </c>
      <c r="D62" s="3" t="str">
        <f t="shared" si="6"/>
        <v>EE2-50.6ng/L</v>
      </c>
      <c r="E62" s="3" t="str">
        <f t="shared" si="6"/>
        <v>EE2-76ng/L</v>
      </c>
      <c r="F62" s="3" t="str">
        <f t="shared" si="6"/>
        <v>EE2-114ng/L</v>
      </c>
      <c r="G62" s="3" t="str">
        <f t="shared" si="6"/>
        <v>EE2-170.9ng/L</v>
      </c>
      <c r="H62" s="3" t="str">
        <f t="shared" si="6"/>
        <v>EE2-488ng/L</v>
      </c>
      <c r="I62" s="3" t="str">
        <f t="shared" si="6"/>
        <v>Estrone-0.04µg/L</v>
      </c>
      <c r="J62" s="3" t="str">
        <f t="shared" si="6"/>
        <v>Estrone-0.2µg/L</v>
      </c>
      <c r="K62" s="3" t="str">
        <f t="shared" si="6"/>
        <v>Estrone-1µg/L</v>
      </c>
      <c r="L62" s="3" t="str">
        <f t="shared" si="6"/>
        <v>Estrone-5µg/L</v>
      </c>
      <c r="M62" s="3" t="str">
        <f t="shared" si="6"/>
        <v>Estrone-25µg/L</v>
      </c>
      <c r="N62" s="3"/>
      <c r="O62" s="3" t="str">
        <f t="shared" si="6"/>
        <v>Testo -30µg/L</v>
      </c>
      <c r="P62" s="3" t="str">
        <f t="shared" si="6"/>
        <v>Testo 30µg/L + EE2 -64ng/L</v>
      </c>
      <c r="Q62" s="3" t="str">
        <f t="shared" si="6"/>
        <v>Testo 30µg/L + FAD-10mg/L</v>
      </c>
      <c r="R62" s="3" t="str">
        <f t="shared" si="6"/>
        <v>Estrone-0.04µg/L + Testostérone</v>
      </c>
      <c r="S62" s="3" t="str">
        <f t="shared" si="6"/>
        <v>Estrone-0.2µg/L + Testostérone</v>
      </c>
      <c r="T62" s="3" t="str">
        <f t="shared" si="6"/>
        <v>Estrone-1µg/L + Testostérone</v>
      </c>
      <c r="U62" s="3" t="str">
        <f t="shared" si="6"/>
        <v>Estrone-5µg/L + Testostérone</v>
      </c>
      <c r="V62" s="3" t="str">
        <f t="shared" si="6"/>
        <v>Estrone-25µg/L + Testostérone</v>
      </c>
    </row>
    <row r="63" spans="1:24" s="1" customFormat="1" x14ac:dyDescent="0.35">
      <c r="A63" s="1" t="s">
        <v>44</v>
      </c>
      <c r="B63" s="3">
        <f>COUNT(B6:B53)</f>
        <v>24</v>
      </c>
      <c r="C63" s="3">
        <f t="shared" ref="C63:V63" si="7">COUNT(C6:C53)</f>
        <v>24</v>
      </c>
      <c r="D63" s="3">
        <f t="shared" si="7"/>
        <v>24</v>
      </c>
      <c r="E63" s="3">
        <f t="shared" si="7"/>
        <v>24</v>
      </c>
      <c r="F63" s="3">
        <f t="shared" si="7"/>
        <v>23</v>
      </c>
      <c r="G63" s="3">
        <f t="shared" si="7"/>
        <v>24</v>
      </c>
      <c r="H63" s="3">
        <f t="shared" si="7"/>
        <v>24</v>
      </c>
      <c r="I63" s="3">
        <f t="shared" si="7"/>
        <v>24</v>
      </c>
      <c r="J63" s="3">
        <f t="shared" si="7"/>
        <v>24</v>
      </c>
      <c r="K63" s="3">
        <f t="shared" si="7"/>
        <v>24</v>
      </c>
      <c r="L63" s="3">
        <f t="shared" si="7"/>
        <v>23</v>
      </c>
      <c r="M63" s="3">
        <f t="shared" si="7"/>
        <v>16</v>
      </c>
      <c r="N63" s="3"/>
      <c r="O63" s="3">
        <f t="shared" si="7"/>
        <v>48</v>
      </c>
      <c r="P63" s="3">
        <f t="shared" si="7"/>
        <v>24</v>
      </c>
      <c r="Q63" s="3">
        <f t="shared" si="7"/>
        <v>24</v>
      </c>
      <c r="R63" s="3">
        <f t="shared" si="7"/>
        <v>24</v>
      </c>
      <c r="S63" s="3">
        <f t="shared" si="7"/>
        <v>24</v>
      </c>
      <c r="T63" s="3">
        <f t="shared" si="7"/>
        <v>24</v>
      </c>
      <c r="U63" s="3">
        <f t="shared" si="7"/>
        <v>23</v>
      </c>
      <c r="V63" s="3">
        <f t="shared" si="7"/>
        <v>24</v>
      </c>
    </row>
    <row r="64" spans="1:24" s="1" customFormat="1" ht="15" thickBot="1" x14ac:dyDescent="0.4">
      <c r="B64" s="3" t="str">
        <f>IF(B63&gt;=21,"OK","ATTENTION")</f>
        <v>OK</v>
      </c>
      <c r="C64" s="3" t="str">
        <f t="shared" ref="C64:V64" si="8">IF(C63&gt;=21,"OK","ATTENTION")</f>
        <v>OK</v>
      </c>
      <c r="D64" s="3" t="str">
        <f t="shared" si="8"/>
        <v>OK</v>
      </c>
      <c r="E64" s="3" t="str">
        <f t="shared" si="8"/>
        <v>OK</v>
      </c>
      <c r="F64" s="3" t="str">
        <f t="shared" si="8"/>
        <v>OK</v>
      </c>
      <c r="G64" s="3" t="str">
        <f t="shared" si="8"/>
        <v>OK</v>
      </c>
      <c r="H64" s="3" t="str">
        <f t="shared" si="8"/>
        <v>OK</v>
      </c>
      <c r="I64" s="3" t="str">
        <f t="shared" si="8"/>
        <v>OK</v>
      </c>
      <c r="J64" s="3" t="str">
        <f t="shared" si="8"/>
        <v>OK</v>
      </c>
      <c r="K64" s="3" t="str">
        <f t="shared" si="8"/>
        <v>OK</v>
      </c>
      <c r="L64" s="3" t="str">
        <f t="shared" si="8"/>
        <v>OK</v>
      </c>
      <c r="M64" s="3" t="str">
        <f t="shared" si="8"/>
        <v>ATTENTION</v>
      </c>
      <c r="N64" s="3"/>
      <c r="O64" s="3" t="str">
        <f>IF(O63&gt;=41,"OK","ATTENTION")</f>
        <v>OK</v>
      </c>
      <c r="P64" s="3" t="str">
        <f t="shared" si="8"/>
        <v>OK</v>
      </c>
      <c r="Q64" s="3" t="str">
        <f t="shared" si="8"/>
        <v>OK</v>
      </c>
      <c r="R64" s="3" t="str">
        <f t="shared" si="8"/>
        <v>OK</v>
      </c>
      <c r="S64" s="3" t="str">
        <f t="shared" si="8"/>
        <v>OK</v>
      </c>
      <c r="T64" s="3" t="str">
        <f t="shared" si="8"/>
        <v>OK</v>
      </c>
      <c r="U64" s="3" t="str">
        <f t="shared" si="8"/>
        <v>OK</v>
      </c>
      <c r="V64" s="3" t="str">
        <f t="shared" si="8"/>
        <v>OK</v>
      </c>
    </row>
    <row r="65" spans="1:22" s="30" customFormat="1" ht="26.5" thickBot="1" x14ac:dyDescent="0.4">
      <c r="A65" s="152"/>
      <c r="B65" s="153"/>
      <c r="C65" s="153"/>
      <c r="D65" s="153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153"/>
      <c r="Q65" s="153"/>
      <c r="R65" s="153"/>
      <c r="S65" s="153"/>
      <c r="T65" s="153"/>
      <c r="U65" s="153"/>
      <c r="V65" s="153"/>
    </row>
    <row r="66" spans="1:22" s="1" customFormat="1" x14ac:dyDescent="0.35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s="1" customFormat="1" x14ac:dyDescent="0.3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s="1" customFormat="1" x14ac:dyDescent="0.3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s="1" customFormat="1" ht="15" thickBot="1" x14ac:dyDescent="0.4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s="30" customFormat="1" ht="26.5" thickBot="1" x14ac:dyDescent="0.4">
      <c r="A70" s="152"/>
      <c r="B70" s="153"/>
      <c r="C70" s="153"/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53"/>
    </row>
    <row r="71" spans="1:22" ht="15" thickBot="1" x14ac:dyDescent="0.4"/>
    <row r="72" spans="1:22" s="30" customFormat="1" ht="26.5" thickBot="1" x14ac:dyDescent="0.4">
      <c r="A72" s="152"/>
      <c r="B72" s="153"/>
      <c r="C72" s="153"/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3"/>
      <c r="V72" s="153"/>
    </row>
    <row r="73" spans="1:22" ht="15" thickBot="1" x14ac:dyDescent="0.4">
      <c r="J73" s="3">
        <v>1</v>
      </c>
      <c r="K73" s="3">
        <v>2</v>
      </c>
      <c r="L73" s="3">
        <v>3</v>
      </c>
      <c r="M73" s="3">
        <v>4</v>
      </c>
      <c r="R73" s="3">
        <v>1</v>
      </c>
      <c r="S73" s="3">
        <v>2</v>
      </c>
      <c r="T73" s="3">
        <v>3</v>
      </c>
      <c r="U73" s="3">
        <v>4</v>
      </c>
      <c r="V73" s="3">
        <v>5</v>
      </c>
    </row>
    <row r="74" spans="1:22" s="1" customFormat="1" x14ac:dyDescent="0.35">
      <c r="A74" s="27" t="s">
        <v>45</v>
      </c>
      <c r="B74" s="28" t="str">
        <f t="shared" ref="B74:M74" si="9">B4</f>
        <v>Solvent control</v>
      </c>
      <c r="C74" s="28" t="str">
        <f t="shared" si="9"/>
        <v>EE2-33.8ng/L</v>
      </c>
      <c r="D74" s="28" t="str">
        <f t="shared" si="9"/>
        <v>EE2-50.6ng/L</v>
      </c>
      <c r="E74" s="28" t="str">
        <f t="shared" si="9"/>
        <v>EE2-76ng/L</v>
      </c>
      <c r="F74" s="28" t="str">
        <f t="shared" si="9"/>
        <v>EE2-114ng/L</v>
      </c>
      <c r="G74" s="28" t="str">
        <f t="shared" si="9"/>
        <v>EE2-170.9ng/L</v>
      </c>
      <c r="H74" s="28" t="str">
        <f t="shared" si="9"/>
        <v>EE2-488ng/L</v>
      </c>
      <c r="I74" s="28" t="str">
        <f t="shared" si="9"/>
        <v>Estrone-0.04µg/L</v>
      </c>
      <c r="J74" s="28" t="str">
        <f t="shared" si="9"/>
        <v>Estrone-0.2µg/L</v>
      </c>
      <c r="K74" s="28" t="str">
        <f t="shared" si="9"/>
        <v>Estrone-1µg/L</v>
      </c>
      <c r="L74" s="28" t="str">
        <f t="shared" si="9"/>
        <v>Estrone-5µg/L</v>
      </c>
      <c r="M74" s="28" t="str">
        <f t="shared" si="9"/>
        <v>Estrone-25µg/L</v>
      </c>
      <c r="N74" s="28"/>
      <c r="O74" s="28" t="str">
        <f t="shared" ref="O74:V74" si="10">O4</f>
        <v>Testo -30µg/L</v>
      </c>
      <c r="P74" s="28" t="str">
        <f t="shared" si="10"/>
        <v>Testo 30µg/L + EE2 -64ng/L</v>
      </c>
      <c r="Q74" s="28" t="str">
        <f t="shared" si="10"/>
        <v>Testo 30µg/L + FAD-10mg/L</v>
      </c>
      <c r="R74" s="28" t="str">
        <f t="shared" si="10"/>
        <v>Estrone-0.04µg/L + Testostérone</v>
      </c>
      <c r="S74" s="28" t="str">
        <f t="shared" si="10"/>
        <v>Estrone-0.2µg/L + Testostérone</v>
      </c>
      <c r="T74" s="28" t="str">
        <f t="shared" si="10"/>
        <v>Estrone-1µg/L + Testostérone</v>
      </c>
      <c r="U74" s="28" t="str">
        <f t="shared" si="10"/>
        <v>Estrone-5µg/L + Testostérone</v>
      </c>
      <c r="V74" s="28" t="str">
        <f t="shared" si="10"/>
        <v>Estrone-25µg/L + Testostérone</v>
      </c>
    </row>
    <row r="75" spans="1:22" s="3" customFormat="1" x14ac:dyDescent="0.35">
      <c r="A75" s="43" t="s">
        <v>10</v>
      </c>
      <c r="B75" s="75">
        <f>B56</f>
        <v>8.3861711522334223E-2</v>
      </c>
      <c r="C75" s="75">
        <f t="shared" ref="C75:V75" si="11">C56</f>
        <v>7.6852807720018443E-2</v>
      </c>
      <c r="D75" s="75">
        <f t="shared" si="11"/>
        <v>0.23756432761065124</v>
      </c>
      <c r="E75" s="75">
        <f t="shared" si="11"/>
        <v>0.77261894248262208</v>
      </c>
      <c r="F75" s="75">
        <f t="shared" si="11"/>
        <v>1.6454203857133261</v>
      </c>
      <c r="G75" s="75">
        <f t="shared" si="11"/>
        <v>2.5880889093465522</v>
      </c>
      <c r="H75" s="75">
        <f t="shared" si="11"/>
        <v>4.0925755574528679</v>
      </c>
      <c r="I75" s="75">
        <f t="shared" si="11"/>
        <v>4.9044075671237614E-2</v>
      </c>
      <c r="J75" s="75">
        <f t="shared" si="11"/>
        <v>5.9472448850500827E-2</v>
      </c>
      <c r="K75" s="75">
        <f t="shared" si="11"/>
        <v>0.22019891407464884</v>
      </c>
      <c r="L75" s="75">
        <f t="shared" si="11"/>
        <v>3.4432708386064594</v>
      </c>
      <c r="M75" s="75">
        <f t="shared" si="11"/>
        <v>5.5786069161362368</v>
      </c>
      <c r="N75" s="75"/>
      <c r="O75" s="75">
        <f t="shared" si="11"/>
        <v>1</v>
      </c>
      <c r="P75" s="75">
        <f t="shared" si="11"/>
        <v>2.9769791871682556</v>
      </c>
      <c r="Q75" s="75">
        <f t="shared" si="11"/>
        <v>0.25087718480893634</v>
      </c>
      <c r="R75" s="75">
        <f t="shared" si="11"/>
        <v>1.5777327088908224</v>
      </c>
      <c r="S75" s="75">
        <f t="shared" si="11"/>
        <v>1.5882392850579157</v>
      </c>
      <c r="T75" s="75">
        <f t="shared" si="11"/>
        <v>2.5072038715111407</v>
      </c>
      <c r="U75" s="75">
        <f t="shared" si="11"/>
        <v>3.7932246973357455</v>
      </c>
      <c r="V75" s="75">
        <f t="shared" si="11"/>
        <v>3.5638346894018009</v>
      </c>
    </row>
    <row r="76" spans="1:22" s="3" customFormat="1" x14ac:dyDescent="0.35">
      <c r="A76" s="43" t="s">
        <v>2</v>
      </c>
      <c r="B76" s="75">
        <f>B58</f>
        <v>1.8262755297126548E-2</v>
      </c>
      <c r="C76" s="75">
        <f t="shared" ref="C76:V76" si="12">C58</f>
        <v>1.3998051254696215E-2</v>
      </c>
      <c r="D76" s="75">
        <f t="shared" si="12"/>
        <v>7.1786549372513914E-2</v>
      </c>
      <c r="E76" s="75">
        <f t="shared" si="12"/>
        <v>0.13770864300522917</v>
      </c>
      <c r="F76" s="75">
        <f t="shared" si="12"/>
        <v>0.20606117672290139</v>
      </c>
      <c r="G76" s="75">
        <f t="shared" si="12"/>
        <v>0.31779006255701819</v>
      </c>
      <c r="H76" s="75">
        <f t="shared" si="12"/>
        <v>0.42948171331992741</v>
      </c>
      <c r="I76" s="75">
        <f t="shared" si="12"/>
        <v>1.0123448974242921E-2</v>
      </c>
      <c r="J76" s="75">
        <f t="shared" si="12"/>
        <v>1.3280813099271014E-2</v>
      </c>
      <c r="K76" s="75">
        <f t="shared" si="12"/>
        <v>4.3907000893851363E-2</v>
      </c>
      <c r="L76" s="75">
        <f t="shared" si="12"/>
        <v>0.30000704884426277</v>
      </c>
      <c r="M76" s="75">
        <f t="shared" si="12"/>
        <v>0.4668248130730045</v>
      </c>
      <c r="N76" s="75"/>
      <c r="O76" s="75">
        <f t="shared" si="12"/>
        <v>0.10312463787661916</v>
      </c>
      <c r="P76" s="75">
        <f t="shared" si="12"/>
        <v>0.26584067718432197</v>
      </c>
      <c r="Q76" s="75">
        <f t="shared" si="12"/>
        <v>0.16160906766319749</v>
      </c>
      <c r="R76" s="75">
        <f t="shared" si="12"/>
        <v>0.19685930476121255</v>
      </c>
      <c r="S76" s="75">
        <f t="shared" si="12"/>
        <v>0.23400785075256977</v>
      </c>
      <c r="T76" s="75">
        <f t="shared" si="12"/>
        <v>0.25824057528489586</v>
      </c>
      <c r="U76" s="75">
        <f t="shared" si="12"/>
        <v>0.34149418482315241</v>
      </c>
      <c r="V76" s="75">
        <f t="shared" si="12"/>
        <v>0.27688351404450645</v>
      </c>
    </row>
    <row r="77" spans="1:22" s="3" customFormat="1" x14ac:dyDescent="0.35">
      <c r="A77" s="43" t="s">
        <v>14</v>
      </c>
      <c r="B77" s="75">
        <f>(B75*100/$B$75)-100</f>
        <v>0</v>
      </c>
      <c r="C77" s="75">
        <f t="shared" ref="C77:M77" si="13">(C75*100/$B$75)-100</f>
        <v>-8.3576922949505388</v>
      </c>
      <c r="D77" s="75">
        <f t="shared" si="13"/>
        <v>183.28103886525452</v>
      </c>
      <c r="E77" s="75">
        <f t="shared" si="13"/>
        <v>821.30118555576655</v>
      </c>
      <c r="F77" s="75">
        <f t="shared" si="13"/>
        <v>1862.0639214775795</v>
      </c>
      <c r="G77" s="75">
        <f t="shared" si="13"/>
        <v>2986.1389093606645</v>
      </c>
      <c r="H77" s="75">
        <f t="shared" si="13"/>
        <v>4780.1479044020289</v>
      </c>
      <c r="I77" s="75">
        <f t="shared" si="13"/>
        <v>-41.517917079266745</v>
      </c>
      <c r="J77" s="75">
        <f t="shared" si="13"/>
        <v>-29.082715137930379</v>
      </c>
      <c r="K77" s="75">
        <f t="shared" si="13"/>
        <v>162.57383742520568</v>
      </c>
      <c r="L77" s="75">
        <f t="shared" si="13"/>
        <v>4005.8914444996035</v>
      </c>
      <c r="M77" s="75">
        <f t="shared" si="13"/>
        <v>6552.1500871712242</v>
      </c>
      <c r="N77" s="75"/>
      <c r="O77" s="75">
        <f>(O75*100/$O$75)-100</f>
        <v>0</v>
      </c>
      <c r="P77" s="75">
        <f t="shared" ref="P77:V77" si="14">(P75*100/$O$75)-100</f>
        <v>197.69791871682554</v>
      </c>
      <c r="Q77" s="75">
        <f t="shared" si="14"/>
        <v>-74.912281519106358</v>
      </c>
      <c r="R77" s="75">
        <f t="shared" si="14"/>
        <v>57.773270889082227</v>
      </c>
      <c r="S77" s="75">
        <f t="shared" si="14"/>
        <v>58.823928505791571</v>
      </c>
      <c r="T77" s="75">
        <f t="shared" si="14"/>
        <v>150.72038715111407</v>
      </c>
      <c r="U77" s="75">
        <f t="shared" si="14"/>
        <v>279.32246973357456</v>
      </c>
      <c r="V77" s="75">
        <f t="shared" si="14"/>
        <v>256.38346894018008</v>
      </c>
    </row>
    <row r="78" spans="1:22" s="3" customFormat="1" x14ac:dyDescent="0.35">
      <c r="A78" s="43" t="s">
        <v>38</v>
      </c>
      <c r="B78" s="75">
        <f>[2]!DPTEST(B6:B53)</f>
        <v>3.0524179108836202E-3</v>
      </c>
      <c r="C78" s="75">
        <f>[2]!DPTEST(C6:C53)</f>
        <v>0.13837262929475791</v>
      </c>
      <c r="D78" s="75">
        <f>[2]!DPTEST(D6:D53)</f>
        <v>1.0644893855271675E-9</v>
      </c>
      <c r="E78" s="75">
        <f>[2]!DPTEST(E6:E53)</f>
        <v>4.4372443345119805E-4</v>
      </c>
      <c r="F78" s="75">
        <f>[2]!DPTEST(F6:F53)</f>
        <v>0.53572788131120785</v>
      </c>
      <c r="G78" s="75">
        <f>[2]!DPTEST(G6:G53)</f>
        <v>0.13504814074326543</v>
      </c>
      <c r="H78" s="75">
        <f>[2]!DPTEST(H6:H53)</f>
        <v>0.34662727144343619</v>
      </c>
      <c r="I78" s="75">
        <f>[2]!DPTEST(I6:I53)</f>
        <v>1.6240137044043479E-6</v>
      </c>
      <c r="J78" s="75">
        <f>[2]!DPTEST(J6:J53)</f>
        <v>4.0712413570398454E-6</v>
      </c>
      <c r="K78" s="75">
        <f>[2]!DPTEST(K6:K53)</f>
        <v>2.6417455440637228E-2</v>
      </c>
      <c r="L78" s="75">
        <f>[2]!DPTEST(L6:L53)</f>
        <v>0.19605752724811343</v>
      </c>
      <c r="M78" s="75">
        <f>[2]!DPTEST(M6:M53)</f>
        <v>0.1803214660007848</v>
      </c>
      <c r="N78" s="75"/>
      <c r="O78" s="75">
        <f>[2]!DPTEST(O6:O53)</f>
        <v>0.16483784608866536</v>
      </c>
      <c r="P78" s="75">
        <f>[2]!DPTEST(P6:P53)</f>
        <v>0.62042630375878649</v>
      </c>
      <c r="Q78" s="75">
        <f>[2]!DPTEST(Q6:Q53)</f>
        <v>1.6620038678638593E-13</v>
      </c>
      <c r="R78" s="75">
        <f>[2]!DPTEST(R6:R53)</f>
        <v>1.1579565949587645E-3</v>
      </c>
      <c r="S78" s="75">
        <f>[2]!DPTEST(S6:S53)</f>
        <v>3.9720166737250429E-3</v>
      </c>
      <c r="T78" s="75">
        <f>[2]!DPTEST(T6:T53)</f>
        <v>0.38050245938636618</v>
      </c>
      <c r="U78" s="75">
        <f>[2]!DPTEST(U6:U53)</f>
        <v>0.83677580215513836</v>
      </c>
      <c r="V78" s="75">
        <f>[2]!DPTEST(V6:V53)</f>
        <v>0.16819350972280489</v>
      </c>
    </row>
    <row r="79" spans="1:22" s="3" customFormat="1" x14ac:dyDescent="0.35">
      <c r="A79" s="43" t="s">
        <v>39</v>
      </c>
      <c r="B79" s="75" t="str">
        <f>IF(B78&gt;0.05,"Oui","Non")</f>
        <v>Non</v>
      </c>
      <c r="C79" s="75" t="str">
        <f t="shared" ref="C79:V79" si="15">IF(C78&gt;0.05,"Oui","Non")</f>
        <v>Oui</v>
      </c>
      <c r="D79" s="75" t="str">
        <f t="shared" si="15"/>
        <v>Non</v>
      </c>
      <c r="E79" s="75" t="str">
        <f t="shared" si="15"/>
        <v>Non</v>
      </c>
      <c r="F79" s="75" t="str">
        <f t="shared" si="15"/>
        <v>Oui</v>
      </c>
      <c r="G79" s="75" t="str">
        <f t="shared" si="15"/>
        <v>Oui</v>
      </c>
      <c r="H79" s="75" t="str">
        <f t="shared" si="15"/>
        <v>Oui</v>
      </c>
      <c r="I79" s="75" t="str">
        <f t="shared" si="15"/>
        <v>Non</v>
      </c>
      <c r="J79" s="75" t="str">
        <f t="shared" si="15"/>
        <v>Non</v>
      </c>
      <c r="K79" s="75" t="str">
        <f t="shared" si="15"/>
        <v>Non</v>
      </c>
      <c r="L79" s="75" t="str">
        <f t="shared" si="15"/>
        <v>Oui</v>
      </c>
      <c r="M79" s="75" t="str">
        <f t="shared" si="15"/>
        <v>Oui</v>
      </c>
      <c r="N79" s="75"/>
      <c r="O79" s="75" t="str">
        <f t="shared" si="15"/>
        <v>Oui</v>
      </c>
      <c r="P79" s="75" t="str">
        <f t="shared" si="15"/>
        <v>Oui</v>
      </c>
      <c r="Q79" s="75" t="str">
        <f t="shared" si="15"/>
        <v>Non</v>
      </c>
      <c r="R79" s="75" t="str">
        <f t="shared" si="15"/>
        <v>Non</v>
      </c>
      <c r="S79" s="75" t="str">
        <f t="shared" si="15"/>
        <v>Non</v>
      </c>
      <c r="T79" s="75" t="str">
        <f t="shared" si="15"/>
        <v>Oui</v>
      </c>
      <c r="U79" s="75" t="str">
        <f t="shared" si="15"/>
        <v>Oui</v>
      </c>
      <c r="V79" s="75" t="str">
        <f t="shared" si="15"/>
        <v>Oui</v>
      </c>
    </row>
    <row r="80" spans="1:22" s="3" customFormat="1" x14ac:dyDescent="0.35">
      <c r="A80" s="43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</row>
    <row r="81" spans="1:23" s="3" customFormat="1" x14ac:dyDescent="0.35">
      <c r="A81" s="43" t="s">
        <v>40</v>
      </c>
      <c r="B81" s="75"/>
      <c r="C81" s="75" t="s">
        <v>57</v>
      </c>
      <c r="D81" s="75" t="s">
        <v>57</v>
      </c>
      <c r="E81" s="75" t="s">
        <v>57</v>
      </c>
      <c r="F81" s="75" t="s">
        <v>57</v>
      </c>
      <c r="G81" s="75" t="s">
        <v>57</v>
      </c>
      <c r="H81" s="75" t="s">
        <v>57</v>
      </c>
      <c r="I81" s="75" t="s">
        <v>57</v>
      </c>
      <c r="J81" s="75" t="s">
        <v>57</v>
      </c>
      <c r="K81" s="75" t="s">
        <v>57</v>
      </c>
      <c r="L81" s="75" t="s">
        <v>57</v>
      </c>
      <c r="M81" s="75" t="s">
        <v>57</v>
      </c>
      <c r="N81" s="75"/>
      <c r="O81" s="75" t="str">
        <f>IF($B79="Non",IF(O79="Non","Mann Withney",IF(O79="Oui","Mann Withney","")),IF($B79="Oui",IF(O79="Oui","T-Test Welch",IF(O79="Non","Mann Withney",""))))</f>
        <v>Mann Withney</v>
      </c>
      <c r="P81" s="75" t="str">
        <f t="shared" ref="P81:Q81" si="16">IF($O79="Non",IF(P79="Non","Mann Withney",IF(P$79="Oui","Mann Withney","")),IF($O79="Oui",IF(P79="Oui","T-Test Welch",IF(P79="Non","Mann Withney",""))))</f>
        <v>T-Test Welch</v>
      </c>
      <c r="Q81" s="75" t="str">
        <f t="shared" si="16"/>
        <v>Mann Withney</v>
      </c>
      <c r="R81" s="75" t="s">
        <v>57</v>
      </c>
      <c r="S81" s="75" t="s">
        <v>57</v>
      </c>
      <c r="T81" s="75" t="s">
        <v>57</v>
      </c>
      <c r="U81" s="75" t="s">
        <v>57</v>
      </c>
      <c r="V81" s="75" t="s">
        <v>57</v>
      </c>
    </row>
    <row r="82" spans="1:23" s="3" customFormat="1" x14ac:dyDescent="0.35">
      <c r="A82" s="43" t="s">
        <v>41</v>
      </c>
      <c r="B82" s="75"/>
      <c r="C82" s="75" t="s">
        <v>54</v>
      </c>
      <c r="D82" s="75">
        <v>0.96</v>
      </c>
      <c r="E82" s="75" t="s">
        <v>56</v>
      </c>
      <c r="F82" s="75" t="s">
        <v>56</v>
      </c>
      <c r="G82" s="75" t="s">
        <v>56</v>
      </c>
      <c r="H82" s="75" t="s">
        <v>56</v>
      </c>
      <c r="I82" s="75" t="s">
        <v>54</v>
      </c>
      <c r="J82" s="75" t="s">
        <v>54</v>
      </c>
      <c r="K82" s="75">
        <v>0.4</v>
      </c>
      <c r="L82" s="75" t="s">
        <v>56</v>
      </c>
      <c r="M82" s="75" t="s">
        <v>56</v>
      </c>
      <c r="N82" s="75"/>
      <c r="O82" s="75">
        <f>IF(O81="Mann Withney",[2]!MTEST($B6:$B37,O6:O53,2), IF(O81="T-Test Welch",_xlfn.T.TEST($B6:$B37,O6:O53,2,3),""))</f>
        <v>6.9990724904656076E-7</v>
      </c>
      <c r="P82" s="75">
        <f>IF(P81="Mann Withney",[2]!MTEST($O6:$O53,P6:P53,2), IF(P81="T-Test Welch",_xlfn.T.TEST($O6:$O53,P6:P53,2,3),""))</f>
        <v>1.0420536160932615E-7</v>
      </c>
      <c r="Q82" s="75">
        <f>IF(Q81="Mann Withney",[2]!MTEST($O6:$O53,Q6:Q53,2), IF(Q81="T-Test Welch",_xlfn.T.TEST($O6:$O53,Q6:Q53,2,3),""))</f>
        <v>1.0623021018396628E-7</v>
      </c>
      <c r="R82" s="75">
        <v>0.25</v>
      </c>
      <c r="S82" s="75">
        <v>0.27</v>
      </c>
      <c r="T82" s="75" t="s">
        <v>56</v>
      </c>
      <c r="U82" s="75" t="s">
        <v>56</v>
      </c>
      <c r="V82" s="75" t="s">
        <v>56</v>
      </c>
    </row>
    <row r="83" spans="1:23" s="3" customFormat="1" ht="15" thickBot="1" x14ac:dyDescent="0.4">
      <c r="A83" s="44" t="s">
        <v>15</v>
      </c>
      <c r="B83" s="76"/>
      <c r="C83" s="76" t="s">
        <v>53</v>
      </c>
      <c r="D83" s="76" t="s">
        <v>53</v>
      </c>
      <c r="E83" s="76" t="s">
        <v>55</v>
      </c>
      <c r="F83" s="76" t="s">
        <v>55</v>
      </c>
      <c r="G83" s="76" t="s">
        <v>55</v>
      </c>
      <c r="H83" s="76" t="s">
        <v>55</v>
      </c>
      <c r="I83" s="76" t="s">
        <v>53</v>
      </c>
      <c r="J83" s="76" t="s">
        <v>53</v>
      </c>
      <c r="K83" s="76" t="s">
        <v>53</v>
      </c>
      <c r="L83" s="76" t="s">
        <v>55</v>
      </c>
      <c r="M83" s="76" t="s">
        <v>55</v>
      </c>
      <c r="N83" s="76"/>
      <c r="O83" s="76" t="str">
        <f t="shared" ref="O83" si="17">IF(O82&gt;0.05,"NS",IF(O82&gt;0.01,"*",IF(O82&gt;0.001,"**","***")))</f>
        <v>***</v>
      </c>
      <c r="P83" s="76" t="str">
        <f t="shared" ref="P83" si="18">IF(P82&gt;0.05,"NS",IF(P82&gt;0.01,"*",IF(P82&gt;0.001,"**","***")))</f>
        <v>***</v>
      </c>
      <c r="Q83" s="76" t="str">
        <f t="shared" ref="Q83" si="19">IF(Q82&gt;0.05,"NS",IF(Q82&gt;0.01,"*",IF(Q82&gt;0.001,"**","***")))</f>
        <v>***</v>
      </c>
      <c r="R83" s="76" t="s">
        <v>53</v>
      </c>
      <c r="S83" s="76" t="s">
        <v>53</v>
      </c>
      <c r="T83" s="76" t="s">
        <v>55</v>
      </c>
      <c r="U83" s="76" t="s">
        <v>55</v>
      </c>
      <c r="V83" s="76" t="s">
        <v>55</v>
      </c>
    </row>
    <row r="84" spans="1:23" s="1" customFormat="1" x14ac:dyDescent="0.35"/>
    <row r="85" spans="1:23" s="1" customFormat="1" x14ac:dyDescent="0.35">
      <c r="A85" s="2"/>
    </row>
    <row r="86" spans="1:23" x14ac:dyDescent="0.35">
      <c r="A86" s="1"/>
      <c r="B86" s="1"/>
    </row>
    <row r="87" spans="1:23" x14ac:dyDescent="0.35">
      <c r="A87" s="1"/>
      <c r="B87" s="1"/>
    </row>
    <row r="88" spans="1:23" ht="15" thickBot="1" x14ac:dyDescent="0.4"/>
    <row r="89" spans="1:23" s="30" customFormat="1" ht="26.5" thickBot="1" x14ac:dyDescent="0.4">
      <c r="A89" s="31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</row>
    <row r="90" spans="1:23" ht="15" thickBot="1" x14ac:dyDescent="0.4"/>
    <row r="91" spans="1:23" s="30" customFormat="1" ht="26.5" thickBot="1" x14ac:dyDescent="0.4">
      <c r="A91" s="31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</row>
    <row r="92" spans="1:23" ht="15" thickBot="1" x14ac:dyDescent="0.4"/>
    <row r="93" spans="1:23" s="30" customFormat="1" ht="26.5" thickBot="1" x14ac:dyDescent="0.4">
      <c r="A93" s="152"/>
      <c r="B93" s="153"/>
      <c r="C93" s="153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</row>
    <row r="94" spans="1:23" x14ac:dyDescent="0.35">
      <c r="B94" s="1">
        <f t="shared" ref="B94:V94" si="20">B75/$B$75</f>
        <v>1</v>
      </c>
      <c r="C94" s="1">
        <f t="shared" si="20"/>
        <v>0.91642307705049453</v>
      </c>
      <c r="D94" s="1">
        <f t="shared" si="20"/>
        <v>2.8328103886525451</v>
      </c>
      <c r="E94" s="1">
        <f t="shared" si="20"/>
        <v>9.2130118555576654</v>
      </c>
      <c r="F94" s="1">
        <f t="shared" si="20"/>
        <v>19.620639214775796</v>
      </c>
      <c r="G94" s="1">
        <f t="shared" si="20"/>
        <v>30.861389093606647</v>
      </c>
      <c r="H94" s="1">
        <f>H75/$B$75</f>
        <v>48.801479044020283</v>
      </c>
      <c r="I94" s="1">
        <f t="shared" si="20"/>
        <v>0.58482082920733258</v>
      </c>
      <c r="J94" s="1">
        <f t="shared" si="20"/>
        <v>0.70917284862069629</v>
      </c>
      <c r="K94" s="1">
        <f t="shared" si="20"/>
        <v>2.6257383742520566</v>
      </c>
      <c r="L94" s="1">
        <f t="shared" si="20"/>
        <v>41.058914444996041</v>
      </c>
      <c r="M94" s="1">
        <f t="shared" si="20"/>
        <v>66.521500871712249</v>
      </c>
      <c r="N94" s="1">
        <f t="shared" si="20"/>
        <v>0</v>
      </c>
      <c r="O94" s="1">
        <f t="shared" si="20"/>
        <v>11.92439293030262</v>
      </c>
      <c r="P94" s="1">
        <f t="shared" si="20"/>
        <v>35.498669573127188</v>
      </c>
      <c r="Q94" s="1">
        <f t="shared" si="20"/>
        <v>2.9915581289099045</v>
      </c>
      <c r="R94" s="1">
        <f t="shared" si="20"/>
        <v>18.813504759804925</v>
      </c>
      <c r="S94" s="1">
        <f t="shared" si="20"/>
        <v>18.938789302373497</v>
      </c>
      <c r="T94" s="1">
        <f t="shared" si="20"/>
        <v>29.896884120274805</v>
      </c>
      <c r="U94" s="1">
        <f t="shared" si="20"/>
        <v>45.231901763959662</v>
      </c>
      <c r="V94" s="1">
        <f t="shared" si="20"/>
        <v>42.496565175070067</v>
      </c>
      <c r="W94" s="1"/>
    </row>
    <row r="100" spans="3:15" x14ac:dyDescent="0.35">
      <c r="C100" s="1"/>
      <c r="D100" s="1"/>
      <c r="E100" s="1"/>
      <c r="F100" s="1"/>
      <c r="G100" s="1"/>
      <c r="H100" s="1"/>
    </row>
    <row r="101" spans="3:15" x14ac:dyDescent="0.35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3:15" x14ac:dyDescent="0.35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3:15" x14ac:dyDescent="0.35">
      <c r="C103" s="1"/>
      <c r="D103" s="1"/>
    </row>
    <row r="104" spans="3:15" x14ac:dyDescent="0.35">
      <c r="C104" s="1"/>
      <c r="D104" s="1"/>
    </row>
    <row r="105" spans="3:15" x14ac:dyDescent="0.35">
      <c r="C105" s="1"/>
      <c r="D105" s="1"/>
    </row>
    <row r="106" spans="3:15" x14ac:dyDescent="0.35">
      <c r="C106" s="1"/>
      <c r="D106" s="1"/>
    </row>
    <row r="107" spans="3:15" x14ac:dyDescent="0.35">
      <c r="C107" s="1"/>
      <c r="D107" s="1"/>
    </row>
    <row r="108" spans="3:15" x14ac:dyDescent="0.35">
      <c r="C108" s="1"/>
      <c r="D108" s="1"/>
    </row>
    <row r="109" spans="3:15" x14ac:dyDescent="0.35">
      <c r="C109" s="1"/>
      <c r="D109" s="1"/>
    </row>
    <row r="110" spans="3:15" x14ac:dyDescent="0.35">
      <c r="C110" s="1"/>
      <c r="D110" s="1"/>
    </row>
    <row r="118" spans="3:4" x14ac:dyDescent="0.35">
      <c r="C118" s="1"/>
      <c r="D118" s="1"/>
    </row>
    <row r="119" spans="3:4" x14ac:dyDescent="0.35">
      <c r="C119" s="1"/>
      <c r="D119" s="1"/>
    </row>
    <row r="120" spans="3:4" x14ac:dyDescent="0.35">
      <c r="C120" s="1"/>
      <c r="D120" s="1"/>
    </row>
    <row r="121" spans="3:4" x14ac:dyDescent="0.35">
      <c r="C121" s="1"/>
      <c r="D121" s="1"/>
    </row>
    <row r="122" spans="3:4" x14ac:dyDescent="0.35">
      <c r="C122" s="1"/>
      <c r="D122" s="1"/>
    </row>
  </sheetData>
  <mergeCells count="10">
    <mergeCell ref="A7:A21"/>
    <mergeCell ref="A23:A37"/>
    <mergeCell ref="A93:V93"/>
    <mergeCell ref="O3:V3"/>
    <mergeCell ref="B3:M3"/>
    <mergeCell ref="A60:V60"/>
    <mergeCell ref="A72:V72"/>
    <mergeCell ref="A70:V70"/>
    <mergeCell ref="A65:V65"/>
    <mergeCell ref="A39:A53"/>
  </mergeCells>
  <pageMargins left="0.7" right="0.7" top="0.75" bottom="0.75" header="0.3" footer="0.3"/>
  <pageSetup paperSize="9" orientation="portrait" r:id="rId1"/>
  <headerFooter>
    <oddHeader>&amp;C&amp;"-,Gras"&amp;14Données poolées normalisées&amp;R&amp;"-,Gras"&amp;14Page : &amp;P/&amp;P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C436BD700BD428C1C0C71E54D8B5E" ma:contentTypeVersion="18" ma:contentTypeDescription="Create a new document." ma:contentTypeScope="" ma:versionID="782111b43a65dadfbc410eb6ccb7aa06">
  <xsd:schema xmlns:xsd="http://www.w3.org/2001/XMLSchema" xmlns:xs="http://www.w3.org/2001/XMLSchema" xmlns:p="http://schemas.microsoft.com/office/2006/metadata/properties" xmlns:ns2="cc801401-75a6-4297-ad63-d4d786ff6e7c" xmlns:ns3="508cc0b8-c8e1-4e41-95d2-be8416ed53ba" targetNamespace="http://schemas.microsoft.com/office/2006/metadata/properties" ma:root="true" ma:fieldsID="7f493af8791a6264672b29a70f2a6765" ns2:_="" ns3:_="">
    <xsd:import namespace="cc801401-75a6-4297-ad63-d4d786ff6e7c"/>
    <xsd:import namespace="508cc0b8-c8e1-4e41-95d2-be8416ed53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01401-75a6-4297-ad63-d4d786ff6e7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5" nillable="true" ma:displayName="Taxonomy Catch All Column" ma:hidden="true" ma:list="2e281972-ae1b-43a4-854f-cb1565a95e46" ma:internalName="TaxCatchAll" ma:showField="CatchAllData" ma:web="cc801401-75a6-4297-ad63-d4d786ff6e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8cc0b8-c8e1-4e41-95d2-be8416ed5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4f2cd92-8d93-4e4c-83d3-86703d9155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927E38-42D7-4CF8-A1BE-05DA88A32687}"/>
</file>

<file path=customXml/itemProps2.xml><?xml version="1.0" encoding="utf-8"?>
<ds:datastoreItem xmlns:ds="http://schemas.openxmlformats.org/officeDocument/2006/customXml" ds:itemID="{1D611471-7003-4565-8E21-1E0AEF1AA8F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6</vt:i4>
      </vt:variant>
      <vt:variant>
        <vt:lpstr>Graphiques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11" baseType="lpstr">
      <vt:lpstr>Front page</vt:lpstr>
      <vt:lpstr>Feuil1</vt:lpstr>
      <vt:lpstr>R1</vt:lpstr>
      <vt:lpstr>R2</vt:lpstr>
      <vt:lpstr>R3</vt:lpstr>
      <vt:lpstr>pooled normalised values</vt:lpstr>
      <vt:lpstr>Graph R1</vt:lpstr>
      <vt:lpstr>Graph R2</vt:lpstr>
      <vt:lpstr>Graph R3</vt:lpstr>
      <vt:lpstr>pooled normalised graphe</vt:lpstr>
      <vt:lpstr>'Front page'!Zone_d_impression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2022-10-05T15:04:16Z</dcterms:modified>
</cp:coreProperties>
</file>