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hidePivotFieldList="1" defaultThemeVersion="124226"/>
  <xr:revisionPtr revIDLastSave="0" documentId="13_ncr:1_{CBCAA63D-84CA-4FCB-942C-F5267C67B6F2}" xr6:coauthVersionLast="47" xr6:coauthVersionMax="47" xr10:uidLastSave="{00000000-0000-0000-0000-000000000000}"/>
  <bookViews>
    <workbookView xWindow="-110" yWindow="-110" windowWidth="19420" windowHeight="10420" firstSheet="7" activeTab="7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  <externalReference r:id="rId11"/>
  </externalReferences>
  <definedNames>
    <definedName name="_xlnm.Print_Area" localSheetId="0">'Front page'!$A$1:$I$51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4" i="4" l="1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A7" i="10" l="1"/>
  <c r="P31" i="1"/>
  <c r="Q31" i="1"/>
  <c r="R31" i="1"/>
  <c r="S31" i="1"/>
  <c r="T31" i="1"/>
  <c r="U31" i="1"/>
  <c r="V31" i="1"/>
  <c r="P32" i="1"/>
  <c r="Q32" i="1"/>
  <c r="R32" i="1"/>
  <c r="S32" i="1"/>
  <c r="T32" i="1"/>
  <c r="U32" i="1"/>
  <c r="V32" i="1"/>
  <c r="P33" i="1"/>
  <c r="Q33" i="1"/>
  <c r="R33" i="1"/>
  <c r="S33" i="1"/>
  <c r="T33" i="1"/>
  <c r="U33" i="1"/>
  <c r="V33" i="1"/>
  <c r="P34" i="1"/>
  <c r="Q34" i="1"/>
  <c r="R34" i="1"/>
  <c r="S34" i="1"/>
  <c r="T34" i="1"/>
  <c r="U34" i="1"/>
  <c r="V34" i="1"/>
  <c r="P35" i="1"/>
  <c r="Q35" i="1"/>
  <c r="R35" i="1"/>
  <c r="S35" i="1"/>
  <c r="T35" i="1"/>
  <c r="U35" i="1"/>
  <c r="V35" i="1"/>
  <c r="P36" i="1"/>
  <c r="Q36" i="1"/>
  <c r="R36" i="1"/>
  <c r="S36" i="1"/>
  <c r="T36" i="1"/>
  <c r="U36" i="1"/>
  <c r="V36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U78" i="4"/>
  <c r="D78" i="4"/>
  <c r="G78" i="4"/>
  <c r="J78" i="4"/>
  <c r="M78" i="4"/>
  <c r="T78" i="4"/>
  <c r="C78" i="4"/>
  <c r="F78" i="4"/>
  <c r="I78" i="4"/>
  <c r="V78" i="4"/>
  <c r="H78" i="4"/>
  <c r="R78" i="4"/>
  <c r="Q78" i="4"/>
  <c r="S78" i="4"/>
  <c r="K78" i="4"/>
  <c r="L78" i="4"/>
  <c r="P78" i="4"/>
  <c r="E78" i="4"/>
  <c r="O78" i="4"/>
  <c r="B78" i="4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I35" i="33"/>
  <c r="I45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V28" i="33"/>
  <c r="U28" i="33"/>
  <c r="T28" i="33"/>
  <c r="S28" i="33"/>
  <c r="R28" i="33"/>
  <c r="Q28" i="33"/>
  <c r="P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O37" i="33" l="1"/>
  <c r="O47" i="4" s="1"/>
  <c r="O41" i="33"/>
  <c r="O51" i="4" s="1"/>
  <c r="B28" i="33"/>
  <c r="O38" i="33"/>
  <c r="O48" i="4" s="1"/>
  <c r="O42" i="33"/>
  <c r="O52" i="4" s="1"/>
  <c r="B34" i="33"/>
  <c r="B44" i="4" s="1"/>
  <c r="O29" i="33"/>
  <c r="O39" i="4" s="1"/>
  <c r="F35" i="33"/>
  <c r="F45" i="4" s="1"/>
  <c r="O39" i="33"/>
  <c r="O49" i="4" s="1"/>
  <c r="O43" i="33"/>
  <c r="O53" i="4" s="1"/>
  <c r="O36" i="33"/>
  <c r="O46" i="4" s="1"/>
  <c r="O40" i="33"/>
  <c r="O50" i="4" s="1"/>
  <c r="D28" i="33"/>
  <c r="D34" i="33"/>
  <c r="D44" i="4" s="1"/>
  <c r="H35" i="33"/>
  <c r="H45" i="4" s="1"/>
  <c r="F28" i="33"/>
  <c r="F38" i="4" s="1"/>
  <c r="B29" i="33"/>
  <c r="B39" i="4" s="1"/>
  <c r="F34" i="33"/>
  <c r="F44" i="4" s="1"/>
  <c r="J35" i="33"/>
  <c r="J45" i="4" s="1"/>
  <c r="G28" i="33"/>
  <c r="C29" i="33"/>
  <c r="C39" i="4" s="1"/>
  <c r="G34" i="33"/>
  <c r="G44" i="4" s="1"/>
  <c r="K35" i="33"/>
  <c r="K45" i="4" s="1"/>
  <c r="H28" i="33"/>
  <c r="D29" i="33"/>
  <c r="D39" i="4" s="1"/>
  <c r="H34" i="33"/>
  <c r="H44" i="4" s="1"/>
  <c r="L35" i="33"/>
  <c r="L45" i="4" s="1"/>
  <c r="C28" i="33"/>
  <c r="C38" i="4" s="1"/>
  <c r="G35" i="33"/>
  <c r="G45" i="4" s="1"/>
  <c r="I28" i="33"/>
  <c r="E29" i="33"/>
  <c r="E39" i="4" s="1"/>
  <c r="I34" i="33"/>
  <c r="I44" i="4" s="1"/>
  <c r="M35" i="33"/>
  <c r="M45" i="4" s="1"/>
  <c r="J28" i="33"/>
  <c r="F29" i="33"/>
  <c r="F39" i="4" s="1"/>
  <c r="O30" i="33"/>
  <c r="O40" i="4" s="1"/>
  <c r="J34" i="33"/>
  <c r="J44" i="4" s="1"/>
  <c r="O35" i="33"/>
  <c r="O45" i="4" s="1"/>
  <c r="K28" i="33"/>
  <c r="G29" i="33"/>
  <c r="G39" i="4" s="1"/>
  <c r="K34" i="33"/>
  <c r="K44" i="4" s="1"/>
  <c r="E34" i="33"/>
  <c r="E44" i="4" s="1"/>
  <c r="L28" i="33"/>
  <c r="L38" i="4" s="1"/>
  <c r="H29" i="33"/>
  <c r="H39" i="4" s="1"/>
  <c r="L34" i="33"/>
  <c r="L44" i="4" s="1"/>
  <c r="M28" i="33"/>
  <c r="I29" i="33"/>
  <c r="I39" i="4" s="1"/>
  <c r="M34" i="33"/>
  <c r="M44" i="4" s="1"/>
  <c r="E28" i="33"/>
  <c r="O28" i="33"/>
  <c r="J29" i="33"/>
  <c r="J39" i="4" s="1"/>
  <c r="B35" i="33"/>
  <c r="B45" i="4" s="1"/>
  <c r="K29" i="33"/>
  <c r="K39" i="4" s="1"/>
  <c r="C35" i="33"/>
  <c r="C45" i="4" s="1"/>
  <c r="L29" i="33"/>
  <c r="L39" i="4" s="1"/>
  <c r="D35" i="33"/>
  <c r="D45" i="4" s="1"/>
  <c r="C34" i="33"/>
  <c r="C44" i="4" s="1"/>
  <c r="M29" i="33"/>
  <c r="M39" i="4" s="1"/>
  <c r="E35" i="33"/>
  <c r="E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G38" i="4"/>
  <c r="K47" i="33"/>
  <c r="K38" i="4"/>
  <c r="P38" i="4"/>
  <c r="T38" i="4"/>
  <c r="B27" i="33"/>
  <c r="B52" i="33" s="1"/>
  <c r="Q38" i="4"/>
  <c r="D27" i="33"/>
  <c r="D52" i="33" s="1"/>
  <c r="I22" i="33"/>
  <c r="E27" i="33"/>
  <c r="E52" i="33" s="1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T56" i="33"/>
  <c r="C56" i="33"/>
  <c r="D56" i="33"/>
  <c r="E56" i="33"/>
  <c r="B56" i="33"/>
  <c r="Q56" i="33"/>
  <c r="L56" i="33"/>
  <c r="G56" i="33"/>
  <c r="H56" i="33"/>
  <c r="I56" i="33"/>
  <c r="F56" i="33"/>
  <c r="J56" i="33"/>
  <c r="K56" i="33"/>
  <c r="R56" i="33"/>
  <c r="M56" i="33"/>
  <c r="O56" i="33"/>
  <c r="P56" i="33"/>
  <c r="U56" i="33"/>
  <c r="V56" i="33"/>
  <c r="S56" i="33"/>
  <c r="S47" i="33" l="1"/>
  <c r="S48" i="33" s="1"/>
  <c r="S54" i="33" s="1"/>
  <c r="R47" i="33"/>
  <c r="R48" i="33" s="1"/>
  <c r="R54" i="33" s="1"/>
  <c r="I47" i="33"/>
  <c r="I48" i="33" s="1"/>
  <c r="I54" i="33" s="1"/>
  <c r="Q46" i="33"/>
  <c r="Q53" i="33" s="1"/>
  <c r="L47" i="33"/>
  <c r="E46" i="33"/>
  <c r="E53" i="33" s="1"/>
  <c r="G47" i="33"/>
  <c r="C47" i="33"/>
  <c r="C48" i="33" s="1"/>
  <c r="C54" i="33" s="1"/>
  <c r="H46" i="33"/>
  <c r="H53" i="33" s="1"/>
  <c r="R46" i="33"/>
  <c r="R53" i="33" s="1"/>
  <c r="D46" i="33"/>
  <c r="D53" i="33" s="1"/>
  <c r="I46" i="33"/>
  <c r="I53" i="33" s="1"/>
  <c r="H47" i="33"/>
  <c r="H48" i="33" s="1"/>
  <c r="H54" i="33" s="1"/>
  <c r="G46" i="33"/>
  <c r="G53" i="33" s="1"/>
  <c r="S57" i="33"/>
  <c r="V57" i="33"/>
  <c r="U57" i="33"/>
  <c r="P57" i="33"/>
  <c r="O57" i="33"/>
  <c r="P59" i="33" s="1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G48" i="33"/>
  <c r="G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H59" i="33" l="1"/>
  <c r="H60" i="33" s="1"/>
  <c r="H61" i="33" s="1"/>
  <c r="J59" i="33"/>
  <c r="V59" i="33"/>
  <c r="V60" i="33" s="1"/>
  <c r="V61" i="33" s="1"/>
  <c r="M55" i="33"/>
  <c r="Q59" i="33"/>
  <c r="Q60" i="33" s="1"/>
  <c r="Q61" i="33" s="1"/>
  <c r="U59" i="33"/>
  <c r="U60" i="33" s="1"/>
  <c r="U61" i="33" s="1"/>
  <c r="S59" i="33"/>
  <c r="S60" i="33" s="1"/>
  <c r="S61" i="33" s="1"/>
  <c r="R59" i="33"/>
  <c r="R60" i="33" s="1"/>
  <c r="R61" i="33" s="1"/>
  <c r="T59" i="33"/>
  <c r="T60" i="33" s="1"/>
  <c r="T61" i="33" s="1"/>
  <c r="E59" i="33"/>
  <c r="E60" i="33" s="1"/>
  <c r="E61" i="33" s="1"/>
  <c r="S55" i="33"/>
  <c r="L59" i="33"/>
  <c r="L60" i="33" s="1"/>
  <c r="L61" i="33" s="1"/>
  <c r="D59" i="33"/>
  <c r="D60" i="33" s="1"/>
  <c r="D61" i="33" s="1"/>
  <c r="O59" i="33"/>
  <c r="O60" i="33" s="1"/>
  <c r="O61" i="33" s="1"/>
  <c r="C59" i="33"/>
  <c r="C60" i="33" s="1"/>
  <c r="C61" i="33" s="1"/>
  <c r="G59" i="33"/>
  <c r="G60" i="33" s="1"/>
  <c r="G61" i="33" s="1"/>
  <c r="I59" i="33"/>
  <c r="I60" i="33" s="1"/>
  <c r="I61" i="33" s="1"/>
  <c r="K59" i="33"/>
  <c r="K60" i="33" s="1"/>
  <c r="K61" i="33" s="1"/>
  <c r="M59" i="33"/>
  <c r="M60" i="33" s="1"/>
  <c r="M61" i="33" s="1"/>
  <c r="F60" i="33"/>
  <c r="F61" i="33" s="1"/>
  <c r="P60" i="33"/>
  <c r="P61" i="33" s="1"/>
  <c r="J60" i="33"/>
  <c r="J61" i="33" s="1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M4" i="33" l="1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V33" i="4" s="1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S28" i="1"/>
  <c r="T28" i="1"/>
  <c r="U28" i="1"/>
  <c r="V28" i="1"/>
  <c r="S29" i="1"/>
  <c r="S7" i="4" s="1"/>
  <c r="T29" i="1"/>
  <c r="T7" i="4" s="1"/>
  <c r="U29" i="1"/>
  <c r="U7" i="4" s="1"/>
  <c r="V29" i="1"/>
  <c r="V7" i="4" s="1"/>
  <c r="S30" i="1"/>
  <c r="S8" i="4" s="1"/>
  <c r="T30" i="1"/>
  <c r="T8" i="4" s="1"/>
  <c r="U30" i="1"/>
  <c r="U8" i="4" s="1"/>
  <c r="V30" i="1"/>
  <c r="V8" i="4" s="1"/>
  <c r="S13" i="4"/>
  <c r="T13" i="4"/>
  <c r="U13" i="4"/>
  <c r="V13" i="4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P24" i="4"/>
  <c r="S22" i="4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J40" i="23"/>
  <c r="J34" i="4" s="1"/>
  <c r="J36" i="23"/>
  <c r="J30" i="4" s="1"/>
  <c r="J42" i="23"/>
  <c r="J36" i="4" s="1"/>
  <c r="J38" i="23"/>
  <c r="J32" i="4" s="1"/>
  <c r="J41" i="23"/>
  <c r="J35" i="4" s="1"/>
  <c r="J37" i="23"/>
  <c r="J31" i="4" s="1"/>
  <c r="J43" i="23"/>
  <c r="J39" i="23"/>
  <c r="J33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O40" i="1" s="1"/>
  <c r="O18" i="4" s="1"/>
  <c r="H27" i="1"/>
  <c r="H52" i="1" s="1"/>
  <c r="G27" i="1"/>
  <c r="G52" i="1" s="1"/>
  <c r="F27" i="1"/>
  <c r="F52" i="1" s="1"/>
  <c r="E4" i="4"/>
  <c r="D22" i="1"/>
  <c r="C45" i="1"/>
  <c r="O39" i="1"/>
  <c r="O17" i="4" s="1"/>
  <c r="P28" i="1"/>
  <c r="P30" i="1"/>
  <c r="P8" i="4" s="1"/>
  <c r="P11" i="4"/>
  <c r="Q28" i="1"/>
  <c r="Q13" i="4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S56" i="1"/>
  <c r="T56" i="1"/>
  <c r="U56" i="1"/>
  <c r="V56" i="1"/>
  <c r="O43" i="23" l="1"/>
  <c r="O42" i="23"/>
  <c r="O36" i="4" s="1"/>
  <c r="O41" i="23"/>
  <c r="O35" i="4" s="1"/>
  <c r="O40" i="23"/>
  <c r="O34" i="4" s="1"/>
  <c r="O39" i="23"/>
  <c r="O33" i="4" s="1"/>
  <c r="I34" i="23"/>
  <c r="I28" i="4" s="1"/>
  <c r="F30" i="23"/>
  <c r="F24" i="4" s="1"/>
  <c r="E31" i="23"/>
  <c r="E25" i="4" s="1"/>
  <c r="K29" i="23"/>
  <c r="K23" i="4" s="1"/>
  <c r="M28" i="23"/>
  <c r="J30" i="23"/>
  <c r="J24" i="4" s="1"/>
  <c r="I30" i="23"/>
  <c r="I24" i="4" s="1"/>
  <c r="G28" i="23"/>
  <c r="H31" i="23"/>
  <c r="H25" i="4" s="1"/>
  <c r="I29" i="23"/>
  <c r="I23" i="4" s="1"/>
  <c r="I28" i="23"/>
  <c r="I22" i="4" s="1"/>
  <c r="H30" i="23"/>
  <c r="H24" i="4" s="1"/>
  <c r="D29" i="23"/>
  <c r="D23" i="4" s="1"/>
  <c r="H29" i="23"/>
  <c r="H23" i="4" s="1"/>
  <c r="C30" i="23"/>
  <c r="C24" i="4" s="1"/>
  <c r="J29" i="23"/>
  <c r="J23" i="4" s="1"/>
  <c r="F31" i="23"/>
  <c r="F25" i="4" s="1"/>
  <c r="C28" i="23"/>
  <c r="D31" i="23"/>
  <c r="D25" i="4" s="1"/>
  <c r="L28" i="23"/>
  <c r="I31" i="23"/>
  <c r="I25" i="4" s="1"/>
  <c r="F29" i="23"/>
  <c r="F23" i="4" s="1"/>
  <c r="K28" i="23"/>
  <c r="K22" i="4" s="1"/>
  <c r="E30" i="23"/>
  <c r="E24" i="4" s="1"/>
  <c r="G30" i="23"/>
  <c r="G24" i="4" s="1"/>
  <c r="F28" i="23"/>
  <c r="J31" i="23"/>
  <c r="J25" i="4" s="1"/>
  <c r="J28" i="23"/>
  <c r="I32" i="23"/>
  <c r="I26" i="4" s="1"/>
  <c r="E29" i="23"/>
  <c r="E23" i="4" s="1"/>
  <c r="M31" i="23"/>
  <c r="M25" i="4" s="1"/>
  <c r="L31" i="23"/>
  <c r="L25" i="4" s="1"/>
  <c r="O29" i="23"/>
  <c r="O23" i="4" s="1"/>
  <c r="D30" i="23"/>
  <c r="D24" i="4" s="1"/>
  <c r="K31" i="23"/>
  <c r="K25" i="4" s="1"/>
  <c r="M30" i="23"/>
  <c r="M24" i="4" s="1"/>
  <c r="C31" i="23"/>
  <c r="C25" i="4" s="1"/>
  <c r="L30" i="23"/>
  <c r="L24" i="4" s="1"/>
  <c r="H28" i="23"/>
  <c r="G31" i="23"/>
  <c r="G25" i="4" s="1"/>
  <c r="K30" i="23"/>
  <c r="K24" i="4" s="1"/>
  <c r="G29" i="23"/>
  <c r="G23" i="4" s="1"/>
  <c r="D28" i="23"/>
  <c r="D22" i="4" s="1"/>
  <c r="M29" i="23"/>
  <c r="M23" i="4" s="1"/>
  <c r="E28" i="23"/>
  <c r="C29" i="23"/>
  <c r="C23" i="4" s="1"/>
  <c r="L29" i="23"/>
  <c r="L23" i="4" s="1"/>
  <c r="O41" i="1"/>
  <c r="O19" i="4" s="1"/>
  <c r="F29" i="1"/>
  <c r="F7" i="4" s="1"/>
  <c r="O36" i="1"/>
  <c r="O42" i="1"/>
  <c r="O20" i="4" s="1"/>
  <c r="O43" i="1"/>
  <c r="O21" i="4" s="1"/>
  <c r="E35" i="1"/>
  <c r="E13" i="4" s="1"/>
  <c r="J35" i="1"/>
  <c r="J13" i="4" s="1"/>
  <c r="K35" i="1"/>
  <c r="K13" i="4" s="1"/>
  <c r="I34" i="1"/>
  <c r="I12" i="4" s="1"/>
  <c r="O32" i="1"/>
  <c r="O10" i="4" s="1"/>
  <c r="L34" i="1"/>
  <c r="L12" i="4" s="1"/>
  <c r="O31" i="1"/>
  <c r="O33" i="1"/>
  <c r="O11" i="4" s="1"/>
  <c r="O35" i="1"/>
  <c r="B34" i="1"/>
  <c r="B12" i="4" s="1"/>
  <c r="F35" i="1"/>
  <c r="F13" i="4" s="1"/>
  <c r="H34" i="1"/>
  <c r="H12" i="4" s="1"/>
  <c r="J34" i="1"/>
  <c r="J12" i="4" s="1"/>
  <c r="C34" i="1"/>
  <c r="C12" i="4" s="1"/>
  <c r="G35" i="1"/>
  <c r="G13" i="4" s="1"/>
  <c r="M34" i="1"/>
  <c r="M12" i="4" s="1"/>
  <c r="C35" i="1"/>
  <c r="C13" i="4" s="1"/>
  <c r="D34" i="1"/>
  <c r="H35" i="1"/>
  <c r="H13" i="4" s="1"/>
  <c r="F34" i="1"/>
  <c r="F12" i="4" s="1"/>
  <c r="G34" i="1"/>
  <c r="G12" i="4" s="1"/>
  <c r="M35" i="1"/>
  <c r="M13" i="4" s="1"/>
  <c r="O34" i="1"/>
  <c r="K34" i="1"/>
  <c r="K12" i="4" s="1"/>
  <c r="E34" i="1"/>
  <c r="I35" i="1"/>
  <c r="B35" i="1"/>
  <c r="B13" i="4" s="1"/>
  <c r="L35" i="1"/>
  <c r="L13" i="4" s="1"/>
  <c r="D35" i="1"/>
  <c r="D13" i="4" s="1"/>
  <c r="M29" i="1"/>
  <c r="M7" i="4" s="1"/>
  <c r="I29" i="1"/>
  <c r="I7" i="4" s="1"/>
  <c r="E29" i="1"/>
  <c r="E7" i="4" s="1"/>
  <c r="J28" i="1"/>
  <c r="J6" i="4" s="1"/>
  <c r="L29" i="1"/>
  <c r="L7" i="4" s="1"/>
  <c r="K29" i="1"/>
  <c r="K7" i="4" s="1"/>
  <c r="J29" i="1"/>
  <c r="J7" i="4" s="1"/>
  <c r="M28" i="1"/>
  <c r="L28" i="1"/>
  <c r="G29" i="1"/>
  <c r="G7" i="4" s="1"/>
  <c r="K28" i="1"/>
  <c r="K6" i="4" s="1"/>
  <c r="C34" i="23"/>
  <c r="C28" i="4" s="1"/>
  <c r="C33" i="23"/>
  <c r="C27" i="4" s="1"/>
  <c r="U22" i="4"/>
  <c r="C29" i="1"/>
  <c r="C7" i="4" s="1"/>
  <c r="B30" i="1"/>
  <c r="B8" i="4" s="1"/>
  <c r="F30" i="1"/>
  <c r="F8" i="4" s="1"/>
  <c r="J30" i="1"/>
  <c r="J8" i="4" s="1"/>
  <c r="B31" i="1"/>
  <c r="B9" i="4" s="1"/>
  <c r="F31" i="1"/>
  <c r="J31" i="1"/>
  <c r="J9" i="4" s="1"/>
  <c r="B32" i="1"/>
  <c r="F32" i="1"/>
  <c r="F10" i="4" s="1"/>
  <c r="J32" i="1"/>
  <c r="B33" i="1"/>
  <c r="F33" i="1"/>
  <c r="F11" i="4" s="1"/>
  <c r="J33" i="1"/>
  <c r="J11" i="4" s="1"/>
  <c r="C30" i="1"/>
  <c r="C8" i="4" s="1"/>
  <c r="G30" i="1"/>
  <c r="G8" i="4" s="1"/>
  <c r="K30" i="1"/>
  <c r="K8" i="4" s="1"/>
  <c r="C31" i="1"/>
  <c r="C9" i="4" s="1"/>
  <c r="G31" i="1"/>
  <c r="G9" i="4" s="1"/>
  <c r="K31" i="1"/>
  <c r="K9" i="4" s="1"/>
  <c r="C32" i="1"/>
  <c r="G32" i="1"/>
  <c r="G10" i="4" s="1"/>
  <c r="K32" i="1"/>
  <c r="K10" i="4" s="1"/>
  <c r="C33" i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E8" i="4" s="1"/>
  <c r="I30" i="1"/>
  <c r="I8" i="4" s="1"/>
  <c r="M30" i="1"/>
  <c r="M8" i="4" s="1"/>
  <c r="E31" i="1"/>
  <c r="E9" i="4" s="1"/>
  <c r="I31" i="1"/>
  <c r="I9" i="4" s="1"/>
  <c r="M31" i="1"/>
  <c r="M9" i="4" s="1"/>
  <c r="E32" i="1"/>
  <c r="E10" i="4" s="1"/>
  <c r="I32" i="1"/>
  <c r="I10" i="4" s="1"/>
  <c r="M32" i="1"/>
  <c r="M10" i="4" s="1"/>
  <c r="E33" i="1"/>
  <c r="E11" i="4" s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T27" i="4" s="1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B11" i="4"/>
  <c r="U11" i="4"/>
  <c r="T10" i="4"/>
  <c r="S9" i="4"/>
  <c r="L10" i="4"/>
  <c r="V12" i="4"/>
  <c r="R11" i="4"/>
  <c r="U12" i="4"/>
  <c r="T12" i="4"/>
  <c r="S11" i="4"/>
  <c r="V10" i="4"/>
  <c r="U9" i="4"/>
  <c r="T11" i="4"/>
  <c r="S10" i="4"/>
  <c r="V9" i="4"/>
  <c r="Q12" i="4"/>
  <c r="Q11" i="4"/>
  <c r="P12" i="4"/>
  <c r="Q9" i="4"/>
  <c r="C11" i="4"/>
  <c r="S12" i="4"/>
  <c r="V11" i="4"/>
  <c r="U10" i="4"/>
  <c r="T9" i="4"/>
  <c r="L22" i="4"/>
  <c r="E22" i="4"/>
  <c r="M22" i="4"/>
  <c r="H22" i="4"/>
  <c r="C22" i="4"/>
  <c r="G22" i="4"/>
  <c r="Q22" i="4"/>
  <c r="F22" i="4"/>
  <c r="J22" i="4"/>
  <c r="P22" i="4"/>
  <c r="T6" i="4"/>
  <c r="S6" i="4"/>
  <c r="Q6" i="4"/>
  <c r="L6" i="4"/>
  <c r="P6" i="4"/>
  <c r="M6" i="4"/>
  <c r="U6" i="4"/>
  <c r="T4" i="33"/>
  <c r="T22" i="33" s="1"/>
  <c r="Q22" i="1"/>
  <c r="R13" i="4"/>
  <c r="H29" i="1"/>
  <c r="E28" i="1"/>
  <c r="D12" i="4"/>
  <c r="F28" i="1"/>
  <c r="R41" i="1"/>
  <c r="R19" i="4" s="1"/>
  <c r="R37" i="1"/>
  <c r="R15" i="4" s="1"/>
  <c r="Q29" i="1"/>
  <c r="O37" i="1"/>
  <c r="O15" i="4" s="1"/>
  <c r="P29" i="1"/>
  <c r="I28" i="1"/>
  <c r="H28" i="1"/>
  <c r="G28" i="1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R22" i="4"/>
  <c r="V22" i="4"/>
  <c r="V57" i="1"/>
  <c r="U57" i="1"/>
  <c r="T57" i="1"/>
  <c r="S57" i="1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30" i="1"/>
  <c r="O8" i="4" s="1"/>
  <c r="O9" i="4"/>
  <c r="D28" i="1"/>
  <c r="B28" i="1"/>
  <c r="C28" i="1"/>
  <c r="O28" i="1"/>
  <c r="D29" i="1"/>
  <c r="D7" i="4" s="1"/>
  <c r="S47" i="1"/>
  <c r="S48" i="1" s="1"/>
  <c r="S54" i="1" s="1"/>
  <c r="V6" i="4"/>
  <c r="G21" i="4"/>
  <c r="I21" i="4"/>
  <c r="F21" i="4"/>
  <c r="H21" i="4"/>
  <c r="E21" i="4"/>
  <c r="L52" i="23"/>
  <c r="D17" i="4"/>
  <c r="J10" i="4"/>
  <c r="C4" i="4"/>
  <c r="G27" i="23"/>
  <c r="G52" i="23" s="1"/>
  <c r="K27" i="23"/>
  <c r="L22" i="1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C56" i="23"/>
  <c r="E56" i="23"/>
  <c r="J56" i="23"/>
  <c r="R56" i="23"/>
  <c r="B56" i="23"/>
  <c r="O56" i="23"/>
  <c r="K56" i="23"/>
  <c r="H56" i="23"/>
  <c r="L56" i="23"/>
  <c r="D56" i="23"/>
  <c r="P56" i="23"/>
  <c r="F56" i="23"/>
  <c r="S56" i="23"/>
  <c r="Q56" i="23"/>
  <c r="G56" i="23"/>
  <c r="M56" i="23"/>
  <c r="U56" i="23"/>
  <c r="T56" i="23"/>
  <c r="I56" i="23"/>
  <c r="V56" i="23"/>
  <c r="D56" i="1"/>
  <c r="Q56" i="1"/>
  <c r="H56" i="1"/>
  <c r="B56" i="1"/>
  <c r="O56" i="1"/>
  <c r="L56" i="1"/>
  <c r="F56" i="1"/>
  <c r="G56" i="1"/>
  <c r="J56" i="1"/>
  <c r="K56" i="1"/>
  <c r="M56" i="1"/>
  <c r="E56" i="1"/>
  <c r="P56" i="1"/>
  <c r="I56" i="1"/>
  <c r="R56" i="1"/>
  <c r="C56" i="1"/>
  <c r="E47" i="23" l="1"/>
  <c r="E48" i="23" s="1"/>
  <c r="E54" i="23" s="1"/>
  <c r="P47" i="23"/>
  <c r="P48" i="23" s="1"/>
  <c r="P54" i="23" s="1"/>
  <c r="S46" i="23"/>
  <c r="S53" i="23" s="1"/>
  <c r="M46" i="23"/>
  <c r="M53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I27" i="4"/>
  <c r="U27" i="4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7" i="4" s="1"/>
  <c r="L58" i="4" s="1"/>
  <c r="L76" i="4" s="1"/>
  <c r="H26" i="4"/>
  <c r="K26" i="4"/>
  <c r="V46" i="23"/>
  <c r="V53" i="23" s="1"/>
  <c r="V47" i="23"/>
  <c r="V48" i="23" s="1"/>
  <c r="V54" i="23" s="1"/>
  <c r="R27" i="4"/>
  <c r="J26" i="4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G6" i="4"/>
  <c r="Q7" i="4"/>
  <c r="K63" i="4"/>
  <c r="K64" i="4" s="1"/>
  <c r="U63" i="4"/>
  <c r="U64" i="4" s="1"/>
  <c r="J63" i="4"/>
  <c r="J64" i="4" s="1"/>
  <c r="V63" i="4"/>
  <c r="V64" i="4" s="1"/>
  <c r="T63" i="4"/>
  <c r="T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M57" i="4"/>
  <c r="M58" i="4" s="1"/>
  <c r="M76" i="4" s="1"/>
  <c r="T57" i="4"/>
  <c r="T58" i="4" s="1"/>
  <c r="T76" i="4" s="1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V56" i="4"/>
  <c r="V75" i="4" s="1"/>
  <c r="U57" i="4"/>
  <c r="U58" i="4" s="1"/>
  <c r="U76" i="4" s="1"/>
  <c r="L56" i="4"/>
  <c r="L75" i="4" s="1"/>
  <c r="S56" i="4"/>
  <c r="S75" i="4" s="1"/>
  <c r="K57" i="4"/>
  <c r="K58" i="4" s="1"/>
  <c r="K76" i="4" s="1"/>
  <c r="J56" i="4"/>
  <c r="J75" i="4" s="1"/>
  <c r="O55" i="4"/>
  <c r="O62" i="4"/>
  <c r="F55" i="4"/>
  <c r="F62" i="4"/>
  <c r="M55" i="4"/>
  <c r="M62" i="4"/>
  <c r="J55" i="4"/>
  <c r="J62" i="4"/>
  <c r="K56" i="4"/>
  <c r="K75" i="4" s="1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U56" i="4"/>
  <c r="U75" i="4" s="1"/>
  <c r="M56" i="4"/>
  <c r="M75" i="4" s="1"/>
  <c r="T56" i="4"/>
  <c r="T75" i="4" s="1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T79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L63" i="4" l="1"/>
  <c r="L64" i="4" s="1"/>
  <c r="S57" i="4"/>
  <c r="S58" i="4" s="1"/>
  <c r="S76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T77" i="4" s="1"/>
  <c r="C56" i="4"/>
  <c r="C75" i="4" s="1"/>
  <c r="V74" i="4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L60" i="23" s="1"/>
  <c r="F59" i="23"/>
  <c r="F60" i="23" s="1"/>
  <c r="Q59" i="23"/>
  <c r="Q60" i="23" s="1"/>
  <c r="V59" i="23"/>
  <c r="V60" i="23" s="1"/>
  <c r="P59" i="23"/>
  <c r="P60" i="23" s="1"/>
  <c r="T59" i="23"/>
  <c r="T60" i="23" s="1"/>
  <c r="U59" i="23"/>
  <c r="U60" i="23" s="1"/>
  <c r="S59" i="23"/>
  <c r="S60" i="23" s="1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J60" i="1" s="1"/>
  <c r="F59" i="1"/>
  <c r="F60" i="1" s="1"/>
  <c r="M59" i="1"/>
  <c r="M60" i="1" s="1"/>
  <c r="I59" i="1"/>
  <c r="I60" i="1" s="1"/>
  <c r="E59" i="1"/>
  <c r="E60" i="1" s="1"/>
  <c r="L59" i="1"/>
  <c r="L60" i="1" s="1"/>
  <c r="H59" i="1"/>
  <c r="H60" i="1" s="1"/>
  <c r="D59" i="1"/>
  <c r="D60" i="1" s="1"/>
  <c r="K59" i="1"/>
  <c r="K60" i="1" s="1"/>
  <c r="C59" i="1"/>
  <c r="C60" i="1" s="1"/>
  <c r="G59" i="1"/>
  <c r="G60" i="1" s="1"/>
  <c r="M55" i="1"/>
  <c r="T59" i="1"/>
  <c r="T60" i="1" s="1"/>
  <c r="P59" i="1"/>
  <c r="P60" i="1" s="1"/>
  <c r="S59" i="1"/>
  <c r="S60" i="1" s="1"/>
  <c r="V59" i="1"/>
  <c r="V60" i="1" s="1"/>
  <c r="R59" i="1"/>
  <c r="R60" i="1" s="1"/>
  <c r="U59" i="1"/>
  <c r="U60" i="1" s="1"/>
  <c r="Q59" i="1"/>
  <c r="Q60" i="1" s="1"/>
  <c r="B55" i="1"/>
  <c r="T27" i="23"/>
  <c r="T52" i="23" s="1"/>
  <c r="T45" i="23"/>
  <c r="T22" i="23"/>
  <c r="T27" i="1"/>
  <c r="T52" i="1" s="1"/>
  <c r="T45" i="1"/>
  <c r="T4" i="4"/>
  <c r="T62" i="4" s="1"/>
  <c r="T22" i="1"/>
  <c r="V62" i="4" l="1"/>
  <c r="P75" i="4"/>
  <c r="P77" i="4" s="1"/>
  <c r="O81" i="4"/>
  <c r="O82" i="4" s="1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Q82" i="4"/>
  <c r="K77" i="4" l="1"/>
  <c r="J77" i="4"/>
  <c r="G77" i="4"/>
  <c r="F77" i="4"/>
  <c r="L77" i="4"/>
  <c r="B77" i="4"/>
  <c r="M77" i="4"/>
  <c r="I77" i="4"/>
  <c r="H77" i="4"/>
  <c r="D77" i="4"/>
  <c r="C77" i="4"/>
  <c r="E77" i="4"/>
  <c r="P83" i="4"/>
  <c r="Q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<sst xmlns="http://schemas.openxmlformats.org/spreadsheetml/2006/main" count="248" uniqueCount="61">
  <si>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</si>
  <si>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</si>
  <si>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</si>
  <si>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</si>
  <si>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</si>
  <si>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</si>
  <si>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</si>
  <si>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</si>
  <si>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</si>
  <si>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</si>
  <si>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</si>
  <si>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</si>
  <si>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</si>
  <si>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</si>
  <si>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</si>
  <si>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</si>
  <si>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</si>
  <si>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</si>
  <si>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</si>
  <si>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</si>
  <si>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</si>
  <si>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</si>
  <si>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</si>
  <si>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Date performed :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</si>
  <si>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</si>
  <si>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</si>
  <si>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</si>
  <si>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</si>
  <si>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</si>
  <si>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</si>
  <si>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</si>
  <si>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</si>
  <si>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</si>
  <si>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</si>
  <si>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</si>
  <si>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</si>
  <si>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</si>
  <si>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</si>
  <si>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</si>
  <si>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</si>
  <si>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</si>
  <si>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</si>
  <si>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</si>
  <si>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</si>
  <si>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</si>
  <si>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</si>
  <si>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</si>
  <si>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Triphenylphosphate</t>
  </si>
  <si>
    <t>0,18</t>
  </si>
  <si>
    <t>0,26</t>
  </si>
  <si>
    <t>0,4</t>
  </si>
  <si>
    <t>0,59</t>
  </si>
  <si>
    <t>0,89</t>
  </si>
  <si>
    <t>**</t>
  </si>
  <si>
    <t>***</t>
  </si>
  <si>
    <t>&lt;0,001</t>
  </si>
  <si>
    <t>ANOVA</t>
  </si>
  <si>
    <t>ns</t>
  </si>
  <si>
    <t>&gt;0,99</t>
  </si>
  <si>
    <t>*</t>
  </si>
  <si>
    <t>Kruskal-Wallis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</si>
</sst>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9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3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6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8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1" xfId="0" applyNumberFormat="1" applyFont="1" applyFill="1" applyBorder="1" applyAlignment="1">
      <alignment horizontal="center" vertical="center" wrapText="1"/>
    </xf>
    <xf numFmtId="0" fontId="3" fillId="0" borderId="25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6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1" xfId="0" applyFont="1" applyBorder="1" applyAlignment="1">
      <alignment vertical="center"/>
    </xf>
    <xf numFmtId="0" fontId="3" fillId="0" borderId="22" xfId="0" applyNumberFormat="1" applyFont="1" applyBorder="1" applyAlignment="1">
      <alignment horizontal="center"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9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24" xfId="0" applyFont="1" applyFill="1" applyBorder="1" applyAlignment="1">
      <alignment vertical="center"/>
    </xf>
    <xf numFmtId="0" fontId="3" fillId="13" borderId="33" xfId="0" applyNumberFormat="1" applyFont="1" applyFill="1" applyBorder="1" applyAlignment="1">
      <alignment vertical="center"/>
    </xf>
    <xf numFmtId="0" fontId="3" fillId="13" borderId="34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5" xfId="0" applyNumberFormat="1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3" fillId="13" borderId="39" xfId="0" applyNumberFormat="1" applyFont="1" applyFill="1" applyBorder="1" applyAlignment="1">
      <alignment vertical="center"/>
    </xf>
    <xf numFmtId="0" fontId="3" fillId="13" borderId="25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externalLink" Target="externalLinks/externalLink2.xml"/><Relationship Id="rId5" Type="http://schemas.openxmlformats.org/officeDocument/2006/relationships/chartsheet" Target="chartsheets/sheet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2.6407981648784471E-2</c:v>
                  </c:pt>
                  <c:pt idx="1">
                    <c:v>0.17896454948570423</c:v>
                  </c:pt>
                  <c:pt idx="2">
                    <c:v>0.24263379264630083</c:v>
                  </c:pt>
                  <c:pt idx="3">
                    <c:v>0.29798614108008858</c:v>
                  </c:pt>
                  <c:pt idx="4">
                    <c:v>0.2555680377486903</c:v>
                  </c:pt>
                  <c:pt idx="5">
                    <c:v>0.33956942821777453</c:v>
                  </c:pt>
                  <c:pt idx="6">
                    <c:v>0.31016416485107556</c:v>
                  </c:pt>
                  <c:pt idx="7">
                    <c:v>4.1105140420168836E-2</c:v>
                  </c:pt>
                  <c:pt idx="8">
                    <c:v>3.5778734333623115E-2</c:v>
                  </c:pt>
                  <c:pt idx="9">
                    <c:v>7.9693174973464009E-2</c:v>
                  </c:pt>
                  <c:pt idx="10">
                    <c:v>0.21912464095620912</c:v>
                  </c:pt>
                  <c:pt idx="11">
                    <c:v>0.54113848002766041</c:v>
                  </c:pt>
                  <c:pt idx="13">
                    <c:v>0.14376353321438609</c:v>
                  </c:pt>
                  <c:pt idx="14">
                    <c:v>0.44051026987860936</c:v>
                  </c:pt>
                  <c:pt idx="15">
                    <c:v>3.2603688764564105E-2</c:v>
                  </c:pt>
                  <c:pt idx="16">
                    <c:v>0.3254375344745073</c:v>
                  </c:pt>
                  <c:pt idx="17">
                    <c:v>0.37790788060465969</c:v>
                  </c:pt>
                  <c:pt idx="18">
                    <c:v>0.4352276851591157</c:v>
                  </c:pt>
                  <c:pt idx="19">
                    <c:v>0.3636235386479475</c:v>
                  </c:pt>
                  <c:pt idx="20">
                    <c:v>0.78110900938550043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Triphenylphosphate-0,18mg/L</c:v>
                </c:pt>
                <c:pt idx="8">
                  <c:v>Triphenylphosphate-0,26mg/L</c:v>
                </c:pt>
                <c:pt idx="9">
                  <c:v>Triphenylphosphate-0,4mg/L</c:v>
                </c:pt>
                <c:pt idx="10">
                  <c:v>Triphenylphosphate-0,59mg/L</c:v>
                </c:pt>
                <c:pt idx="11">
                  <c:v>Triphenylphosphate-0,89mg/L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Triphenylphosphate-0,18mg/L + Testostérone</c:v>
                </c:pt>
                <c:pt idx="17">
                  <c:v>Triphenylphosphate-0,26mg/L + Testostérone</c:v>
                </c:pt>
                <c:pt idx="18">
                  <c:v>Triphenylphosphate-0,4mg/L + Testostérone</c:v>
                </c:pt>
                <c:pt idx="19">
                  <c:v>Triphenylphosphate-0,59mg/L + Testostérone</c:v>
                </c:pt>
                <c:pt idx="20">
                  <c:v>Triphenylphosphate-0,89mg/L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0.14217601533773108</c:v>
                </c:pt>
                <c:pt idx="1">
                  <c:v>0.59841876081596335</c:v>
                </c:pt>
                <c:pt idx="2">
                  <c:v>1.3277557784598</c:v>
                </c:pt>
                <c:pt idx="3">
                  <c:v>1.982105311761442</c:v>
                </c:pt>
                <c:pt idx="4">
                  <c:v>3.1519230539921224</c:v>
                </c:pt>
                <c:pt idx="5">
                  <c:v>3.3101165110510187</c:v>
                </c:pt>
                <c:pt idx="6">
                  <c:v>3.465375823185191</c:v>
                </c:pt>
                <c:pt idx="7">
                  <c:v>0.11169215593939423</c:v>
                </c:pt>
                <c:pt idx="8">
                  <c:v>9.4002591875069347E-2</c:v>
                </c:pt>
                <c:pt idx="9">
                  <c:v>0.3252970000793825</c:v>
                </c:pt>
                <c:pt idx="10">
                  <c:v>1.503828693603064</c:v>
                </c:pt>
                <c:pt idx="11">
                  <c:v>3.5612175490454616</c:v>
                </c:pt>
                <c:pt idx="13">
                  <c:v>1.0000000000000002</c:v>
                </c:pt>
                <c:pt idx="14">
                  <c:v>3.0971180499280861</c:v>
                </c:pt>
                <c:pt idx="15">
                  <c:v>0.10793974312079008</c:v>
                </c:pt>
                <c:pt idx="16">
                  <c:v>2.1614418632139731</c:v>
                </c:pt>
                <c:pt idx="17">
                  <c:v>2.0480544796731119</c:v>
                </c:pt>
                <c:pt idx="18">
                  <c:v>3.7157253087904478</c:v>
                </c:pt>
                <c:pt idx="19">
                  <c:v>4.221004173099395</c:v>
                </c:pt>
                <c:pt idx="20">
                  <c:v>3.7281212427256043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4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1.4025489006054949E-2</c:v>
                  </c:pt>
                  <c:pt idx="1">
                    <c:v>3.5578544050959435E-2</c:v>
                  </c:pt>
                  <c:pt idx="2">
                    <c:v>0.1332006691620615</c:v>
                  </c:pt>
                  <c:pt idx="3">
                    <c:v>0.19573088472016584</c:v>
                  </c:pt>
                  <c:pt idx="4">
                    <c:v>0.32646086783709799</c:v>
                  </c:pt>
                  <c:pt idx="5">
                    <c:v>0.31934469232578372</c:v>
                  </c:pt>
                  <c:pt idx="6">
                    <c:v>0.4383511125995998</c:v>
                  </c:pt>
                  <c:pt idx="7">
                    <c:v>3.4296602240387816E-2</c:v>
                  </c:pt>
                  <c:pt idx="8">
                    <c:v>3.0229971297868356E-2</c:v>
                  </c:pt>
                  <c:pt idx="9">
                    <c:v>1.9886846601716954E-2</c:v>
                  </c:pt>
                  <c:pt idx="10">
                    <c:v>0.15274404196123936</c:v>
                  </c:pt>
                  <c:pt idx="11">
                    <c:v>0.27692370585280374</c:v>
                  </c:pt>
                  <c:pt idx="13">
                    <c:v>0.15914794985423383</c:v>
                  </c:pt>
                  <c:pt idx="14">
                    <c:v>0.28989503845695352</c:v>
                  </c:pt>
                  <c:pt idx="15">
                    <c:v>1.9266940275411714E-2</c:v>
                  </c:pt>
                  <c:pt idx="16">
                    <c:v>0.21918004124626916</c:v>
                  </c:pt>
                  <c:pt idx="17">
                    <c:v>0.42974537909942018</c:v>
                  </c:pt>
                  <c:pt idx="18">
                    <c:v>0.27104755672937458</c:v>
                  </c:pt>
                  <c:pt idx="19">
                    <c:v>0.37522033436680324</c:v>
                  </c:pt>
                  <c:pt idx="20">
                    <c:v>0.33254525878798014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0.14376353321438609</c:v>
                  </c:pt>
                  <c:pt idx="2">
                    <c:v>0.44051026987860936</c:v>
                  </c:pt>
                  <c:pt idx="3">
                    <c:v>3.2603688764564105E-2</c:v>
                  </c:pt>
                  <c:pt idx="4">
                    <c:v>0.3254375344745073</c:v>
                  </c:pt>
                  <c:pt idx="5">
                    <c:v>0.37790788060465969</c:v>
                  </c:pt>
                  <c:pt idx="6">
                    <c:v>0.4352276851591157</c:v>
                  </c:pt>
                  <c:pt idx="7">
                    <c:v>0.3636235386479475</c:v>
                  </c:pt>
                  <c:pt idx="8">
                    <c:v>0.78110900938550043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Triphenylphosphate-0,18mg/L</c:v>
                </c:pt>
                <c:pt idx="8">
                  <c:v>Triphenylphosphate-0,26mg/L</c:v>
                </c:pt>
                <c:pt idx="9">
                  <c:v>Triphenylphosphate-0,4mg/L</c:v>
                </c:pt>
                <c:pt idx="10">
                  <c:v>Triphenylphosphate-0,59mg/L</c:v>
                </c:pt>
                <c:pt idx="11">
                  <c:v>Triphenylphosphate-0,89mg/L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Triphenylphosphate-0,18mg/L + Testostérone</c:v>
                </c:pt>
                <c:pt idx="17">
                  <c:v>Triphenylphosphate-0,26mg/L + Testostérone</c:v>
                </c:pt>
                <c:pt idx="18">
                  <c:v>Triphenylphosphate-0,4mg/L + Testostérone</c:v>
                </c:pt>
                <c:pt idx="19">
                  <c:v>Triphenylphosphate-0,59mg/L + Testostérone</c:v>
                </c:pt>
                <c:pt idx="20">
                  <c:v>Triphenylphosphate-0,89mg/L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5.9317012377044183E-2</c:v>
                </c:pt>
                <c:pt idx="1">
                  <c:v>0.1039432103480437</c:v>
                </c:pt>
                <c:pt idx="2">
                  <c:v>0.47128095216156668</c:v>
                </c:pt>
                <c:pt idx="3">
                  <c:v>0.76765153187480939</c:v>
                </c:pt>
                <c:pt idx="4">
                  <c:v>2.0023482992949009</c:v>
                </c:pt>
                <c:pt idx="5">
                  <c:v>3.3085862518002429</c:v>
                </c:pt>
                <c:pt idx="6">
                  <c:v>3.4259548553823485</c:v>
                </c:pt>
                <c:pt idx="7">
                  <c:v>7.1286187942415827E-2</c:v>
                </c:pt>
                <c:pt idx="8">
                  <c:v>5.0752835325245965E-2</c:v>
                </c:pt>
                <c:pt idx="9">
                  <c:v>6.3688760425982358E-2</c:v>
                </c:pt>
                <c:pt idx="10">
                  <c:v>0.70029162074208751</c:v>
                </c:pt>
                <c:pt idx="11">
                  <c:v>1.5789969230437904</c:v>
                </c:pt>
                <c:pt idx="13">
                  <c:v>1</c:v>
                </c:pt>
                <c:pt idx="14">
                  <c:v>2.2045905869236178</c:v>
                </c:pt>
                <c:pt idx="15">
                  <c:v>6.5241311303892865E-2</c:v>
                </c:pt>
                <c:pt idx="16">
                  <c:v>1.6582801214327174</c:v>
                </c:pt>
                <c:pt idx="17">
                  <c:v>1.7998524668599321</c:v>
                </c:pt>
                <c:pt idx="18">
                  <c:v>1.5937751079307538</c:v>
                </c:pt>
                <c:pt idx="19">
                  <c:v>1.6122971985251735</c:v>
                </c:pt>
                <c:pt idx="20">
                  <c:v>2.1140607120384693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1.9522218150035166E-2</c:v>
                  </c:pt>
                  <c:pt idx="1">
                    <c:v>5.109394858188273E-2</c:v>
                  </c:pt>
                  <c:pt idx="2">
                    <c:v>0.16473469686872344</c:v>
                  </c:pt>
                  <c:pt idx="3">
                    <c:v>0.20642862267154666</c:v>
                  </c:pt>
                  <c:pt idx="4">
                    <c:v>9.0394208043954802E-2</c:v>
                  </c:pt>
                  <c:pt idx="5">
                    <c:v>8.5501283014986981E-2</c:v>
                  </c:pt>
                  <c:pt idx="6">
                    <c:v>0.52159134850605027</c:v>
                  </c:pt>
                  <c:pt idx="7">
                    <c:v>1.9430446177176024E-2</c:v>
                  </c:pt>
                  <c:pt idx="8">
                    <c:v>4.9999123068940618E-3</c:v>
                  </c:pt>
                  <c:pt idx="9">
                    <c:v>2.5466877507821419E-2</c:v>
                  </c:pt>
                  <c:pt idx="10">
                    <c:v>0.18323203590762829</c:v>
                  </c:pt>
                  <c:pt idx="11">
                    <c:v>0.29895748397172256</c:v>
                  </c:pt>
                  <c:pt idx="13">
                    <c:v>0.165209987766128</c:v>
                  </c:pt>
                  <c:pt idx="14">
                    <c:v>0.19031211793434824</c:v>
                  </c:pt>
                  <c:pt idx="15">
                    <c:v>2.7754545160988742E-2</c:v>
                  </c:pt>
                  <c:pt idx="16">
                    <c:v>0.27428327556628784</c:v>
                  </c:pt>
                  <c:pt idx="17">
                    <c:v>0.31274547551411386</c:v>
                  </c:pt>
                  <c:pt idx="18">
                    <c:v>0.36315220905023166</c:v>
                  </c:pt>
                  <c:pt idx="19">
                    <c:v>0.17506852650228977</c:v>
                  </c:pt>
                  <c:pt idx="20">
                    <c:v>0.52584649967321129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0.14376353321438609</c:v>
                  </c:pt>
                  <c:pt idx="2">
                    <c:v>0.44051026987860936</c:v>
                  </c:pt>
                  <c:pt idx="3">
                    <c:v>3.2603688764564105E-2</c:v>
                  </c:pt>
                  <c:pt idx="4">
                    <c:v>0.3254375344745073</c:v>
                  </c:pt>
                  <c:pt idx="5">
                    <c:v>0.37790788060465969</c:v>
                  </c:pt>
                  <c:pt idx="6">
                    <c:v>0.4352276851591157</c:v>
                  </c:pt>
                  <c:pt idx="7">
                    <c:v>0.3636235386479475</c:v>
                  </c:pt>
                  <c:pt idx="8">
                    <c:v>0.78110900938550043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Triphenylphosphate-0,18mg/L</c:v>
                </c:pt>
                <c:pt idx="8">
                  <c:v>Triphenylphosphate-0,26mg/L</c:v>
                </c:pt>
                <c:pt idx="9">
                  <c:v>Triphenylphosphate-0,4mg/L</c:v>
                </c:pt>
                <c:pt idx="10">
                  <c:v>Triphenylphosphate-0,59mg/L</c:v>
                </c:pt>
                <c:pt idx="11">
                  <c:v>Triphenylphosphate-0,89mg/L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Triphenylphosphate-0,18mg/L + Testostérone</c:v>
                </c:pt>
                <c:pt idx="17">
                  <c:v>Triphenylphosphate-0,26mg/L + Testostérone</c:v>
                </c:pt>
                <c:pt idx="18">
                  <c:v>Triphenylphosphate-0,4mg/L + Testostérone</c:v>
                </c:pt>
                <c:pt idx="19">
                  <c:v>Triphenylphosphate-0,59mg/L + Testostérone</c:v>
                </c:pt>
                <c:pt idx="20">
                  <c:v>Triphenylphosphate-0,89mg/L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6.8872486699508254E-2</c:v>
                </c:pt>
                <c:pt idx="1">
                  <c:v>0.10639093420503536</c:v>
                </c:pt>
                <c:pt idx="2">
                  <c:v>0.45274061958941114</c:v>
                </c:pt>
                <c:pt idx="3">
                  <c:v>1.0287177369708502</c:v>
                </c:pt>
                <c:pt idx="4">
                  <c:v>0.91350053342981052</c:v>
                </c:pt>
                <c:pt idx="5">
                  <c:v>1.9941868048722124</c:v>
                </c:pt>
                <c:pt idx="6">
                  <c:v>3.4598145136094001</c:v>
                </c:pt>
                <c:pt idx="7">
                  <c:v>4.8108274133126981E-2</c:v>
                </c:pt>
                <c:pt idx="8">
                  <c:v>3.8245936921759663E-2</c:v>
                </c:pt>
                <c:pt idx="9">
                  <c:v>7.2624342466785674E-2</c:v>
                </c:pt>
                <c:pt idx="10">
                  <c:v>0.52195456967130949</c:v>
                </c:pt>
                <c:pt idx="11">
                  <c:v>1.1798547510947319</c:v>
                </c:pt>
                <c:pt idx="13">
                  <c:v>1</c:v>
                </c:pt>
                <c:pt idx="14">
                  <c:v>2.41709914655637</c:v>
                </c:pt>
                <c:pt idx="15">
                  <c:v>7.6081390680820371E-2</c:v>
                </c:pt>
                <c:pt idx="16">
                  <c:v>1.6878656175513167</c:v>
                </c:pt>
                <c:pt idx="17">
                  <c:v>1.5386051372309331</c:v>
                </c:pt>
                <c:pt idx="18">
                  <c:v>1.8315639188164337</c:v>
                </c:pt>
                <c:pt idx="19">
                  <c:v>1.4292980759951297</c:v>
                </c:pt>
                <c:pt idx="20">
                  <c:v>2.8918942575102111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fr-FR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F80CCA7-8D74-4A09-959A-D1A4E6EA60F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0B4C96-17F4-426D-B71D-7E0A03B0C0A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BE085B-305C-446E-806C-A7B74D7A192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4A108E6-0F72-472D-A1BF-3548B76CC17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37424D-5BC7-44FE-BA81-3CBED7B32C8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FE3AA98-B692-4E66-B0AF-79A1AD4E4A8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26FA33-7C0C-4294-8741-8E35B9C29CE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E0E391-0173-4E59-9B0D-CED93C6F321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ED4A09C-AE42-4589-B4A4-80D721A17FD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AF5631-E119-4321-8BA2-D9B59A0E511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1DA5E76-098A-4867-95F3-A6B671A5572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1FC9775-D5CD-4603-A47E-DB034D96DEB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F05099-B26C-4801-A4EF-AE54F993437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036ECDA-7B4B-424E-9D5F-04B8E075312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8B9C51-072A-4932-8E89-7758AFE3160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6866C13-0037-4679-952E-C4319C1D465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82D4A88-1B3A-47AF-A962-78C8E241952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AE52EDD-E2FD-41F2-9A4E-E274414649A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0D42DA7-4612-4BC7-8100-BB30FAA9FC50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5BE837F-C12B-4B45-9291-1C47D0920FF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1.3745407379253996E-2</c:v>
                  </c:pt>
                  <c:pt idx="1">
                    <c:v>7.7416087185085886E-2</c:v>
                  </c:pt>
                  <c:pt idx="2">
                    <c:v>0.13330284824052621</c:v>
                  </c:pt>
                  <c:pt idx="3">
                    <c:v>0.17727536585145412</c:v>
                  </c:pt>
                  <c:pt idx="4">
                    <c:v>0.2336330006069938</c:v>
                  </c:pt>
                  <c:pt idx="5">
                    <c:v>0.19873872960790612</c:v>
                  </c:pt>
                  <c:pt idx="6">
                    <c:v>0.23846695653637187</c:v>
                  </c:pt>
                  <c:pt idx="7">
                    <c:v>1.9481480039583589E-2</c:v>
                  </c:pt>
                  <c:pt idx="8">
                    <c:v>1.5808958966234566E-2</c:v>
                  </c:pt>
                  <c:pt idx="9">
                    <c:v>3.7278055047598305E-2</c:v>
                  </c:pt>
                  <c:pt idx="10">
                    <c:v>0.13628755562435987</c:v>
                  </c:pt>
                  <c:pt idx="11">
                    <c:v>0.30610659665493412</c:v>
                  </c:pt>
                  <c:pt idx="13">
                    <c:v>8.8299757525253111E-2</c:v>
                  </c:pt>
                  <c:pt idx="14">
                    <c:v>0.19541409853957539</c:v>
                  </c:pt>
                  <c:pt idx="15">
                    <c:v>1.5424861358448028E-2</c:v>
                  </c:pt>
                  <c:pt idx="16">
                    <c:v>0.15987794539374739</c:v>
                  </c:pt>
                  <c:pt idx="17">
                    <c:v>0.20978964171472342</c:v>
                  </c:pt>
                  <c:pt idx="18">
                    <c:v>0.28146818851646727</c:v>
                  </c:pt>
                  <c:pt idx="19">
                    <c:v>0.31858194541019574</c:v>
                  </c:pt>
                  <c:pt idx="20">
                    <c:v>0.3464894172350797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1.3745407379253996E-2</c:v>
                  </c:pt>
                  <c:pt idx="1">
                    <c:v>7.7416087185085886E-2</c:v>
                  </c:pt>
                  <c:pt idx="2">
                    <c:v>0.13330284824052621</c:v>
                  </c:pt>
                  <c:pt idx="3">
                    <c:v>0.17727536585145412</c:v>
                  </c:pt>
                  <c:pt idx="4">
                    <c:v>0.2336330006069938</c:v>
                  </c:pt>
                  <c:pt idx="5">
                    <c:v>0.19873872960790612</c:v>
                  </c:pt>
                  <c:pt idx="6">
                    <c:v>0.23846695653637187</c:v>
                  </c:pt>
                  <c:pt idx="7">
                    <c:v>1.9481480039583589E-2</c:v>
                  </c:pt>
                  <c:pt idx="8">
                    <c:v>1.5808958966234566E-2</c:v>
                  </c:pt>
                  <c:pt idx="9">
                    <c:v>3.7278055047598305E-2</c:v>
                  </c:pt>
                  <c:pt idx="10">
                    <c:v>0.13628755562435987</c:v>
                  </c:pt>
                  <c:pt idx="11">
                    <c:v>0.30610659665493412</c:v>
                  </c:pt>
                  <c:pt idx="13">
                    <c:v>8.8299757525253111E-2</c:v>
                  </c:pt>
                  <c:pt idx="14">
                    <c:v>0.19541409853957539</c:v>
                  </c:pt>
                  <c:pt idx="15">
                    <c:v>1.5424861358448028E-2</c:v>
                  </c:pt>
                  <c:pt idx="16">
                    <c:v>0.15987794539374739</c:v>
                  </c:pt>
                  <c:pt idx="17">
                    <c:v>0.20978964171472342</c:v>
                  </c:pt>
                  <c:pt idx="18">
                    <c:v>0.28146818851646727</c:v>
                  </c:pt>
                  <c:pt idx="19">
                    <c:v>0.31858194541019574</c:v>
                  </c:pt>
                  <c:pt idx="20">
                    <c:v>0.3464894172350797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Triphenylphosphate-0,18mg/L</c:v>
                </c:pt>
                <c:pt idx="8">
                  <c:v>Triphenylphosphate-0,26mg/L</c:v>
                </c:pt>
                <c:pt idx="9">
                  <c:v>Triphenylphosphate-0,4mg/L</c:v>
                </c:pt>
                <c:pt idx="10">
                  <c:v>Triphenylphosphate-0,59mg/L</c:v>
                </c:pt>
                <c:pt idx="11">
                  <c:v>Triphenylphosphate-0,89mg/L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Triphenylphosphate-0,18mg/L + Testostérone</c:v>
                </c:pt>
                <c:pt idx="17">
                  <c:v>Triphenylphosphate-0,26mg/L + Testostérone</c:v>
                </c:pt>
                <c:pt idx="18">
                  <c:v>Triphenylphosphate-0,4mg/L + Testostérone</c:v>
                </c:pt>
                <c:pt idx="19">
                  <c:v>Triphenylphosphate-0,59mg/L + Testostérone</c:v>
                </c:pt>
                <c:pt idx="20">
                  <c:v>Triphenylphosphate-0,89mg/L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9.0121838138094504E-2</c:v>
                </c:pt>
                <c:pt idx="1">
                  <c:v>0.26958430178968079</c:v>
                </c:pt>
                <c:pt idx="2">
                  <c:v>0.75059245007025943</c:v>
                </c:pt>
                <c:pt idx="3">
                  <c:v>1.3042042536866907</c:v>
                </c:pt>
                <c:pt idx="4">
                  <c:v>2.0225906289056108</c:v>
                </c:pt>
                <c:pt idx="5">
                  <c:v>2.870963189241158</c:v>
                </c:pt>
                <c:pt idx="6">
                  <c:v>3.4503817307256472</c:v>
                </c:pt>
                <c:pt idx="7">
                  <c:v>7.8286289999407357E-2</c:v>
                </c:pt>
                <c:pt idx="8">
                  <c:v>6.1000454707358341E-2</c:v>
                </c:pt>
                <c:pt idx="9">
                  <c:v>0.15387003432405014</c:v>
                </c:pt>
                <c:pt idx="10">
                  <c:v>0.90869162800548686</c:v>
                </c:pt>
                <c:pt idx="11">
                  <c:v>2.1066897410613281</c:v>
                </c:pt>
                <c:pt idx="13">
                  <c:v>1.0000000000000002</c:v>
                </c:pt>
                <c:pt idx="14">
                  <c:v>2.5729359278026913</c:v>
                </c:pt>
                <c:pt idx="15">
                  <c:v>8.3087481701834442E-2</c:v>
                </c:pt>
                <c:pt idx="16">
                  <c:v>1.8358625340660024</c:v>
                </c:pt>
                <c:pt idx="17">
                  <c:v>1.7953149653587774</c:v>
                </c:pt>
                <c:pt idx="18">
                  <c:v>2.3803547785125456</c:v>
                </c:pt>
                <c:pt idx="19">
                  <c:v>2.4208664825398998</c:v>
                </c:pt>
                <c:pt idx="20">
                  <c:v>2.9113587374247611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*</c:v>
                  </c:pt>
                  <c:pt idx="3">
                    <c:v>***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***</c:v>
                  </c:pt>
                  <c:pt idx="11">
                    <c:v>***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**</c:v>
                  </c:pt>
                  <c:pt idx="17">
                    <c:v>**</c:v>
                  </c:pt>
                  <c:pt idx="18">
                    <c:v>***</c:v>
                  </c:pt>
                  <c:pt idx="19">
                    <c:v>***</c:v>
                  </c:pt>
                  <c:pt idx="20">
                    <c:v>***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fr-FR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fr-FR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5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95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6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4395" cy="607594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alStats/RealStats%202013%202016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  <sheetName val="RealStats 2013 2016"/>
      <sheetName val="RSign Table"/>
    </sheetNames>
    <definedNames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Prime"/>
    </sheetNames>
    <definedNames>
      <definedName name="DPTEST"/>
      <definedName name="M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topLeftCell="A4" zoomScale="55" zoomScaleNormal="55" workbookViewId="0">
      <selection activeCell="F18" sqref="F18"/>
    </sheetView>
  </sheetViews>
  <sheetFormatPr baseColWidth="10" defaultRowHeight="39" customHeight="1" x14ac:dyDescent="0.35"/>
  <cols>
    <col min="1" max="1" width="42" bestFit="1" customWidth="1"/>
    <col min="2" max="2" width="33.81640625" style="28" bestFit="1" customWidth="1"/>
    <col min="3" max="3" width="21.26953125" customWidth="1"/>
    <col min="4" max="4" width="30.453125" customWidth="1"/>
    <col min="5" max="5" width="62.26953125" style="90" bestFit="1" customWidth="1"/>
    <col min="6" max="6" width="56.7265625" bestFit="1" customWidth="1"/>
    <col min="7" max="7" width="19.453125" customWidth="1"/>
    <col min="8" max="8" width="15.26953125" customWidth="1"/>
    <col min="9" max="9" width="18" customWidth="1"/>
    <col min="10" max="10" width="19.54296875" bestFit="1" customWidth="1"/>
  </cols>
  <sheetData>
    <row r="1" spans="1:9" ht="39" customHeight="1" thickBot="1" x14ac:dyDescent="0.4">
      <c r="A1" s="116"/>
      <c r="B1" s="117"/>
      <c r="C1" s="117"/>
      <c r="D1" s="117"/>
      <c r="E1" s="117"/>
      <c r="F1" s="117"/>
      <c r="G1" s="117"/>
      <c r="H1" s="117"/>
      <c r="I1" s="118"/>
    </row>
    <row r="2" spans="1:9" ht="21.5" thickBot="1" x14ac:dyDescent="0.55000000000000004">
      <c r="A2" s="109" t="s">
        <v>5</v>
      </c>
      <c r="B2" s="27" t="s">
        <v>24</v>
      </c>
      <c r="C2" s="119"/>
      <c r="D2" s="120"/>
      <c r="E2" s="27" t="s">
        <v>23</v>
      </c>
      <c r="F2" s="131"/>
      <c r="G2" s="132"/>
      <c r="H2" s="132"/>
      <c r="I2" s="133"/>
    </row>
    <row r="3" spans="1:9" ht="21.5" thickBot="1" x14ac:dyDescent="0.55000000000000004">
      <c r="A3" s="110" t="s">
        <v>6</v>
      </c>
      <c r="B3" s="27" t="s">
        <v>24</v>
      </c>
      <c r="C3" s="121"/>
      <c r="D3" s="122"/>
      <c r="E3" s="27" t="s">
        <v>23</v>
      </c>
      <c r="F3" s="128"/>
      <c r="G3" s="129"/>
      <c r="H3" s="129"/>
      <c r="I3" s="130"/>
    </row>
    <row r="4" spans="1:9" ht="21.5" thickBot="1" x14ac:dyDescent="0.55000000000000004">
      <c r="A4" s="111" t="s">
        <v>9</v>
      </c>
      <c r="B4" s="27" t="s">
        <v>24</v>
      </c>
      <c r="C4" s="123"/>
      <c r="D4" s="124"/>
      <c r="E4" s="27" t="s">
        <v>23</v>
      </c>
      <c r="F4" s="125"/>
      <c r="G4" s="126"/>
      <c r="H4" s="126"/>
      <c r="I4" s="127"/>
    </row>
    <row r="5" spans="1:9" s="1" customFormat="1" ht="65.25" customHeight="1" thickBot="1" x14ac:dyDescent="0.4">
      <c r="A5" s="116"/>
      <c r="B5" s="117"/>
      <c r="C5" s="117"/>
      <c r="D5" s="117"/>
      <c r="E5" s="117"/>
      <c r="F5" s="117"/>
      <c r="G5" s="117"/>
      <c r="H5" s="117"/>
      <c r="I5" s="118"/>
    </row>
    <row r="6" spans="1:9" s="69" customFormat="1" ht="39" customHeight="1" x14ac:dyDescent="0.5">
      <c r="A6" s="59" t="s">
        <v>25</v>
      </c>
      <c r="B6" s="60" t="s">
        <v>26</v>
      </c>
      <c r="C6" s="47" t="s">
        <v>7</v>
      </c>
      <c r="D6" s="47" t="s">
        <v>27</v>
      </c>
      <c r="E6" s="87" t="s">
        <v>28</v>
      </c>
      <c r="F6" s="68" t="s">
        <v>29</v>
      </c>
    </row>
    <row r="7" spans="1:9" s="96" customFormat="1" ht="39" customHeight="1" x14ac:dyDescent="0.5">
      <c r="A7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2" t="s">
        <v>46</v>
      </c>
      <c r="C7" s="93"/>
      <c r="D7" s="94"/>
      <c r="E7" s="95" t="s">
        <v>31</v>
      </c>
      <c r="F7" s="70"/>
    </row>
    <row r="8" spans="1:9" s="96" customFormat="1" ht="39" customHeight="1" x14ac:dyDescent="0.5">
      <c r="A8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2" t="s">
        <v>46</v>
      </c>
      <c r="C8" s="93" t="s">
        <v>32</v>
      </c>
      <c r="D8" s="94" t="s">
        <v>17</v>
      </c>
      <c r="E8" s="95" t="s">
        <v>18</v>
      </c>
      <c r="F8" s="70"/>
    </row>
    <row r="9" spans="1:9" s="96" customFormat="1" ht="39" customHeight="1" x14ac:dyDescent="0.5">
      <c r="A9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2" t="s">
        <v>46</v>
      </c>
      <c r="C9" s="93" t="s">
        <v>33</v>
      </c>
      <c r="D9" s="94" t="s">
        <v>17</v>
      </c>
      <c r="E9" s="95" t="s">
        <v>18</v>
      </c>
      <c r="F9" s="70"/>
    </row>
    <row r="10" spans="1:9" s="96" customFormat="1" ht="39" customHeight="1" x14ac:dyDescent="0.5">
      <c r="A10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2" t="s">
        <v>46</v>
      </c>
      <c r="C10" s="93">
        <v>76</v>
      </c>
      <c r="D10" s="94" t="s">
        <v>17</v>
      </c>
      <c r="E10" s="95" t="s">
        <v>18</v>
      </c>
      <c r="F10" s="70"/>
    </row>
    <row r="11" spans="1:9" s="96" customFormat="1" ht="39" customHeight="1" x14ac:dyDescent="0.5">
      <c r="A11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2" t="s">
        <v>46</v>
      </c>
      <c r="C11" s="93">
        <v>114</v>
      </c>
      <c r="D11" s="94" t="s">
        <v>17</v>
      </c>
      <c r="E11" s="95" t="s">
        <v>18</v>
      </c>
      <c r="F11" s="70"/>
    </row>
    <row r="12" spans="1:9" s="96" customFormat="1" ht="39" customHeight="1" x14ac:dyDescent="0.5">
      <c r="A12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2" t="s">
        <v>46</v>
      </c>
      <c r="C12" s="93" t="s">
        <v>34</v>
      </c>
      <c r="D12" s="94" t="s">
        <v>17</v>
      </c>
      <c r="E12" s="95" t="s">
        <v>18</v>
      </c>
      <c r="F12" s="70"/>
    </row>
    <row r="13" spans="1:9" s="96" customFormat="1" ht="39" customHeight="1" x14ac:dyDescent="0.5">
      <c r="A13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2" t="s">
        <v>46</v>
      </c>
      <c r="C13" s="93">
        <v>488</v>
      </c>
      <c r="D13" s="94" t="s">
        <v>17</v>
      </c>
      <c r="E13" s="95" t="s">
        <v>18</v>
      </c>
      <c r="F13" s="70"/>
    </row>
    <row r="14" spans="1:9" s="96" customFormat="1" ht="39" customHeight="1" x14ac:dyDescent="0.5">
      <c r="A14" s="9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Triphenylphosphate-0,18mg/L</v>
      </c>
      <c r="B14" s="92" t="s">
        <v>30</v>
      </c>
      <c r="C14" s="93" t="s">
        <v>48</v>
      </c>
      <c r="D14" s="94" t="s">
        <v>21</v>
      </c>
      <c r="E14" s="95" t="s">
        <v>47</v>
      </c>
      <c r="F14" s="70"/>
    </row>
    <row r="15" spans="1:9" s="71" customFormat="1" ht="39" customHeight="1" x14ac:dyDescent="0.35">
      <c r="A1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Triphenylphosphate-0,26mg/L</v>
      </c>
      <c r="B15" s="92" t="s">
        <v>30</v>
      </c>
      <c r="C15" s="65" t="s">
        <v>49</v>
      </c>
      <c r="D15" s="94" t="s">
        <v>21</v>
      </c>
      <c r="E15" s="95" t="s">
        <v>47</v>
      </c>
      <c r="F15" s="70"/>
    </row>
    <row r="16" spans="1:9" s="71" customFormat="1" ht="39" customHeight="1" x14ac:dyDescent="0.35">
      <c r="A1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Triphenylphosphate-0,4mg/L</v>
      </c>
      <c r="B16" s="92" t="s">
        <v>30</v>
      </c>
      <c r="C16" s="65" t="s">
        <v>50</v>
      </c>
      <c r="D16" s="94" t="s">
        <v>21</v>
      </c>
      <c r="E16" s="95" t="s">
        <v>47</v>
      </c>
      <c r="F16" s="70"/>
    </row>
    <row r="17" spans="1:6" s="71" customFormat="1" ht="39" customHeight="1" x14ac:dyDescent="0.35">
      <c r="A1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Triphenylphosphate-0,59mg/L</v>
      </c>
      <c r="B17" s="92" t="s">
        <v>30</v>
      </c>
      <c r="C17" s="65" t="s">
        <v>51</v>
      </c>
      <c r="D17" s="94" t="s">
        <v>21</v>
      </c>
      <c r="E17" s="95" t="s">
        <v>47</v>
      </c>
      <c r="F17" s="70"/>
    </row>
    <row r="18" spans="1:6" s="71" customFormat="1" ht="39" customHeight="1" x14ac:dyDescent="0.35">
      <c r="A1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Triphenylphosphate-0,89mg/L</v>
      </c>
      <c r="B18" s="92" t="s">
        <v>30</v>
      </c>
      <c r="C18" s="65" t="s">
        <v>52</v>
      </c>
      <c r="D18" s="94" t="s">
        <v>21</v>
      </c>
      <c r="E18" s="95" t="s">
        <v>47</v>
      </c>
      <c r="F18" s="70"/>
    </row>
    <row r="19" spans="1:6" s="71" customFormat="1" ht="39" customHeight="1" x14ac:dyDescent="0.35">
      <c r="A1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2" t="s">
        <v>30</v>
      </c>
      <c r="C19" s="65"/>
      <c r="D19" s="65"/>
      <c r="E19" s="25"/>
      <c r="F19" s="70"/>
    </row>
    <row r="20" spans="1:6" s="71" customFormat="1" ht="39" customHeight="1" x14ac:dyDescent="0.35">
      <c r="A2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2" t="s">
        <v>30</v>
      </c>
      <c r="C20" s="65"/>
      <c r="D20" s="65"/>
      <c r="E20" s="61"/>
      <c r="F20" s="70"/>
    </row>
    <row r="21" spans="1:6" s="71" customFormat="1" ht="39" customHeight="1" x14ac:dyDescent="0.35">
      <c r="A2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2" t="s">
        <v>30</v>
      </c>
      <c r="C21" s="65"/>
      <c r="D21" s="65"/>
      <c r="E21" s="25"/>
      <c r="F21" s="70"/>
    </row>
    <row r="22" spans="1:6" s="71" customFormat="1" ht="39" customHeight="1" x14ac:dyDescent="0.35">
      <c r="A2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2" t="s">
        <v>30</v>
      </c>
      <c r="C22" s="65"/>
      <c r="D22" s="65"/>
      <c r="E22" s="61"/>
      <c r="F22" s="70"/>
    </row>
    <row r="23" spans="1:6" s="71" customFormat="1" ht="39" customHeight="1" x14ac:dyDescent="0.35">
      <c r="A2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2" t="s">
        <v>30</v>
      </c>
      <c r="C23" s="65"/>
      <c r="D23" s="65"/>
      <c r="E23" s="25"/>
      <c r="F23" s="70"/>
    </row>
    <row r="24" spans="1:6" s="71" customFormat="1" ht="39" customHeight="1" x14ac:dyDescent="0.35">
      <c r="A24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2" t="s">
        <v>30</v>
      </c>
      <c r="C24" s="65"/>
      <c r="D24" s="65"/>
      <c r="E24" s="61"/>
      <c r="F24" s="70"/>
    </row>
    <row r="25" spans="1:6" s="71" customFormat="1" ht="39" customHeight="1" x14ac:dyDescent="0.35">
      <c r="A25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2" t="s">
        <v>30</v>
      </c>
      <c r="C25" s="65"/>
      <c r="D25" s="65"/>
      <c r="E25" s="25"/>
      <c r="F25" s="70"/>
    </row>
    <row r="26" spans="1:6" s="71" customFormat="1" ht="39" customHeight="1" x14ac:dyDescent="0.35">
      <c r="A26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2" t="s">
        <v>30</v>
      </c>
      <c r="C26" s="65"/>
      <c r="D26" s="65"/>
      <c r="E26" s="61"/>
      <c r="F26" s="70"/>
    </row>
    <row r="27" spans="1:6" s="71" customFormat="1" ht="39" customHeight="1" x14ac:dyDescent="0.35">
      <c r="A27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2" t="s">
        <v>30</v>
      </c>
      <c r="C27" s="65"/>
      <c r="D27" s="65"/>
      <c r="E27" s="25"/>
      <c r="F27" s="70"/>
    </row>
    <row r="28" spans="1:6" s="71" customFormat="1" ht="39" customHeight="1" x14ac:dyDescent="0.35">
      <c r="A28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2" t="s">
        <v>30</v>
      </c>
      <c r="C28" s="65"/>
      <c r="D28" s="65"/>
      <c r="E28" s="61"/>
      <c r="F28" s="70"/>
    </row>
    <row r="29" spans="1:6" s="71" customFormat="1" ht="39" customHeight="1" x14ac:dyDescent="0.35">
      <c r="A29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2" t="s">
        <v>30</v>
      </c>
      <c r="C29" s="65"/>
      <c r="D29" s="74"/>
      <c r="E29" s="25"/>
      <c r="F29" s="70"/>
    </row>
    <row r="30" spans="1:6" s="71" customFormat="1" ht="39" customHeight="1" x14ac:dyDescent="0.35">
      <c r="A30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2" t="s">
        <v>30</v>
      </c>
      <c r="C30" s="65"/>
      <c r="D30" s="74"/>
      <c r="E30" s="61"/>
      <c r="F30" s="70"/>
    </row>
    <row r="31" spans="1:6" s="71" customFormat="1" ht="39" customHeight="1" x14ac:dyDescent="0.35">
      <c r="A31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2" t="s">
        <v>30</v>
      </c>
      <c r="C31" s="65"/>
      <c r="D31" s="74"/>
      <c r="E31" s="25"/>
      <c r="F31" s="70"/>
    </row>
    <row r="32" spans="1:6" s="71" customFormat="1" ht="39" customHeight="1" x14ac:dyDescent="0.35">
      <c r="A32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2" t="s">
        <v>30</v>
      </c>
      <c r="C32" s="65"/>
      <c r="D32" s="74"/>
      <c r="E32" s="61"/>
      <c r="F32" s="70"/>
    </row>
    <row r="33" spans="1:6" s="71" customFormat="1" ht="39" customHeight="1" x14ac:dyDescent="0.35">
      <c r="A33" s="4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2" t="s">
        <v>30</v>
      </c>
      <c r="C33" s="65"/>
      <c r="D33" s="74"/>
      <c r="E33" s="25"/>
      <c r="F33" s="70"/>
    </row>
    <row r="34" spans="1:6" s="71" customFormat="1" ht="39" customHeight="1" thickBot="1" x14ac:dyDescent="0.4">
      <c r="A34" s="5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2" t="s">
        <v>30</v>
      </c>
      <c r="C34" s="98"/>
      <c r="D34" s="75"/>
      <c r="E34" s="97"/>
      <c r="F34" s="70"/>
    </row>
    <row r="35" spans="1:6" s="71" customFormat="1" ht="39" customHeight="1" x14ac:dyDescent="0.35">
      <c r="A35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2" t="s">
        <v>46</v>
      </c>
      <c r="C35" s="66">
        <v>30</v>
      </c>
      <c r="D35" s="76" t="s">
        <v>19</v>
      </c>
      <c r="E35" s="88" t="s">
        <v>8</v>
      </c>
      <c r="F35" s="100"/>
    </row>
    <row r="36" spans="1:6" s="71" customFormat="1" ht="39" customHeight="1" x14ac:dyDescent="0.35">
      <c r="A36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3" t="s">
        <v>46</v>
      </c>
      <c r="C36" s="67">
        <v>64</v>
      </c>
      <c r="D36" s="77" t="s">
        <v>17</v>
      </c>
      <c r="E36" s="89" t="s">
        <v>20</v>
      </c>
      <c r="F36" s="102"/>
    </row>
    <row r="37" spans="1:6" s="71" customFormat="1" ht="39" customHeight="1" thickBot="1" x14ac:dyDescent="0.4">
      <c r="A37" s="103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4" t="s">
        <v>46</v>
      </c>
      <c r="C37" s="105">
        <v>10</v>
      </c>
      <c r="D37" s="106" t="s">
        <v>21</v>
      </c>
      <c r="E37" s="107" t="s">
        <v>22</v>
      </c>
      <c r="F37" s="108"/>
    </row>
    <row r="38" spans="1:6" s="71" customFormat="1" ht="39" customHeight="1" x14ac:dyDescent="0.35">
      <c r="A38" s="3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Triphenylphosphate-0,18mg/L + Testostérone</v>
      </c>
      <c r="B38" s="112" t="str">
        <f>B14</f>
        <v>test chemical</v>
      </c>
      <c r="C38" s="112" t="str">
        <f t="shared" ref="C38:E38" si="0">C14</f>
        <v>0,18</v>
      </c>
      <c r="D38" s="112" t="str">
        <f t="shared" si="0"/>
        <v>mg/L</v>
      </c>
      <c r="E38" s="112" t="str">
        <f t="shared" si="0"/>
        <v>Triphenylphosphate</v>
      </c>
      <c r="F38" s="72" t="s">
        <v>13</v>
      </c>
    </row>
    <row r="39" spans="1:6" s="71" customFormat="1" ht="39" customHeight="1" x14ac:dyDescent="0.35">
      <c r="A3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Triphenylphosphate-0,26mg/L + Testostérone</v>
      </c>
      <c r="B39" s="114" t="str">
        <f t="shared" ref="B39:E39" si="1">B15</f>
        <v>test chemical</v>
      </c>
      <c r="C39" s="114" t="str">
        <f t="shared" si="1"/>
        <v>0,26</v>
      </c>
      <c r="D39" s="114" t="str">
        <f t="shared" si="1"/>
        <v>mg/L</v>
      </c>
      <c r="E39" s="114" t="str">
        <f t="shared" si="1"/>
        <v>Triphenylphosphate</v>
      </c>
      <c r="F39" s="73" t="s">
        <v>13</v>
      </c>
    </row>
    <row r="40" spans="1:6" s="71" customFormat="1" ht="39" customHeight="1" x14ac:dyDescent="0.35">
      <c r="A4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Triphenylphosphate-0,4mg/L + Testostérone</v>
      </c>
      <c r="B40" s="114" t="str">
        <f t="shared" ref="B40:E40" si="2">B16</f>
        <v>test chemical</v>
      </c>
      <c r="C40" s="114" t="str">
        <f t="shared" si="2"/>
        <v>0,4</v>
      </c>
      <c r="D40" s="114" t="str">
        <f t="shared" si="2"/>
        <v>mg/L</v>
      </c>
      <c r="E40" s="114" t="str">
        <f t="shared" si="2"/>
        <v>Triphenylphosphate</v>
      </c>
      <c r="F40" s="73" t="s">
        <v>13</v>
      </c>
    </row>
    <row r="41" spans="1:6" s="71" customFormat="1" ht="39" customHeight="1" x14ac:dyDescent="0.35">
      <c r="A4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Triphenylphosphate-0,59mg/L + Testostérone</v>
      </c>
      <c r="B41" s="114" t="str">
        <f t="shared" ref="B41:E41" si="3">B17</f>
        <v>test chemical</v>
      </c>
      <c r="C41" s="114" t="str">
        <f t="shared" si="3"/>
        <v>0,59</v>
      </c>
      <c r="D41" s="114" t="str">
        <f t="shared" si="3"/>
        <v>mg/L</v>
      </c>
      <c r="E41" s="114" t="str">
        <f t="shared" si="3"/>
        <v>Triphenylphosphate</v>
      </c>
      <c r="F41" s="73" t="s">
        <v>13</v>
      </c>
    </row>
    <row r="42" spans="1:6" s="71" customFormat="1" ht="39" customHeight="1" x14ac:dyDescent="0.35">
      <c r="A4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Triphenylphosphate-0,89mg/L + Testostérone</v>
      </c>
      <c r="B42" s="114" t="str">
        <f t="shared" ref="B42:E42" si="4">B18</f>
        <v>test chemical</v>
      </c>
      <c r="C42" s="114" t="str">
        <f t="shared" si="4"/>
        <v>0,89</v>
      </c>
      <c r="D42" s="114" t="str">
        <f t="shared" si="4"/>
        <v>mg/L</v>
      </c>
      <c r="E42" s="114" t="str">
        <f t="shared" si="4"/>
        <v>Triphenylphosphate</v>
      </c>
      <c r="F42" s="73" t="s">
        <v>13</v>
      </c>
    </row>
    <row r="43" spans="1:6" s="71" customFormat="1" ht="39" customHeight="1" x14ac:dyDescent="0.35">
      <c r="A4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4" t="str">
        <f t="shared" ref="B43:E43" si="5">B19</f>
        <v>test chemical</v>
      </c>
      <c r="C43" s="114">
        <f t="shared" si="5"/>
        <v>0</v>
      </c>
      <c r="D43" s="114">
        <f t="shared" si="5"/>
        <v>0</v>
      </c>
      <c r="E43" s="114">
        <f t="shared" si="5"/>
        <v>0</v>
      </c>
      <c r="F43" s="73" t="s">
        <v>13</v>
      </c>
    </row>
    <row r="44" spans="1:6" s="71" customFormat="1" ht="39" customHeight="1" x14ac:dyDescent="0.35">
      <c r="A4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4" t="str">
        <f t="shared" ref="B44:E44" si="6">B20</f>
        <v>test chemical</v>
      </c>
      <c r="C44" s="114">
        <f t="shared" si="6"/>
        <v>0</v>
      </c>
      <c r="D44" s="114">
        <f t="shared" si="6"/>
        <v>0</v>
      </c>
      <c r="E44" s="114">
        <f t="shared" si="6"/>
        <v>0</v>
      </c>
      <c r="F44" s="73" t="s">
        <v>13</v>
      </c>
    </row>
    <row r="45" spans="1:6" s="71" customFormat="1" ht="39" customHeight="1" x14ac:dyDescent="0.35">
      <c r="A4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4" t="str">
        <f t="shared" ref="B45:E45" si="7">B21</f>
        <v>test chemical</v>
      </c>
      <c r="C45" s="114">
        <f t="shared" si="7"/>
        <v>0</v>
      </c>
      <c r="D45" s="114">
        <f t="shared" si="7"/>
        <v>0</v>
      </c>
      <c r="E45" s="114">
        <f t="shared" si="7"/>
        <v>0</v>
      </c>
      <c r="F45" s="73" t="s">
        <v>13</v>
      </c>
    </row>
    <row r="46" spans="1:6" s="71" customFormat="1" ht="39" customHeight="1" x14ac:dyDescent="0.35">
      <c r="A4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4" t="str">
        <f t="shared" ref="B46:E46" si="8">B22</f>
        <v>test chemical</v>
      </c>
      <c r="C46" s="114">
        <f t="shared" si="8"/>
        <v>0</v>
      </c>
      <c r="D46" s="114">
        <f t="shared" si="8"/>
        <v>0</v>
      </c>
      <c r="E46" s="114">
        <f t="shared" si="8"/>
        <v>0</v>
      </c>
      <c r="F46" s="73" t="s">
        <v>13</v>
      </c>
    </row>
    <row r="47" spans="1:6" s="71" customFormat="1" ht="39" customHeight="1" x14ac:dyDescent="0.35">
      <c r="A47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4" t="str">
        <f t="shared" ref="B47:E47" si="9">B23</f>
        <v>test chemical</v>
      </c>
      <c r="C47" s="114">
        <f t="shared" si="9"/>
        <v>0</v>
      </c>
      <c r="D47" s="114">
        <f t="shared" si="9"/>
        <v>0</v>
      </c>
      <c r="E47" s="114">
        <f t="shared" si="9"/>
        <v>0</v>
      </c>
      <c r="F47" s="73" t="s">
        <v>13</v>
      </c>
    </row>
    <row r="48" spans="1:6" s="71" customFormat="1" ht="39" customHeight="1" x14ac:dyDescent="0.35">
      <c r="A48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4" t="str">
        <f t="shared" ref="B48:E48" si="10">B24</f>
        <v>test chemical</v>
      </c>
      <c r="C48" s="114">
        <f t="shared" si="10"/>
        <v>0</v>
      </c>
      <c r="D48" s="114">
        <f t="shared" si="10"/>
        <v>0</v>
      </c>
      <c r="E48" s="114">
        <f t="shared" si="10"/>
        <v>0</v>
      </c>
      <c r="F48" s="73" t="s">
        <v>13</v>
      </c>
    </row>
    <row r="49" spans="1:6" s="71" customFormat="1" ht="39" customHeight="1" x14ac:dyDescent="0.35">
      <c r="A49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4" t="str">
        <f t="shared" ref="B49:E49" si="11">B25</f>
        <v>test chemical</v>
      </c>
      <c r="C49" s="114">
        <f t="shared" si="11"/>
        <v>0</v>
      </c>
      <c r="D49" s="114">
        <f t="shared" si="11"/>
        <v>0</v>
      </c>
      <c r="E49" s="114">
        <f t="shared" si="11"/>
        <v>0</v>
      </c>
      <c r="F49" s="73" t="s">
        <v>13</v>
      </c>
    </row>
    <row r="50" spans="1:6" s="71" customFormat="1" ht="39" customHeight="1" x14ac:dyDescent="0.35">
      <c r="A50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4" t="str">
        <f t="shared" ref="B50:E50" si="12">B26</f>
        <v>test chemical</v>
      </c>
      <c r="C50" s="114">
        <f t="shared" si="12"/>
        <v>0</v>
      </c>
      <c r="D50" s="114">
        <f t="shared" si="12"/>
        <v>0</v>
      </c>
      <c r="E50" s="114">
        <f t="shared" si="12"/>
        <v>0</v>
      </c>
      <c r="F50" s="73" t="s">
        <v>13</v>
      </c>
    </row>
    <row r="51" spans="1:6" s="71" customFormat="1" ht="39" customHeight="1" x14ac:dyDescent="0.35">
      <c r="A51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4" t="str">
        <f t="shared" ref="B51:E51" si="13">B27</f>
        <v>test chemical</v>
      </c>
      <c r="C51" s="114">
        <f t="shared" si="13"/>
        <v>0</v>
      </c>
      <c r="D51" s="114">
        <f t="shared" si="13"/>
        <v>0</v>
      </c>
      <c r="E51" s="114">
        <f t="shared" si="13"/>
        <v>0</v>
      </c>
      <c r="F51" s="73" t="s">
        <v>13</v>
      </c>
    </row>
    <row r="52" spans="1:6" s="71" customFormat="1" ht="39" customHeight="1" x14ac:dyDescent="0.35">
      <c r="A52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4" t="str">
        <f t="shared" ref="B52:E52" si="14">B28</f>
        <v>test chemical</v>
      </c>
      <c r="C52" s="114">
        <f t="shared" si="14"/>
        <v>0</v>
      </c>
      <c r="D52" s="114">
        <f t="shared" si="14"/>
        <v>0</v>
      </c>
      <c r="E52" s="114">
        <f t="shared" si="14"/>
        <v>0</v>
      </c>
      <c r="F52" s="73" t="s">
        <v>13</v>
      </c>
    </row>
    <row r="53" spans="1:6" s="71" customFormat="1" ht="39" customHeight="1" x14ac:dyDescent="0.35">
      <c r="A53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4" t="str">
        <f t="shared" ref="B53:E53" si="15">B29</f>
        <v>test chemical</v>
      </c>
      <c r="C53" s="114">
        <f t="shared" si="15"/>
        <v>0</v>
      </c>
      <c r="D53" s="114">
        <f t="shared" si="15"/>
        <v>0</v>
      </c>
      <c r="E53" s="114">
        <f t="shared" si="15"/>
        <v>0</v>
      </c>
      <c r="F53" s="73" t="s">
        <v>13</v>
      </c>
    </row>
    <row r="54" spans="1:6" s="71" customFormat="1" ht="39" customHeight="1" x14ac:dyDescent="0.35">
      <c r="A54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4" t="str">
        <f t="shared" ref="B54:E54" si="16">B30</f>
        <v>test chemical</v>
      </c>
      <c r="C54" s="114">
        <f t="shared" si="16"/>
        <v>0</v>
      </c>
      <c r="D54" s="114">
        <f t="shared" si="16"/>
        <v>0</v>
      </c>
      <c r="E54" s="114">
        <f t="shared" si="16"/>
        <v>0</v>
      </c>
      <c r="F54" s="73" t="s">
        <v>13</v>
      </c>
    </row>
    <row r="55" spans="1:6" s="71" customFormat="1" ht="39" customHeight="1" x14ac:dyDescent="0.35">
      <c r="A55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4" t="str">
        <f t="shared" ref="B55:E55" si="17">B31</f>
        <v>test chemical</v>
      </c>
      <c r="C55" s="114">
        <f t="shared" si="17"/>
        <v>0</v>
      </c>
      <c r="D55" s="114">
        <f t="shared" si="17"/>
        <v>0</v>
      </c>
      <c r="E55" s="114">
        <f t="shared" si="17"/>
        <v>0</v>
      </c>
      <c r="F55" s="73" t="s">
        <v>13</v>
      </c>
    </row>
    <row r="56" spans="1:6" s="71" customFormat="1" ht="39" customHeight="1" x14ac:dyDescent="0.35">
      <c r="A56" s="58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4" t="str">
        <f t="shared" ref="B56:E56" si="18">B32</f>
        <v>test chemical</v>
      </c>
      <c r="C56" s="114">
        <f t="shared" si="18"/>
        <v>0</v>
      </c>
      <c r="D56" s="114">
        <f t="shared" si="18"/>
        <v>0</v>
      </c>
      <c r="E56" s="114">
        <f t="shared" si="18"/>
        <v>0</v>
      </c>
      <c r="F56" s="73" t="s">
        <v>13</v>
      </c>
    </row>
    <row r="57" spans="1:6" s="71" customFormat="1" ht="39" customHeight="1" x14ac:dyDescent="0.35">
      <c r="A57" s="64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3" t="str">
        <f t="shared" ref="B57:E57" si="19">B33</f>
        <v>test chemical</v>
      </c>
      <c r="C57" s="113">
        <f t="shared" si="19"/>
        <v>0</v>
      </c>
      <c r="D57" s="113">
        <f t="shared" si="19"/>
        <v>0</v>
      </c>
      <c r="E57" s="113">
        <f t="shared" si="19"/>
        <v>0</v>
      </c>
      <c r="F57" s="73" t="s">
        <v>13</v>
      </c>
    </row>
  </sheetData>
  <protectedRanges>
    <protectedRange sqref="C19:D37 A15:A51 C15:C18" name="Plage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S1" activePane="topRight" state="frozen"/>
      <selection pane="topRight" activeCell="V5" sqref="V5:V12"/>
    </sheetView>
  </sheetViews>
  <sheetFormatPr baseColWidth="10" defaultColWidth="9.1796875" defaultRowHeight="14.5" x14ac:dyDescent="0.35"/>
  <cols>
    <col min="1" max="1" width="29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8.26953125" bestFit="1" customWidth="1"/>
    <col min="15" max="15" width="14.81640625" customWidth="1"/>
    <col min="16" max="16" width="17.7265625" customWidth="1"/>
    <col min="17" max="18" width="25.81640625" bestFit="1" customWidth="1"/>
    <col min="19" max="22" width="25.81640625" style="1" customWidth="1"/>
  </cols>
  <sheetData>
    <row r="1" spans="1:22" s="1" customFormat="1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" thickBot="1" x14ac:dyDescent="0.4">
      <c r="A3" s="35" t="s">
        <v>5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Triphenylphosphate-0,18mg/L</v>
      </c>
      <c r="J4" s="20" t="str">
        <f>'Front page'!A15</f>
        <v>Triphenylphosphate-0,26mg/L</v>
      </c>
      <c r="K4" s="20" t="str">
        <f>'Front page'!A16</f>
        <v>Triphenylphosphate-0,4mg/L</v>
      </c>
      <c r="L4" s="20" t="str">
        <f>'Front page'!A17</f>
        <v>Triphenylphosphate-0,59mg/L</v>
      </c>
      <c r="M4" s="20" t="str">
        <f>'Front page'!A18</f>
        <v>Triphenylphosphate-0,89mg/L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Triphenylphosphate-0,18mg/L + Testostérone</v>
      </c>
      <c r="S4" s="21" t="str">
        <f>'Front page'!A39</f>
        <v>Triphenylphosphate-0,26mg/L + Testostérone</v>
      </c>
      <c r="T4" s="21" t="str">
        <f>'Front page'!A40</f>
        <v>Triphenylphosphate-0,4mg/L + Testostérone</v>
      </c>
      <c r="U4" s="21" t="str">
        <f>'Front page'!A41</f>
        <v>Triphenylphosphate-0,59mg/L + Testostérone</v>
      </c>
      <c r="V4" s="21" t="str">
        <f>'Front page'!A42</f>
        <v>Triphenylphosphate-0,89mg/L + Testostérone</v>
      </c>
    </row>
    <row r="5" spans="1:22" ht="16.5" x14ac:dyDescent="0.35">
      <c r="A5" s="138" t="s">
        <v>35</v>
      </c>
      <c r="B5" s="56">
        <v>278482</v>
      </c>
      <c r="C5" s="13">
        <v>2406008</v>
      </c>
      <c r="D5" s="17">
        <v>4153678</v>
      </c>
      <c r="E5" s="17">
        <v>5273831</v>
      </c>
      <c r="F5" s="17">
        <v>5921598</v>
      </c>
      <c r="G5" s="17">
        <v>7352788</v>
      </c>
      <c r="H5" s="17">
        <v>4280962</v>
      </c>
      <c r="I5" s="17">
        <v>101975</v>
      </c>
      <c r="J5" s="16">
        <v>84390</v>
      </c>
      <c r="K5" s="13">
        <v>408519</v>
      </c>
      <c r="L5" s="13">
        <v>1445526</v>
      </c>
      <c r="M5" s="13">
        <v>5516204</v>
      </c>
      <c r="N5" s="3"/>
      <c r="O5" s="17">
        <v>2124757</v>
      </c>
      <c r="P5" s="13">
        <v>7231231</v>
      </c>
      <c r="Q5" s="13">
        <v>117175</v>
      </c>
      <c r="R5" s="4">
        <v>6288118</v>
      </c>
      <c r="S5" s="17">
        <v>3228094</v>
      </c>
      <c r="T5" s="17">
        <v>6296652</v>
      </c>
      <c r="U5" s="17">
        <v>7688490</v>
      </c>
      <c r="V5" s="17">
        <v>11028269</v>
      </c>
    </row>
    <row r="6" spans="1:22" ht="16.5" x14ac:dyDescent="0.35">
      <c r="A6" s="139"/>
      <c r="B6" s="56">
        <v>17423</v>
      </c>
      <c r="C6" s="13">
        <v>379044</v>
      </c>
      <c r="D6" s="17">
        <v>1526243</v>
      </c>
      <c r="E6" s="17">
        <v>4727054</v>
      </c>
      <c r="F6" s="17">
        <v>4460637</v>
      </c>
      <c r="G6" s="17">
        <v>5587806</v>
      </c>
      <c r="H6" s="17">
        <v>6899660</v>
      </c>
      <c r="I6" s="17">
        <v>222502</v>
      </c>
      <c r="J6" s="16">
        <v>98795</v>
      </c>
      <c r="K6" s="13">
        <v>296317</v>
      </c>
      <c r="L6" s="13">
        <v>2001692</v>
      </c>
      <c r="M6" s="13">
        <v>512821</v>
      </c>
      <c r="N6" s="3"/>
      <c r="O6" s="17">
        <v>732500</v>
      </c>
      <c r="P6" s="13">
        <v>7895388</v>
      </c>
      <c r="Q6" s="13">
        <v>436000</v>
      </c>
      <c r="R6" s="4">
        <v>2926504</v>
      </c>
      <c r="S6" s="17">
        <v>2964081</v>
      </c>
      <c r="T6" s="17">
        <v>5494142</v>
      </c>
      <c r="U6" s="17">
        <v>8197533</v>
      </c>
      <c r="V6" s="17">
        <v>1271049</v>
      </c>
    </row>
    <row r="7" spans="1:22" ht="16.5" x14ac:dyDescent="0.35">
      <c r="A7" s="139"/>
      <c r="B7" s="56">
        <v>402652</v>
      </c>
      <c r="C7" s="56">
        <v>324574</v>
      </c>
      <c r="D7" s="56">
        <v>3016000</v>
      </c>
      <c r="E7" s="56">
        <v>1553626</v>
      </c>
      <c r="F7" s="56">
        <v>3100605</v>
      </c>
      <c r="G7" s="56">
        <v>3467975</v>
      </c>
      <c r="H7" s="56">
        <v>6172046</v>
      </c>
      <c r="I7" s="56">
        <v>433941</v>
      </c>
      <c r="J7" s="56">
        <v>9192</v>
      </c>
      <c r="K7" s="56">
        <v>1002310</v>
      </c>
      <c r="L7" s="56">
        <v>694973</v>
      </c>
      <c r="M7" s="56">
        <v>8489745</v>
      </c>
      <c r="N7" s="3"/>
      <c r="O7" s="17">
        <v>661693</v>
      </c>
      <c r="P7" s="13">
        <v>4504624</v>
      </c>
      <c r="Q7" s="13">
        <v>85566</v>
      </c>
      <c r="R7" s="4">
        <v>4843183</v>
      </c>
      <c r="S7" s="17">
        <v>3601027</v>
      </c>
      <c r="T7" s="17">
        <v>6743513</v>
      </c>
      <c r="U7" s="17">
        <v>8873581</v>
      </c>
      <c r="V7" s="17">
        <v>10416875</v>
      </c>
    </row>
    <row r="8" spans="1:22" ht="16.5" x14ac:dyDescent="0.35">
      <c r="A8" s="139"/>
      <c r="B8" s="56">
        <v>148645</v>
      </c>
      <c r="C8" s="56">
        <v>442094</v>
      </c>
      <c r="D8" s="56">
        <v>2111675</v>
      </c>
      <c r="E8" s="56">
        <v>4141273</v>
      </c>
      <c r="F8" s="56">
        <v>5910718</v>
      </c>
      <c r="G8" s="56">
        <v>5407587</v>
      </c>
      <c r="H8" s="56">
        <v>7256738</v>
      </c>
      <c r="I8" s="56">
        <v>19582</v>
      </c>
      <c r="J8" s="56">
        <v>318748</v>
      </c>
      <c r="K8" s="56">
        <v>1125794</v>
      </c>
      <c r="L8" s="56">
        <v>3642823</v>
      </c>
      <c r="M8" s="56">
        <v>5395333</v>
      </c>
      <c r="N8" s="3"/>
      <c r="O8" s="56">
        <v>1754452</v>
      </c>
      <c r="P8" s="56">
        <v>2012992</v>
      </c>
      <c r="Q8" s="56">
        <v>79201</v>
      </c>
      <c r="R8" s="56">
        <v>1652518</v>
      </c>
      <c r="S8" s="56">
        <v>4906657</v>
      </c>
      <c r="T8" s="56">
        <v>10300101</v>
      </c>
      <c r="U8" s="56">
        <v>5665985</v>
      </c>
      <c r="V8" s="56">
        <v>1706341</v>
      </c>
    </row>
    <row r="9" spans="1:22" ht="16.5" x14ac:dyDescent="0.35">
      <c r="A9" s="139"/>
      <c r="B9" s="56">
        <v>188720</v>
      </c>
      <c r="C9" s="56">
        <v>2026957</v>
      </c>
      <c r="D9" s="56">
        <v>2063730</v>
      </c>
      <c r="E9" s="56">
        <v>2848643</v>
      </c>
      <c r="F9" s="56">
        <v>4662651</v>
      </c>
      <c r="G9" s="56">
        <v>2877251</v>
      </c>
      <c r="H9" s="56">
        <v>7181389</v>
      </c>
      <c r="I9" s="56">
        <v>99055</v>
      </c>
      <c r="J9" s="56">
        <v>203501</v>
      </c>
      <c r="K9" s="56">
        <v>199548</v>
      </c>
      <c r="L9" s="56">
        <v>2887883</v>
      </c>
      <c r="M9" s="56">
        <v>7684562</v>
      </c>
      <c r="N9" s="3"/>
      <c r="O9" s="56">
        <v>633373</v>
      </c>
      <c r="P9" s="56">
        <v>3468075</v>
      </c>
      <c r="Q9" s="56">
        <v>357275</v>
      </c>
      <c r="R9" s="56">
        <v>3858253</v>
      </c>
      <c r="S9" s="56">
        <v>6571070</v>
      </c>
      <c r="T9" s="56">
        <v>4857248</v>
      </c>
      <c r="U9" s="56">
        <v>6882836</v>
      </c>
      <c r="V9" s="56">
        <v>8051888</v>
      </c>
    </row>
    <row r="10" spans="1:22" ht="16.5" x14ac:dyDescent="0.35">
      <c r="A10" s="139"/>
      <c r="B10" s="56">
        <v>201046</v>
      </c>
      <c r="C10" s="56">
        <v>1414451</v>
      </c>
      <c r="D10" s="56">
        <v>3199830</v>
      </c>
      <c r="E10" s="56">
        <v>4141843</v>
      </c>
      <c r="F10" s="56">
        <v>5256123</v>
      </c>
      <c r="G10" s="56">
        <v>6779053</v>
      </c>
      <c r="H10" s="56">
        <v>3226045</v>
      </c>
      <c r="I10" s="56">
        <v>39065</v>
      </c>
      <c r="J10" s="56">
        <v>13900</v>
      </c>
      <c r="K10" s="56">
        <v>842413</v>
      </c>
      <c r="L10" s="56">
        <v>3084027</v>
      </c>
      <c r="M10" s="56">
        <v>6961186</v>
      </c>
      <c r="N10" s="3"/>
      <c r="O10" s="56">
        <v>2667660</v>
      </c>
      <c r="P10" s="56">
        <v>5197951</v>
      </c>
      <c r="Q10" s="56">
        <v>77611</v>
      </c>
      <c r="R10" s="56">
        <v>4267561</v>
      </c>
      <c r="S10" s="56">
        <v>2521942</v>
      </c>
      <c r="T10" s="56">
        <v>5953502</v>
      </c>
      <c r="U10" s="56">
        <v>7977916</v>
      </c>
      <c r="V10" s="56">
        <v>7787518</v>
      </c>
    </row>
    <row r="11" spans="1:22" ht="16.5" x14ac:dyDescent="0.35">
      <c r="A11" s="139"/>
      <c r="B11" s="56">
        <v>363234</v>
      </c>
      <c r="C11" s="13">
        <v>155850</v>
      </c>
      <c r="D11" s="17">
        <v>921634</v>
      </c>
      <c r="E11" s="17">
        <v>1789108</v>
      </c>
      <c r="F11" s="17">
        <v>6062818</v>
      </c>
      <c r="G11" s="17">
        <v>6710273</v>
      </c>
      <c r="H11" s="17">
        <v>6501950</v>
      </c>
      <c r="I11" s="17">
        <v>536537</v>
      </c>
      <c r="J11" s="16">
        <v>46092</v>
      </c>
      <c r="K11" s="13">
        <v>241014</v>
      </c>
      <c r="L11" s="13">
        <v>3466982</v>
      </c>
      <c r="M11" s="13">
        <v>5136757</v>
      </c>
      <c r="N11" s="3"/>
      <c r="O11" s="56">
        <v>2295000</v>
      </c>
      <c r="P11" s="56">
        <v>4067810</v>
      </c>
      <c r="Q11" s="56">
        <v>284692</v>
      </c>
      <c r="R11" s="56">
        <v>3460165</v>
      </c>
      <c r="S11" s="56">
        <v>3423776</v>
      </c>
      <c r="T11" s="56">
        <v>7247326</v>
      </c>
      <c r="U11" s="56">
        <v>7980671</v>
      </c>
      <c r="V11" s="56">
        <v>5997924</v>
      </c>
    </row>
    <row r="12" spans="1:22" ht="16.5" x14ac:dyDescent="0.35">
      <c r="A12" s="139"/>
      <c r="B12" s="56">
        <v>313507</v>
      </c>
      <c r="C12" s="13">
        <v>905822</v>
      </c>
      <c r="D12" s="17">
        <v>878988</v>
      </c>
      <c r="E12" s="17">
        <v>2204036</v>
      </c>
      <c r="F12" s="17">
        <v>7050174</v>
      </c>
      <c r="G12" s="17">
        <v>6371897</v>
      </c>
      <c r="H12" s="17">
        <v>5125652</v>
      </c>
      <c r="I12" s="17">
        <v>50735</v>
      </c>
      <c r="J12" s="16">
        <v>490670</v>
      </c>
      <c r="K12" s="13">
        <v>262628</v>
      </c>
      <c r="L12" s="13">
        <v>3017838</v>
      </c>
      <c r="M12" s="13">
        <v>8237877</v>
      </c>
      <c r="N12" s="3"/>
      <c r="O12" s="17">
        <v>2102842</v>
      </c>
      <c r="P12" s="13">
        <v>7309570</v>
      </c>
      <c r="Q12" s="13">
        <v>15364</v>
      </c>
      <c r="R12" s="4">
        <v>1797007</v>
      </c>
      <c r="S12" s="17">
        <v>350452</v>
      </c>
      <c r="T12" s="17">
        <v>3121697</v>
      </c>
      <c r="U12" s="17">
        <v>3548293</v>
      </c>
      <c r="V12" s="17">
        <v>3921168</v>
      </c>
    </row>
    <row r="13" spans="1:22" ht="16.5" x14ac:dyDescent="0.35">
      <c r="A13" s="139"/>
      <c r="B13" s="14"/>
      <c r="C13" s="13"/>
      <c r="D13" s="16"/>
      <c r="E13" s="16"/>
      <c r="F13" s="16"/>
      <c r="G13" s="16"/>
      <c r="H13" s="16"/>
      <c r="I13" s="17"/>
      <c r="J13" s="16"/>
      <c r="K13" s="13"/>
      <c r="L13" s="13"/>
      <c r="M13" s="13"/>
      <c r="N13" s="3"/>
      <c r="O13" s="17">
        <v>3251022</v>
      </c>
      <c r="P13" s="13"/>
      <c r="Q13" s="13"/>
      <c r="R13" s="4"/>
      <c r="S13" s="17"/>
      <c r="T13" s="17"/>
      <c r="U13" s="17"/>
      <c r="V13" s="17"/>
    </row>
    <row r="14" spans="1:22" ht="16.5" x14ac:dyDescent="0.35">
      <c r="A14" s="139"/>
      <c r="B14" s="14"/>
      <c r="C14" s="16"/>
      <c r="D14" s="16"/>
      <c r="E14" s="16"/>
      <c r="F14" s="16"/>
      <c r="G14" s="16"/>
      <c r="H14" s="16"/>
      <c r="I14" s="17"/>
      <c r="J14" s="16"/>
      <c r="K14" s="13"/>
      <c r="L14" s="13"/>
      <c r="M14" s="13"/>
      <c r="N14" s="3"/>
      <c r="O14" s="17">
        <v>2918102</v>
      </c>
      <c r="P14" s="13"/>
      <c r="Q14" s="13"/>
      <c r="R14" s="4"/>
      <c r="S14" s="17"/>
      <c r="T14" s="17"/>
      <c r="U14" s="17"/>
      <c r="V14" s="17"/>
    </row>
    <row r="15" spans="1:22" ht="16.5" x14ac:dyDescent="0.35">
      <c r="A15" s="139"/>
      <c r="B15" s="14"/>
      <c r="C15" s="16"/>
      <c r="D15" s="16"/>
      <c r="E15" s="16"/>
      <c r="F15" s="16"/>
      <c r="G15" s="16"/>
      <c r="H15" s="16"/>
      <c r="I15" s="17"/>
      <c r="J15" s="16"/>
      <c r="K15" s="13"/>
      <c r="L15" s="13"/>
      <c r="M15" s="13"/>
      <c r="N15" s="3"/>
      <c r="O15" s="17">
        <v>2103785</v>
      </c>
      <c r="P15" s="13"/>
      <c r="Q15" s="13"/>
      <c r="R15" s="4"/>
      <c r="S15" s="17"/>
      <c r="T15" s="17"/>
      <c r="U15" s="17"/>
      <c r="V15" s="17"/>
    </row>
    <row r="16" spans="1:22" ht="16.5" x14ac:dyDescent="0.35">
      <c r="A16" s="139"/>
      <c r="B16" s="14"/>
      <c r="C16" s="16"/>
      <c r="D16" s="16"/>
      <c r="E16" s="16"/>
      <c r="F16" s="16"/>
      <c r="G16" s="16"/>
      <c r="H16" s="16"/>
      <c r="I16" s="17"/>
      <c r="J16" s="16"/>
      <c r="K16" s="13"/>
      <c r="L16" s="13"/>
      <c r="M16" s="13"/>
      <c r="N16" s="3"/>
      <c r="O16" s="17">
        <v>1439421</v>
      </c>
      <c r="P16" s="13"/>
      <c r="Q16" s="13"/>
      <c r="R16" s="4"/>
      <c r="S16" s="17"/>
      <c r="T16" s="17"/>
      <c r="U16" s="17"/>
      <c r="V16" s="17"/>
    </row>
    <row r="17" spans="1:22" s="1" customFormat="1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287787</v>
      </c>
      <c r="P17" s="13"/>
      <c r="Q17" s="13"/>
      <c r="R17" s="17"/>
      <c r="S17" s="17"/>
      <c r="T17" s="17"/>
      <c r="U17" s="17"/>
      <c r="V17" s="17"/>
    </row>
    <row r="18" spans="1:22" s="1" customFormat="1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1573055</v>
      </c>
      <c r="P18" s="13"/>
      <c r="Q18" s="13"/>
      <c r="R18" s="17"/>
      <c r="S18" s="17"/>
      <c r="T18" s="17"/>
      <c r="U18" s="17"/>
      <c r="V18" s="17"/>
    </row>
    <row r="19" spans="1:22" s="1" customFormat="1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46662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6"/>
      <c r="D20" s="16"/>
      <c r="E20" s="16"/>
      <c r="F20" s="16"/>
      <c r="G20" s="16"/>
      <c r="H20" s="16"/>
      <c r="I20" s="17"/>
      <c r="J20" s="16"/>
      <c r="K20" s="13"/>
      <c r="L20" s="13"/>
      <c r="M20" s="13"/>
      <c r="N20" s="3"/>
      <c r="O20" s="17">
        <v>2328168</v>
      </c>
      <c r="P20" s="13"/>
      <c r="Q20" s="13"/>
      <c r="R20" s="4"/>
      <c r="S20" s="17"/>
      <c r="T20" s="17"/>
      <c r="U20" s="17"/>
      <c r="V20" s="17"/>
    </row>
    <row r="21" spans="1:22" s="1" customFormat="1" ht="16.5" x14ac:dyDescent="0.35">
      <c r="A21" s="49"/>
      <c r="B21" s="50"/>
      <c r="C21" s="7"/>
      <c r="D21" s="7"/>
      <c r="E21" s="7"/>
      <c r="F21" s="7"/>
      <c r="G21" s="7"/>
      <c r="H21" s="7"/>
      <c r="I21" s="7"/>
      <c r="J21" s="7"/>
      <c r="K21" s="18"/>
      <c r="L21" s="18"/>
      <c r="M21" s="18"/>
      <c r="N21" s="3"/>
      <c r="O21" s="7"/>
      <c r="P21" s="18"/>
      <c r="Q21" s="18"/>
      <c r="R21" s="7"/>
      <c r="S21" s="7"/>
      <c r="T21" s="7"/>
      <c r="U21" s="7"/>
      <c r="V21" s="7"/>
    </row>
    <row r="22" spans="1:22" s="52" customFormat="1" x14ac:dyDescent="0.35">
      <c r="A22" s="51" t="str">
        <f t="shared" ref="A22:M22" si="0">A4</f>
        <v>Group names</v>
      </c>
      <c r="B22" s="51" t="str">
        <f t="shared" si="0"/>
        <v>Solvent control</v>
      </c>
      <c r="C22" s="51" t="str">
        <f t="shared" si="0"/>
        <v>EE2-33.8ng/L</v>
      </c>
      <c r="D22" s="51" t="str">
        <f t="shared" si="0"/>
        <v>EE2-50.6ng/L</v>
      </c>
      <c r="E22" s="51" t="str">
        <f t="shared" si="0"/>
        <v>EE2-76ng/L</v>
      </c>
      <c r="F22" s="51" t="str">
        <f t="shared" si="0"/>
        <v>EE2-114ng/L</v>
      </c>
      <c r="G22" s="51" t="str">
        <f t="shared" si="0"/>
        <v>EE2-170.9ng/L</v>
      </c>
      <c r="H22" s="51" t="str">
        <f t="shared" si="0"/>
        <v>EE2-488ng/L</v>
      </c>
      <c r="I22" s="51" t="str">
        <f t="shared" si="0"/>
        <v>Triphenylphosphate-0,18mg/L</v>
      </c>
      <c r="J22" s="51" t="str">
        <f t="shared" si="0"/>
        <v>Triphenylphosphate-0,26mg/L</v>
      </c>
      <c r="K22" s="51" t="str">
        <f t="shared" si="0"/>
        <v>Triphenylphosphate-0,4mg/L</v>
      </c>
      <c r="L22" s="51" t="str">
        <f t="shared" si="0"/>
        <v>Triphenylphosphate-0,59mg/L</v>
      </c>
      <c r="M22" s="51" t="str">
        <f t="shared" si="0"/>
        <v>Triphenylphosphate-0,89mg/L</v>
      </c>
      <c r="N22" s="51" t="s">
        <v>12</v>
      </c>
      <c r="O22" s="51" t="str">
        <f t="shared" ref="O22:V22" si="1">O4</f>
        <v>Testo -30µg/L</v>
      </c>
      <c r="P22" s="51" t="str">
        <f t="shared" si="1"/>
        <v>Testo 30µg/L + EE2 -64ng/L</v>
      </c>
      <c r="Q22" s="51" t="str">
        <f t="shared" si="1"/>
        <v>Testo 30µg/L + FAD-10mg/L</v>
      </c>
      <c r="R22" s="51" t="str">
        <f t="shared" si="1"/>
        <v>Triphenylphosphate-0,18mg/L + Testostérone</v>
      </c>
      <c r="S22" s="51" t="str">
        <f t="shared" si="1"/>
        <v>Triphenylphosphate-0,26mg/L + Testostérone</v>
      </c>
      <c r="T22" s="51" t="str">
        <f t="shared" si="1"/>
        <v>Triphenylphosphate-0,4mg/L + Testostérone</v>
      </c>
      <c r="U22" s="51" t="str">
        <f t="shared" si="1"/>
        <v>Triphenylphosphate-0,59mg/L + Testostérone</v>
      </c>
      <c r="V22" s="51" t="str">
        <f t="shared" si="1"/>
        <v>Triphenylphosphate-0,89mg/L + Testostérone</v>
      </c>
    </row>
    <row r="23" spans="1:22" x14ac:dyDescent="0.35">
      <c r="A23" s="5" t="s">
        <v>0</v>
      </c>
      <c r="B23" s="5">
        <f t="shared" ref="B23:M23" si="2">AVERAGE(B5:B20)</f>
        <v>239213.625</v>
      </c>
      <c r="C23" s="5">
        <f t="shared" si="2"/>
        <v>1006850</v>
      </c>
      <c r="D23" s="5">
        <f t="shared" si="2"/>
        <v>2233972.25</v>
      </c>
      <c r="E23" s="5">
        <f t="shared" si="2"/>
        <v>3334926.75</v>
      </c>
      <c r="F23" s="5">
        <f t="shared" si="2"/>
        <v>5303165.5</v>
      </c>
      <c r="G23" s="5">
        <f t="shared" si="2"/>
        <v>5569328.75</v>
      </c>
      <c r="H23" s="5">
        <f t="shared" si="2"/>
        <v>5830555.25</v>
      </c>
      <c r="I23" s="5">
        <f t="shared" si="2"/>
        <v>187924</v>
      </c>
      <c r="J23" s="5">
        <f t="shared" si="2"/>
        <v>158161</v>
      </c>
      <c r="K23" s="5">
        <f t="shared" si="2"/>
        <v>547317.875</v>
      </c>
      <c r="L23" s="5">
        <f t="shared" si="2"/>
        <v>2530218</v>
      </c>
      <c r="M23" s="5">
        <f t="shared" si="2"/>
        <v>5991810.625</v>
      </c>
      <c r="N23" s="5" t="s">
        <v>0</v>
      </c>
      <c r="O23" s="5">
        <f t="shared" ref="O23:V23" si="3">AVERAGE(O5:O20)</f>
        <v>1682517.4375</v>
      </c>
      <c r="P23" s="5">
        <f t="shared" si="3"/>
        <v>5210955.125</v>
      </c>
      <c r="Q23" s="5">
        <f t="shared" si="3"/>
        <v>181610.5</v>
      </c>
      <c r="R23" s="5">
        <f t="shared" si="3"/>
        <v>3636663.625</v>
      </c>
      <c r="S23" s="5">
        <f t="shared" si="3"/>
        <v>3445887.375</v>
      </c>
      <c r="T23" s="5">
        <f t="shared" si="3"/>
        <v>6251772.625</v>
      </c>
      <c r="U23" s="5">
        <f t="shared" si="3"/>
        <v>7101913.125</v>
      </c>
      <c r="V23" s="5">
        <f t="shared" si="3"/>
        <v>6272629</v>
      </c>
    </row>
    <row r="24" spans="1:22" x14ac:dyDescent="0.35">
      <c r="A24" s="3" t="s">
        <v>1</v>
      </c>
      <c r="B24" s="3">
        <f t="shared" ref="B24:M24" si="4">STDEV(B5:B20)</f>
        <v>125672.36178587274</v>
      </c>
      <c r="C24" s="3">
        <f t="shared" si="4"/>
        <v>851670.44982585334</v>
      </c>
      <c r="D24" s="3">
        <f t="shared" si="4"/>
        <v>1154664.6077106732</v>
      </c>
      <c r="E24" s="3">
        <f t="shared" si="4"/>
        <v>1418079.67860038</v>
      </c>
      <c r="F24" s="3">
        <f t="shared" si="4"/>
        <v>1216217.101632881</v>
      </c>
      <c r="G24" s="3">
        <f t="shared" si="4"/>
        <v>1615969.4671845709</v>
      </c>
      <c r="H24" s="3">
        <f t="shared" si="4"/>
        <v>1476033.4074971483</v>
      </c>
      <c r="I24" s="3">
        <f t="shared" si="4"/>
        <v>195614.34670946666</v>
      </c>
      <c r="J24" s="3">
        <f t="shared" si="4"/>
        <v>170266.63018840269</v>
      </c>
      <c r="K24" s="3">
        <f t="shared" si="4"/>
        <v>379250.09379090561</v>
      </c>
      <c r="L24" s="3">
        <f t="shared" si="4"/>
        <v>1042787.4239194542</v>
      </c>
      <c r="M24" s="3">
        <f t="shared" si="4"/>
        <v>2575211.984874418</v>
      </c>
      <c r="N24" s="3" t="s">
        <v>1</v>
      </c>
      <c r="O24" s="3">
        <f t="shared" ref="O24:V24" si="5">STDEV(O5:O20)</f>
        <v>967538.60603926075</v>
      </c>
      <c r="P24" s="3">
        <f t="shared" si="5"/>
        <v>2096334.6136347083</v>
      </c>
      <c r="Q24" s="3">
        <f t="shared" si="5"/>
        <v>155156.97581389721</v>
      </c>
      <c r="R24" s="3">
        <f t="shared" si="5"/>
        <v>1548717.5095437549</v>
      </c>
      <c r="S24" s="3">
        <f t="shared" si="5"/>
        <v>1798417.4831955484</v>
      </c>
      <c r="T24" s="3">
        <f t="shared" si="5"/>
        <v>2071195.4376514019</v>
      </c>
      <c r="U24" s="3">
        <f t="shared" si="5"/>
        <v>1730440.043112027</v>
      </c>
      <c r="V24" s="3">
        <f t="shared" si="5"/>
        <v>3717202.4476250568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s="1" customFormat="1" x14ac:dyDescent="0.35">
      <c r="A27" s="19" t="str">
        <f>A4</f>
        <v>Group names</v>
      </c>
      <c r="B27" s="20" t="str">
        <f t="shared" ref="B27:M27" si="6">B4</f>
        <v>Solvent control</v>
      </c>
      <c r="C27" s="20" t="str">
        <f t="shared" si="6"/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Triphenylphosphate-0,18mg/L</v>
      </c>
      <c r="J27" s="20" t="str">
        <f t="shared" si="6"/>
        <v>Triphenylphosphate-0,26mg/L</v>
      </c>
      <c r="K27" s="20" t="str">
        <f t="shared" si="6"/>
        <v>Triphenylphosphate-0,4mg/L</v>
      </c>
      <c r="L27" s="20" t="str">
        <f t="shared" si="6"/>
        <v>Triphenylphosphate-0,59mg/L</v>
      </c>
      <c r="M27" s="20" t="str">
        <f t="shared" si="6"/>
        <v>Triphenylphosphate-0,89mg/L</v>
      </c>
      <c r="N27" s="3"/>
      <c r="O27" s="21" t="str">
        <f t="shared" ref="O27:V27" si="7">O4</f>
        <v>Testo -30µg/L</v>
      </c>
      <c r="P27" s="21" t="str">
        <f t="shared" si="7"/>
        <v>Testo 30µg/L + EE2 -64ng/L</v>
      </c>
      <c r="Q27" s="21" t="str">
        <f t="shared" si="7"/>
        <v>Testo 30µg/L + FAD-10mg/L</v>
      </c>
      <c r="R27" s="21" t="str">
        <f t="shared" si="7"/>
        <v>Triphenylphosphate-0,18mg/L + Testostérone</v>
      </c>
      <c r="S27" s="21" t="str">
        <f t="shared" si="7"/>
        <v>Triphenylphosphate-0,26mg/L + Testostérone</v>
      </c>
      <c r="T27" s="21" t="str">
        <f t="shared" si="7"/>
        <v>Triphenylphosphate-0,4mg/L + Testostérone</v>
      </c>
      <c r="U27" s="21" t="str">
        <f t="shared" si="7"/>
        <v>Triphenylphosphate-0,59mg/L + Testostérone</v>
      </c>
      <c r="V27" s="21" t="str">
        <f t="shared" si="7"/>
        <v>Triphenylphosphate-0,89mg/L + Testostérone</v>
      </c>
    </row>
    <row r="28" spans="1:22" x14ac:dyDescent="0.35">
      <c r="A28" s="140" t="s">
        <v>36</v>
      </c>
      <c r="B28" s="11">
        <f t="shared" ref="B28:M28" si="8">IF(B5="","",(B5/$O$23))</f>
        <v>0.16551507508521734</v>
      </c>
      <c r="C28" s="11">
        <f t="shared" si="8"/>
        <v>1.4300047930409636</v>
      </c>
      <c r="D28" s="11">
        <f t="shared" si="8"/>
        <v>2.4687280544157808</v>
      </c>
      <c r="E28" s="11">
        <f t="shared" si="8"/>
        <v>3.1344881678232235</v>
      </c>
      <c r="F28" s="11">
        <f t="shared" si="8"/>
        <v>3.5194868522722218</v>
      </c>
      <c r="G28" s="11">
        <f t="shared" si="8"/>
        <v>4.37011102299497</v>
      </c>
      <c r="H28" s="11">
        <f t="shared" si="8"/>
        <v>2.5443789791331657</v>
      </c>
      <c r="I28" s="11">
        <f t="shared" si="8"/>
        <v>6.0608584331536833E-2</v>
      </c>
      <c r="J28" s="11">
        <f t="shared" si="8"/>
        <v>5.0156983885642492E-2</v>
      </c>
      <c r="K28" s="11">
        <f t="shared" si="8"/>
        <v>0.24280223841662266</v>
      </c>
      <c r="L28" s="11">
        <f t="shared" si="8"/>
        <v>0.85914473620425702</v>
      </c>
      <c r="M28" s="11">
        <f t="shared" si="8"/>
        <v>3.2785419497323933</v>
      </c>
      <c r="N28" s="6"/>
      <c r="O28" s="11">
        <f t="shared" ref="O28:V37" si="9">IF(O5="","",(O5/$O$23))</f>
        <v>1.2628439697820368</v>
      </c>
      <c r="P28" s="11">
        <f t="shared" si="9"/>
        <v>4.2978639262988318</v>
      </c>
      <c r="Q28" s="11">
        <f t="shared" si="9"/>
        <v>6.964266603626211E-2</v>
      </c>
      <c r="R28" s="11">
        <f t="shared" si="9"/>
        <v>3.737327090852216</v>
      </c>
      <c r="S28" s="11">
        <f t="shared" si="9"/>
        <v>1.9186095359561466</v>
      </c>
      <c r="T28" s="11">
        <f t="shared" si="9"/>
        <v>3.7423992522514347</v>
      </c>
      <c r="U28" s="11">
        <f t="shared" si="9"/>
        <v>4.5696346609186334</v>
      </c>
      <c r="V28" s="11">
        <f t="shared" si="9"/>
        <v>6.5546238952426901</v>
      </c>
    </row>
    <row r="29" spans="1:22" x14ac:dyDescent="0.35">
      <c r="A29" s="141"/>
      <c r="B29" s="11">
        <f t="shared" ref="B29:M29" si="10">IF(B6="","",(B6/$O$23))</f>
        <v>1.0355316154041345E-2</v>
      </c>
      <c r="C29" s="11">
        <f t="shared" si="10"/>
        <v>0.22528384642670307</v>
      </c>
      <c r="D29" s="11">
        <f t="shared" si="10"/>
        <v>0.9071186817937511</v>
      </c>
      <c r="E29" s="11">
        <f t="shared" si="10"/>
        <v>2.8095126354373963</v>
      </c>
      <c r="F29" s="11">
        <f t="shared" si="10"/>
        <v>2.6511683627053046</v>
      </c>
      <c r="G29" s="11">
        <f t="shared" si="10"/>
        <v>3.3210984180364549</v>
      </c>
      <c r="H29" s="11">
        <f t="shared" si="10"/>
        <v>4.1007955378174197</v>
      </c>
      <c r="I29" s="11">
        <f t="shared" si="10"/>
        <v>0.1322435031226831</v>
      </c>
      <c r="J29" s="11">
        <f t="shared" si="10"/>
        <v>5.8718559343311411E-2</v>
      </c>
      <c r="K29" s="11">
        <f t="shared" si="10"/>
        <v>0.17611526240125519</v>
      </c>
      <c r="L29" s="11">
        <f t="shared" si="10"/>
        <v>1.1897005970851937</v>
      </c>
      <c r="M29" s="11">
        <f t="shared" si="10"/>
        <v>0.30479386933545527</v>
      </c>
      <c r="N29" s="6"/>
      <c r="O29" s="11">
        <f t="shared" si="9"/>
        <v>0.43535952952047785</v>
      </c>
      <c r="P29" s="11">
        <f t="shared" si="9"/>
        <v>4.6926039659544392</v>
      </c>
      <c r="Q29" s="11">
        <f t="shared" si="9"/>
        <v>0.25913550153027759</v>
      </c>
      <c r="R29" s="11">
        <f t="shared" si="9"/>
        <v>1.7393602792898246</v>
      </c>
      <c r="S29" s="11">
        <f t="shared" si="9"/>
        <v>1.7616940745673551</v>
      </c>
      <c r="T29" s="11">
        <f t="shared" si="9"/>
        <v>3.2654294556159691</v>
      </c>
      <c r="U29" s="11">
        <f t="shared" si="9"/>
        <v>4.8721830854724795</v>
      </c>
      <c r="V29" s="11">
        <f t="shared" si="9"/>
        <v>0.75544477083614181</v>
      </c>
    </row>
    <row r="30" spans="1:22" x14ac:dyDescent="0.35">
      <c r="A30" s="141"/>
      <c r="B30" s="11">
        <f t="shared" ref="B30:M30" si="11">IF(B7="","",(B7/$O$23))</f>
        <v>0.23931520174809481</v>
      </c>
      <c r="C30" s="11">
        <f t="shared" si="11"/>
        <v>0.19290973915983561</v>
      </c>
      <c r="D30" s="11">
        <f t="shared" si="11"/>
        <v>1.7925520014112781</v>
      </c>
      <c r="E30" s="11">
        <f t="shared" si="11"/>
        <v>0.92339369885430977</v>
      </c>
      <c r="F30" s="11">
        <f t="shared" si="11"/>
        <v>1.8428367700052439</v>
      </c>
      <c r="G30" s="11">
        <f t="shared" si="11"/>
        <v>2.061182203943726</v>
      </c>
      <c r="H30" s="11">
        <f t="shared" si="11"/>
        <v>3.668339990087027</v>
      </c>
      <c r="I30" s="11">
        <f t="shared" si="11"/>
        <v>0.25791174006777567</v>
      </c>
      <c r="J30" s="11">
        <f t="shared" si="11"/>
        <v>5.463242041436495E-3</v>
      </c>
      <c r="K30" s="11">
        <f t="shared" si="11"/>
        <v>0.59572042325415719</v>
      </c>
      <c r="L30" s="11">
        <f t="shared" si="11"/>
        <v>0.41305545161697621</v>
      </c>
      <c r="M30" s="11">
        <f t="shared" si="11"/>
        <v>5.0458585514659786</v>
      </c>
      <c r="N30" s="6"/>
      <c r="O30" s="11">
        <f t="shared" si="9"/>
        <v>0.39327556746347242</v>
      </c>
      <c r="P30" s="11">
        <f t="shared" si="9"/>
        <v>2.6773119253333149</v>
      </c>
      <c r="Q30" s="11">
        <f t="shared" si="9"/>
        <v>5.0855936522797553E-2</v>
      </c>
      <c r="R30" s="11">
        <f t="shared" si="9"/>
        <v>2.8785336140089783</v>
      </c>
      <c r="S30" s="11">
        <f t="shared" si="9"/>
        <v>2.1402613249290616</v>
      </c>
      <c r="T30" s="11">
        <f t="shared" si="9"/>
        <v>4.0079899617682271</v>
      </c>
      <c r="U30" s="11">
        <f t="shared" si="9"/>
        <v>5.2739905110195924</v>
      </c>
      <c r="V30" s="11">
        <f t="shared" si="9"/>
        <v>6.1912434117046109</v>
      </c>
    </row>
    <row r="31" spans="1:22" x14ac:dyDescent="0.35">
      <c r="A31" s="141"/>
      <c r="B31" s="11">
        <f t="shared" ref="B31:M31" si="12">IF(B8="","",(B8/$O$23))</f>
        <v>8.834678124992687E-2</v>
      </c>
      <c r="C31" s="11">
        <f t="shared" si="12"/>
        <v>0.26275745507689574</v>
      </c>
      <c r="D31" s="11">
        <f t="shared" si="12"/>
        <v>1.2550687160411673</v>
      </c>
      <c r="E31" s="11">
        <f t="shared" si="12"/>
        <v>2.4613551739192601</v>
      </c>
      <c r="F31" s="11">
        <f t="shared" si="12"/>
        <v>3.5130203516835765</v>
      </c>
      <c r="G31" s="11">
        <f t="shared" si="12"/>
        <v>3.2139857094348838</v>
      </c>
      <c r="H31" s="11">
        <f t="shared" si="12"/>
        <v>4.3130239474858341</v>
      </c>
      <c r="I31" s="11">
        <f t="shared" si="12"/>
        <v>1.163851236460068E-2</v>
      </c>
      <c r="J31" s="11">
        <f t="shared" si="12"/>
        <v>0.18944707073801129</v>
      </c>
      <c r="K31" s="11">
        <f t="shared" si="12"/>
        <v>0.66911282754536083</v>
      </c>
      <c r="L31" s="11">
        <f t="shared" si="12"/>
        <v>2.165102672227134</v>
      </c>
      <c r="M31" s="11">
        <f t="shared" si="12"/>
        <v>3.2067025754079292</v>
      </c>
      <c r="N31" s="6"/>
      <c r="O31" s="11">
        <f t="shared" si="9"/>
        <v>1.0427541259880702</v>
      </c>
      <c r="P31" s="11">
        <f t="shared" si="9"/>
        <v>1.1964167236156802</v>
      </c>
      <c r="Q31" s="11">
        <f t="shared" si="9"/>
        <v>4.7072914808943843E-2</v>
      </c>
      <c r="R31" s="11">
        <f t="shared" si="9"/>
        <v>0.98216990990323694</v>
      </c>
      <c r="S31" s="11">
        <f t="shared" si="9"/>
        <v>2.9162592259909341</v>
      </c>
      <c r="T31" s="11">
        <f t="shared" si="9"/>
        <v>6.1218390790080592</v>
      </c>
      <c r="U31" s="11">
        <f t="shared" si="9"/>
        <v>3.3675639097202521</v>
      </c>
      <c r="V31" s="11">
        <f t="shared" si="9"/>
        <v>1.014159474350173</v>
      </c>
    </row>
    <row r="32" spans="1:22" x14ac:dyDescent="0.35">
      <c r="A32" s="141"/>
      <c r="B32" s="11">
        <f t="shared" ref="B32:M32" si="13">IF(B9="","",(B9/$O$23))</f>
        <v>0.11216525653393117</v>
      </c>
      <c r="C32" s="11">
        <f t="shared" si="13"/>
        <v>1.2047167861818966</v>
      </c>
      <c r="D32" s="11">
        <f t="shared" si="13"/>
        <v>1.2265727260850454</v>
      </c>
      <c r="E32" s="11">
        <f t="shared" si="13"/>
        <v>1.6930837901048499</v>
      </c>
      <c r="F32" s="11">
        <f t="shared" si="13"/>
        <v>2.7712348746459869</v>
      </c>
      <c r="G32" s="11">
        <f t="shared" si="13"/>
        <v>1.7100868828291118</v>
      </c>
      <c r="H32" s="11">
        <f t="shared" si="13"/>
        <v>4.2682404591720617</v>
      </c>
      <c r="I32" s="11">
        <f t="shared" si="13"/>
        <v>5.887308968826066E-2</v>
      </c>
      <c r="J32" s="11">
        <f t="shared" si="13"/>
        <v>0.12095030664429593</v>
      </c>
      <c r="K32" s="11">
        <f t="shared" si="13"/>
        <v>0.11860085105358678</v>
      </c>
      <c r="L32" s="11">
        <f t="shared" si="13"/>
        <v>1.716405985242575</v>
      </c>
      <c r="M32" s="11">
        <f t="shared" si="13"/>
        <v>4.5673000640149386</v>
      </c>
      <c r="N32" s="6"/>
      <c r="O32" s="11">
        <f t="shared" si="9"/>
        <v>0.37644364681361586</v>
      </c>
      <c r="P32" s="11">
        <f t="shared" si="9"/>
        <v>2.0612416386917833</v>
      </c>
      <c r="Q32" s="11">
        <f t="shared" si="9"/>
        <v>0.212345496122087</v>
      </c>
      <c r="R32" s="11">
        <f t="shared" si="9"/>
        <v>2.2931429499671978</v>
      </c>
      <c r="S32" s="11">
        <f t="shared" si="9"/>
        <v>3.905498899175599</v>
      </c>
      <c r="T32" s="11">
        <f t="shared" si="9"/>
        <v>2.8868931113232521</v>
      </c>
      <c r="U32" s="11">
        <f t="shared" si="9"/>
        <v>4.0907962358042429</v>
      </c>
      <c r="V32" s="11">
        <f t="shared" si="9"/>
        <v>4.7856193466642747</v>
      </c>
    </row>
    <row r="33" spans="1:22" x14ac:dyDescent="0.35">
      <c r="A33" s="141"/>
      <c r="B33" s="11">
        <f t="shared" ref="B33:M33" si="14">IF(B10="","",(B10/$O$23))</f>
        <v>0.11949118357948668</v>
      </c>
      <c r="C33" s="11">
        <f t="shared" si="14"/>
        <v>0.84067538824541899</v>
      </c>
      <c r="D33" s="11">
        <f t="shared" si="14"/>
        <v>1.9018108987652023</v>
      </c>
      <c r="E33" s="11">
        <f t="shared" si="14"/>
        <v>2.4616939519831873</v>
      </c>
      <c r="F33" s="11">
        <f t="shared" si="14"/>
        <v>3.1239634626372186</v>
      </c>
      <c r="G33" s="11">
        <f t="shared" si="14"/>
        <v>4.0291130712278278</v>
      </c>
      <c r="H33" s="11">
        <f t="shared" si="14"/>
        <v>1.9173917179684505</v>
      </c>
      <c r="I33" s="11">
        <f t="shared" si="14"/>
        <v>2.321818432862453E-2</v>
      </c>
      <c r="J33" s="11">
        <f t="shared" si="14"/>
        <v>8.2614299799790344E-3</v>
      </c>
      <c r="K33" s="11">
        <f t="shared" si="14"/>
        <v>0.50068604415281137</v>
      </c>
      <c r="L33" s="11">
        <f t="shared" si="14"/>
        <v>1.8329836774722876</v>
      </c>
      <c r="M33" s="11">
        <f t="shared" si="14"/>
        <v>4.1373633609072176</v>
      </c>
      <c r="N33" s="6"/>
      <c r="O33" s="11">
        <f t="shared" si="9"/>
        <v>1.58551700002812</v>
      </c>
      <c r="P33" s="11">
        <f t="shared" si="9"/>
        <v>3.0893890809972659</v>
      </c>
      <c r="Q33" s="11">
        <f t="shared" si="9"/>
        <v>4.6127902314831139E-2</v>
      </c>
      <c r="R33" s="11">
        <f t="shared" si="9"/>
        <v>2.5364141285459931</v>
      </c>
      <c r="S33" s="11">
        <f t="shared" si="9"/>
        <v>1.4989098738538333</v>
      </c>
      <c r="T33" s="11">
        <f t="shared" si="9"/>
        <v>3.5384489142924558</v>
      </c>
      <c r="U33" s="11">
        <f t="shared" si="9"/>
        <v>4.7416542748312525</v>
      </c>
      <c r="V33" s="11">
        <f t="shared" si="9"/>
        <v>4.6284917032249187</v>
      </c>
    </row>
    <row r="34" spans="1:22" x14ac:dyDescent="0.35">
      <c r="A34" s="141"/>
      <c r="B34" s="11">
        <f t="shared" ref="B34:M34" si="15">IF(B11="","",(B11/$O$23))</f>
        <v>0.21588721275882763</v>
      </c>
      <c r="C34" s="11">
        <f t="shared" si="15"/>
        <v>9.2629054847462769E-2</v>
      </c>
      <c r="D34" s="11">
        <f t="shared" si="15"/>
        <v>0.54777084591136671</v>
      </c>
      <c r="E34" s="11">
        <f t="shared" si="15"/>
        <v>1.0633518322748439</v>
      </c>
      <c r="F34" s="11">
        <f t="shared" si="15"/>
        <v>3.6034206034788867</v>
      </c>
      <c r="G34" s="11">
        <f t="shared" si="15"/>
        <v>3.9882338515139462</v>
      </c>
      <c r="H34" s="11">
        <f t="shared" si="15"/>
        <v>3.8644176013183222</v>
      </c>
      <c r="I34" s="11">
        <f t="shared" si="15"/>
        <v>0.31888941418474898</v>
      </c>
      <c r="J34" s="11">
        <f t="shared" si="15"/>
        <v>2.7394664074618245E-2</v>
      </c>
      <c r="K34" s="11">
        <f t="shared" si="15"/>
        <v>0.14324606368306955</v>
      </c>
      <c r="L34" s="11">
        <f t="shared" si="15"/>
        <v>2.0605920168955159</v>
      </c>
      <c r="M34" s="11">
        <f t="shared" si="15"/>
        <v>3.0530185812710187</v>
      </c>
      <c r="N34" s="6"/>
      <c r="O34" s="11">
        <f t="shared" si="9"/>
        <v>1.3640274679174016</v>
      </c>
      <c r="P34" s="11">
        <f t="shared" si="9"/>
        <v>2.4176926249538497</v>
      </c>
      <c r="Q34" s="11">
        <f t="shared" si="9"/>
        <v>0.16920597293958209</v>
      </c>
      <c r="R34" s="11">
        <f t="shared" si="9"/>
        <v>2.0565403501204425</v>
      </c>
      <c r="S34" s="11">
        <f t="shared" si="9"/>
        <v>2.0349126396498343</v>
      </c>
      <c r="T34" s="11">
        <f t="shared" si="9"/>
        <v>4.3074299489986716</v>
      </c>
      <c r="U34" s="11">
        <f t="shared" si="9"/>
        <v>4.7432917021402341</v>
      </c>
      <c r="V34" s="11">
        <f t="shared" si="9"/>
        <v>3.5648510180745157</v>
      </c>
    </row>
    <row r="35" spans="1:22" x14ac:dyDescent="0.35">
      <c r="A35" s="141"/>
      <c r="B35" s="11">
        <f t="shared" ref="B35:M35" si="16">IF(B12="","",(B12/$O$23))</f>
        <v>0.18633209559232281</v>
      </c>
      <c r="C35" s="11">
        <f t="shared" si="16"/>
        <v>0.53837302354853012</v>
      </c>
      <c r="D35" s="11">
        <f t="shared" si="16"/>
        <v>0.52242430325480649</v>
      </c>
      <c r="E35" s="11">
        <f t="shared" si="16"/>
        <v>1.3099632436944655</v>
      </c>
      <c r="F35" s="11">
        <f t="shared" si="16"/>
        <v>4.1902531545085395</v>
      </c>
      <c r="G35" s="11">
        <f t="shared" si="16"/>
        <v>3.7871209284272278</v>
      </c>
      <c r="H35" s="11">
        <f t="shared" si="16"/>
        <v>3.0464183524992441</v>
      </c>
      <c r="I35" s="11">
        <f t="shared" si="16"/>
        <v>3.0154219426923472E-2</v>
      </c>
      <c r="J35" s="11">
        <f t="shared" si="16"/>
        <v>0.29162847829325989</v>
      </c>
      <c r="K35" s="11">
        <f t="shared" si="16"/>
        <v>0.15609229012819667</v>
      </c>
      <c r="L35" s="11">
        <f t="shared" si="16"/>
        <v>1.7936444120805732</v>
      </c>
      <c r="M35" s="11">
        <f t="shared" si="16"/>
        <v>4.8961614402287585</v>
      </c>
      <c r="N35" s="6"/>
      <c r="O35" s="11">
        <f t="shared" si="9"/>
        <v>1.249818844745257</v>
      </c>
      <c r="P35" s="11">
        <f t="shared" si="9"/>
        <v>4.3444245135795212</v>
      </c>
      <c r="Q35" s="11">
        <f t="shared" si="9"/>
        <v>9.1315546915394161E-3</v>
      </c>
      <c r="R35" s="11">
        <f t="shared" si="9"/>
        <v>1.0680465830238981</v>
      </c>
      <c r="S35" s="11">
        <f t="shared" si="9"/>
        <v>0.20829026326213038</v>
      </c>
      <c r="T35" s="11">
        <f t="shared" si="9"/>
        <v>1.8553727470655115</v>
      </c>
      <c r="U35" s="11">
        <f t="shared" si="9"/>
        <v>2.1089190048884707</v>
      </c>
      <c r="V35" s="11">
        <f t="shared" si="9"/>
        <v>2.3305363217075126</v>
      </c>
    </row>
    <row r="36" spans="1:22" s="1" customFormat="1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1.9322367349907481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s="1" customFormat="1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1.7343665717580417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s="1" customFormat="1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R38" si="20">IF(O15="","",(O15/$O$23))</f>
        <v>1.2503793144194382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ref="S38:V43" si="21">IF(S15="","",(S15/$O$23))</f>
        <v/>
      </c>
      <c r="T38" s="11" t="str">
        <f t="shared" si="21"/>
        <v/>
      </c>
      <c r="U38" s="11" t="str">
        <f t="shared" si="21"/>
        <v/>
      </c>
      <c r="V38" s="11" t="str">
        <f t="shared" si="21"/>
        <v/>
      </c>
    </row>
    <row r="39" spans="1:22" s="1" customFormat="1" x14ac:dyDescent="0.35">
      <c r="A39" s="141"/>
      <c r="B39" s="11" t="str">
        <f t="shared" ref="B39:M39" si="22">IF(B16="","",(B16/$O$23))</f>
        <v/>
      </c>
      <c r="C39" s="11" t="str">
        <f t="shared" si="22"/>
        <v/>
      </c>
      <c r="D39" s="11" t="str">
        <f t="shared" si="22"/>
        <v/>
      </c>
      <c r="E39" s="11" t="str">
        <f t="shared" si="22"/>
        <v/>
      </c>
      <c r="F39" s="11" t="str">
        <f t="shared" si="22"/>
        <v/>
      </c>
      <c r="G39" s="11" t="str">
        <f t="shared" si="22"/>
        <v/>
      </c>
      <c r="H39" s="11" t="str">
        <f t="shared" si="22"/>
        <v/>
      </c>
      <c r="I39" s="11" t="str">
        <f t="shared" si="22"/>
        <v/>
      </c>
      <c r="J39" s="11" t="str">
        <f t="shared" si="22"/>
        <v/>
      </c>
      <c r="K39" s="11" t="str">
        <f t="shared" si="22"/>
        <v/>
      </c>
      <c r="L39" s="11" t="str">
        <f t="shared" si="22"/>
        <v/>
      </c>
      <c r="M39" s="11" t="str">
        <f t="shared" si="22"/>
        <v/>
      </c>
      <c r="N39" s="6"/>
      <c r="O39" s="11">
        <f t="shared" ref="O39:R39" si="23">IF(O16="","",(O16/$O$23))</f>
        <v>0.8555162448353526</v>
      </c>
      <c r="P39" s="11" t="str">
        <f t="shared" si="23"/>
        <v/>
      </c>
      <c r="Q39" s="11" t="str">
        <f t="shared" si="23"/>
        <v/>
      </c>
      <c r="R39" s="11" t="str">
        <f t="shared" si="23"/>
        <v/>
      </c>
      <c r="S39" s="11" t="str">
        <f t="shared" si="21"/>
        <v/>
      </c>
      <c r="T39" s="11" t="str">
        <f t="shared" si="21"/>
        <v/>
      </c>
      <c r="U39" s="11" t="str">
        <f t="shared" si="21"/>
        <v/>
      </c>
      <c r="V39" s="11" t="str">
        <f t="shared" si="21"/>
        <v/>
      </c>
    </row>
    <row r="40" spans="1:22" s="1" customFormat="1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ref="O40:R40" si="25">IF(O17="","",(O17/$O$23))</f>
        <v>0.17104547839195872</v>
      </c>
      <c r="P40" s="11" t="str">
        <f t="shared" si="25"/>
        <v/>
      </c>
      <c r="Q40" s="11" t="str">
        <f t="shared" si="25"/>
        <v/>
      </c>
      <c r="R40" s="11" t="str">
        <f t="shared" si="25"/>
        <v/>
      </c>
      <c r="S40" s="11" t="str">
        <f t="shared" si="21"/>
        <v/>
      </c>
      <c r="T40" s="11" t="str">
        <f t="shared" si="21"/>
        <v/>
      </c>
      <c r="U40" s="11" t="str">
        <f t="shared" si="21"/>
        <v/>
      </c>
      <c r="V40" s="11" t="str">
        <f t="shared" si="21"/>
        <v/>
      </c>
    </row>
    <row r="41" spans="1:22" s="1" customFormat="1" x14ac:dyDescent="0.35">
      <c r="A41" s="141"/>
      <c r="B41" s="11" t="str">
        <f t="shared" ref="B41:M41" si="26">IF(B18="","",(B18/$O$23))</f>
        <v/>
      </c>
      <c r="C41" s="11" t="str">
        <f t="shared" si="26"/>
        <v/>
      </c>
      <c r="D41" s="11" t="str">
        <f t="shared" si="26"/>
        <v/>
      </c>
      <c r="E41" s="11" t="str">
        <f t="shared" si="26"/>
        <v/>
      </c>
      <c r="F41" s="11" t="str">
        <f t="shared" si="26"/>
        <v/>
      </c>
      <c r="G41" s="11" t="str">
        <f t="shared" si="26"/>
        <v/>
      </c>
      <c r="H41" s="11" t="str">
        <f t="shared" si="26"/>
        <v/>
      </c>
      <c r="I41" s="11" t="str">
        <f t="shared" si="26"/>
        <v/>
      </c>
      <c r="J41" s="11" t="str">
        <f t="shared" si="26"/>
        <v/>
      </c>
      <c r="K41" s="11" t="str">
        <f t="shared" si="26"/>
        <v/>
      </c>
      <c r="L41" s="11" t="str">
        <f t="shared" si="26"/>
        <v/>
      </c>
      <c r="M41" s="11" t="str">
        <f t="shared" si="26"/>
        <v/>
      </c>
      <c r="N41" s="6"/>
      <c r="O41" s="11">
        <f t="shared" ref="O41:R41" si="27">IF(O18="","",(O18/$O$23))</f>
        <v>0.9349412760543826</v>
      </c>
      <c r="P41" s="11" t="str">
        <f t="shared" si="27"/>
        <v/>
      </c>
      <c r="Q41" s="11" t="str">
        <f t="shared" si="27"/>
        <v/>
      </c>
      <c r="R41" s="11" t="str">
        <f t="shared" si="27"/>
        <v/>
      </c>
      <c r="S41" s="11" t="str">
        <f t="shared" si="21"/>
        <v/>
      </c>
      <c r="T41" s="11" t="str">
        <f t="shared" si="21"/>
        <v/>
      </c>
      <c r="U41" s="11" t="str">
        <f t="shared" si="21"/>
        <v/>
      </c>
      <c r="V41" s="11" t="str">
        <f t="shared" si="21"/>
        <v/>
      </c>
    </row>
    <row r="42" spans="1:22" s="1" customFormat="1" x14ac:dyDescent="0.35">
      <c r="A42" s="141"/>
      <c r="B42" s="11" t="str">
        <f t="shared" ref="B42:M42" si="28">IF(B19="","",(B19/$O$23))</f>
        <v/>
      </c>
      <c r="C42" s="11" t="str">
        <f t="shared" si="28"/>
        <v/>
      </c>
      <c r="D42" s="11" t="str">
        <f t="shared" si="28"/>
        <v/>
      </c>
      <c r="E42" s="11" t="str">
        <f t="shared" si="28"/>
        <v/>
      </c>
      <c r="F42" s="11" t="str">
        <f t="shared" si="28"/>
        <v/>
      </c>
      <c r="G42" s="11" t="str">
        <f t="shared" si="28"/>
        <v/>
      </c>
      <c r="H42" s="11" t="str">
        <f t="shared" si="28"/>
        <v/>
      </c>
      <c r="I42" s="11" t="str">
        <f t="shared" si="28"/>
        <v/>
      </c>
      <c r="J42" s="11" t="str">
        <f t="shared" si="28"/>
        <v/>
      </c>
      <c r="K42" s="11" t="str">
        <f t="shared" si="28"/>
        <v/>
      </c>
      <c r="L42" s="11" t="str">
        <f t="shared" si="28"/>
        <v/>
      </c>
      <c r="M42" s="11" t="str">
        <f t="shared" si="28"/>
        <v/>
      </c>
      <c r="N42" s="6"/>
      <c r="O42" s="11">
        <f t="shared" ref="O42:R42" si="29">IF(O19="","",(O19/$O$23))</f>
        <v>2.7733442138545443E-2</v>
      </c>
      <c r="P42" s="11" t="str">
        <f t="shared" si="29"/>
        <v/>
      </c>
      <c r="Q42" s="11" t="str">
        <f t="shared" si="29"/>
        <v/>
      </c>
      <c r="R42" s="11" t="str">
        <f t="shared" si="29"/>
        <v/>
      </c>
      <c r="S42" s="11" t="str">
        <f t="shared" si="21"/>
        <v/>
      </c>
      <c r="T42" s="11" t="str">
        <f t="shared" si="21"/>
        <v/>
      </c>
      <c r="U42" s="11" t="str">
        <f t="shared" si="21"/>
        <v/>
      </c>
      <c r="V42" s="11" t="str">
        <f t="shared" si="21"/>
        <v/>
      </c>
    </row>
    <row r="43" spans="1:22" s="1" customFormat="1" x14ac:dyDescent="0.35">
      <c r="A43" s="141"/>
      <c r="B43" s="11" t="str">
        <f t="shared" ref="B43:M43" si="30">IF(B20="","",(B20/$O$23))</f>
        <v/>
      </c>
      <c r="C43" s="11" t="str">
        <f t="shared" si="30"/>
        <v/>
      </c>
      <c r="D43" s="11" t="str">
        <f t="shared" si="30"/>
        <v/>
      </c>
      <c r="E43" s="11" t="str">
        <f t="shared" si="30"/>
        <v/>
      </c>
      <c r="F43" s="11" t="str">
        <f t="shared" si="30"/>
        <v/>
      </c>
      <c r="G43" s="11" t="str">
        <f t="shared" si="30"/>
        <v/>
      </c>
      <c r="H43" s="11" t="str">
        <f t="shared" si="30"/>
        <v/>
      </c>
      <c r="I43" s="11" t="str">
        <f t="shared" si="30"/>
        <v/>
      </c>
      <c r="J43" s="11" t="str">
        <f t="shared" si="30"/>
        <v/>
      </c>
      <c r="K43" s="11" t="str">
        <f t="shared" si="30"/>
        <v/>
      </c>
      <c r="L43" s="11" t="str">
        <f t="shared" si="30"/>
        <v/>
      </c>
      <c r="M43" s="11" t="str">
        <f t="shared" si="30"/>
        <v/>
      </c>
      <c r="N43" s="6"/>
      <c r="O43" s="11">
        <f t="shared" ref="O43:R43" si="31">IF(O20="","",(O20/$O$23))</f>
        <v>1.383740785153081</v>
      </c>
      <c r="P43" s="11" t="str">
        <f t="shared" si="31"/>
        <v/>
      </c>
      <c r="Q43" s="11" t="str">
        <f t="shared" si="31"/>
        <v/>
      </c>
      <c r="R43" s="11" t="str">
        <f t="shared" si="31"/>
        <v/>
      </c>
      <c r="S43" s="11" t="str">
        <f t="shared" si="21"/>
        <v/>
      </c>
      <c r="T43" s="11" t="str">
        <f t="shared" si="21"/>
        <v/>
      </c>
      <c r="U43" s="11" t="str">
        <f t="shared" si="21"/>
        <v/>
      </c>
      <c r="V43" s="11" t="str">
        <f t="shared" si="2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N44" s="7"/>
      <c r="O44" s="3"/>
      <c r="P44" s="3"/>
      <c r="Q44" s="3"/>
      <c r="R44" s="3"/>
      <c r="S44" s="3"/>
      <c r="T44" s="3"/>
      <c r="U44" s="3"/>
      <c r="V44" s="3"/>
    </row>
    <row r="45" spans="1:22" s="52" customFormat="1" x14ac:dyDescent="0.35">
      <c r="A45" s="53" t="str">
        <f t="shared" ref="A45:M45" si="32">A4</f>
        <v>Group names</v>
      </c>
      <c r="B45" s="53" t="str">
        <f t="shared" si="32"/>
        <v>Solvent control</v>
      </c>
      <c r="C45" s="53" t="str">
        <f t="shared" si="32"/>
        <v>EE2-33.8ng/L</v>
      </c>
      <c r="D45" s="53" t="str">
        <f t="shared" si="32"/>
        <v>EE2-50.6ng/L</v>
      </c>
      <c r="E45" s="53" t="str">
        <f t="shared" si="32"/>
        <v>EE2-76ng/L</v>
      </c>
      <c r="F45" s="53" t="str">
        <f t="shared" si="32"/>
        <v>EE2-114ng/L</v>
      </c>
      <c r="G45" s="53" t="str">
        <f t="shared" si="32"/>
        <v>EE2-170.9ng/L</v>
      </c>
      <c r="H45" s="53" t="str">
        <f t="shared" si="32"/>
        <v>EE2-488ng/L</v>
      </c>
      <c r="I45" s="53" t="str">
        <f t="shared" si="32"/>
        <v>Triphenylphosphate-0,18mg/L</v>
      </c>
      <c r="J45" s="53" t="str">
        <f t="shared" si="32"/>
        <v>Triphenylphosphate-0,26mg/L</v>
      </c>
      <c r="K45" s="53" t="str">
        <f t="shared" si="32"/>
        <v>Triphenylphosphate-0,4mg/L</v>
      </c>
      <c r="L45" s="53" t="str">
        <f t="shared" si="32"/>
        <v>Triphenylphosphate-0,59mg/L</v>
      </c>
      <c r="M45" s="53" t="str">
        <f t="shared" si="32"/>
        <v>Triphenylphosphate-0,89mg/L</v>
      </c>
      <c r="N45" s="53" t="str">
        <f>N22</f>
        <v>Nom des groupes</v>
      </c>
      <c r="O45" s="53" t="str">
        <f t="shared" ref="O45:V45" si="33">O4</f>
        <v>Testo -30µg/L</v>
      </c>
      <c r="P45" s="53" t="str">
        <f t="shared" si="33"/>
        <v>Testo 30µg/L + EE2 -64ng/L</v>
      </c>
      <c r="Q45" s="53" t="str">
        <f t="shared" si="33"/>
        <v>Testo 30µg/L + FAD-10mg/L</v>
      </c>
      <c r="R45" s="53" t="str">
        <f t="shared" si="33"/>
        <v>Triphenylphosphate-0,18mg/L + Testostérone</v>
      </c>
      <c r="S45" s="53" t="str">
        <f t="shared" si="33"/>
        <v>Triphenylphosphate-0,26mg/L + Testostérone</v>
      </c>
      <c r="T45" s="53" t="str">
        <f t="shared" si="33"/>
        <v>Triphenylphosphate-0,4mg/L + Testostérone</v>
      </c>
      <c r="U45" s="53" t="str">
        <f t="shared" si="33"/>
        <v>Triphenylphosphate-0,59mg/L + Testostérone</v>
      </c>
      <c r="V45" s="53" t="str">
        <f t="shared" si="33"/>
        <v>Triphenylphosphate-0,89mg/L + Testostérone</v>
      </c>
    </row>
    <row r="46" spans="1:22" x14ac:dyDescent="0.35">
      <c r="A46" s="8" t="s">
        <v>0</v>
      </c>
      <c r="B46" s="10">
        <f t="shared" ref="B46:H46" si="34">AVERAGE(B28:B43)</f>
        <v>0.14217601533773108</v>
      </c>
      <c r="C46" s="10">
        <f t="shared" si="34"/>
        <v>0.59841876081596335</v>
      </c>
      <c r="D46" s="10">
        <f t="shared" si="34"/>
        <v>1.3277557784598</v>
      </c>
      <c r="E46" s="10">
        <f t="shared" si="34"/>
        <v>1.982105311761442</v>
      </c>
      <c r="F46" s="10">
        <f t="shared" si="34"/>
        <v>3.1519230539921224</v>
      </c>
      <c r="G46" s="10">
        <f t="shared" si="34"/>
        <v>3.3101165110510187</v>
      </c>
      <c r="H46" s="10">
        <f t="shared" si="34"/>
        <v>3.465375823185191</v>
      </c>
      <c r="I46" s="10">
        <f>AVERAGE(I28:I43)</f>
        <v>0.11169215593939423</v>
      </c>
      <c r="J46" s="9">
        <f>AVERAGE(J28:J43)</f>
        <v>9.4002591875069347E-2</v>
      </c>
      <c r="K46" s="9">
        <f>AVERAGE(K28:K43)</f>
        <v>0.3252970000793825</v>
      </c>
      <c r="L46" s="9">
        <f t="shared" ref="L46:M46" si="35">AVERAGE(L28:L43)</f>
        <v>1.503828693603064</v>
      </c>
      <c r="M46" s="9">
        <f t="shared" si="35"/>
        <v>3.5612175490454616</v>
      </c>
      <c r="N46" s="8" t="s">
        <v>0</v>
      </c>
      <c r="O46" s="10">
        <f>AVERAGE(O28:O43)</f>
        <v>1.0000000000000002</v>
      </c>
      <c r="P46" s="10">
        <f>AVERAGE(P28:P43)</f>
        <v>3.0971180499280861</v>
      </c>
      <c r="Q46" s="10">
        <f>AVERAGE(Q28:Q43)</f>
        <v>0.10793974312079008</v>
      </c>
      <c r="R46" s="10">
        <f>AVERAGE(R28:R43)</f>
        <v>2.1614418632139731</v>
      </c>
      <c r="S46" s="10">
        <f t="shared" ref="S46:V46" si="36">AVERAGE(S28:S43)</f>
        <v>2.0480544796731119</v>
      </c>
      <c r="T46" s="10">
        <f t="shared" si="36"/>
        <v>3.7157253087904478</v>
      </c>
      <c r="U46" s="10">
        <f t="shared" si="36"/>
        <v>4.221004173099395</v>
      </c>
      <c r="V46" s="10">
        <f t="shared" si="36"/>
        <v>3.7281212427256043</v>
      </c>
    </row>
    <row r="47" spans="1:22" x14ac:dyDescent="0.35">
      <c r="A47" s="8" t="s">
        <v>1</v>
      </c>
      <c r="B47" s="8">
        <f t="shared" ref="B47:K47" si="37">STDEV(B28:B43)</f>
        <v>7.4693051605221619E-2</v>
      </c>
      <c r="C47" s="8">
        <f t="shared" si="37"/>
        <v>0.50618818613334771</v>
      </c>
      <c r="D47" s="8">
        <f t="shared" si="37"/>
        <v>0.68627200050084003</v>
      </c>
      <c r="E47" s="8">
        <f t="shared" si="37"/>
        <v>0.84283208422936762</v>
      </c>
      <c r="F47" s="8">
        <f t="shared" si="37"/>
        <v>0.72285557018655389</v>
      </c>
      <c r="G47" s="8">
        <f t="shared" si="37"/>
        <v>0.96044738150570785</v>
      </c>
      <c r="H47" s="8">
        <f t="shared" si="37"/>
        <v>0.87727673698903097</v>
      </c>
      <c r="I47" s="8">
        <f>STDEV(I28:I43)</f>
        <v>0.11626289413090656</v>
      </c>
      <c r="J47" s="8">
        <f t="shared" si="37"/>
        <v>0.10119754267830743</v>
      </c>
      <c r="K47" s="8">
        <f t="shared" si="37"/>
        <v>0.22540633775208985</v>
      </c>
      <c r="L47" s="8">
        <f t="shared" ref="L47:M47" si="38">STDEV(L28:L43)</f>
        <v>0.61977807818081188</v>
      </c>
      <c r="M47" s="8">
        <f t="shared" si="38"/>
        <v>1.5305707551541592</v>
      </c>
      <c r="N47" s="8" t="s">
        <v>1</v>
      </c>
      <c r="O47" s="8">
        <f>STDEV(O28:O43)</f>
        <v>0.57505413285754436</v>
      </c>
      <c r="P47" s="8">
        <f>STDEV(P28:P43)</f>
        <v>1.2459511960539233</v>
      </c>
      <c r="Q47" s="8">
        <f>STDEV(Q28:Q43)</f>
        <v>9.2217157668475713E-2</v>
      </c>
      <c r="R47" s="8">
        <f>STDEV(R28:R43)</f>
        <v>0.9204763499182198</v>
      </c>
      <c r="S47" s="8">
        <f t="shared" ref="S47:V47" si="39">STDEV(S28:S43)</f>
        <v>1.0688849001575642</v>
      </c>
      <c r="T47" s="8">
        <f t="shared" si="39"/>
        <v>1.2310097901445378</v>
      </c>
      <c r="U47" s="8">
        <f t="shared" si="39"/>
        <v>1.0284826799080493</v>
      </c>
      <c r="V47" s="8">
        <f t="shared" si="39"/>
        <v>2.2093099095295758</v>
      </c>
    </row>
    <row r="48" spans="1:22" x14ac:dyDescent="0.35">
      <c r="A48" s="8" t="s">
        <v>2</v>
      </c>
      <c r="B48" s="8">
        <f t="shared" ref="B48:K48" si="40" xml:space="preserve"> B47/SQRT(COUNT(B28:B43))</f>
        <v>2.6407981648784471E-2</v>
      </c>
      <c r="C48" s="8">
        <f t="shared" si="40"/>
        <v>0.17896454948570423</v>
      </c>
      <c r="D48" s="8">
        <f t="shared" si="40"/>
        <v>0.24263379264630083</v>
      </c>
      <c r="E48" s="8">
        <f t="shared" si="40"/>
        <v>0.29798614108008858</v>
      </c>
      <c r="F48" s="8">
        <f t="shared" si="40"/>
        <v>0.2555680377486903</v>
      </c>
      <c r="G48" s="8">
        <f t="shared" si="40"/>
        <v>0.33956942821777453</v>
      </c>
      <c r="H48" s="8">
        <f t="shared" si="40"/>
        <v>0.31016416485107556</v>
      </c>
      <c r="I48" s="8">
        <f xml:space="preserve"> I47/SQRT(COUNT(I28:I43))</f>
        <v>4.1105140420168836E-2</v>
      </c>
      <c r="J48" s="8">
        <f t="shared" si="40"/>
        <v>3.5778734333623115E-2</v>
      </c>
      <c r="K48" s="8">
        <f t="shared" si="40"/>
        <v>7.9693174973464009E-2</v>
      </c>
      <c r="L48" s="8">
        <f t="shared" ref="L48:M48" si="41" xml:space="preserve"> L47/SQRT(COUNT(L28:L43))</f>
        <v>0.21912464095620912</v>
      </c>
      <c r="M48" s="8">
        <f t="shared" si="41"/>
        <v>0.54113848002766041</v>
      </c>
      <c r="N48" s="8" t="s">
        <v>2</v>
      </c>
      <c r="O48" s="8">
        <f xml:space="preserve"> O47/SQRT(COUNT(O28:O43))</f>
        <v>0.14376353321438609</v>
      </c>
      <c r="P48" s="8">
        <f xml:space="preserve"> P47/SQRT(COUNT(P28:P43))</f>
        <v>0.44051026987860936</v>
      </c>
      <c r="Q48" s="8">
        <f xml:space="preserve"> Q47/SQRT(COUNT(Q28:Q43))</f>
        <v>3.2603688764564105E-2</v>
      </c>
      <c r="R48" s="8">
        <f xml:space="preserve"> R47/SQRT(COUNT(R28:R43))</f>
        <v>0.3254375344745073</v>
      </c>
      <c r="S48" s="8">
        <f t="shared" ref="S48:V48" si="42" xml:space="preserve"> S47/SQRT(COUNT(S28:S43))</f>
        <v>0.37790788060465969</v>
      </c>
      <c r="T48" s="8">
        <f t="shared" si="42"/>
        <v>0.4352276851591157</v>
      </c>
      <c r="U48" s="8">
        <f t="shared" si="42"/>
        <v>0.3636235386479475</v>
      </c>
      <c r="V48" s="8">
        <f t="shared" si="42"/>
        <v>0.78110900938550043</v>
      </c>
    </row>
    <row r="49" spans="1:22" s="1" customFormat="1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35">
      <c r="A52" s="29" t="str">
        <f t="shared" ref="A52:H52" si="43">A27</f>
        <v>Group names</v>
      </c>
      <c r="B52" s="30" t="str">
        <f t="shared" si="43"/>
        <v>Solvent control</v>
      </c>
      <c r="C52" s="30" t="str">
        <f t="shared" si="43"/>
        <v>EE2-33.8ng/L</v>
      </c>
      <c r="D52" s="30" t="str">
        <f t="shared" si="43"/>
        <v>EE2-50.6ng/L</v>
      </c>
      <c r="E52" s="30" t="str">
        <f t="shared" si="43"/>
        <v>EE2-76ng/L</v>
      </c>
      <c r="F52" s="30" t="str">
        <f t="shared" si="43"/>
        <v>EE2-114ng/L</v>
      </c>
      <c r="G52" s="30" t="str">
        <f t="shared" si="43"/>
        <v>EE2-170.9ng/L</v>
      </c>
      <c r="H52" s="30" t="str">
        <f t="shared" si="43"/>
        <v>EE2-488ng/L</v>
      </c>
      <c r="I52" s="30" t="str">
        <f>I4</f>
        <v>Triphenylphosphate-0,18mg/L</v>
      </c>
      <c r="J52" s="30" t="str">
        <f>J4</f>
        <v>Triphenylphosphate-0,26mg/L</v>
      </c>
      <c r="K52" s="30" t="str">
        <f>K27</f>
        <v>Triphenylphosphate-0,4mg/L</v>
      </c>
      <c r="L52" s="30" t="str">
        <f t="shared" ref="L52:M52" si="44">L27</f>
        <v>Triphenylphosphate-0,59mg/L</v>
      </c>
      <c r="M52" s="30" t="str">
        <f t="shared" si="44"/>
        <v>Triphenylphosphate-0,89mg/L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Triphenylphosphate-0,18mg/L + Testostérone</v>
      </c>
      <c r="S52" s="30" t="str">
        <f t="shared" ref="S52:V52" si="45">S27</f>
        <v>Triphenylphosphate-0,26mg/L + Testostérone</v>
      </c>
      <c r="T52" s="30" t="str">
        <f t="shared" si="45"/>
        <v>Triphenylphosphate-0,4mg/L + Testostérone</v>
      </c>
      <c r="U52" s="30" t="str">
        <f t="shared" si="45"/>
        <v>Triphenylphosphate-0,59mg/L + Testostérone</v>
      </c>
      <c r="V52" s="30" t="str">
        <f t="shared" si="45"/>
        <v>Triphenylphosphate-0,89mg/L + Testostérone</v>
      </c>
    </row>
    <row r="53" spans="1:22" s="3" customFormat="1" x14ac:dyDescent="0.35">
      <c r="A53" s="45" t="s">
        <v>10</v>
      </c>
      <c r="B53" s="78">
        <f t="shared" ref="B53:M53" si="46">B46</f>
        <v>0.14217601533773108</v>
      </c>
      <c r="C53" s="78">
        <f t="shared" si="46"/>
        <v>0.59841876081596335</v>
      </c>
      <c r="D53" s="78">
        <f t="shared" si="46"/>
        <v>1.3277557784598</v>
      </c>
      <c r="E53" s="78">
        <f t="shared" si="46"/>
        <v>1.982105311761442</v>
      </c>
      <c r="F53" s="78">
        <f t="shared" si="46"/>
        <v>3.1519230539921224</v>
      </c>
      <c r="G53" s="78">
        <f t="shared" si="46"/>
        <v>3.3101165110510187</v>
      </c>
      <c r="H53" s="78">
        <f t="shared" si="46"/>
        <v>3.465375823185191</v>
      </c>
      <c r="I53" s="78">
        <f t="shared" si="46"/>
        <v>0.11169215593939423</v>
      </c>
      <c r="J53" s="78">
        <f t="shared" si="46"/>
        <v>9.4002591875069347E-2</v>
      </c>
      <c r="K53" s="78">
        <f t="shared" si="46"/>
        <v>0.3252970000793825</v>
      </c>
      <c r="L53" s="78">
        <f t="shared" si="46"/>
        <v>1.503828693603064</v>
      </c>
      <c r="M53" s="78">
        <f t="shared" si="46"/>
        <v>3.5612175490454616</v>
      </c>
      <c r="N53" s="78"/>
      <c r="O53" s="78">
        <f t="shared" ref="O53:V53" si="47">O46</f>
        <v>1.0000000000000002</v>
      </c>
      <c r="P53" s="78">
        <f t="shared" si="47"/>
        <v>3.0971180499280861</v>
      </c>
      <c r="Q53" s="78">
        <f t="shared" si="47"/>
        <v>0.10793974312079008</v>
      </c>
      <c r="R53" s="78">
        <f t="shared" si="47"/>
        <v>2.1614418632139731</v>
      </c>
      <c r="S53" s="78">
        <f t="shared" si="47"/>
        <v>2.0480544796731119</v>
      </c>
      <c r="T53" s="78">
        <f t="shared" si="47"/>
        <v>3.7157253087904478</v>
      </c>
      <c r="U53" s="78">
        <f t="shared" si="47"/>
        <v>4.221004173099395</v>
      </c>
      <c r="V53" s="78">
        <f t="shared" si="47"/>
        <v>3.7281212427256043</v>
      </c>
    </row>
    <row r="54" spans="1:22" s="3" customFormat="1" x14ac:dyDescent="0.35">
      <c r="A54" s="45" t="s">
        <v>2</v>
      </c>
      <c r="B54" s="78">
        <f t="shared" ref="B54:M54" si="48">B48</f>
        <v>2.6407981648784471E-2</v>
      </c>
      <c r="C54" s="78">
        <f t="shared" si="48"/>
        <v>0.17896454948570423</v>
      </c>
      <c r="D54" s="78">
        <f t="shared" si="48"/>
        <v>0.24263379264630083</v>
      </c>
      <c r="E54" s="78">
        <f t="shared" si="48"/>
        <v>0.29798614108008858</v>
      </c>
      <c r="F54" s="78">
        <f t="shared" si="48"/>
        <v>0.2555680377486903</v>
      </c>
      <c r="G54" s="78">
        <f t="shared" si="48"/>
        <v>0.33956942821777453</v>
      </c>
      <c r="H54" s="78">
        <f t="shared" si="48"/>
        <v>0.31016416485107556</v>
      </c>
      <c r="I54" s="78">
        <f t="shared" si="48"/>
        <v>4.1105140420168836E-2</v>
      </c>
      <c r="J54" s="78">
        <f t="shared" si="48"/>
        <v>3.5778734333623115E-2</v>
      </c>
      <c r="K54" s="78">
        <f t="shared" si="48"/>
        <v>7.9693174973464009E-2</v>
      </c>
      <c r="L54" s="78">
        <f t="shared" si="48"/>
        <v>0.21912464095620912</v>
      </c>
      <c r="M54" s="78">
        <f t="shared" si="48"/>
        <v>0.54113848002766041</v>
      </c>
      <c r="N54" s="78"/>
      <c r="O54" s="78">
        <f t="shared" ref="O54:V54" si="49">O48</f>
        <v>0.14376353321438609</v>
      </c>
      <c r="P54" s="78">
        <f t="shared" si="49"/>
        <v>0.44051026987860936</v>
      </c>
      <c r="Q54" s="78">
        <f t="shared" si="49"/>
        <v>3.2603688764564105E-2</v>
      </c>
      <c r="R54" s="78">
        <f t="shared" si="49"/>
        <v>0.3254375344745073</v>
      </c>
      <c r="S54" s="78">
        <f t="shared" si="49"/>
        <v>0.37790788060465969</v>
      </c>
      <c r="T54" s="78">
        <f t="shared" si="49"/>
        <v>0.4352276851591157</v>
      </c>
      <c r="U54" s="78">
        <f t="shared" si="49"/>
        <v>0.3636235386479475</v>
      </c>
      <c r="V54" s="78">
        <f t="shared" si="49"/>
        <v>0.78110900938550043</v>
      </c>
    </row>
    <row r="55" spans="1:22" s="3" customFormat="1" x14ac:dyDescent="0.35">
      <c r="A55" s="45" t="s">
        <v>14</v>
      </c>
      <c r="B55" s="78">
        <f t="shared" ref="B55:M55" si="50">(B53*100/$B$53)-100</f>
        <v>0</v>
      </c>
      <c r="C55" s="78">
        <f t="shared" si="50"/>
        <v>320.89993828737806</v>
      </c>
      <c r="D55" s="78">
        <f t="shared" si="50"/>
        <v>833.88169256663389</v>
      </c>
      <c r="E55" s="78">
        <f t="shared" si="50"/>
        <v>1294.1207362247865</v>
      </c>
      <c r="F55" s="78">
        <f t="shared" si="50"/>
        <v>2116.9161560090902</v>
      </c>
      <c r="G55" s="78">
        <f t="shared" si="50"/>
        <v>2228.1820799296029</v>
      </c>
      <c r="H55" s="78">
        <f t="shared" si="50"/>
        <v>2337.3842627066078</v>
      </c>
      <c r="I55" s="78">
        <f t="shared" si="50"/>
        <v>-21.440929629321914</v>
      </c>
      <c r="J55" s="78">
        <f t="shared" si="50"/>
        <v>-33.882946675800767</v>
      </c>
      <c r="K55" s="78">
        <f t="shared" si="50"/>
        <v>128.79878811250822</v>
      </c>
      <c r="L55" s="78">
        <f t="shared" si="50"/>
        <v>957.72319615991773</v>
      </c>
      <c r="M55" s="78">
        <f t="shared" si="50"/>
        <v>2404.794877382089</v>
      </c>
      <c r="N55" s="78"/>
      <c r="O55" s="78">
        <f t="shared" ref="O55:V55" si="51">(O53*100/$O$53)-100</f>
        <v>0</v>
      </c>
      <c r="P55" s="78">
        <f t="shared" si="51"/>
        <v>209.71180499280854</v>
      </c>
      <c r="Q55" s="78">
        <f t="shared" si="51"/>
        <v>-89.206025687920999</v>
      </c>
      <c r="R55" s="78">
        <f t="shared" si="51"/>
        <v>116.14418632139726</v>
      </c>
      <c r="S55" s="78">
        <f t="shared" si="51"/>
        <v>104.80544796731112</v>
      </c>
      <c r="T55" s="78">
        <f t="shared" si="51"/>
        <v>271.57253087904473</v>
      </c>
      <c r="U55" s="78">
        <f t="shared" si="51"/>
        <v>322.10041730993942</v>
      </c>
      <c r="V55" s="78">
        <f t="shared" si="51"/>
        <v>272.81212427256037</v>
      </c>
    </row>
    <row r="56" spans="1:22" s="3" customFormat="1" x14ac:dyDescent="0.35">
      <c r="A56" s="45" t="s">
        <v>38</v>
      </c>
      <c r="B56" s="78" t="e">
        <f ca="1">[1]!SWTEST(B28:B43)</f>
        <v>#NAME?</v>
      </c>
      <c r="C56" s="78" t="e">
        <f ca="1">[1]!SWTEST(C28:C43)</f>
        <v>#NAME?</v>
      </c>
      <c r="D56" s="78" t="e">
        <f ca="1">[1]!SWTEST(D28:D43)</f>
        <v>#NAME?</v>
      </c>
      <c r="E56" s="78" t="e">
        <f ca="1">[1]!SWTEST(E28:E43)</f>
        <v>#NAME?</v>
      </c>
      <c r="F56" s="78" t="e">
        <f ca="1">[1]!SWTEST(F28:F43)</f>
        <v>#NAME?</v>
      </c>
      <c r="G56" s="78" t="e">
        <f ca="1">[1]!SWTEST(G28:G43)</f>
        <v>#NAME?</v>
      </c>
      <c r="H56" s="78" t="e">
        <f ca="1">[1]!SWTEST(H28:H43)</f>
        <v>#NAME?</v>
      </c>
      <c r="I56" s="78" t="e">
        <f ca="1">[1]!SWTEST(I28:I43)</f>
        <v>#NAME?</v>
      </c>
      <c r="J56" s="78" t="e">
        <f ca="1">[1]!SWTEST(J28:J43)</f>
        <v>#NAME?</v>
      </c>
      <c r="K56" s="78" t="e">
        <f ca="1">[1]!SWTEST(K28:K43)</f>
        <v>#NAME?</v>
      </c>
      <c r="L56" s="78" t="e">
        <f ca="1">[1]!SWTEST(L28:L43)</f>
        <v>#NAME?</v>
      </c>
      <c r="M56" s="78" t="e">
        <f ca="1">[1]!SWTEST(M28:M43)</f>
        <v>#NAME?</v>
      </c>
      <c r="N56" s="78"/>
      <c r="O56" s="78" t="e">
        <f ca="1">[1]!SWTEST(O28:O43)</f>
        <v>#NAME?</v>
      </c>
      <c r="P56" s="78" t="e">
        <f ca="1">[1]!SWTEST(P28:P43)</f>
        <v>#NAME?</v>
      </c>
      <c r="Q56" s="78" t="e">
        <f ca="1">[1]!SWTEST(Q28:Q43)</f>
        <v>#NAME?</v>
      </c>
      <c r="R56" s="78" t="e">
        <f ca="1">[1]!SWTEST(R28:R43)</f>
        <v>#NAME?</v>
      </c>
      <c r="S56" s="78" t="e">
        <f ca="1">[1]!SWTEST(S28:S43)</f>
        <v>#NAME?</v>
      </c>
      <c r="T56" s="78" t="e">
        <f ca="1">[1]!SWTEST(T28:T43)</f>
        <v>#NAME?</v>
      </c>
      <c r="U56" s="78" t="e">
        <f ca="1">[1]!SWTEST(U28:U43)</f>
        <v>#NAME?</v>
      </c>
      <c r="V56" s="78" t="e">
        <f ca="1">[1]!SWTEST(V28:V43)</f>
        <v>#NAME?</v>
      </c>
    </row>
    <row r="57" spans="1:22" s="3" customFormat="1" x14ac:dyDescent="0.35">
      <c r="A57" s="45" t="s">
        <v>39</v>
      </c>
      <c r="B57" s="78" t="e">
        <f t="shared" ref="B57:M57" ca="1" si="52">IF(B56&gt;0.05,"Oui","Non")</f>
        <v>#NAME?</v>
      </c>
      <c r="C57" s="78" t="e">
        <f t="shared" ca="1" si="52"/>
        <v>#NAME?</v>
      </c>
      <c r="D57" s="78" t="e">
        <f t="shared" ca="1" si="52"/>
        <v>#NAME?</v>
      </c>
      <c r="E57" s="78" t="e">
        <f t="shared" ca="1" si="52"/>
        <v>#NAME?</v>
      </c>
      <c r="F57" s="78" t="e">
        <f t="shared" ca="1" si="52"/>
        <v>#NAME?</v>
      </c>
      <c r="G57" s="78" t="e">
        <f t="shared" ca="1" si="52"/>
        <v>#NAME?</v>
      </c>
      <c r="H57" s="78" t="e">
        <f t="shared" ca="1" si="52"/>
        <v>#NAME?</v>
      </c>
      <c r="I57" s="78" t="e">
        <f t="shared" ca="1" si="52"/>
        <v>#NAME?</v>
      </c>
      <c r="J57" s="78" t="e">
        <f t="shared" ca="1" si="52"/>
        <v>#NAME?</v>
      </c>
      <c r="K57" s="78" t="e">
        <f t="shared" ca="1" si="52"/>
        <v>#NAME?</v>
      </c>
      <c r="L57" s="78" t="e">
        <f t="shared" ca="1" si="52"/>
        <v>#NAME?</v>
      </c>
      <c r="M57" s="78" t="e">
        <f t="shared" ca="1" si="52"/>
        <v>#NAME?</v>
      </c>
      <c r="N57" s="78"/>
      <c r="O57" s="78" t="e">
        <f t="shared" ref="O57:V57" ca="1" si="53">IF(O56&gt;0.05,"Oui","Non")</f>
        <v>#NAME?</v>
      </c>
      <c r="P57" s="78" t="e">
        <f t="shared" ca="1" si="53"/>
        <v>#NAME?</v>
      </c>
      <c r="Q57" s="78" t="e">
        <f t="shared" ca="1" si="53"/>
        <v>#NAME?</v>
      </c>
      <c r="R57" s="78" t="e">
        <f t="shared" ca="1" si="53"/>
        <v>#NAME?</v>
      </c>
      <c r="S57" s="78" t="e">
        <f t="shared" ca="1" si="53"/>
        <v>#NAME?</v>
      </c>
      <c r="T57" s="78" t="e">
        <f t="shared" ca="1" si="53"/>
        <v>#NAME?</v>
      </c>
      <c r="U57" s="78" t="e">
        <f t="shared" ca="1" si="53"/>
        <v>#NAME?</v>
      </c>
      <c r="V57" s="78" t="e">
        <f t="shared" ca="1" si="53"/>
        <v>#NAME?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e">
        <f t="shared" ref="C59:M59" ca="1" si="54">IF($B57="Non",IF(C$57="Non","Mann Withney",IF(C$57="Oui","Mann Withney","")),IF($B$57="Oui",IF(C$57="Oui","T-Test Welch",IF(C$57="Non","Mann Withney",""))))</f>
        <v>#NAME?</v>
      </c>
      <c r="D59" s="82" t="e">
        <f t="shared" ca="1" si="54"/>
        <v>#NAME?</v>
      </c>
      <c r="E59" s="82" t="e">
        <f t="shared" ca="1" si="54"/>
        <v>#NAME?</v>
      </c>
      <c r="F59" s="82" t="e">
        <f t="shared" ca="1" si="54"/>
        <v>#NAME?</v>
      </c>
      <c r="G59" s="82" t="e">
        <f t="shared" ca="1" si="54"/>
        <v>#NAME?</v>
      </c>
      <c r="H59" s="82" t="e">
        <f t="shared" ca="1" si="54"/>
        <v>#NAME?</v>
      </c>
      <c r="I59" s="82" t="e">
        <f t="shared" ca="1" si="54"/>
        <v>#NAME?</v>
      </c>
      <c r="J59" s="82" t="e">
        <f t="shared" ca="1" si="54"/>
        <v>#NAME?</v>
      </c>
      <c r="K59" s="82" t="e">
        <f t="shared" ca="1" si="54"/>
        <v>#NAME?</v>
      </c>
      <c r="L59" s="82" t="e">
        <f t="shared" ca="1" si="54"/>
        <v>#NAME?</v>
      </c>
      <c r="M59" s="82" t="e">
        <f t="shared" ca="1" si="54"/>
        <v>#NAME?</v>
      </c>
      <c r="N59" s="82"/>
      <c r="O59" s="82" t="e">
        <f ca="1">IF($B57="Non",IF(O$57="Non","Mann Withney",IF(O$57="Oui","Mann Withney","")),IF($B$57="Oui",IF(O$57="Oui","T-Test Welch",IF(O$57="Non","Mann Withney",""))))</f>
        <v>#NAME?</v>
      </c>
      <c r="P59" s="82" t="e">
        <f t="shared" ref="P59:V59" ca="1" si="55">IF($O57="Non",IF(P$57="Non","Mann Withney",IF(P$57="Oui","Mann Withney","")),IF($O$57="Oui",IF(P$57="Oui","T-Test Welch",IF(P$57="Non","Mann Withney",""))))</f>
        <v>#NAME?</v>
      </c>
      <c r="Q59" s="82" t="e">
        <f t="shared" ca="1" si="55"/>
        <v>#NAME?</v>
      </c>
      <c r="R59" s="82" t="e">
        <f t="shared" ca="1" si="55"/>
        <v>#NAME?</v>
      </c>
      <c r="S59" s="82" t="e">
        <f t="shared" ca="1" si="55"/>
        <v>#NAME?</v>
      </c>
      <c r="T59" s="82" t="e">
        <f t="shared" ca="1" si="55"/>
        <v>#NAME?</v>
      </c>
      <c r="U59" s="82" t="e">
        <f t="shared" ca="1" si="55"/>
        <v>#NAME?</v>
      </c>
      <c r="V59" s="82" t="e">
        <f t="shared" ca="1" si="55"/>
        <v>#NAME?</v>
      </c>
    </row>
    <row r="60" spans="1:22" s="3" customFormat="1" x14ac:dyDescent="0.35">
      <c r="A60" s="45" t="s">
        <v>41</v>
      </c>
      <c r="B60" s="83"/>
      <c r="C60" s="83" t="e">
        <f ca="1">IF(C59="Mann Withney",[1]!MTEST($B28:$B43,C28:C43,2), IF(C59="T-Test Welch",_xlfn.T.TEST($B28:$B43,C28:C43,2,3),""))</f>
        <v>#NAME?</v>
      </c>
      <c r="D60" s="83" t="e">
        <f ca="1">IF(D59="Mann Withney",[1]!MTEST($B28:$B43,D28:D43,2), IF(D59="T-Test Welch",_xlfn.T.TEST($B28:$B43,D28:D43,2,3),""))</f>
        <v>#NAME?</v>
      </c>
      <c r="E60" s="83" t="e">
        <f ca="1">IF(E59="Mann Withney",[1]!MTEST($B28:$B43,E28:E43,2), IF(E59="T-Test Welch",_xlfn.T.TEST($B28:$B43,E28:E43,2,3),""))</f>
        <v>#NAME?</v>
      </c>
      <c r="F60" s="83" t="e">
        <f ca="1">IF(F59="Mann Withney",[1]!MTEST($B28:$B43,F28:F43,2), IF(F59="T-Test Welch",_xlfn.T.TEST($B28:$B43,F28:F43,2,3),""))</f>
        <v>#NAME?</v>
      </c>
      <c r="G60" s="83" t="e">
        <f ca="1">IF(G59="Mann Withney",[1]!MTEST($B28:$B43,G28:G43,2), IF(G59="T-Test Welch",_xlfn.T.TEST($B28:$B43,G28:G43,2,3),""))</f>
        <v>#NAME?</v>
      </c>
      <c r="H60" s="83" t="e">
        <f ca="1">IF(H59="Mann Withney",[1]!MTEST($B28:$B43,H28:H43,2), IF(H59="T-Test Welch",_xlfn.T.TEST($B28:$B43,H28:H43,2,3),""))</f>
        <v>#NAME?</v>
      </c>
      <c r="I60" s="83" t="e">
        <f ca="1">IF(I59="Mann Withney",[1]!MTEST($B28:$B43,I28:I43,2), IF(I59="T-Test Welch",_xlfn.T.TEST($B28:$B43,I28:I43,2,3),""))</f>
        <v>#NAME?</v>
      </c>
      <c r="J60" s="83" t="e">
        <f ca="1">IF(J59="Mann Withney",[1]!MTEST($B28:$B43,J28:J43,2), IF(J59="T-Test Welch",_xlfn.T.TEST($B28:$B43,J28:J43,2,3),""))</f>
        <v>#NAME?</v>
      </c>
      <c r="K60" s="83" t="e">
        <f ca="1">IF(K59="Mann Withney",[1]!MTEST($B28:$B43,K28:K43,2), IF(K59="T-Test Welch",_xlfn.T.TEST($B28:$B43,K28:K43,2,3),""))</f>
        <v>#NAME?</v>
      </c>
      <c r="L60" s="83" t="e">
        <f ca="1">IF(L59="Mann Withney",[1]!MTEST($B28:$B43,L28:L43,2), IF(L59="T-Test Welch",_xlfn.T.TEST($B28:$B43,L28:L43,2,3),""))</f>
        <v>#NAME?</v>
      </c>
      <c r="M60" s="83" t="e">
        <f ca="1">IF(M59="Mann Withney",[1]!MTEST($B28:$B43,M28:M43,2), IF(M59="T-Test Welch",_xlfn.T.TEST($B28:$B43,M28:M43,2,3),""))</f>
        <v>#NAME?</v>
      </c>
      <c r="N60" s="83"/>
      <c r="O60" s="83" t="e">
        <f ca="1">IF(O59="Mann Withney",[1]!MTEST($B28:$B43,O28:O43,2), IF(O59="T-Test Welch",_xlfn.T.TEST($B28:$B43,O28:O43,2,3),""))</f>
        <v>#NAME?</v>
      </c>
      <c r="P60" s="83" t="e">
        <f ca="1">IF(P59="Mann Withney",[1]!MTEST($O28:$O43,P28:P43,2), IF(P59="T-Test Welch",_xlfn.T.TEST($O28:$O43,P28:P43,2,3),""))</f>
        <v>#NAME?</v>
      </c>
      <c r="Q60" s="83" t="e">
        <f ca="1">IF(Q59="Mann Withney",[1]!MTEST($O28:$O43,Q28:Q43,2), IF(Q59="T-Test Welch",_xlfn.T.TEST($O28:$O43,Q28:Q43,2,3),""))</f>
        <v>#NAME?</v>
      </c>
      <c r="R60" s="83" t="e">
        <f ca="1">IF(R59="Mann Withney",[1]!MTEST($O28:$O43,R28:R43,2), IF(R59="T-Test Welch",_xlfn.T.TEST($O28:$O43,R28:R43,2,3),""))</f>
        <v>#NAME?</v>
      </c>
      <c r="S60" s="83" t="e">
        <f ca="1">IF(S59="Mann Withney",[1]!MTEST($O28:$O43,S28:S43,2), IF(S59="T-Test Welch",_xlfn.T.TEST($O28:$O43,S28:S43,2,3),""))</f>
        <v>#NAME?</v>
      </c>
      <c r="T60" s="83" t="e">
        <f ca="1">IF(T59="Mann Withney",[1]!MTEST($O28:$O43,T28:T43,2), IF(T59="T-Test Welch",_xlfn.T.TEST($O28:$O43,T28:T43,2,3),""))</f>
        <v>#NAME?</v>
      </c>
      <c r="U60" s="83" t="e">
        <f ca="1">IF(U59="Mann Withney",[1]!MTEST($O28:$O43,U28:U43,2), IF(U59="T-Test Welch",_xlfn.T.TEST($O28:$O43,U28:U43,2,3),""))</f>
        <v>#NAME?</v>
      </c>
      <c r="V60" s="83" t="e">
        <f ca="1">IF(V59="Mann Withney",[1]!MTEST($O28:$O43,V28:V43,2), IF(V59="T-Test Welch",_xlfn.T.TEST($O28:$O43,V28:V43,2,3),""))</f>
        <v>#NAME?</v>
      </c>
    </row>
    <row r="61" spans="1:22" s="3" customFormat="1" ht="15" thickBot="1" x14ac:dyDescent="0.4">
      <c r="A61" s="46" t="s">
        <v>15</v>
      </c>
      <c r="B61" s="79"/>
      <c r="C61" s="79" t="e">
        <f t="shared" ref="C61:M61" ca="1" si="56">IF(C60&gt;0.05,"NS",IF(C60&gt;0.01,"*",IF(C60&gt;0.001,"**","***")))</f>
        <v>#NAME?</v>
      </c>
      <c r="D61" s="79" t="e">
        <f t="shared" ca="1" si="56"/>
        <v>#NAME?</v>
      </c>
      <c r="E61" s="79" t="e">
        <f t="shared" ca="1" si="56"/>
        <v>#NAME?</v>
      </c>
      <c r="F61" s="79" t="e">
        <f t="shared" ca="1" si="56"/>
        <v>#NAME?</v>
      </c>
      <c r="G61" s="79" t="e">
        <f t="shared" ca="1" si="56"/>
        <v>#NAME?</v>
      </c>
      <c r="H61" s="79" t="e">
        <f t="shared" ca="1" si="56"/>
        <v>#NAME?</v>
      </c>
      <c r="I61" s="79" t="e">
        <f t="shared" ca="1" si="56"/>
        <v>#NAME?</v>
      </c>
      <c r="J61" s="79" t="e">
        <f t="shared" ca="1" si="56"/>
        <v>#NAME?</v>
      </c>
      <c r="K61" s="79" t="e">
        <f t="shared" ca="1" si="56"/>
        <v>#NAME?</v>
      </c>
      <c r="L61" s="79" t="e">
        <f t="shared" ca="1" si="56"/>
        <v>#NAME?</v>
      </c>
      <c r="M61" s="79" t="e">
        <f t="shared" ca="1" si="56"/>
        <v>#NAME?</v>
      </c>
      <c r="N61" s="79"/>
      <c r="O61" s="79" t="e">
        <f ca="1">IF(O60&gt;0.05,"NS",IF(O60&gt;0.01,"*",IF(O60&gt;0.001,"**","***")))</f>
        <v>#NAME?</v>
      </c>
      <c r="P61" s="79" t="e">
        <f ca="1">IF(P60&gt;0.05,"NS",IF(P60&gt;0.01,"*",IF(P60&gt;0.001,"**","***")))</f>
        <v>#NAME?</v>
      </c>
      <c r="Q61" s="79" t="e">
        <f t="shared" ref="Q61" ca="1" si="57">IF(Q60&gt;0.05,"NS",IF(Q60&gt;0.01,"*",IF(Q60&gt;0.001,"**","***")))</f>
        <v>#NAME?</v>
      </c>
      <c r="R61" s="79" t="e">
        <f t="shared" ref="R61" ca="1" si="58">IF(R60&gt;0.05,"NS",IF(R60&gt;0.01,"*",IF(R60&gt;0.001,"**","***")))</f>
        <v>#NAME?</v>
      </c>
      <c r="S61" s="79" t="e">
        <f t="shared" ref="S61" ca="1" si="59">IF(S60&gt;0.05,"NS",IF(S60&gt;0.01,"*",IF(S60&gt;0.001,"**","***")))</f>
        <v>#NAME?</v>
      </c>
      <c r="T61" s="79" t="e">
        <f t="shared" ref="T61" ca="1" si="60">IF(T60&gt;0.05,"NS",IF(T60&gt;0.01,"*",IF(T60&gt;0.001,"**","***")))</f>
        <v>#NAME?</v>
      </c>
      <c r="U61" s="79" t="e">
        <f t="shared" ref="U61" ca="1" si="61">IF(U60&gt;0.05,"NS",IF(U60&gt;0.01,"*",IF(U60&gt;0.001,"**","***")))</f>
        <v>#NAME?</v>
      </c>
      <c r="V61" s="79" t="e">
        <f t="shared" ref="V61" ca="1" si="62">IF(V60&gt;0.05,"NS",IF(V60&gt;0.01,"*",IF(V60&gt;0.001,"**","***")))</f>
        <v>#NAME?</v>
      </c>
    </row>
    <row r="63" spans="1:22" x14ac:dyDescent="0.35">
      <c r="A63" s="2"/>
    </row>
    <row r="66" spans="1:22" ht="15" thickBot="1" x14ac:dyDescent="0.4"/>
    <row r="67" spans="1:22" s="1" customFormat="1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12:V21 R5:V7" name="Plage1"/>
    <protectedRange sqref="B51:J51" name="Plage2_1"/>
    <protectedRange sqref="O5:O7 J5:J6 B13:J21 J11:J12 O12:O21" name="Plage1_1"/>
    <protectedRange sqref="B5:I6 B11:I12 O8:V11 B7:M10" name="Plage1_1_1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S1" zoomScale="115" zoomScaleNormal="115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customFormat="1" ht="15" thickBot="1" x14ac:dyDescent="0.4"/>
    <row r="3" spans="1:22" ht="15" thickBot="1" x14ac:dyDescent="0.4">
      <c r="A3" s="84" t="s">
        <v>6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Triphenylphosphate-0,18mg/L</v>
      </c>
      <c r="J4" s="20" t="str">
        <f>'Front page'!A15</f>
        <v>Triphenylphosphate-0,26mg/L</v>
      </c>
      <c r="K4" s="20" t="str">
        <f>'Front page'!A16</f>
        <v>Triphenylphosphate-0,4mg/L</v>
      </c>
      <c r="L4" s="20" t="str">
        <f>'Front page'!A17</f>
        <v>Triphenylphosphate-0,59mg/L</v>
      </c>
      <c r="M4" s="20" t="str">
        <f>'Front page'!A18</f>
        <v>Triphenylphosphate-0,89mg/L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Triphenylphosphate-0,18mg/L + Testostérone</v>
      </c>
      <c r="S4" s="21" t="str">
        <f>'Front page'!A39</f>
        <v>Triphenylphosphate-0,26mg/L + Testostérone</v>
      </c>
      <c r="T4" s="21" t="str">
        <f>'Front page'!A40</f>
        <v>Triphenylphosphate-0,4mg/L + Testostérone</v>
      </c>
      <c r="U4" s="21" t="str">
        <f>'Front page'!A41</f>
        <v>Triphenylphosphate-0,59mg/L + Testostérone</v>
      </c>
      <c r="V4" s="21" t="str">
        <f>'Front page'!A42</f>
        <v>Triphenylphosphate-0,89mg/L + Testostérone</v>
      </c>
    </row>
    <row r="5" spans="1:22" x14ac:dyDescent="0.35">
      <c r="A5" s="138" t="s">
        <v>35</v>
      </c>
      <c r="B5" s="17">
        <v>61968</v>
      </c>
      <c r="C5" s="17">
        <v>54817</v>
      </c>
      <c r="D5" s="17">
        <v>1306415</v>
      </c>
      <c r="E5" s="17">
        <v>500135</v>
      </c>
      <c r="F5" s="17">
        <v>1475130</v>
      </c>
      <c r="G5" s="17">
        <v>5889462</v>
      </c>
      <c r="H5" s="17">
        <v>4925337</v>
      </c>
      <c r="I5" s="17">
        <v>10519</v>
      </c>
      <c r="J5" s="17">
        <v>2228</v>
      </c>
      <c r="K5" s="13">
        <v>90468</v>
      </c>
      <c r="L5" s="13">
        <v>1526794</v>
      </c>
      <c r="M5" s="13">
        <v>3578527</v>
      </c>
      <c r="N5" s="3"/>
      <c r="O5" s="17">
        <v>1285147</v>
      </c>
      <c r="P5" s="13">
        <v>2540737</v>
      </c>
      <c r="Q5" s="13">
        <v>277084</v>
      </c>
      <c r="R5" s="17">
        <v>3617109</v>
      </c>
      <c r="S5" s="17">
        <v>1121099</v>
      </c>
      <c r="T5" s="17">
        <v>2401544</v>
      </c>
      <c r="U5" s="17">
        <v>6973063</v>
      </c>
      <c r="V5" s="17">
        <v>3708251</v>
      </c>
    </row>
    <row r="6" spans="1:22" ht="16.5" x14ac:dyDescent="0.35">
      <c r="A6" s="139"/>
      <c r="B6" s="14">
        <v>71129</v>
      </c>
      <c r="C6" s="13">
        <v>24718</v>
      </c>
      <c r="D6" s="17">
        <v>1212524</v>
      </c>
      <c r="E6" s="17">
        <v>2267649</v>
      </c>
      <c r="F6" s="17">
        <v>4855116</v>
      </c>
      <c r="G6" s="17">
        <v>5597312</v>
      </c>
      <c r="H6" s="17">
        <v>4061566</v>
      </c>
      <c r="I6" s="17">
        <v>586172</v>
      </c>
      <c r="J6" s="17">
        <v>498797</v>
      </c>
      <c r="K6" s="13">
        <v>125320</v>
      </c>
      <c r="L6" s="13">
        <v>584068</v>
      </c>
      <c r="M6" s="13">
        <v>734952</v>
      </c>
      <c r="N6" s="3"/>
      <c r="O6" s="17">
        <v>2499199</v>
      </c>
      <c r="P6" s="13">
        <v>4190754</v>
      </c>
      <c r="Q6" s="13">
        <v>7707</v>
      </c>
      <c r="R6" s="17">
        <v>3830890</v>
      </c>
      <c r="S6" s="17">
        <v>1873977</v>
      </c>
      <c r="T6" s="17">
        <v>2775048</v>
      </c>
      <c r="U6" s="17">
        <v>2724585</v>
      </c>
      <c r="V6" s="17">
        <v>2130771</v>
      </c>
    </row>
    <row r="7" spans="1:22" ht="16.5" x14ac:dyDescent="0.35">
      <c r="A7" s="139"/>
      <c r="B7" s="14">
        <v>114038</v>
      </c>
      <c r="C7" s="13">
        <v>250730</v>
      </c>
      <c r="D7" s="17">
        <v>723401</v>
      </c>
      <c r="E7" s="17">
        <v>2606794</v>
      </c>
      <c r="F7" s="17">
        <v>6845340</v>
      </c>
      <c r="G7" s="17">
        <v>7182060</v>
      </c>
      <c r="H7" s="17">
        <v>7452244</v>
      </c>
      <c r="I7" s="17">
        <v>28967</v>
      </c>
      <c r="J7" s="17">
        <v>104125</v>
      </c>
      <c r="K7" s="13">
        <v>365302</v>
      </c>
      <c r="L7" s="13">
        <v>41894</v>
      </c>
      <c r="M7" s="13">
        <v>3157028</v>
      </c>
      <c r="N7" s="3"/>
      <c r="O7" s="17">
        <v>1417330</v>
      </c>
      <c r="P7" s="13">
        <v>3223112</v>
      </c>
      <c r="Q7" s="13">
        <v>156623</v>
      </c>
      <c r="R7" s="17">
        <v>3396294</v>
      </c>
      <c r="S7" s="17">
        <v>1791958</v>
      </c>
      <c r="T7" s="17">
        <v>3270496</v>
      </c>
      <c r="U7" s="17">
        <v>4639637</v>
      </c>
      <c r="V7" s="17">
        <v>4202288</v>
      </c>
    </row>
    <row r="8" spans="1:22" ht="16.5" x14ac:dyDescent="0.35">
      <c r="A8" s="139"/>
      <c r="B8" s="14">
        <v>177468</v>
      </c>
      <c r="C8" s="13">
        <v>61909</v>
      </c>
      <c r="D8" s="17">
        <v>365571</v>
      </c>
      <c r="E8" s="17">
        <v>1550257</v>
      </c>
      <c r="F8" s="17">
        <v>3011377</v>
      </c>
      <c r="G8" s="17">
        <v>4098184</v>
      </c>
      <c r="H8" s="17">
        <v>11230176</v>
      </c>
      <c r="I8" s="17">
        <v>128968</v>
      </c>
      <c r="J8" s="17">
        <v>60183</v>
      </c>
      <c r="K8" s="13">
        <v>8504</v>
      </c>
      <c r="L8" s="13">
        <v>2599356</v>
      </c>
      <c r="M8" s="13">
        <v>3374609</v>
      </c>
      <c r="N8" s="3"/>
      <c r="O8" s="17">
        <v>3071794</v>
      </c>
      <c r="P8" s="13">
        <v>2570048</v>
      </c>
      <c r="Q8" s="13">
        <v>152626</v>
      </c>
      <c r="R8" s="17">
        <v>3416134</v>
      </c>
      <c r="S8" s="17">
        <v>6164826</v>
      </c>
      <c r="T8" s="17">
        <v>4251009</v>
      </c>
      <c r="U8" s="17">
        <v>2195739</v>
      </c>
      <c r="V8" s="17">
        <v>2698871</v>
      </c>
    </row>
    <row r="9" spans="1:22" ht="16.5" x14ac:dyDescent="0.35">
      <c r="A9" s="139"/>
      <c r="B9" s="14">
        <v>78988</v>
      </c>
      <c r="C9" s="13">
        <v>600887</v>
      </c>
      <c r="D9" s="17">
        <v>679696</v>
      </c>
      <c r="E9" s="17">
        <v>1711864</v>
      </c>
      <c r="F9" s="17">
        <v>2930975</v>
      </c>
      <c r="G9" s="17">
        <v>9418042</v>
      </c>
      <c r="H9" s="17">
        <v>5519545</v>
      </c>
      <c r="I9" s="17">
        <v>157353</v>
      </c>
      <c r="J9" s="17">
        <v>37043</v>
      </c>
      <c r="K9" s="13">
        <v>138137</v>
      </c>
      <c r="L9" s="13">
        <v>1239904</v>
      </c>
      <c r="M9" s="13">
        <v>3019181</v>
      </c>
      <c r="N9" s="3"/>
      <c r="O9" s="17">
        <v>3182344</v>
      </c>
      <c r="P9" s="13">
        <v>3799322</v>
      </c>
      <c r="Q9" s="13">
        <v>65039</v>
      </c>
      <c r="R9" s="17">
        <v>2154828</v>
      </c>
      <c r="S9" s="17">
        <v>2694229</v>
      </c>
      <c r="T9" s="17">
        <v>4461580</v>
      </c>
      <c r="U9" s="17">
        <v>1563116</v>
      </c>
      <c r="V9" s="17">
        <v>7474554</v>
      </c>
    </row>
    <row r="10" spans="1:22" ht="16.5" x14ac:dyDescent="0.35">
      <c r="A10" s="139"/>
      <c r="B10" s="14">
        <v>77222</v>
      </c>
      <c r="C10" s="13">
        <v>113574</v>
      </c>
      <c r="D10" s="17">
        <v>205501</v>
      </c>
      <c r="E10" s="17">
        <v>292242</v>
      </c>
      <c r="F10" s="17">
        <v>3313563</v>
      </c>
      <c r="G10" s="17">
        <v>4460220</v>
      </c>
      <c r="H10" s="17">
        <v>5216349</v>
      </c>
      <c r="I10" s="17">
        <v>90497</v>
      </c>
      <c r="J10" s="17">
        <v>70335</v>
      </c>
      <c r="K10" s="13">
        <v>143825</v>
      </c>
      <c r="L10" s="13">
        <v>2313676</v>
      </c>
      <c r="M10" s="13">
        <v>5416019</v>
      </c>
      <c r="N10" s="3"/>
      <c r="O10" s="17">
        <v>2224429</v>
      </c>
      <c r="P10" s="13">
        <v>7085797</v>
      </c>
      <c r="Q10" s="13">
        <v>264288</v>
      </c>
      <c r="R10" s="17">
        <v>5303782</v>
      </c>
      <c r="S10" s="17">
        <v>4155542</v>
      </c>
      <c r="T10" s="17">
        <v>178614</v>
      </c>
      <c r="U10" s="17">
        <v>3714111</v>
      </c>
      <c r="V10" s="17">
        <v>3582881</v>
      </c>
    </row>
    <row r="11" spans="1:22" ht="16.5" x14ac:dyDescent="0.35">
      <c r="A11" s="139"/>
      <c r="B11" s="14">
        <v>279289</v>
      </c>
      <c r="C11" s="13">
        <v>154611</v>
      </c>
      <c r="D11" s="17">
        <v>381033</v>
      </c>
      <c r="E11" s="17"/>
      <c r="F11" s="17">
        <v>2802111</v>
      </c>
      <c r="G11" s="17">
        <v>7199601</v>
      </c>
      <c r="H11" s="17">
        <v>8911371</v>
      </c>
      <c r="I11" s="17">
        <v>30481</v>
      </c>
      <c r="J11" s="17">
        <v>1037</v>
      </c>
      <c r="K11" s="13">
        <v>32989</v>
      </c>
      <c r="L11" s="13">
        <v>1091375</v>
      </c>
      <c r="M11" s="13">
        <v>1122798</v>
      </c>
      <c r="N11" s="3"/>
      <c r="O11" s="17">
        <v>769485</v>
      </c>
      <c r="P11" s="13">
        <v>5242134</v>
      </c>
      <c r="Q11" s="13">
        <v>85712</v>
      </c>
      <c r="R11" s="17">
        <v>1273660</v>
      </c>
      <c r="S11" s="17">
        <v>6622523</v>
      </c>
      <c r="T11" s="17">
        <v>2586924</v>
      </c>
      <c r="U11" s="17">
        <v>3020058</v>
      </c>
      <c r="V11" s="17">
        <v>6122577</v>
      </c>
    </row>
    <row r="12" spans="1:22" ht="16.5" x14ac:dyDescent="0.35">
      <c r="A12" s="139"/>
      <c r="B12" s="14">
        <v>59826</v>
      </c>
      <c r="C12" s="13">
        <v>350775</v>
      </c>
      <c r="D12" s="17">
        <v>2434800</v>
      </c>
      <c r="E12" s="17"/>
      <c r="F12" s="17">
        <v>5820148</v>
      </c>
      <c r="G12" s="17">
        <v>7466893</v>
      </c>
      <c r="H12" s="17">
        <v>5815417</v>
      </c>
      <c r="I12" s="17">
        <v>72597</v>
      </c>
      <c r="J12" s="17">
        <v>13361</v>
      </c>
      <c r="K12" s="13">
        <v>83183</v>
      </c>
      <c r="L12" s="13">
        <v>1463525</v>
      </c>
      <c r="M12" s="13">
        <v>4085029</v>
      </c>
      <c r="N12" s="3"/>
      <c r="O12" s="17">
        <v>1794590</v>
      </c>
      <c r="P12" s="13">
        <v>5538365</v>
      </c>
      <c r="Q12" s="13">
        <v>2727</v>
      </c>
      <c r="R12" s="17">
        <v>2725023</v>
      </c>
      <c r="S12" s="17"/>
      <c r="T12" s="17">
        <v>4792118</v>
      </c>
      <c r="U12" s="17">
        <v>174277</v>
      </c>
      <c r="V12" s="17">
        <v>2866078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3949662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31944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1395286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1015494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850497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455502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3214147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3860491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Triphenylphosphate-0,18mg/L</v>
      </c>
      <c r="J22" s="3" t="str">
        <f t="shared" si="1"/>
        <v>Triphenylphosphate-0,26mg/L</v>
      </c>
      <c r="K22" s="3" t="str">
        <f t="shared" si="1"/>
        <v>Triphenylphosphate-0,4mg/L</v>
      </c>
      <c r="L22" s="3" t="str">
        <f t="shared" si="1"/>
        <v>Triphenylphosphate-0,59mg/L</v>
      </c>
      <c r="M22" s="3" t="str">
        <f t="shared" si="1"/>
        <v>Triphenylphosphate-0,89mg/L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Triphenylphosphate-0,18mg/L + Testostérone</v>
      </c>
      <c r="S22" s="3" t="str">
        <f t="shared" si="1"/>
        <v>Triphenylphosphate-0,26mg/L + Testostérone</v>
      </c>
      <c r="T22" s="3" t="str">
        <f t="shared" si="1"/>
        <v>Triphenylphosphate-0,4mg/L + Testostérone</v>
      </c>
      <c r="U22" s="3" t="str">
        <f t="shared" si="1"/>
        <v>Triphenylphosphate-0,59mg/L + Testostérone</v>
      </c>
      <c r="V22" s="3" t="str">
        <f t="shared" si="1"/>
        <v>Triphenylphosphate-0,89mg/L + Testostérone</v>
      </c>
    </row>
    <row r="23" spans="1:22" x14ac:dyDescent="0.35">
      <c r="A23" s="5" t="s">
        <v>0</v>
      </c>
      <c r="B23" s="5">
        <f t="shared" ref="B23:J23" si="2">AVERAGE(B5:B20)</f>
        <v>114991</v>
      </c>
      <c r="C23" s="5">
        <f t="shared" si="2"/>
        <v>201502.625</v>
      </c>
      <c r="D23" s="5">
        <f t="shared" si="2"/>
        <v>913617.625</v>
      </c>
      <c r="E23" s="5">
        <f t="shared" si="2"/>
        <v>1488156.8333333333</v>
      </c>
      <c r="F23" s="5">
        <f t="shared" si="2"/>
        <v>3881720</v>
      </c>
      <c r="G23" s="5">
        <f t="shared" si="2"/>
        <v>6413971.75</v>
      </c>
      <c r="H23" s="5">
        <f t="shared" si="2"/>
        <v>6641500.625</v>
      </c>
      <c r="I23" s="5">
        <f t="shared" si="2"/>
        <v>138194.25</v>
      </c>
      <c r="J23" s="5">
        <f t="shared" si="2"/>
        <v>98388.625</v>
      </c>
      <c r="K23" s="5"/>
      <c r="L23" s="5">
        <f>AVERAGE(L5:L20)</f>
        <v>1357574</v>
      </c>
      <c r="M23" s="5"/>
      <c r="N23" s="5" t="s">
        <v>0</v>
      </c>
      <c r="O23" s="5">
        <f>AVERAGE(O5:O20)</f>
        <v>1938583.8125</v>
      </c>
      <c r="P23" s="5">
        <f>AVERAGE(P5:P20)</f>
        <v>4273783.625</v>
      </c>
      <c r="Q23" s="5">
        <f>AVERAGE(Q5:Q20)</f>
        <v>126475.75</v>
      </c>
      <c r="R23" s="5">
        <f>AVERAGE(R5:R20)</f>
        <v>3214715</v>
      </c>
      <c r="S23" s="5">
        <f>AVERAGE(S5:S20)</f>
        <v>3489164.8571428573</v>
      </c>
      <c r="T23" s="5">
        <f t="shared" ref="T23:V23" si="3">AVERAGE(T5:T20)</f>
        <v>3089666.625</v>
      </c>
      <c r="U23" s="5">
        <f t="shared" si="3"/>
        <v>3125573.25</v>
      </c>
      <c r="V23" s="5">
        <f t="shared" si="3"/>
        <v>4098283.875</v>
      </c>
    </row>
    <row r="24" spans="1:22" x14ac:dyDescent="0.35">
      <c r="A24" s="3" t="s">
        <v>1</v>
      </c>
      <c r="B24" s="3">
        <f t="shared" ref="B24:J24" si="4">STDEV(B5:B20)</f>
        <v>76903.762410282259</v>
      </c>
      <c r="C24" s="3">
        <f t="shared" si="4"/>
        <v>195082.24614610811</v>
      </c>
      <c r="D24" s="3">
        <f t="shared" si="4"/>
        <v>730358.32188863447</v>
      </c>
      <c r="E24" s="3">
        <f t="shared" si="4"/>
        <v>929436.16320765507</v>
      </c>
      <c r="F24" s="3">
        <f t="shared" si="4"/>
        <v>1790031.6349440787</v>
      </c>
      <c r="G24" s="3">
        <f t="shared" si="4"/>
        <v>1751012.6267258488</v>
      </c>
      <c r="H24" s="3">
        <f t="shared" si="4"/>
        <v>2403541.8516309243</v>
      </c>
      <c r="I24" s="3">
        <f t="shared" si="4"/>
        <v>188053.1758312374</v>
      </c>
      <c r="J24" s="3">
        <f t="shared" si="4"/>
        <v>165755.256687113</v>
      </c>
      <c r="K24" s="3"/>
      <c r="L24" s="3">
        <f>STDEV(L5:L20)</f>
        <v>837517.43040846614</v>
      </c>
      <c r="M24" s="3"/>
      <c r="N24" s="3" t="s">
        <v>1</v>
      </c>
      <c r="O24" s="3">
        <f>STDEV(O5:O20)</f>
        <v>1234086.5575199183</v>
      </c>
      <c r="P24" s="3">
        <f>STDEV(P5:P20)</f>
        <v>1589535.9621178699</v>
      </c>
      <c r="Q24" s="3">
        <f>STDEV(Q5:Q20)</f>
        <v>105643.38945142624</v>
      </c>
      <c r="R24" s="3">
        <f>STDEV(R5:R20)</f>
        <v>1201795.5174184761</v>
      </c>
      <c r="S24" s="3">
        <f>STDEV(S5:S20)</f>
        <v>2204168.6320038694</v>
      </c>
      <c r="T24" s="3">
        <f t="shared" ref="T24:V24" si="5">STDEV(T5:T20)</f>
        <v>1486192.5238830876</v>
      </c>
      <c r="U24" s="3">
        <f t="shared" si="5"/>
        <v>2057386.7644253925</v>
      </c>
      <c r="V24" s="3">
        <f t="shared" si="5"/>
        <v>1823393.2208321649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Triphenylphosphate-0,18mg/L</v>
      </c>
      <c r="J27" s="20" t="str">
        <f t="shared" si="6"/>
        <v>Triphenylphosphate-0,26mg/L</v>
      </c>
      <c r="K27" s="20" t="str">
        <f t="shared" si="6"/>
        <v>Triphenylphosphate-0,4mg/L</v>
      </c>
      <c r="L27" s="20" t="str">
        <f t="shared" si="6"/>
        <v>Triphenylphosphate-0,59mg/L</v>
      </c>
      <c r="M27" s="20" t="str">
        <f t="shared" si="6"/>
        <v>Triphenylphosphate-0,89mg/L</v>
      </c>
      <c r="N27" s="3"/>
      <c r="O27" s="21" t="str">
        <f>O4</f>
        <v>Testo -30µg/L</v>
      </c>
      <c r="P27" s="21" t="str">
        <f t="shared" ref="P27:R27" si="7">P4</f>
        <v>Testo 30µg/L + EE2 -64ng/L</v>
      </c>
      <c r="Q27" s="21" t="str">
        <f t="shared" si="7"/>
        <v>Testo 30µg/L + FAD-10mg/L</v>
      </c>
      <c r="R27" s="21" t="str">
        <f t="shared" si="7"/>
        <v>Triphenylphosphate-0,18mg/L + Testostérone</v>
      </c>
      <c r="S27" s="21" t="str">
        <f t="shared" ref="S27:V27" si="8">S4</f>
        <v>Triphenylphosphate-0,26mg/L + Testostérone</v>
      </c>
      <c r="T27" s="21" t="str">
        <f t="shared" si="8"/>
        <v>Triphenylphosphate-0,4mg/L + Testostérone</v>
      </c>
      <c r="U27" s="21" t="str">
        <f t="shared" si="8"/>
        <v>Triphenylphosphate-0,59mg/L + Testostérone</v>
      </c>
      <c r="V27" s="21" t="str">
        <f t="shared" si="8"/>
        <v>Triphenylphosphate-0,89mg/L + Testostérone</v>
      </c>
    </row>
    <row r="28" spans="1:22" ht="14.5" customHeight="1" x14ac:dyDescent="0.35">
      <c r="A28" s="140" t="s">
        <v>36</v>
      </c>
      <c r="B28" s="11">
        <f t="shared" ref="B28:M28" si="9">IF(B5="","",(B5/$O$23))</f>
        <v>3.1965602725262623E-2</v>
      </c>
      <c r="C28" s="11">
        <f t="shared" si="9"/>
        <v>2.827682746886653E-2</v>
      </c>
      <c r="D28" s="11">
        <f t="shared" si="9"/>
        <v>0.6739017377408334</v>
      </c>
      <c r="E28" s="11">
        <f t="shared" si="9"/>
        <v>0.25798987733990481</v>
      </c>
      <c r="F28" s="11">
        <f t="shared" si="9"/>
        <v>0.76093176394456252</v>
      </c>
      <c r="G28" s="11">
        <f t="shared" si="9"/>
        <v>3.0380228917752814</v>
      </c>
      <c r="H28" s="11">
        <f t="shared" si="9"/>
        <v>2.5406881911637753</v>
      </c>
      <c r="I28" s="11">
        <f t="shared" si="9"/>
        <v>5.4261259854608427E-3</v>
      </c>
      <c r="J28" s="11">
        <f t="shared" si="9"/>
        <v>1.1492925844288199E-3</v>
      </c>
      <c r="K28" s="11">
        <f t="shared" si="9"/>
        <v>4.6667056341160904E-2</v>
      </c>
      <c r="L28" s="11">
        <f t="shared" si="9"/>
        <v>0.78758214638708068</v>
      </c>
      <c r="M28" s="11">
        <f t="shared" si="9"/>
        <v>1.8459490773241976</v>
      </c>
      <c r="N28" s="6"/>
      <c r="O28" s="11">
        <f t="shared" ref="O28:S37" si="10">IF(O5="","",(O5/$O$23))</f>
        <v>0.66293084246002909</v>
      </c>
      <c r="P28" s="11">
        <f t="shared" si="10"/>
        <v>1.3106149879191773</v>
      </c>
      <c r="Q28" s="11">
        <f t="shared" si="10"/>
        <v>0.14293114293710735</v>
      </c>
      <c r="R28" s="11">
        <f t="shared" si="10"/>
        <v>1.8658512346367795</v>
      </c>
      <c r="S28" s="11">
        <f t="shared" si="10"/>
        <v>0.57830824376596301</v>
      </c>
      <c r="T28" s="11">
        <f t="shared" ref="T28:V43" si="11">IF(T5="","",(T5/$O$23))</f>
        <v>1.2388136042996079</v>
      </c>
      <c r="U28" s="11">
        <f t="shared" si="11"/>
        <v>3.5969881493065445</v>
      </c>
      <c r="V28" s="11">
        <f t="shared" si="11"/>
        <v>1.9128659674599444</v>
      </c>
    </row>
    <row r="29" spans="1:22" x14ac:dyDescent="0.35">
      <c r="A29" s="141"/>
      <c r="B29" s="11">
        <f t="shared" ref="B29:M29" si="12">IF(B6="","",(B6/$O$23))</f>
        <v>3.6691217341937851E-2</v>
      </c>
      <c r="C29" s="11">
        <f t="shared" si="12"/>
        <v>1.2750544929044691E-2</v>
      </c>
      <c r="D29" s="11">
        <f t="shared" si="12"/>
        <v>0.62546895944433145</v>
      </c>
      <c r="E29" s="11">
        <f t="shared" si="12"/>
        <v>1.1697451435311621</v>
      </c>
      <c r="F29" s="11">
        <f t="shared" si="12"/>
        <v>2.504465356975635</v>
      </c>
      <c r="G29" s="11">
        <f t="shared" si="12"/>
        <v>2.8873200962003804</v>
      </c>
      <c r="H29" s="11">
        <f t="shared" si="12"/>
        <v>2.0951201458564741</v>
      </c>
      <c r="I29" s="11">
        <f t="shared" si="12"/>
        <v>0.30237124452415182</v>
      </c>
      <c r="J29" s="11">
        <f t="shared" si="12"/>
        <v>0.25729968278067422</v>
      </c>
      <c r="K29" s="11">
        <f t="shared" si="12"/>
        <v>6.4645128671732374E-2</v>
      </c>
      <c r="L29" s="11">
        <f t="shared" si="12"/>
        <v>0.30128591615896411</v>
      </c>
      <c r="M29" s="11">
        <f t="shared" si="12"/>
        <v>0.37911799080391834</v>
      </c>
      <c r="N29" s="6"/>
      <c r="O29" s="11">
        <f t="shared" si="10"/>
        <v>1.2891880061543637</v>
      </c>
      <c r="P29" s="11">
        <f t="shared" si="10"/>
        <v>2.1617605454961466</v>
      </c>
      <c r="Q29" s="11">
        <f t="shared" si="10"/>
        <v>3.975582562025546E-3</v>
      </c>
      <c r="R29" s="11">
        <f t="shared" si="10"/>
        <v>1.9761281278108269</v>
      </c>
      <c r="S29" s="11">
        <f t="shared" si="10"/>
        <v>0.96667319097404258</v>
      </c>
      <c r="T29" s="11">
        <f t="shared" si="11"/>
        <v>1.4314820861014488</v>
      </c>
      <c r="U29" s="11">
        <f t="shared" si="11"/>
        <v>1.4054512280727094</v>
      </c>
      <c r="V29" s="11">
        <f t="shared" si="11"/>
        <v>1.0991379306175859</v>
      </c>
    </row>
    <row r="30" spans="1:22" x14ac:dyDescent="0.35">
      <c r="A30" s="141"/>
      <c r="B30" s="11">
        <f t="shared" ref="B30:M30" si="13">IF(B7="","",(B7/$O$23))</f>
        <v>5.8825416401747654E-2</v>
      </c>
      <c r="C30" s="11">
        <f t="shared" si="13"/>
        <v>0.12933668298646231</v>
      </c>
      <c r="D30" s="11">
        <f t="shared" si="13"/>
        <v>0.3731595174454187</v>
      </c>
      <c r="E30" s="11">
        <f t="shared" si="13"/>
        <v>1.3446898623579628</v>
      </c>
      <c r="F30" s="11">
        <f t="shared" si="13"/>
        <v>3.5311034559667767</v>
      </c>
      <c r="G30" s="11">
        <f t="shared" si="13"/>
        <v>3.704797261635032</v>
      </c>
      <c r="H30" s="11">
        <f t="shared" si="13"/>
        <v>3.8441691052756584</v>
      </c>
      <c r="I30" s="11">
        <f t="shared" si="13"/>
        <v>1.4942351119007912E-2</v>
      </c>
      <c r="J30" s="11">
        <f t="shared" si="13"/>
        <v>5.3711889745803806E-2</v>
      </c>
      <c r="K30" s="11">
        <f t="shared" si="13"/>
        <v>0.18843755820332891</v>
      </c>
      <c r="L30" s="11">
        <f t="shared" si="13"/>
        <v>2.1610620974892723E-2</v>
      </c>
      <c r="M30" s="11">
        <f t="shared" si="13"/>
        <v>1.6285228317927058</v>
      </c>
      <c r="N30" s="6"/>
      <c r="O30" s="11">
        <f t="shared" si="10"/>
        <v>0.73111618433056524</v>
      </c>
      <c r="P30" s="11">
        <f t="shared" si="10"/>
        <v>1.6626116339243908</v>
      </c>
      <c r="Q30" s="11">
        <f t="shared" si="10"/>
        <v>8.0792483146766195E-2</v>
      </c>
      <c r="R30" s="11">
        <f t="shared" si="10"/>
        <v>1.7519459195422329</v>
      </c>
      <c r="S30" s="11">
        <f t="shared" si="10"/>
        <v>0.92436447082939832</v>
      </c>
      <c r="T30" s="11">
        <f t="shared" si="11"/>
        <v>1.6870542191221356</v>
      </c>
      <c r="U30" s="11">
        <f t="shared" si="11"/>
        <v>2.393312566670367</v>
      </c>
      <c r="V30" s="11">
        <f t="shared" si="11"/>
        <v>2.1677102495665248</v>
      </c>
    </row>
    <row r="31" spans="1:22" x14ac:dyDescent="0.35">
      <c r="A31" s="141"/>
      <c r="B31" s="11">
        <f t="shared" ref="B31:M31" si="14">IF(B8="","",(B8/$O$23))</f>
        <v>9.1545177905481973E-2</v>
      </c>
      <c r="C31" s="11">
        <f t="shared" si="14"/>
        <v>3.1935168137075323E-2</v>
      </c>
      <c r="D31" s="11">
        <f t="shared" si="14"/>
        <v>0.18857631929184387</v>
      </c>
      <c r="E31" s="11">
        <f t="shared" si="14"/>
        <v>0.79968531151654809</v>
      </c>
      <c r="F31" s="11">
        <f t="shared" si="14"/>
        <v>1.5533901503678216</v>
      </c>
      <c r="G31" s="11">
        <f t="shared" si="14"/>
        <v>2.1140091924707538</v>
      </c>
      <c r="H31" s="11">
        <f t="shared" si="14"/>
        <v>5.7929793530657578</v>
      </c>
      <c r="I31" s="11">
        <f t="shared" si="14"/>
        <v>6.6526914734567344E-2</v>
      </c>
      <c r="J31" s="11">
        <f t="shared" si="14"/>
        <v>3.1044827472477412E-2</v>
      </c>
      <c r="K31" s="11">
        <f t="shared" si="14"/>
        <v>4.3867074227929466E-3</v>
      </c>
      <c r="L31" s="11">
        <f t="shared" si="14"/>
        <v>1.3408530408844523</v>
      </c>
      <c r="M31" s="11">
        <f t="shared" si="14"/>
        <v>1.7407599187822065</v>
      </c>
      <c r="N31" s="6"/>
      <c r="O31" s="11">
        <f t="shared" si="10"/>
        <v>1.5845556845120927</v>
      </c>
      <c r="P31" s="11">
        <f t="shared" si="10"/>
        <v>1.3257347881625314</v>
      </c>
      <c r="Q31" s="11">
        <f t="shared" si="10"/>
        <v>7.8730668757196171E-2</v>
      </c>
      <c r="R31" s="11">
        <f t="shared" si="10"/>
        <v>1.7621801946208091</v>
      </c>
      <c r="S31" s="11">
        <f t="shared" si="10"/>
        <v>3.1800667890906573</v>
      </c>
      <c r="T31" s="11">
        <f t="shared" si="11"/>
        <v>2.1928425134830225</v>
      </c>
      <c r="U31" s="11">
        <f t="shared" si="11"/>
        <v>1.1326510547761008</v>
      </c>
      <c r="V31" s="11">
        <f t="shared" si="11"/>
        <v>1.3921869060278249</v>
      </c>
    </row>
    <row r="32" spans="1:22" x14ac:dyDescent="0.35">
      <c r="A32" s="141"/>
      <c r="B32" s="11">
        <f t="shared" ref="B32:M32" si="15">IF(B9="","",(B9/$O$23))</f>
        <v>4.0745207656581524E-2</v>
      </c>
      <c r="C32" s="11">
        <f t="shared" si="15"/>
        <v>0.30996183715425513</v>
      </c>
      <c r="D32" s="11">
        <f t="shared" si="15"/>
        <v>0.35061470936531924</v>
      </c>
      <c r="E32" s="11">
        <f t="shared" si="15"/>
        <v>0.88304874360442442</v>
      </c>
      <c r="F32" s="11">
        <f t="shared" si="15"/>
        <v>1.5119155442757004</v>
      </c>
      <c r="G32" s="11">
        <f t="shared" si="15"/>
        <v>4.8582072847572588</v>
      </c>
      <c r="H32" s="11">
        <f t="shared" si="15"/>
        <v>2.8472047297671326</v>
      </c>
      <c r="I32" s="11">
        <f t="shared" si="15"/>
        <v>8.1169046695524286E-2</v>
      </c>
      <c r="J32" s="11">
        <f t="shared" si="15"/>
        <v>1.910827881732351E-2</v>
      </c>
      <c r="K32" s="11">
        <f t="shared" si="15"/>
        <v>7.1256656075064595E-2</v>
      </c>
      <c r="L32" s="11">
        <f t="shared" si="15"/>
        <v>0.63959267172514889</v>
      </c>
      <c r="M32" s="11">
        <f t="shared" si="15"/>
        <v>1.557415769456189</v>
      </c>
      <c r="N32" s="6"/>
      <c r="O32" s="11">
        <f t="shared" si="10"/>
        <v>1.6415818493274457</v>
      </c>
      <c r="P32" s="11">
        <f t="shared" si="10"/>
        <v>1.9598440756091891</v>
      </c>
      <c r="Q32" s="11">
        <f t="shared" si="10"/>
        <v>3.3549748832435382E-2</v>
      </c>
      <c r="R32" s="11">
        <f t="shared" si="10"/>
        <v>1.1115475049908372</v>
      </c>
      <c r="S32" s="11">
        <f t="shared" si="10"/>
        <v>1.3897923745301055</v>
      </c>
      <c r="T32" s="11">
        <f t="shared" si="11"/>
        <v>2.3014635587234897</v>
      </c>
      <c r="U32" s="11">
        <f t="shared" si="11"/>
        <v>0.80631850421994589</v>
      </c>
      <c r="V32" s="11">
        <f t="shared" si="11"/>
        <v>3.8556775063342794</v>
      </c>
    </row>
    <row r="33" spans="1:22" x14ac:dyDescent="0.35">
      <c r="A33" s="141"/>
      <c r="B33" s="11">
        <f t="shared" ref="B33:M33" si="16">IF(B10="","",(B10/$O$23))</f>
        <v>3.9834233372873583E-2</v>
      </c>
      <c r="C33" s="11">
        <f t="shared" si="16"/>
        <v>5.8586066420071276E-2</v>
      </c>
      <c r="D33" s="11">
        <f t="shared" si="16"/>
        <v>0.10600573401827061</v>
      </c>
      <c r="E33" s="11">
        <f t="shared" si="16"/>
        <v>0.15075025289885421</v>
      </c>
      <c r="F33" s="11">
        <f t="shared" si="16"/>
        <v>1.70926992097743</v>
      </c>
      <c r="G33" s="11">
        <f t="shared" si="16"/>
        <v>2.3007620156737483</v>
      </c>
      <c r="H33" s="11">
        <f t="shared" si="16"/>
        <v>2.6908039602749958</v>
      </c>
      <c r="I33" s="11">
        <f t="shared" si="16"/>
        <v>4.6682015715015672E-2</v>
      </c>
      <c r="J33" s="11">
        <f t="shared" si="16"/>
        <v>3.6281640002603706E-2</v>
      </c>
      <c r="K33" s="11">
        <f t="shared" si="16"/>
        <v>7.4190756712511241E-2</v>
      </c>
      <c r="L33" s="11">
        <f t="shared" si="16"/>
        <v>1.1934877332005991</v>
      </c>
      <c r="M33" s="11">
        <f t="shared" si="16"/>
        <v>2.7938018284675015</v>
      </c>
      <c r="N33" s="6"/>
      <c r="O33" s="11">
        <f t="shared" si="10"/>
        <v>1.1474505180827719</v>
      </c>
      <c r="P33" s="11">
        <f t="shared" si="10"/>
        <v>3.6551409097253051</v>
      </c>
      <c r="Q33" s="11">
        <f t="shared" si="10"/>
        <v>0.13633044818380788</v>
      </c>
      <c r="R33" s="11">
        <f t="shared" si="10"/>
        <v>2.7359054407661829</v>
      </c>
      <c r="S33" s="11">
        <f t="shared" si="10"/>
        <v>2.143596770593585</v>
      </c>
      <c r="T33" s="11">
        <f t="shared" si="11"/>
        <v>9.21363310929844E-2</v>
      </c>
      <c r="U33" s="11">
        <f t="shared" si="11"/>
        <v>1.9158887926595642</v>
      </c>
      <c r="V33" s="11">
        <f t="shared" si="11"/>
        <v>1.8481950467643244</v>
      </c>
    </row>
    <row r="34" spans="1:22" x14ac:dyDescent="0.35">
      <c r="A34" s="141"/>
      <c r="B34" s="11">
        <f t="shared" ref="B34:M34" si="17">IF(B11="","",(B11/$O$23))</f>
        <v>0.14406857119054789</v>
      </c>
      <c r="C34" s="11">
        <f t="shared" si="17"/>
        <v>7.9754612105531544E-2</v>
      </c>
      <c r="D34" s="11">
        <f t="shared" si="17"/>
        <v>0.19655224475882702</v>
      </c>
      <c r="E34" s="11" t="str">
        <f t="shared" si="17"/>
        <v/>
      </c>
      <c r="F34" s="11">
        <f t="shared" si="17"/>
        <v>1.4454422769508193</v>
      </c>
      <c r="G34" s="11">
        <f t="shared" si="17"/>
        <v>3.7138456194552587</v>
      </c>
      <c r="H34" s="11">
        <f t="shared" si="17"/>
        <v>4.5968458740547744</v>
      </c>
      <c r="I34" s="11">
        <f t="shared" si="17"/>
        <v>1.5723333602322649E-2</v>
      </c>
      <c r="J34" s="11">
        <f t="shared" si="17"/>
        <v>5.3492657542759709E-4</v>
      </c>
      <c r="K34" s="11">
        <f t="shared" si="17"/>
        <v>1.7017061520521699E-2</v>
      </c>
      <c r="L34" s="11">
        <f t="shared" si="17"/>
        <v>0.56297540140529778</v>
      </c>
      <c r="M34" s="11">
        <f t="shared" si="17"/>
        <v>0.57918465673766173</v>
      </c>
      <c r="N34" s="6"/>
      <c r="O34" s="11">
        <f t="shared" si="10"/>
        <v>0.39693151002208732</v>
      </c>
      <c r="P34" s="11">
        <f t="shared" si="10"/>
        <v>2.7041049069938006</v>
      </c>
      <c r="Q34" s="11">
        <f t="shared" si="10"/>
        <v>4.4213719028978013E-2</v>
      </c>
      <c r="R34" s="11">
        <f t="shared" si="10"/>
        <v>0.65700538289210542</v>
      </c>
      <c r="S34" s="11">
        <f t="shared" si="10"/>
        <v>3.416165428235773</v>
      </c>
      <c r="T34" s="11">
        <f t="shared" si="11"/>
        <v>1.3344401120650542</v>
      </c>
      <c r="U34" s="11">
        <f t="shared" si="11"/>
        <v>1.5578681615551766</v>
      </c>
      <c r="V34" s="11">
        <f t="shared" si="11"/>
        <v>3.1582730447461631</v>
      </c>
    </row>
    <row r="35" spans="1:22" x14ac:dyDescent="0.35">
      <c r="A35" s="141"/>
      <c r="B35" s="11">
        <f t="shared" ref="B35:M35" si="18">IF(B12="","",(B12/$O$23))</f>
        <v>3.0860672421920369E-2</v>
      </c>
      <c r="C35" s="11">
        <f t="shared" si="18"/>
        <v>0.18094394358304278</v>
      </c>
      <c r="D35" s="11">
        <f t="shared" si="18"/>
        <v>1.255968395227689</v>
      </c>
      <c r="E35" s="11" t="str">
        <f t="shared" si="18"/>
        <v/>
      </c>
      <c r="F35" s="11">
        <f t="shared" si="18"/>
        <v>3.0022679249004613</v>
      </c>
      <c r="G35" s="11">
        <f t="shared" si="18"/>
        <v>3.8517256524342303</v>
      </c>
      <c r="H35" s="11">
        <f t="shared" si="18"/>
        <v>2.9998274836002223</v>
      </c>
      <c r="I35" s="11">
        <f t="shared" si="18"/>
        <v>3.7448471163276049E-2</v>
      </c>
      <c r="J35" s="11">
        <f t="shared" si="18"/>
        <v>6.8921446232286642E-3</v>
      </c>
      <c r="K35" s="11">
        <f t="shared" si="18"/>
        <v>4.2909158460746201E-2</v>
      </c>
      <c r="L35" s="11">
        <f t="shared" si="18"/>
        <v>0.75494543520026425</v>
      </c>
      <c r="M35" s="11">
        <f t="shared" si="18"/>
        <v>2.1072233109859417</v>
      </c>
      <c r="N35" s="6"/>
      <c r="O35" s="11">
        <f t="shared" si="10"/>
        <v>0.9257221629668384</v>
      </c>
      <c r="P35" s="11">
        <f t="shared" si="10"/>
        <v>2.8569128475584029</v>
      </c>
      <c r="Q35" s="11">
        <f t="shared" si="10"/>
        <v>1.4066969828264776E-3</v>
      </c>
      <c r="R35" s="11">
        <f t="shared" si="10"/>
        <v>1.4056771662019643</v>
      </c>
      <c r="S35" s="11" t="str">
        <f t="shared" si="10"/>
        <v/>
      </c>
      <c r="T35" s="11">
        <f t="shared" si="11"/>
        <v>2.4719684385582892</v>
      </c>
      <c r="U35" s="11">
        <f t="shared" si="11"/>
        <v>8.9899130940979108E-2</v>
      </c>
      <c r="V35" s="11">
        <f t="shared" si="11"/>
        <v>1.4784390447911058</v>
      </c>
    </row>
    <row r="36" spans="1:22" x14ac:dyDescent="0.35">
      <c r="A36" s="141"/>
      <c r="B36" s="11" t="str">
        <f t="shared" ref="B36:M36" si="19">IF(B13="","",(B13/$O$23))</f>
        <v/>
      </c>
      <c r="C36" s="11" t="str">
        <f t="shared" si="19"/>
        <v/>
      </c>
      <c r="D36" s="11" t="str">
        <f t="shared" si="19"/>
        <v/>
      </c>
      <c r="E36" s="11" t="str">
        <f t="shared" si="19"/>
        <v/>
      </c>
      <c r="F36" s="11" t="str">
        <f t="shared" si="19"/>
        <v/>
      </c>
      <c r="G36" s="11" t="str">
        <f t="shared" si="19"/>
        <v/>
      </c>
      <c r="H36" s="11" t="str">
        <f t="shared" si="19"/>
        <v/>
      </c>
      <c r="I36" s="11" t="str">
        <f t="shared" si="19"/>
        <v/>
      </c>
      <c r="J36" s="11" t="str">
        <f t="shared" si="19"/>
        <v/>
      </c>
      <c r="K36" s="11" t="str">
        <f t="shared" si="19"/>
        <v/>
      </c>
      <c r="L36" s="11" t="str">
        <f t="shared" si="19"/>
        <v/>
      </c>
      <c r="M36" s="11" t="str">
        <f t="shared" si="19"/>
        <v/>
      </c>
      <c r="N36" s="6"/>
      <c r="O36" s="11">
        <f t="shared" si="10"/>
        <v>2.037395533034247</v>
      </c>
      <c r="P36" s="11" t="str">
        <f t="shared" si="10"/>
        <v/>
      </c>
      <c r="Q36" s="11" t="str">
        <f t="shared" si="10"/>
        <v/>
      </c>
      <c r="R36" s="11" t="str">
        <f t="shared" si="10"/>
        <v/>
      </c>
      <c r="S36" s="11" t="str">
        <f t="shared" si="10"/>
        <v/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</row>
    <row r="37" spans="1:22" x14ac:dyDescent="0.35">
      <c r="A37" s="141"/>
      <c r="B37" s="11" t="str">
        <f t="shared" ref="B37:M37" si="20">IF(B14="","",(B14/$O$23))</f>
        <v/>
      </c>
      <c r="C37" s="11" t="str">
        <f t="shared" si="20"/>
        <v/>
      </c>
      <c r="D37" s="11" t="str">
        <f t="shared" si="20"/>
        <v/>
      </c>
      <c r="E37" s="11" t="str">
        <f t="shared" si="20"/>
        <v/>
      </c>
      <c r="F37" s="11" t="str">
        <f t="shared" si="20"/>
        <v/>
      </c>
      <c r="G37" s="11" t="str">
        <f t="shared" si="20"/>
        <v/>
      </c>
      <c r="H37" s="11" t="str">
        <f t="shared" si="20"/>
        <v/>
      </c>
      <c r="I37" s="11" t="str">
        <f t="shared" si="20"/>
        <v/>
      </c>
      <c r="J37" s="11" t="str">
        <f t="shared" si="20"/>
        <v/>
      </c>
      <c r="K37" s="11" t="str">
        <f t="shared" si="20"/>
        <v/>
      </c>
      <c r="L37" s="11" t="str">
        <f t="shared" si="20"/>
        <v/>
      </c>
      <c r="M37" s="11" t="str">
        <f t="shared" si="20"/>
        <v/>
      </c>
      <c r="N37" s="6"/>
      <c r="O37" s="11">
        <f t="shared" si="10"/>
        <v>1.6478008221272093E-2</v>
      </c>
      <c r="P37" s="11" t="str">
        <f t="shared" si="10"/>
        <v/>
      </c>
      <c r="Q37" s="11" t="str">
        <f t="shared" si="10"/>
        <v/>
      </c>
      <c r="R37" s="11" t="str">
        <f t="shared" si="10"/>
        <v/>
      </c>
      <c r="S37" s="11" t="str">
        <f t="shared" si="10"/>
        <v/>
      </c>
      <c r="T37" s="11" t="str">
        <f t="shared" si="11"/>
        <v/>
      </c>
      <c r="U37" s="11" t="str">
        <f t="shared" si="11"/>
        <v/>
      </c>
      <c r="V37" s="11" t="str">
        <f t="shared" si="11"/>
        <v/>
      </c>
    </row>
    <row r="38" spans="1:22" x14ac:dyDescent="0.35">
      <c r="A38" s="141"/>
      <c r="B38" s="11" t="str">
        <f t="shared" ref="B38:M38" si="21">IF(B15="","",(B15/$O$23))</f>
        <v/>
      </c>
      <c r="C38" s="11" t="str">
        <f t="shared" si="21"/>
        <v/>
      </c>
      <c r="D38" s="11" t="str">
        <f t="shared" si="21"/>
        <v/>
      </c>
      <c r="E38" s="11" t="str">
        <f t="shared" si="21"/>
        <v/>
      </c>
      <c r="F38" s="11" t="str">
        <f t="shared" si="21"/>
        <v/>
      </c>
      <c r="G38" s="11" t="str">
        <f t="shared" si="21"/>
        <v/>
      </c>
      <c r="H38" s="11" t="str">
        <f t="shared" si="21"/>
        <v/>
      </c>
      <c r="I38" s="11" t="str">
        <f t="shared" si="21"/>
        <v/>
      </c>
      <c r="J38" s="11" t="str">
        <f t="shared" si="21"/>
        <v/>
      </c>
      <c r="K38" s="11" t="str">
        <f t="shared" si="21"/>
        <v/>
      </c>
      <c r="L38" s="11" t="str">
        <f t="shared" si="21"/>
        <v/>
      </c>
      <c r="M38" s="11" t="str">
        <f t="shared" si="21"/>
        <v/>
      </c>
      <c r="N38" s="6"/>
      <c r="O38" s="11">
        <f t="shared" ref="O38:S43" si="22">IF(O15="","",(O15/$O$23))</f>
        <v>0.71974499683902626</v>
      </c>
      <c r="P38" s="11" t="str">
        <f t="shared" si="22"/>
        <v/>
      </c>
      <c r="Q38" s="11" t="str">
        <f t="shared" si="22"/>
        <v/>
      </c>
      <c r="R38" s="11" t="str">
        <f t="shared" si="22"/>
        <v/>
      </c>
      <c r="S38" s="11" t="str">
        <f t="shared" si="22"/>
        <v/>
      </c>
      <c r="T38" s="11" t="str">
        <f t="shared" si="11"/>
        <v/>
      </c>
      <c r="U38" s="11" t="str">
        <f t="shared" si="11"/>
        <v/>
      </c>
      <c r="V38" s="11" t="str">
        <f t="shared" si="11"/>
        <v/>
      </c>
    </row>
    <row r="39" spans="1:22" x14ac:dyDescent="0.35">
      <c r="A39" s="141"/>
      <c r="B39" s="11" t="str">
        <f t="shared" ref="B39:M39" si="23">IF(B16="","",(B16/$O$23))</f>
        <v/>
      </c>
      <c r="C39" s="11" t="str">
        <f t="shared" si="23"/>
        <v/>
      </c>
      <c r="D39" s="11" t="str">
        <f t="shared" si="23"/>
        <v/>
      </c>
      <c r="E39" s="11" t="str">
        <f t="shared" si="23"/>
        <v/>
      </c>
      <c r="F39" s="11" t="str">
        <f t="shared" si="23"/>
        <v/>
      </c>
      <c r="G39" s="11" t="str">
        <f t="shared" si="23"/>
        <v/>
      </c>
      <c r="H39" s="11" t="str">
        <f t="shared" si="23"/>
        <v/>
      </c>
      <c r="I39" s="11" t="str">
        <f t="shared" si="23"/>
        <v/>
      </c>
      <c r="J39" s="11" t="str">
        <f t="shared" si="23"/>
        <v/>
      </c>
      <c r="K39" s="11" t="str">
        <f t="shared" si="23"/>
        <v/>
      </c>
      <c r="L39" s="11" t="str">
        <f t="shared" si="23"/>
        <v/>
      </c>
      <c r="M39" s="11" t="str">
        <f t="shared" si="23"/>
        <v/>
      </c>
      <c r="N39" s="6"/>
      <c r="O39" s="11">
        <f t="shared" si="22"/>
        <v>0.52383291011308808</v>
      </c>
      <c r="P39" s="11" t="str">
        <f t="shared" si="22"/>
        <v/>
      </c>
      <c r="Q39" s="11" t="str">
        <f t="shared" si="22"/>
        <v/>
      </c>
      <c r="R39" s="11" t="str">
        <f t="shared" si="22"/>
        <v/>
      </c>
      <c r="S39" s="11" t="str">
        <f t="shared" si="22"/>
        <v/>
      </c>
      <c r="T39" s="11" t="str">
        <f t="shared" si="11"/>
        <v/>
      </c>
      <c r="U39" s="11" t="str">
        <f t="shared" si="11"/>
        <v/>
      </c>
      <c r="V39" s="11" t="str">
        <f t="shared" si="11"/>
        <v/>
      </c>
    </row>
    <row r="40" spans="1:22" x14ac:dyDescent="0.35">
      <c r="A40" s="141"/>
      <c r="B40" s="11" t="str">
        <f t="shared" ref="B40:M40" si="24">IF(B17="","",(B17/$O$23))</f>
        <v/>
      </c>
      <c r="C40" s="11" t="str">
        <f t="shared" si="24"/>
        <v/>
      </c>
      <c r="D40" s="11" t="str">
        <f t="shared" si="24"/>
        <v/>
      </c>
      <c r="E40" s="11" t="str">
        <f t="shared" si="24"/>
        <v/>
      </c>
      <c r="F40" s="11" t="str">
        <f t="shared" si="24"/>
        <v/>
      </c>
      <c r="G40" s="11" t="str">
        <f t="shared" si="24"/>
        <v/>
      </c>
      <c r="H40" s="11" t="str">
        <f t="shared" si="24"/>
        <v/>
      </c>
      <c r="I40" s="11" t="str">
        <f t="shared" si="24"/>
        <v/>
      </c>
      <c r="J40" s="11" t="str">
        <f t="shared" si="24"/>
        <v/>
      </c>
      <c r="K40" s="11" t="str">
        <f t="shared" si="24"/>
        <v/>
      </c>
      <c r="L40" s="11" t="str">
        <f t="shared" si="24"/>
        <v/>
      </c>
      <c r="M40" s="11" t="str">
        <f t="shared" si="24"/>
        <v/>
      </c>
      <c r="N40" s="6"/>
      <c r="O40" s="11">
        <f t="shared" si="22"/>
        <v>0.43872077880563648</v>
      </c>
      <c r="P40" s="11" t="str">
        <f t="shared" si="22"/>
        <v/>
      </c>
      <c r="Q40" s="11" t="str">
        <f t="shared" si="22"/>
        <v/>
      </c>
      <c r="R40" s="11" t="str">
        <f t="shared" si="22"/>
        <v/>
      </c>
      <c r="S40" s="11" t="str">
        <f t="shared" si="22"/>
        <v/>
      </c>
      <c r="T40" s="11" t="str">
        <f t="shared" si="11"/>
        <v/>
      </c>
      <c r="U40" s="11" t="str">
        <f t="shared" si="11"/>
        <v/>
      </c>
      <c r="V40" s="11" t="str">
        <f t="shared" si="11"/>
        <v/>
      </c>
    </row>
    <row r="41" spans="1:22" x14ac:dyDescent="0.35">
      <c r="A41" s="141"/>
      <c r="B41" s="11" t="str">
        <f t="shared" ref="B41:M41" si="25">IF(B18="","",(B18/$O$23))</f>
        <v/>
      </c>
      <c r="C41" s="11" t="str">
        <f t="shared" si="25"/>
        <v/>
      </c>
      <c r="D41" s="11" t="str">
        <f t="shared" si="25"/>
        <v/>
      </c>
      <c r="E41" s="11" t="str">
        <f t="shared" si="25"/>
        <v/>
      </c>
      <c r="F41" s="11" t="str">
        <f t="shared" si="25"/>
        <v/>
      </c>
      <c r="G41" s="11" t="str">
        <f t="shared" si="25"/>
        <v/>
      </c>
      <c r="H41" s="11" t="str">
        <f t="shared" si="25"/>
        <v/>
      </c>
      <c r="I41" s="11" t="str">
        <f t="shared" si="25"/>
        <v/>
      </c>
      <c r="J41" s="11" t="str">
        <f t="shared" si="25"/>
        <v/>
      </c>
      <c r="K41" s="11" t="str">
        <f t="shared" si="25"/>
        <v/>
      </c>
      <c r="L41" s="11" t="str">
        <f t="shared" si="25"/>
        <v/>
      </c>
      <c r="M41" s="11" t="str">
        <f t="shared" si="25"/>
        <v/>
      </c>
      <c r="N41" s="6"/>
      <c r="O41" s="11">
        <f t="shared" si="22"/>
        <v>0.23496636929645259</v>
      </c>
      <c r="P41" s="11" t="str">
        <f t="shared" si="22"/>
        <v/>
      </c>
      <c r="Q41" s="11" t="str">
        <f t="shared" si="22"/>
        <v/>
      </c>
      <c r="R41" s="11" t="str">
        <f t="shared" si="22"/>
        <v/>
      </c>
      <c r="S41" s="11" t="str">
        <f t="shared" si="22"/>
        <v/>
      </c>
      <c r="T41" s="11" t="str">
        <f t="shared" si="11"/>
        <v/>
      </c>
      <c r="U41" s="11" t="str">
        <f t="shared" si="11"/>
        <v/>
      </c>
      <c r="V41" s="11" t="str">
        <f t="shared" si="11"/>
        <v/>
      </c>
    </row>
    <row r="42" spans="1:22" x14ac:dyDescent="0.35">
      <c r="A42" s="141"/>
      <c r="B42" s="11" t="str">
        <f t="shared" ref="B42:M42" si="26">IF(B19="","",(B19/$O$23))</f>
        <v/>
      </c>
      <c r="C42" s="11" t="str">
        <f t="shared" si="26"/>
        <v/>
      </c>
      <c r="D42" s="11" t="str">
        <f t="shared" si="26"/>
        <v/>
      </c>
      <c r="E42" s="11" t="str">
        <f t="shared" si="26"/>
        <v/>
      </c>
      <c r="F42" s="11" t="str">
        <f t="shared" si="26"/>
        <v/>
      </c>
      <c r="G42" s="11" t="str">
        <f t="shared" si="26"/>
        <v/>
      </c>
      <c r="H42" s="11" t="str">
        <f t="shared" si="26"/>
        <v/>
      </c>
      <c r="I42" s="11" t="str">
        <f t="shared" si="26"/>
        <v/>
      </c>
      <c r="J42" s="11" t="str">
        <f t="shared" si="26"/>
        <v/>
      </c>
      <c r="K42" s="11" t="str">
        <f t="shared" si="26"/>
        <v/>
      </c>
      <c r="L42" s="11" t="str">
        <f t="shared" si="26"/>
        <v/>
      </c>
      <c r="M42" s="11" t="str">
        <f t="shared" si="26"/>
        <v/>
      </c>
      <c r="N42" s="6"/>
      <c r="O42" s="11">
        <f t="shared" si="22"/>
        <v>1.6579871240413548</v>
      </c>
      <c r="P42" s="11" t="str">
        <f t="shared" si="22"/>
        <v/>
      </c>
      <c r="Q42" s="11" t="str">
        <f t="shared" si="22"/>
        <v/>
      </c>
      <c r="R42" s="11" t="str">
        <f t="shared" si="22"/>
        <v/>
      </c>
      <c r="S42" s="11" t="str">
        <f t="shared" si="22"/>
        <v/>
      </c>
      <c r="T42" s="11" t="str">
        <f t="shared" si="11"/>
        <v/>
      </c>
      <c r="U42" s="11" t="str">
        <f t="shared" si="11"/>
        <v/>
      </c>
      <c r="V42" s="11" t="str">
        <f t="shared" si="11"/>
        <v/>
      </c>
    </row>
    <row r="43" spans="1:22" x14ac:dyDescent="0.35">
      <c r="A43" s="141"/>
      <c r="B43" s="11" t="str">
        <f t="shared" ref="B43:M43" si="27">IF(B20="","",(B20/$O$23))</f>
        <v/>
      </c>
      <c r="C43" s="11" t="str">
        <f t="shared" si="27"/>
        <v/>
      </c>
      <c r="D43" s="11" t="str">
        <f t="shared" si="27"/>
        <v/>
      </c>
      <c r="E43" s="11" t="str">
        <f t="shared" si="27"/>
        <v/>
      </c>
      <c r="F43" s="11" t="str">
        <f t="shared" si="27"/>
        <v/>
      </c>
      <c r="G43" s="11" t="str">
        <f t="shared" si="27"/>
        <v/>
      </c>
      <c r="H43" s="11" t="str">
        <f t="shared" si="27"/>
        <v/>
      </c>
      <c r="I43" s="11" t="str">
        <f t="shared" si="27"/>
        <v/>
      </c>
      <c r="J43" s="11" t="str">
        <f t="shared" si="27"/>
        <v/>
      </c>
      <c r="K43" s="11" t="str">
        <f t="shared" si="27"/>
        <v/>
      </c>
      <c r="L43" s="11" t="str">
        <f t="shared" si="27"/>
        <v/>
      </c>
      <c r="M43" s="11" t="str">
        <f t="shared" si="27"/>
        <v/>
      </c>
      <c r="N43" s="6"/>
      <c r="O43" s="11">
        <f t="shared" si="22"/>
        <v>1.9913975217927289</v>
      </c>
      <c r="P43" s="11" t="str">
        <f t="shared" si="22"/>
        <v/>
      </c>
      <c r="Q43" s="11" t="str">
        <f t="shared" si="22"/>
        <v/>
      </c>
      <c r="R43" s="11" t="str">
        <f t="shared" si="22"/>
        <v/>
      </c>
      <c r="S43" s="11" t="str">
        <f t="shared" si="22"/>
        <v/>
      </c>
      <c r="T43" s="11" t="str">
        <f t="shared" si="11"/>
        <v/>
      </c>
      <c r="U43" s="11" t="str">
        <f t="shared" si="11"/>
        <v/>
      </c>
      <c r="V43" s="11" t="str">
        <f t="shared" si="11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8">A4</f>
        <v>Group names</v>
      </c>
      <c r="B45" s="7" t="str">
        <f t="shared" ref="B45:R45" si="29">B4</f>
        <v>Solvent control</v>
      </c>
      <c r="C45" s="7" t="str">
        <f t="shared" si="29"/>
        <v>EE2-33.8ng/L</v>
      </c>
      <c r="D45" s="7" t="str">
        <f t="shared" si="29"/>
        <v>EE2-50.6ng/L</v>
      </c>
      <c r="E45" s="7" t="str">
        <f t="shared" si="29"/>
        <v>EE2-76ng/L</v>
      </c>
      <c r="F45" s="7" t="str">
        <f t="shared" si="29"/>
        <v>EE2-114ng/L</v>
      </c>
      <c r="G45" s="7" t="str">
        <f t="shared" si="29"/>
        <v>EE2-170.9ng/L</v>
      </c>
      <c r="H45" s="7" t="str">
        <f t="shared" si="29"/>
        <v>EE2-488ng/L</v>
      </c>
      <c r="I45" s="7" t="str">
        <f t="shared" si="29"/>
        <v>Triphenylphosphate-0,18mg/L</v>
      </c>
      <c r="J45" s="7" t="str">
        <f t="shared" si="29"/>
        <v>Triphenylphosphate-0,26mg/L</v>
      </c>
      <c r="K45" s="7" t="str">
        <f t="shared" ref="K45:M45" si="30">K4</f>
        <v>Triphenylphosphate-0,4mg/L</v>
      </c>
      <c r="L45" s="7" t="str">
        <f t="shared" si="30"/>
        <v>Triphenylphosphate-0,59mg/L</v>
      </c>
      <c r="M45" s="7" t="str">
        <f t="shared" si="30"/>
        <v>Triphenylphosphate-0,89mg/L</v>
      </c>
      <c r="N45" s="7"/>
      <c r="O45" s="7" t="str">
        <f t="shared" si="29"/>
        <v>Testo -30µg/L</v>
      </c>
      <c r="P45" s="7" t="str">
        <f t="shared" si="29"/>
        <v>Testo 30µg/L + EE2 -64ng/L</v>
      </c>
      <c r="Q45" s="7" t="str">
        <f t="shared" si="29"/>
        <v>Testo 30µg/L + FAD-10mg/L</v>
      </c>
      <c r="R45" s="7" t="str">
        <f t="shared" si="29"/>
        <v>Triphenylphosphate-0,18mg/L + Testostérone</v>
      </c>
      <c r="S45" s="7" t="str">
        <f t="shared" ref="S45:V45" si="31">S4</f>
        <v>Triphenylphosphate-0,26mg/L + Testostérone</v>
      </c>
      <c r="T45" s="7" t="str">
        <f t="shared" si="31"/>
        <v>Triphenylphosphate-0,4mg/L + Testostérone</v>
      </c>
      <c r="U45" s="7" t="str">
        <f t="shared" si="31"/>
        <v>Triphenylphosphate-0,59mg/L + Testostérone</v>
      </c>
      <c r="V45" s="7" t="str">
        <f t="shared" si="31"/>
        <v>Triphenylphosphate-0,89mg/L + Testostérone</v>
      </c>
    </row>
    <row r="46" spans="1:22" x14ac:dyDescent="0.35">
      <c r="A46" s="8" t="s">
        <v>0</v>
      </c>
      <c r="B46" s="10">
        <f t="shared" ref="B46:H46" si="32">AVERAGE(B28:B43)</f>
        <v>5.9317012377044183E-2</v>
      </c>
      <c r="C46" s="10">
        <f t="shared" si="32"/>
        <v>0.1039432103480437</v>
      </c>
      <c r="D46" s="10">
        <f t="shared" si="32"/>
        <v>0.47128095216156668</v>
      </c>
      <c r="E46" s="10">
        <f t="shared" si="32"/>
        <v>0.76765153187480939</v>
      </c>
      <c r="F46" s="10">
        <f t="shared" si="32"/>
        <v>2.0023482992949009</v>
      </c>
      <c r="G46" s="10">
        <f t="shared" si="32"/>
        <v>3.3085862518002429</v>
      </c>
      <c r="H46" s="10">
        <f t="shared" si="32"/>
        <v>3.4259548553823485</v>
      </c>
      <c r="I46" s="10">
        <f>AVERAGE(I28:I43)</f>
        <v>7.1286187942415827E-2</v>
      </c>
      <c r="J46" s="9">
        <f>AVERAGE(J28:J43)</f>
        <v>5.0752835325245965E-2</v>
      </c>
      <c r="K46" s="9">
        <f t="shared" ref="K46:M46" si="33">AVERAGE(K28:K43)</f>
        <v>6.3688760425982358E-2</v>
      </c>
      <c r="L46" s="9">
        <f t="shared" si="33"/>
        <v>0.70029162074208751</v>
      </c>
      <c r="M46" s="9">
        <f t="shared" si="33"/>
        <v>1.5789969230437904</v>
      </c>
      <c r="N46" s="8" t="s">
        <v>0</v>
      </c>
      <c r="O46" s="10">
        <f t="shared" ref="O46:R46" si="34">AVERAGE(O28:O43)</f>
        <v>1</v>
      </c>
      <c r="P46" s="10">
        <f t="shared" si="34"/>
        <v>2.2045905869236178</v>
      </c>
      <c r="Q46" s="10">
        <f t="shared" si="34"/>
        <v>6.5241311303892865E-2</v>
      </c>
      <c r="R46" s="10">
        <f t="shared" si="34"/>
        <v>1.6582801214327174</v>
      </c>
      <c r="S46" s="10">
        <f t="shared" ref="S46:V46" si="35">AVERAGE(S28:S43)</f>
        <v>1.7998524668599321</v>
      </c>
      <c r="T46" s="10">
        <f t="shared" si="35"/>
        <v>1.5937751079307538</v>
      </c>
      <c r="U46" s="10">
        <f t="shared" si="35"/>
        <v>1.6122971985251735</v>
      </c>
      <c r="V46" s="10">
        <f t="shared" si="35"/>
        <v>2.1140607120384693</v>
      </c>
    </row>
    <row r="47" spans="1:22" x14ac:dyDescent="0.35">
      <c r="A47" s="8" t="s">
        <v>1</v>
      </c>
      <c r="B47" s="8">
        <f t="shared" ref="B47:J47" si="36">STDEV(B28:B43)</f>
        <v>3.9670073542555299E-2</v>
      </c>
      <c r="C47" s="8">
        <f t="shared" si="36"/>
        <v>0.10063131905271086</v>
      </c>
      <c r="D47" s="8">
        <f t="shared" si="36"/>
        <v>0.37674838569231811</v>
      </c>
      <c r="E47" s="8">
        <f t="shared" si="36"/>
        <v>0.47944079446792287</v>
      </c>
      <c r="F47" s="8">
        <f t="shared" si="36"/>
        <v>0.92337077375862908</v>
      </c>
      <c r="G47" s="8">
        <f t="shared" si="36"/>
        <v>0.90324318991797325</v>
      </c>
      <c r="H47" s="8">
        <f t="shared" si="36"/>
        <v>1.2398441770393795</v>
      </c>
      <c r="I47" s="8">
        <f t="shared" si="36"/>
        <v>9.7005440063343856E-2</v>
      </c>
      <c r="J47" s="8">
        <f t="shared" si="36"/>
        <v>8.5503270799189651E-2</v>
      </c>
      <c r="K47" s="8">
        <f t="shared" ref="K47:M47" si="37">STDEV(K28:K43)</f>
        <v>5.6248496353962826E-2</v>
      </c>
      <c r="L47" s="8">
        <f t="shared" si="37"/>
        <v>0.43202539142653973</v>
      </c>
      <c r="M47" s="8">
        <f t="shared" si="37"/>
        <v>0.78325852111930538</v>
      </c>
      <c r="N47" s="8" t="s">
        <v>1</v>
      </c>
      <c r="O47" s="8">
        <f t="shared" ref="O47:R47" si="38">STDEV(O28:O43)</f>
        <v>0.63659179941693533</v>
      </c>
      <c r="P47" s="8">
        <f t="shared" si="38"/>
        <v>0.81994699010098726</v>
      </c>
      <c r="Q47" s="8">
        <f t="shared" si="38"/>
        <v>5.4495136485839327E-2</v>
      </c>
      <c r="R47" s="8">
        <f t="shared" si="38"/>
        <v>0.61993477386393647</v>
      </c>
      <c r="S47" s="8">
        <f t="shared" ref="S47:V47" si="39">STDEV(S28:S43)</f>
        <v>1.1369994001762405</v>
      </c>
      <c r="T47" s="8">
        <f t="shared" si="39"/>
        <v>0.76663826154954484</v>
      </c>
      <c r="U47" s="8">
        <f t="shared" si="39"/>
        <v>1.0612833714794014</v>
      </c>
      <c r="V47" s="8">
        <f t="shared" si="39"/>
        <v>0.94058003016166436</v>
      </c>
    </row>
    <row r="48" spans="1:22" x14ac:dyDescent="0.35">
      <c r="A48" s="8" t="s">
        <v>2</v>
      </c>
      <c r="B48" s="8">
        <f t="shared" ref="B48:J48" si="40" xml:space="preserve"> B47/SQRT(COUNT(B28:B43))</f>
        <v>1.4025489006054949E-2</v>
      </c>
      <c r="C48" s="8">
        <f t="shared" si="40"/>
        <v>3.5578544050959435E-2</v>
      </c>
      <c r="D48" s="8">
        <f t="shared" si="40"/>
        <v>0.1332006691620615</v>
      </c>
      <c r="E48" s="8">
        <f t="shared" si="40"/>
        <v>0.19573088472016584</v>
      </c>
      <c r="F48" s="8">
        <f t="shared" si="40"/>
        <v>0.32646086783709799</v>
      </c>
      <c r="G48" s="8">
        <f t="shared" si="40"/>
        <v>0.31934469232578372</v>
      </c>
      <c r="H48" s="8">
        <f t="shared" si="40"/>
        <v>0.4383511125995998</v>
      </c>
      <c r="I48" s="8">
        <f t="shared" si="40"/>
        <v>3.4296602240387816E-2</v>
      </c>
      <c r="J48" s="8">
        <f t="shared" si="40"/>
        <v>3.0229971297868356E-2</v>
      </c>
      <c r="K48" s="8">
        <f t="shared" ref="K48:M48" si="41" xml:space="preserve"> K47/SQRT(COUNT(K28:K43))</f>
        <v>1.9886846601716954E-2</v>
      </c>
      <c r="L48" s="8">
        <f t="shared" si="41"/>
        <v>0.15274404196123936</v>
      </c>
      <c r="M48" s="8">
        <f t="shared" si="41"/>
        <v>0.27692370585280374</v>
      </c>
      <c r="N48" s="8" t="s">
        <v>2</v>
      </c>
      <c r="O48" s="8">
        <f t="shared" ref="O48:R48" si="42" xml:space="preserve"> O47/SQRT(COUNT(O28:O43))</f>
        <v>0.15914794985423383</v>
      </c>
      <c r="P48" s="8">
        <f t="shared" si="42"/>
        <v>0.28989503845695352</v>
      </c>
      <c r="Q48" s="8">
        <f t="shared" si="42"/>
        <v>1.9266940275411714E-2</v>
      </c>
      <c r="R48" s="8">
        <f t="shared" si="42"/>
        <v>0.21918004124626916</v>
      </c>
      <c r="S48" s="8">
        <f t="shared" ref="S48:V48" si="43" xml:space="preserve"> S47/SQRT(COUNT(S28:S43))</f>
        <v>0.42974537909942018</v>
      </c>
      <c r="T48" s="8">
        <f t="shared" si="43"/>
        <v>0.27104755672937458</v>
      </c>
      <c r="U48" s="8">
        <f t="shared" si="43"/>
        <v>0.37522033436680324</v>
      </c>
      <c r="V48" s="8">
        <f t="shared" si="43"/>
        <v>0.33254525878798014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customFormat="1" ht="15" thickBot="1" x14ac:dyDescent="0.4"/>
    <row r="52" spans="1:22" x14ac:dyDescent="0.35">
      <c r="A52" s="29" t="str">
        <f t="shared" ref="A52" si="44">A27</f>
        <v>Group names</v>
      </c>
      <c r="B52" s="30" t="str">
        <f t="shared" ref="B52:H52" si="45">B27</f>
        <v>Solvent control</v>
      </c>
      <c r="C52" s="30" t="str">
        <f t="shared" si="45"/>
        <v>EE2-33.8ng/L</v>
      </c>
      <c r="D52" s="30" t="str">
        <f t="shared" si="45"/>
        <v>EE2-50.6ng/L</v>
      </c>
      <c r="E52" s="30" t="str">
        <f t="shared" si="45"/>
        <v>EE2-76ng/L</v>
      </c>
      <c r="F52" s="30" t="str">
        <f t="shared" si="45"/>
        <v>EE2-114ng/L</v>
      </c>
      <c r="G52" s="30" t="str">
        <f t="shared" si="45"/>
        <v>EE2-170.9ng/L</v>
      </c>
      <c r="H52" s="30" t="str">
        <f t="shared" si="45"/>
        <v>EE2-488ng/L</v>
      </c>
      <c r="I52" s="30" t="str">
        <f>I4</f>
        <v>Triphenylphosphate-0,18mg/L</v>
      </c>
      <c r="J52" s="30" t="str">
        <f>J4</f>
        <v>Triphenylphosphate-0,26mg/L</v>
      </c>
      <c r="K52" s="30" t="str">
        <f t="shared" ref="K52:M52" si="46">K4</f>
        <v>Triphenylphosphate-0,4mg/L</v>
      </c>
      <c r="L52" s="30" t="str">
        <f t="shared" si="46"/>
        <v>Triphenylphosphate-0,59mg/L</v>
      </c>
      <c r="M52" s="30" t="str">
        <f t="shared" si="46"/>
        <v>Triphenylphosphate-0,89mg/L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Triphenylphosphate-0,18mg/L + Testostérone</v>
      </c>
      <c r="S52" s="30" t="str">
        <f t="shared" ref="S52:V52" si="47">S27</f>
        <v>Triphenylphosphate-0,26mg/L + Testostérone</v>
      </c>
      <c r="T52" s="30" t="str">
        <f t="shared" si="47"/>
        <v>Triphenylphosphate-0,4mg/L + Testostérone</v>
      </c>
      <c r="U52" s="30" t="str">
        <f t="shared" si="47"/>
        <v>Triphenylphosphate-0,59mg/L + Testostérone</v>
      </c>
      <c r="V52" s="30" t="str">
        <f t="shared" si="47"/>
        <v>Triphenylphosphate-0,89mg/L + Testostérone</v>
      </c>
    </row>
    <row r="53" spans="1:22" s="3" customFormat="1" x14ac:dyDescent="0.35">
      <c r="A53" s="45" t="s">
        <v>10</v>
      </c>
      <c r="B53" s="78">
        <f t="shared" ref="B53" si="48">B46</f>
        <v>5.9317012377044183E-2</v>
      </c>
      <c r="C53" s="78">
        <f t="shared" ref="C53:V53" si="49">C46</f>
        <v>0.1039432103480437</v>
      </c>
      <c r="D53" s="78">
        <f t="shared" si="49"/>
        <v>0.47128095216156668</v>
      </c>
      <c r="E53" s="78">
        <f t="shared" si="49"/>
        <v>0.76765153187480939</v>
      </c>
      <c r="F53" s="78">
        <f t="shared" si="49"/>
        <v>2.0023482992949009</v>
      </c>
      <c r="G53" s="78">
        <f t="shared" si="49"/>
        <v>3.3085862518002429</v>
      </c>
      <c r="H53" s="78">
        <f t="shared" si="49"/>
        <v>3.4259548553823485</v>
      </c>
      <c r="I53" s="78">
        <f t="shared" si="49"/>
        <v>7.1286187942415827E-2</v>
      </c>
      <c r="J53" s="78">
        <f t="shared" si="49"/>
        <v>5.0752835325245965E-2</v>
      </c>
      <c r="K53" s="78">
        <f t="shared" si="49"/>
        <v>6.3688760425982358E-2</v>
      </c>
      <c r="L53" s="78">
        <f t="shared" si="49"/>
        <v>0.70029162074208751</v>
      </c>
      <c r="M53" s="78">
        <f t="shared" si="49"/>
        <v>1.5789969230437904</v>
      </c>
      <c r="N53" s="78"/>
      <c r="O53" s="78">
        <f t="shared" si="49"/>
        <v>1</v>
      </c>
      <c r="P53" s="78">
        <f t="shared" si="49"/>
        <v>2.2045905869236178</v>
      </c>
      <c r="Q53" s="78">
        <f t="shared" si="49"/>
        <v>6.5241311303892865E-2</v>
      </c>
      <c r="R53" s="78">
        <f t="shared" si="49"/>
        <v>1.6582801214327174</v>
      </c>
      <c r="S53" s="78">
        <f t="shared" si="49"/>
        <v>1.7998524668599321</v>
      </c>
      <c r="T53" s="78">
        <f t="shared" si="49"/>
        <v>1.5937751079307538</v>
      </c>
      <c r="U53" s="78">
        <f t="shared" si="49"/>
        <v>1.6122971985251735</v>
      </c>
      <c r="V53" s="78">
        <f t="shared" si="49"/>
        <v>2.1140607120384693</v>
      </c>
    </row>
    <row r="54" spans="1:22" s="3" customFormat="1" x14ac:dyDescent="0.35">
      <c r="A54" s="45" t="s">
        <v>2</v>
      </c>
      <c r="B54" s="78">
        <f t="shared" ref="B54" si="50">B48</f>
        <v>1.4025489006054949E-2</v>
      </c>
      <c r="C54" s="78">
        <f t="shared" ref="C54:V54" si="51">C48</f>
        <v>3.5578544050959435E-2</v>
      </c>
      <c r="D54" s="78">
        <f t="shared" si="51"/>
        <v>0.1332006691620615</v>
      </c>
      <c r="E54" s="78">
        <f t="shared" si="51"/>
        <v>0.19573088472016584</v>
      </c>
      <c r="F54" s="78">
        <f t="shared" si="51"/>
        <v>0.32646086783709799</v>
      </c>
      <c r="G54" s="78">
        <f t="shared" si="51"/>
        <v>0.31934469232578372</v>
      </c>
      <c r="H54" s="78">
        <f t="shared" si="51"/>
        <v>0.4383511125995998</v>
      </c>
      <c r="I54" s="78">
        <f t="shared" si="51"/>
        <v>3.4296602240387816E-2</v>
      </c>
      <c r="J54" s="78">
        <f t="shared" si="51"/>
        <v>3.0229971297868356E-2</v>
      </c>
      <c r="K54" s="78">
        <f t="shared" si="51"/>
        <v>1.9886846601716954E-2</v>
      </c>
      <c r="L54" s="78">
        <f t="shared" si="51"/>
        <v>0.15274404196123936</v>
      </c>
      <c r="M54" s="78">
        <f t="shared" si="51"/>
        <v>0.27692370585280374</v>
      </c>
      <c r="N54" s="78"/>
      <c r="O54" s="78">
        <f t="shared" si="51"/>
        <v>0.15914794985423383</v>
      </c>
      <c r="P54" s="78">
        <f t="shared" si="51"/>
        <v>0.28989503845695352</v>
      </c>
      <c r="Q54" s="78">
        <f t="shared" si="51"/>
        <v>1.9266940275411714E-2</v>
      </c>
      <c r="R54" s="78">
        <f t="shared" si="51"/>
        <v>0.21918004124626916</v>
      </c>
      <c r="S54" s="78">
        <f t="shared" si="51"/>
        <v>0.42974537909942018</v>
      </c>
      <c r="T54" s="78">
        <f t="shared" si="51"/>
        <v>0.27104755672937458</v>
      </c>
      <c r="U54" s="78">
        <f t="shared" si="51"/>
        <v>0.37522033436680324</v>
      </c>
      <c r="V54" s="78">
        <f t="shared" si="51"/>
        <v>0.33254525878798014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52">(C53*100/$B53)-100</f>
        <v>75.233387830351973</v>
      </c>
      <c r="D55" s="78">
        <f t="shared" si="52"/>
        <v>694.51228791818494</v>
      </c>
      <c r="E55" s="78">
        <f t="shared" si="52"/>
        <v>1194.1507016491144</v>
      </c>
      <c r="F55" s="78">
        <f t="shared" si="52"/>
        <v>3275.672878747032</v>
      </c>
      <c r="G55" s="78">
        <f t="shared" si="52"/>
        <v>5477.8032628640503</v>
      </c>
      <c r="H55" s="78">
        <f t="shared" si="52"/>
        <v>5675.669943734727</v>
      </c>
      <c r="I55" s="78">
        <f t="shared" si="52"/>
        <v>20.178318303171565</v>
      </c>
      <c r="J55" s="78">
        <f t="shared" si="52"/>
        <v>-14.437977754780803</v>
      </c>
      <c r="K55" s="78">
        <f t="shared" si="52"/>
        <v>7.3701420111139129</v>
      </c>
      <c r="L55" s="78">
        <f t="shared" si="52"/>
        <v>1080.5915245540957</v>
      </c>
      <c r="M55" s="78">
        <f t="shared" si="52"/>
        <v>2561.9630014522877</v>
      </c>
      <c r="N55" s="78"/>
      <c r="O55" s="78">
        <f t="shared" ref="O55:V55" si="53">(O53*100/$O53)-100</f>
        <v>0</v>
      </c>
      <c r="P55" s="78">
        <f t="shared" si="53"/>
        <v>120.45905869236176</v>
      </c>
      <c r="Q55" s="78">
        <f t="shared" si="53"/>
        <v>-93.475868869610707</v>
      </c>
      <c r="R55" s="78">
        <f t="shared" si="53"/>
        <v>65.828012143271735</v>
      </c>
      <c r="S55" s="78">
        <f t="shared" si="53"/>
        <v>79.985246685993218</v>
      </c>
      <c r="T55" s="78">
        <f t="shared" si="53"/>
        <v>59.377510793075373</v>
      </c>
      <c r="U55" s="78">
        <f t="shared" si="53"/>
        <v>61.229719852517348</v>
      </c>
      <c r="V55" s="78">
        <f t="shared" si="53"/>
        <v>111.40607120384692</v>
      </c>
    </row>
    <row r="56" spans="1:22" s="3" customFormat="1" x14ac:dyDescent="0.35">
      <c r="A56" s="45" t="s">
        <v>38</v>
      </c>
      <c r="B56" s="78" t="e">
        <f ca="1">[1]!SWTEST(B28:B43)</f>
        <v>#NAME?</v>
      </c>
      <c r="C56" s="78" t="e">
        <f ca="1">[1]!SWTEST(C28:C43)</f>
        <v>#NAME?</v>
      </c>
      <c r="D56" s="78" t="e">
        <f ca="1">[1]!SWTEST(D28:D43)</f>
        <v>#NAME?</v>
      </c>
      <c r="E56" s="78" t="e">
        <f ca="1">[1]!SWTEST(E28:E43)</f>
        <v>#NAME?</v>
      </c>
      <c r="F56" s="78" t="e">
        <f ca="1">[1]!SWTEST(F28:F43)</f>
        <v>#NAME?</v>
      </c>
      <c r="G56" s="78" t="e">
        <f ca="1">[1]!SWTEST(G28:G43)</f>
        <v>#NAME?</v>
      </c>
      <c r="H56" s="78" t="e">
        <f ca="1">[1]!SWTEST(H28:H43)</f>
        <v>#NAME?</v>
      </c>
      <c r="I56" s="78" t="e">
        <f ca="1">[1]!SWTEST(I28:I43)</f>
        <v>#NAME?</v>
      </c>
      <c r="J56" s="78" t="e">
        <f ca="1">[1]!SWTEST(J28:J43)</f>
        <v>#NAME?</v>
      </c>
      <c r="K56" s="78" t="e">
        <f ca="1">[1]!SWTEST(K28:K43)</f>
        <v>#NAME?</v>
      </c>
      <c r="L56" s="78" t="e">
        <f ca="1">[1]!SWTEST(L28:L43)</f>
        <v>#NAME?</v>
      </c>
      <c r="M56" s="78" t="e">
        <f ca="1">[1]!SWTEST(M28:M43)</f>
        <v>#NAME?</v>
      </c>
      <c r="N56" s="78"/>
      <c r="O56" s="78" t="e">
        <f ca="1">[1]!SWTEST(O28:O43)</f>
        <v>#NAME?</v>
      </c>
      <c r="P56" s="78" t="e">
        <f ca="1">[1]!SWTEST(P28:P43)</f>
        <v>#NAME?</v>
      </c>
      <c r="Q56" s="78" t="e">
        <f ca="1">[1]!SWTEST(Q28:Q43)</f>
        <v>#NAME?</v>
      </c>
      <c r="R56" s="78" t="e">
        <f ca="1">[1]!SWTEST(R28:R43)</f>
        <v>#NAME?</v>
      </c>
      <c r="S56" s="78" t="e">
        <f ca="1">[1]!SWTEST(S28:S43)</f>
        <v>#NAME?</v>
      </c>
      <c r="T56" s="78" t="e">
        <f ca="1">[1]!SWTEST(T28:T43)</f>
        <v>#NAME?</v>
      </c>
      <c r="U56" s="78" t="e">
        <f ca="1">[1]!SWTEST(U28:U43)</f>
        <v>#NAME?</v>
      </c>
      <c r="V56" s="78" t="e">
        <f ca="1">[1]!SWTEST(V28:V43)</f>
        <v>#NAME?</v>
      </c>
    </row>
    <row r="57" spans="1:22" s="3" customFormat="1" x14ac:dyDescent="0.35">
      <c r="A57" s="45" t="s">
        <v>39</v>
      </c>
      <c r="B57" s="78" t="e">
        <f ca="1">IF(B56&gt;0.05,"Oui","Non")</f>
        <v>#NAME?</v>
      </c>
      <c r="C57" s="78" t="e">
        <f t="shared" ref="C57:V57" ca="1" si="54">IF(C56&gt;0.05,"Oui","Non")</f>
        <v>#NAME?</v>
      </c>
      <c r="D57" s="78" t="e">
        <f t="shared" ca="1" si="54"/>
        <v>#NAME?</v>
      </c>
      <c r="E57" s="78" t="e">
        <f t="shared" ca="1" si="54"/>
        <v>#NAME?</v>
      </c>
      <c r="F57" s="78" t="e">
        <f t="shared" ca="1" si="54"/>
        <v>#NAME?</v>
      </c>
      <c r="G57" s="78" t="e">
        <f t="shared" ca="1" si="54"/>
        <v>#NAME?</v>
      </c>
      <c r="H57" s="78" t="e">
        <f t="shared" ca="1" si="54"/>
        <v>#NAME?</v>
      </c>
      <c r="I57" s="78" t="e">
        <f t="shared" ca="1" si="54"/>
        <v>#NAME?</v>
      </c>
      <c r="J57" s="78" t="e">
        <f t="shared" ca="1" si="54"/>
        <v>#NAME?</v>
      </c>
      <c r="K57" s="78" t="e">
        <f t="shared" ca="1" si="54"/>
        <v>#NAME?</v>
      </c>
      <c r="L57" s="78" t="e">
        <f t="shared" ca="1" si="54"/>
        <v>#NAME?</v>
      </c>
      <c r="M57" s="78" t="e">
        <f t="shared" ca="1" si="54"/>
        <v>#NAME?</v>
      </c>
      <c r="N57" s="78"/>
      <c r="O57" s="78" t="e">
        <f t="shared" ca="1" si="54"/>
        <v>#NAME?</v>
      </c>
      <c r="P57" s="78" t="e">
        <f t="shared" ca="1" si="54"/>
        <v>#NAME?</v>
      </c>
      <c r="Q57" s="78" t="e">
        <f t="shared" ca="1" si="54"/>
        <v>#NAME?</v>
      </c>
      <c r="R57" s="78" t="e">
        <f t="shared" ca="1" si="54"/>
        <v>#NAME?</v>
      </c>
      <c r="S57" s="78" t="e">
        <f t="shared" ca="1" si="54"/>
        <v>#NAME?</v>
      </c>
      <c r="T57" s="78" t="e">
        <f t="shared" ca="1" si="54"/>
        <v>#NAME?</v>
      </c>
      <c r="U57" s="78" t="e">
        <f t="shared" ca="1" si="54"/>
        <v>#NAME?</v>
      </c>
      <c r="V57" s="78" t="e">
        <f t="shared" ca="1" si="54"/>
        <v>#NAME?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e">
        <f t="shared" ref="C59:O59" ca="1" si="55">IF($B57="Non",IF(C57="Non","MW",IF(C57="Oui","MW","")),IF($B57="Oui",IF(C57="Oui","T-Test Welch",IF(C57="Non","MW",""))))</f>
        <v>#NAME?</v>
      </c>
      <c r="D59" s="82" t="e">
        <f t="shared" ca="1" si="55"/>
        <v>#NAME?</v>
      </c>
      <c r="E59" s="82" t="e">
        <f t="shared" ca="1" si="55"/>
        <v>#NAME?</v>
      </c>
      <c r="F59" s="82" t="e">
        <f t="shared" ca="1" si="55"/>
        <v>#NAME?</v>
      </c>
      <c r="G59" s="82" t="e">
        <f t="shared" ca="1" si="55"/>
        <v>#NAME?</v>
      </c>
      <c r="H59" s="82" t="e">
        <f t="shared" ca="1" si="55"/>
        <v>#NAME?</v>
      </c>
      <c r="I59" s="82" t="e">
        <f t="shared" ca="1" si="55"/>
        <v>#NAME?</v>
      </c>
      <c r="J59" s="82" t="e">
        <f t="shared" ca="1" si="55"/>
        <v>#NAME?</v>
      </c>
      <c r="K59" s="82" t="e">
        <f t="shared" ca="1" si="55"/>
        <v>#NAME?</v>
      </c>
      <c r="L59" s="82" t="e">
        <f t="shared" ca="1" si="55"/>
        <v>#NAME?</v>
      </c>
      <c r="M59" s="82" t="e">
        <f t="shared" ca="1" si="55"/>
        <v>#NAME?</v>
      </c>
      <c r="N59" s="82"/>
      <c r="O59" s="82" t="e">
        <f t="shared" ca="1" si="55"/>
        <v>#NAME?</v>
      </c>
      <c r="P59" s="82" t="e">
        <f t="shared" ref="P59:V59" ca="1" si="56">IF($O57="Non",IF(P57="Non","MW",IF(P57="Oui","MW","")),IF($O57="Oui",IF(P57="Oui","T-Test Welch",IF(P57="Non","MW",""))))</f>
        <v>#NAME?</v>
      </c>
      <c r="Q59" s="82" t="e">
        <f t="shared" ca="1" si="56"/>
        <v>#NAME?</v>
      </c>
      <c r="R59" s="82" t="e">
        <f t="shared" ca="1" si="56"/>
        <v>#NAME?</v>
      </c>
      <c r="S59" s="82" t="e">
        <f t="shared" ca="1" si="56"/>
        <v>#NAME?</v>
      </c>
      <c r="T59" s="82" t="e">
        <f t="shared" ca="1" si="56"/>
        <v>#NAME?</v>
      </c>
      <c r="U59" s="82" t="e">
        <f t="shared" ca="1" si="56"/>
        <v>#NAME?</v>
      </c>
      <c r="V59" s="82" t="e">
        <f t="shared" ca="1" si="56"/>
        <v>#NAME?</v>
      </c>
    </row>
    <row r="60" spans="1:22" s="3" customFormat="1" x14ac:dyDescent="0.35">
      <c r="A60" s="45" t="s">
        <v>41</v>
      </c>
      <c r="B60" s="83"/>
      <c r="C60" s="83" t="e">
        <f ca="1">IF(C59="MW",[1]!MTEST($B28:$B43,C28:C43,2), IF(C59="T-Test Welch",_xlfn.T.TEST($B28:$B43,C28:C43,2,3),""))</f>
        <v>#NAME?</v>
      </c>
      <c r="D60" s="83" t="e">
        <f ca="1">IF(D59="MW",[1]!MTEST($B28:$B43,D28:D43,2), IF(D59="T-Test Welch",_xlfn.T.TEST($B28:$B43,D28:D43,2,3),""))</f>
        <v>#NAME?</v>
      </c>
      <c r="E60" s="83" t="e">
        <f ca="1">IF(E59="MW",[1]!MTEST($B28:$B43,E28:E43,2), IF(E59="T-Test Welch",_xlfn.T.TEST($B28:$B43,E28:E43,2,3),""))</f>
        <v>#NAME?</v>
      </c>
      <c r="F60" s="83" t="e">
        <f ca="1">IF(F59="MW",[1]!MTEST($B28:$B43,F28:F43,2), IF(F59="T-Test Welch",_xlfn.T.TEST($B28:$B43,F28:F43,2,3),""))</f>
        <v>#NAME?</v>
      </c>
      <c r="G60" s="83" t="e">
        <f ca="1">IF(G59="MW",[1]!MTEST($B28:$B43,G28:G43,2), IF(G59="T-Test Welch",_xlfn.T.TEST($B28:$B43,G28:G43,2,3),""))</f>
        <v>#NAME?</v>
      </c>
      <c r="H60" s="83" t="e">
        <f ca="1">IF(H59="MW",[1]!MTEST($B28:$B43,H28:H43,2), IF(H59="T-Test Welch",_xlfn.T.TEST($B28:$B43,H28:H43,2,3),""))</f>
        <v>#NAME?</v>
      </c>
      <c r="I60" s="83" t="e">
        <f ca="1">IF(I59="MW",[1]!MTEST($B28:$B43,I28:I43,2), IF(I59="T-Test Welch",_xlfn.T.TEST($B28:$B43,I28:I43,2,3),""))</f>
        <v>#NAME?</v>
      </c>
      <c r="J60" s="83" t="e">
        <f ca="1">IF(J59="MW",[1]!MTEST($B28:$B43,J28:J43,2), IF(J59="T-Test Welch",_xlfn.T.TEST($B28:$B43,J28:J43,2,3),""))</f>
        <v>#NAME?</v>
      </c>
      <c r="K60" s="83" t="e">
        <f ca="1">IF(K59="MW",[1]!MTEST($B28:$B43,K28:K43,2), IF(K59="T-Test Welch",_xlfn.T.TEST($B28:$B43,K28:K43,2,3),""))</f>
        <v>#NAME?</v>
      </c>
      <c r="L60" s="83" t="e">
        <f ca="1">IF(L59="MW",[1]!MTEST($B28:$B43,L28:L43,2), IF(L59="T-Test Welch",_xlfn.T.TEST($B28:$B43,L28:L43,2,3),""))</f>
        <v>#NAME?</v>
      </c>
      <c r="M60" s="83" t="e">
        <f ca="1">IF(M59="MW",[1]!MTEST($B28:$B43,M28:M43,2), IF(M59="T-Test Welch",_xlfn.T.TEST($B28:$B43,M28:M43,2,3),""))</f>
        <v>#NAME?</v>
      </c>
      <c r="N60" s="83"/>
      <c r="O60" s="83" t="e">
        <f ca="1">IF(O59="MW",[1]!MTEST($B28:$B43,O28:O43,2), IF(O59="T-Test Welch",_xlfn.T.TEST($B28:$B43,O28:O43,2,3),""))</f>
        <v>#NAME?</v>
      </c>
      <c r="P60" s="83" t="e">
        <f ca="1">IF(P59="MW",[1]!MTEST($O28:$O43,P28:P43,2), IF(P59="T-Test Welch",_xlfn.T.TEST($O28:$O43,P28:P43,2,3),""))</f>
        <v>#NAME?</v>
      </c>
      <c r="Q60" s="83" t="e">
        <f ca="1">IF(Q59="MW",[1]!MTEST($O28:$O43,Q28:Q43,2), IF(Q59="T-Test Welch",_xlfn.T.TEST($O28:$O43,Q28:Q43,2,3),""))</f>
        <v>#NAME?</v>
      </c>
      <c r="R60" s="83" t="e">
        <f ca="1">IF(R59="MW",[1]!MTEST($O28:$O43,R28:R43,2), IF(R59="T-Test Welch",_xlfn.T.TEST($O28:$O43,R28:R43,2,3),""))</f>
        <v>#NAME?</v>
      </c>
      <c r="S60" s="83" t="e">
        <f ca="1">IF(S59="MW",[1]!MTEST($O28:$O43,S28:S43,2), IF(S59="T-Test Welch",_xlfn.T.TEST($O28:$O43,S28:S43,2,3),""))</f>
        <v>#NAME?</v>
      </c>
      <c r="T60" s="83" t="e">
        <f ca="1">IF(T59="MW",[1]!MTEST($O28:$O43,T28:T43,2), IF(T59="T-Test Welch",_xlfn.T.TEST($O28:$O43,T28:T43,2,3),""))</f>
        <v>#NAME?</v>
      </c>
      <c r="U60" s="83" t="e">
        <f ca="1">IF(U59="MW",[1]!MTEST($O28:$O43,U28:U43,2), IF(U59="T-Test Welch",_xlfn.T.TEST($O28:$O43,U28:U43,2,3),""))</f>
        <v>#NAME?</v>
      </c>
      <c r="V60" s="83" t="e">
        <f ca="1">IF(V59="MW",[1]!MTEST($O28:$O43,V28:V43,2), IF(V59="T-Test Welch",_xlfn.T.TEST($O28:$O43,V28:V43,2,3),""))</f>
        <v>#NAME?</v>
      </c>
    </row>
    <row r="61" spans="1:22" s="3" customFormat="1" ht="15" thickBot="1" x14ac:dyDescent="0.4">
      <c r="A61" s="46" t="s">
        <v>15</v>
      </c>
      <c r="B61" s="79"/>
      <c r="C61" s="79" t="e">
        <f t="shared" ref="C61:O61" ca="1" si="57">IF(C60&gt;0.05,"NS",IF(C60&gt;0.01,"*",IF(C60&gt;0.001,"**","***")))</f>
        <v>#NAME?</v>
      </c>
      <c r="D61" s="79" t="e">
        <f t="shared" ca="1" si="57"/>
        <v>#NAME?</v>
      </c>
      <c r="E61" s="79" t="e">
        <f t="shared" ca="1" si="57"/>
        <v>#NAME?</v>
      </c>
      <c r="F61" s="79" t="e">
        <f t="shared" ca="1" si="57"/>
        <v>#NAME?</v>
      </c>
      <c r="G61" s="79" t="e">
        <f t="shared" ca="1" si="57"/>
        <v>#NAME?</v>
      </c>
      <c r="H61" s="79" t="e">
        <f t="shared" ca="1" si="57"/>
        <v>#NAME?</v>
      </c>
      <c r="I61" s="79" t="e">
        <f t="shared" ca="1" si="57"/>
        <v>#NAME?</v>
      </c>
      <c r="J61" s="79" t="e">
        <f t="shared" ca="1" si="57"/>
        <v>#NAME?</v>
      </c>
      <c r="K61" s="79" t="e">
        <f t="shared" ca="1" si="57"/>
        <v>#NAME?</v>
      </c>
      <c r="L61" s="79" t="e">
        <f t="shared" ca="1" si="57"/>
        <v>#NAME?</v>
      </c>
      <c r="M61" s="79" t="e">
        <f t="shared" ca="1" si="57"/>
        <v>#NAME?</v>
      </c>
      <c r="N61" s="79"/>
      <c r="O61" s="79" t="e">
        <f t="shared" ca="1" si="57"/>
        <v>#NAME?</v>
      </c>
      <c r="P61" s="79" t="e">
        <f ca="1">IF(P60&gt;0.05,"NS",IF(P60&gt;0.01,"*",IF(P60&gt;0.001,"**","***")))</f>
        <v>#NAME?</v>
      </c>
      <c r="Q61" s="79" t="e">
        <f t="shared" ref="Q61:V61" ca="1" si="58">IF(Q60&gt;0.05,"NS",IF(Q60&gt;0.01,"*",IF(Q60&gt;0.001,"**","***")))</f>
        <v>#NAME?</v>
      </c>
      <c r="R61" s="79" t="e">
        <f t="shared" ca="1" si="58"/>
        <v>#NAME?</v>
      </c>
      <c r="S61" s="79" t="e">
        <f t="shared" ca="1" si="58"/>
        <v>#NAME?</v>
      </c>
      <c r="T61" s="79" t="e">
        <f t="shared" ca="1" si="58"/>
        <v>#NAME?</v>
      </c>
      <c r="U61" s="79" t="e">
        <f t="shared" ca="1" si="58"/>
        <v>#NAME?</v>
      </c>
      <c r="V61" s="79" t="e">
        <f t="shared" ca="1" si="58"/>
        <v>#NAME?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opLeftCell="P1" zoomScale="70" zoomScaleNormal="70" zoomScaleSheetLayoutView="40" zoomScalePageLayoutView="30" workbookViewId="0">
      <selection activeCell="V5" sqref="V5:V12"/>
    </sheetView>
  </sheetViews>
  <sheetFormatPr baseColWidth="10" defaultColWidth="9.1796875" defaultRowHeight="14.5" x14ac:dyDescent="0.35"/>
  <cols>
    <col min="1" max="1" width="33.54296875" style="1" customWidth="1"/>
    <col min="2" max="2" width="14.81640625" style="1" customWidth="1"/>
    <col min="3" max="5" width="25.81640625" style="1" bestFit="1" customWidth="1"/>
    <col min="6" max="8" width="26.453125" style="1" bestFit="1" customWidth="1"/>
    <col min="9" max="9" width="26.453125" style="1" customWidth="1"/>
    <col min="10" max="10" width="25.81640625" style="1" bestFit="1" customWidth="1"/>
    <col min="11" max="11" width="26.453125" style="1" bestFit="1" customWidth="1"/>
    <col min="12" max="13" width="26.453125" style="1" customWidth="1"/>
    <col min="14" max="14" width="11.7265625" style="1" customWidth="1"/>
    <col min="15" max="15" width="14.81640625" style="1" customWidth="1"/>
    <col min="16" max="16" width="17.7265625" style="1" customWidth="1"/>
    <col min="17" max="18" width="25.81640625" style="1" bestFit="1" customWidth="1"/>
    <col min="19" max="22" width="25.81640625" style="1" customWidth="1"/>
    <col min="23" max="16384" width="9.1796875" style="1"/>
  </cols>
  <sheetData>
    <row r="1" spans="1:22" ht="26.5" thickBot="1" x14ac:dyDescent="0.65">
      <c r="A1" s="134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</row>
    <row r="2" spans="1:22" ht="15" thickBot="1" x14ac:dyDescent="0.4"/>
    <row r="3" spans="1:22" ht="15" thickBot="1" x14ac:dyDescent="0.4">
      <c r="A3" s="84" t="s">
        <v>9</v>
      </c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 t="s">
        <v>37</v>
      </c>
      <c r="B4" s="20" t="str">
        <f>'Front page'!A7</f>
        <v>Solvent control</v>
      </c>
      <c r="C4" s="20" t="str">
        <f>'Front page'!A8</f>
        <v>EE2-33.8ng/L</v>
      </c>
      <c r="D4" s="20" t="str">
        <f>'Front page'!A9</f>
        <v>EE2-50.6ng/L</v>
      </c>
      <c r="E4" s="20" t="str">
        <f>'Front page'!A10</f>
        <v>EE2-76ng/L</v>
      </c>
      <c r="F4" s="20" t="str">
        <f>'Front page'!A11</f>
        <v>EE2-114ng/L</v>
      </c>
      <c r="G4" s="20" t="str">
        <f>'Front page'!A12</f>
        <v>EE2-170.9ng/L</v>
      </c>
      <c r="H4" s="20" t="str">
        <f>'Front page'!A13</f>
        <v>EE2-488ng/L</v>
      </c>
      <c r="I4" s="20" t="str">
        <f>'Front page'!A14</f>
        <v>Triphenylphosphate-0,18mg/L</v>
      </c>
      <c r="J4" s="20" t="str">
        <f>'Front page'!A15</f>
        <v>Triphenylphosphate-0,26mg/L</v>
      </c>
      <c r="K4" s="20" t="str">
        <f>'Front page'!A16</f>
        <v>Triphenylphosphate-0,4mg/L</v>
      </c>
      <c r="L4" s="20" t="str">
        <f>'Front page'!A17</f>
        <v>Triphenylphosphate-0,59mg/L</v>
      </c>
      <c r="M4" s="20" t="str">
        <f>'Front page'!A18</f>
        <v>Triphenylphosphate-0,89mg/L</v>
      </c>
      <c r="N4" s="3"/>
      <c r="O4" s="21" t="str">
        <f>'Front page'!A35</f>
        <v>Testo -30µg/L</v>
      </c>
      <c r="P4" s="21" t="str">
        <f>'Front page'!A36</f>
        <v>Testo 30µg/L + EE2 -64ng/L</v>
      </c>
      <c r="Q4" s="21" t="str">
        <f>'Front page'!A37</f>
        <v>Testo 30µg/L + FAD-10mg/L</v>
      </c>
      <c r="R4" s="21" t="str">
        <f>'Front page'!A38</f>
        <v>Triphenylphosphate-0,18mg/L + Testostérone</v>
      </c>
      <c r="S4" s="21" t="str">
        <f>'Front page'!A39</f>
        <v>Triphenylphosphate-0,26mg/L + Testostérone</v>
      </c>
      <c r="T4" s="21" t="str">
        <f>'Front page'!A40</f>
        <v>Triphenylphosphate-0,4mg/L + Testostérone</v>
      </c>
      <c r="U4" s="21" t="str">
        <f>'Front page'!A41</f>
        <v>Triphenylphosphate-0,59mg/L + Testostérone</v>
      </c>
      <c r="V4" s="21" t="str">
        <f>'Front page'!A42</f>
        <v>Triphenylphosphate-0,89mg/L + Testostérone</v>
      </c>
    </row>
    <row r="5" spans="1:22" x14ac:dyDescent="0.35">
      <c r="A5" s="138" t="s">
        <v>35</v>
      </c>
      <c r="B5" s="17">
        <v>159197</v>
      </c>
      <c r="C5" s="17">
        <v>330407</v>
      </c>
      <c r="D5" s="17">
        <v>30591</v>
      </c>
      <c r="E5" s="17">
        <v>5026449</v>
      </c>
      <c r="F5" s="17">
        <v>1429667</v>
      </c>
      <c r="G5" s="17">
        <v>4778068</v>
      </c>
      <c r="H5" s="17">
        <v>11986912</v>
      </c>
      <c r="I5" s="17">
        <v>68755</v>
      </c>
      <c r="J5" s="17">
        <v>118778</v>
      </c>
      <c r="K5" s="13">
        <v>96305</v>
      </c>
      <c r="L5" s="13">
        <v>379203</v>
      </c>
      <c r="M5" s="13">
        <v>1859234</v>
      </c>
      <c r="N5" s="3"/>
      <c r="O5" s="17">
        <v>628867</v>
      </c>
      <c r="P5" s="13">
        <v>6730304</v>
      </c>
      <c r="Q5" s="13">
        <v>129996</v>
      </c>
      <c r="R5" s="17">
        <v>3181264</v>
      </c>
      <c r="S5" s="17">
        <v>4969609</v>
      </c>
      <c r="T5" s="17">
        <v>5960798</v>
      </c>
      <c r="U5" s="17">
        <v>4662611</v>
      </c>
      <c r="V5" s="17">
        <v>6784284</v>
      </c>
    </row>
    <row r="6" spans="1:22" ht="16.5" x14ac:dyDescent="0.35">
      <c r="A6" s="139"/>
      <c r="B6" s="14">
        <v>23067</v>
      </c>
      <c r="C6" s="13">
        <v>297362</v>
      </c>
      <c r="D6" s="17">
        <v>150937</v>
      </c>
      <c r="E6" s="17">
        <v>1694046</v>
      </c>
      <c r="F6" s="17">
        <v>1579054</v>
      </c>
      <c r="G6" s="17">
        <v>3779096</v>
      </c>
      <c r="H6" s="17">
        <v>7787730</v>
      </c>
      <c r="I6" s="17">
        <v>370992</v>
      </c>
      <c r="J6" s="17">
        <v>116151</v>
      </c>
      <c r="K6" s="13">
        <v>33195</v>
      </c>
      <c r="L6" s="13">
        <v>3614878</v>
      </c>
      <c r="M6" s="13">
        <v>545419</v>
      </c>
      <c r="N6" s="3"/>
      <c r="O6" s="17">
        <v>2057505</v>
      </c>
      <c r="P6" s="13">
        <v>5612384</v>
      </c>
      <c r="Q6" s="13">
        <v>581381</v>
      </c>
      <c r="R6" s="17">
        <v>3315293</v>
      </c>
      <c r="S6" s="17">
        <v>2343454</v>
      </c>
      <c r="T6" s="17">
        <v>4418706</v>
      </c>
      <c r="U6" s="17">
        <v>2225826</v>
      </c>
      <c r="V6" s="17">
        <v>9827505</v>
      </c>
    </row>
    <row r="7" spans="1:22" ht="16.5" x14ac:dyDescent="0.35">
      <c r="A7" s="139"/>
      <c r="B7" s="14">
        <v>357115</v>
      </c>
      <c r="C7" s="13">
        <v>294415</v>
      </c>
      <c r="D7" s="17">
        <v>1110199</v>
      </c>
      <c r="E7" s="17">
        <v>2004658</v>
      </c>
      <c r="F7" s="17">
        <v>2820781</v>
      </c>
      <c r="G7" s="17">
        <v>4295094</v>
      </c>
      <c r="H7" s="17">
        <v>5537015</v>
      </c>
      <c r="I7" s="17">
        <v>66928</v>
      </c>
      <c r="J7" s="17">
        <v>57487</v>
      </c>
      <c r="K7" s="13">
        <v>434130</v>
      </c>
      <c r="L7" s="13">
        <v>1287977</v>
      </c>
      <c r="M7" s="13">
        <v>2705403</v>
      </c>
      <c r="N7" s="3"/>
      <c r="O7" s="17">
        <v>2485054</v>
      </c>
      <c r="P7" s="13">
        <v>4320246</v>
      </c>
      <c r="Q7" s="13">
        <v>11005</v>
      </c>
      <c r="R7" s="17">
        <v>4896081</v>
      </c>
      <c r="S7" s="17">
        <v>4790027</v>
      </c>
      <c r="T7" s="17">
        <v>4280488</v>
      </c>
      <c r="U7" s="17">
        <v>3368288</v>
      </c>
      <c r="V7" s="17">
        <v>1924933</v>
      </c>
    </row>
    <row r="8" spans="1:22" ht="16.5" x14ac:dyDescent="0.35">
      <c r="A8" s="139"/>
      <c r="B8" s="14">
        <v>69485</v>
      </c>
      <c r="C8" s="13">
        <v>966266</v>
      </c>
      <c r="D8" s="17">
        <v>3275987</v>
      </c>
      <c r="E8" s="17">
        <v>679730</v>
      </c>
      <c r="F8" s="17">
        <v>2635148</v>
      </c>
      <c r="G8" s="17">
        <v>4278487</v>
      </c>
      <c r="H8" s="17">
        <v>4010801</v>
      </c>
      <c r="I8" s="17">
        <v>56883</v>
      </c>
      <c r="J8" s="17">
        <v>112759</v>
      </c>
      <c r="K8" s="13">
        <v>400966</v>
      </c>
      <c r="L8" s="13">
        <v>116835</v>
      </c>
      <c r="M8" s="13">
        <v>4530269</v>
      </c>
      <c r="N8" s="3"/>
      <c r="O8" s="17">
        <v>3732371</v>
      </c>
      <c r="P8" s="13">
        <v>6404430</v>
      </c>
      <c r="Q8" s="13">
        <v>207576</v>
      </c>
      <c r="R8" s="17">
        <v>1960717</v>
      </c>
      <c r="S8" s="17">
        <v>4025704</v>
      </c>
      <c r="T8" s="17">
        <v>3917719</v>
      </c>
      <c r="U8" s="17">
        <v>1472894</v>
      </c>
      <c r="V8" s="17">
        <v>2095212</v>
      </c>
    </row>
    <row r="9" spans="1:22" ht="16.5" x14ac:dyDescent="0.35">
      <c r="A9" s="139"/>
      <c r="B9" s="14">
        <v>148609</v>
      </c>
      <c r="C9" s="13">
        <v>34311</v>
      </c>
      <c r="D9" s="17">
        <v>1745227</v>
      </c>
      <c r="E9" s="17">
        <v>1335164</v>
      </c>
      <c r="F9" s="17">
        <v>2112306</v>
      </c>
      <c r="G9" s="17">
        <v>5528484</v>
      </c>
      <c r="H9" s="17">
        <v>11546746</v>
      </c>
      <c r="I9" s="17">
        <v>43933</v>
      </c>
      <c r="J9" s="17">
        <v>46561</v>
      </c>
      <c r="K9" s="13">
        <v>62822</v>
      </c>
      <c r="L9" s="13">
        <v>849453</v>
      </c>
      <c r="M9" s="13">
        <v>110430</v>
      </c>
      <c r="N9" s="3"/>
      <c r="O9" s="17">
        <v>4450404</v>
      </c>
      <c r="P9" s="13">
        <v>4284066</v>
      </c>
      <c r="Q9" s="13">
        <v>62522</v>
      </c>
      <c r="R9" s="17">
        <v>7401408</v>
      </c>
      <c r="S9" s="17">
        <v>6534962</v>
      </c>
      <c r="T9" s="17">
        <v>1296731</v>
      </c>
      <c r="U9" s="17">
        <v>3989011</v>
      </c>
      <c r="V9" s="17">
        <v>6406205</v>
      </c>
    </row>
    <row r="10" spans="1:22" ht="16.5" x14ac:dyDescent="0.35">
      <c r="A10" s="139"/>
      <c r="B10" s="14">
        <v>169197</v>
      </c>
      <c r="C10" s="13">
        <v>1754</v>
      </c>
      <c r="D10" s="17">
        <v>763787</v>
      </c>
      <c r="E10" s="17">
        <v>2242455</v>
      </c>
      <c r="F10" s="17">
        <v>2469260</v>
      </c>
      <c r="G10" s="17">
        <v>4714803</v>
      </c>
      <c r="H10" s="17">
        <v>3141286</v>
      </c>
      <c r="I10" s="17">
        <v>58370</v>
      </c>
      <c r="J10" s="17">
        <v>117865</v>
      </c>
      <c r="K10" s="13">
        <v>41436</v>
      </c>
      <c r="L10" s="13">
        <v>151618</v>
      </c>
      <c r="M10" s="13">
        <v>5843645</v>
      </c>
      <c r="N10" s="3"/>
      <c r="O10" s="17">
        <v>2235515</v>
      </c>
      <c r="P10" s="13">
        <v>5041752</v>
      </c>
      <c r="Q10" s="13">
        <v>63381</v>
      </c>
      <c r="R10" s="17">
        <v>3874730</v>
      </c>
      <c r="S10" s="17">
        <v>2746094</v>
      </c>
      <c r="T10" s="17">
        <v>4073001</v>
      </c>
      <c r="U10" s="17">
        <v>4040666</v>
      </c>
      <c r="V10" s="17">
        <v>11796262</v>
      </c>
    </row>
    <row r="11" spans="1:22" ht="16.5" x14ac:dyDescent="0.35">
      <c r="A11" s="139"/>
      <c r="B11" s="14">
        <v>13510</v>
      </c>
      <c r="C11" s="13">
        <v>4107</v>
      </c>
      <c r="D11" s="17">
        <v>577632</v>
      </c>
      <c r="E11" s="17">
        <v>2490661</v>
      </c>
      <c r="F11" s="17">
        <v>2258594</v>
      </c>
      <c r="G11" s="17">
        <v>4022842</v>
      </c>
      <c r="H11" s="17">
        <v>9950428</v>
      </c>
      <c r="I11" s="17">
        <v>98336</v>
      </c>
      <c r="J11" s="17">
        <v>59776</v>
      </c>
      <c r="K11" s="13">
        <v>61993</v>
      </c>
      <c r="L11" s="13">
        <v>1014722</v>
      </c>
      <c r="M11" s="13">
        <v>3359907</v>
      </c>
      <c r="N11" s="3"/>
      <c r="O11" s="17">
        <v>552012</v>
      </c>
      <c r="P11" s="13">
        <v>7309429</v>
      </c>
      <c r="Q11" s="13">
        <v>191355</v>
      </c>
      <c r="R11" s="17">
        <v>4070217</v>
      </c>
      <c r="S11" s="17">
        <v>43632</v>
      </c>
      <c r="T11" s="17">
        <v>8254299</v>
      </c>
      <c r="U11" s="17">
        <v>2256825</v>
      </c>
      <c r="V11" s="17">
        <v>6882276</v>
      </c>
    </row>
    <row r="12" spans="1:22" ht="16.5" x14ac:dyDescent="0.35">
      <c r="A12" s="139"/>
      <c r="B12" s="14">
        <v>310146</v>
      </c>
      <c r="C12" s="13">
        <v>2822</v>
      </c>
      <c r="D12" s="17">
        <v>564791</v>
      </c>
      <c r="E12" s="17">
        <v>3202401</v>
      </c>
      <c r="F12" s="17">
        <v>1279076</v>
      </c>
      <c r="G12" s="17">
        <v>4806024</v>
      </c>
      <c r="H12" s="17">
        <v>8849302</v>
      </c>
      <c r="I12" s="17"/>
      <c r="J12" s="17">
        <v>64948</v>
      </c>
      <c r="K12" s="13">
        <v>187591</v>
      </c>
      <c r="L12" s="13">
        <v>2060990</v>
      </c>
      <c r="M12" s="13">
        <v>2465031</v>
      </c>
      <c r="N12" s="3"/>
      <c r="O12" s="17">
        <v>1004991</v>
      </c>
      <c r="P12" s="13">
        <v>4177929</v>
      </c>
      <c r="Q12" s="13">
        <v>133982</v>
      </c>
      <c r="R12" s="17">
        <v>1942167</v>
      </c>
      <c r="S12" s="17">
        <v>2478688</v>
      </c>
      <c r="T12" s="17">
        <v>1048865</v>
      </c>
      <c r="U12" s="17">
        <v>3931665</v>
      </c>
      <c r="V12" s="17">
        <v>6783396</v>
      </c>
    </row>
    <row r="13" spans="1:22" ht="16.5" x14ac:dyDescent="0.35">
      <c r="A13" s="139"/>
      <c r="B13" s="14"/>
      <c r="C13" s="13"/>
      <c r="D13" s="17"/>
      <c r="E13" s="17"/>
      <c r="F13" s="17"/>
      <c r="G13" s="17"/>
      <c r="H13" s="17"/>
      <c r="I13" s="17"/>
      <c r="J13" s="17"/>
      <c r="K13" s="13"/>
      <c r="L13" s="13"/>
      <c r="M13" s="13"/>
      <c r="N13" s="3"/>
      <c r="O13" s="17">
        <v>4336717</v>
      </c>
      <c r="P13" s="13"/>
      <c r="Q13" s="13"/>
      <c r="R13" s="17"/>
      <c r="S13" s="17"/>
      <c r="T13" s="17"/>
      <c r="U13" s="17"/>
      <c r="V13" s="17"/>
    </row>
    <row r="14" spans="1:22" ht="16.5" x14ac:dyDescent="0.35">
      <c r="A14" s="139"/>
      <c r="B14" s="14"/>
      <c r="C14" s="17"/>
      <c r="D14" s="17"/>
      <c r="E14" s="17"/>
      <c r="F14" s="17"/>
      <c r="G14" s="17"/>
      <c r="H14" s="17"/>
      <c r="I14" s="17"/>
      <c r="J14" s="17"/>
      <c r="K14" s="13"/>
      <c r="L14" s="13"/>
      <c r="M14" s="13"/>
      <c r="N14" s="3"/>
      <c r="O14" s="17">
        <v>2153364</v>
      </c>
      <c r="P14" s="13"/>
      <c r="Q14" s="13"/>
      <c r="R14" s="17"/>
      <c r="S14" s="17"/>
      <c r="T14" s="17"/>
      <c r="U14" s="17"/>
      <c r="V14" s="17"/>
    </row>
    <row r="15" spans="1:22" ht="16.5" x14ac:dyDescent="0.35">
      <c r="A15" s="139"/>
      <c r="B15" s="14"/>
      <c r="C15" s="17"/>
      <c r="D15" s="17"/>
      <c r="E15" s="17"/>
      <c r="F15" s="17"/>
      <c r="G15" s="17"/>
      <c r="H15" s="17"/>
      <c r="I15" s="17"/>
      <c r="J15" s="17"/>
      <c r="K15" s="13"/>
      <c r="L15" s="13"/>
      <c r="M15" s="13"/>
      <c r="N15" s="3"/>
      <c r="O15" s="17">
        <v>2163430</v>
      </c>
      <c r="P15" s="13"/>
      <c r="Q15" s="13"/>
      <c r="R15" s="17"/>
      <c r="S15" s="17"/>
      <c r="T15" s="17"/>
      <c r="U15" s="17"/>
      <c r="V15" s="17"/>
    </row>
    <row r="16" spans="1:22" ht="16.5" x14ac:dyDescent="0.35">
      <c r="A16" s="139"/>
      <c r="B16" s="14"/>
      <c r="C16" s="17"/>
      <c r="D16" s="17"/>
      <c r="E16" s="17"/>
      <c r="F16" s="17"/>
      <c r="G16" s="17"/>
      <c r="H16" s="17"/>
      <c r="I16" s="17"/>
      <c r="J16" s="17"/>
      <c r="K16" s="13"/>
      <c r="L16" s="13"/>
      <c r="M16" s="13"/>
      <c r="N16" s="3"/>
      <c r="O16" s="17">
        <v>984169</v>
      </c>
      <c r="P16" s="13"/>
      <c r="Q16" s="13"/>
      <c r="R16" s="17"/>
      <c r="S16" s="17"/>
      <c r="T16" s="17"/>
      <c r="U16" s="17"/>
      <c r="V16" s="17"/>
    </row>
    <row r="17" spans="1:22" ht="16.5" x14ac:dyDescent="0.35">
      <c r="A17" s="139"/>
      <c r="B17" s="14"/>
      <c r="C17" s="17"/>
      <c r="D17" s="17"/>
      <c r="E17" s="17"/>
      <c r="F17" s="17"/>
      <c r="G17" s="17"/>
      <c r="H17" s="17"/>
      <c r="I17" s="17"/>
      <c r="J17" s="17"/>
      <c r="K17" s="13"/>
      <c r="L17" s="13"/>
      <c r="M17" s="13"/>
      <c r="N17" s="3"/>
      <c r="O17" s="17">
        <v>2788001</v>
      </c>
      <c r="P17" s="13"/>
      <c r="Q17" s="13"/>
      <c r="R17" s="17"/>
      <c r="S17" s="17"/>
      <c r="T17" s="17"/>
      <c r="U17" s="17"/>
      <c r="V17" s="17"/>
    </row>
    <row r="18" spans="1:22" ht="16.5" x14ac:dyDescent="0.35">
      <c r="A18" s="139"/>
      <c r="B18" s="14"/>
      <c r="C18" s="17"/>
      <c r="D18" s="17"/>
      <c r="E18" s="17"/>
      <c r="F18" s="17"/>
      <c r="G18" s="17"/>
      <c r="H18" s="17"/>
      <c r="I18" s="17"/>
      <c r="J18" s="17"/>
      <c r="K18" s="13"/>
      <c r="L18" s="13"/>
      <c r="M18" s="13"/>
      <c r="N18" s="3"/>
      <c r="O18" s="17">
        <v>1032195</v>
      </c>
      <c r="P18" s="13"/>
      <c r="Q18" s="13"/>
      <c r="R18" s="17"/>
      <c r="S18" s="17"/>
      <c r="T18" s="17"/>
      <c r="U18" s="17"/>
      <c r="V18" s="17"/>
    </row>
    <row r="19" spans="1:22" ht="16.5" x14ac:dyDescent="0.35">
      <c r="A19" s="139"/>
      <c r="B19" s="14"/>
      <c r="C19" s="17"/>
      <c r="D19" s="17"/>
      <c r="E19" s="17"/>
      <c r="F19" s="17"/>
      <c r="G19" s="17"/>
      <c r="H19" s="17"/>
      <c r="I19" s="17"/>
      <c r="J19" s="17"/>
      <c r="K19" s="13"/>
      <c r="L19" s="13"/>
      <c r="M19" s="13"/>
      <c r="N19" s="3"/>
      <c r="O19" s="17">
        <v>498666</v>
      </c>
      <c r="P19" s="13"/>
      <c r="Q19" s="13"/>
      <c r="R19" s="17"/>
      <c r="S19" s="17"/>
      <c r="T19" s="17"/>
      <c r="U19" s="17"/>
      <c r="V19" s="17"/>
    </row>
    <row r="20" spans="1:22" ht="16.5" x14ac:dyDescent="0.35">
      <c r="A20" s="139"/>
      <c r="B20" s="14"/>
      <c r="C20" s="17"/>
      <c r="D20" s="17"/>
      <c r="E20" s="17"/>
      <c r="F20" s="17"/>
      <c r="G20" s="17"/>
      <c r="H20" s="17"/>
      <c r="I20" s="17"/>
      <c r="J20" s="17"/>
      <c r="K20" s="13"/>
      <c r="L20" s="13"/>
      <c r="M20" s="13"/>
      <c r="N20" s="3"/>
      <c r="O20" s="17">
        <v>5205171</v>
      </c>
      <c r="P20" s="13"/>
      <c r="Q20" s="13"/>
      <c r="R20" s="17"/>
      <c r="S20" s="17"/>
      <c r="T20" s="17"/>
      <c r="U20" s="17"/>
      <c r="V20" s="17"/>
    </row>
    <row r="21" spans="1:22" x14ac:dyDescent="0.35">
      <c r="A21" s="49"/>
      <c r="B21" s="7"/>
      <c r="C21" s="7"/>
      <c r="D21" s="7"/>
      <c r="E21" s="7"/>
      <c r="F21" s="7"/>
      <c r="G21" s="7"/>
      <c r="H21" s="7"/>
      <c r="I21" s="7"/>
      <c r="J21" s="7"/>
      <c r="N21" s="3"/>
      <c r="O21" s="7"/>
      <c r="R21" s="7"/>
      <c r="S21" s="7"/>
      <c r="T21" s="7"/>
      <c r="U21" s="7"/>
      <c r="V21" s="7"/>
    </row>
    <row r="22" spans="1:22" x14ac:dyDescent="0.35">
      <c r="A22" s="51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Triphenylphosphate-0,18mg/L</v>
      </c>
      <c r="J22" s="3" t="str">
        <f t="shared" si="1"/>
        <v>Triphenylphosphate-0,26mg/L</v>
      </c>
      <c r="K22" s="3" t="str">
        <f t="shared" si="1"/>
        <v>Triphenylphosphate-0,4mg/L</v>
      </c>
      <c r="L22" s="3" t="str">
        <f t="shared" si="1"/>
        <v>Triphenylphosphate-0,59mg/L</v>
      </c>
      <c r="M22" s="3" t="str">
        <f t="shared" si="1"/>
        <v>Triphenylphosphate-0,89mg/L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Triphenylphosphate-0,18mg/L + Testostérone</v>
      </c>
      <c r="S22" s="3" t="str">
        <f t="shared" si="1"/>
        <v>Triphenylphosphate-0,26mg/L + Testostérone</v>
      </c>
      <c r="T22" s="3" t="str">
        <f t="shared" si="1"/>
        <v>Triphenylphosphate-0,4mg/L + Testostérone</v>
      </c>
      <c r="U22" s="3" t="str">
        <f t="shared" si="1"/>
        <v>Triphenylphosphate-0,59mg/L + Testostérone</v>
      </c>
      <c r="V22" s="3" t="str">
        <f t="shared" si="1"/>
        <v>Triphenylphosphate-0,89mg/L + Testostérone</v>
      </c>
    </row>
    <row r="23" spans="1:22" x14ac:dyDescent="0.35">
      <c r="A23" s="5" t="s">
        <v>0</v>
      </c>
      <c r="B23" s="5">
        <f t="shared" ref="B23:J23" si="2">AVERAGE(B5:B20)</f>
        <v>156290.75</v>
      </c>
      <c r="C23" s="5">
        <f t="shared" si="2"/>
        <v>241430.5</v>
      </c>
      <c r="D23" s="5">
        <f t="shared" si="2"/>
        <v>1027393.875</v>
      </c>
      <c r="E23" s="5">
        <f t="shared" si="2"/>
        <v>2334445.5</v>
      </c>
      <c r="F23" s="5">
        <f t="shared" si="2"/>
        <v>2072985.75</v>
      </c>
      <c r="G23" s="5">
        <f t="shared" si="2"/>
        <v>4525362.25</v>
      </c>
      <c r="H23" s="5">
        <f t="shared" si="2"/>
        <v>7851277.5</v>
      </c>
      <c r="I23" s="5">
        <f t="shared" si="2"/>
        <v>109171</v>
      </c>
      <c r="J23" s="5">
        <f t="shared" si="2"/>
        <v>86790.625</v>
      </c>
      <c r="K23" s="5"/>
      <c r="L23" s="5">
        <f>AVERAGE(L5:L20)</f>
        <v>1184459.5</v>
      </c>
      <c r="M23" s="5"/>
      <c r="N23" s="5" t="s">
        <v>0</v>
      </c>
      <c r="O23" s="5">
        <f>AVERAGE(O5:O20)</f>
        <v>2269277</v>
      </c>
      <c r="P23" s="5">
        <f>AVERAGE(P5:P20)</f>
        <v>5485067.5</v>
      </c>
      <c r="Q23" s="5">
        <f>AVERAGE(Q5:Q20)</f>
        <v>172649.75</v>
      </c>
      <c r="R23" s="5">
        <f>AVERAGE(R5:R20)</f>
        <v>3830234.625</v>
      </c>
      <c r="S23" s="5">
        <f>AVERAGE(S5:S20)</f>
        <v>3491521.25</v>
      </c>
      <c r="T23" s="5">
        <f t="shared" ref="T23:V23" si="3">AVERAGE(T5:T20)</f>
        <v>4156325.875</v>
      </c>
      <c r="U23" s="5">
        <f t="shared" si="3"/>
        <v>3243473.25</v>
      </c>
      <c r="V23" s="5">
        <f t="shared" si="3"/>
        <v>6562509.125</v>
      </c>
    </row>
    <row r="24" spans="1:22" x14ac:dyDescent="0.35">
      <c r="A24" s="3" t="s">
        <v>1</v>
      </c>
      <c r="B24" s="3">
        <f t="shared" ref="B24:J24" si="4">STDEV(B5:B20)</f>
        <v>125303.05695136549</v>
      </c>
      <c r="C24" s="3">
        <f t="shared" si="4"/>
        <v>327945.72316641494</v>
      </c>
      <c r="D24" s="3">
        <f t="shared" si="4"/>
        <v>1057347.1182920067</v>
      </c>
      <c r="E24" s="3">
        <f t="shared" si="4"/>
        <v>1324958.9398199695</v>
      </c>
      <c r="F24" s="3">
        <f t="shared" si="4"/>
        <v>580193.83409998671</v>
      </c>
      <c r="G24" s="3">
        <f t="shared" si="4"/>
        <v>548788.67005296308</v>
      </c>
      <c r="H24" s="3">
        <f t="shared" si="4"/>
        <v>3347826.0485003013</v>
      </c>
      <c r="I24" s="3">
        <f t="shared" si="4"/>
        <v>116659.2834997141</v>
      </c>
      <c r="J24" s="3">
        <f t="shared" si="4"/>
        <v>32091.860244961539</v>
      </c>
      <c r="K24" s="3"/>
      <c r="L24" s="3">
        <f>STDEV(L5:L20)</f>
        <v>1176072.0044308512</v>
      </c>
      <c r="M24" s="3"/>
      <c r="N24" s="3" t="s">
        <v>1</v>
      </c>
      <c r="O24" s="3">
        <f>STDEV(O5:O20)</f>
        <v>1499628.9016318226</v>
      </c>
      <c r="P24" s="3">
        <f>STDEV(P5:P20)</f>
        <v>1221515.402030258</v>
      </c>
      <c r="Q24" s="3">
        <f>STDEV(Q5:Q20)</f>
        <v>178142.12126096719</v>
      </c>
      <c r="R24" s="3">
        <f>STDEV(R5:R20)</f>
        <v>1760482.9858449104</v>
      </c>
      <c r="S24" s="3">
        <f>STDEV(S5:S20)</f>
        <v>2007352.0246753469</v>
      </c>
      <c r="T24" s="3">
        <f t="shared" ref="T24:V24" si="5">STDEV(T5:T20)</f>
        <v>2330886.8686396377</v>
      </c>
      <c r="U24" s="3">
        <f t="shared" si="5"/>
        <v>1123674.6448644986</v>
      </c>
      <c r="V24" s="3">
        <f t="shared" si="5"/>
        <v>3375137.6708240439</v>
      </c>
    </row>
    <row r="25" spans="1:22" ht="15" thickBot="1" x14ac:dyDescent="0.4"/>
    <row r="26" spans="1:22" ht="15" thickBot="1" x14ac:dyDescent="0.4">
      <c r="B26" s="142" t="s">
        <v>42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O26" s="142" t="s">
        <v>43</v>
      </c>
      <c r="P26" s="143"/>
      <c r="Q26" s="143"/>
      <c r="R26" s="143"/>
      <c r="S26" s="143"/>
      <c r="T26" s="143"/>
      <c r="U26" s="143"/>
      <c r="V26" s="143"/>
    </row>
    <row r="27" spans="1:22" x14ac:dyDescent="0.35">
      <c r="A27" s="19" t="str">
        <f>A4</f>
        <v>Group names</v>
      </c>
      <c r="B27" s="20" t="str">
        <f>B4</f>
        <v>Solvent control</v>
      </c>
      <c r="C27" s="20" t="str">
        <f t="shared" ref="C27:M27" si="6">C4</f>
        <v>EE2-33.8ng/L</v>
      </c>
      <c r="D27" s="20" t="str">
        <f t="shared" si="6"/>
        <v>EE2-50.6ng/L</v>
      </c>
      <c r="E27" s="20" t="str">
        <f t="shared" si="6"/>
        <v>EE2-76ng/L</v>
      </c>
      <c r="F27" s="20" t="str">
        <f t="shared" si="6"/>
        <v>EE2-114ng/L</v>
      </c>
      <c r="G27" s="20" t="str">
        <f t="shared" si="6"/>
        <v>EE2-170.9ng/L</v>
      </c>
      <c r="H27" s="20" t="str">
        <f t="shared" si="6"/>
        <v>EE2-488ng/L</v>
      </c>
      <c r="I27" s="20" t="str">
        <f t="shared" si="6"/>
        <v>Triphenylphosphate-0,18mg/L</v>
      </c>
      <c r="J27" s="20" t="str">
        <f t="shared" si="6"/>
        <v>Triphenylphosphate-0,26mg/L</v>
      </c>
      <c r="K27" s="20" t="str">
        <f t="shared" si="6"/>
        <v>Triphenylphosphate-0,4mg/L</v>
      </c>
      <c r="L27" s="20" t="str">
        <f t="shared" si="6"/>
        <v>Triphenylphosphate-0,59mg/L</v>
      </c>
      <c r="M27" s="20" t="str">
        <f t="shared" si="6"/>
        <v>Triphenylphosphate-0,89mg/L</v>
      </c>
      <c r="N27" s="3"/>
      <c r="O27" s="21" t="str">
        <f>O4</f>
        <v>Testo -30µg/L</v>
      </c>
      <c r="P27" s="21" t="str">
        <f t="shared" ref="P27:V27" si="7">P4</f>
        <v>Testo 30µg/L + EE2 -64ng/L</v>
      </c>
      <c r="Q27" s="21" t="str">
        <f t="shared" si="7"/>
        <v>Testo 30µg/L + FAD-10mg/L</v>
      </c>
      <c r="R27" s="21" t="str">
        <f t="shared" si="7"/>
        <v>Triphenylphosphate-0,18mg/L + Testostérone</v>
      </c>
      <c r="S27" s="21" t="str">
        <f t="shared" si="7"/>
        <v>Triphenylphosphate-0,26mg/L + Testostérone</v>
      </c>
      <c r="T27" s="21" t="str">
        <f t="shared" si="7"/>
        <v>Triphenylphosphate-0,4mg/L + Testostérone</v>
      </c>
      <c r="U27" s="21" t="str">
        <f t="shared" si="7"/>
        <v>Triphenylphosphate-0,59mg/L + Testostérone</v>
      </c>
      <c r="V27" s="21" t="str">
        <f t="shared" si="7"/>
        <v>Triphenylphosphate-0,89mg/L + Testostérone</v>
      </c>
    </row>
    <row r="28" spans="1:22" ht="14.5" customHeight="1" x14ac:dyDescent="0.35">
      <c r="A28" s="140" t="s">
        <v>36</v>
      </c>
      <c r="B28" s="11">
        <f t="shared" ref="B28:M28" si="8">IF(B5="","",(B5/$O$23))</f>
        <v>7.0153180947059343E-2</v>
      </c>
      <c r="C28" s="11">
        <f t="shared" si="8"/>
        <v>0.14560011845182408</v>
      </c>
      <c r="D28" s="11">
        <f t="shared" si="8"/>
        <v>1.3480505024287472E-2</v>
      </c>
      <c r="E28" s="11">
        <f t="shared" si="8"/>
        <v>2.2150001960976997</v>
      </c>
      <c r="F28" s="11">
        <f t="shared" si="8"/>
        <v>0.63000991064554923</v>
      </c>
      <c r="G28" s="11">
        <f t="shared" si="8"/>
        <v>2.1055463920887578</v>
      </c>
      <c r="H28" s="11">
        <f t="shared" si="8"/>
        <v>5.2822603851358823</v>
      </c>
      <c r="I28" s="11">
        <f t="shared" si="8"/>
        <v>3.029819629776356E-2</v>
      </c>
      <c r="J28" s="11">
        <f t="shared" si="8"/>
        <v>5.2341781104730714E-2</v>
      </c>
      <c r="K28" s="11">
        <f t="shared" si="8"/>
        <v>4.2438626928312406E-2</v>
      </c>
      <c r="L28" s="11">
        <f t="shared" si="8"/>
        <v>0.16710300241001869</v>
      </c>
      <c r="M28" s="11">
        <f t="shared" si="8"/>
        <v>0.81930676598758112</v>
      </c>
      <c r="N28" s="6"/>
      <c r="O28" s="11">
        <f t="shared" ref="O28:V37" si="9">IF(O5="","",(O5/$O$23))</f>
        <v>0.27712218473108396</v>
      </c>
      <c r="P28" s="11">
        <f t="shared" si="9"/>
        <v>2.9658362553359505</v>
      </c>
      <c r="Q28" s="11">
        <f t="shared" si="9"/>
        <v>5.7285205816654382E-2</v>
      </c>
      <c r="R28" s="11">
        <f t="shared" si="9"/>
        <v>1.401884388728216</v>
      </c>
      <c r="S28" s="11">
        <f t="shared" si="9"/>
        <v>2.1899525707967782</v>
      </c>
      <c r="T28" s="11">
        <f t="shared" si="9"/>
        <v>2.6267388247446215</v>
      </c>
      <c r="U28" s="11">
        <f t="shared" si="9"/>
        <v>2.0546680726945188</v>
      </c>
      <c r="V28" s="11">
        <f t="shared" si="9"/>
        <v>2.9896235673300349</v>
      </c>
    </row>
    <row r="29" spans="1:22" x14ac:dyDescent="0.35">
      <c r="A29" s="141"/>
      <c r="B29" s="11">
        <f t="shared" ref="B29:M29" si="10">IF(B6="","",(B6/$O$23))</f>
        <v>1.0164911555530683E-2</v>
      </c>
      <c r="C29" s="11">
        <f t="shared" si="10"/>
        <v>0.13103821172999153</v>
      </c>
      <c r="D29" s="11">
        <f t="shared" si="10"/>
        <v>6.6513255102836719E-2</v>
      </c>
      <c r="E29" s="11">
        <f t="shared" si="10"/>
        <v>0.74651353713098934</v>
      </c>
      <c r="F29" s="11">
        <f t="shared" si="10"/>
        <v>0.69584012881635871</v>
      </c>
      <c r="G29" s="11">
        <f t="shared" si="10"/>
        <v>1.6653304114041609</v>
      </c>
      <c r="H29" s="11">
        <f t="shared" si="10"/>
        <v>3.4318111010687544</v>
      </c>
      <c r="I29" s="11">
        <f t="shared" si="10"/>
        <v>0.16348466934622791</v>
      </c>
      <c r="J29" s="11">
        <f t="shared" si="10"/>
        <v>5.118414367219163E-2</v>
      </c>
      <c r="K29" s="11">
        <f t="shared" si="10"/>
        <v>1.4628007070093251E-2</v>
      </c>
      <c r="L29" s="11">
        <f t="shared" si="10"/>
        <v>1.5929646314663217</v>
      </c>
      <c r="M29" s="11">
        <f t="shared" si="10"/>
        <v>0.24034923898669047</v>
      </c>
      <c r="N29" s="6"/>
      <c r="O29" s="11">
        <f t="shared" si="9"/>
        <v>0.90667864698756473</v>
      </c>
      <c r="P29" s="11">
        <f t="shared" si="9"/>
        <v>2.4732035798185943</v>
      </c>
      <c r="Q29" s="11">
        <f t="shared" si="9"/>
        <v>0.25619657714769944</v>
      </c>
      <c r="R29" s="11">
        <f t="shared" si="9"/>
        <v>1.4609468125751066</v>
      </c>
      <c r="S29" s="11">
        <f t="shared" si="9"/>
        <v>1.0326875035528937</v>
      </c>
      <c r="T29" s="11">
        <f t="shared" si="9"/>
        <v>1.9471867030776764</v>
      </c>
      <c r="U29" s="11">
        <f t="shared" si="9"/>
        <v>0.98085249178482836</v>
      </c>
      <c r="V29" s="11">
        <f t="shared" si="9"/>
        <v>4.3306766868919047</v>
      </c>
    </row>
    <row r="30" spans="1:22" x14ac:dyDescent="0.35">
      <c r="A30" s="141"/>
      <c r="B30" s="11">
        <f t="shared" ref="B30:M30" si="11">IF(B7="","",(B7/$O$23))</f>
        <v>0.15736950579413619</v>
      </c>
      <c r="C30" s="11">
        <f t="shared" si="11"/>
        <v>0.12973956022116295</v>
      </c>
      <c r="D30" s="11">
        <f t="shared" si="11"/>
        <v>0.4892302702578839</v>
      </c>
      <c r="E30" s="11">
        <f t="shared" si="11"/>
        <v>0.88339061295734278</v>
      </c>
      <c r="F30" s="11">
        <f t="shared" si="11"/>
        <v>1.2430307097811328</v>
      </c>
      <c r="G30" s="11">
        <f t="shared" si="11"/>
        <v>1.8927147280829975</v>
      </c>
      <c r="H30" s="11">
        <f t="shared" si="11"/>
        <v>2.4399907988315221</v>
      </c>
      <c r="I30" s="11">
        <f t="shared" si="11"/>
        <v>2.9493094055948216E-2</v>
      </c>
      <c r="J30" s="11">
        <f t="shared" si="11"/>
        <v>2.5332738136419661E-2</v>
      </c>
      <c r="K30" s="11">
        <f t="shared" si="11"/>
        <v>0.19130762793612238</v>
      </c>
      <c r="L30" s="11">
        <f t="shared" si="11"/>
        <v>0.56757152167849056</v>
      </c>
      <c r="M30" s="11">
        <f t="shared" si="11"/>
        <v>1.192187203236978</v>
      </c>
      <c r="N30" s="6"/>
      <c r="O30" s="11">
        <f t="shared" si="9"/>
        <v>1.095086232310996</v>
      </c>
      <c r="P30" s="11">
        <f t="shared" si="9"/>
        <v>1.9037984344793517</v>
      </c>
      <c r="Q30" s="11">
        <f t="shared" si="9"/>
        <v>4.8495622173934695E-3</v>
      </c>
      <c r="R30" s="11">
        <f t="shared" si="9"/>
        <v>2.157551061417359</v>
      </c>
      <c r="S30" s="11">
        <f t="shared" si="9"/>
        <v>2.1108163525210895</v>
      </c>
      <c r="T30" s="11">
        <f t="shared" si="9"/>
        <v>1.8862783168383586</v>
      </c>
      <c r="U30" s="11">
        <f t="shared" si="9"/>
        <v>1.4843000656156125</v>
      </c>
      <c r="V30" s="11">
        <f t="shared" si="9"/>
        <v>0.84825827785677999</v>
      </c>
    </row>
    <row r="31" spans="1:22" x14ac:dyDescent="0.35">
      <c r="A31" s="141"/>
      <c r="B31" s="11">
        <f t="shared" ref="B31:M31" si="12">IF(B8="","",(B8/$O$23))</f>
        <v>3.0619884659298977E-2</v>
      </c>
      <c r="C31" s="11">
        <f t="shared" si="12"/>
        <v>0.42580346074983355</v>
      </c>
      <c r="D31" s="11">
        <f t="shared" si="12"/>
        <v>1.4436258773168722</v>
      </c>
      <c r="E31" s="11">
        <f t="shared" si="12"/>
        <v>0.29953593148831104</v>
      </c>
      <c r="F31" s="11">
        <f t="shared" si="12"/>
        <v>1.1612280034566076</v>
      </c>
      <c r="G31" s="11">
        <f t="shared" si="12"/>
        <v>1.8853965381925608</v>
      </c>
      <c r="H31" s="11">
        <f t="shared" si="12"/>
        <v>1.7674356193624665</v>
      </c>
      <c r="I31" s="11">
        <f t="shared" si="12"/>
        <v>2.5066574067423235E-2</v>
      </c>
      <c r="J31" s="11">
        <f t="shared" si="12"/>
        <v>4.9689394463522961E-2</v>
      </c>
      <c r="K31" s="11">
        <f t="shared" si="12"/>
        <v>0.17669328160466968</v>
      </c>
      <c r="L31" s="11">
        <f t="shared" si="12"/>
        <v>5.1485561260260423E-2</v>
      </c>
      <c r="M31" s="11">
        <f t="shared" si="12"/>
        <v>1.9963490574310672</v>
      </c>
      <c r="N31" s="6"/>
      <c r="O31" s="11">
        <f t="shared" si="9"/>
        <v>1.6447401529209524</v>
      </c>
      <c r="P31" s="11">
        <f t="shared" si="9"/>
        <v>2.8222336894085651</v>
      </c>
      <c r="Q31" s="11">
        <f t="shared" si="9"/>
        <v>9.1472305937089216E-2</v>
      </c>
      <c r="R31" s="11">
        <f t="shared" si="9"/>
        <v>0.86402717693785291</v>
      </c>
      <c r="S31" s="11">
        <f t="shared" si="9"/>
        <v>1.7740029092966614</v>
      </c>
      <c r="T31" s="11">
        <f t="shared" si="9"/>
        <v>1.7264172685837824</v>
      </c>
      <c r="U31" s="11">
        <f t="shared" si="9"/>
        <v>0.64905870900731821</v>
      </c>
      <c r="V31" s="11">
        <f t="shared" si="9"/>
        <v>0.92329495253333993</v>
      </c>
    </row>
    <row r="32" spans="1:22" x14ac:dyDescent="0.35">
      <c r="A32" s="141"/>
      <c r="B32" s="11">
        <f t="shared" ref="B32:M32" si="13">IF(B9="","",(B9/$O$23))</f>
        <v>6.5487377697830626E-2</v>
      </c>
      <c r="C32" s="11">
        <f t="shared" si="13"/>
        <v>1.511979366115287E-2</v>
      </c>
      <c r="D32" s="11">
        <f t="shared" si="13"/>
        <v>0.76906741662652911</v>
      </c>
      <c r="E32" s="11">
        <f t="shared" si="13"/>
        <v>0.58836536923434202</v>
      </c>
      <c r="F32" s="11">
        <f t="shared" si="13"/>
        <v>0.93082774822112946</v>
      </c>
      <c r="G32" s="11">
        <f t="shared" si="13"/>
        <v>2.4362314516914418</v>
      </c>
      <c r="H32" s="11">
        <f t="shared" si="13"/>
        <v>5.0882928791857491</v>
      </c>
      <c r="I32" s="11">
        <f t="shared" si="13"/>
        <v>1.9359910667582671E-2</v>
      </c>
      <c r="J32" s="11">
        <f t="shared" si="13"/>
        <v>2.0517988769110162E-2</v>
      </c>
      <c r="K32" s="11">
        <f t="shared" si="13"/>
        <v>2.7683707189558614E-2</v>
      </c>
      <c r="L32" s="11">
        <f t="shared" si="13"/>
        <v>0.37432759420731804</v>
      </c>
      <c r="M32" s="11">
        <f t="shared" si="13"/>
        <v>4.8663076389528472E-2</v>
      </c>
      <c r="N32" s="6"/>
      <c r="O32" s="11">
        <f t="shared" si="9"/>
        <v>1.9611550286721278</v>
      </c>
      <c r="P32" s="11">
        <f t="shared" si="9"/>
        <v>1.8878550304788706</v>
      </c>
      <c r="Q32" s="11">
        <f t="shared" si="9"/>
        <v>2.7551506493037208E-2</v>
      </c>
      <c r="R32" s="11">
        <f t="shared" si="9"/>
        <v>3.2615709761302827</v>
      </c>
      <c r="S32" s="11">
        <f t="shared" si="9"/>
        <v>2.8797550938030043</v>
      </c>
      <c r="T32" s="11">
        <f t="shared" si="9"/>
        <v>0.57142913800298512</v>
      </c>
      <c r="U32" s="11">
        <f t="shared" si="9"/>
        <v>1.7578334421051287</v>
      </c>
      <c r="V32" s="11">
        <f t="shared" si="9"/>
        <v>2.8230158768629834</v>
      </c>
    </row>
    <row r="33" spans="1:22" x14ac:dyDescent="0.35">
      <c r="A33" s="141"/>
      <c r="B33" s="11">
        <f t="shared" ref="B33:M33" si="14">IF(B10="","",(B10/$O$23))</f>
        <v>7.4559870831106115E-2</v>
      </c>
      <c r="C33" s="11">
        <f t="shared" si="14"/>
        <v>7.7293340566180326E-4</v>
      </c>
      <c r="D33" s="11">
        <f t="shared" si="14"/>
        <v>0.33657724464664296</v>
      </c>
      <c r="E33" s="11">
        <f t="shared" si="14"/>
        <v>0.98818037639300971</v>
      </c>
      <c r="F33" s="11">
        <f t="shared" si="14"/>
        <v>1.0881263063081326</v>
      </c>
      <c r="G33" s="11">
        <f t="shared" si="14"/>
        <v>2.077667468537336</v>
      </c>
      <c r="H33" s="11">
        <f t="shared" si="14"/>
        <v>1.3842673239097738</v>
      </c>
      <c r="I33" s="11">
        <f t="shared" si="14"/>
        <v>2.572184885318099E-2</v>
      </c>
      <c r="J33" s="11">
        <f t="shared" si="14"/>
        <v>5.1939450318317246E-2</v>
      </c>
      <c r="K33" s="11">
        <f t="shared" si="14"/>
        <v>1.8259560203536192E-2</v>
      </c>
      <c r="L33" s="11">
        <f t="shared" si="14"/>
        <v>6.6813350683940301E-2</v>
      </c>
      <c r="M33" s="11">
        <f t="shared" si="14"/>
        <v>2.5751131307460482</v>
      </c>
      <c r="N33" s="6"/>
      <c r="O33" s="11">
        <f t="shared" si="9"/>
        <v>0.98512213361348133</v>
      </c>
      <c r="P33" s="11">
        <f t="shared" si="9"/>
        <v>2.2217437536272566</v>
      </c>
      <c r="Q33" s="11">
        <f t="shared" si="9"/>
        <v>2.7930041154076827E-2</v>
      </c>
      <c r="R33" s="11">
        <f t="shared" si="9"/>
        <v>1.7074733494412537</v>
      </c>
      <c r="S33" s="11">
        <f t="shared" si="9"/>
        <v>1.2101184650441528</v>
      </c>
      <c r="T33" s="11">
        <f t="shared" si="9"/>
        <v>1.7948452304412374</v>
      </c>
      <c r="U33" s="11">
        <f t="shared" si="9"/>
        <v>1.7805961987011723</v>
      </c>
      <c r="V33" s="11">
        <f t="shared" si="9"/>
        <v>5.1982468424965305</v>
      </c>
    </row>
    <row r="34" spans="1:22" x14ac:dyDescent="0.35">
      <c r="A34" s="141"/>
      <c r="B34" s="11">
        <f t="shared" ref="B34:M34" si="15">IF(B11="","",(B11/$O$23))</f>
        <v>5.9534380333471854E-3</v>
      </c>
      <c r="C34" s="11">
        <f t="shared" si="15"/>
        <v>1.8098275353780082E-3</v>
      </c>
      <c r="D34" s="11">
        <f t="shared" si="15"/>
        <v>0.25454450911017035</v>
      </c>
      <c r="E34" s="11">
        <f t="shared" si="15"/>
        <v>1.0975570633289811</v>
      </c>
      <c r="F34" s="11">
        <f t="shared" si="15"/>
        <v>0.99529233319687282</v>
      </c>
      <c r="G34" s="11">
        <f t="shared" si="15"/>
        <v>1.7727417146518472</v>
      </c>
      <c r="H34" s="11">
        <f t="shared" si="15"/>
        <v>4.3848450409535724</v>
      </c>
      <c r="I34" s="11">
        <f t="shared" si="15"/>
        <v>4.3333625643762308E-2</v>
      </c>
      <c r="J34" s="11">
        <f t="shared" si="15"/>
        <v>2.6341429450877966E-2</v>
      </c>
      <c r="K34" s="11">
        <f t="shared" si="15"/>
        <v>2.7318392598171135E-2</v>
      </c>
      <c r="L34" s="11">
        <f t="shared" si="15"/>
        <v>0.44715651725197059</v>
      </c>
      <c r="M34" s="11">
        <f t="shared" si="15"/>
        <v>1.4806068188237929</v>
      </c>
      <c r="N34" s="6"/>
      <c r="O34" s="11">
        <f t="shared" si="9"/>
        <v>0.24325456962724251</v>
      </c>
      <c r="P34" s="11">
        <f t="shared" si="9"/>
        <v>3.2210386832458093</v>
      </c>
      <c r="Q34" s="11">
        <f t="shared" si="9"/>
        <v>8.4324214276176951E-2</v>
      </c>
      <c r="R34" s="11">
        <f t="shared" si="9"/>
        <v>1.7936184079775188</v>
      </c>
      <c r="S34" s="11">
        <f t="shared" si="9"/>
        <v>1.9227269302072861E-2</v>
      </c>
      <c r="T34" s="11">
        <f t="shared" si="9"/>
        <v>3.6374135903197362</v>
      </c>
      <c r="U34" s="11">
        <f t="shared" si="9"/>
        <v>0.99451278975638502</v>
      </c>
      <c r="V34" s="11">
        <f t="shared" si="9"/>
        <v>3.032805602841786</v>
      </c>
    </row>
    <row r="35" spans="1:22" x14ac:dyDescent="0.35">
      <c r="A35" s="141"/>
      <c r="B35" s="11">
        <f t="shared" ref="B35:M35" si="16">IF(B12="","",(B12/$O$23))</f>
        <v>0.13667172407775693</v>
      </c>
      <c r="C35" s="11">
        <f t="shared" si="16"/>
        <v>1.2435678852779982E-3</v>
      </c>
      <c r="D35" s="11">
        <f t="shared" si="16"/>
        <v>0.24888587863006587</v>
      </c>
      <c r="E35" s="11">
        <f t="shared" si="16"/>
        <v>1.4111988091361258</v>
      </c>
      <c r="F35" s="11">
        <f t="shared" si="16"/>
        <v>0.56364912701270053</v>
      </c>
      <c r="G35" s="11">
        <f t="shared" si="16"/>
        <v>2.1178657343285989</v>
      </c>
      <c r="H35" s="11">
        <f t="shared" si="16"/>
        <v>3.8996129604274841</v>
      </c>
      <c r="I35" s="11" t="str">
        <f t="shared" si="16"/>
        <v/>
      </c>
      <c r="J35" s="11">
        <f t="shared" si="16"/>
        <v>2.8620569458906956E-2</v>
      </c>
      <c r="K35" s="11">
        <f t="shared" si="16"/>
        <v>8.2665536203821749E-2</v>
      </c>
      <c r="L35" s="11">
        <f t="shared" si="16"/>
        <v>0.90821437841215502</v>
      </c>
      <c r="M35" s="11">
        <f t="shared" si="16"/>
        <v>1.0862627171561692</v>
      </c>
      <c r="N35" s="6"/>
      <c r="O35" s="11">
        <f t="shared" si="9"/>
        <v>0.44286836732580465</v>
      </c>
      <c r="P35" s="11">
        <f t="shared" si="9"/>
        <v>1.8410837460565634</v>
      </c>
      <c r="Q35" s="11">
        <f t="shared" si="9"/>
        <v>5.9041712404435419E-2</v>
      </c>
      <c r="R35" s="11">
        <f t="shared" si="9"/>
        <v>0.85585276720294612</v>
      </c>
      <c r="S35" s="11">
        <f t="shared" si="9"/>
        <v>1.0922809335308119</v>
      </c>
      <c r="T35" s="11">
        <f t="shared" si="9"/>
        <v>0.46220227852307144</v>
      </c>
      <c r="U35" s="11">
        <f t="shared" si="9"/>
        <v>1.732562838296074</v>
      </c>
      <c r="V35" s="11">
        <f t="shared" si="9"/>
        <v>2.9892322532683315</v>
      </c>
    </row>
    <row r="36" spans="1:22" x14ac:dyDescent="0.35">
      <c r="A36" s="141"/>
      <c r="B36" s="11" t="str">
        <f t="shared" ref="B36:M36" si="17">IF(B13="","",(B13/$O$23))</f>
        <v/>
      </c>
      <c r="C36" s="11" t="str">
        <f t="shared" si="17"/>
        <v/>
      </c>
      <c r="D36" s="11" t="str">
        <f t="shared" si="17"/>
        <v/>
      </c>
      <c r="E36" s="11" t="str">
        <f t="shared" si="17"/>
        <v/>
      </c>
      <c r="F36" s="11" t="str">
        <f t="shared" si="17"/>
        <v/>
      </c>
      <c r="G36" s="11" t="str">
        <f t="shared" si="17"/>
        <v/>
      </c>
      <c r="H36" s="11" t="str">
        <f t="shared" si="17"/>
        <v/>
      </c>
      <c r="I36" s="11" t="str">
        <f t="shared" si="17"/>
        <v/>
      </c>
      <c r="J36" s="11" t="str">
        <f t="shared" si="17"/>
        <v/>
      </c>
      <c r="K36" s="11" t="str">
        <f t="shared" si="17"/>
        <v/>
      </c>
      <c r="L36" s="11" t="str">
        <f t="shared" si="17"/>
        <v/>
      </c>
      <c r="M36" s="11" t="str">
        <f t="shared" si="17"/>
        <v/>
      </c>
      <c r="N36" s="6"/>
      <c r="O36" s="11">
        <f t="shared" si="9"/>
        <v>1.9110566933873652</v>
      </c>
      <c r="P36" s="11" t="str">
        <f t="shared" si="9"/>
        <v/>
      </c>
      <c r="Q36" s="11" t="str">
        <f t="shared" si="9"/>
        <v/>
      </c>
      <c r="R36" s="11" t="str">
        <f t="shared" si="9"/>
        <v/>
      </c>
      <c r="S36" s="11" t="str">
        <f t="shared" si="9"/>
        <v/>
      </c>
      <c r="T36" s="11" t="str">
        <f t="shared" si="9"/>
        <v/>
      </c>
      <c r="U36" s="11" t="str">
        <f t="shared" si="9"/>
        <v/>
      </c>
      <c r="V36" s="11" t="str">
        <f t="shared" si="9"/>
        <v/>
      </c>
    </row>
    <row r="37" spans="1:22" x14ac:dyDescent="0.35">
      <c r="A37" s="141"/>
      <c r="B37" s="11" t="str">
        <f t="shared" ref="B37:M37" si="18">IF(B14="","",(B14/$O$23))</f>
        <v/>
      </c>
      <c r="C37" s="11" t="str">
        <f t="shared" si="18"/>
        <v/>
      </c>
      <c r="D37" s="11" t="str">
        <f t="shared" si="18"/>
        <v/>
      </c>
      <c r="E37" s="11" t="str">
        <f t="shared" si="18"/>
        <v/>
      </c>
      <c r="F37" s="11" t="str">
        <f t="shared" si="18"/>
        <v/>
      </c>
      <c r="G37" s="11" t="str">
        <f t="shared" si="18"/>
        <v/>
      </c>
      <c r="H37" s="11" t="str">
        <f t="shared" si="18"/>
        <v/>
      </c>
      <c r="I37" s="11" t="str">
        <f t="shared" si="18"/>
        <v/>
      </c>
      <c r="J37" s="11" t="str">
        <f t="shared" si="18"/>
        <v/>
      </c>
      <c r="K37" s="11" t="str">
        <f t="shared" si="18"/>
        <v/>
      </c>
      <c r="L37" s="11" t="str">
        <f t="shared" si="18"/>
        <v/>
      </c>
      <c r="M37" s="11" t="str">
        <f t="shared" si="18"/>
        <v/>
      </c>
      <c r="N37" s="6"/>
      <c r="O37" s="11">
        <f t="shared" si="9"/>
        <v>0.9489207355470487</v>
      </c>
      <c r="P37" s="11" t="str">
        <f t="shared" si="9"/>
        <v/>
      </c>
      <c r="Q37" s="11" t="str">
        <f t="shared" si="9"/>
        <v/>
      </c>
      <c r="R37" s="11" t="str">
        <f t="shared" si="9"/>
        <v/>
      </c>
      <c r="S37" s="11" t="str">
        <f t="shared" si="9"/>
        <v/>
      </c>
      <c r="T37" s="11" t="str">
        <f t="shared" si="9"/>
        <v/>
      </c>
      <c r="U37" s="11" t="str">
        <f t="shared" si="9"/>
        <v/>
      </c>
      <c r="V37" s="11" t="str">
        <f t="shared" si="9"/>
        <v/>
      </c>
    </row>
    <row r="38" spans="1:22" x14ac:dyDescent="0.35">
      <c r="A38" s="141"/>
      <c r="B38" s="11" t="str">
        <f t="shared" ref="B38:M38" si="19">IF(B15="","",(B15/$O$23))</f>
        <v/>
      </c>
      <c r="C38" s="11" t="str">
        <f t="shared" si="19"/>
        <v/>
      </c>
      <c r="D38" s="11" t="str">
        <f t="shared" si="19"/>
        <v/>
      </c>
      <c r="E38" s="11" t="str">
        <f t="shared" si="19"/>
        <v/>
      </c>
      <c r="F38" s="11" t="str">
        <f t="shared" si="19"/>
        <v/>
      </c>
      <c r="G38" s="11" t="str">
        <f t="shared" si="19"/>
        <v/>
      </c>
      <c r="H38" s="11" t="str">
        <f t="shared" si="19"/>
        <v/>
      </c>
      <c r="I38" s="11" t="str">
        <f t="shared" si="19"/>
        <v/>
      </c>
      <c r="J38" s="11" t="str">
        <f t="shared" si="19"/>
        <v/>
      </c>
      <c r="K38" s="11" t="str">
        <f t="shared" si="19"/>
        <v/>
      </c>
      <c r="L38" s="11" t="str">
        <f t="shared" si="19"/>
        <v/>
      </c>
      <c r="M38" s="11" t="str">
        <f t="shared" si="19"/>
        <v/>
      </c>
      <c r="N38" s="6"/>
      <c r="O38" s="11">
        <f t="shared" ref="O38:V43" si="20">IF(O15="","",(O15/$O$23))</f>
        <v>0.95335650958433016</v>
      </c>
      <c r="P38" s="11" t="str">
        <f t="shared" si="20"/>
        <v/>
      </c>
      <c r="Q38" s="11" t="str">
        <f t="shared" si="20"/>
        <v/>
      </c>
      <c r="R38" s="11" t="str">
        <f t="shared" si="20"/>
        <v/>
      </c>
      <c r="S38" s="11" t="str">
        <f t="shared" si="20"/>
        <v/>
      </c>
      <c r="T38" s="11" t="str">
        <f t="shared" si="20"/>
        <v/>
      </c>
      <c r="U38" s="11" t="str">
        <f t="shared" si="20"/>
        <v/>
      </c>
      <c r="V38" s="11" t="str">
        <f t="shared" si="20"/>
        <v/>
      </c>
    </row>
    <row r="39" spans="1:22" x14ac:dyDescent="0.35">
      <c r="A39" s="141"/>
      <c r="B39" s="11" t="str">
        <f t="shared" ref="B39:M39" si="21">IF(B16="","",(B16/$O$23))</f>
        <v/>
      </c>
      <c r="C39" s="11" t="str">
        <f t="shared" si="21"/>
        <v/>
      </c>
      <c r="D39" s="11" t="str">
        <f t="shared" si="21"/>
        <v/>
      </c>
      <c r="E39" s="11" t="str">
        <f t="shared" si="21"/>
        <v/>
      </c>
      <c r="F39" s="11" t="str">
        <f t="shared" si="21"/>
        <v/>
      </c>
      <c r="G39" s="11" t="str">
        <f t="shared" si="21"/>
        <v/>
      </c>
      <c r="H39" s="11" t="str">
        <f t="shared" si="21"/>
        <v/>
      </c>
      <c r="I39" s="11" t="str">
        <f t="shared" si="21"/>
        <v/>
      </c>
      <c r="J39" s="11" t="str">
        <f t="shared" si="21"/>
        <v/>
      </c>
      <c r="K39" s="11" t="str">
        <f t="shared" si="21"/>
        <v/>
      </c>
      <c r="L39" s="11" t="str">
        <f t="shared" si="21"/>
        <v/>
      </c>
      <c r="M39" s="11" t="str">
        <f t="shared" si="21"/>
        <v/>
      </c>
      <c r="N39" s="6"/>
      <c r="O39" s="11">
        <f t="shared" si="20"/>
        <v>0.43369275764924248</v>
      </c>
      <c r="P39" s="11" t="str">
        <f t="shared" si="20"/>
        <v/>
      </c>
      <c r="Q39" s="11" t="str">
        <f t="shared" si="20"/>
        <v/>
      </c>
      <c r="R39" s="11" t="str">
        <f t="shared" si="20"/>
        <v/>
      </c>
      <c r="S39" s="11" t="str">
        <f t="shared" si="20"/>
        <v/>
      </c>
      <c r="T39" s="11" t="str">
        <f t="shared" si="20"/>
        <v/>
      </c>
      <c r="U39" s="11" t="str">
        <f t="shared" si="20"/>
        <v/>
      </c>
      <c r="V39" s="11" t="str">
        <f t="shared" si="20"/>
        <v/>
      </c>
    </row>
    <row r="40" spans="1:22" x14ac:dyDescent="0.35">
      <c r="A40" s="141"/>
      <c r="B40" s="11" t="str">
        <f t="shared" ref="B40:M40" si="22">IF(B17="","",(B17/$O$23))</f>
        <v/>
      </c>
      <c r="C40" s="11" t="str">
        <f t="shared" si="22"/>
        <v/>
      </c>
      <c r="D40" s="11" t="str">
        <f t="shared" si="22"/>
        <v/>
      </c>
      <c r="E40" s="11" t="str">
        <f t="shared" si="22"/>
        <v/>
      </c>
      <c r="F40" s="11" t="str">
        <f t="shared" si="22"/>
        <v/>
      </c>
      <c r="G40" s="11" t="str">
        <f t="shared" si="22"/>
        <v/>
      </c>
      <c r="H40" s="11" t="str">
        <f t="shared" si="22"/>
        <v/>
      </c>
      <c r="I40" s="11" t="str">
        <f t="shared" si="22"/>
        <v/>
      </c>
      <c r="J40" s="11" t="str">
        <f t="shared" si="22"/>
        <v/>
      </c>
      <c r="K40" s="11" t="str">
        <f t="shared" si="22"/>
        <v/>
      </c>
      <c r="L40" s="11" t="str">
        <f t="shared" si="22"/>
        <v/>
      </c>
      <c r="M40" s="11" t="str">
        <f t="shared" si="22"/>
        <v/>
      </c>
      <c r="N40" s="6"/>
      <c r="O40" s="11">
        <f t="shared" si="20"/>
        <v>1.2285855803412276</v>
      </c>
      <c r="P40" s="11" t="str">
        <f t="shared" si="20"/>
        <v/>
      </c>
      <c r="Q40" s="11" t="str">
        <f t="shared" si="20"/>
        <v/>
      </c>
      <c r="R40" s="11" t="str">
        <f t="shared" si="20"/>
        <v/>
      </c>
      <c r="S40" s="11" t="str">
        <f t="shared" si="20"/>
        <v/>
      </c>
      <c r="T40" s="11" t="str">
        <f t="shared" si="20"/>
        <v/>
      </c>
      <c r="U40" s="11" t="str">
        <f t="shared" si="20"/>
        <v/>
      </c>
      <c r="V40" s="11" t="str">
        <f t="shared" si="20"/>
        <v/>
      </c>
    </row>
    <row r="41" spans="1:22" x14ac:dyDescent="0.35">
      <c r="A41" s="141"/>
      <c r="B41" s="11" t="str">
        <f t="shared" ref="B41:M41" si="23">IF(B18="","",(B18/$O$23))</f>
        <v/>
      </c>
      <c r="C41" s="11" t="str">
        <f t="shared" si="23"/>
        <v/>
      </c>
      <c r="D41" s="11" t="str">
        <f t="shared" si="23"/>
        <v/>
      </c>
      <c r="E41" s="11" t="str">
        <f t="shared" si="23"/>
        <v/>
      </c>
      <c r="F41" s="11" t="str">
        <f t="shared" si="23"/>
        <v/>
      </c>
      <c r="G41" s="11" t="str">
        <f t="shared" si="23"/>
        <v/>
      </c>
      <c r="H41" s="11" t="str">
        <f t="shared" si="23"/>
        <v/>
      </c>
      <c r="I41" s="11" t="str">
        <f t="shared" si="23"/>
        <v/>
      </c>
      <c r="J41" s="11" t="str">
        <f t="shared" si="23"/>
        <v/>
      </c>
      <c r="K41" s="11" t="str">
        <f t="shared" si="23"/>
        <v/>
      </c>
      <c r="L41" s="11" t="str">
        <f t="shared" si="23"/>
        <v/>
      </c>
      <c r="M41" s="11" t="str">
        <f t="shared" si="23"/>
        <v/>
      </c>
      <c r="N41" s="6"/>
      <c r="O41" s="11">
        <f t="shared" si="20"/>
        <v>0.45485632648636548</v>
      </c>
      <c r="P41" s="11" t="str">
        <f t="shared" si="20"/>
        <v/>
      </c>
      <c r="Q41" s="11" t="str">
        <f t="shared" si="20"/>
        <v/>
      </c>
      <c r="R41" s="11" t="str">
        <f t="shared" si="20"/>
        <v/>
      </c>
      <c r="S41" s="11" t="str">
        <f t="shared" si="20"/>
        <v/>
      </c>
      <c r="T41" s="11" t="str">
        <f t="shared" si="20"/>
        <v/>
      </c>
      <c r="U41" s="11" t="str">
        <f t="shared" si="20"/>
        <v/>
      </c>
      <c r="V41" s="11" t="str">
        <f t="shared" si="20"/>
        <v/>
      </c>
    </row>
    <row r="42" spans="1:22" x14ac:dyDescent="0.35">
      <c r="A42" s="141"/>
      <c r="B42" s="11" t="str">
        <f t="shared" ref="B42:M42" si="24">IF(B19="","",(B19/$O$23))</f>
        <v/>
      </c>
      <c r="C42" s="11" t="str">
        <f t="shared" si="24"/>
        <v/>
      </c>
      <c r="D42" s="11" t="str">
        <f t="shared" si="24"/>
        <v/>
      </c>
      <c r="E42" s="11" t="str">
        <f t="shared" si="24"/>
        <v/>
      </c>
      <c r="F42" s="11" t="str">
        <f t="shared" si="24"/>
        <v/>
      </c>
      <c r="G42" s="11" t="str">
        <f t="shared" si="24"/>
        <v/>
      </c>
      <c r="H42" s="11" t="str">
        <f t="shared" si="24"/>
        <v/>
      </c>
      <c r="I42" s="11" t="str">
        <f t="shared" si="24"/>
        <v/>
      </c>
      <c r="J42" s="11" t="str">
        <f t="shared" si="24"/>
        <v/>
      </c>
      <c r="K42" s="11" t="str">
        <f t="shared" si="24"/>
        <v/>
      </c>
      <c r="L42" s="11" t="str">
        <f t="shared" si="24"/>
        <v/>
      </c>
      <c r="M42" s="11" t="str">
        <f t="shared" si="24"/>
        <v/>
      </c>
      <c r="N42" s="6"/>
      <c r="O42" s="11">
        <f t="shared" si="20"/>
        <v>0.21974664177180661</v>
      </c>
      <c r="P42" s="11" t="str">
        <f t="shared" si="20"/>
        <v/>
      </c>
      <c r="Q42" s="11" t="str">
        <f t="shared" si="20"/>
        <v/>
      </c>
      <c r="R42" s="11" t="str">
        <f t="shared" si="20"/>
        <v/>
      </c>
      <c r="S42" s="11" t="str">
        <f t="shared" si="20"/>
        <v/>
      </c>
      <c r="T42" s="11" t="str">
        <f t="shared" si="20"/>
        <v/>
      </c>
      <c r="U42" s="11" t="str">
        <f t="shared" si="20"/>
        <v/>
      </c>
      <c r="V42" s="11" t="str">
        <f t="shared" si="20"/>
        <v/>
      </c>
    </row>
    <row r="43" spans="1:22" x14ac:dyDescent="0.35">
      <c r="A43" s="141"/>
      <c r="B43" s="11" t="str">
        <f t="shared" ref="B43:M43" si="25">IF(B20="","",(B20/$O$23))</f>
        <v/>
      </c>
      <c r="C43" s="11" t="str">
        <f t="shared" si="25"/>
        <v/>
      </c>
      <c r="D43" s="11" t="str">
        <f t="shared" si="25"/>
        <v/>
      </c>
      <c r="E43" s="11" t="str">
        <f t="shared" si="25"/>
        <v/>
      </c>
      <c r="F43" s="11" t="str">
        <f t="shared" si="25"/>
        <v/>
      </c>
      <c r="G43" s="11" t="str">
        <f t="shared" si="25"/>
        <v/>
      </c>
      <c r="H43" s="11" t="str">
        <f t="shared" si="25"/>
        <v/>
      </c>
      <c r="I43" s="11" t="str">
        <f t="shared" si="25"/>
        <v/>
      </c>
      <c r="J43" s="11" t="str">
        <f t="shared" si="25"/>
        <v/>
      </c>
      <c r="K43" s="11" t="str">
        <f t="shared" si="25"/>
        <v/>
      </c>
      <c r="L43" s="11" t="str">
        <f t="shared" si="25"/>
        <v/>
      </c>
      <c r="M43" s="11" t="str">
        <f t="shared" si="25"/>
        <v/>
      </c>
      <c r="N43" s="6"/>
      <c r="O43" s="11">
        <f t="shared" si="20"/>
        <v>2.2937574390433606</v>
      </c>
      <c r="P43" s="11" t="str">
        <f t="shared" si="20"/>
        <v/>
      </c>
      <c r="Q43" s="11" t="str">
        <f t="shared" si="20"/>
        <v/>
      </c>
      <c r="R43" s="11" t="str">
        <f t="shared" si="20"/>
        <v/>
      </c>
      <c r="S43" s="11" t="str">
        <f t="shared" si="20"/>
        <v/>
      </c>
      <c r="T43" s="11" t="str">
        <f t="shared" si="20"/>
        <v/>
      </c>
      <c r="U43" s="11" t="str">
        <f t="shared" si="20"/>
        <v/>
      </c>
      <c r="V43" s="11" t="str">
        <f t="shared" si="20"/>
        <v/>
      </c>
    </row>
    <row r="44" spans="1:22" x14ac:dyDescent="0.3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7"/>
      <c r="O44" s="3"/>
      <c r="P44" s="3"/>
      <c r="Q44" s="3"/>
      <c r="R44" s="3"/>
      <c r="S44" s="3"/>
      <c r="T44" s="3"/>
      <c r="U44" s="3"/>
      <c r="V44" s="3"/>
    </row>
    <row r="45" spans="1:22" x14ac:dyDescent="0.35">
      <c r="A45" s="53" t="str">
        <f t="shared" ref="A45" si="26">A4</f>
        <v>Group names</v>
      </c>
      <c r="B45" s="7" t="str">
        <f t="shared" ref="B45:V45" si="27">B4</f>
        <v>Solvent control</v>
      </c>
      <c r="C45" s="7" t="str">
        <f t="shared" si="27"/>
        <v>EE2-33.8ng/L</v>
      </c>
      <c r="D45" s="7" t="str">
        <f t="shared" si="27"/>
        <v>EE2-50.6ng/L</v>
      </c>
      <c r="E45" s="7" t="str">
        <f t="shared" si="27"/>
        <v>EE2-76ng/L</v>
      </c>
      <c r="F45" s="7" t="str">
        <f t="shared" si="27"/>
        <v>EE2-114ng/L</v>
      </c>
      <c r="G45" s="7" t="str">
        <f t="shared" si="27"/>
        <v>EE2-170.9ng/L</v>
      </c>
      <c r="H45" s="7" t="str">
        <f t="shared" si="27"/>
        <v>EE2-488ng/L</v>
      </c>
      <c r="I45" s="7" t="str">
        <f t="shared" si="27"/>
        <v>Triphenylphosphate-0,18mg/L</v>
      </c>
      <c r="J45" s="7" t="str">
        <f t="shared" si="27"/>
        <v>Triphenylphosphate-0,26mg/L</v>
      </c>
      <c r="K45" s="7" t="str">
        <f t="shared" si="27"/>
        <v>Triphenylphosphate-0,4mg/L</v>
      </c>
      <c r="L45" s="7" t="str">
        <f t="shared" si="27"/>
        <v>Triphenylphosphate-0,59mg/L</v>
      </c>
      <c r="M45" s="7" t="str">
        <f t="shared" si="27"/>
        <v>Triphenylphosphate-0,89mg/L</v>
      </c>
      <c r="N45" s="7"/>
      <c r="O45" s="7" t="str">
        <f t="shared" si="27"/>
        <v>Testo -30µg/L</v>
      </c>
      <c r="P45" s="7" t="str">
        <f t="shared" si="27"/>
        <v>Testo 30µg/L + EE2 -64ng/L</v>
      </c>
      <c r="Q45" s="7" t="str">
        <f t="shared" si="27"/>
        <v>Testo 30µg/L + FAD-10mg/L</v>
      </c>
      <c r="R45" s="7" t="str">
        <f t="shared" si="27"/>
        <v>Triphenylphosphate-0,18mg/L + Testostérone</v>
      </c>
      <c r="S45" s="7" t="str">
        <f t="shared" si="27"/>
        <v>Triphenylphosphate-0,26mg/L + Testostérone</v>
      </c>
      <c r="T45" s="7" t="str">
        <f t="shared" si="27"/>
        <v>Triphenylphosphate-0,4mg/L + Testostérone</v>
      </c>
      <c r="U45" s="7" t="str">
        <f t="shared" si="27"/>
        <v>Triphenylphosphate-0,59mg/L + Testostérone</v>
      </c>
      <c r="V45" s="7" t="str">
        <f t="shared" si="27"/>
        <v>Triphenylphosphate-0,89mg/L + Testostérone</v>
      </c>
    </row>
    <row r="46" spans="1:22" x14ac:dyDescent="0.35">
      <c r="A46" s="8" t="s">
        <v>0</v>
      </c>
      <c r="B46" s="10">
        <f t="shared" ref="B46:H46" si="28">AVERAGE(B28:B43)</f>
        <v>6.8872486699508254E-2</v>
      </c>
      <c r="C46" s="10">
        <f t="shared" si="28"/>
        <v>0.10639093420503536</v>
      </c>
      <c r="D46" s="10">
        <f t="shared" si="28"/>
        <v>0.45274061958941114</v>
      </c>
      <c r="E46" s="10">
        <f t="shared" si="28"/>
        <v>1.0287177369708502</v>
      </c>
      <c r="F46" s="10">
        <f t="shared" si="28"/>
        <v>0.91350053342981052</v>
      </c>
      <c r="G46" s="10">
        <f t="shared" si="28"/>
        <v>1.9941868048722124</v>
      </c>
      <c r="H46" s="10">
        <f t="shared" si="28"/>
        <v>3.4598145136094001</v>
      </c>
      <c r="I46" s="10">
        <f>AVERAGE(I28:I43)</f>
        <v>4.8108274133126981E-2</v>
      </c>
      <c r="J46" s="9">
        <f>AVERAGE(J28:J43)</f>
        <v>3.8245936921759663E-2</v>
      </c>
      <c r="K46" s="9">
        <f t="shared" ref="K46:M46" si="29">AVERAGE(K28:K43)</f>
        <v>7.2624342466785674E-2</v>
      </c>
      <c r="L46" s="9">
        <f t="shared" si="29"/>
        <v>0.52195456967130949</v>
      </c>
      <c r="M46" s="9">
        <f t="shared" si="29"/>
        <v>1.1798547510947319</v>
      </c>
      <c r="N46" s="8" t="s">
        <v>0</v>
      </c>
      <c r="O46" s="10">
        <f t="shared" ref="O46:V46" si="30">AVERAGE(O28:O43)</f>
        <v>1</v>
      </c>
      <c r="P46" s="10">
        <f t="shared" si="30"/>
        <v>2.41709914655637</v>
      </c>
      <c r="Q46" s="10">
        <f t="shared" si="30"/>
        <v>7.6081390680820371E-2</v>
      </c>
      <c r="R46" s="10">
        <f t="shared" si="30"/>
        <v>1.6878656175513167</v>
      </c>
      <c r="S46" s="10">
        <f t="shared" si="30"/>
        <v>1.5386051372309331</v>
      </c>
      <c r="T46" s="10">
        <f t="shared" si="30"/>
        <v>1.8315639188164337</v>
      </c>
      <c r="U46" s="10">
        <f t="shared" si="30"/>
        <v>1.4292980759951297</v>
      </c>
      <c r="V46" s="10">
        <f t="shared" si="30"/>
        <v>2.8918942575102111</v>
      </c>
    </row>
    <row r="47" spans="1:22" x14ac:dyDescent="0.35">
      <c r="A47" s="8" t="s">
        <v>1</v>
      </c>
      <c r="B47" s="8">
        <f t="shared" ref="B47:M47" si="31">STDEV(B28:B43)</f>
        <v>5.5217171350771851E-2</v>
      </c>
      <c r="C47" s="8">
        <f t="shared" si="31"/>
        <v>0.14451551007938426</v>
      </c>
      <c r="D47" s="8">
        <f t="shared" si="31"/>
        <v>0.46594008501033868</v>
      </c>
      <c r="E47" s="8">
        <f t="shared" si="31"/>
        <v>0.58386831568819897</v>
      </c>
      <c r="F47" s="8">
        <f t="shared" si="31"/>
        <v>0.25567342995147202</v>
      </c>
      <c r="G47" s="8">
        <f t="shared" si="31"/>
        <v>0.24183414808018991</v>
      </c>
      <c r="H47" s="8">
        <f t="shared" si="31"/>
        <v>1.4752831181474559</v>
      </c>
      <c r="I47" s="8">
        <f t="shared" si="31"/>
        <v>5.1408128447833427E-2</v>
      </c>
      <c r="J47" s="8">
        <f t="shared" si="31"/>
        <v>1.4141887590171463E-2</v>
      </c>
      <c r="K47" s="8">
        <f t="shared" si="31"/>
        <v>7.2031207125710761E-2</v>
      </c>
      <c r="L47" s="8">
        <f t="shared" si="31"/>
        <v>0.5182584604836038</v>
      </c>
      <c r="M47" s="8">
        <f t="shared" si="31"/>
        <v>0.84557945681149449</v>
      </c>
      <c r="N47" s="8" t="s">
        <v>1</v>
      </c>
      <c r="O47" s="8">
        <f t="shared" ref="O47:V47" si="32">STDEV(O28:O43)</f>
        <v>0.66083995106451199</v>
      </c>
      <c r="P47" s="8">
        <f t="shared" si="32"/>
        <v>0.53828395653340644</v>
      </c>
      <c r="Q47" s="8">
        <f t="shared" si="32"/>
        <v>7.8501708368333672E-2</v>
      </c>
      <c r="R47" s="8">
        <f t="shared" si="32"/>
        <v>0.77579025647592248</v>
      </c>
      <c r="S47" s="8">
        <f t="shared" si="32"/>
        <v>0.88457778608576509</v>
      </c>
      <c r="T47" s="8">
        <f t="shared" si="32"/>
        <v>1.0271495584891741</v>
      </c>
      <c r="U47" s="8">
        <f t="shared" si="32"/>
        <v>0.49516856904842366</v>
      </c>
      <c r="V47" s="8">
        <f t="shared" si="32"/>
        <v>1.4873185031285496</v>
      </c>
    </row>
    <row r="48" spans="1:22" x14ac:dyDescent="0.35">
      <c r="A48" s="8" t="s">
        <v>2</v>
      </c>
      <c r="B48" s="8">
        <f t="shared" ref="B48:M48" si="33" xml:space="preserve"> B47/SQRT(COUNT(B28:B43))</f>
        <v>1.9522218150035166E-2</v>
      </c>
      <c r="C48" s="8">
        <f t="shared" si="33"/>
        <v>5.109394858188273E-2</v>
      </c>
      <c r="D48" s="8">
        <f t="shared" si="33"/>
        <v>0.16473469686872344</v>
      </c>
      <c r="E48" s="8">
        <f t="shared" si="33"/>
        <v>0.20642862267154666</v>
      </c>
      <c r="F48" s="8">
        <f t="shared" si="33"/>
        <v>9.0394208043954802E-2</v>
      </c>
      <c r="G48" s="8">
        <f t="shared" si="33"/>
        <v>8.5501283014986981E-2</v>
      </c>
      <c r="H48" s="8">
        <f t="shared" si="33"/>
        <v>0.52159134850605027</v>
      </c>
      <c r="I48" s="8">
        <f t="shared" si="33"/>
        <v>1.9430446177176024E-2</v>
      </c>
      <c r="J48" s="8">
        <f t="shared" si="33"/>
        <v>4.9999123068940618E-3</v>
      </c>
      <c r="K48" s="8">
        <f t="shared" si="33"/>
        <v>2.5466877507821419E-2</v>
      </c>
      <c r="L48" s="8">
        <f t="shared" si="33"/>
        <v>0.18323203590762829</v>
      </c>
      <c r="M48" s="8">
        <f t="shared" si="33"/>
        <v>0.29895748397172256</v>
      </c>
      <c r="N48" s="8" t="s">
        <v>2</v>
      </c>
      <c r="O48" s="8">
        <f t="shared" ref="O48:V48" si="34" xml:space="preserve"> O47/SQRT(COUNT(O28:O43))</f>
        <v>0.165209987766128</v>
      </c>
      <c r="P48" s="8">
        <f t="shared" si="34"/>
        <v>0.19031211793434824</v>
      </c>
      <c r="Q48" s="8">
        <f t="shared" si="34"/>
        <v>2.7754545160988742E-2</v>
      </c>
      <c r="R48" s="8">
        <f t="shared" si="34"/>
        <v>0.27428327556628784</v>
      </c>
      <c r="S48" s="8">
        <f t="shared" si="34"/>
        <v>0.31274547551411386</v>
      </c>
      <c r="T48" s="8">
        <f t="shared" si="34"/>
        <v>0.36315220905023166</v>
      </c>
      <c r="U48" s="8">
        <f t="shared" si="34"/>
        <v>0.17506852650228977</v>
      </c>
      <c r="V48" s="8">
        <f t="shared" si="34"/>
        <v>0.52584649967321129</v>
      </c>
    </row>
    <row r="49" spans="1:22" ht="15" thickBot="1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ht="26.5" thickBot="1" x14ac:dyDescent="0.65">
      <c r="A50" s="136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</row>
    <row r="51" spans="1:22" ht="15" thickBot="1" x14ac:dyDescent="0.4"/>
    <row r="52" spans="1:22" x14ac:dyDescent="0.35">
      <c r="A52" s="29" t="str">
        <f t="shared" ref="A52" si="35">A27</f>
        <v>Group names</v>
      </c>
      <c r="B52" s="30" t="str">
        <f t="shared" ref="B52:H52" si="36">B27</f>
        <v>Solvent control</v>
      </c>
      <c r="C52" s="30" t="str">
        <f t="shared" si="36"/>
        <v>EE2-33.8ng/L</v>
      </c>
      <c r="D52" s="30" t="str">
        <f t="shared" si="36"/>
        <v>EE2-50.6ng/L</v>
      </c>
      <c r="E52" s="30" t="str">
        <f t="shared" si="36"/>
        <v>EE2-76ng/L</v>
      </c>
      <c r="F52" s="30" t="str">
        <f t="shared" si="36"/>
        <v>EE2-114ng/L</v>
      </c>
      <c r="G52" s="30" t="str">
        <f t="shared" si="36"/>
        <v>EE2-170.9ng/L</v>
      </c>
      <c r="H52" s="30" t="str">
        <f t="shared" si="36"/>
        <v>EE2-488ng/L</v>
      </c>
      <c r="I52" s="30" t="str">
        <f>I4</f>
        <v>Triphenylphosphate-0,18mg/L</v>
      </c>
      <c r="J52" s="30" t="str">
        <f>J4</f>
        <v>Triphenylphosphate-0,26mg/L</v>
      </c>
      <c r="K52" s="30" t="str">
        <f t="shared" ref="K52:M52" si="37">K4</f>
        <v>Triphenylphosphate-0,4mg/L</v>
      </c>
      <c r="L52" s="30" t="str">
        <f t="shared" si="37"/>
        <v>Triphenylphosphate-0,59mg/L</v>
      </c>
      <c r="M52" s="30" t="str">
        <f t="shared" si="37"/>
        <v>Triphenylphosphate-0,89mg/L</v>
      </c>
      <c r="N52" s="31"/>
      <c r="O52" s="30" t="str">
        <f>O27</f>
        <v>Testo -30µg/L</v>
      </c>
      <c r="P52" s="30" t="str">
        <f>P27</f>
        <v>Testo 30µg/L + EE2 -64ng/L</v>
      </c>
      <c r="Q52" s="30" t="str">
        <f>Q27</f>
        <v>Testo 30µg/L + FAD-10mg/L</v>
      </c>
      <c r="R52" s="30" t="str">
        <f>R27</f>
        <v>Triphenylphosphate-0,18mg/L + Testostérone</v>
      </c>
      <c r="S52" s="30" t="str">
        <f t="shared" ref="S52:V52" si="38">S27</f>
        <v>Triphenylphosphate-0,26mg/L + Testostérone</v>
      </c>
      <c r="T52" s="30" t="str">
        <f t="shared" si="38"/>
        <v>Triphenylphosphate-0,4mg/L + Testostérone</v>
      </c>
      <c r="U52" s="30" t="str">
        <f t="shared" si="38"/>
        <v>Triphenylphosphate-0,59mg/L + Testostérone</v>
      </c>
      <c r="V52" s="30" t="str">
        <f t="shared" si="38"/>
        <v>Triphenylphosphate-0,89mg/L + Testostérone</v>
      </c>
    </row>
    <row r="53" spans="1:22" s="3" customFormat="1" x14ac:dyDescent="0.35">
      <c r="A53" s="45" t="s">
        <v>10</v>
      </c>
      <c r="B53" s="78">
        <f t="shared" ref="B53:V53" si="39">B46</f>
        <v>6.8872486699508254E-2</v>
      </c>
      <c r="C53" s="78">
        <f t="shared" si="39"/>
        <v>0.10639093420503536</v>
      </c>
      <c r="D53" s="78">
        <f t="shared" si="39"/>
        <v>0.45274061958941114</v>
      </c>
      <c r="E53" s="78">
        <f t="shared" si="39"/>
        <v>1.0287177369708502</v>
      </c>
      <c r="F53" s="78">
        <f t="shared" si="39"/>
        <v>0.91350053342981052</v>
      </c>
      <c r="G53" s="78">
        <f t="shared" si="39"/>
        <v>1.9941868048722124</v>
      </c>
      <c r="H53" s="78">
        <f t="shared" si="39"/>
        <v>3.4598145136094001</v>
      </c>
      <c r="I53" s="78">
        <f t="shared" si="39"/>
        <v>4.8108274133126981E-2</v>
      </c>
      <c r="J53" s="78">
        <f t="shared" si="39"/>
        <v>3.8245936921759663E-2</v>
      </c>
      <c r="K53" s="78">
        <f t="shared" si="39"/>
        <v>7.2624342466785674E-2</v>
      </c>
      <c r="L53" s="78">
        <f t="shared" si="39"/>
        <v>0.52195456967130949</v>
      </c>
      <c r="M53" s="78">
        <f t="shared" si="39"/>
        <v>1.1798547510947319</v>
      </c>
      <c r="N53" s="78"/>
      <c r="O53" s="78">
        <f t="shared" si="39"/>
        <v>1</v>
      </c>
      <c r="P53" s="78">
        <f t="shared" si="39"/>
        <v>2.41709914655637</v>
      </c>
      <c r="Q53" s="78">
        <f t="shared" si="39"/>
        <v>7.6081390680820371E-2</v>
      </c>
      <c r="R53" s="78">
        <f t="shared" si="39"/>
        <v>1.6878656175513167</v>
      </c>
      <c r="S53" s="78">
        <f t="shared" si="39"/>
        <v>1.5386051372309331</v>
      </c>
      <c r="T53" s="78">
        <f t="shared" si="39"/>
        <v>1.8315639188164337</v>
      </c>
      <c r="U53" s="78">
        <f t="shared" si="39"/>
        <v>1.4292980759951297</v>
      </c>
      <c r="V53" s="78">
        <f t="shared" si="39"/>
        <v>2.8918942575102111</v>
      </c>
    </row>
    <row r="54" spans="1:22" s="3" customFormat="1" x14ac:dyDescent="0.35">
      <c r="A54" s="45" t="s">
        <v>2</v>
      </c>
      <c r="B54" s="78">
        <f t="shared" ref="B54:V54" si="40">B48</f>
        <v>1.9522218150035166E-2</v>
      </c>
      <c r="C54" s="78">
        <f t="shared" si="40"/>
        <v>5.109394858188273E-2</v>
      </c>
      <c r="D54" s="78">
        <f t="shared" si="40"/>
        <v>0.16473469686872344</v>
      </c>
      <c r="E54" s="78">
        <f t="shared" si="40"/>
        <v>0.20642862267154666</v>
      </c>
      <c r="F54" s="78">
        <f t="shared" si="40"/>
        <v>9.0394208043954802E-2</v>
      </c>
      <c r="G54" s="78">
        <f t="shared" si="40"/>
        <v>8.5501283014986981E-2</v>
      </c>
      <c r="H54" s="78">
        <f t="shared" si="40"/>
        <v>0.52159134850605027</v>
      </c>
      <c r="I54" s="78">
        <f t="shared" si="40"/>
        <v>1.9430446177176024E-2</v>
      </c>
      <c r="J54" s="78">
        <f t="shared" si="40"/>
        <v>4.9999123068940618E-3</v>
      </c>
      <c r="K54" s="78">
        <f t="shared" si="40"/>
        <v>2.5466877507821419E-2</v>
      </c>
      <c r="L54" s="78">
        <f t="shared" si="40"/>
        <v>0.18323203590762829</v>
      </c>
      <c r="M54" s="78">
        <f t="shared" si="40"/>
        <v>0.29895748397172256</v>
      </c>
      <c r="N54" s="78"/>
      <c r="O54" s="78">
        <f t="shared" si="40"/>
        <v>0.165209987766128</v>
      </c>
      <c r="P54" s="78">
        <f t="shared" si="40"/>
        <v>0.19031211793434824</v>
      </c>
      <c r="Q54" s="78">
        <f t="shared" si="40"/>
        <v>2.7754545160988742E-2</v>
      </c>
      <c r="R54" s="78">
        <f t="shared" si="40"/>
        <v>0.27428327556628784</v>
      </c>
      <c r="S54" s="78">
        <f t="shared" si="40"/>
        <v>0.31274547551411386</v>
      </c>
      <c r="T54" s="78">
        <f t="shared" si="40"/>
        <v>0.36315220905023166</v>
      </c>
      <c r="U54" s="78">
        <f t="shared" si="40"/>
        <v>0.17506852650228977</v>
      </c>
      <c r="V54" s="78">
        <f t="shared" si="40"/>
        <v>0.52584649967321129</v>
      </c>
    </row>
    <row r="55" spans="1:22" s="3" customFormat="1" x14ac:dyDescent="0.35">
      <c r="A55" s="45" t="s">
        <v>14</v>
      </c>
      <c r="B55" s="78">
        <f>(B53*100/$B53)-100</f>
        <v>0</v>
      </c>
      <c r="C55" s="78">
        <f t="shared" ref="C55:M55" si="41">(C53*100/$B53)-100</f>
        <v>54.475232859270307</v>
      </c>
      <c r="D55" s="78">
        <f t="shared" si="41"/>
        <v>557.36064034499816</v>
      </c>
      <c r="E55" s="78">
        <f t="shared" si="41"/>
        <v>1393.6555746261376</v>
      </c>
      <c r="F55" s="78">
        <f t="shared" si="41"/>
        <v>1226.3649640173844</v>
      </c>
      <c r="G55" s="78">
        <f t="shared" si="41"/>
        <v>2795.4766996767244</v>
      </c>
      <c r="H55" s="78">
        <f t="shared" si="41"/>
        <v>4923.5074692520184</v>
      </c>
      <c r="I55" s="78">
        <f t="shared" si="41"/>
        <v>-30.148777198906515</v>
      </c>
      <c r="J55" s="78">
        <f t="shared" si="41"/>
        <v>-44.468482619732768</v>
      </c>
      <c r="K55" s="78">
        <f t="shared" si="41"/>
        <v>5.4475392817553114</v>
      </c>
      <c r="L55" s="78">
        <f t="shared" si="41"/>
        <v>657.85643104278427</v>
      </c>
      <c r="M55" s="78">
        <f t="shared" si="41"/>
        <v>1613.100263451292</v>
      </c>
      <c r="N55" s="78"/>
      <c r="O55" s="78">
        <f t="shared" ref="O55:V55" si="42">(O53*100/$O53)-100</f>
        <v>0</v>
      </c>
      <c r="P55" s="78">
        <f t="shared" si="42"/>
        <v>141.70991465563699</v>
      </c>
      <c r="Q55" s="78">
        <f t="shared" si="42"/>
        <v>-92.391860931917961</v>
      </c>
      <c r="R55" s="78">
        <f t="shared" si="42"/>
        <v>68.786561755131657</v>
      </c>
      <c r="S55" s="78">
        <f t="shared" si="42"/>
        <v>53.860513723093305</v>
      </c>
      <c r="T55" s="78">
        <f t="shared" si="42"/>
        <v>83.156391881643373</v>
      </c>
      <c r="U55" s="78">
        <f t="shared" si="42"/>
        <v>42.929807599512969</v>
      </c>
      <c r="V55" s="78">
        <f t="shared" si="42"/>
        <v>189.18942575102113</v>
      </c>
    </row>
    <row r="56" spans="1:22" s="3" customFormat="1" x14ac:dyDescent="0.35">
      <c r="A56" s="45" t="s">
        <v>38</v>
      </c>
      <c r="B56" s="78" t="e">
        <f ca="1">[1]!SWTEST(B28:B43)</f>
        <v>#NAME?</v>
      </c>
      <c r="C56" s="78" t="e">
        <f ca="1">[1]!SWTEST(C28:C43)</f>
        <v>#NAME?</v>
      </c>
      <c r="D56" s="78" t="e">
        <f ca="1">[1]!SWTEST(D28:D43)</f>
        <v>#NAME?</v>
      </c>
      <c r="E56" s="78" t="e">
        <f ca="1">[1]!SWTEST(E28:E43)</f>
        <v>#NAME?</v>
      </c>
      <c r="F56" s="78" t="e">
        <f ca="1">[1]!SWTEST(F28:F43)</f>
        <v>#NAME?</v>
      </c>
      <c r="G56" s="78" t="e">
        <f ca="1">[1]!SWTEST(G28:G43)</f>
        <v>#NAME?</v>
      </c>
      <c r="H56" s="78" t="e">
        <f ca="1">[1]!SWTEST(H28:H43)</f>
        <v>#NAME?</v>
      </c>
      <c r="I56" s="78" t="e">
        <f ca="1">[1]!SWTEST(I28:I43)</f>
        <v>#NAME?</v>
      </c>
      <c r="J56" s="78" t="e">
        <f ca="1">[1]!SWTEST(J28:J43)</f>
        <v>#NAME?</v>
      </c>
      <c r="K56" s="78" t="e">
        <f ca="1">[1]!SWTEST(K28:K43)</f>
        <v>#NAME?</v>
      </c>
      <c r="L56" s="78" t="e">
        <f ca="1">[1]!SWTEST(L28:L43)</f>
        <v>#NAME?</v>
      </c>
      <c r="M56" s="78" t="e">
        <f ca="1">[1]!SWTEST(M28:M43)</f>
        <v>#NAME?</v>
      </c>
      <c r="N56" s="78"/>
      <c r="O56" s="78" t="e">
        <f ca="1">[1]!SWTEST(O28:O43)</f>
        <v>#NAME?</v>
      </c>
      <c r="P56" s="78" t="e">
        <f ca="1">[1]!SWTEST(P28:P43)</f>
        <v>#NAME?</v>
      </c>
      <c r="Q56" s="78" t="e">
        <f ca="1">[1]!SWTEST(Q28:Q43)</f>
        <v>#NAME?</v>
      </c>
      <c r="R56" s="78" t="e">
        <f ca="1">[1]!SWTEST(R28:R43)</f>
        <v>#NAME?</v>
      </c>
      <c r="S56" s="78" t="e">
        <f ca="1">[1]!SWTEST(S28:S43)</f>
        <v>#NAME?</v>
      </c>
      <c r="T56" s="78" t="e">
        <f ca="1">[1]!SWTEST(T28:T43)</f>
        <v>#NAME?</v>
      </c>
      <c r="U56" s="78" t="e">
        <f ca="1">[1]!SWTEST(U28:U43)</f>
        <v>#NAME?</v>
      </c>
      <c r="V56" s="78" t="e">
        <f ca="1">[1]!SWTEST(V28:V43)</f>
        <v>#NAME?</v>
      </c>
    </row>
    <row r="57" spans="1:22" s="3" customFormat="1" x14ac:dyDescent="0.35">
      <c r="A57" s="45" t="s">
        <v>39</v>
      </c>
      <c r="B57" s="78" t="e">
        <f ca="1">IF(B56&gt;0.05,"Oui","Non")</f>
        <v>#NAME?</v>
      </c>
      <c r="C57" s="78" t="e">
        <f t="shared" ref="C57:V57" ca="1" si="43">IF(C56&gt;0.05,"Oui","Non")</f>
        <v>#NAME?</v>
      </c>
      <c r="D57" s="78" t="e">
        <f t="shared" ca="1" si="43"/>
        <v>#NAME?</v>
      </c>
      <c r="E57" s="78" t="e">
        <f t="shared" ca="1" si="43"/>
        <v>#NAME?</v>
      </c>
      <c r="F57" s="78" t="e">
        <f t="shared" ca="1" si="43"/>
        <v>#NAME?</v>
      </c>
      <c r="G57" s="78" t="e">
        <f t="shared" ca="1" si="43"/>
        <v>#NAME?</v>
      </c>
      <c r="H57" s="78" t="e">
        <f t="shared" ca="1" si="43"/>
        <v>#NAME?</v>
      </c>
      <c r="I57" s="78" t="e">
        <f t="shared" ca="1" si="43"/>
        <v>#NAME?</v>
      </c>
      <c r="J57" s="78" t="e">
        <f t="shared" ca="1" si="43"/>
        <v>#NAME?</v>
      </c>
      <c r="K57" s="78" t="e">
        <f t="shared" ca="1" si="43"/>
        <v>#NAME?</v>
      </c>
      <c r="L57" s="78" t="e">
        <f t="shared" ca="1" si="43"/>
        <v>#NAME?</v>
      </c>
      <c r="M57" s="78" t="e">
        <f t="shared" ca="1" si="43"/>
        <v>#NAME?</v>
      </c>
      <c r="N57" s="78"/>
      <c r="O57" s="78" t="e">
        <f t="shared" ca="1" si="43"/>
        <v>#NAME?</v>
      </c>
      <c r="P57" s="78" t="e">
        <f t="shared" ca="1" si="43"/>
        <v>#NAME?</v>
      </c>
      <c r="Q57" s="78" t="e">
        <f t="shared" ca="1" si="43"/>
        <v>#NAME?</v>
      </c>
      <c r="R57" s="78" t="e">
        <f t="shared" ca="1" si="43"/>
        <v>#NAME?</v>
      </c>
      <c r="S57" s="78" t="e">
        <f t="shared" ca="1" si="43"/>
        <v>#NAME?</v>
      </c>
      <c r="T57" s="78" t="e">
        <f t="shared" ca="1" si="43"/>
        <v>#NAME?</v>
      </c>
      <c r="U57" s="78" t="e">
        <f t="shared" ca="1" si="43"/>
        <v>#NAME?</v>
      </c>
      <c r="V57" s="78" t="e">
        <f t="shared" ca="1" si="43"/>
        <v>#NAME?</v>
      </c>
    </row>
    <row r="58" spans="1:22" s="3" customFormat="1" x14ac:dyDescent="0.35">
      <c r="A58" s="45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80"/>
      <c r="O58" s="81"/>
      <c r="P58" s="78"/>
      <c r="Q58" s="78"/>
      <c r="R58" s="78"/>
      <c r="S58" s="78"/>
      <c r="T58" s="78"/>
      <c r="U58" s="78"/>
      <c r="V58" s="78"/>
    </row>
    <row r="59" spans="1:22" s="3" customFormat="1" x14ac:dyDescent="0.35">
      <c r="A59" s="45" t="s">
        <v>40</v>
      </c>
      <c r="B59" s="82"/>
      <c r="C59" s="82" t="e">
        <f t="shared" ref="C59:O59" ca="1" si="44">IF($B57="Non",IF(C57="Non","MW",IF(C57="Oui","MW","")),IF($B57="Oui",IF(C57="Oui","T-Test Welch",IF(C57="Non","MW",""))))</f>
        <v>#NAME?</v>
      </c>
      <c r="D59" s="82" t="e">
        <f t="shared" ca="1" si="44"/>
        <v>#NAME?</v>
      </c>
      <c r="E59" s="82" t="e">
        <f t="shared" ca="1" si="44"/>
        <v>#NAME?</v>
      </c>
      <c r="F59" s="82" t="e">
        <f t="shared" ca="1" si="44"/>
        <v>#NAME?</v>
      </c>
      <c r="G59" s="82" t="e">
        <f t="shared" ca="1" si="44"/>
        <v>#NAME?</v>
      </c>
      <c r="H59" s="82" t="e">
        <f t="shared" ca="1" si="44"/>
        <v>#NAME?</v>
      </c>
      <c r="I59" s="82" t="e">
        <f t="shared" ca="1" si="44"/>
        <v>#NAME?</v>
      </c>
      <c r="J59" s="82" t="e">
        <f t="shared" ca="1" si="44"/>
        <v>#NAME?</v>
      </c>
      <c r="K59" s="82" t="e">
        <f t="shared" ca="1" si="44"/>
        <v>#NAME?</v>
      </c>
      <c r="L59" s="82" t="e">
        <f t="shared" ca="1" si="44"/>
        <v>#NAME?</v>
      </c>
      <c r="M59" s="82" t="e">
        <f t="shared" ca="1" si="44"/>
        <v>#NAME?</v>
      </c>
      <c r="N59" s="82"/>
      <c r="O59" s="82" t="e">
        <f t="shared" ca="1" si="44"/>
        <v>#NAME?</v>
      </c>
      <c r="P59" s="82" t="e">
        <f t="shared" ref="P59:V59" ca="1" si="45">IF($O57="Non",IF(P57="Non","MW",IF(P57="Oui","MW","")),IF($O57="Oui",IF(P57="Oui","T-Test Welch",IF(P57="Non","MW",""))))</f>
        <v>#NAME?</v>
      </c>
      <c r="Q59" s="82" t="e">
        <f t="shared" ca="1" si="45"/>
        <v>#NAME?</v>
      </c>
      <c r="R59" s="82" t="e">
        <f t="shared" ca="1" si="45"/>
        <v>#NAME?</v>
      </c>
      <c r="S59" s="82" t="e">
        <f t="shared" ca="1" si="45"/>
        <v>#NAME?</v>
      </c>
      <c r="T59" s="82" t="e">
        <f t="shared" ca="1" si="45"/>
        <v>#NAME?</v>
      </c>
      <c r="U59" s="82" t="e">
        <f t="shared" ca="1" si="45"/>
        <v>#NAME?</v>
      </c>
      <c r="V59" s="82" t="e">
        <f t="shared" ca="1" si="45"/>
        <v>#NAME?</v>
      </c>
    </row>
    <row r="60" spans="1:22" s="3" customFormat="1" x14ac:dyDescent="0.35">
      <c r="A60" s="45" t="s">
        <v>41</v>
      </c>
      <c r="B60" s="83"/>
      <c r="C60" s="83" t="e">
        <f ca="1">IF(C59="MW",[1]!MTEST($B28:$B43,C28:C43,2), IF(C59="T-Test Welch",_xlfn.T.TEST($B28:$B43,C28:C43,2,3),""))</f>
        <v>#NAME?</v>
      </c>
      <c r="D60" s="83" t="e">
        <f ca="1">IF(D59="MW",[1]!MTEST($B28:$B43,D28:D43,2), IF(D59="T-Test Welch",_xlfn.T.TEST($B28:$B43,D28:D43,2,3),""))</f>
        <v>#NAME?</v>
      </c>
      <c r="E60" s="83" t="e">
        <f ca="1">IF(E59="MW",[1]!MTEST($B28:$B43,E28:E43,2), IF(E59="T-Test Welch",_xlfn.T.TEST($B28:$B43,E28:E43,2,3),""))</f>
        <v>#NAME?</v>
      </c>
      <c r="F60" s="83" t="e">
        <f ca="1">IF(F59="MW",[1]!MTEST($B28:$B43,F28:F43,2), IF(F59="T-Test Welch",_xlfn.T.TEST($B28:$B43,F28:F43,2,3),""))</f>
        <v>#NAME?</v>
      </c>
      <c r="G60" s="83" t="e">
        <f ca="1">IF(G59="MW",[1]!MTEST($B28:$B43,G28:G43,2), IF(G59="T-Test Welch",_xlfn.T.TEST($B28:$B43,G28:G43,2,3),""))</f>
        <v>#NAME?</v>
      </c>
      <c r="H60" s="83" t="e">
        <f ca="1">IF(H59="MW",[1]!MTEST($B28:$B43,H28:H43,2), IF(H59="T-Test Welch",_xlfn.T.TEST($B28:$B43,H28:H43,2,3),""))</f>
        <v>#NAME?</v>
      </c>
      <c r="I60" s="83" t="e">
        <f ca="1">IF(I59="MW",[1]!MTEST($B28:$B43,I28:I43,2), IF(I59="T-Test Welch",_xlfn.T.TEST($B28:$B43,I28:I43,2,3),""))</f>
        <v>#NAME?</v>
      </c>
      <c r="J60" s="83" t="e">
        <f ca="1">IF(J59="MW",[1]!MTEST($B28:$B43,J28:J43,2), IF(J59="T-Test Welch",_xlfn.T.TEST($B28:$B43,J28:J43,2,3),""))</f>
        <v>#NAME?</v>
      </c>
      <c r="K60" s="83" t="e">
        <f ca="1">IF(K59="MW",[1]!MTEST($B28:$B43,K28:K43,2), IF(K59="T-Test Welch",_xlfn.T.TEST($B28:$B43,K28:K43,2,3),""))</f>
        <v>#NAME?</v>
      </c>
      <c r="L60" s="83" t="e">
        <f ca="1">IF(L59="MW",[1]!MTEST($B28:$B43,L28:L43,2), IF(L59="T-Test Welch",_xlfn.T.TEST($B28:$B43,L28:L43,2,3),""))</f>
        <v>#NAME?</v>
      </c>
      <c r="M60" s="83" t="e">
        <f ca="1">IF(M59="MW",[1]!MTEST($B28:$B43,M28:M43,2), IF(M59="T-Test Welch",_xlfn.T.TEST($B28:$B43,M28:M43,2,3),""))</f>
        <v>#NAME?</v>
      </c>
      <c r="N60" s="83"/>
      <c r="O60" s="83" t="e">
        <f ca="1">IF(O59="MW",[1]!MTEST($B28:$B43,O28:O43,2), IF(O59="T-Test Welch",_xlfn.T.TEST($B28:$B43,O28:O43,2,3),""))</f>
        <v>#NAME?</v>
      </c>
      <c r="P60" s="83" t="e">
        <f ca="1">IF(P59="MW",[1]!MTEST($O28:$O43,P28:P43,2), IF(P59="T-Test Welch",_xlfn.T.TEST($O28:$O43,P28:P43,2,3),""))</f>
        <v>#NAME?</v>
      </c>
      <c r="Q60" s="83" t="e">
        <f ca="1">IF(Q59="MW",[1]!MTEST($O28:$O43,Q28:Q43,2), IF(Q59="T-Test Welch",_xlfn.T.TEST($O28:$O43,Q28:Q43,2,3),""))</f>
        <v>#NAME?</v>
      </c>
      <c r="R60" s="83" t="e">
        <f ca="1">IF(R59="MW",[1]!MTEST($O28:$O43,R28:R43,2), IF(R59="T-Test Welch",_xlfn.T.TEST($O28:$O43,R28:R43,2,3),""))</f>
        <v>#NAME?</v>
      </c>
      <c r="S60" s="83" t="e">
        <f ca="1">IF(S59="MW",[1]!MTEST($O28:$O43,S28:S43,2), IF(S59="T-Test Welch",_xlfn.T.TEST($O28:$O43,S28:S43,2,3),""))</f>
        <v>#NAME?</v>
      </c>
      <c r="T60" s="83" t="e">
        <f ca="1">IF(T59="MW",[1]!MTEST($O28:$O43,T28:T43,2), IF(T59="T-Test Welch",_xlfn.T.TEST($O28:$O43,T28:T43,2,3),""))</f>
        <v>#NAME?</v>
      </c>
      <c r="U60" s="83" t="e">
        <f ca="1">IF(U59="MW",[1]!MTEST($O28:$O43,U28:U43,2), IF(U59="T-Test Welch",_xlfn.T.TEST($O28:$O43,U28:U43,2,3),""))</f>
        <v>#NAME?</v>
      </c>
      <c r="V60" s="83" t="e">
        <f ca="1">IF(V59="MW",[1]!MTEST($O28:$O43,V28:V43,2), IF(V59="T-Test Welch",_xlfn.T.TEST($O28:$O43,V28:V43,2,3),""))</f>
        <v>#NAME?</v>
      </c>
    </row>
    <row r="61" spans="1:22" s="3" customFormat="1" ht="15" thickBot="1" x14ac:dyDescent="0.4">
      <c r="A61" s="46" t="s">
        <v>15</v>
      </c>
      <c r="B61" s="79"/>
      <c r="C61" s="79" t="e">
        <f t="shared" ref="C61:O61" ca="1" si="46">IF(C60&gt;0.05,"NS",IF(C60&gt;0.01,"*",IF(C60&gt;0.001,"**","***")))</f>
        <v>#NAME?</v>
      </c>
      <c r="D61" s="79" t="e">
        <f t="shared" ca="1" si="46"/>
        <v>#NAME?</v>
      </c>
      <c r="E61" s="79" t="e">
        <f t="shared" ca="1" si="46"/>
        <v>#NAME?</v>
      </c>
      <c r="F61" s="79" t="e">
        <f t="shared" ca="1" si="46"/>
        <v>#NAME?</v>
      </c>
      <c r="G61" s="79" t="e">
        <f t="shared" ca="1" si="46"/>
        <v>#NAME?</v>
      </c>
      <c r="H61" s="79" t="e">
        <f t="shared" ca="1" si="46"/>
        <v>#NAME?</v>
      </c>
      <c r="I61" s="79" t="e">
        <f t="shared" ca="1" si="46"/>
        <v>#NAME?</v>
      </c>
      <c r="J61" s="79" t="e">
        <f t="shared" ca="1" si="46"/>
        <v>#NAME?</v>
      </c>
      <c r="K61" s="79" t="e">
        <f t="shared" ca="1" si="46"/>
        <v>#NAME?</v>
      </c>
      <c r="L61" s="79" t="e">
        <f t="shared" ca="1" si="46"/>
        <v>#NAME?</v>
      </c>
      <c r="M61" s="79" t="e">
        <f t="shared" ca="1" si="46"/>
        <v>#NAME?</v>
      </c>
      <c r="N61" s="79"/>
      <c r="O61" s="79" t="e">
        <f t="shared" ca="1" si="46"/>
        <v>#NAME?</v>
      </c>
      <c r="P61" s="79" t="e">
        <f ca="1">IF(P60&gt;0.05,"NS",IF(P60&gt;0.01,"*",IF(P60&gt;0.001,"**","***")))</f>
        <v>#NAME?</v>
      </c>
      <c r="Q61" s="79" t="e">
        <f t="shared" ref="Q61:V61" ca="1" si="47">IF(Q60&gt;0.05,"NS",IF(Q60&gt;0.01,"*",IF(Q60&gt;0.001,"**","***")))</f>
        <v>#NAME?</v>
      </c>
      <c r="R61" s="79" t="e">
        <f t="shared" ca="1" si="47"/>
        <v>#NAME?</v>
      </c>
      <c r="S61" s="79" t="e">
        <f t="shared" ca="1" si="47"/>
        <v>#NAME?</v>
      </c>
      <c r="T61" s="79" t="e">
        <f t="shared" ca="1" si="47"/>
        <v>#NAME?</v>
      </c>
      <c r="U61" s="79" t="e">
        <f t="shared" ca="1" si="47"/>
        <v>#NAME?</v>
      </c>
      <c r="V61" s="79" t="e">
        <f t="shared" ca="1" si="47"/>
        <v>#NAME?</v>
      </c>
    </row>
    <row r="63" spans="1:22" x14ac:dyDescent="0.35">
      <c r="A63" s="2"/>
    </row>
    <row r="66" spans="1:22" ht="15" thickBot="1" x14ac:dyDescent="0.4"/>
    <row r="67" spans="1:22" ht="26.5" thickBot="1" x14ac:dyDescent="0.65">
      <c r="A67" s="136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</row>
    <row r="68" spans="1:22" ht="16.5" x14ac:dyDescent="0.35">
      <c r="A68" s="12"/>
      <c r="B68" s="12"/>
      <c r="C68" s="12"/>
      <c r="D68" s="12"/>
      <c r="E68" s="12"/>
      <c r="F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ht="16.5" x14ac:dyDescent="0.35">
      <c r="A69" s="12"/>
      <c r="B69" s="12"/>
      <c r="C69" s="12"/>
      <c r="D69" s="12"/>
      <c r="E69" s="12"/>
      <c r="F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ht="16.5" x14ac:dyDescent="0.35">
      <c r="A70" s="12"/>
      <c r="B70" s="12"/>
      <c r="C70" s="12"/>
      <c r="D70" s="12"/>
      <c r="E70" s="12"/>
      <c r="F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ht="16.5" x14ac:dyDescent="0.35">
      <c r="A71" s="12"/>
      <c r="B71" s="12"/>
      <c r="C71" s="12"/>
      <c r="D71" s="12"/>
      <c r="E71" s="12"/>
      <c r="F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ht="16.5" x14ac:dyDescent="0.35">
      <c r="A72" s="12"/>
      <c r="B72" s="12"/>
      <c r="C72" s="12"/>
      <c r="D72" s="12"/>
      <c r="E72" s="12"/>
      <c r="F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ht="16.5" x14ac:dyDescent="0.35">
      <c r="A73" s="12"/>
      <c r="B73" s="12"/>
      <c r="C73" s="12"/>
      <c r="D73" s="12"/>
      <c r="E73" s="12"/>
      <c r="F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ht="16.5" x14ac:dyDescent="0.35">
      <c r="A74" s="12"/>
      <c r="B74" s="12"/>
      <c r="C74" s="12"/>
      <c r="D74" s="12"/>
      <c r="E74" s="12"/>
      <c r="F74" s="12"/>
      <c r="N74" s="12"/>
      <c r="O74" s="12"/>
      <c r="P74" s="12"/>
      <c r="Q74" s="12"/>
      <c r="R74" s="12"/>
      <c r="S74" s="12"/>
      <c r="T74" s="12"/>
      <c r="U74" s="12"/>
      <c r="V74" s="12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11"/>
  <sheetViews>
    <sheetView showGridLines="0" tabSelected="1" topLeftCell="I73" zoomScale="70" zoomScaleNormal="70" workbookViewId="0">
      <selection activeCell="S85" sqref="S85"/>
    </sheetView>
  </sheetViews>
  <sheetFormatPr baseColWidth="10" defaultRowHeight="14.5" x14ac:dyDescent="0.35"/>
  <cols>
    <col min="1" max="1" width="42.81640625" customWidth="1"/>
    <col min="2" max="2" width="14" bestFit="1" customWidth="1"/>
    <col min="3" max="13" width="22.7265625" bestFit="1" customWidth="1"/>
    <col min="14" max="14" width="8.453125" customWidth="1"/>
    <col min="15" max="15" width="22.7265625" customWidth="1"/>
    <col min="18" max="22" width="29.1796875" customWidth="1"/>
  </cols>
  <sheetData>
    <row r="1" spans="1:22" s="1" customFormat="1" ht="21.5" thickBot="1" x14ac:dyDescent="0.4">
      <c r="A1" s="22"/>
      <c r="B1" s="39"/>
      <c r="C1" s="23"/>
      <c r="D1" s="23"/>
      <c r="E1" s="23"/>
      <c r="F1" s="23"/>
      <c r="G1" s="23"/>
      <c r="H1" s="40"/>
      <c r="I1" s="39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</row>
    <row r="2" spans="1:22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8" customFormat="1" ht="15" thickBot="1" x14ac:dyDescent="0.4">
      <c r="B3" s="142" t="s">
        <v>42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55"/>
      <c r="O3" s="142" t="s">
        <v>43</v>
      </c>
      <c r="P3" s="143"/>
      <c r="Q3" s="143"/>
      <c r="R3" s="143"/>
      <c r="S3" s="143"/>
      <c r="T3" s="143"/>
      <c r="U3" s="143"/>
      <c r="V3" s="143"/>
    </row>
    <row r="4" spans="1:22" x14ac:dyDescent="0.35">
      <c r="A4" s="19"/>
      <c r="B4" s="20" t="str">
        <f>'R1'!B4</f>
        <v>Solvent control</v>
      </c>
      <c r="C4" s="20" t="str">
        <f>'R1'!C4</f>
        <v>EE2-33.8ng/L</v>
      </c>
      <c r="D4" s="20" t="str">
        <f>'R1'!D4</f>
        <v>EE2-50.6ng/L</v>
      </c>
      <c r="E4" s="20" t="str">
        <f>'R1'!E4</f>
        <v>EE2-76ng/L</v>
      </c>
      <c r="F4" s="20" t="str">
        <f>'R1'!F4</f>
        <v>EE2-114ng/L</v>
      </c>
      <c r="G4" s="20" t="str">
        <f>'R1'!G4</f>
        <v>EE2-170.9ng/L</v>
      </c>
      <c r="H4" s="20" t="str">
        <f>'R1'!H4</f>
        <v>EE2-488ng/L</v>
      </c>
      <c r="I4" s="20" t="str">
        <f>'R1'!I4</f>
        <v>Triphenylphosphate-0,18mg/L</v>
      </c>
      <c r="J4" s="20" t="str">
        <f>'R1'!J4</f>
        <v>Triphenylphosphate-0,26mg/L</v>
      </c>
      <c r="K4" s="20" t="str">
        <f>'R1'!K4</f>
        <v>Triphenylphosphate-0,4mg/L</v>
      </c>
      <c r="L4" s="20" t="str">
        <f>'R1'!L4</f>
        <v>Triphenylphosphate-0,59mg/L</v>
      </c>
      <c r="M4" s="20" t="str">
        <f>'R1'!M4</f>
        <v>Triphenylphosphate-0,89mg/L</v>
      </c>
      <c r="O4" s="20" t="str">
        <f>'R1'!O4</f>
        <v>Testo -30µg/L</v>
      </c>
      <c r="P4" s="20" t="str">
        <f>'R1'!P4</f>
        <v>Testo 30µg/L + EE2 -64ng/L</v>
      </c>
      <c r="Q4" s="20" t="str">
        <f>'R1'!Q4</f>
        <v>Testo 30µg/L + FAD-10mg/L</v>
      </c>
      <c r="R4" s="20" t="str">
        <f>'R1'!R4</f>
        <v>Triphenylphosphate-0,18mg/L + Testostérone</v>
      </c>
      <c r="S4" s="20" t="str">
        <f>'R1'!S4</f>
        <v>Triphenylphosphate-0,26mg/L + Testostérone</v>
      </c>
      <c r="T4" s="20" t="str">
        <f>'R1'!T4</f>
        <v>Triphenylphosphate-0,4mg/L + Testostérone</v>
      </c>
      <c r="U4" s="20" t="str">
        <f>'R1'!U4</f>
        <v>Triphenylphosphate-0,59mg/L + Testostérone</v>
      </c>
      <c r="V4" s="20" t="str">
        <f>'R1'!V4</f>
        <v>Triphenylphosphate-0,89mg/L + Testostérone</v>
      </c>
    </row>
    <row r="5" spans="1:22" s="1" customFormat="1" x14ac:dyDescent="0.35">
      <c r="A5" s="19"/>
      <c r="B5" s="20"/>
      <c r="C5" s="115"/>
      <c r="D5" s="20"/>
      <c r="E5" s="20"/>
      <c r="F5" s="20"/>
      <c r="G5" s="20"/>
      <c r="H5" s="20"/>
      <c r="I5" s="20"/>
      <c r="J5" s="20"/>
      <c r="K5" s="20"/>
      <c r="L5" s="20"/>
      <c r="M5" s="20"/>
      <c r="O5" s="20"/>
      <c r="P5" s="20"/>
      <c r="Q5" s="20"/>
      <c r="R5" s="20"/>
      <c r="S5" s="20"/>
      <c r="T5" s="20"/>
      <c r="U5" s="20"/>
      <c r="V5" s="20"/>
    </row>
    <row r="6" spans="1:22" s="1" customFormat="1" x14ac:dyDescent="0.35">
      <c r="A6" s="54" t="s">
        <v>3</v>
      </c>
      <c r="B6" s="37">
        <f>'R1'!B28</f>
        <v>0.16551507508521734</v>
      </c>
      <c r="C6" s="37">
        <f>'R1'!C28</f>
        <v>1.4300047930409636</v>
      </c>
      <c r="D6" s="37">
        <f>'R1'!D28</f>
        <v>2.4687280544157808</v>
      </c>
      <c r="E6" s="37">
        <f>'R1'!E28</f>
        <v>3.1344881678232235</v>
      </c>
      <c r="F6" s="37">
        <f>'R1'!F28</f>
        <v>3.5194868522722218</v>
      </c>
      <c r="G6" s="37">
        <f>'R1'!G28</f>
        <v>4.37011102299497</v>
      </c>
      <c r="H6" s="37">
        <f>'R1'!H28</f>
        <v>2.5443789791331657</v>
      </c>
      <c r="I6" s="37">
        <f>'R1'!I28</f>
        <v>6.0608584331536833E-2</v>
      </c>
      <c r="J6" s="37">
        <f>'R1'!J28</f>
        <v>5.0156983885642492E-2</v>
      </c>
      <c r="K6" s="37">
        <f>'R1'!K28</f>
        <v>0.24280223841662266</v>
      </c>
      <c r="L6" s="37">
        <f>'R1'!L28</f>
        <v>0.85914473620425702</v>
      </c>
      <c r="M6" s="37">
        <f>'R1'!M28</f>
        <v>3.2785419497323933</v>
      </c>
      <c r="N6"/>
      <c r="O6" s="37">
        <f>'R1'!O28</f>
        <v>1.2628439697820368</v>
      </c>
      <c r="P6" s="37">
        <f>'R1'!P28</f>
        <v>4.2978639262988318</v>
      </c>
      <c r="Q6" s="37">
        <f>'R1'!Q28</f>
        <v>6.964266603626211E-2</v>
      </c>
      <c r="R6" s="37">
        <f>'R1'!R28</f>
        <v>3.737327090852216</v>
      </c>
      <c r="S6" s="37">
        <f>'R1'!S28</f>
        <v>1.9186095359561466</v>
      </c>
      <c r="T6" s="37">
        <f>'R1'!T28</f>
        <v>3.7423992522514347</v>
      </c>
      <c r="U6" s="37">
        <f>'R1'!U28</f>
        <v>4.5696346609186334</v>
      </c>
      <c r="V6" s="37">
        <f>'R1'!V28</f>
        <v>6.5546238952426901</v>
      </c>
    </row>
    <row r="7" spans="1:22" s="1" customFormat="1" x14ac:dyDescent="0.35">
      <c r="A7" s="144"/>
      <c r="B7" s="37">
        <f>'R1'!B29</f>
        <v>1.0355316154041345E-2</v>
      </c>
      <c r="C7" s="37">
        <f>'R1'!C29</f>
        <v>0.22528384642670307</v>
      </c>
      <c r="D7" s="37">
        <f>'R1'!D29</f>
        <v>0.9071186817937511</v>
      </c>
      <c r="E7" s="37">
        <f>'R1'!E29</f>
        <v>2.8095126354373963</v>
      </c>
      <c r="F7" s="37">
        <f>'R1'!F29</f>
        <v>2.6511683627053046</v>
      </c>
      <c r="G7" s="37">
        <f>'R1'!G29</f>
        <v>3.3210984180364549</v>
      </c>
      <c r="H7" s="37">
        <f>'R1'!H29</f>
        <v>4.1007955378174197</v>
      </c>
      <c r="I7" s="37">
        <f>'R1'!I29</f>
        <v>0.1322435031226831</v>
      </c>
      <c r="J7" s="37">
        <f>'R1'!J29</f>
        <v>5.8718559343311411E-2</v>
      </c>
      <c r="K7" s="37">
        <f>'R1'!K29</f>
        <v>0.17611526240125519</v>
      </c>
      <c r="L7" s="37">
        <f>'R1'!L29</f>
        <v>1.1897005970851937</v>
      </c>
      <c r="M7" s="37">
        <f>'R1'!M29</f>
        <v>0.30479386933545527</v>
      </c>
      <c r="N7"/>
      <c r="O7" s="37">
        <f>'R1'!O29</f>
        <v>0.43535952952047785</v>
      </c>
      <c r="P7" s="37">
        <f>'R1'!P29</f>
        <v>4.6926039659544392</v>
      </c>
      <c r="Q7" s="37">
        <f>'R1'!Q29</f>
        <v>0.25913550153027759</v>
      </c>
      <c r="R7" s="37">
        <f>'R1'!R29</f>
        <v>1.7393602792898246</v>
      </c>
      <c r="S7" s="37">
        <f>'R1'!S29</f>
        <v>1.7616940745673551</v>
      </c>
      <c r="T7" s="37">
        <f>'R1'!T29</f>
        <v>3.2654294556159691</v>
      </c>
      <c r="U7" s="37">
        <f>'R1'!U29</f>
        <v>4.8721830854724795</v>
      </c>
      <c r="V7" s="37">
        <f>'R1'!V29</f>
        <v>0.75544477083614181</v>
      </c>
    </row>
    <row r="8" spans="1:22" s="1" customFormat="1" x14ac:dyDescent="0.35">
      <c r="A8" s="145"/>
      <c r="B8" s="37">
        <f>'R1'!B30</f>
        <v>0.23931520174809481</v>
      </c>
      <c r="C8" s="37">
        <f>'R1'!C30</f>
        <v>0.19290973915983561</v>
      </c>
      <c r="D8" s="37">
        <f>'R1'!D30</f>
        <v>1.7925520014112781</v>
      </c>
      <c r="E8" s="37">
        <f>'R1'!E30</f>
        <v>0.92339369885430977</v>
      </c>
      <c r="F8" s="37">
        <f>'R1'!F30</f>
        <v>1.8428367700052439</v>
      </c>
      <c r="G8" s="37">
        <f>'R1'!G30</f>
        <v>2.061182203943726</v>
      </c>
      <c r="H8" s="37">
        <f>'R1'!H30</f>
        <v>3.668339990087027</v>
      </c>
      <c r="I8" s="37">
        <f>'R1'!I30</f>
        <v>0.25791174006777567</v>
      </c>
      <c r="J8" s="37">
        <f>'R1'!J30</f>
        <v>5.463242041436495E-3</v>
      </c>
      <c r="K8" s="37">
        <f>'R1'!K30</f>
        <v>0.59572042325415719</v>
      </c>
      <c r="L8" s="37">
        <f>'R1'!L30</f>
        <v>0.41305545161697621</v>
      </c>
      <c r="M8" s="37">
        <f>'R1'!M30</f>
        <v>5.0458585514659786</v>
      </c>
      <c r="N8"/>
      <c r="O8" s="37">
        <f>'R1'!O30</f>
        <v>0.39327556746347242</v>
      </c>
      <c r="P8" s="37">
        <f>'R1'!P30</f>
        <v>2.6773119253333149</v>
      </c>
      <c r="Q8" s="37">
        <f>'R1'!Q30</f>
        <v>5.0855936522797553E-2</v>
      </c>
      <c r="R8" s="37">
        <f>'R1'!R30</f>
        <v>2.8785336140089783</v>
      </c>
      <c r="S8" s="37">
        <f>'R1'!S30</f>
        <v>2.1402613249290616</v>
      </c>
      <c r="T8" s="37">
        <f>'R1'!T30</f>
        <v>4.0079899617682271</v>
      </c>
      <c r="U8" s="37">
        <f>'R1'!U30</f>
        <v>5.2739905110195924</v>
      </c>
      <c r="V8" s="37">
        <f>'R1'!V30</f>
        <v>6.1912434117046109</v>
      </c>
    </row>
    <row r="9" spans="1:22" s="1" customFormat="1" x14ac:dyDescent="0.35">
      <c r="A9" s="145"/>
      <c r="B9" s="37">
        <f>'R1'!B31</f>
        <v>8.834678124992687E-2</v>
      </c>
      <c r="C9" s="37">
        <f>'R1'!C31</f>
        <v>0.26275745507689574</v>
      </c>
      <c r="D9" s="37">
        <f>'R1'!D31</f>
        <v>1.2550687160411673</v>
      </c>
      <c r="E9" s="37">
        <f>'R1'!E31</f>
        <v>2.4613551739192601</v>
      </c>
      <c r="F9" s="37">
        <f>'R1'!F31</f>
        <v>3.5130203516835765</v>
      </c>
      <c r="G9" s="37">
        <f>'R1'!G31</f>
        <v>3.2139857094348838</v>
      </c>
      <c r="H9" s="37">
        <f>'R1'!H31</f>
        <v>4.3130239474858341</v>
      </c>
      <c r="I9" s="37">
        <f>'R1'!I31</f>
        <v>1.163851236460068E-2</v>
      </c>
      <c r="J9" s="37">
        <f>'R1'!J31</f>
        <v>0.18944707073801129</v>
      </c>
      <c r="K9" s="37">
        <f>'R1'!K31</f>
        <v>0.66911282754536083</v>
      </c>
      <c r="L9" s="37">
        <f>'R1'!L31</f>
        <v>2.165102672227134</v>
      </c>
      <c r="M9" s="37">
        <f>'R1'!M31</f>
        <v>3.2067025754079292</v>
      </c>
      <c r="N9"/>
      <c r="O9" s="37">
        <f>'R1'!O31</f>
        <v>1.0427541259880702</v>
      </c>
      <c r="P9" s="37">
        <f>'R1'!P31</f>
        <v>1.1964167236156802</v>
      </c>
      <c r="Q9" s="37">
        <f>'R1'!Q31</f>
        <v>4.7072914808943843E-2</v>
      </c>
      <c r="R9" s="37">
        <f>'R1'!R31</f>
        <v>0.98216990990323694</v>
      </c>
      <c r="S9" s="37">
        <f>'R1'!S31</f>
        <v>2.9162592259909341</v>
      </c>
      <c r="T9" s="37">
        <f>'R1'!T31</f>
        <v>6.1218390790080592</v>
      </c>
      <c r="U9" s="37">
        <f>'R1'!U31</f>
        <v>3.3675639097202521</v>
      </c>
      <c r="V9" s="37">
        <f>'R1'!V31</f>
        <v>1.014159474350173</v>
      </c>
    </row>
    <row r="10" spans="1:22" s="1" customFormat="1" x14ac:dyDescent="0.35">
      <c r="A10" s="145"/>
      <c r="B10" s="37">
        <f>'R1'!B32</f>
        <v>0.11216525653393117</v>
      </c>
      <c r="C10" s="37">
        <f>'R1'!C32</f>
        <v>1.2047167861818966</v>
      </c>
      <c r="D10" s="37">
        <f>'R1'!D32</f>
        <v>1.2265727260850454</v>
      </c>
      <c r="E10" s="37">
        <f>'R1'!E32</f>
        <v>1.6930837901048499</v>
      </c>
      <c r="F10" s="37">
        <f>'R1'!F32</f>
        <v>2.7712348746459869</v>
      </c>
      <c r="G10" s="37">
        <f>'R1'!G32</f>
        <v>1.7100868828291118</v>
      </c>
      <c r="H10" s="37">
        <f>'R1'!H32</f>
        <v>4.2682404591720617</v>
      </c>
      <c r="I10" s="37">
        <f>'R1'!I32</f>
        <v>5.887308968826066E-2</v>
      </c>
      <c r="J10" s="37">
        <f>'R1'!J32</f>
        <v>0.12095030664429593</v>
      </c>
      <c r="K10" s="37">
        <f>'R1'!K32</f>
        <v>0.11860085105358678</v>
      </c>
      <c r="L10" s="37">
        <f>'R1'!L32</f>
        <v>1.716405985242575</v>
      </c>
      <c r="M10" s="37">
        <f>'R1'!M32</f>
        <v>4.5673000640149386</v>
      </c>
      <c r="N10"/>
      <c r="O10" s="37">
        <f>'R1'!O32</f>
        <v>0.37644364681361586</v>
      </c>
      <c r="P10" s="37">
        <f>'R1'!P32</f>
        <v>2.0612416386917833</v>
      </c>
      <c r="Q10" s="37">
        <f>'R1'!Q32</f>
        <v>0.212345496122087</v>
      </c>
      <c r="R10" s="37">
        <f>'R1'!R32</f>
        <v>2.2931429499671978</v>
      </c>
      <c r="S10" s="37">
        <f>'R1'!S32</f>
        <v>3.905498899175599</v>
      </c>
      <c r="T10" s="37">
        <f>'R1'!T32</f>
        <v>2.8868931113232521</v>
      </c>
      <c r="U10" s="37">
        <f>'R1'!U32</f>
        <v>4.0907962358042429</v>
      </c>
      <c r="V10" s="37">
        <f>'R1'!V32</f>
        <v>4.7856193466642747</v>
      </c>
    </row>
    <row r="11" spans="1:22" s="1" customFormat="1" x14ac:dyDescent="0.35">
      <c r="A11" s="145"/>
      <c r="B11" s="37">
        <f>'R1'!B33</f>
        <v>0.11949118357948668</v>
      </c>
      <c r="C11" s="37">
        <f>'R1'!C33</f>
        <v>0.84067538824541899</v>
      </c>
      <c r="D11" s="37">
        <f>'R1'!D33</f>
        <v>1.9018108987652023</v>
      </c>
      <c r="E11" s="37">
        <f>'R1'!E33</f>
        <v>2.4616939519831873</v>
      </c>
      <c r="F11" s="37">
        <f>'R1'!F33</f>
        <v>3.1239634626372186</v>
      </c>
      <c r="G11" s="37">
        <f>'R1'!G33</f>
        <v>4.0291130712278278</v>
      </c>
      <c r="H11" s="37">
        <f>'R1'!H33</f>
        <v>1.9173917179684505</v>
      </c>
      <c r="I11" s="37">
        <f>'R1'!I33</f>
        <v>2.321818432862453E-2</v>
      </c>
      <c r="J11" s="37">
        <f>'R1'!J33</f>
        <v>8.2614299799790344E-3</v>
      </c>
      <c r="K11" s="37">
        <f>'R1'!K33</f>
        <v>0.50068604415281137</v>
      </c>
      <c r="L11" s="37">
        <f>'R1'!L33</f>
        <v>1.8329836774722876</v>
      </c>
      <c r="M11" s="37">
        <f>'R1'!M33</f>
        <v>4.1373633609072176</v>
      </c>
      <c r="N11"/>
      <c r="O11" s="37">
        <f>'R1'!O33</f>
        <v>1.58551700002812</v>
      </c>
      <c r="P11" s="37">
        <f>'R1'!P33</f>
        <v>3.0893890809972659</v>
      </c>
      <c r="Q11" s="37">
        <f>'R1'!Q33</f>
        <v>4.6127902314831139E-2</v>
      </c>
      <c r="R11" s="37">
        <f>'R1'!R33</f>
        <v>2.5364141285459931</v>
      </c>
      <c r="S11" s="37">
        <f>'R1'!S33</f>
        <v>1.4989098738538333</v>
      </c>
      <c r="T11" s="37">
        <f>'R1'!T33</f>
        <v>3.5384489142924558</v>
      </c>
      <c r="U11" s="37">
        <f>'R1'!U33</f>
        <v>4.7416542748312525</v>
      </c>
      <c r="V11" s="37">
        <f>'R1'!V33</f>
        <v>4.6284917032249187</v>
      </c>
    </row>
    <row r="12" spans="1:22" s="1" customFormat="1" x14ac:dyDescent="0.35">
      <c r="A12" s="145"/>
      <c r="B12" s="37">
        <f>'R1'!B34</f>
        <v>0.21588721275882763</v>
      </c>
      <c r="C12" s="37">
        <f>'R1'!C34</f>
        <v>9.2629054847462769E-2</v>
      </c>
      <c r="D12" s="37">
        <f>'R1'!D34</f>
        <v>0.54777084591136671</v>
      </c>
      <c r="E12" s="37">
        <f>'R1'!E34</f>
        <v>1.0633518322748439</v>
      </c>
      <c r="F12" s="37">
        <f>'R1'!F34</f>
        <v>3.6034206034788867</v>
      </c>
      <c r="G12" s="37">
        <f>'R1'!G34</f>
        <v>3.9882338515139462</v>
      </c>
      <c r="H12" s="37">
        <f>'R1'!H34</f>
        <v>3.8644176013183222</v>
      </c>
      <c r="I12" s="37">
        <f>'R1'!I34</f>
        <v>0.31888941418474898</v>
      </c>
      <c r="J12" s="37">
        <f>'R1'!J34</f>
        <v>2.7394664074618245E-2</v>
      </c>
      <c r="K12" s="37">
        <f>'R1'!K34</f>
        <v>0.14324606368306955</v>
      </c>
      <c r="L12" s="37">
        <f>'R1'!L34</f>
        <v>2.0605920168955159</v>
      </c>
      <c r="M12" s="37">
        <f>'R1'!M34</f>
        <v>3.0530185812710187</v>
      </c>
      <c r="N12"/>
      <c r="O12" s="37">
        <f>'R1'!O34</f>
        <v>1.3640274679174016</v>
      </c>
      <c r="P12" s="37">
        <f>'R1'!P34</f>
        <v>2.4176926249538497</v>
      </c>
      <c r="Q12" s="37">
        <f>'R1'!Q34</f>
        <v>0.16920597293958209</v>
      </c>
      <c r="R12" s="37">
        <f>'R1'!R34</f>
        <v>2.0565403501204425</v>
      </c>
      <c r="S12" s="37">
        <f>'R1'!S34</f>
        <v>2.0349126396498343</v>
      </c>
      <c r="T12" s="37">
        <f>'R1'!T34</f>
        <v>4.3074299489986716</v>
      </c>
      <c r="U12" s="37">
        <f>'R1'!U34</f>
        <v>4.7432917021402341</v>
      </c>
      <c r="V12" s="37">
        <f>'R1'!V34</f>
        <v>3.5648510180745157</v>
      </c>
    </row>
    <row r="13" spans="1:22" s="1" customFormat="1" x14ac:dyDescent="0.35">
      <c r="A13" s="145"/>
      <c r="B13" s="37">
        <f>'R1'!B35</f>
        <v>0.18633209559232281</v>
      </c>
      <c r="C13" s="37">
        <f>'R1'!C35</f>
        <v>0.53837302354853012</v>
      </c>
      <c r="D13" s="37">
        <f>'R1'!D35</f>
        <v>0.52242430325480649</v>
      </c>
      <c r="E13" s="37">
        <f>'R1'!E35</f>
        <v>1.3099632436944655</v>
      </c>
      <c r="F13" s="37">
        <f>'R1'!F35</f>
        <v>4.1902531545085395</v>
      </c>
      <c r="G13" s="37">
        <f>'R1'!G35</f>
        <v>3.7871209284272278</v>
      </c>
      <c r="H13" s="37">
        <f>'R1'!H35</f>
        <v>3.0464183524992441</v>
      </c>
      <c r="I13" s="37">
        <f>'R1'!I35</f>
        <v>3.0154219426923472E-2</v>
      </c>
      <c r="J13" s="37">
        <f>'R1'!J35</f>
        <v>0.29162847829325989</v>
      </c>
      <c r="K13" s="37">
        <f>'R1'!K35</f>
        <v>0.15609229012819667</v>
      </c>
      <c r="L13" s="37">
        <f>'R1'!L35</f>
        <v>1.7936444120805732</v>
      </c>
      <c r="M13" s="37">
        <f>'R1'!M35</f>
        <v>4.8961614402287585</v>
      </c>
      <c r="N13"/>
      <c r="O13" s="37">
        <f>'R1'!O35</f>
        <v>1.249818844745257</v>
      </c>
      <c r="P13" s="37">
        <f>'R1'!P35</f>
        <v>4.3444245135795212</v>
      </c>
      <c r="Q13" s="37">
        <f>'R1'!Q35</f>
        <v>9.1315546915394161E-3</v>
      </c>
      <c r="R13" s="37">
        <f>'R1'!R35</f>
        <v>1.0680465830238981</v>
      </c>
      <c r="S13" s="37">
        <f>'R1'!S35</f>
        <v>0.20829026326213038</v>
      </c>
      <c r="T13" s="37">
        <f>'R1'!T35</f>
        <v>1.8553727470655115</v>
      </c>
      <c r="U13" s="37">
        <f>'R1'!U35</f>
        <v>2.1089190048884707</v>
      </c>
      <c r="V13" s="37">
        <f>'R1'!V35</f>
        <v>2.3305363217075126</v>
      </c>
    </row>
    <row r="14" spans="1:22" s="1" customFormat="1" x14ac:dyDescent="0.35">
      <c r="A14" s="145"/>
      <c r="B14" s="37" t="str">
        <f>'R1'!B36</f>
        <v/>
      </c>
      <c r="C14" s="37" t="str">
        <f>'R1'!C36</f>
        <v/>
      </c>
      <c r="D14" s="37" t="str">
        <f>'R1'!D36</f>
        <v/>
      </c>
      <c r="E14" s="37" t="str">
        <f>'R1'!E36</f>
        <v/>
      </c>
      <c r="F14" s="37" t="str">
        <f>'R1'!F36</f>
        <v/>
      </c>
      <c r="G14" s="37" t="str">
        <f>'R1'!G36</f>
        <v/>
      </c>
      <c r="H14" s="37" t="str">
        <f>'R1'!H36</f>
        <v/>
      </c>
      <c r="I14" s="37" t="str">
        <f>'R1'!I36</f>
        <v/>
      </c>
      <c r="J14" s="37" t="str">
        <f>'R1'!J36</f>
        <v/>
      </c>
      <c r="K14" s="37" t="str">
        <f>'R1'!K36</f>
        <v/>
      </c>
      <c r="L14" s="37" t="str">
        <f>'R1'!L36</f>
        <v/>
      </c>
      <c r="M14" s="37" t="str">
        <f>'R1'!M36</f>
        <v/>
      </c>
      <c r="N14"/>
      <c r="O14" s="37">
        <f>'R1'!O36</f>
        <v>1.9322367349907481</v>
      </c>
      <c r="P14" s="37" t="str">
        <f>'R1'!P36</f>
        <v/>
      </c>
      <c r="Q14" s="37" t="str">
        <f>'R1'!Q36</f>
        <v/>
      </c>
      <c r="R14" s="37" t="str">
        <f>'R1'!R36</f>
        <v/>
      </c>
      <c r="S14" s="37" t="str">
        <f>'R1'!S36</f>
        <v/>
      </c>
      <c r="T14" s="37" t="str">
        <f>'R1'!T36</f>
        <v/>
      </c>
      <c r="U14" s="37" t="str">
        <f>'R1'!U36</f>
        <v/>
      </c>
      <c r="V14" s="37" t="str">
        <f>'R1'!V36</f>
        <v/>
      </c>
    </row>
    <row r="15" spans="1:22" s="1" customFormat="1" x14ac:dyDescent="0.35">
      <c r="A15" s="145"/>
      <c r="B15" s="37" t="str">
        <f>'R1'!B37</f>
        <v/>
      </c>
      <c r="C15" s="37" t="str">
        <f>'R1'!C37</f>
        <v/>
      </c>
      <c r="D15" s="37" t="str">
        <f>'R1'!D37</f>
        <v/>
      </c>
      <c r="E15" s="37" t="str">
        <f>'R1'!E37</f>
        <v/>
      </c>
      <c r="F15" s="37" t="str">
        <f>'R1'!F37</f>
        <v/>
      </c>
      <c r="G15" s="37" t="str">
        <f>'R1'!G37</f>
        <v/>
      </c>
      <c r="H15" s="37" t="str">
        <f>'R1'!H37</f>
        <v/>
      </c>
      <c r="I15" s="37" t="str">
        <f>'R1'!I37</f>
        <v/>
      </c>
      <c r="J15" s="37" t="str">
        <f>'R1'!J37</f>
        <v/>
      </c>
      <c r="K15" s="37" t="str">
        <f>'R1'!K37</f>
        <v/>
      </c>
      <c r="L15" s="37" t="str">
        <f>'R1'!L37</f>
        <v/>
      </c>
      <c r="M15" s="37" t="str">
        <f>'R1'!M37</f>
        <v/>
      </c>
      <c r="N15"/>
      <c r="O15" s="37">
        <f>'R1'!O37</f>
        <v>1.7343665717580417</v>
      </c>
      <c r="P15" s="37" t="str">
        <f>'R1'!P37</f>
        <v/>
      </c>
      <c r="Q15" s="37" t="str">
        <f>'R1'!Q37</f>
        <v/>
      </c>
      <c r="R15" s="37" t="str">
        <f>'R1'!R37</f>
        <v/>
      </c>
      <c r="S15" s="37" t="str">
        <f>'R1'!S37</f>
        <v/>
      </c>
      <c r="T15" s="37" t="str">
        <f>'R1'!T37</f>
        <v/>
      </c>
      <c r="U15" s="37" t="str">
        <f>'R1'!U37</f>
        <v/>
      </c>
      <c r="V15" s="37" t="str">
        <f>'R1'!V37</f>
        <v/>
      </c>
    </row>
    <row r="16" spans="1:22" s="1" customFormat="1" x14ac:dyDescent="0.35">
      <c r="A16" s="145"/>
      <c r="B16" s="37" t="str">
        <f>'R1'!B38</f>
        <v/>
      </c>
      <c r="C16" s="37" t="str">
        <f>'R1'!C38</f>
        <v/>
      </c>
      <c r="D16" s="37" t="str">
        <f>'R1'!D38</f>
        <v/>
      </c>
      <c r="E16" s="37" t="str">
        <f>'R1'!E38</f>
        <v/>
      </c>
      <c r="F16" s="37" t="str">
        <f>'R1'!F38</f>
        <v/>
      </c>
      <c r="G16" s="37" t="str">
        <f>'R1'!G38</f>
        <v/>
      </c>
      <c r="H16" s="37" t="str">
        <f>'R1'!H38</f>
        <v/>
      </c>
      <c r="I16" s="37" t="str">
        <f>'R1'!I38</f>
        <v/>
      </c>
      <c r="J16" s="37" t="str">
        <f>'R1'!J38</f>
        <v/>
      </c>
      <c r="K16" s="37" t="str">
        <f>'R1'!K38</f>
        <v/>
      </c>
      <c r="L16" s="37" t="str">
        <f>'R1'!L38</f>
        <v/>
      </c>
      <c r="M16" s="37" t="str">
        <f>'R1'!M38</f>
        <v/>
      </c>
      <c r="N16"/>
      <c r="O16" s="37">
        <f>'R1'!O38</f>
        <v>1.2503793144194382</v>
      </c>
      <c r="P16" s="37" t="str">
        <f>'R1'!P38</f>
        <v/>
      </c>
      <c r="Q16" s="37" t="str">
        <f>'R1'!Q38</f>
        <v/>
      </c>
      <c r="R16" s="37" t="str">
        <f>'R1'!R38</f>
        <v/>
      </c>
      <c r="S16" s="37" t="str">
        <f>'R1'!S38</f>
        <v/>
      </c>
      <c r="T16" s="37" t="str">
        <f>'R1'!T38</f>
        <v/>
      </c>
      <c r="U16" s="37" t="str">
        <f>'R1'!U38</f>
        <v/>
      </c>
      <c r="V16" s="37" t="str">
        <f>'R1'!V38</f>
        <v/>
      </c>
    </row>
    <row r="17" spans="1:22" s="1" customFormat="1" x14ac:dyDescent="0.35">
      <c r="A17" s="145"/>
      <c r="B17" s="37" t="str">
        <f>'R1'!B39</f>
        <v/>
      </c>
      <c r="C17" s="37" t="str">
        <f>'R1'!C39</f>
        <v/>
      </c>
      <c r="D17" s="37" t="str">
        <f>'R1'!D39</f>
        <v/>
      </c>
      <c r="E17" s="37" t="str">
        <f>'R1'!E39</f>
        <v/>
      </c>
      <c r="F17" s="37" t="str">
        <f>'R1'!F39</f>
        <v/>
      </c>
      <c r="G17" s="37" t="str">
        <f>'R1'!G39</f>
        <v/>
      </c>
      <c r="H17" s="37" t="str">
        <f>'R1'!H39</f>
        <v/>
      </c>
      <c r="I17" s="37" t="str">
        <f>'R1'!I39</f>
        <v/>
      </c>
      <c r="J17" s="37" t="str">
        <f>'R1'!J39</f>
        <v/>
      </c>
      <c r="K17" s="37" t="str">
        <f>'R1'!K39</f>
        <v/>
      </c>
      <c r="L17" s="37" t="str">
        <f>'R1'!L39</f>
        <v/>
      </c>
      <c r="M17" s="37" t="str">
        <f>'R1'!M39</f>
        <v/>
      </c>
      <c r="N17"/>
      <c r="O17" s="37">
        <f>'R1'!O39</f>
        <v>0.8555162448353526</v>
      </c>
      <c r="P17" s="37" t="str">
        <f>'R1'!P39</f>
        <v/>
      </c>
      <c r="Q17" s="37" t="str">
        <f>'R1'!Q39</f>
        <v/>
      </c>
      <c r="R17" s="37" t="str">
        <f>'R1'!R39</f>
        <v/>
      </c>
      <c r="S17" s="37" t="str">
        <f>'R1'!S39</f>
        <v/>
      </c>
      <c r="T17" s="37" t="str">
        <f>'R1'!T39</f>
        <v/>
      </c>
      <c r="U17" s="37" t="str">
        <f>'R1'!U39</f>
        <v/>
      </c>
      <c r="V17" s="37" t="str">
        <f>'R1'!V39</f>
        <v/>
      </c>
    </row>
    <row r="18" spans="1:22" s="1" customFormat="1" x14ac:dyDescent="0.35">
      <c r="A18" s="145"/>
      <c r="B18" s="37" t="str">
        <f>'R1'!B40</f>
        <v/>
      </c>
      <c r="C18" s="37" t="str">
        <f>'R1'!C40</f>
        <v/>
      </c>
      <c r="D18" s="37" t="str">
        <f>'R1'!D40</f>
        <v/>
      </c>
      <c r="E18" s="37" t="str">
        <f>'R1'!E40</f>
        <v/>
      </c>
      <c r="F18" s="37" t="str">
        <f>'R1'!F40</f>
        <v/>
      </c>
      <c r="G18" s="37" t="str">
        <f>'R1'!G40</f>
        <v/>
      </c>
      <c r="H18" s="37" t="str">
        <f>'R1'!H40</f>
        <v/>
      </c>
      <c r="I18" s="37" t="str">
        <f>'R1'!I40</f>
        <v/>
      </c>
      <c r="J18" s="37" t="str">
        <f>'R1'!J40</f>
        <v/>
      </c>
      <c r="K18" s="37" t="str">
        <f>'R1'!K40</f>
        <v/>
      </c>
      <c r="L18" s="37" t="str">
        <f>'R1'!L40</f>
        <v/>
      </c>
      <c r="M18" s="37" t="str">
        <f>'R1'!M40</f>
        <v/>
      </c>
      <c r="N18"/>
      <c r="O18" s="37">
        <f>'R1'!O40</f>
        <v>0.17104547839195872</v>
      </c>
      <c r="P18" s="37" t="str">
        <f>'R1'!P40</f>
        <v/>
      </c>
      <c r="Q18" s="37" t="str">
        <f>'R1'!Q40</f>
        <v/>
      </c>
      <c r="R18" s="37" t="str">
        <f>'R1'!R40</f>
        <v/>
      </c>
      <c r="S18" s="37" t="str">
        <f>'R1'!S40</f>
        <v/>
      </c>
      <c r="T18" s="37" t="str">
        <f>'R1'!T40</f>
        <v/>
      </c>
      <c r="U18" s="37" t="str">
        <f>'R1'!U40</f>
        <v/>
      </c>
      <c r="V18" s="37" t="str">
        <f>'R1'!V40</f>
        <v/>
      </c>
    </row>
    <row r="19" spans="1:22" s="1" customFormat="1" x14ac:dyDescent="0.35">
      <c r="A19" s="145"/>
      <c r="B19" s="37" t="str">
        <f>'R1'!B41</f>
        <v/>
      </c>
      <c r="C19" s="37" t="str">
        <f>'R1'!C41</f>
        <v/>
      </c>
      <c r="D19" s="37" t="str">
        <f>'R1'!D41</f>
        <v/>
      </c>
      <c r="E19" s="37" t="str">
        <f>'R1'!E41</f>
        <v/>
      </c>
      <c r="F19" s="37" t="str">
        <f>'R1'!F41</f>
        <v/>
      </c>
      <c r="G19" s="37" t="str">
        <f>'R1'!G41</f>
        <v/>
      </c>
      <c r="H19" s="37" t="str">
        <f>'R1'!H41</f>
        <v/>
      </c>
      <c r="I19" s="37" t="str">
        <f>'R1'!I41</f>
        <v/>
      </c>
      <c r="J19" s="37" t="str">
        <f>'R1'!J41</f>
        <v/>
      </c>
      <c r="K19" s="37" t="str">
        <f>'R1'!K41</f>
        <v/>
      </c>
      <c r="L19" s="37" t="str">
        <f>'R1'!L41</f>
        <v/>
      </c>
      <c r="M19" s="37" t="str">
        <f>'R1'!M41</f>
        <v/>
      </c>
      <c r="N19"/>
      <c r="O19" s="37">
        <f>'R1'!O41</f>
        <v>0.9349412760543826</v>
      </c>
      <c r="P19" s="37" t="str">
        <f>'R1'!P41</f>
        <v/>
      </c>
      <c r="Q19" s="37" t="str">
        <f>'R1'!Q41</f>
        <v/>
      </c>
      <c r="R19" s="37" t="str">
        <f>'R1'!R41</f>
        <v/>
      </c>
      <c r="S19" s="37" t="str">
        <f>'R1'!S41</f>
        <v/>
      </c>
      <c r="T19" s="37" t="str">
        <f>'R1'!T41</f>
        <v/>
      </c>
      <c r="U19" s="37" t="str">
        <f>'R1'!U41</f>
        <v/>
      </c>
      <c r="V19" s="37" t="str">
        <f>'R1'!V41</f>
        <v/>
      </c>
    </row>
    <row r="20" spans="1:22" s="1" customFormat="1" x14ac:dyDescent="0.35">
      <c r="A20" s="145"/>
      <c r="B20" s="37" t="str">
        <f>'R1'!B42</f>
        <v/>
      </c>
      <c r="C20" s="37" t="str">
        <f>'R1'!C42</f>
        <v/>
      </c>
      <c r="D20" s="37" t="str">
        <f>'R1'!D42</f>
        <v/>
      </c>
      <c r="E20" s="37" t="str">
        <f>'R1'!E42</f>
        <v/>
      </c>
      <c r="F20" s="37" t="str">
        <f>'R1'!F42</f>
        <v/>
      </c>
      <c r="G20" s="37" t="str">
        <f>'R1'!G42</f>
        <v/>
      </c>
      <c r="H20" s="37" t="str">
        <f>'R1'!H42</f>
        <v/>
      </c>
      <c r="I20" s="37" t="str">
        <f>'R1'!I42</f>
        <v/>
      </c>
      <c r="J20" s="37" t="str">
        <f>'R1'!J42</f>
        <v/>
      </c>
      <c r="K20" s="37" t="str">
        <f>'R1'!K42</f>
        <v/>
      </c>
      <c r="L20" s="37" t="str">
        <f>'R1'!L42</f>
        <v/>
      </c>
      <c r="M20" s="37" t="str">
        <f>'R1'!M42</f>
        <v/>
      </c>
      <c r="N20"/>
      <c r="O20" s="37">
        <f>'R1'!O42</f>
        <v>2.7733442138545443E-2</v>
      </c>
      <c r="P20" s="37" t="str">
        <f>'R1'!P42</f>
        <v/>
      </c>
      <c r="Q20" s="37" t="str">
        <f>'R1'!Q42</f>
        <v/>
      </c>
      <c r="R20" s="37" t="str">
        <f>'R1'!R42</f>
        <v/>
      </c>
      <c r="S20" s="37" t="str">
        <f>'R1'!S42</f>
        <v/>
      </c>
      <c r="T20" s="37" t="str">
        <f>'R1'!T42</f>
        <v/>
      </c>
      <c r="U20" s="37" t="str">
        <f>'R1'!U42</f>
        <v/>
      </c>
      <c r="V20" s="37" t="str">
        <f>'R1'!V42</f>
        <v/>
      </c>
    </row>
    <row r="21" spans="1:22" s="1" customFormat="1" x14ac:dyDescent="0.35">
      <c r="A21" s="146"/>
      <c r="B21" s="37" t="str">
        <f>'R1'!B43</f>
        <v/>
      </c>
      <c r="C21" s="37" t="str">
        <f>'R1'!C43</f>
        <v/>
      </c>
      <c r="D21" s="37" t="str">
        <f>'R1'!D43</f>
        <v/>
      </c>
      <c r="E21" s="37" t="str">
        <f>'R1'!E43</f>
        <v/>
      </c>
      <c r="F21" s="37" t="str">
        <f>'R1'!F43</f>
        <v/>
      </c>
      <c r="G21" s="37" t="str">
        <f>'R1'!G43</f>
        <v/>
      </c>
      <c r="H21" s="37" t="str">
        <f>'R1'!H43</f>
        <v/>
      </c>
      <c r="I21" s="37" t="str">
        <f>'R1'!I43</f>
        <v/>
      </c>
      <c r="J21" s="37" t="str">
        <f>'R1'!J43</f>
        <v/>
      </c>
      <c r="K21" s="37" t="str">
        <f>'R1'!K43</f>
        <v/>
      </c>
      <c r="L21" s="37" t="str">
        <f>'R1'!L43</f>
        <v/>
      </c>
      <c r="M21" s="37" t="str">
        <f>'R1'!M43</f>
        <v/>
      </c>
      <c r="N21"/>
      <c r="O21" s="37">
        <f>'R1'!O43</f>
        <v>1.383740785153081</v>
      </c>
      <c r="P21" s="37" t="str">
        <f>'R1'!P43</f>
        <v/>
      </c>
      <c r="Q21" s="37" t="str">
        <f>'R1'!Q43</f>
        <v/>
      </c>
      <c r="R21" s="37" t="str">
        <f>'R1'!R43</f>
        <v/>
      </c>
      <c r="S21" s="37" t="str">
        <f>'R1'!S43</f>
        <v/>
      </c>
      <c r="T21" s="37" t="str">
        <f>'R1'!T43</f>
        <v/>
      </c>
      <c r="U21" s="37" t="str">
        <f>'R1'!U43</f>
        <v/>
      </c>
      <c r="V21" s="37" t="str">
        <f>'R1'!V43</f>
        <v/>
      </c>
    </row>
    <row r="22" spans="1:22" x14ac:dyDescent="0.35">
      <c r="A22" s="24" t="s">
        <v>4</v>
      </c>
      <c r="B22" s="38">
        <f>'R2'!B28</f>
        <v>3.1965602725262623E-2</v>
      </c>
      <c r="C22" s="38">
        <f>'R2'!C28</f>
        <v>2.827682746886653E-2</v>
      </c>
      <c r="D22" s="38">
        <f>'R2'!D28</f>
        <v>0.6739017377408334</v>
      </c>
      <c r="E22" s="38">
        <f>'R2'!E28</f>
        <v>0.25798987733990481</v>
      </c>
      <c r="F22" s="38">
        <f>'R2'!F28</f>
        <v>0.76093176394456252</v>
      </c>
      <c r="G22" s="38">
        <f>'R2'!G28</f>
        <v>3.0380228917752814</v>
      </c>
      <c r="H22" s="38">
        <f>'R2'!H28</f>
        <v>2.5406881911637753</v>
      </c>
      <c r="I22" s="38">
        <f>'R2'!I28</f>
        <v>5.4261259854608427E-3</v>
      </c>
      <c r="J22" s="38">
        <f>'R2'!J28</f>
        <v>1.1492925844288199E-3</v>
      </c>
      <c r="K22" s="38">
        <f>'R2'!K28</f>
        <v>4.6667056341160904E-2</v>
      </c>
      <c r="L22" s="38">
        <f>'R2'!L28</f>
        <v>0.78758214638708068</v>
      </c>
      <c r="M22" s="38">
        <f>'R2'!M28</f>
        <v>1.8459490773241976</v>
      </c>
      <c r="O22" s="38">
        <f>'R2'!O28</f>
        <v>0.66293084246002909</v>
      </c>
      <c r="P22" s="38">
        <f>'R2'!P28</f>
        <v>1.3106149879191773</v>
      </c>
      <c r="Q22" s="38">
        <f>'R2'!Q28</f>
        <v>0.14293114293710735</v>
      </c>
      <c r="R22" s="38">
        <f>'R2'!R28</f>
        <v>1.8658512346367795</v>
      </c>
      <c r="S22" s="38">
        <f>'R2'!S28</f>
        <v>0.57830824376596301</v>
      </c>
      <c r="T22" s="38">
        <f>'R2'!T28</f>
        <v>1.2388136042996079</v>
      </c>
      <c r="U22" s="38">
        <f>'R2'!U28</f>
        <v>3.5969881493065445</v>
      </c>
      <c r="V22" s="38">
        <f>'R2'!V28</f>
        <v>1.9128659674599444</v>
      </c>
    </row>
    <row r="23" spans="1:22" x14ac:dyDescent="0.35">
      <c r="A23" s="144"/>
      <c r="B23" s="38">
        <f>'R2'!B29</f>
        <v>3.6691217341937851E-2</v>
      </c>
      <c r="C23" s="38">
        <f>'R2'!C29</f>
        <v>1.2750544929044691E-2</v>
      </c>
      <c r="D23" s="38">
        <f>'R2'!D29</f>
        <v>0.62546895944433145</v>
      </c>
      <c r="E23" s="38">
        <f>'R2'!E29</f>
        <v>1.1697451435311621</v>
      </c>
      <c r="F23" s="38">
        <f>'R2'!F29</f>
        <v>2.504465356975635</v>
      </c>
      <c r="G23" s="38">
        <f>'R2'!G29</f>
        <v>2.8873200962003804</v>
      </c>
      <c r="H23" s="38">
        <f>'R2'!H29</f>
        <v>2.0951201458564741</v>
      </c>
      <c r="I23" s="38">
        <f>'R2'!I29</f>
        <v>0.30237124452415182</v>
      </c>
      <c r="J23" s="38">
        <f>'R2'!J29</f>
        <v>0.25729968278067422</v>
      </c>
      <c r="K23" s="38">
        <f>'R2'!K29</f>
        <v>6.4645128671732374E-2</v>
      </c>
      <c r="L23" s="38">
        <f>'R2'!L29</f>
        <v>0.30128591615896411</v>
      </c>
      <c r="M23" s="38">
        <f>'R2'!M29</f>
        <v>0.37911799080391834</v>
      </c>
      <c r="O23" s="38">
        <f>'R2'!O29</f>
        <v>1.2891880061543637</v>
      </c>
      <c r="P23" s="38">
        <f>'R2'!P29</f>
        <v>2.1617605454961466</v>
      </c>
      <c r="Q23" s="38">
        <f>'R2'!Q29</f>
        <v>3.975582562025546E-3</v>
      </c>
      <c r="R23" s="38">
        <f>'R2'!R29</f>
        <v>1.9761281278108269</v>
      </c>
      <c r="S23" s="38">
        <f>'R2'!S29</f>
        <v>0.96667319097404258</v>
      </c>
      <c r="T23" s="38">
        <f>'R2'!T29</f>
        <v>1.4314820861014488</v>
      </c>
      <c r="U23" s="38">
        <f>'R2'!U29</f>
        <v>1.4054512280727094</v>
      </c>
      <c r="V23" s="38">
        <f>'R2'!V29</f>
        <v>1.0991379306175859</v>
      </c>
    </row>
    <row r="24" spans="1:22" x14ac:dyDescent="0.35">
      <c r="A24" s="145"/>
      <c r="B24" s="38">
        <f>'R2'!B30</f>
        <v>5.8825416401747654E-2</v>
      </c>
      <c r="C24" s="38">
        <f>'R2'!C30</f>
        <v>0.12933668298646231</v>
      </c>
      <c r="D24" s="38">
        <f>'R2'!D30</f>
        <v>0.3731595174454187</v>
      </c>
      <c r="E24" s="38">
        <f>'R2'!E30</f>
        <v>1.3446898623579628</v>
      </c>
      <c r="F24" s="38">
        <f>'R2'!F30</f>
        <v>3.5311034559667767</v>
      </c>
      <c r="G24" s="38">
        <f>'R2'!G30</f>
        <v>3.704797261635032</v>
      </c>
      <c r="H24" s="38">
        <f>'R2'!H30</f>
        <v>3.8441691052756584</v>
      </c>
      <c r="I24" s="38">
        <f>'R2'!I30</f>
        <v>1.4942351119007912E-2</v>
      </c>
      <c r="J24" s="38">
        <f>'R2'!J30</f>
        <v>5.3711889745803806E-2</v>
      </c>
      <c r="K24" s="38">
        <f>'R2'!K30</f>
        <v>0.18843755820332891</v>
      </c>
      <c r="L24" s="38">
        <f>'R2'!L30</f>
        <v>2.1610620974892723E-2</v>
      </c>
      <c r="M24" s="38">
        <f>'R2'!M30</f>
        <v>1.6285228317927058</v>
      </c>
      <c r="O24" s="38">
        <f>'R2'!O30</f>
        <v>0.73111618433056524</v>
      </c>
      <c r="P24" s="38">
        <f>'R2'!P30</f>
        <v>1.6626116339243908</v>
      </c>
      <c r="Q24" s="38">
        <f>'R2'!Q30</f>
        <v>8.0792483146766195E-2</v>
      </c>
      <c r="R24" s="38">
        <f>'R2'!R30</f>
        <v>1.7519459195422329</v>
      </c>
      <c r="S24" s="38">
        <f>'R2'!S30</f>
        <v>0.92436447082939832</v>
      </c>
      <c r="T24" s="38">
        <f>'R2'!T30</f>
        <v>1.6870542191221356</v>
      </c>
      <c r="U24" s="38">
        <f>'R2'!U30</f>
        <v>2.393312566670367</v>
      </c>
      <c r="V24" s="38">
        <f>'R2'!V30</f>
        <v>2.1677102495665248</v>
      </c>
    </row>
    <row r="25" spans="1:22" x14ac:dyDescent="0.35">
      <c r="A25" s="145"/>
      <c r="B25" s="38">
        <f>'R2'!B31</f>
        <v>9.1545177905481973E-2</v>
      </c>
      <c r="C25" s="38">
        <f>'R2'!C31</f>
        <v>3.1935168137075323E-2</v>
      </c>
      <c r="D25" s="38">
        <f>'R2'!D31</f>
        <v>0.18857631929184387</v>
      </c>
      <c r="E25" s="38">
        <f>'R2'!E31</f>
        <v>0.79968531151654809</v>
      </c>
      <c r="F25" s="38">
        <f>'R2'!F31</f>
        <v>1.5533901503678216</v>
      </c>
      <c r="G25" s="38">
        <f>'R2'!G31</f>
        <v>2.1140091924707538</v>
      </c>
      <c r="H25" s="38">
        <f>'R2'!H31</f>
        <v>5.7929793530657578</v>
      </c>
      <c r="I25" s="38">
        <f>'R2'!I31</f>
        <v>6.6526914734567344E-2</v>
      </c>
      <c r="J25" s="38">
        <f>'R2'!J31</f>
        <v>3.1044827472477412E-2</v>
      </c>
      <c r="K25" s="38">
        <f>'R2'!K31</f>
        <v>4.3867074227929466E-3</v>
      </c>
      <c r="L25" s="38">
        <f>'R2'!L31</f>
        <v>1.3408530408844523</v>
      </c>
      <c r="M25" s="38">
        <f>'R2'!M31</f>
        <v>1.7407599187822065</v>
      </c>
      <c r="O25" s="38">
        <f>'R2'!O31</f>
        <v>1.5845556845120927</v>
      </c>
      <c r="P25" s="38">
        <f>'R2'!P31</f>
        <v>1.3257347881625314</v>
      </c>
      <c r="Q25" s="38">
        <f>'R2'!Q31</f>
        <v>7.8730668757196171E-2</v>
      </c>
      <c r="R25" s="38">
        <f>'R2'!R31</f>
        <v>1.7621801946208091</v>
      </c>
      <c r="S25" s="38">
        <f>'R2'!S31</f>
        <v>3.1800667890906573</v>
      </c>
      <c r="T25" s="38">
        <f>'R2'!T31</f>
        <v>2.1928425134830225</v>
      </c>
      <c r="U25" s="38">
        <f>'R2'!U31</f>
        <v>1.1326510547761008</v>
      </c>
      <c r="V25" s="38">
        <f>'R2'!V31</f>
        <v>1.3921869060278249</v>
      </c>
    </row>
    <row r="26" spans="1:22" x14ac:dyDescent="0.35">
      <c r="A26" s="145"/>
      <c r="B26" s="38">
        <f>'R2'!B32</f>
        <v>4.0745207656581524E-2</v>
      </c>
      <c r="C26" s="38">
        <f>'R2'!C32</f>
        <v>0.30996183715425513</v>
      </c>
      <c r="D26" s="38">
        <f>'R2'!D32</f>
        <v>0.35061470936531924</v>
      </c>
      <c r="E26" s="38">
        <f>'R2'!E32</f>
        <v>0.88304874360442442</v>
      </c>
      <c r="F26" s="38">
        <f>'R2'!F32</f>
        <v>1.5119155442757004</v>
      </c>
      <c r="G26" s="38">
        <f>'R2'!G32</f>
        <v>4.8582072847572588</v>
      </c>
      <c r="H26" s="38">
        <f>'R2'!H32</f>
        <v>2.8472047297671326</v>
      </c>
      <c r="I26" s="38">
        <f>'R2'!I32</f>
        <v>8.1169046695524286E-2</v>
      </c>
      <c r="J26" s="38">
        <f>'R2'!J32</f>
        <v>1.910827881732351E-2</v>
      </c>
      <c r="K26" s="38">
        <f>'R2'!K32</f>
        <v>7.1256656075064595E-2</v>
      </c>
      <c r="L26" s="38">
        <f>'R2'!L32</f>
        <v>0.63959267172514889</v>
      </c>
      <c r="M26" s="38">
        <f>'R2'!M32</f>
        <v>1.557415769456189</v>
      </c>
      <c r="O26" s="38">
        <f>'R2'!O32</f>
        <v>1.6415818493274457</v>
      </c>
      <c r="P26" s="38">
        <f>'R2'!P32</f>
        <v>1.9598440756091891</v>
      </c>
      <c r="Q26" s="38">
        <f>'R2'!Q32</f>
        <v>3.3549748832435382E-2</v>
      </c>
      <c r="R26" s="38">
        <f>'R2'!R32</f>
        <v>1.1115475049908372</v>
      </c>
      <c r="S26" s="38">
        <f>'R2'!S32</f>
        <v>1.3897923745301055</v>
      </c>
      <c r="T26" s="38">
        <f>'R2'!T32</f>
        <v>2.3014635587234897</v>
      </c>
      <c r="U26" s="38">
        <f>'R2'!U32</f>
        <v>0.80631850421994589</v>
      </c>
      <c r="V26" s="38">
        <f>'R2'!V32</f>
        <v>3.8556775063342794</v>
      </c>
    </row>
    <row r="27" spans="1:22" x14ac:dyDescent="0.35">
      <c r="A27" s="145"/>
      <c r="B27" s="38">
        <f>'R2'!B33</f>
        <v>3.9834233372873583E-2</v>
      </c>
      <c r="C27" s="38">
        <f>'R2'!C33</f>
        <v>5.8586066420071276E-2</v>
      </c>
      <c r="D27" s="38">
        <f>'R2'!D33</f>
        <v>0.10600573401827061</v>
      </c>
      <c r="E27" s="38">
        <f>'R2'!E33</f>
        <v>0.15075025289885421</v>
      </c>
      <c r="F27" s="38">
        <f>'R2'!F33</f>
        <v>1.70926992097743</v>
      </c>
      <c r="G27" s="38">
        <f>'R2'!G33</f>
        <v>2.3007620156737483</v>
      </c>
      <c r="H27" s="38">
        <f>'R2'!H33</f>
        <v>2.6908039602749958</v>
      </c>
      <c r="I27" s="38">
        <f>'R2'!I33</f>
        <v>4.6682015715015672E-2</v>
      </c>
      <c r="J27" s="38">
        <f>'R2'!J33</f>
        <v>3.6281640002603706E-2</v>
      </c>
      <c r="K27" s="38">
        <f>'R2'!K33</f>
        <v>7.4190756712511241E-2</v>
      </c>
      <c r="L27" s="38">
        <f>'R2'!L33</f>
        <v>1.1934877332005991</v>
      </c>
      <c r="M27" s="38">
        <f>'R2'!M33</f>
        <v>2.7938018284675015</v>
      </c>
      <c r="O27" s="38">
        <f>'R2'!O33</f>
        <v>1.1474505180827719</v>
      </c>
      <c r="P27" s="38">
        <f>'R2'!P33</f>
        <v>3.6551409097253051</v>
      </c>
      <c r="Q27" s="38">
        <f>'R2'!Q33</f>
        <v>0.13633044818380788</v>
      </c>
      <c r="R27" s="38">
        <f>'R2'!R33</f>
        <v>2.7359054407661829</v>
      </c>
      <c r="S27" s="38">
        <f>'R2'!S33</f>
        <v>2.143596770593585</v>
      </c>
      <c r="T27" s="38">
        <f>'R2'!T33</f>
        <v>9.21363310929844E-2</v>
      </c>
      <c r="U27" s="38">
        <f>'R2'!U33</f>
        <v>1.9158887926595642</v>
      </c>
      <c r="V27" s="38">
        <f>'R2'!V33</f>
        <v>1.8481950467643244</v>
      </c>
    </row>
    <row r="28" spans="1:22" x14ac:dyDescent="0.35">
      <c r="A28" s="145"/>
      <c r="B28" s="38">
        <f>'R2'!B34</f>
        <v>0.14406857119054789</v>
      </c>
      <c r="C28" s="38">
        <f>'R2'!C34</f>
        <v>7.9754612105531544E-2</v>
      </c>
      <c r="D28" s="38">
        <f>'R2'!D34</f>
        <v>0.19655224475882702</v>
      </c>
      <c r="E28" s="38" t="str">
        <f>'R2'!E34</f>
        <v/>
      </c>
      <c r="F28" s="38">
        <f>'R2'!F34</f>
        <v>1.4454422769508193</v>
      </c>
      <c r="G28" s="38">
        <f>'R2'!G34</f>
        <v>3.7138456194552587</v>
      </c>
      <c r="H28" s="38">
        <f>'R2'!H34</f>
        <v>4.5968458740547744</v>
      </c>
      <c r="I28" s="38">
        <f>'R2'!I34</f>
        <v>1.5723333602322649E-2</v>
      </c>
      <c r="J28" s="38">
        <f>'R2'!J34</f>
        <v>5.3492657542759709E-4</v>
      </c>
      <c r="K28" s="38">
        <f>'R2'!K34</f>
        <v>1.7017061520521699E-2</v>
      </c>
      <c r="L28" s="38">
        <f>'R2'!L34</f>
        <v>0.56297540140529778</v>
      </c>
      <c r="M28" s="38">
        <f>'R2'!M34</f>
        <v>0.57918465673766173</v>
      </c>
      <c r="O28" s="38">
        <f>'R2'!O34</f>
        <v>0.39693151002208732</v>
      </c>
      <c r="P28" s="38">
        <f>'R2'!P34</f>
        <v>2.7041049069938006</v>
      </c>
      <c r="Q28" s="38">
        <f>'R2'!Q34</f>
        <v>4.4213719028978013E-2</v>
      </c>
      <c r="R28" s="38">
        <f>'R2'!R34</f>
        <v>0.65700538289210542</v>
      </c>
      <c r="S28" s="38">
        <f>'R2'!S34</f>
        <v>3.416165428235773</v>
      </c>
      <c r="T28" s="38">
        <f>'R2'!T34</f>
        <v>1.3344401120650542</v>
      </c>
      <c r="U28" s="38">
        <f>'R2'!U34</f>
        <v>1.5578681615551766</v>
      </c>
      <c r="V28" s="38">
        <f>'R2'!V34</f>
        <v>3.1582730447461631</v>
      </c>
    </row>
    <row r="29" spans="1:22" x14ac:dyDescent="0.35">
      <c r="A29" s="145"/>
      <c r="B29" s="38">
        <f>'R2'!B35</f>
        <v>3.0860672421920369E-2</v>
      </c>
      <c r="C29" s="38">
        <f>'R2'!C35</f>
        <v>0.18094394358304278</v>
      </c>
      <c r="D29" s="38">
        <f>'R2'!D35</f>
        <v>1.255968395227689</v>
      </c>
      <c r="E29" s="38" t="str">
        <f>'R2'!E35</f>
        <v/>
      </c>
      <c r="F29" s="38">
        <f>'R2'!F35</f>
        <v>3.0022679249004613</v>
      </c>
      <c r="G29" s="38">
        <f>'R2'!G35</f>
        <v>3.8517256524342303</v>
      </c>
      <c r="H29" s="38">
        <f>'R2'!H35</f>
        <v>2.9998274836002223</v>
      </c>
      <c r="I29" s="38">
        <f>'R2'!I35</f>
        <v>3.7448471163276049E-2</v>
      </c>
      <c r="J29" s="38">
        <f>'R2'!J35</f>
        <v>6.8921446232286642E-3</v>
      </c>
      <c r="K29" s="38">
        <f>'R2'!K35</f>
        <v>4.2909158460746201E-2</v>
      </c>
      <c r="L29" s="38">
        <f>'R2'!L35</f>
        <v>0.75494543520026425</v>
      </c>
      <c r="M29" s="38">
        <f>'R2'!M35</f>
        <v>2.1072233109859417</v>
      </c>
      <c r="O29" s="38">
        <f>'R2'!O35</f>
        <v>0.9257221629668384</v>
      </c>
      <c r="P29" s="38">
        <f>'R2'!P35</f>
        <v>2.8569128475584029</v>
      </c>
      <c r="Q29" s="38">
        <f>'R2'!Q35</f>
        <v>1.4066969828264776E-3</v>
      </c>
      <c r="R29" s="38">
        <f>'R2'!R35</f>
        <v>1.4056771662019643</v>
      </c>
      <c r="S29" s="38" t="str">
        <f>'R2'!S35</f>
        <v/>
      </c>
      <c r="T29" s="38">
        <f>'R2'!T35</f>
        <v>2.4719684385582892</v>
      </c>
      <c r="U29" s="38">
        <f>'R2'!U35</f>
        <v>8.9899130940979108E-2</v>
      </c>
      <c r="V29" s="38">
        <f>'R2'!V35</f>
        <v>1.4784390447911058</v>
      </c>
    </row>
    <row r="30" spans="1:22" x14ac:dyDescent="0.35">
      <c r="A30" s="145"/>
      <c r="B30" s="38" t="str">
        <f>'R2'!B36</f>
        <v/>
      </c>
      <c r="C30" s="38" t="str">
        <f>'R2'!C36</f>
        <v/>
      </c>
      <c r="D30" s="38" t="str">
        <f>'R2'!D36</f>
        <v/>
      </c>
      <c r="E30" s="38" t="str">
        <f>'R2'!E36</f>
        <v/>
      </c>
      <c r="F30" s="38" t="str">
        <f>'R2'!F36</f>
        <v/>
      </c>
      <c r="G30" s="38" t="str">
        <f>'R2'!G36</f>
        <v/>
      </c>
      <c r="H30" s="38" t="str">
        <f>'R2'!H36</f>
        <v/>
      </c>
      <c r="I30" s="38" t="str">
        <f>'R2'!I36</f>
        <v/>
      </c>
      <c r="J30" s="38" t="str">
        <f>'R2'!J36</f>
        <v/>
      </c>
      <c r="K30" s="38" t="str">
        <f>'R2'!K36</f>
        <v/>
      </c>
      <c r="L30" s="38" t="str">
        <f>'R2'!L36</f>
        <v/>
      </c>
      <c r="M30" s="38" t="str">
        <f>'R2'!M36</f>
        <v/>
      </c>
      <c r="O30" s="38">
        <f>'R2'!O36</f>
        <v>2.037395533034247</v>
      </c>
      <c r="P30" s="38" t="str">
        <f>'R2'!P36</f>
        <v/>
      </c>
      <c r="Q30" s="38" t="str">
        <f>'R2'!Q36</f>
        <v/>
      </c>
      <c r="R30" s="38" t="str">
        <f>'R2'!R36</f>
        <v/>
      </c>
      <c r="S30" s="38" t="str">
        <f>'R2'!S36</f>
        <v/>
      </c>
      <c r="T30" s="38" t="str">
        <f>'R2'!T36</f>
        <v/>
      </c>
      <c r="U30" s="38" t="str">
        <f>'R2'!U36</f>
        <v/>
      </c>
      <c r="V30" s="38" t="str">
        <f>'R2'!V36</f>
        <v/>
      </c>
    </row>
    <row r="31" spans="1:22" s="1" customFormat="1" x14ac:dyDescent="0.35">
      <c r="A31" s="145"/>
      <c r="B31" s="38" t="str">
        <f>'R2'!B37</f>
        <v/>
      </c>
      <c r="C31" s="38" t="str">
        <f>'R2'!C37</f>
        <v/>
      </c>
      <c r="D31" s="38" t="str">
        <f>'R2'!D37</f>
        <v/>
      </c>
      <c r="E31" s="38" t="str">
        <f>'R2'!E37</f>
        <v/>
      </c>
      <c r="F31" s="38" t="str">
        <f>'R2'!F37</f>
        <v/>
      </c>
      <c r="G31" s="38" t="str">
        <f>'R2'!G37</f>
        <v/>
      </c>
      <c r="H31" s="38" t="str">
        <f>'R2'!H37</f>
        <v/>
      </c>
      <c r="I31" s="38" t="str">
        <f>'R2'!I37</f>
        <v/>
      </c>
      <c r="J31" s="38" t="str">
        <f>'R2'!J37</f>
        <v/>
      </c>
      <c r="K31" s="38" t="str">
        <f>'R2'!K37</f>
        <v/>
      </c>
      <c r="L31" s="38" t="str">
        <f>'R2'!L37</f>
        <v/>
      </c>
      <c r="M31" s="38" t="str">
        <f>'R2'!M37</f>
        <v/>
      </c>
      <c r="N31"/>
      <c r="O31" s="38">
        <f>'R2'!O37</f>
        <v>1.6478008221272093E-2</v>
      </c>
      <c r="P31" s="38" t="str">
        <f>'R2'!P37</f>
        <v/>
      </c>
      <c r="Q31" s="38" t="str">
        <f>'R2'!Q37</f>
        <v/>
      </c>
      <c r="R31" s="38" t="str">
        <f>'R2'!R37</f>
        <v/>
      </c>
      <c r="S31" s="38" t="str">
        <f>'R2'!S37</f>
        <v/>
      </c>
      <c r="T31" s="38" t="str">
        <f>'R2'!T37</f>
        <v/>
      </c>
      <c r="U31" s="38" t="str">
        <f>'R2'!U37</f>
        <v/>
      </c>
      <c r="V31" s="38" t="str">
        <f>'R2'!V37</f>
        <v/>
      </c>
    </row>
    <row r="32" spans="1:22" s="1" customFormat="1" x14ac:dyDescent="0.35">
      <c r="A32" s="145"/>
      <c r="B32" s="38" t="str">
        <f>'R2'!B38</f>
        <v/>
      </c>
      <c r="C32" s="38" t="str">
        <f>'R2'!C38</f>
        <v/>
      </c>
      <c r="D32" s="38" t="str">
        <f>'R2'!D38</f>
        <v/>
      </c>
      <c r="E32" s="38" t="str">
        <f>'R2'!E38</f>
        <v/>
      </c>
      <c r="F32" s="38" t="str">
        <f>'R2'!F38</f>
        <v/>
      </c>
      <c r="G32" s="38" t="str">
        <f>'R2'!G38</f>
        <v/>
      </c>
      <c r="H32" s="38" t="str">
        <f>'R2'!H38</f>
        <v/>
      </c>
      <c r="I32" s="38" t="str">
        <f>'R2'!I38</f>
        <v/>
      </c>
      <c r="J32" s="38" t="str">
        <f>'R2'!J38</f>
        <v/>
      </c>
      <c r="K32" s="38" t="str">
        <f>'R2'!K38</f>
        <v/>
      </c>
      <c r="L32" s="38" t="str">
        <f>'R2'!L38</f>
        <v/>
      </c>
      <c r="M32" s="38" t="str">
        <f>'R2'!M38</f>
        <v/>
      </c>
      <c r="N32"/>
      <c r="O32" s="38">
        <f>'R2'!O38</f>
        <v>0.71974499683902626</v>
      </c>
      <c r="P32" s="38" t="str">
        <f>'R2'!P38</f>
        <v/>
      </c>
      <c r="Q32" s="38" t="str">
        <f>'R2'!Q38</f>
        <v/>
      </c>
      <c r="R32" s="38" t="str">
        <f>'R2'!R38</f>
        <v/>
      </c>
      <c r="S32" s="38" t="str">
        <f>'R2'!S38</f>
        <v/>
      </c>
      <c r="T32" s="38" t="str">
        <f>'R2'!T38</f>
        <v/>
      </c>
      <c r="U32" s="38" t="str">
        <f>'R2'!U38</f>
        <v/>
      </c>
      <c r="V32" s="38" t="str">
        <f>'R2'!V38</f>
        <v/>
      </c>
    </row>
    <row r="33" spans="1:22" s="1" customFormat="1" x14ac:dyDescent="0.35">
      <c r="A33" s="145"/>
      <c r="B33" s="38" t="str">
        <f>'R2'!B39</f>
        <v/>
      </c>
      <c r="C33" s="38" t="str">
        <f>'R2'!C39</f>
        <v/>
      </c>
      <c r="D33" s="38" t="str">
        <f>'R2'!D39</f>
        <v/>
      </c>
      <c r="E33" s="38" t="str">
        <f>'R2'!E39</f>
        <v/>
      </c>
      <c r="F33" s="38" t="str">
        <f>'R2'!F39</f>
        <v/>
      </c>
      <c r="G33" s="38" t="str">
        <f>'R2'!G39</f>
        <v/>
      </c>
      <c r="H33" s="38" t="str">
        <f>'R2'!H39</f>
        <v/>
      </c>
      <c r="I33" s="38" t="str">
        <f>'R2'!I39</f>
        <v/>
      </c>
      <c r="J33" s="38" t="str">
        <f>'R2'!J39</f>
        <v/>
      </c>
      <c r="K33" s="38" t="str">
        <f>'R2'!K39</f>
        <v/>
      </c>
      <c r="L33" s="38" t="str">
        <f>'R2'!L39</f>
        <v/>
      </c>
      <c r="M33" s="38" t="str">
        <f>'R2'!M39</f>
        <v/>
      </c>
      <c r="N33"/>
      <c r="O33" s="38">
        <f>'R2'!O39</f>
        <v>0.52383291011308808</v>
      </c>
      <c r="P33" s="38" t="str">
        <f>'R2'!P39</f>
        <v/>
      </c>
      <c r="Q33" s="38" t="str">
        <f>'R2'!Q39</f>
        <v/>
      </c>
      <c r="R33" s="38" t="str">
        <f>'R2'!R39</f>
        <v/>
      </c>
      <c r="S33" s="38" t="str">
        <f>'R2'!S39</f>
        <v/>
      </c>
      <c r="T33" s="38" t="str">
        <f>'R2'!T39</f>
        <v/>
      </c>
      <c r="U33" s="38" t="str">
        <f>'R2'!U39</f>
        <v/>
      </c>
      <c r="V33" s="38" t="str">
        <f>'R2'!V39</f>
        <v/>
      </c>
    </row>
    <row r="34" spans="1:22" s="1" customFormat="1" x14ac:dyDescent="0.35">
      <c r="A34" s="145"/>
      <c r="B34" s="38" t="str">
        <f>'R2'!B40</f>
        <v/>
      </c>
      <c r="C34" s="38" t="str">
        <f>'R2'!C40</f>
        <v/>
      </c>
      <c r="D34" s="38" t="str">
        <f>'R2'!D40</f>
        <v/>
      </c>
      <c r="E34" s="38" t="str">
        <f>'R2'!E40</f>
        <v/>
      </c>
      <c r="F34" s="38" t="str">
        <f>'R2'!F40</f>
        <v/>
      </c>
      <c r="G34" s="38" t="str">
        <f>'R2'!G40</f>
        <v/>
      </c>
      <c r="H34" s="38" t="str">
        <f>'R2'!H40</f>
        <v/>
      </c>
      <c r="I34" s="38" t="str">
        <f>'R2'!I40</f>
        <v/>
      </c>
      <c r="J34" s="38" t="str">
        <f>'R2'!J40</f>
        <v/>
      </c>
      <c r="K34" s="38" t="str">
        <f>'R2'!K40</f>
        <v/>
      </c>
      <c r="L34" s="38" t="str">
        <f>'R2'!L40</f>
        <v/>
      </c>
      <c r="M34" s="38" t="str">
        <f>'R2'!M40</f>
        <v/>
      </c>
      <c r="N34"/>
      <c r="O34" s="38">
        <f>'R2'!O40</f>
        <v>0.43872077880563648</v>
      </c>
      <c r="P34" s="38" t="str">
        <f>'R2'!P40</f>
        <v/>
      </c>
      <c r="Q34" s="38" t="str">
        <f>'R2'!Q40</f>
        <v/>
      </c>
      <c r="R34" s="38" t="str">
        <f>'R2'!R40</f>
        <v/>
      </c>
      <c r="S34" s="38" t="str">
        <f>'R2'!S40</f>
        <v/>
      </c>
      <c r="T34" s="38" t="str">
        <f>'R2'!T40</f>
        <v/>
      </c>
      <c r="U34" s="38" t="str">
        <f>'R2'!U40</f>
        <v/>
      </c>
      <c r="V34" s="38" t="str">
        <f>'R2'!V40</f>
        <v/>
      </c>
    </row>
    <row r="35" spans="1:22" s="1" customFormat="1" x14ac:dyDescent="0.35">
      <c r="A35" s="145"/>
      <c r="B35" s="38" t="str">
        <f>'R2'!B41</f>
        <v/>
      </c>
      <c r="C35" s="38" t="str">
        <f>'R2'!C41</f>
        <v/>
      </c>
      <c r="D35" s="38" t="str">
        <f>'R2'!D41</f>
        <v/>
      </c>
      <c r="E35" s="38" t="str">
        <f>'R2'!E41</f>
        <v/>
      </c>
      <c r="F35" s="38" t="str">
        <f>'R2'!F41</f>
        <v/>
      </c>
      <c r="G35" s="38" t="str">
        <f>'R2'!G41</f>
        <v/>
      </c>
      <c r="H35" s="38" t="str">
        <f>'R2'!H41</f>
        <v/>
      </c>
      <c r="I35" s="38" t="str">
        <f>'R2'!I41</f>
        <v/>
      </c>
      <c r="J35" s="38" t="str">
        <f>'R2'!J41</f>
        <v/>
      </c>
      <c r="K35" s="38" t="str">
        <f>'R2'!K41</f>
        <v/>
      </c>
      <c r="L35" s="38" t="str">
        <f>'R2'!L41</f>
        <v/>
      </c>
      <c r="M35" s="38" t="str">
        <f>'R2'!M41</f>
        <v/>
      </c>
      <c r="N35"/>
      <c r="O35" s="38">
        <f>'R2'!O41</f>
        <v>0.23496636929645259</v>
      </c>
      <c r="P35" s="38" t="str">
        <f>'R2'!P41</f>
        <v/>
      </c>
      <c r="Q35" s="38" t="str">
        <f>'R2'!Q41</f>
        <v/>
      </c>
      <c r="R35" s="38" t="str">
        <f>'R2'!R41</f>
        <v/>
      </c>
      <c r="S35" s="38" t="str">
        <f>'R2'!S41</f>
        <v/>
      </c>
      <c r="T35" s="38" t="str">
        <f>'R2'!T41</f>
        <v/>
      </c>
      <c r="U35" s="38" t="str">
        <f>'R2'!U41</f>
        <v/>
      </c>
      <c r="V35" s="38" t="str">
        <f>'R2'!V41</f>
        <v/>
      </c>
    </row>
    <row r="36" spans="1:22" x14ac:dyDescent="0.35">
      <c r="A36" s="145"/>
      <c r="B36" s="38" t="str">
        <f>'R2'!B42</f>
        <v/>
      </c>
      <c r="C36" s="38" t="str">
        <f>'R2'!C42</f>
        <v/>
      </c>
      <c r="D36" s="38" t="str">
        <f>'R2'!D42</f>
        <v/>
      </c>
      <c r="E36" s="38" t="str">
        <f>'R2'!E42</f>
        <v/>
      </c>
      <c r="F36" s="38" t="str">
        <f>'R2'!F42</f>
        <v/>
      </c>
      <c r="G36" s="38" t="str">
        <f>'R2'!G42</f>
        <v/>
      </c>
      <c r="H36" s="38" t="str">
        <f>'R2'!H42</f>
        <v/>
      </c>
      <c r="I36" s="38" t="str">
        <f>'R2'!I42</f>
        <v/>
      </c>
      <c r="J36" s="38" t="str">
        <f>'R2'!J42</f>
        <v/>
      </c>
      <c r="K36" s="38" t="str">
        <f>'R2'!K42</f>
        <v/>
      </c>
      <c r="L36" s="38" t="str">
        <f>'R2'!L42</f>
        <v/>
      </c>
      <c r="M36" s="38" t="str">
        <f>'R2'!M42</f>
        <v/>
      </c>
      <c r="O36" s="38">
        <f>'R2'!O42</f>
        <v>1.6579871240413548</v>
      </c>
      <c r="P36" s="38" t="str">
        <f>'R2'!P42</f>
        <v/>
      </c>
      <c r="Q36" s="38" t="str">
        <f>'R2'!Q42</f>
        <v/>
      </c>
      <c r="R36" s="38" t="str">
        <f>'R2'!R42</f>
        <v/>
      </c>
      <c r="S36" s="38" t="str">
        <f>'R2'!S42</f>
        <v/>
      </c>
      <c r="T36" s="38" t="str">
        <f>'R2'!T42</f>
        <v/>
      </c>
      <c r="U36" s="38" t="str">
        <f>'R2'!U42</f>
        <v/>
      </c>
      <c r="V36" s="38" t="str">
        <f>'R2'!V42</f>
        <v/>
      </c>
    </row>
    <row r="37" spans="1:22" x14ac:dyDescent="0.35">
      <c r="A37" s="146"/>
      <c r="B37" s="38" t="str">
        <f>'R2'!B43</f>
        <v/>
      </c>
      <c r="C37" s="38" t="str">
        <f>'R2'!C43</f>
        <v/>
      </c>
      <c r="D37" s="38" t="str">
        <f>'R2'!D43</f>
        <v/>
      </c>
      <c r="E37" s="38" t="str">
        <f>'R2'!E43</f>
        <v/>
      </c>
      <c r="F37" s="38" t="str">
        <f>'R2'!F43</f>
        <v/>
      </c>
      <c r="G37" s="38" t="str">
        <f>'R2'!G43</f>
        <v/>
      </c>
      <c r="H37" s="38" t="str">
        <f>'R2'!H43</f>
        <v/>
      </c>
      <c r="I37" s="38" t="str">
        <f>'R2'!I43</f>
        <v/>
      </c>
      <c r="J37" s="38" t="str">
        <f>'R2'!J43</f>
        <v/>
      </c>
      <c r="K37" s="38" t="str">
        <f>'R2'!K43</f>
        <v/>
      </c>
      <c r="L37" s="38" t="str">
        <f>'R2'!L43</f>
        <v/>
      </c>
      <c r="M37" s="38" t="str">
        <f>'R2'!M43</f>
        <v/>
      </c>
      <c r="O37" s="38">
        <f>'R2'!O43</f>
        <v>1.9913975217927289</v>
      </c>
      <c r="P37" s="38" t="str">
        <f>'R2'!P43</f>
        <v/>
      </c>
      <c r="Q37" s="38" t="str">
        <f>'R2'!Q43</f>
        <v/>
      </c>
      <c r="R37" s="38" t="str">
        <f>'R2'!R43</f>
        <v/>
      </c>
      <c r="S37" s="38" t="str">
        <f>'R2'!S43</f>
        <v/>
      </c>
      <c r="T37" s="38" t="str">
        <f>'R2'!T43</f>
        <v/>
      </c>
      <c r="U37" s="38" t="str">
        <f>'R2'!U43</f>
        <v/>
      </c>
      <c r="V37" s="38" t="str">
        <f>'R2'!V43</f>
        <v/>
      </c>
    </row>
    <row r="38" spans="1:22" s="1" customFormat="1" x14ac:dyDescent="0.35">
      <c r="A38" s="85" t="s">
        <v>16</v>
      </c>
      <c r="B38" s="86">
        <f>'R3'!B28</f>
        <v>7.0153180947059343E-2</v>
      </c>
      <c r="C38" s="86">
        <f>'R3'!C28</f>
        <v>0.14560011845182408</v>
      </c>
      <c r="D38" s="86">
        <f>'R3'!D28</f>
        <v>1.3480505024287472E-2</v>
      </c>
      <c r="E38" s="86">
        <f>'R3'!E28</f>
        <v>2.2150001960976997</v>
      </c>
      <c r="F38" s="86">
        <f>'R3'!F28</f>
        <v>0.63000991064554923</v>
      </c>
      <c r="G38" s="86">
        <f>'R3'!G28</f>
        <v>2.1055463920887578</v>
      </c>
      <c r="H38" s="86">
        <f>'R3'!H28</f>
        <v>5.2822603851358823</v>
      </c>
      <c r="I38" s="86">
        <f>'R3'!I28</f>
        <v>3.029819629776356E-2</v>
      </c>
      <c r="J38" s="86">
        <f>'R3'!J28</f>
        <v>5.2341781104730714E-2</v>
      </c>
      <c r="K38" s="86">
        <f>'R3'!K28</f>
        <v>4.2438626928312406E-2</v>
      </c>
      <c r="L38" s="86">
        <f>'R3'!L28</f>
        <v>0.16710300241001869</v>
      </c>
      <c r="M38" s="86">
        <f>'R3'!M28</f>
        <v>0.81930676598758112</v>
      </c>
      <c r="N38"/>
      <c r="O38" s="86">
        <f>'R3'!O28</f>
        <v>0.27712218473108396</v>
      </c>
      <c r="P38" s="86">
        <f>'R3'!P28</f>
        <v>2.9658362553359505</v>
      </c>
      <c r="Q38" s="86">
        <f>'R3'!Q28</f>
        <v>5.7285205816654382E-2</v>
      </c>
      <c r="R38" s="86">
        <f>'R3'!R28</f>
        <v>1.401884388728216</v>
      </c>
      <c r="S38" s="86">
        <f>'R3'!S28</f>
        <v>2.1899525707967782</v>
      </c>
      <c r="T38" s="86">
        <f>'R3'!T28</f>
        <v>2.6267388247446215</v>
      </c>
      <c r="U38" s="86">
        <f>'R3'!U28</f>
        <v>2.0546680726945188</v>
      </c>
      <c r="V38" s="86">
        <f>'R3'!V28</f>
        <v>2.9896235673300349</v>
      </c>
    </row>
    <row r="39" spans="1:22" s="1" customFormat="1" x14ac:dyDescent="0.35">
      <c r="A39" s="144"/>
      <c r="B39" s="86">
        <f>'R3'!B29</f>
        <v>1.0164911555530683E-2</v>
      </c>
      <c r="C39" s="86">
        <f>'R3'!C29</f>
        <v>0.13103821172999153</v>
      </c>
      <c r="D39" s="86">
        <f>'R3'!D29</f>
        <v>6.6513255102836719E-2</v>
      </c>
      <c r="E39" s="86">
        <f>'R3'!E29</f>
        <v>0.74651353713098934</v>
      </c>
      <c r="F39" s="86">
        <f>'R3'!F29</f>
        <v>0.69584012881635871</v>
      </c>
      <c r="G39" s="86">
        <f>'R3'!G29</f>
        <v>1.6653304114041609</v>
      </c>
      <c r="H39" s="86">
        <f>'R3'!H29</f>
        <v>3.4318111010687544</v>
      </c>
      <c r="I39" s="86">
        <f>'R3'!I29</f>
        <v>0.16348466934622791</v>
      </c>
      <c r="J39" s="86">
        <f>'R3'!J29</f>
        <v>5.118414367219163E-2</v>
      </c>
      <c r="K39" s="86">
        <f>'R3'!K29</f>
        <v>1.4628007070093251E-2</v>
      </c>
      <c r="L39" s="86">
        <f>'R3'!L29</f>
        <v>1.5929646314663217</v>
      </c>
      <c r="M39" s="86">
        <f>'R3'!M29</f>
        <v>0.24034923898669047</v>
      </c>
      <c r="N39"/>
      <c r="O39" s="86">
        <f>'R3'!O29</f>
        <v>0.90667864698756473</v>
      </c>
      <c r="P39" s="86">
        <f>'R3'!P29</f>
        <v>2.4732035798185943</v>
      </c>
      <c r="Q39" s="86">
        <f>'R3'!Q29</f>
        <v>0.25619657714769944</v>
      </c>
      <c r="R39" s="86">
        <f>'R3'!R29</f>
        <v>1.4609468125751066</v>
      </c>
      <c r="S39" s="86">
        <f>'R3'!S29</f>
        <v>1.0326875035528937</v>
      </c>
      <c r="T39" s="86">
        <f>'R3'!T29</f>
        <v>1.9471867030776764</v>
      </c>
      <c r="U39" s="86">
        <f>'R3'!U29</f>
        <v>0.98085249178482836</v>
      </c>
      <c r="V39" s="86">
        <f>'R3'!V29</f>
        <v>4.3306766868919047</v>
      </c>
    </row>
    <row r="40" spans="1:22" s="1" customFormat="1" x14ac:dyDescent="0.35">
      <c r="A40" s="145"/>
      <c r="B40" s="86">
        <f>'R3'!B30</f>
        <v>0.15736950579413619</v>
      </c>
      <c r="C40" s="86">
        <f>'R3'!C30</f>
        <v>0.12973956022116295</v>
      </c>
      <c r="D40" s="86">
        <f>'R3'!D30</f>
        <v>0.4892302702578839</v>
      </c>
      <c r="E40" s="86">
        <f>'R3'!E30</f>
        <v>0.88339061295734278</v>
      </c>
      <c r="F40" s="86">
        <f>'R3'!F30</f>
        <v>1.2430307097811328</v>
      </c>
      <c r="G40" s="86">
        <f>'R3'!G30</f>
        <v>1.8927147280829975</v>
      </c>
      <c r="H40" s="86">
        <f>'R3'!H30</f>
        <v>2.4399907988315221</v>
      </c>
      <c r="I40" s="86">
        <f>'R3'!I30</f>
        <v>2.9493094055948216E-2</v>
      </c>
      <c r="J40" s="86">
        <f>'R3'!J30</f>
        <v>2.5332738136419661E-2</v>
      </c>
      <c r="K40" s="86">
        <f>'R3'!K30</f>
        <v>0.19130762793612238</v>
      </c>
      <c r="L40" s="86">
        <f>'R3'!L30</f>
        <v>0.56757152167849056</v>
      </c>
      <c r="M40" s="86">
        <f>'R3'!M30</f>
        <v>1.192187203236978</v>
      </c>
      <c r="N40"/>
      <c r="O40" s="86">
        <f>'R3'!O30</f>
        <v>1.095086232310996</v>
      </c>
      <c r="P40" s="86">
        <f>'R3'!P30</f>
        <v>1.9037984344793517</v>
      </c>
      <c r="Q40" s="86">
        <f>'R3'!Q30</f>
        <v>4.8495622173934695E-3</v>
      </c>
      <c r="R40" s="86">
        <f>'R3'!R30</f>
        <v>2.157551061417359</v>
      </c>
      <c r="S40" s="86">
        <f>'R3'!S30</f>
        <v>2.1108163525210895</v>
      </c>
      <c r="T40" s="86">
        <f>'R3'!T30</f>
        <v>1.8862783168383586</v>
      </c>
      <c r="U40" s="86">
        <f>'R3'!U30</f>
        <v>1.4843000656156125</v>
      </c>
      <c r="V40" s="86">
        <f>'R3'!V30</f>
        <v>0.84825827785677999</v>
      </c>
    </row>
    <row r="41" spans="1:22" s="1" customFormat="1" x14ac:dyDescent="0.35">
      <c r="A41" s="145"/>
      <c r="B41" s="86">
        <f>'R3'!B31</f>
        <v>3.0619884659298977E-2</v>
      </c>
      <c r="C41" s="86">
        <f>'R3'!C31</f>
        <v>0.42580346074983355</v>
      </c>
      <c r="D41" s="86">
        <f>'R3'!D31</f>
        <v>1.4436258773168722</v>
      </c>
      <c r="E41" s="86">
        <f>'R3'!E31</f>
        <v>0.29953593148831104</v>
      </c>
      <c r="F41" s="86">
        <f>'R3'!F31</f>
        <v>1.1612280034566076</v>
      </c>
      <c r="G41" s="86">
        <f>'R3'!G31</f>
        <v>1.8853965381925608</v>
      </c>
      <c r="H41" s="86">
        <f>'R3'!H31</f>
        <v>1.7674356193624665</v>
      </c>
      <c r="I41" s="86">
        <f>'R3'!I31</f>
        <v>2.5066574067423235E-2</v>
      </c>
      <c r="J41" s="86">
        <f>'R3'!J31</f>
        <v>4.9689394463522961E-2</v>
      </c>
      <c r="K41" s="86">
        <f>'R3'!K31</f>
        <v>0.17669328160466968</v>
      </c>
      <c r="L41" s="86">
        <f>'R3'!L31</f>
        <v>5.1485561260260423E-2</v>
      </c>
      <c r="M41" s="86">
        <f>'R3'!M31</f>
        <v>1.9963490574310672</v>
      </c>
      <c r="N41"/>
      <c r="O41" s="86">
        <f>'R3'!O31</f>
        <v>1.6447401529209524</v>
      </c>
      <c r="P41" s="86">
        <f>'R3'!P31</f>
        <v>2.8222336894085651</v>
      </c>
      <c r="Q41" s="86">
        <f>'R3'!Q31</f>
        <v>9.1472305937089216E-2</v>
      </c>
      <c r="R41" s="86">
        <f>'R3'!R31</f>
        <v>0.86402717693785291</v>
      </c>
      <c r="S41" s="86">
        <f>'R3'!S31</f>
        <v>1.7740029092966614</v>
      </c>
      <c r="T41" s="86">
        <f>'R3'!T31</f>
        <v>1.7264172685837824</v>
      </c>
      <c r="U41" s="86">
        <f>'R3'!U31</f>
        <v>0.64905870900731821</v>
      </c>
      <c r="V41" s="86">
        <f>'R3'!V31</f>
        <v>0.92329495253333993</v>
      </c>
    </row>
    <row r="42" spans="1:22" s="1" customFormat="1" x14ac:dyDescent="0.35">
      <c r="A42" s="145"/>
      <c r="B42" s="86">
        <f>'R3'!B32</f>
        <v>6.5487377697830626E-2</v>
      </c>
      <c r="C42" s="86">
        <f>'R3'!C32</f>
        <v>1.511979366115287E-2</v>
      </c>
      <c r="D42" s="86">
        <f>'R3'!D32</f>
        <v>0.76906741662652911</v>
      </c>
      <c r="E42" s="86">
        <f>'R3'!E32</f>
        <v>0.58836536923434202</v>
      </c>
      <c r="F42" s="86">
        <f>'R3'!F32</f>
        <v>0.93082774822112946</v>
      </c>
      <c r="G42" s="86">
        <f>'R3'!G32</f>
        <v>2.4362314516914418</v>
      </c>
      <c r="H42" s="86">
        <f>'R3'!H32</f>
        <v>5.0882928791857491</v>
      </c>
      <c r="I42" s="86">
        <f>'R3'!I32</f>
        <v>1.9359910667582671E-2</v>
      </c>
      <c r="J42" s="86">
        <f>'R3'!J32</f>
        <v>2.0517988769110162E-2</v>
      </c>
      <c r="K42" s="86">
        <f>'R3'!K32</f>
        <v>2.7683707189558614E-2</v>
      </c>
      <c r="L42" s="86">
        <f>'R3'!L32</f>
        <v>0.37432759420731804</v>
      </c>
      <c r="M42" s="86">
        <f>'R3'!M32</f>
        <v>4.8663076389528472E-2</v>
      </c>
      <c r="N42"/>
      <c r="O42" s="86">
        <f>'R3'!O32</f>
        <v>1.9611550286721278</v>
      </c>
      <c r="P42" s="86">
        <f>'R3'!P32</f>
        <v>1.8878550304788706</v>
      </c>
      <c r="Q42" s="86">
        <f>'R3'!Q32</f>
        <v>2.7551506493037208E-2</v>
      </c>
      <c r="R42" s="86">
        <f>'R3'!R32</f>
        <v>3.2615709761302827</v>
      </c>
      <c r="S42" s="86">
        <f>'R3'!S32</f>
        <v>2.8797550938030043</v>
      </c>
      <c r="T42" s="86">
        <f>'R3'!T32</f>
        <v>0.57142913800298512</v>
      </c>
      <c r="U42" s="86">
        <f>'R3'!U32</f>
        <v>1.7578334421051287</v>
      </c>
      <c r="V42" s="86">
        <f>'R3'!V32</f>
        <v>2.8230158768629834</v>
      </c>
    </row>
    <row r="43" spans="1:22" s="1" customFormat="1" x14ac:dyDescent="0.35">
      <c r="A43" s="145"/>
      <c r="B43" s="86">
        <f>'R3'!B33</f>
        <v>7.4559870831106115E-2</v>
      </c>
      <c r="C43" s="86">
        <f>'R3'!C33</f>
        <v>7.7293340566180326E-4</v>
      </c>
      <c r="D43" s="86">
        <f>'R3'!D33</f>
        <v>0.33657724464664296</v>
      </c>
      <c r="E43" s="86">
        <f>'R3'!E33</f>
        <v>0.98818037639300971</v>
      </c>
      <c r="F43" s="86">
        <f>'R3'!F33</f>
        <v>1.0881263063081326</v>
      </c>
      <c r="G43" s="86">
        <f>'R3'!G33</f>
        <v>2.077667468537336</v>
      </c>
      <c r="H43" s="86">
        <f>'R3'!H33</f>
        <v>1.3842673239097738</v>
      </c>
      <c r="I43" s="86">
        <f>'R3'!I33</f>
        <v>2.572184885318099E-2</v>
      </c>
      <c r="J43" s="86">
        <f>'R3'!J33</f>
        <v>5.1939450318317246E-2</v>
      </c>
      <c r="K43" s="86">
        <f>'R3'!K33</f>
        <v>1.8259560203536192E-2</v>
      </c>
      <c r="L43" s="86">
        <f>'R3'!L33</f>
        <v>6.6813350683940301E-2</v>
      </c>
      <c r="M43" s="86">
        <f>'R3'!M33</f>
        <v>2.5751131307460482</v>
      </c>
      <c r="N43"/>
      <c r="O43" s="86">
        <f>'R3'!O33</f>
        <v>0.98512213361348133</v>
      </c>
      <c r="P43" s="86">
        <f>'R3'!P33</f>
        <v>2.2217437536272566</v>
      </c>
      <c r="Q43" s="86">
        <f>'R3'!Q33</f>
        <v>2.7930041154076827E-2</v>
      </c>
      <c r="R43" s="86">
        <f>'R3'!R33</f>
        <v>1.7074733494412537</v>
      </c>
      <c r="S43" s="86">
        <f>'R3'!S33</f>
        <v>1.2101184650441528</v>
      </c>
      <c r="T43" s="86">
        <f>'R3'!T33</f>
        <v>1.7948452304412374</v>
      </c>
      <c r="U43" s="86">
        <f>'R3'!U33</f>
        <v>1.7805961987011723</v>
      </c>
      <c r="V43" s="86">
        <f>'R3'!V33</f>
        <v>5.1982468424965305</v>
      </c>
    </row>
    <row r="44" spans="1:22" s="1" customFormat="1" x14ac:dyDescent="0.35">
      <c r="A44" s="145"/>
      <c r="B44" s="86">
        <f>'R3'!B34</f>
        <v>5.9534380333471854E-3</v>
      </c>
      <c r="C44" s="86">
        <f>'R3'!C34</f>
        <v>1.8098275353780082E-3</v>
      </c>
      <c r="D44" s="86">
        <f>'R3'!D34</f>
        <v>0.25454450911017035</v>
      </c>
      <c r="E44" s="86">
        <f>'R3'!E34</f>
        <v>1.0975570633289811</v>
      </c>
      <c r="F44" s="86">
        <f>'R3'!F34</f>
        <v>0.99529233319687282</v>
      </c>
      <c r="G44" s="86">
        <f>'R3'!G34</f>
        <v>1.7727417146518472</v>
      </c>
      <c r="H44" s="86">
        <f>'R3'!H34</f>
        <v>4.3848450409535724</v>
      </c>
      <c r="I44" s="86">
        <f>'R3'!I34</f>
        <v>4.3333625643762308E-2</v>
      </c>
      <c r="J44" s="86">
        <f>'R3'!J34</f>
        <v>2.6341429450877966E-2</v>
      </c>
      <c r="K44" s="86">
        <f>'R3'!K34</f>
        <v>2.7318392598171135E-2</v>
      </c>
      <c r="L44" s="86">
        <f>'R3'!L34</f>
        <v>0.44715651725197059</v>
      </c>
      <c r="M44" s="86">
        <f>'R3'!M34</f>
        <v>1.4806068188237929</v>
      </c>
      <c r="N44"/>
      <c r="O44" s="86">
        <f>'R3'!O34</f>
        <v>0.24325456962724251</v>
      </c>
      <c r="P44" s="86">
        <f>'R3'!P34</f>
        <v>3.2210386832458093</v>
      </c>
      <c r="Q44" s="86">
        <f>'R3'!Q34</f>
        <v>8.4324214276176951E-2</v>
      </c>
      <c r="R44" s="86">
        <f>'R3'!R34</f>
        <v>1.7936184079775188</v>
      </c>
      <c r="S44" s="86">
        <f>'R3'!S34</f>
        <v>1.9227269302072861E-2</v>
      </c>
      <c r="T44" s="86">
        <f>'R3'!T34</f>
        <v>3.6374135903197362</v>
      </c>
      <c r="U44" s="86">
        <f>'R3'!U34</f>
        <v>0.99451278975638502</v>
      </c>
      <c r="V44" s="86">
        <f>'R3'!V34</f>
        <v>3.032805602841786</v>
      </c>
    </row>
    <row r="45" spans="1:22" s="1" customFormat="1" x14ac:dyDescent="0.35">
      <c r="A45" s="145"/>
      <c r="B45" s="86">
        <f>'R3'!B35</f>
        <v>0.13667172407775693</v>
      </c>
      <c r="C45" s="86">
        <f>'R3'!C35</f>
        <v>1.2435678852779982E-3</v>
      </c>
      <c r="D45" s="86">
        <f>'R3'!D35</f>
        <v>0.24888587863006587</v>
      </c>
      <c r="E45" s="86">
        <f>'R3'!E35</f>
        <v>1.4111988091361258</v>
      </c>
      <c r="F45" s="86">
        <f>'R3'!F35</f>
        <v>0.56364912701270053</v>
      </c>
      <c r="G45" s="86">
        <f>'R3'!G35</f>
        <v>2.1178657343285989</v>
      </c>
      <c r="H45" s="86">
        <f>'R3'!H35</f>
        <v>3.8996129604274841</v>
      </c>
      <c r="I45" s="86" t="str">
        <f>'R3'!I35</f>
        <v/>
      </c>
      <c r="J45" s="86">
        <f>'R3'!J35</f>
        <v>2.8620569458906956E-2</v>
      </c>
      <c r="K45" s="86">
        <f>'R3'!K35</f>
        <v>8.2665536203821749E-2</v>
      </c>
      <c r="L45" s="86">
        <f>'R3'!L35</f>
        <v>0.90821437841215502</v>
      </c>
      <c r="M45" s="86">
        <f>'R3'!M35</f>
        <v>1.0862627171561692</v>
      </c>
      <c r="N45"/>
      <c r="O45" s="86">
        <f>'R3'!O35</f>
        <v>0.44286836732580465</v>
      </c>
      <c r="P45" s="86">
        <f>'R3'!P35</f>
        <v>1.8410837460565634</v>
      </c>
      <c r="Q45" s="86">
        <f>'R3'!Q35</f>
        <v>5.9041712404435419E-2</v>
      </c>
      <c r="R45" s="86">
        <f>'R3'!R35</f>
        <v>0.85585276720294612</v>
      </c>
      <c r="S45" s="86">
        <f>'R3'!S35</f>
        <v>1.0922809335308119</v>
      </c>
      <c r="T45" s="86">
        <f>'R3'!T35</f>
        <v>0.46220227852307144</v>
      </c>
      <c r="U45" s="86">
        <f>'R3'!U35</f>
        <v>1.732562838296074</v>
      </c>
      <c r="V45" s="86">
        <f>'R3'!V35</f>
        <v>2.9892322532683315</v>
      </c>
    </row>
    <row r="46" spans="1:22" s="1" customFormat="1" x14ac:dyDescent="0.35">
      <c r="A46" s="145"/>
      <c r="B46" s="86" t="str">
        <f>'R3'!B36</f>
        <v/>
      </c>
      <c r="C46" s="86" t="str">
        <f>'R3'!C36</f>
        <v/>
      </c>
      <c r="D46" s="86" t="str">
        <f>'R3'!D36</f>
        <v/>
      </c>
      <c r="E46" s="86" t="str">
        <f>'R3'!E36</f>
        <v/>
      </c>
      <c r="F46" s="86" t="str">
        <f>'R3'!F36</f>
        <v/>
      </c>
      <c r="G46" s="86" t="str">
        <f>'R3'!G36</f>
        <v/>
      </c>
      <c r="H46" s="86" t="str">
        <f>'R3'!H36</f>
        <v/>
      </c>
      <c r="I46" s="86" t="str">
        <f>'R3'!I36</f>
        <v/>
      </c>
      <c r="J46" s="86" t="str">
        <f>'R3'!J36</f>
        <v/>
      </c>
      <c r="K46" s="86" t="str">
        <f>'R3'!K36</f>
        <v/>
      </c>
      <c r="L46" s="86" t="str">
        <f>'R3'!L36</f>
        <v/>
      </c>
      <c r="M46" s="86" t="str">
        <f>'R3'!M36</f>
        <v/>
      </c>
      <c r="N46"/>
      <c r="O46" s="86">
        <f>'R3'!O36</f>
        <v>1.9110566933873652</v>
      </c>
      <c r="P46" s="86" t="str">
        <f>'R3'!P36</f>
        <v/>
      </c>
      <c r="Q46" s="86" t="str">
        <f>'R3'!Q36</f>
        <v/>
      </c>
      <c r="R46" s="86" t="str">
        <f>'R3'!R36</f>
        <v/>
      </c>
      <c r="S46" s="86" t="str">
        <f>'R3'!S36</f>
        <v/>
      </c>
      <c r="T46" s="86" t="str">
        <f>'R3'!T36</f>
        <v/>
      </c>
      <c r="U46" s="86" t="str">
        <f>'R3'!U36</f>
        <v/>
      </c>
      <c r="V46" s="86" t="str">
        <f>'R3'!V36</f>
        <v/>
      </c>
    </row>
    <row r="47" spans="1:22" s="1" customFormat="1" x14ac:dyDescent="0.35">
      <c r="A47" s="145"/>
      <c r="B47" s="86" t="str">
        <f>'R3'!B37</f>
        <v/>
      </c>
      <c r="C47" s="86" t="str">
        <f>'R3'!C37</f>
        <v/>
      </c>
      <c r="D47" s="86" t="str">
        <f>'R3'!D37</f>
        <v/>
      </c>
      <c r="E47" s="86" t="str">
        <f>'R3'!E37</f>
        <v/>
      </c>
      <c r="F47" s="86" t="str">
        <f>'R3'!F37</f>
        <v/>
      </c>
      <c r="G47" s="86" t="str">
        <f>'R3'!G37</f>
        <v/>
      </c>
      <c r="H47" s="86" t="str">
        <f>'R3'!H37</f>
        <v/>
      </c>
      <c r="I47" s="86" t="str">
        <f>'R3'!I37</f>
        <v/>
      </c>
      <c r="J47" s="86" t="str">
        <f>'R3'!J37</f>
        <v/>
      </c>
      <c r="K47" s="86" t="str">
        <f>'R3'!K37</f>
        <v/>
      </c>
      <c r="L47" s="86" t="str">
        <f>'R3'!L37</f>
        <v/>
      </c>
      <c r="M47" s="86" t="str">
        <f>'R3'!M37</f>
        <v/>
      </c>
      <c r="N47"/>
      <c r="O47" s="86">
        <f>'R3'!O37</f>
        <v>0.9489207355470487</v>
      </c>
      <c r="P47" s="86" t="str">
        <f>'R3'!P37</f>
        <v/>
      </c>
      <c r="Q47" s="86" t="str">
        <f>'R3'!Q37</f>
        <v/>
      </c>
      <c r="R47" s="86" t="str">
        <f>'R3'!R37</f>
        <v/>
      </c>
      <c r="S47" s="86" t="str">
        <f>'R3'!S37</f>
        <v/>
      </c>
      <c r="T47" s="86" t="str">
        <f>'R3'!T37</f>
        <v/>
      </c>
      <c r="U47" s="86" t="str">
        <f>'R3'!U37</f>
        <v/>
      </c>
      <c r="V47" s="86" t="str">
        <f>'R3'!V37</f>
        <v/>
      </c>
    </row>
    <row r="48" spans="1:22" s="1" customFormat="1" x14ac:dyDescent="0.35">
      <c r="A48" s="145"/>
      <c r="B48" s="86" t="str">
        <f>'R3'!B38</f>
        <v/>
      </c>
      <c r="C48" s="86" t="str">
        <f>'R3'!C38</f>
        <v/>
      </c>
      <c r="D48" s="86" t="str">
        <f>'R3'!D38</f>
        <v/>
      </c>
      <c r="E48" s="86" t="str">
        <f>'R3'!E38</f>
        <v/>
      </c>
      <c r="F48" s="86" t="str">
        <f>'R3'!F38</f>
        <v/>
      </c>
      <c r="G48" s="86" t="str">
        <f>'R3'!G38</f>
        <v/>
      </c>
      <c r="H48" s="86" t="str">
        <f>'R3'!H38</f>
        <v/>
      </c>
      <c r="I48" s="86" t="str">
        <f>'R3'!I38</f>
        <v/>
      </c>
      <c r="J48" s="86" t="str">
        <f>'R3'!J38</f>
        <v/>
      </c>
      <c r="K48" s="86" t="str">
        <f>'R3'!K38</f>
        <v/>
      </c>
      <c r="L48" s="86" t="str">
        <f>'R3'!L38</f>
        <v/>
      </c>
      <c r="M48" s="86" t="str">
        <f>'R3'!M38</f>
        <v/>
      </c>
      <c r="N48"/>
      <c r="O48" s="86">
        <f>'R3'!O38</f>
        <v>0.95335650958433016</v>
      </c>
      <c r="P48" s="86" t="str">
        <f>'R3'!P38</f>
        <v/>
      </c>
      <c r="Q48" s="86" t="str">
        <f>'R3'!Q38</f>
        <v/>
      </c>
      <c r="R48" s="86" t="str">
        <f>'R3'!R38</f>
        <v/>
      </c>
      <c r="S48" s="86" t="str">
        <f>'R3'!S38</f>
        <v/>
      </c>
      <c r="T48" s="86" t="str">
        <f>'R3'!T38</f>
        <v/>
      </c>
      <c r="U48" s="86" t="str">
        <f>'R3'!U38</f>
        <v/>
      </c>
      <c r="V48" s="86" t="str">
        <f>'R3'!V38</f>
        <v/>
      </c>
    </row>
    <row r="49" spans="1:24" s="1" customFormat="1" x14ac:dyDescent="0.35">
      <c r="A49" s="145"/>
      <c r="B49" s="86" t="str">
        <f>'R3'!B39</f>
        <v/>
      </c>
      <c r="C49" s="86" t="str">
        <f>'R3'!C39</f>
        <v/>
      </c>
      <c r="D49" s="86" t="str">
        <f>'R3'!D39</f>
        <v/>
      </c>
      <c r="E49" s="86" t="str">
        <f>'R3'!E39</f>
        <v/>
      </c>
      <c r="F49" s="86" t="str">
        <f>'R3'!F39</f>
        <v/>
      </c>
      <c r="G49" s="86" t="str">
        <f>'R3'!G39</f>
        <v/>
      </c>
      <c r="H49" s="86" t="str">
        <f>'R3'!H39</f>
        <v/>
      </c>
      <c r="I49" s="86" t="str">
        <f>'R3'!I39</f>
        <v/>
      </c>
      <c r="J49" s="86" t="str">
        <f>'R3'!J39</f>
        <v/>
      </c>
      <c r="K49" s="86" t="str">
        <f>'R3'!K39</f>
        <v/>
      </c>
      <c r="L49" s="86" t="str">
        <f>'R3'!L39</f>
        <v/>
      </c>
      <c r="M49" s="86" t="str">
        <f>'R3'!M39</f>
        <v/>
      </c>
      <c r="N49"/>
      <c r="O49" s="86">
        <f>'R3'!O39</f>
        <v>0.43369275764924248</v>
      </c>
      <c r="P49" s="86" t="str">
        <f>'R3'!P39</f>
        <v/>
      </c>
      <c r="Q49" s="86" t="str">
        <f>'R3'!Q39</f>
        <v/>
      </c>
      <c r="R49" s="86" t="str">
        <f>'R3'!R39</f>
        <v/>
      </c>
      <c r="S49" s="86" t="str">
        <f>'R3'!S39</f>
        <v/>
      </c>
      <c r="T49" s="86" t="str">
        <f>'R3'!T39</f>
        <v/>
      </c>
      <c r="U49" s="86" t="str">
        <f>'R3'!U39</f>
        <v/>
      </c>
      <c r="V49" s="86" t="str">
        <f>'R3'!V39</f>
        <v/>
      </c>
    </row>
    <row r="50" spans="1:24" s="1" customFormat="1" x14ac:dyDescent="0.35">
      <c r="A50" s="145"/>
      <c r="B50" s="86" t="str">
        <f>'R3'!B40</f>
        <v/>
      </c>
      <c r="C50" s="86" t="str">
        <f>'R3'!C40</f>
        <v/>
      </c>
      <c r="D50" s="86" t="str">
        <f>'R3'!D40</f>
        <v/>
      </c>
      <c r="E50" s="86" t="str">
        <f>'R3'!E40</f>
        <v/>
      </c>
      <c r="F50" s="86" t="str">
        <f>'R3'!F40</f>
        <v/>
      </c>
      <c r="G50" s="86" t="str">
        <f>'R3'!G40</f>
        <v/>
      </c>
      <c r="H50" s="86" t="str">
        <f>'R3'!H40</f>
        <v/>
      </c>
      <c r="I50" s="86" t="str">
        <f>'R3'!I40</f>
        <v/>
      </c>
      <c r="J50" s="86" t="str">
        <f>'R3'!J40</f>
        <v/>
      </c>
      <c r="K50" s="86" t="str">
        <f>'R3'!K40</f>
        <v/>
      </c>
      <c r="L50" s="86" t="str">
        <f>'R3'!L40</f>
        <v/>
      </c>
      <c r="M50" s="86" t="str">
        <f>'R3'!M40</f>
        <v/>
      </c>
      <c r="N50"/>
      <c r="O50" s="86">
        <f>'R3'!O40</f>
        <v>1.2285855803412276</v>
      </c>
      <c r="P50" s="86" t="str">
        <f>'R3'!P40</f>
        <v/>
      </c>
      <c r="Q50" s="86" t="str">
        <f>'R3'!Q40</f>
        <v/>
      </c>
      <c r="R50" s="86" t="str">
        <f>'R3'!R40</f>
        <v/>
      </c>
      <c r="S50" s="86" t="str">
        <f>'R3'!S40</f>
        <v/>
      </c>
      <c r="T50" s="86" t="str">
        <f>'R3'!T40</f>
        <v/>
      </c>
      <c r="U50" s="86" t="str">
        <f>'R3'!U40</f>
        <v/>
      </c>
      <c r="V50" s="86" t="str">
        <f>'R3'!V40</f>
        <v/>
      </c>
    </row>
    <row r="51" spans="1:24" s="1" customFormat="1" x14ac:dyDescent="0.35">
      <c r="A51" s="145"/>
      <c r="B51" s="86" t="str">
        <f>'R3'!B41</f>
        <v/>
      </c>
      <c r="C51" s="86" t="str">
        <f>'R3'!C41</f>
        <v/>
      </c>
      <c r="D51" s="86" t="str">
        <f>'R3'!D41</f>
        <v/>
      </c>
      <c r="E51" s="86" t="str">
        <f>'R3'!E41</f>
        <v/>
      </c>
      <c r="F51" s="86" t="str">
        <f>'R3'!F41</f>
        <v/>
      </c>
      <c r="G51" s="86" t="str">
        <f>'R3'!G41</f>
        <v/>
      </c>
      <c r="H51" s="86" t="str">
        <f>'R3'!H41</f>
        <v/>
      </c>
      <c r="I51" s="86" t="str">
        <f>'R3'!I41</f>
        <v/>
      </c>
      <c r="J51" s="86" t="str">
        <f>'R3'!J41</f>
        <v/>
      </c>
      <c r="K51" s="86" t="str">
        <f>'R3'!K41</f>
        <v/>
      </c>
      <c r="L51" s="86" t="str">
        <f>'R3'!L41</f>
        <v/>
      </c>
      <c r="M51" s="86" t="str">
        <f>'R3'!M41</f>
        <v/>
      </c>
      <c r="N51"/>
      <c r="O51" s="86">
        <f>'R3'!O41</f>
        <v>0.45485632648636548</v>
      </c>
      <c r="P51" s="86" t="str">
        <f>'R3'!P41</f>
        <v/>
      </c>
      <c r="Q51" s="86" t="str">
        <f>'R3'!Q41</f>
        <v/>
      </c>
      <c r="R51" s="86" t="str">
        <f>'R3'!R41</f>
        <v/>
      </c>
      <c r="S51" s="86" t="str">
        <f>'R3'!S41</f>
        <v/>
      </c>
      <c r="T51" s="86" t="str">
        <f>'R3'!T41</f>
        <v/>
      </c>
      <c r="U51" s="86" t="str">
        <f>'R3'!U41</f>
        <v/>
      </c>
      <c r="V51" s="86" t="str">
        <f>'R3'!V41</f>
        <v/>
      </c>
    </row>
    <row r="52" spans="1:24" s="1" customFormat="1" x14ac:dyDescent="0.35">
      <c r="A52" s="145"/>
      <c r="B52" s="86" t="str">
        <f>'R3'!B42</f>
        <v/>
      </c>
      <c r="C52" s="86" t="str">
        <f>'R3'!C42</f>
        <v/>
      </c>
      <c r="D52" s="86" t="str">
        <f>'R3'!D42</f>
        <v/>
      </c>
      <c r="E52" s="86" t="str">
        <f>'R3'!E42</f>
        <v/>
      </c>
      <c r="F52" s="86" t="str">
        <f>'R3'!F42</f>
        <v/>
      </c>
      <c r="G52" s="86" t="str">
        <f>'R3'!G42</f>
        <v/>
      </c>
      <c r="H52" s="86" t="str">
        <f>'R3'!H42</f>
        <v/>
      </c>
      <c r="I52" s="86" t="str">
        <f>'R3'!I42</f>
        <v/>
      </c>
      <c r="J52" s="86" t="str">
        <f>'R3'!J42</f>
        <v/>
      </c>
      <c r="K52" s="86" t="str">
        <f>'R3'!K42</f>
        <v/>
      </c>
      <c r="L52" s="86" t="str">
        <f>'R3'!L42</f>
        <v/>
      </c>
      <c r="M52" s="86" t="str">
        <f>'R3'!M42</f>
        <v/>
      </c>
      <c r="N52"/>
      <c r="O52" s="86">
        <f>'R3'!O42</f>
        <v>0.21974664177180661</v>
      </c>
      <c r="P52" s="86" t="str">
        <f>'R3'!P42</f>
        <v/>
      </c>
      <c r="Q52" s="86" t="str">
        <f>'R3'!Q42</f>
        <v/>
      </c>
      <c r="R52" s="86" t="str">
        <f>'R3'!R42</f>
        <v/>
      </c>
      <c r="S52" s="86" t="str">
        <f>'R3'!S42</f>
        <v/>
      </c>
      <c r="T52" s="86" t="str">
        <f>'R3'!T42</f>
        <v/>
      </c>
      <c r="U52" s="86" t="str">
        <f>'R3'!U42</f>
        <v/>
      </c>
      <c r="V52" s="86" t="str">
        <f>'R3'!V42</f>
        <v/>
      </c>
    </row>
    <row r="53" spans="1:24" s="1" customFormat="1" x14ac:dyDescent="0.35">
      <c r="A53" s="146"/>
      <c r="B53" s="86" t="str">
        <f>'R3'!B43</f>
        <v/>
      </c>
      <c r="C53" s="86" t="str">
        <f>'R3'!C43</f>
        <v/>
      </c>
      <c r="D53" s="86" t="str">
        <f>'R3'!D43</f>
        <v/>
      </c>
      <c r="E53" s="86" t="str">
        <f>'R3'!E43</f>
        <v/>
      </c>
      <c r="F53" s="86" t="str">
        <f>'R3'!F43</f>
        <v/>
      </c>
      <c r="G53" s="86" t="str">
        <f>'R3'!G43</f>
        <v/>
      </c>
      <c r="H53" s="86" t="str">
        <f>'R3'!H43</f>
        <v/>
      </c>
      <c r="I53" s="86" t="str">
        <f>'R3'!I43</f>
        <v/>
      </c>
      <c r="J53" s="86" t="str">
        <f>'R3'!J43</f>
        <v/>
      </c>
      <c r="K53" s="86" t="str">
        <f>'R3'!K43</f>
        <v/>
      </c>
      <c r="L53" s="86" t="str">
        <f>'R3'!L43</f>
        <v/>
      </c>
      <c r="M53" s="86" t="str">
        <f>'R3'!M43</f>
        <v/>
      </c>
      <c r="N53"/>
      <c r="O53" s="86">
        <f>'R3'!O43</f>
        <v>2.2937574390433606</v>
      </c>
      <c r="P53" s="86" t="str">
        <f>'R3'!P43</f>
        <v/>
      </c>
      <c r="Q53" s="86" t="str">
        <f>'R3'!Q43</f>
        <v/>
      </c>
      <c r="R53" s="86" t="str">
        <f>'R3'!R43</f>
        <v/>
      </c>
      <c r="S53" s="86" t="str">
        <f>'R3'!S43</f>
        <v/>
      </c>
      <c r="T53" s="86" t="str">
        <f>'R3'!T43</f>
        <v/>
      </c>
      <c r="U53" s="86" t="str">
        <f>'R3'!U43</f>
        <v/>
      </c>
      <c r="V53" s="86" t="str">
        <f>'R3'!V43</f>
        <v/>
      </c>
    </row>
    <row r="54" spans="1:24" s="44" customFormat="1" x14ac:dyDescent="0.35">
      <c r="A54" s="4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/>
      <c r="O54" s="43"/>
      <c r="P54" s="43"/>
      <c r="Q54" s="43"/>
      <c r="R54" s="43"/>
      <c r="S54" s="43"/>
      <c r="T54" s="43"/>
      <c r="U54" s="43"/>
      <c r="V54" s="43"/>
    </row>
    <row r="55" spans="1:24" s="26" customFormat="1" x14ac:dyDescent="0.35">
      <c r="A55" s="26" t="s">
        <v>37</v>
      </c>
      <c r="B55" s="15" t="str">
        <f t="shared" ref="B55:M55" si="0">B4</f>
        <v>Solvent control</v>
      </c>
      <c r="C55" s="15" t="str">
        <f t="shared" si="0"/>
        <v>EE2-33.8ng/L</v>
      </c>
      <c r="D55" s="15" t="str">
        <f t="shared" si="0"/>
        <v>EE2-50.6ng/L</v>
      </c>
      <c r="E55" s="15" t="str">
        <f t="shared" si="0"/>
        <v>EE2-76ng/L</v>
      </c>
      <c r="F55" s="15" t="str">
        <f t="shared" si="0"/>
        <v>EE2-114ng/L</v>
      </c>
      <c r="G55" s="15" t="str">
        <f t="shared" si="0"/>
        <v>EE2-170.9ng/L</v>
      </c>
      <c r="H55" s="15" t="str">
        <f t="shared" si="0"/>
        <v>EE2-488ng/L</v>
      </c>
      <c r="I55" s="15" t="str">
        <f t="shared" si="0"/>
        <v>Triphenylphosphate-0,18mg/L</v>
      </c>
      <c r="J55" s="15" t="str">
        <f t="shared" si="0"/>
        <v>Triphenylphosphate-0,26mg/L</v>
      </c>
      <c r="K55" s="15" t="str">
        <f t="shared" si="0"/>
        <v>Triphenylphosphate-0,4mg/L</v>
      </c>
      <c r="L55" s="15" t="str">
        <f t="shared" si="0"/>
        <v>Triphenylphosphate-0,59mg/L</v>
      </c>
      <c r="M55" s="15" t="str">
        <f t="shared" si="0"/>
        <v>Triphenylphosphate-0,89mg/L</v>
      </c>
      <c r="O55" s="15" t="str">
        <f t="shared" ref="O55:V55" si="1">O4</f>
        <v>Testo -30µg/L</v>
      </c>
      <c r="P55" s="15" t="str">
        <f t="shared" si="1"/>
        <v>Testo 30µg/L + EE2 -64ng/L</v>
      </c>
      <c r="Q55" s="15" t="str">
        <f t="shared" si="1"/>
        <v>Testo 30µg/L + FAD-10mg/L</v>
      </c>
      <c r="R55" s="15" t="str">
        <f t="shared" si="1"/>
        <v>Triphenylphosphate-0,18mg/L + Testostérone</v>
      </c>
      <c r="S55" s="15" t="str">
        <f t="shared" si="1"/>
        <v>Triphenylphosphate-0,26mg/L + Testostérone</v>
      </c>
      <c r="T55" s="15" t="str">
        <f t="shared" si="1"/>
        <v>Triphenylphosphate-0,4mg/L + Testostérone</v>
      </c>
      <c r="U55" s="15" t="str">
        <f t="shared" si="1"/>
        <v>Triphenylphosphate-0,59mg/L + Testostérone</v>
      </c>
      <c r="V55" s="15" t="str">
        <f t="shared" si="1"/>
        <v>Triphenylphosphate-0,89mg/L + Testostérone</v>
      </c>
    </row>
    <row r="56" spans="1:24" x14ac:dyDescent="0.35">
      <c r="A56" t="s">
        <v>10</v>
      </c>
      <c r="B56" s="9">
        <f t="shared" ref="B56:V56" si="2">AVERAGE(B6:B53)</f>
        <v>9.0121838138094504E-2</v>
      </c>
      <c r="C56" s="9">
        <f t="shared" si="2"/>
        <v>0.26958430178968079</v>
      </c>
      <c r="D56" s="9">
        <f t="shared" si="2"/>
        <v>0.75059245007025943</v>
      </c>
      <c r="E56" s="9">
        <f t="shared" si="2"/>
        <v>1.3042042536866907</v>
      </c>
      <c r="F56" s="9">
        <f t="shared" si="2"/>
        <v>2.0225906289056108</v>
      </c>
      <c r="G56" s="9">
        <f t="shared" si="2"/>
        <v>2.870963189241158</v>
      </c>
      <c r="H56" s="9">
        <f t="shared" si="2"/>
        <v>3.4503817307256472</v>
      </c>
      <c r="I56" s="9">
        <f t="shared" si="2"/>
        <v>7.8286289999407357E-2</v>
      </c>
      <c r="J56" s="9">
        <f t="shared" si="2"/>
        <v>6.1000454707358341E-2</v>
      </c>
      <c r="K56" s="9">
        <f t="shared" si="2"/>
        <v>0.15387003432405014</v>
      </c>
      <c r="L56" s="9">
        <f t="shared" si="2"/>
        <v>0.90869162800548686</v>
      </c>
      <c r="M56" s="9">
        <f t="shared" si="2"/>
        <v>2.1066897410613281</v>
      </c>
      <c r="N56" s="9"/>
      <c r="O56" s="9">
        <f t="shared" si="2"/>
        <v>1.0000000000000002</v>
      </c>
      <c r="P56" s="9">
        <f t="shared" si="2"/>
        <v>2.5729359278026913</v>
      </c>
      <c r="Q56" s="9">
        <f t="shared" si="2"/>
        <v>8.3087481701834442E-2</v>
      </c>
      <c r="R56" s="9">
        <f t="shared" si="2"/>
        <v>1.8358625340660024</v>
      </c>
      <c r="S56" s="9">
        <f t="shared" si="2"/>
        <v>1.7953149653587774</v>
      </c>
      <c r="T56" s="9">
        <f t="shared" si="2"/>
        <v>2.3803547785125456</v>
      </c>
      <c r="U56" s="9">
        <f t="shared" si="2"/>
        <v>2.4208664825398998</v>
      </c>
      <c r="V56" s="9">
        <f t="shared" si="2"/>
        <v>2.9113587374247611</v>
      </c>
    </row>
    <row r="57" spans="1:24" x14ac:dyDescent="0.35">
      <c r="A57" t="s">
        <v>1</v>
      </c>
      <c r="B57" s="3">
        <f>STDEV(B6:B53)</f>
        <v>6.733846877171773E-2</v>
      </c>
      <c r="C57" s="3">
        <f t="shared" ref="C57:V57" si="3">STDEV(C6:C53)</f>
        <v>0.37925982297255217</v>
      </c>
      <c r="D57" s="3">
        <f t="shared" si="3"/>
        <v>0.65304791889790315</v>
      </c>
      <c r="E57" s="3">
        <f t="shared" si="3"/>
        <v>0.83149516981812466</v>
      </c>
      <c r="F57" s="3">
        <f t="shared" si="3"/>
        <v>1.1445632771249745</v>
      </c>
      <c r="G57" s="3">
        <f t="shared" si="3"/>
        <v>0.97361695933665104</v>
      </c>
      <c r="H57" s="3">
        <f t="shared" si="3"/>
        <v>1.1682447280571295</v>
      </c>
      <c r="I57" s="3">
        <f t="shared" si="3"/>
        <v>9.3429896094622489E-2</v>
      </c>
      <c r="J57" s="3">
        <f t="shared" si="3"/>
        <v>7.7447765663743437E-2</v>
      </c>
      <c r="K57" s="3">
        <f t="shared" si="3"/>
        <v>0.18262442693999742</v>
      </c>
      <c r="L57" s="3">
        <f t="shared" si="3"/>
        <v>0.66766993914172257</v>
      </c>
      <c r="M57" s="3">
        <f t="shared" si="3"/>
        <v>1.499609937409057</v>
      </c>
      <c r="N57" s="3"/>
      <c r="O57" s="3">
        <f t="shared" si="3"/>
        <v>0.6117586653190028</v>
      </c>
      <c r="P57" s="3">
        <f t="shared" si="3"/>
        <v>0.9573296599358222</v>
      </c>
      <c r="Q57" s="3">
        <f t="shared" si="3"/>
        <v>7.5566079362742081E-2</v>
      </c>
      <c r="R57" s="3">
        <f t="shared" si="3"/>
        <v>0.78323877467846648</v>
      </c>
      <c r="S57" s="3">
        <f t="shared" si="3"/>
        <v>1.0061157769999516</v>
      </c>
      <c r="T57" s="3">
        <f t="shared" si="3"/>
        <v>1.3789068813816969</v>
      </c>
      <c r="U57" s="3">
        <f t="shared" si="3"/>
        <v>1.5607264150363696</v>
      </c>
      <c r="V57" s="3">
        <f t="shared" si="3"/>
        <v>1.6974445470004971</v>
      </c>
      <c r="W57" s="3"/>
      <c r="X57" s="3"/>
    </row>
    <row r="58" spans="1:24" x14ac:dyDescent="0.35">
      <c r="A58" t="s">
        <v>2</v>
      </c>
      <c r="B58" s="3">
        <f xml:space="preserve"> B57/SQRT(COUNT(B6:B53))</f>
        <v>1.3745407379253996E-2</v>
      </c>
      <c r="C58" s="3">
        <f t="shared" ref="C58:V58" si="4" xml:space="preserve"> C57/SQRT(COUNT(C6:C53))</f>
        <v>7.7416087185085886E-2</v>
      </c>
      <c r="D58" s="3">
        <f t="shared" si="4"/>
        <v>0.13330284824052621</v>
      </c>
      <c r="E58" s="3">
        <f t="shared" si="4"/>
        <v>0.17727536585145412</v>
      </c>
      <c r="F58" s="3">
        <f t="shared" si="4"/>
        <v>0.2336330006069938</v>
      </c>
      <c r="G58" s="3">
        <f t="shared" si="4"/>
        <v>0.19873872960790612</v>
      </c>
      <c r="H58" s="3">
        <f t="shared" si="4"/>
        <v>0.23846695653637187</v>
      </c>
      <c r="I58" s="3">
        <f t="shared" si="4"/>
        <v>1.9481480039583589E-2</v>
      </c>
      <c r="J58" s="3">
        <f t="shared" si="4"/>
        <v>1.5808958966234566E-2</v>
      </c>
      <c r="K58" s="3">
        <f t="shared" si="4"/>
        <v>3.7278055047598305E-2</v>
      </c>
      <c r="L58" s="3">
        <f t="shared" si="4"/>
        <v>0.13628755562435987</v>
      </c>
      <c r="M58" s="3">
        <f t="shared" si="4"/>
        <v>0.30610659665493412</v>
      </c>
      <c r="N58" s="3"/>
      <c r="O58" s="3">
        <f t="shared" si="4"/>
        <v>8.8299757525253111E-2</v>
      </c>
      <c r="P58" s="3">
        <f t="shared" si="4"/>
        <v>0.19541409853957539</v>
      </c>
      <c r="Q58" s="3">
        <f t="shared" si="4"/>
        <v>1.5424861358448028E-2</v>
      </c>
      <c r="R58" s="3">
        <f t="shared" si="4"/>
        <v>0.15987794539374739</v>
      </c>
      <c r="S58" s="3">
        <f t="shared" si="4"/>
        <v>0.20978964171472342</v>
      </c>
      <c r="T58" s="3">
        <f t="shared" si="4"/>
        <v>0.28146818851646727</v>
      </c>
      <c r="U58" s="3">
        <f t="shared" si="4"/>
        <v>0.31858194541019574</v>
      </c>
      <c r="V58" s="3">
        <f t="shared" si="4"/>
        <v>0.3464894172350797</v>
      </c>
      <c r="W58" s="3"/>
      <c r="X58" s="3"/>
    </row>
    <row r="59" spans="1:24" s="1" customFormat="1" ht="15" thickBot="1" x14ac:dyDescent="0.4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2" customFormat="1" ht="26.5" thickBot="1" x14ac:dyDescent="0.4">
      <c r="A60" s="147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</row>
    <row r="61" spans="1:24" s="1" customFormat="1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35">
      <c r="A62" s="1" t="s">
        <v>37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Triphenylphosphate-0,18mg/L</v>
      </c>
      <c r="J62" s="3" t="str">
        <f t="shared" si="6"/>
        <v>Triphenylphosphate-0,26mg/L</v>
      </c>
      <c r="K62" s="3" t="str">
        <f t="shared" si="6"/>
        <v>Triphenylphosphate-0,4mg/L</v>
      </c>
      <c r="L62" s="3" t="str">
        <f t="shared" si="6"/>
        <v>Triphenylphosphate-0,59mg/L</v>
      </c>
      <c r="M62" s="3" t="str">
        <f t="shared" si="6"/>
        <v>Triphenylphosphate-0,89mg/L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Triphenylphosphate-0,18mg/L + Testostérone</v>
      </c>
      <c r="S62" s="3" t="str">
        <f t="shared" si="6"/>
        <v>Triphenylphosphate-0,26mg/L + Testostérone</v>
      </c>
      <c r="T62" s="3" t="str">
        <f t="shared" si="6"/>
        <v>Triphenylphosphate-0,4mg/L + Testostérone</v>
      </c>
      <c r="U62" s="3" t="str">
        <f t="shared" si="6"/>
        <v>Triphenylphosphate-0,59mg/L + Testostérone</v>
      </c>
      <c r="V62" s="3" t="str">
        <f t="shared" si="6"/>
        <v>Triphenylphosphate-0,89mg/L + Testostérone</v>
      </c>
    </row>
    <row r="63" spans="1:24" s="1" customFormat="1" x14ac:dyDescent="0.35">
      <c r="A63" s="1" t="s">
        <v>44</v>
      </c>
      <c r="B63" s="3">
        <f>COUNT(B6:B53)</f>
        <v>24</v>
      </c>
      <c r="C63" s="3">
        <f t="shared" ref="C63:V63" si="7">COUNT(C6:C53)</f>
        <v>24</v>
      </c>
      <c r="D63" s="3">
        <f t="shared" si="7"/>
        <v>24</v>
      </c>
      <c r="E63" s="3">
        <f t="shared" si="7"/>
        <v>22</v>
      </c>
      <c r="F63" s="3">
        <f t="shared" si="7"/>
        <v>24</v>
      </c>
      <c r="G63" s="3">
        <f t="shared" si="7"/>
        <v>24</v>
      </c>
      <c r="H63" s="3">
        <f t="shared" si="7"/>
        <v>24</v>
      </c>
      <c r="I63" s="3">
        <f t="shared" si="7"/>
        <v>23</v>
      </c>
      <c r="J63" s="3">
        <f t="shared" si="7"/>
        <v>24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23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" thickBot="1" x14ac:dyDescent="0.4">
      <c r="B64" s="3" t="str">
        <f>IF(B63&gt;=21,"OK","ATTENTION")</f>
        <v>OK</v>
      </c>
      <c r="C64" s="3" t="str">
        <f t="shared" ref="C64:V64" si="8">IF(C63&gt;=21,"OK","ATTENTION")</f>
        <v>OK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2" customFormat="1" ht="26.5" thickBot="1" x14ac:dyDescent="0.4">
      <c r="A65" s="147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</row>
    <row r="66" spans="1:22" s="1" customFormat="1" x14ac:dyDescent="0.3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" thickBot="1" x14ac:dyDescent="0.4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2" customFormat="1" ht="26.5" thickBot="1" x14ac:dyDescent="0.4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</row>
    <row r="71" spans="1:22" ht="15" thickBot="1" x14ac:dyDescent="0.4"/>
    <row r="72" spans="1:22" s="32" customFormat="1" ht="26.5" thickBot="1" x14ac:dyDescent="0.4">
      <c r="A72" s="147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</row>
    <row r="73" spans="1:22" ht="15" thickBot="1" x14ac:dyDescent="0.4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35">
      <c r="A74" s="29" t="s">
        <v>45</v>
      </c>
      <c r="B74" s="30" t="str">
        <f t="shared" ref="B74:M74" si="9">B4</f>
        <v>Solvent control</v>
      </c>
      <c r="C74" s="30" t="str">
        <f t="shared" si="9"/>
        <v>EE2-33.8ng/L</v>
      </c>
      <c r="D74" s="30" t="str">
        <f t="shared" si="9"/>
        <v>EE2-50.6ng/L</v>
      </c>
      <c r="E74" s="30" t="str">
        <f t="shared" si="9"/>
        <v>EE2-76ng/L</v>
      </c>
      <c r="F74" s="30" t="str">
        <f t="shared" si="9"/>
        <v>EE2-114ng/L</v>
      </c>
      <c r="G74" s="30" t="str">
        <f t="shared" si="9"/>
        <v>EE2-170.9ng/L</v>
      </c>
      <c r="H74" s="30" t="str">
        <f t="shared" si="9"/>
        <v>EE2-488ng/L</v>
      </c>
      <c r="I74" s="30" t="str">
        <f t="shared" si="9"/>
        <v>Triphenylphosphate-0,18mg/L</v>
      </c>
      <c r="J74" s="30" t="str">
        <f t="shared" si="9"/>
        <v>Triphenylphosphate-0,26mg/L</v>
      </c>
      <c r="K74" s="30" t="str">
        <f t="shared" si="9"/>
        <v>Triphenylphosphate-0,4mg/L</v>
      </c>
      <c r="L74" s="30" t="str">
        <f t="shared" si="9"/>
        <v>Triphenylphosphate-0,59mg/L</v>
      </c>
      <c r="M74" s="30" t="str">
        <f t="shared" si="9"/>
        <v>Triphenylphosphate-0,89mg/L</v>
      </c>
      <c r="N74" s="30"/>
      <c r="O74" s="30" t="str">
        <f t="shared" ref="O74:V74" si="10">O4</f>
        <v>Testo -30µg/L</v>
      </c>
      <c r="P74" s="30" t="str">
        <f t="shared" si="10"/>
        <v>Testo 30µg/L + EE2 -64ng/L</v>
      </c>
      <c r="Q74" s="30" t="str">
        <f t="shared" si="10"/>
        <v>Testo 30µg/L + FAD-10mg/L</v>
      </c>
      <c r="R74" s="30" t="str">
        <f t="shared" si="10"/>
        <v>Triphenylphosphate-0,18mg/L + Testostérone</v>
      </c>
      <c r="S74" s="30" t="str">
        <f t="shared" si="10"/>
        <v>Triphenylphosphate-0,26mg/L + Testostérone</v>
      </c>
      <c r="T74" s="30" t="str">
        <f t="shared" si="10"/>
        <v>Triphenylphosphate-0,4mg/L + Testostérone</v>
      </c>
      <c r="U74" s="30" t="str">
        <f t="shared" si="10"/>
        <v>Triphenylphosphate-0,59mg/L + Testostérone</v>
      </c>
      <c r="V74" s="30" t="str">
        <f t="shared" si="10"/>
        <v>Triphenylphosphate-0,89mg/L + Testostérone</v>
      </c>
    </row>
    <row r="75" spans="1:22" s="3" customFormat="1" x14ac:dyDescent="0.35">
      <c r="A75" s="45" t="s">
        <v>10</v>
      </c>
      <c r="B75" s="78">
        <f>B56</f>
        <v>9.0121838138094504E-2</v>
      </c>
      <c r="C75" s="78">
        <f t="shared" ref="C75:V75" si="11">C56</f>
        <v>0.26958430178968079</v>
      </c>
      <c r="D75" s="78">
        <f t="shared" si="11"/>
        <v>0.75059245007025943</v>
      </c>
      <c r="E75" s="78">
        <f t="shared" si="11"/>
        <v>1.3042042536866907</v>
      </c>
      <c r="F75" s="78">
        <f t="shared" si="11"/>
        <v>2.0225906289056108</v>
      </c>
      <c r="G75" s="78">
        <f t="shared" si="11"/>
        <v>2.870963189241158</v>
      </c>
      <c r="H75" s="78">
        <f t="shared" si="11"/>
        <v>3.4503817307256472</v>
      </c>
      <c r="I75" s="78">
        <f t="shared" si="11"/>
        <v>7.8286289999407357E-2</v>
      </c>
      <c r="J75" s="78">
        <f t="shared" si="11"/>
        <v>6.1000454707358341E-2</v>
      </c>
      <c r="K75" s="78">
        <f t="shared" si="11"/>
        <v>0.15387003432405014</v>
      </c>
      <c r="L75" s="78">
        <f t="shared" si="11"/>
        <v>0.90869162800548686</v>
      </c>
      <c r="M75" s="78">
        <f t="shared" si="11"/>
        <v>2.1066897410613281</v>
      </c>
      <c r="N75" s="78"/>
      <c r="O75" s="78">
        <f t="shared" si="11"/>
        <v>1.0000000000000002</v>
      </c>
      <c r="P75" s="78">
        <f t="shared" si="11"/>
        <v>2.5729359278026913</v>
      </c>
      <c r="Q75" s="78">
        <f t="shared" si="11"/>
        <v>8.3087481701834442E-2</v>
      </c>
      <c r="R75" s="78">
        <f t="shared" si="11"/>
        <v>1.8358625340660024</v>
      </c>
      <c r="S75" s="78">
        <f t="shared" si="11"/>
        <v>1.7953149653587774</v>
      </c>
      <c r="T75" s="78">
        <f t="shared" si="11"/>
        <v>2.3803547785125456</v>
      </c>
      <c r="U75" s="78">
        <f t="shared" si="11"/>
        <v>2.4208664825398998</v>
      </c>
      <c r="V75" s="78">
        <f t="shared" si="11"/>
        <v>2.9113587374247611</v>
      </c>
    </row>
    <row r="76" spans="1:22" s="3" customFormat="1" x14ac:dyDescent="0.35">
      <c r="A76" s="45" t="s">
        <v>2</v>
      </c>
      <c r="B76" s="78">
        <f>B58</f>
        <v>1.3745407379253996E-2</v>
      </c>
      <c r="C76" s="78">
        <f t="shared" ref="C76:V76" si="12">C58</f>
        <v>7.7416087185085886E-2</v>
      </c>
      <c r="D76" s="78">
        <f t="shared" si="12"/>
        <v>0.13330284824052621</v>
      </c>
      <c r="E76" s="78">
        <f t="shared" si="12"/>
        <v>0.17727536585145412</v>
      </c>
      <c r="F76" s="78">
        <f t="shared" si="12"/>
        <v>0.2336330006069938</v>
      </c>
      <c r="G76" s="78">
        <f t="shared" si="12"/>
        <v>0.19873872960790612</v>
      </c>
      <c r="H76" s="78">
        <f t="shared" si="12"/>
        <v>0.23846695653637187</v>
      </c>
      <c r="I76" s="78">
        <f t="shared" si="12"/>
        <v>1.9481480039583589E-2</v>
      </c>
      <c r="J76" s="78">
        <f t="shared" si="12"/>
        <v>1.5808958966234566E-2</v>
      </c>
      <c r="K76" s="78">
        <f t="shared" si="12"/>
        <v>3.7278055047598305E-2</v>
      </c>
      <c r="L76" s="78">
        <f t="shared" si="12"/>
        <v>0.13628755562435987</v>
      </c>
      <c r="M76" s="78">
        <f t="shared" si="12"/>
        <v>0.30610659665493412</v>
      </c>
      <c r="N76" s="78"/>
      <c r="O76" s="78">
        <f t="shared" si="12"/>
        <v>8.8299757525253111E-2</v>
      </c>
      <c r="P76" s="78">
        <f t="shared" si="12"/>
        <v>0.19541409853957539</v>
      </c>
      <c r="Q76" s="78">
        <f t="shared" si="12"/>
        <v>1.5424861358448028E-2</v>
      </c>
      <c r="R76" s="78">
        <f t="shared" si="12"/>
        <v>0.15987794539374739</v>
      </c>
      <c r="S76" s="78">
        <f t="shared" si="12"/>
        <v>0.20978964171472342</v>
      </c>
      <c r="T76" s="78">
        <f t="shared" si="12"/>
        <v>0.28146818851646727</v>
      </c>
      <c r="U76" s="78">
        <f t="shared" si="12"/>
        <v>0.31858194541019574</v>
      </c>
      <c r="V76" s="78">
        <f t="shared" si="12"/>
        <v>0.3464894172350797</v>
      </c>
    </row>
    <row r="77" spans="1:22" s="3" customFormat="1" x14ac:dyDescent="0.35">
      <c r="A77" s="45" t="s">
        <v>14</v>
      </c>
      <c r="B77" s="78">
        <f>(B75*100/$B$75)-100</f>
        <v>0</v>
      </c>
      <c r="C77" s="78">
        <f t="shared" ref="C77:M77" si="13">(C75*100/$B$75)-100</f>
        <v>199.13315946418487</v>
      </c>
      <c r="D77" s="78">
        <f t="shared" si="13"/>
        <v>732.86411548787964</v>
      </c>
      <c r="E77" s="78">
        <f t="shared" si="13"/>
        <v>1347.1567387343418</v>
      </c>
      <c r="F77" s="78">
        <f t="shared" si="13"/>
        <v>2144.2847046754382</v>
      </c>
      <c r="G77" s="78">
        <f t="shared" si="13"/>
        <v>3085.6465076111244</v>
      </c>
      <c r="H77" s="78">
        <f t="shared" si="13"/>
        <v>3728.5745186850231</v>
      </c>
      <c r="I77" s="78">
        <f t="shared" si="13"/>
        <v>-13.132830380746825</v>
      </c>
      <c r="J77" s="78">
        <f t="shared" si="13"/>
        <v>-32.313348276488995</v>
      </c>
      <c r="K77" s="78">
        <f t="shared" si="13"/>
        <v>70.735570315680519</v>
      </c>
      <c r="L77" s="78">
        <f t="shared" si="13"/>
        <v>908.29238149036689</v>
      </c>
      <c r="M77" s="78">
        <f t="shared" si="13"/>
        <v>2237.6018339009338</v>
      </c>
      <c r="N77" s="78"/>
      <c r="O77" s="78">
        <f>(O75*100/$O$75)-100</f>
        <v>0</v>
      </c>
      <c r="P77" s="78">
        <f t="shared" ref="P77:V77" si="14">(P75*100/$O$75)-100</f>
        <v>157.29359278026908</v>
      </c>
      <c r="Q77" s="78">
        <f t="shared" si="14"/>
        <v>-91.691251829816565</v>
      </c>
      <c r="R77" s="78">
        <f t="shared" si="14"/>
        <v>83.586253406600207</v>
      </c>
      <c r="S77" s="78">
        <f t="shared" si="14"/>
        <v>79.531496535877721</v>
      </c>
      <c r="T77" s="78">
        <f t="shared" si="14"/>
        <v>138.03547785125451</v>
      </c>
      <c r="U77" s="78">
        <f t="shared" si="14"/>
        <v>142.08664825398992</v>
      </c>
      <c r="V77" s="78">
        <f t="shared" si="14"/>
        <v>191.13587374247606</v>
      </c>
    </row>
    <row r="78" spans="1:22" s="3" customFormat="1" x14ac:dyDescent="0.35">
      <c r="A78" s="45" t="s">
        <v>38</v>
      </c>
      <c r="B78" s="78">
        <f>[2]!DPTEST(B6:B53)</f>
        <v>0.29546786097191879</v>
      </c>
      <c r="C78" s="78">
        <f>[2]!DPTEST(C6:C53)</f>
        <v>3.4620732393575437E-5</v>
      </c>
      <c r="D78" s="78">
        <f>[2]!DPTEST(D6:D53)</f>
        <v>4.8989049861003386E-2</v>
      </c>
      <c r="E78" s="78">
        <f>[2]!DPTEST(E6:E53)</f>
        <v>0.25518786709604946</v>
      </c>
      <c r="F78" s="78">
        <f>[2]!DPTEST(F6:F53)</f>
        <v>5.0340089251637132E-2</v>
      </c>
      <c r="G78" s="78">
        <f>[2]!DPTEST(G6:G53)</f>
        <v>0.10698622067434582</v>
      </c>
      <c r="H78" s="78">
        <f>[2]!DPTEST(H6:H53)</f>
        <v>0.70044894837095506</v>
      </c>
      <c r="I78" s="78">
        <f>[2]!DPTEST(I6:I53)</f>
        <v>9.5310628951128518E-4</v>
      </c>
      <c r="J78" s="78">
        <f>[2]!DPTEST(J6:J53)</f>
        <v>3.6079699826552236E-5</v>
      </c>
      <c r="K78" s="78">
        <f>[2]!DPTEST(K6:K53)</f>
        <v>2.2671605700197439E-4</v>
      </c>
      <c r="L78" s="78">
        <f>[2]!DPTEST(L6:L53)</f>
        <v>0.21850925917148389</v>
      </c>
      <c r="M78" s="78">
        <f>[2]!DPTEST(M6:M53)</f>
        <v>0.37980875545389736</v>
      </c>
      <c r="N78" s="78"/>
      <c r="O78" s="78">
        <f>[2]!DPTEST(O6:O53)</f>
        <v>6.6200410456271563E-2</v>
      </c>
      <c r="P78" s="78">
        <f>[2]!DPTEST(P6:P53)</f>
        <v>0.30292539962458276</v>
      </c>
      <c r="Q78" s="78">
        <f>[2]!DPTEST(Q6:Q53)</f>
        <v>3.0807335635842481E-2</v>
      </c>
      <c r="R78" s="78">
        <f>[2]!DPTEST(R6:R53)</f>
        <v>0.29907209907561283</v>
      </c>
      <c r="S78" s="78">
        <f>[2]!DPTEST(S6:S53)</f>
        <v>0.8280000035323628</v>
      </c>
      <c r="T78" s="78">
        <f>[2]!DPTEST(T6:T53)</f>
        <v>0.14638700803970317</v>
      </c>
      <c r="U78" s="78">
        <f>[2]!DPTEST(U6:U53)</f>
        <v>0.14673394330772638</v>
      </c>
      <c r="V78" s="78">
        <f>[2]!DPTEST(V6:V53)</f>
        <v>0.38658312301644537</v>
      </c>
    </row>
    <row r="79" spans="1:22" s="3" customFormat="1" x14ac:dyDescent="0.35">
      <c r="A79" s="45" t="s">
        <v>39</v>
      </c>
      <c r="B79" s="78" t="str">
        <f>IF(B78&gt;0.05,"Oui","Non")</f>
        <v>Oui</v>
      </c>
      <c r="C79" s="78" t="str">
        <f t="shared" ref="C79:V79" si="15">IF(C78&gt;0.05,"Oui","Non")</f>
        <v>Non</v>
      </c>
      <c r="D79" s="78" t="str">
        <f t="shared" si="15"/>
        <v>Non</v>
      </c>
      <c r="E79" s="78" t="str">
        <f t="shared" si="15"/>
        <v>Oui</v>
      </c>
      <c r="F79" s="78" t="str">
        <f t="shared" si="15"/>
        <v>Oui</v>
      </c>
      <c r="G79" s="78" t="str">
        <f t="shared" si="15"/>
        <v>Oui</v>
      </c>
      <c r="H79" s="78" t="str">
        <f t="shared" si="15"/>
        <v>Oui</v>
      </c>
      <c r="I79" s="78" t="str">
        <f t="shared" si="15"/>
        <v>Non</v>
      </c>
      <c r="J79" s="78" t="str">
        <f t="shared" si="15"/>
        <v>Non</v>
      </c>
      <c r="K79" s="78" t="str">
        <f t="shared" si="15"/>
        <v>Non</v>
      </c>
      <c r="L79" s="78" t="str">
        <f t="shared" si="15"/>
        <v>Oui</v>
      </c>
      <c r="M79" s="78" t="str">
        <f t="shared" si="15"/>
        <v>Oui</v>
      </c>
      <c r="N79" s="78"/>
      <c r="O79" s="78" t="str">
        <f t="shared" si="15"/>
        <v>Oui</v>
      </c>
      <c r="P79" s="78" t="str">
        <f t="shared" si="15"/>
        <v>Oui</v>
      </c>
      <c r="Q79" s="78" t="str">
        <f t="shared" si="15"/>
        <v>Non</v>
      </c>
      <c r="R79" s="78" t="str">
        <f t="shared" si="15"/>
        <v>Oui</v>
      </c>
      <c r="S79" s="78" t="str">
        <f t="shared" si="15"/>
        <v>Oui</v>
      </c>
      <c r="T79" s="78" t="str">
        <f t="shared" si="15"/>
        <v>Oui</v>
      </c>
      <c r="U79" s="78" t="str">
        <f t="shared" si="15"/>
        <v>Oui</v>
      </c>
      <c r="V79" s="78" t="str">
        <f t="shared" si="15"/>
        <v>Oui</v>
      </c>
    </row>
    <row r="80" spans="1:22" s="3" customFormat="1" x14ac:dyDescent="0.35">
      <c r="A80" s="45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</row>
    <row r="81" spans="1:23" s="3" customFormat="1" x14ac:dyDescent="0.35">
      <c r="A81" s="45" t="s">
        <v>40</v>
      </c>
      <c r="B81" s="78"/>
      <c r="C81" s="78" t="s">
        <v>60</v>
      </c>
      <c r="D81" s="78" t="s">
        <v>60</v>
      </c>
      <c r="E81" s="78" t="s">
        <v>60</v>
      </c>
      <c r="F81" s="78" t="s">
        <v>60</v>
      </c>
      <c r="G81" s="78" t="s">
        <v>60</v>
      </c>
      <c r="H81" s="78" t="s">
        <v>60</v>
      </c>
      <c r="I81" s="78" t="s">
        <v>60</v>
      </c>
      <c r="J81" s="78" t="s">
        <v>60</v>
      </c>
      <c r="K81" s="78" t="s">
        <v>60</v>
      </c>
      <c r="L81" s="78" t="s">
        <v>60</v>
      </c>
      <c r="M81" s="78" t="s">
        <v>60</v>
      </c>
      <c r="N81" s="78"/>
      <c r="O81" s="78" t="str">
        <f>IF($B79="Non",IF(O79="Non","Mann Withney",IF(O79="Oui","Mann Withney","")),IF($B79="Oui",IF(O79="Oui","T-Test Welch",IF(O79="Non","Mann Withney",""))))</f>
        <v>T-Test Welch</v>
      </c>
      <c r="P81" s="78" t="str">
        <f t="shared" ref="P81:Q81" si="16">IF($O79="Non",IF(P79="Non","Mann Withney",IF(P$79="Oui","Mann Withney","")),IF($O79="Oui",IF(P79="Oui","T-Test Welch",IF(P79="Non","Mann Withney",""))))</f>
        <v>T-Test Welch</v>
      </c>
      <c r="Q81" s="78" t="str">
        <f t="shared" si="16"/>
        <v>Mann Withney</v>
      </c>
      <c r="R81" s="78" t="s">
        <v>56</v>
      </c>
      <c r="S81" s="78" t="s">
        <v>56</v>
      </c>
      <c r="T81" s="78" t="s">
        <v>56</v>
      </c>
      <c r="U81" s="78" t="s">
        <v>56</v>
      </c>
      <c r="V81" s="78" t="s">
        <v>56</v>
      </c>
    </row>
    <row r="82" spans="1:23" s="3" customFormat="1" x14ac:dyDescent="0.35">
      <c r="A82" s="45" t="s">
        <v>41</v>
      </c>
      <c r="B82" s="78"/>
      <c r="C82" s="78" t="s">
        <v>58</v>
      </c>
      <c r="D82" s="78">
        <v>0.02</v>
      </c>
      <c r="E82" s="78" t="s">
        <v>55</v>
      </c>
      <c r="F82" s="78" t="s">
        <v>55</v>
      </c>
      <c r="G82" s="78" t="s">
        <v>55</v>
      </c>
      <c r="H82" s="78" t="s">
        <v>55</v>
      </c>
      <c r="I82" s="78" t="s">
        <v>58</v>
      </c>
      <c r="J82" s="78">
        <v>0.77</v>
      </c>
      <c r="K82" s="78" t="s">
        <v>58</v>
      </c>
      <c r="L82" s="78" t="s">
        <v>55</v>
      </c>
      <c r="M82" s="78" t="s">
        <v>55</v>
      </c>
      <c r="N82" s="78"/>
      <c r="O82" s="78">
        <f>IF(O81="Mann Withney",[2]!MTEST($B6:$B37,O6:O53,2), IF(O81="T-Test Welch",_xlfn.T.TEST($B6:$B37,O6:O53,2,3),""))</f>
        <v>1.4760535203756353E-13</v>
      </c>
      <c r="P82" s="78">
        <f>IF(P81="Mann Withney",[2]!MTEST($O6:$O53,P6:P53,2), IF(P81="T-Test Welch",_xlfn.T.TEST($O6:$O53,P6:P53,2,3),""))</f>
        <v>2.1412485820133916E-8</v>
      </c>
      <c r="Q82" s="78">
        <f>IF(Q81="Mann Withney",[2]!MTEST($O6:$O53,Q6:Q53,2), IF(Q81="T-Test Welch",_xlfn.T.TEST($O6:$O53,Q6:Q53,2,3),""))</f>
        <v>2.8412139307931739E-10</v>
      </c>
      <c r="R82" s="78">
        <v>0.01</v>
      </c>
      <c r="S82" s="78">
        <v>0.01</v>
      </c>
      <c r="T82" s="78" t="s">
        <v>55</v>
      </c>
      <c r="U82" s="78" t="s">
        <v>55</v>
      </c>
      <c r="V82" s="78" t="s">
        <v>55</v>
      </c>
    </row>
    <row r="83" spans="1:23" s="3" customFormat="1" ht="15" thickBot="1" x14ac:dyDescent="0.4">
      <c r="A83" s="46" t="s">
        <v>15</v>
      </c>
      <c r="B83" s="79"/>
      <c r="C83" s="79" t="s">
        <v>57</v>
      </c>
      <c r="D83" s="79" t="s">
        <v>59</v>
      </c>
      <c r="E83" s="79" t="s">
        <v>54</v>
      </c>
      <c r="F83" s="79" t="s">
        <v>54</v>
      </c>
      <c r="G83" s="79" t="s">
        <v>54</v>
      </c>
      <c r="H83" s="79" t="s">
        <v>54</v>
      </c>
      <c r="I83" s="79" t="s">
        <v>57</v>
      </c>
      <c r="J83" s="79" t="s">
        <v>57</v>
      </c>
      <c r="K83" s="79" t="s">
        <v>57</v>
      </c>
      <c r="L83" s="79" t="s">
        <v>54</v>
      </c>
      <c r="M83" s="79" t="s">
        <v>54</v>
      </c>
      <c r="N83" s="79"/>
      <c r="O83" s="79" t="str">
        <f t="shared" ref="O83" si="17">IF(O82&gt;0.05,"NS",IF(O82&gt;0.01,"*",IF(O82&gt;0.001,"**","***")))</f>
        <v>***</v>
      </c>
      <c r="P83" s="79" t="str">
        <f t="shared" ref="P83" si="18">IF(P82&gt;0.05,"NS",IF(P82&gt;0.01,"*",IF(P82&gt;0.001,"**","***")))</f>
        <v>***</v>
      </c>
      <c r="Q83" s="79" t="str">
        <f t="shared" ref="Q83" si="19">IF(Q82&gt;0.05,"NS",IF(Q82&gt;0.01,"*",IF(Q82&gt;0.001,"**","***")))</f>
        <v>***</v>
      </c>
      <c r="R83" s="79" t="s">
        <v>53</v>
      </c>
      <c r="S83" s="79" t="s">
        <v>53</v>
      </c>
      <c r="T83" s="79" t="s">
        <v>54</v>
      </c>
      <c r="U83" s="79" t="s">
        <v>54</v>
      </c>
      <c r="V83" s="79" t="s">
        <v>54</v>
      </c>
    </row>
    <row r="84" spans="1:23" s="1" customFormat="1" x14ac:dyDescent="0.35"/>
    <row r="85" spans="1:23" s="1" customFormat="1" x14ac:dyDescent="0.35">
      <c r="A85" s="2"/>
    </row>
    <row r="86" spans="1:23" x14ac:dyDescent="0.35">
      <c r="A86" s="1"/>
      <c r="B86" s="1"/>
    </row>
    <row r="87" spans="1:23" x14ac:dyDescent="0.35">
      <c r="A87" s="1"/>
      <c r="B87" s="1"/>
    </row>
    <row r="88" spans="1:23" ht="15" thickBot="1" x14ac:dyDescent="0.4"/>
    <row r="89" spans="1:23" s="32" customFormat="1" ht="26.5" thickBot="1" x14ac:dyDescent="0.4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1:23" ht="15" thickBot="1" x14ac:dyDescent="0.4"/>
    <row r="91" spans="1:23" s="32" customFormat="1" ht="26.5" thickBot="1" x14ac:dyDescent="0.4">
      <c r="A91" s="33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1:23" ht="15" thickBot="1" x14ac:dyDescent="0.4"/>
    <row r="93" spans="1:23" s="32" customFormat="1" ht="26.5" thickBot="1" x14ac:dyDescent="0.4">
      <c r="A93" s="147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</row>
    <row r="94" spans="1:23" x14ac:dyDescent="0.35">
      <c r="B94" s="1">
        <f t="shared" ref="B94:V94" si="20">B75/$B$75</f>
        <v>1</v>
      </c>
      <c r="C94" s="1">
        <f t="shared" si="20"/>
        <v>2.9913315946418484</v>
      </c>
      <c r="D94" s="1">
        <f t="shared" si="20"/>
        <v>8.3286411548787971</v>
      </c>
      <c r="E94" s="1">
        <f t="shared" si="20"/>
        <v>14.471567387343418</v>
      </c>
      <c r="F94" s="1">
        <f t="shared" si="20"/>
        <v>22.442847046754384</v>
      </c>
      <c r="G94" s="1">
        <f t="shared" si="20"/>
        <v>31.856465076111245</v>
      </c>
      <c r="H94" s="1">
        <f>H75/$B$75</f>
        <v>38.285745186850228</v>
      </c>
      <c r="I94" s="1">
        <f t="shared" si="20"/>
        <v>0.86867169619253182</v>
      </c>
      <c r="J94" s="1">
        <f t="shared" si="20"/>
        <v>0.67686651723511004</v>
      </c>
      <c r="K94" s="1">
        <f t="shared" si="20"/>
        <v>1.7073557031568054</v>
      </c>
      <c r="L94" s="1">
        <f t="shared" si="20"/>
        <v>10.082923814903669</v>
      </c>
      <c r="M94" s="1">
        <f t="shared" si="20"/>
        <v>23.376018339009335</v>
      </c>
      <c r="N94" s="1">
        <f t="shared" si="20"/>
        <v>0</v>
      </c>
      <c r="O94" s="1">
        <f t="shared" si="20"/>
        <v>11.096089701007775</v>
      </c>
      <c r="P94" s="1">
        <f t="shared" si="20"/>
        <v>28.549527849844324</v>
      </c>
      <c r="Q94" s="1">
        <f t="shared" si="20"/>
        <v>0.92194614999439695</v>
      </c>
      <c r="R94" s="1">
        <f t="shared" si="20"/>
        <v>20.370895356715803</v>
      </c>
      <c r="S94" s="1">
        <f t="shared" si="20"/>
        <v>19.920975897182657</v>
      </c>
      <c r="T94" s="1">
        <f t="shared" si="20"/>
        <v>26.412630142597695</v>
      </c>
      <c r="U94" s="1">
        <f t="shared" si="20"/>
        <v>26.862151644425897</v>
      </c>
      <c r="V94" s="1">
        <f t="shared" si="20"/>
        <v>32.304697702277885</v>
      </c>
      <c r="W94" s="1"/>
    </row>
    <row r="98" spans="2:22" x14ac:dyDescent="0.35">
      <c r="R98" s="1"/>
      <c r="S98" s="1"/>
      <c r="T98" s="1"/>
      <c r="U98" s="1"/>
      <c r="V98" s="1"/>
    </row>
    <row r="99" spans="2:22" x14ac:dyDescent="0.35">
      <c r="F99" s="1"/>
      <c r="G99" s="1"/>
      <c r="H99" s="1"/>
      <c r="I99" s="1"/>
      <c r="J99" s="1"/>
      <c r="R99" s="1"/>
      <c r="S99" s="1"/>
      <c r="T99" s="1"/>
      <c r="U99" s="1"/>
      <c r="V99" s="1"/>
    </row>
    <row r="100" spans="2:22" x14ac:dyDescent="0.3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22" x14ac:dyDescent="0.3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22" x14ac:dyDescent="0.35">
      <c r="C102" s="1"/>
      <c r="D102" s="1"/>
    </row>
    <row r="103" spans="2:22" x14ac:dyDescent="0.35">
      <c r="C103" s="1"/>
      <c r="D103" s="1"/>
    </row>
    <row r="104" spans="2:22" x14ac:dyDescent="0.35">
      <c r="C104" s="1"/>
      <c r="D104" s="1"/>
    </row>
    <row r="105" spans="2:22" x14ac:dyDescent="0.35">
      <c r="B105" s="1"/>
      <c r="C105" s="1"/>
    </row>
    <row r="106" spans="2:22" x14ac:dyDescent="0.35">
      <c r="B106" s="1"/>
      <c r="C106" s="1"/>
    </row>
    <row r="107" spans="2:22" x14ac:dyDescent="0.35">
      <c r="B107" s="1"/>
      <c r="C107" s="1"/>
      <c r="T107" s="1"/>
      <c r="U107" s="1"/>
    </row>
    <row r="108" spans="2:22" x14ac:dyDescent="0.35">
      <c r="B108" s="1"/>
      <c r="C108" s="1"/>
      <c r="T108" s="1"/>
      <c r="U108" s="1"/>
    </row>
    <row r="109" spans="2:22" x14ac:dyDescent="0.35">
      <c r="B109" s="1"/>
      <c r="C109" s="1"/>
      <c r="T109" s="1"/>
      <c r="U109" s="1"/>
    </row>
    <row r="110" spans="2:22" x14ac:dyDescent="0.35">
      <c r="B110" s="1"/>
      <c r="C110" s="1"/>
      <c r="T110" s="1"/>
      <c r="U110" s="1"/>
    </row>
    <row r="111" spans="2:22" x14ac:dyDescent="0.35">
      <c r="B111" s="1"/>
      <c r="C111" s="1"/>
      <c r="T111" s="1"/>
      <c r="U111" s="1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3D390A-BE22-49A8-A93C-5F69ED1DE3E5}"/>
</file>

<file path=customXml/itemProps2.xml><?xml version="1.0" encoding="utf-8"?>
<ds:datastoreItem xmlns:ds="http://schemas.openxmlformats.org/officeDocument/2006/customXml" ds:itemID="{EC56BE19-88F3-4C22-9D02-F1A4899C81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2022-10-05T15:02:37Z</dcterms:modified>
</cp:coreProperties>
</file>