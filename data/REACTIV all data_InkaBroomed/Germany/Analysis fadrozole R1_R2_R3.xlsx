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hidePivotFieldList="1" defaultThemeVersion="124226"/>
  <xr:revisionPtr revIDLastSave="0" documentId="13_ncr:1_{DEC41D47-7BCC-4F17-ABD2-DE1CF4E84C78}" xr6:coauthVersionLast="47" xr6:coauthVersionMax="47" xr10:uidLastSave="{00000000-0000-0000-0000-000000000000}"/>
  <bookViews>
    <workbookView xWindow="2300" yWindow="1020" windowWidth="14400" windowHeight="7360" firstSheet="7" activeTab="9" xr2:uid="{00000000-000D-0000-FFFF-FFFF00000000}"/>
  </bookViews>
  <sheets>
    <sheet name="Front page" sheetId="10" r:id="rId1"/>
    <sheet name="Comments R1" sheetId="35" r:id="rId2"/>
    <sheet name="R1" sheetId="1" r:id="rId3"/>
    <sheet name="Graph R1" sheetId="8" r:id="rId4"/>
    <sheet name="R2" sheetId="23" r:id="rId5"/>
    <sheet name="Graph R2" sheetId="19" r:id="rId6"/>
    <sheet name="R3" sheetId="33" r:id="rId7"/>
    <sheet name="Graph R3" sheetId="34" r:id="rId8"/>
    <sheet name="pooled normalised values" sheetId="4" r:id="rId9"/>
    <sheet name="pooled normalised graphe" sheetId="5" r:id="rId10"/>
  </sheets>
  <externalReferences>
    <externalReference r:id="rId11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P43" i="1" l="1"/>
  <c r="P42" i="1"/>
  <c r="P41" i="1"/>
  <c r="P40" i="1"/>
  <c r="P39" i="1"/>
  <c r="P38" i="1"/>
  <c r="P37" i="1"/>
  <c r="P36" i="1"/>
  <c r="P35" i="1"/>
  <c r="A7" i="10"/>
  <c r="Q36" i="1"/>
  <c r="R36" i="1"/>
  <c r="S36" i="1"/>
  <c r="T36" i="1"/>
  <c r="U36" i="1"/>
  <c r="V36" i="1"/>
  <c r="B36" i="1"/>
  <c r="C36" i="1"/>
  <c r="D36" i="1"/>
  <c r="E36" i="1"/>
  <c r="F36" i="1"/>
  <c r="G36" i="1"/>
  <c r="H36" i="1"/>
  <c r="I36" i="1"/>
  <c r="J36" i="1"/>
  <c r="K36" i="1"/>
  <c r="L36" i="1"/>
  <c r="M36" i="1"/>
  <c r="A45" i="33"/>
  <c r="A27" i="33"/>
  <c r="A52" i="33" s="1"/>
  <c r="A22" i="33"/>
  <c r="A45" i="23"/>
  <c r="A27" i="23"/>
  <c r="A52" i="23" s="1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V28" i="33"/>
  <c r="U28" i="33"/>
  <c r="T28" i="33"/>
  <c r="S28" i="33"/>
  <c r="R28" i="33"/>
  <c r="Q28" i="33"/>
  <c r="P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O37" i="33" l="1"/>
  <c r="O47" i="4" s="1"/>
  <c r="M36" i="33"/>
  <c r="M46" i="4" s="1"/>
  <c r="E36" i="33"/>
  <c r="E46" i="4" s="1"/>
  <c r="O41" i="33"/>
  <c r="O51" i="4" s="1"/>
  <c r="O43" i="33"/>
  <c r="O53" i="4" s="1"/>
  <c r="O36" i="33"/>
  <c r="O46" i="4" s="1"/>
  <c r="O38" i="33"/>
  <c r="O48" i="4" s="1"/>
  <c r="O40" i="33"/>
  <c r="O50" i="4" s="1"/>
  <c r="O42" i="33"/>
  <c r="O52" i="4" s="1"/>
  <c r="O39" i="33"/>
  <c r="O49" i="4" s="1"/>
  <c r="I28" i="33"/>
  <c r="I38" i="4" s="1"/>
  <c r="B28" i="33"/>
  <c r="B38" i="4" s="1"/>
  <c r="J28" i="33"/>
  <c r="J38" i="4" s="1"/>
  <c r="F29" i="33"/>
  <c r="F39" i="4" s="1"/>
  <c r="O29" i="33"/>
  <c r="O39" i="4" s="1"/>
  <c r="O30" i="33"/>
  <c r="O40" i="4" s="1"/>
  <c r="B34" i="33"/>
  <c r="B44" i="4" s="1"/>
  <c r="J34" i="33"/>
  <c r="J44" i="4" s="1"/>
  <c r="F35" i="33"/>
  <c r="F45" i="4" s="1"/>
  <c r="O35" i="33"/>
  <c r="O45" i="4" s="1"/>
  <c r="G29" i="33"/>
  <c r="G39" i="4" s="1"/>
  <c r="C34" i="33"/>
  <c r="C44" i="4" s="1"/>
  <c r="K34" i="33"/>
  <c r="K44" i="4" s="1"/>
  <c r="G35" i="33"/>
  <c r="G45" i="4" s="1"/>
  <c r="C28" i="33"/>
  <c r="C38" i="4" s="1"/>
  <c r="D28" i="33"/>
  <c r="D38" i="4" s="1"/>
  <c r="L28" i="33"/>
  <c r="H29" i="33"/>
  <c r="H39" i="4" s="1"/>
  <c r="D34" i="33"/>
  <c r="D44" i="4" s="1"/>
  <c r="L34" i="33"/>
  <c r="L44" i="4" s="1"/>
  <c r="H35" i="33"/>
  <c r="H45" i="4" s="1"/>
  <c r="E28" i="33"/>
  <c r="M28" i="33"/>
  <c r="M38" i="4" s="1"/>
  <c r="I29" i="33"/>
  <c r="I39" i="4" s="1"/>
  <c r="E34" i="33"/>
  <c r="E44" i="4" s="1"/>
  <c r="M34" i="33"/>
  <c r="M44" i="4" s="1"/>
  <c r="I35" i="33"/>
  <c r="I45" i="4" s="1"/>
  <c r="K28" i="33"/>
  <c r="K38" i="4" s="1"/>
  <c r="F28" i="33"/>
  <c r="O28" i="33"/>
  <c r="B29" i="33"/>
  <c r="B39" i="4" s="1"/>
  <c r="J29" i="33"/>
  <c r="J39" i="4" s="1"/>
  <c r="F34" i="33"/>
  <c r="F44" i="4" s="1"/>
  <c r="B35" i="33"/>
  <c r="B45" i="4" s="1"/>
  <c r="J35" i="33"/>
  <c r="J45" i="4" s="1"/>
  <c r="G28" i="33"/>
  <c r="G38" i="4" s="1"/>
  <c r="C29" i="33"/>
  <c r="C39" i="4" s="1"/>
  <c r="K29" i="33"/>
  <c r="K39" i="4" s="1"/>
  <c r="G34" i="33"/>
  <c r="G44" i="4" s="1"/>
  <c r="C35" i="33"/>
  <c r="C45" i="4" s="1"/>
  <c r="K35" i="33"/>
  <c r="K45" i="4" s="1"/>
  <c r="H28" i="33"/>
  <c r="H38" i="4" s="1"/>
  <c r="D29" i="33"/>
  <c r="D39" i="4" s="1"/>
  <c r="L29" i="33"/>
  <c r="L39" i="4" s="1"/>
  <c r="H34" i="33"/>
  <c r="H44" i="4" s="1"/>
  <c r="D35" i="33"/>
  <c r="D45" i="4" s="1"/>
  <c r="L35" i="33"/>
  <c r="L45" i="4" s="1"/>
  <c r="E29" i="33"/>
  <c r="E39" i="4" s="1"/>
  <c r="M29" i="33"/>
  <c r="M39" i="4" s="1"/>
  <c r="I34" i="33"/>
  <c r="I44" i="4" s="1"/>
  <c r="E35" i="33"/>
  <c r="E45" i="4" s="1"/>
  <c r="M35" i="33"/>
  <c r="M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U38" i="4"/>
  <c r="V38" i="4"/>
  <c r="E38" i="4"/>
  <c r="R38" i="4"/>
  <c r="B22" i="33"/>
  <c r="E22" i="33"/>
  <c r="I45" i="33"/>
  <c r="I52" i="33"/>
  <c r="I27" i="33"/>
  <c r="P38" i="4"/>
  <c r="T38" i="4"/>
  <c r="B27" i="33"/>
  <c r="B52" i="33" s="1"/>
  <c r="Q38" i="4"/>
  <c r="D27" i="33"/>
  <c r="D52" i="33" s="1"/>
  <c r="I22" i="33"/>
  <c r="E27" i="33"/>
  <c r="E52" i="33" s="1"/>
  <c r="F38" i="4"/>
  <c r="O38" i="4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L56" i="33"/>
  <c r="S56" i="33"/>
  <c r="J56" i="33"/>
  <c r="P56" i="33"/>
  <c r="U56" i="33"/>
  <c r="I56" i="33"/>
  <c r="M56" i="33"/>
  <c r="K56" i="33"/>
  <c r="B56" i="33"/>
  <c r="E56" i="33"/>
  <c r="O56" i="33"/>
  <c r="H56" i="33"/>
  <c r="D56" i="33"/>
  <c r="F56" i="33"/>
  <c r="R56" i="33"/>
  <c r="V56" i="33"/>
  <c r="T56" i="33"/>
  <c r="C56" i="33"/>
  <c r="G56" i="33"/>
  <c r="Q56" i="33"/>
  <c r="L47" i="33" l="1"/>
  <c r="S47" i="33"/>
  <c r="S48" i="33" s="1"/>
  <c r="S54" i="33" s="1"/>
  <c r="L38" i="4"/>
  <c r="K47" i="33"/>
  <c r="K48" i="33" s="1"/>
  <c r="K54" i="33" s="1"/>
  <c r="I47" i="33"/>
  <c r="I48" i="33" s="1"/>
  <c r="I54" i="33" s="1"/>
  <c r="R47" i="33"/>
  <c r="R48" i="33" s="1"/>
  <c r="R54" i="33" s="1"/>
  <c r="Q46" i="33"/>
  <c r="Q53" i="33" s="1"/>
  <c r="H46" i="33"/>
  <c r="H53" i="33" s="1"/>
  <c r="D46" i="33"/>
  <c r="D53" i="33" s="1"/>
  <c r="G47" i="33"/>
  <c r="G48" i="33" s="1"/>
  <c r="G54" i="33" s="1"/>
  <c r="E46" i="33"/>
  <c r="E53" i="33" s="1"/>
  <c r="C47" i="33"/>
  <c r="C48" i="33" s="1"/>
  <c r="C54" i="33" s="1"/>
  <c r="R46" i="33"/>
  <c r="R53" i="33" s="1"/>
  <c r="I46" i="33"/>
  <c r="I53" i="33" s="1"/>
  <c r="H47" i="33"/>
  <c r="H48" i="33" s="1"/>
  <c r="H54" i="33" s="1"/>
  <c r="G46" i="33"/>
  <c r="G53" i="33" s="1"/>
  <c r="S57" i="33"/>
  <c r="V57" i="33"/>
  <c r="U57" i="33"/>
  <c r="P57" i="33"/>
  <c r="O57" i="33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E57" i="33"/>
  <c r="D57" i="33"/>
  <c r="C57" i="33"/>
  <c r="T57" i="33"/>
  <c r="S41" i="4"/>
  <c r="V41" i="4"/>
  <c r="U41" i="4"/>
  <c r="P41" i="4"/>
  <c r="L48" i="33"/>
  <c r="L54" i="33" s="1"/>
  <c r="O41" i="4"/>
  <c r="M40" i="4"/>
  <c r="R41" i="4"/>
  <c r="K40" i="4"/>
  <c r="J40" i="4"/>
  <c r="F40" i="4"/>
  <c r="O47" i="33"/>
  <c r="O48" i="33" s="1"/>
  <c r="O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L46" i="33"/>
  <c r="L53" i="33" s="1"/>
  <c r="K46" i="33"/>
  <c r="K53" i="33" s="1"/>
  <c r="P59" i="33" l="1"/>
  <c r="P55" i="33"/>
  <c r="M55" i="33"/>
  <c r="J59" i="33"/>
  <c r="R59" i="33"/>
  <c r="R60" i="33" s="1"/>
  <c r="R61" i="33" s="1"/>
  <c r="Q59" i="33"/>
  <c r="Q60" i="33" s="1"/>
  <c r="Q61" i="33" s="1"/>
  <c r="T59" i="33"/>
  <c r="T60" i="33" s="1"/>
  <c r="T61" i="33" s="1"/>
  <c r="V59" i="33"/>
  <c r="V60" i="33" s="1"/>
  <c r="V61" i="33" s="1"/>
  <c r="U59" i="33"/>
  <c r="S59" i="33"/>
  <c r="E59" i="33"/>
  <c r="E60" i="33" s="1"/>
  <c r="E61" i="33" s="1"/>
  <c r="S55" i="33"/>
  <c r="H59" i="33"/>
  <c r="H60" i="33" s="1"/>
  <c r="H61" i="33" s="1"/>
  <c r="L59" i="33"/>
  <c r="L60" i="33" s="1"/>
  <c r="L61" i="33" s="1"/>
  <c r="D59" i="33"/>
  <c r="D60" i="33" s="1"/>
  <c r="D61" i="33" s="1"/>
  <c r="O59" i="33"/>
  <c r="O60" i="33" s="1"/>
  <c r="O61" i="33" s="1"/>
  <c r="C59" i="33"/>
  <c r="C60" i="33" s="1"/>
  <c r="C61" i="33" s="1"/>
  <c r="G59" i="33"/>
  <c r="G60" i="33" s="1"/>
  <c r="G61" i="33" s="1"/>
  <c r="I59" i="33"/>
  <c r="I60" i="33" s="1"/>
  <c r="I61" i="33" s="1"/>
  <c r="K59" i="33"/>
  <c r="M59" i="33"/>
  <c r="M60" i="33" s="1"/>
  <c r="M61" i="33" s="1"/>
  <c r="F60" i="33"/>
  <c r="F61" i="33" s="1"/>
  <c r="P60" i="33"/>
  <c r="P61" i="33" s="1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U60" i="33"/>
  <c r="S60" i="33"/>
  <c r="J60" i="33"/>
  <c r="K60" i="33"/>
  <c r="U61" i="33" l="1"/>
  <c r="K61" i="33"/>
  <c r="J61" i="33"/>
  <c r="S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28" i="23"/>
  <c r="Q28" i="23"/>
  <c r="R28" i="23"/>
  <c r="S28" i="23"/>
  <c r="S22" i="4" s="1"/>
  <c r="T28" i="23"/>
  <c r="T22" i="4" s="1"/>
  <c r="U28" i="23"/>
  <c r="V28" i="23"/>
  <c r="P29" i="23"/>
  <c r="Q29" i="23"/>
  <c r="Q23" i="4" s="1"/>
  <c r="R29" i="23"/>
  <c r="R23" i="4" s="1"/>
  <c r="S29" i="23"/>
  <c r="S23" i="4" s="1"/>
  <c r="T29" i="23"/>
  <c r="T23" i="4" s="1"/>
  <c r="U29" i="23"/>
  <c r="U23" i="4" s="1"/>
  <c r="V29" i="23"/>
  <c r="V23" i="4" s="1"/>
  <c r="P30" i="23"/>
  <c r="P24" i="4" s="1"/>
  <c r="Q30" i="23"/>
  <c r="Q24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Q31" i="23"/>
  <c r="Q25" i="4" s="1"/>
  <c r="R31" i="23"/>
  <c r="R25" i="4" s="1"/>
  <c r="S31" i="23"/>
  <c r="S25" i="4" s="1"/>
  <c r="T31" i="23"/>
  <c r="T25" i="4" s="1"/>
  <c r="U31" i="23"/>
  <c r="U25" i="4" s="1"/>
  <c r="V31" i="23"/>
  <c r="V25" i="4" s="1"/>
  <c r="P32" i="23"/>
  <c r="P26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Q31" i="4" s="1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R43" i="23"/>
  <c r="S43" i="23"/>
  <c r="T43" i="23"/>
  <c r="U43" i="23"/>
  <c r="U37" i="4" s="1"/>
  <c r="V43" i="23"/>
  <c r="O40" i="23"/>
  <c r="O34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N45" i="1"/>
  <c r="A22" i="1"/>
  <c r="Q37" i="4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J40" i="23"/>
  <c r="J34" i="4" s="1"/>
  <c r="J36" i="23"/>
  <c r="J30" i="4" s="1"/>
  <c r="J42" i="23"/>
  <c r="J36" i="4" s="1"/>
  <c r="J38" i="23"/>
  <c r="J32" i="4" s="1"/>
  <c r="J41" i="23"/>
  <c r="J35" i="4" s="1"/>
  <c r="J37" i="23"/>
  <c r="J31" i="4" s="1"/>
  <c r="J43" i="23"/>
  <c r="J39" i="23"/>
  <c r="J33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I23" i="1"/>
  <c r="I24" i="1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Q38" i="1"/>
  <c r="Q16" i="4" s="1"/>
  <c r="P17" i="4"/>
  <c r="Q39" i="1"/>
  <c r="Q17" i="4" s="1"/>
  <c r="R39" i="1"/>
  <c r="R17" i="4" s="1"/>
  <c r="P18" i="4"/>
  <c r="Q40" i="1"/>
  <c r="Q18" i="4" s="1"/>
  <c r="R40" i="1"/>
  <c r="R18" i="4" s="1"/>
  <c r="P19" i="4"/>
  <c r="Q41" i="1"/>
  <c r="Q19" i="4" s="1"/>
  <c r="P20" i="4"/>
  <c r="Q42" i="1"/>
  <c r="Q20" i="4" s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H27" i="1"/>
  <c r="H52" i="1" s="1"/>
  <c r="G27" i="1"/>
  <c r="G52" i="1" s="1"/>
  <c r="F27" i="1"/>
  <c r="F52" i="1" s="1"/>
  <c r="E4" i="4"/>
  <c r="D22" i="1"/>
  <c r="C45" i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S56" i="1"/>
  <c r="V56" i="1"/>
  <c r="U56" i="1"/>
  <c r="T56" i="1"/>
  <c r="O39" i="23" l="1"/>
  <c r="O33" i="4" s="1"/>
  <c r="P34" i="1"/>
  <c r="P12" i="4" s="1"/>
  <c r="P30" i="1"/>
  <c r="P33" i="1"/>
  <c r="P32" i="1"/>
  <c r="P31" i="1"/>
  <c r="P9" i="4" s="1"/>
  <c r="P29" i="1"/>
  <c r="P28" i="1"/>
  <c r="V28" i="1"/>
  <c r="V6" i="4" s="1"/>
  <c r="P16" i="4"/>
  <c r="O43" i="23"/>
  <c r="O42" i="23"/>
  <c r="O36" i="4" s="1"/>
  <c r="O41" i="23"/>
  <c r="O35" i="4" s="1"/>
  <c r="C28" i="23"/>
  <c r="C22" i="4" s="1"/>
  <c r="I31" i="23"/>
  <c r="I25" i="4" s="1"/>
  <c r="H31" i="23"/>
  <c r="H25" i="4" s="1"/>
  <c r="H30" i="23"/>
  <c r="H24" i="4" s="1"/>
  <c r="F29" i="23"/>
  <c r="F23" i="4" s="1"/>
  <c r="K31" i="23"/>
  <c r="K25" i="4" s="1"/>
  <c r="L28" i="23"/>
  <c r="L22" i="4" s="1"/>
  <c r="K29" i="23"/>
  <c r="K23" i="4" s="1"/>
  <c r="G28" i="23"/>
  <c r="G22" i="4" s="1"/>
  <c r="H28" i="23"/>
  <c r="G30" i="23"/>
  <c r="G24" i="4" s="1"/>
  <c r="C31" i="23"/>
  <c r="C25" i="4" s="1"/>
  <c r="E30" i="23"/>
  <c r="E24" i="4" s="1"/>
  <c r="M30" i="23"/>
  <c r="M24" i="4" s="1"/>
  <c r="K28" i="23"/>
  <c r="K22" i="4" s="1"/>
  <c r="L31" i="23"/>
  <c r="L25" i="4" s="1"/>
  <c r="G29" i="23"/>
  <c r="G23" i="4" s="1"/>
  <c r="G31" i="23"/>
  <c r="G25" i="4" s="1"/>
  <c r="L30" i="23"/>
  <c r="L24" i="4" s="1"/>
  <c r="E31" i="23"/>
  <c r="E25" i="4" s="1"/>
  <c r="D31" i="23"/>
  <c r="D25" i="4" s="1"/>
  <c r="M28" i="23"/>
  <c r="M22" i="4" s="1"/>
  <c r="E28" i="23"/>
  <c r="J31" i="23"/>
  <c r="J25" i="4" s="1"/>
  <c r="C29" i="23"/>
  <c r="C23" i="4" s="1"/>
  <c r="J28" i="23"/>
  <c r="J22" i="4" s="1"/>
  <c r="K30" i="23"/>
  <c r="K24" i="4" s="1"/>
  <c r="I30" i="23"/>
  <c r="I24" i="4" s="1"/>
  <c r="I34" i="23"/>
  <c r="I28" i="4" s="1"/>
  <c r="F31" i="23"/>
  <c r="F25" i="4" s="1"/>
  <c r="F28" i="23"/>
  <c r="F22" i="4" s="1"/>
  <c r="I28" i="23"/>
  <c r="I22" i="4" s="1"/>
  <c r="I32" i="23"/>
  <c r="I26" i="4" s="1"/>
  <c r="F30" i="23"/>
  <c r="F24" i="4" s="1"/>
  <c r="E29" i="23"/>
  <c r="E23" i="4" s="1"/>
  <c r="M29" i="23"/>
  <c r="M23" i="4" s="1"/>
  <c r="H29" i="23"/>
  <c r="H23" i="4" s="1"/>
  <c r="M31" i="23"/>
  <c r="M25" i="4" s="1"/>
  <c r="D30" i="23"/>
  <c r="D24" i="4" s="1"/>
  <c r="O29" i="23"/>
  <c r="O23" i="4" s="1"/>
  <c r="C30" i="23"/>
  <c r="C24" i="4" s="1"/>
  <c r="D28" i="23"/>
  <c r="D29" i="23"/>
  <c r="D23" i="4" s="1"/>
  <c r="J30" i="23"/>
  <c r="J24" i="4" s="1"/>
  <c r="I29" i="23"/>
  <c r="I23" i="4" s="1"/>
  <c r="J29" i="23"/>
  <c r="J23" i="4" s="1"/>
  <c r="L29" i="23"/>
  <c r="L23" i="4" s="1"/>
  <c r="V30" i="1"/>
  <c r="V8" i="4" s="1"/>
  <c r="U30" i="1"/>
  <c r="U8" i="4" s="1"/>
  <c r="T30" i="1"/>
  <c r="T8" i="4" s="1"/>
  <c r="S30" i="1"/>
  <c r="S8" i="4" s="1"/>
  <c r="V29" i="1"/>
  <c r="V7" i="4" s="1"/>
  <c r="U29" i="1"/>
  <c r="U7" i="4" s="1"/>
  <c r="O38" i="1"/>
  <c r="O16" i="4" s="1"/>
  <c r="T29" i="1"/>
  <c r="T7" i="4" s="1"/>
  <c r="S29" i="1"/>
  <c r="S7" i="4" s="1"/>
  <c r="Q28" i="1"/>
  <c r="T33" i="1"/>
  <c r="T11" i="4" s="1"/>
  <c r="Q31" i="1"/>
  <c r="Q9" i="4" s="1"/>
  <c r="U33" i="1"/>
  <c r="U11" i="4" s="1"/>
  <c r="S35" i="1"/>
  <c r="S13" i="4" s="1"/>
  <c r="R31" i="1"/>
  <c r="V33" i="1"/>
  <c r="V11" i="4" s="1"/>
  <c r="U32" i="1"/>
  <c r="U10" i="4" s="1"/>
  <c r="V35" i="1"/>
  <c r="V13" i="4" s="1"/>
  <c r="S31" i="1"/>
  <c r="S9" i="4" s="1"/>
  <c r="Q34" i="1"/>
  <c r="Q12" i="4" s="1"/>
  <c r="T31" i="1"/>
  <c r="T9" i="4" s="1"/>
  <c r="R34" i="1"/>
  <c r="S33" i="1"/>
  <c r="U31" i="1"/>
  <c r="U9" i="4" s="1"/>
  <c r="S34" i="1"/>
  <c r="S12" i="4" s="1"/>
  <c r="T35" i="1"/>
  <c r="T13" i="4" s="1"/>
  <c r="V31" i="1"/>
  <c r="V9" i="4" s="1"/>
  <c r="T34" i="1"/>
  <c r="T12" i="4" s="1"/>
  <c r="U34" i="1"/>
  <c r="U12" i="4" s="1"/>
  <c r="V32" i="1"/>
  <c r="V10" i="4" s="1"/>
  <c r="Q32" i="1"/>
  <c r="U35" i="1"/>
  <c r="U13" i="4" s="1"/>
  <c r="R32" i="1"/>
  <c r="V34" i="1"/>
  <c r="V12" i="4" s="1"/>
  <c r="Q33" i="1"/>
  <c r="Q11" i="4" s="1"/>
  <c r="S32" i="1"/>
  <c r="S10" i="4" s="1"/>
  <c r="Q35" i="1"/>
  <c r="Q13" i="4" s="1"/>
  <c r="T32" i="1"/>
  <c r="T10" i="4" s="1"/>
  <c r="R35" i="1"/>
  <c r="R33" i="1"/>
  <c r="R11" i="4" s="1"/>
  <c r="U28" i="1"/>
  <c r="U6" i="4" s="1"/>
  <c r="T28" i="1"/>
  <c r="T6" i="4" s="1"/>
  <c r="S28" i="1"/>
  <c r="S6" i="4" s="1"/>
  <c r="M29" i="1"/>
  <c r="M7" i="4" s="1"/>
  <c r="P11" i="4"/>
  <c r="O36" i="1"/>
  <c r="O41" i="1"/>
  <c r="O19" i="4" s="1"/>
  <c r="P6" i="4"/>
  <c r="O40" i="1"/>
  <c r="O18" i="4" s="1"/>
  <c r="O42" i="1"/>
  <c r="O20" i="4" s="1"/>
  <c r="O43" i="1"/>
  <c r="O21" i="4" s="1"/>
  <c r="O39" i="1"/>
  <c r="O17" i="4" s="1"/>
  <c r="E29" i="1"/>
  <c r="E7" i="4" s="1"/>
  <c r="P8" i="4"/>
  <c r="G29" i="1"/>
  <c r="G7" i="4" s="1"/>
  <c r="F29" i="1"/>
  <c r="F7" i="4" s="1"/>
  <c r="M35" i="1"/>
  <c r="M13" i="4" s="1"/>
  <c r="O31" i="1"/>
  <c r="O9" i="4" s="1"/>
  <c r="O33" i="1"/>
  <c r="O11" i="4" s="1"/>
  <c r="O35" i="1"/>
  <c r="O13" i="4" s="1"/>
  <c r="B34" i="1"/>
  <c r="B12" i="4" s="1"/>
  <c r="O34" i="1"/>
  <c r="D35" i="1"/>
  <c r="D13" i="4" s="1"/>
  <c r="C34" i="1"/>
  <c r="C12" i="4" s="1"/>
  <c r="B35" i="1"/>
  <c r="B13" i="4" s="1"/>
  <c r="D34" i="1"/>
  <c r="D12" i="4" s="1"/>
  <c r="E34" i="1"/>
  <c r="F34" i="1"/>
  <c r="F12" i="4" s="1"/>
  <c r="G35" i="1"/>
  <c r="G13" i="4" s="1"/>
  <c r="G34" i="1"/>
  <c r="G12" i="4" s="1"/>
  <c r="C35" i="1"/>
  <c r="C13" i="4" s="1"/>
  <c r="E35" i="1"/>
  <c r="E13" i="4" s="1"/>
  <c r="H35" i="1"/>
  <c r="H13" i="4" s="1"/>
  <c r="H34" i="1"/>
  <c r="H12" i="4" s="1"/>
  <c r="M34" i="1"/>
  <c r="M12" i="4" s="1"/>
  <c r="O32" i="1"/>
  <c r="O10" i="4" s="1"/>
  <c r="F35" i="1"/>
  <c r="F13" i="4" s="1"/>
  <c r="M28" i="1"/>
  <c r="M6" i="4" s="1"/>
  <c r="K35" i="1"/>
  <c r="K13" i="4" s="1"/>
  <c r="J34" i="1"/>
  <c r="J12" i="4" s="1"/>
  <c r="L34" i="1"/>
  <c r="L12" i="4" s="1"/>
  <c r="I35" i="1"/>
  <c r="K34" i="1"/>
  <c r="K12" i="4" s="1"/>
  <c r="I34" i="1"/>
  <c r="I12" i="4" s="1"/>
  <c r="J35" i="1"/>
  <c r="J13" i="4" s="1"/>
  <c r="L35" i="1"/>
  <c r="L13" i="4" s="1"/>
  <c r="I29" i="1"/>
  <c r="I7" i="4" s="1"/>
  <c r="J29" i="1"/>
  <c r="J7" i="4" s="1"/>
  <c r="J28" i="1"/>
  <c r="J6" i="4" s="1"/>
  <c r="L29" i="1"/>
  <c r="L7" i="4" s="1"/>
  <c r="K29" i="1"/>
  <c r="K7" i="4" s="1"/>
  <c r="L28" i="1"/>
  <c r="L6" i="4" s="1"/>
  <c r="K28" i="1"/>
  <c r="K6" i="4" s="1"/>
  <c r="C34" i="23"/>
  <c r="C28" i="4" s="1"/>
  <c r="C33" i="23"/>
  <c r="C27" i="4" s="1"/>
  <c r="U22" i="4"/>
  <c r="C29" i="1"/>
  <c r="C7" i="4" s="1"/>
  <c r="B30" i="1"/>
  <c r="F30" i="1"/>
  <c r="F8" i="4" s="1"/>
  <c r="J30" i="1"/>
  <c r="J8" i="4" s="1"/>
  <c r="B31" i="1"/>
  <c r="B9" i="4" s="1"/>
  <c r="F31" i="1"/>
  <c r="J31" i="1"/>
  <c r="J9" i="4" s="1"/>
  <c r="B32" i="1"/>
  <c r="F32" i="1"/>
  <c r="F10" i="4" s="1"/>
  <c r="J32" i="1"/>
  <c r="J10" i="4" s="1"/>
  <c r="B33" i="1"/>
  <c r="B11" i="4" s="1"/>
  <c r="F33" i="1"/>
  <c r="F11" i="4" s="1"/>
  <c r="J33" i="1"/>
  <c r="J11" i="4" s="1"/>
  <c r="C30" i="1"/>
  <c r="C8" i="4" s="1"/>
  <c r="G30" i="1"/>
  <c r="G8" i="4" s="1"/>
  <c r="K30" i="1"/>
  <c r="K8" i="4" s="1"/>
  <c r="C31" i="1"/>
  <c r="C9" i="4" s="1"/>
  <c r="G31" i="1"/>
  <c r="G9" i="4" s="1"/>
  <c r="K31" i="1"/>
  <c r="K9" i="4" s="1"/>
  <c r="C32" i="1"/>
  <c r="G32" i="1"/>
  <c r="G10" i="4" s="1"/>
  <c r="K32" i="1"/>
  <c r="K10" i="4" s="1"/>
  <c r="C33" i="1"/>
  <c r="C11" i="4" s="1"/>
  <c r="G33" i="1"/>
  <c r="K33" i="1"/>
  <c r="K11" i="4" s="1"/>
  <c r="H30" i="1"/>
  <c r="H8" i="4" s="1"/>
  <c r="L30" i="1"/>
  <c r="L8" i="4" s="1"/>
  <c r="D31" i="1"/>
  <c r="D9" i="4" s="1"/>
  <c r="L31" i="1"/>
  <c r="L9" i="4" s="1"/>
  <c r="D32" i="1"/>
  <c r="L32" i="1"/>
  <c r="L10" i="4" s="1"/>
  <c r="D33" i="1"/>
  <c r="D11" i="4" s="1"/>
  <c r="L33" i="1"/>
  <c r="L11" i="4" s="1"/>
  <c r="D30" i="1"/>
  <c r="H31" i="1"/>
  <c r="H32" i="1"/>
  <c r="H10" i="4" s="1"/>
  <c r="H33" i="1"/>
  <c r="H11" i="4" s="1"/>
  <c r="E30" i="1"/>
  <c r="E8" i="4" s="1"/>
  <c r="I30" i="1"/>
  <c r="I8" i="4" s="1"/>
  <c r="M30" i="1"/>
  <c r="M8" i="4" s="1"/>
  <c r="E31" i="1"/>
  <c r="E9" i="4" s="1"/>
  <c r="I31" i="1"/>
  <c r="I9" i="4" s="1"/>
  <c r="M31" i="1"/>
  <c r="M9" i="4" s="1"/>
  <c r="E32" i="1"/>
  <c r="E10" i="4" s="1"/>
  <c r="I32" i="1"/>
  <c r="I10" i="4" s="1"/>
  <c r="M32" i="1"/>
  <c r="E33" i="1"/>
  <c r="E11" i="4" s="1"/>
  <c r="I33" i="1"/>
  <c r="I11" i="4" s="1"/>
  <c r="M33" i="1"/>
  <c r="M11" i="4" s="1"/>
  <c r="F33" i="23"/>
  <c r="F27" i="4" s="1"/>
  <c r="E35" i="23"/>
  <c r="E29" i="4" s="1"/>
  <c r="H34" i="23"/>
  <c r="H28" i="4" s="1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T27" i="4" s="1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S11" i="4"/>
  <c r="M10" i="4"/>
  <c r="D22" i="4"/>
  <c r="E22" i="4"/>
  <c r="H22" i="4"/>
  <c r="Q22" i="4"/>
  <c r="P22" i="4"/>
  <c r="Q6" i="4"/>
  <c r="T4" i="33"/>
  <c r="T22" i="33" s="1"/>
  <c r="Q22" i="1"/>
  <c r="R13" i="4"/>
  <c r="H29" i="1"/>
  <c r="E28" i="1"/>
  <c r="F28" i="1"/>
  <c r="R41" i="1"/>
  <c r="R19" i="4" s="1"/>
  <c r="R37" i="1"/>
  <c r="R15" i="4" s="1"/>
  <c r="Q29" i="1"/>
  <c r="O37" i="1"/>
  <c r="O15" i="4" s="1"/>
  <c r="I28" i="1"/>
  <c r="H28" i="1"/>
  <c r="G28" i="1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H22" i="23"/>
  <c r="F22" i="23"/>
  <c r="H45" i="23"/>
  <c r="R9" i="4"/>
  <c r="R22" i="4"/>
  <c r="V22" i="4"/>
  <c r="V57" i="1"/>
  <c r="U57" i="1"/>
  <c r="T57" i="1"/>
  <c r="S57" i="1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30" i="1"/>
  <c r="O8" i="4" s="1"/>
  <c r="D28" i="1"/>
  <c r="B28" i="1"/>
  <c r="B8" i="4"/>
  <c r="C28" i="1"/>
  <c r="O28" i="1"/>
  <c r="D29" i="1"/>
  <c r="D7" i="4" s="1"/>
  <c r="G21" i="4"/>
  <c r="I21" i="4"/>
  <c r="F21" i="4"/>
  <c r="H21" i="4"/>
  <c r="E21" i="4"/>
  <c r="L52" i="23"/>
  <c r="D17" i="4"/>
  <c r="H9" i="4"/>
  <c r="C4" i="4"/>
  <c r="G27" i="23"/>
  <c r="G52" i="23" s="1"/>
  <c r="K27" i="23"/>
  <c r="L22" i="1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G56" i="23"/>
  <c r="D56" i="1"/>
  <c r="J56" i="1"/>
  <c r="B56" i="1"/>
  <c r="P56" i="23"/>
  <c r="U56" i="23"/>
  <c r="G56" i="1"/>
  <c r="V56" i="23"/>
  <c r="R56" i="1"/>
  <c r="C56" i="1"/>
  <c r="Q56" i="23"/>
  <c r="M56" i="1"/>
  <c r="T78" i="4"/>
  <c r="E56" i="1"/>
  <c r="I56" i="23"/>
  <c r="E56" i="23"/>
  <c r="P56" i="1"/>
  <c r="H56" i="1"/>
  <c r="L56" i="1"/>
  <c r="I56" i="1"/>
  <c r="L56" i="23"/>
  <c r="C56" i="23"/>
  <c r="F56" i="23"/>
  <c r="Q56" i="1"/>
  <c r="O56" i="23"/>
  <c r="K56" i="1"/>
  <c r="B56" i="23"/>
  <c r="T56" i="23"/>
  <c r="S56" i="23"/>
  <c r="H56" i="23"/>
  <c r="M56" i="23"/>
  <c r="J56" i="23"/>
  <c r="O56" i="1"/>
  <c r="R56" i="23"/>
  <c r="K56" i="23"/>
  <c r="D56" i="23"/>
  <c r="F56" i="1"/>
  <c r="M46" i="23" l="1"/>
  <c r="M53" i="23" s="1"/>
  <c r="S47" i="1"/>
  <c r="S48" i="1" s="1"/>
  <c r="S54" i="1" s="1"/>
  <c r="E47" i="23"/>
  <c r="E48" i="23" s="1"/>
  <c r="E54" i="23" s="1"/>
  <c r="S46" i="23"/>
  <c r="S53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V56" i="4" s="1"/>
  <c r="V75" i="4" s="1"/>
  <c r="I27" i="4"/>
  <c r="U27" i="4"/>
  <c r="U63" i="4" s="1"/>
  <c r="U64" i="4" s="1"/>
  <c r="M26" i="4"/>
  <c r="M63" i="4" s="1"/>
  <c r="M64" i="4" s="1"/>
  <c r="G26" i="4"/>
  <c r="Q27" i="4"/>
  <c r="S27" i="4"/>
  <c r="S63" i="4" s="1"/>
  <c r="S64" i="4" s="1"/>
  <c r="F26" i="4"/>
  <c r="P27" i="4"/>
  <c r="D26" i="4"/>
  <c r="L26" i="4"/>
  <c r="L56" i="4" s="1"/>
  <c r="L75" i="4" s="1"/>
  <c r="H26" i="4"/>
  <c r="K26" i="4"/>
  <c r="K63" i="4" s="1"/>
  <c r="K64" i="4" s="1"/>
  <c r="V46" i="23"/>
  <c r="V53" i="23" s="1"/>
  <c r="V47" i="23"/>
  <c r="V48" i="23" s="1"/>
  <c r="V54" i="23" s="1"/>
  <c r="R27" i="4"/>
  <c r="J26" i="4"/>
  <c r="J63" i="4" s="1"/>
  <c r="J64" i="4" s="1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G6" i="4"/>
  <c r="Q7" i="4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M57" i="4"/>
  <c r="M58" i="4" s="1"/>
  <c r="M76" i="4" s="1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V57" i="4"/>
  <c r="V58" i="4" s="1"/>
  <c r="V76" i="4" s="1"/>
  <c r="K57" i="4"/>
  <c r="O55" i="4"/>
  <c r="O62" i="4"/>
  <c r="F55" i="4"/>
  <c r="F62" i="4"/>
  <c r="M55" i="4"/>
  <c r="M62" i="4"/>
  <c r="J55" i="4"/>
  <c r="J62" i="4"/>
  <c r="K56" i="4"/>
  <c r="K75" i="4" s="1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M56" i="4"/>
  <c r="M75" i="4" s="1"/>
  <c r="T56" i="4"/>
  <c r="T75" i="4" s="1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T79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U78" i="4"/>
  <c r="P78" i="4"/>
  <c r="L78" i="4"/>
  <c r="I78" i="4"/>
  <c r="E78" i="4"/>
  <c r="H78" i="4"/>
  <c r="K78" i="4"/>
  <c r="Q78" i="4"/>
  <c r="M78" i="4"/>
  <c r="C78" i="4"/>
  <c r="F78" i="4"/>
  <c r="R78" i="4"/>
  <c r="V78" i="4"/>
  <c r="B78" i="4"/>
  <c r="J78" i="4"/>
  <c r="S78" i="4"/>
  <c r="G78" i="4"/>
  <c r="D78" i="4"/>
  <c r="O78" i="4"/>
  <c r="J57" i="4" l="1"/>
  <c r="S57" i="4"/>
  <c r="S58" i="4" s="1"/>
  <c r="S76" i="4" s="1"/>
  <c r="J56" i="4"/>
  <c r="J75" i="4" s="1"/>
  <c r="S56" i="4"/>
  <c r="S75" i="4" s="1"/>
  <c r="K58" i="4"/>
  <c r="K76" i="4" s="1"/>
  <c r="U56" i="4"/>
  <c r="U75" i="4" s="1"/>
  <c r="U57" i="4"/>
  <c r="U58" i="4" s="1"/>
  <c r="U76" i="4" s="1"/>
  <c r="V63" i="4"/>
  <c r="V64" i="4" s="1"/>
  <c r="J58" i="4"/>
  <c r="J76" i="4" s="1"/>
  <c r="L57" i="4"/>
  <c r="L58" i="4" s="1"/>
  <c r="L76" i="4" s="1"/>
  <c r="L63" i="4"/>
  <c r="L64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O79" i="4"/>
  <c r="B79" i="4"/>
  <c r="L59" i="23"/>
  <c r="F59" i="23"/>
  <c r="F60" i="23" s="1"/>
  <c r="Q59" i="23"/>
  <c r="V59" i="23"/>
  <c r="P59" i="23"/>
  <c r="T59" i="23"/>
  <c r="U59" i="23"/>
  <c r="S59" i="23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E59" i="23"/>
  <c r="E60" i="23" s="1"/>
  <c r="J59" i="23"/>
  <c r="J60" i="23" s="1"/>
  <c r="K59" i="23"/>
  <c r="D59" i="23"/>
  <c r="D60" i="23" s="1"/>
  <c r="I59" i="23"/>
  <c r="I60" i="23" s="1"/>
  <c r="O59" i="23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J59" i="1"/>
  <c r="F59" i="1"/>
  <c r="F60" i="1" s="1"/>
  <c r="M59" i="1"/>
  <c r="M60" i="1" s="1"/>
  <c r="I59" i="1"/>
  <c r="I60" i="1" s="1"/>
  <c r="E59" i="1"/>
  <c r="E60" i="1" s="1"/>
  <c r="L59" i="1"/>
  <c r="H59" i="1"/>
  <c r="H60" i="1" s="1"/>
  <c r="D59" i="1"/>
  <c r="D60" i="1" s="1"/>
  <c r="K59" i="1"/>
  <c r="K60" i="1" s="1"/>
  <c r="C59" i="1"/>
  <c r="G59" i="1"/>
  <c r="G60" i="1" s="1"/>
  <c r="M55" i="1"/>
  <c r="T59" i="1"/>
  <c r="P59" i="1"/>
  <c r="S59" i="1"/>
  <c r="V59" i="1"/>
  <c r="R59" i="1"/>
  <c r="U59" i="1"/>
  <c r="Q59" i="1"/>
  <c r="B55" i="1"/>
  <c r="T27" i="23"/>
  <c r="T52" i="23" s="1"/>
  <c r="T45" i="23"/>
  <c r="T22" i="23"/>
  <c r="T27" i="1"/>
  <c r="T52" i="1" s="1"/>
  <c r="T45" i="1"/>
  <c r="T4" i="4"/>
  <c r="T62" i="4" s="1"/>
  <c r="T22" i="1"/>
  <c r="Q60" i="23"/>
  <c r="L60" i="23"/>
  <c r="U60" i="23"/>
  <c r="J60" i="1"/>
  <c r="K60" i="23"/>
  <c r="P60" i="1"/>
  <c r="C60" i="23"/>
  <c r="P60" i="23"/>
  <c r="R60" i="1"/>
  <c r="S60" i="1"/>
  <c r="T60" i="23"/>
  <c r="O60" i="1"/>
  <c r="O60" i="23"/>
  <c r="R60" i="23"/>
  <c r="T60" i="1"/>
  <c r="Q60" i="1"/>
  <c r="V60" i="1"/>
  <c r="C60" i="1"/>
  <c r="S60" i="23"/>
  <c r="L60" i="1"/>
  <c r="V60" i="23"/>
  <c r="U60" i="1"/>
  <c r="V74" i="4" l="1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Q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P82" i="4"/>
  <c r="Q82" i="4"/>
  <c r="O82" i="4"/>
  <c r="K77" i="4" l="1"/>
  <c r="J77" i="4"/>
  <c r="G77" i="4"/>
  <c r="F77" i="4"/>
  <c r="L77" i="4"/>
  <c r="B77" i="4"/>
  <c r="M77" i="4"/>
  <c r="I77" i="4"/>
  <c r="H77" i="4"/>
  <c r="D77" i="4"/>
  <c r="C77" i="4"/>
  <c r="E77" i="4"/>
  <c r="P83" i="4"/>
  <c r="Q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<sst xmlns="http://schemas.openxmlformats.org/spreadsheetml/2006/main" count="246" uniqueCount="55">
  <si>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</si>
  <si>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</si>
  <si>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</si>
  <si>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</si>
  <si>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</si>
  <si>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</si>
  <si>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</si>
  <si>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</si>
  <si>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</si>
  <si>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</si>
  <si>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</si>
  <si>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</si>
  <si>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</si>
  <si>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</si>
  <si>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</si>
  <si>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</si>
  <si>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</si>
  <si>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</si>
  <si>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</si>
  <si>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</si>
  <si>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</si>
  <si>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</si>
  <si>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</si>
  <si>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Date performed :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</si>
  <si>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</si>
  <si>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</si>
  <si>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</si>
  <si>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</si>
  <si>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</si>
  <si>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</si>
  <si>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</si>
  <si>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</si>
  <si>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</si>
  <si>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</si>
  <si>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</si>
  <si>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</si>
  <si>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</si>
  <si>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</si>
  <si>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</si>
  <si>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</si>
  <si>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</si>
  <si>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</si>
  <si>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</si>
  <si>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</si>
  <si>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</si>
  <si>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</si>
  <si>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</si>
  <si>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Fadrozole</t>
  </si>
  <si>
    <t>ug/L</t>
  </si>
  <si>
    <t>T+ FAD 0016 3 embryos died</t>
  </si>
  <si>
    <t>ns</t>
  </si>
  <si>
    <t>&gt;0,99</t>
  </si>
  <si>
    <t>***</t>
  </si>
  <si>
    <t>&lt;0,001</t>
  </si>
  <si>
    <t>Kruskal-Wallis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</si>
</sst>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9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1.9111557744972796E-2</c:v>
                  </c:pt>
                  <c:pt idx="1">
                    <c:v>0.10211816087457977</c:v>
                  </c:pt>
                  <c:pt idx="2">
                    <c:v>0.20322989206825146</c:v>
                  </c:pt>
                  <c:pt idx="3">
                    <c:v>0.41793048757141199</c:v>
                  </c:pt>
                  <c:pt idx="4">
                    <c:v>0.65427852199915826</c:v>
                  </c:pt>
                  <c:pt idx="5">
                    <c:v>0.4464078183557092</c:v>
                  </c:pt>
                  <c:pt idx="6">
                    <c:v>0.73083755290960295</c:v>
                  </c:pt>
                  <c:pt idx="7">
                    <c:v>1.8340620278141529E-2</c:v>
                  </c:pt>
                  <c:pt idx="8">
                    <c:v>7.3313771938051026E-2</c:v>
                  </c:pt>
                  <c:pt idx="9">
                    <c:v>5.5583056551805086E-2</c:v>
                  </c:pt>
                  <c:pt idx="10">
                    <c:v>3.1516868300078812E-2</c:v>
                  </c:pt>
                  <c:pt idx="11">
                    <c:v>2.1175076390624284E-2</c:v>
                  </c:pt>
                  <c:pt idx="13">
                    <c:v>0.21937383237108299</c:v>
                  </c:pt>
                  <c:pt idx="14">
                    <c:v>0.75610696987890313</c:v>
                  </c:pt>
                  <c:pt idx="15">
                    <c:v>3.2802838236078824E-2</c:v>
                  </c:pt>
                  <c:pt idx="16">
                    <c:v>0.48602898314493725</c:v>
                  </c:pt>
                  <c:pt idx="17">
                    <c:v>0.26803124802169015</c:v>
                  </c:pt>
                  <c:pt idx="18">
                    <c:v>9.9355925353736899E-2</c:v>
                  </c:pt>
                  <c:pt idx="19">
                    <c:v>6.3119533767360195E-2</c:v>
                  </c:pt>
                  <c:pt idx="20">
                    <c:v>6.9845016379714797E-2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Fadrozole-0,016ug/L</c:v>
                </c:pt>
                <c:pt idx="8">
                  <c:v>Fadrozole-0,08ug/L</c:v>
                </c:pt>
                <c:pt idx="9">
                  <c:v>Fadrozole-0,4ug/L</c:v>
                </c:pt>
                <c:pt idx="10">
                  <c:v>Fadrozole-2ug/L</c:v>
                </c:pt>
                <c:pt idx="11">
                  <c:v>Fadrozole-10ug/L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Fadrozole-0,016ug/L + Testostérone</c:v>
                </c:pt>
                <c:pt idx="17">
                  <c:v>Fadrozole-0,08ug/L + Testostérone</c:v>
                </c:pt>
                <c:pt idx="18">
                  <c:v>Fadrozole-0,4ug/L + Testostérone</c:v>
                </c:pt>
                <c:pt idx="19">
                  <c:v>Fadrozole-2ug/L + Testostérone</c:v>
                </c:pt>
                <c:pt idx="20">
                  <c:v>Fadrozole-10ug/L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8.3415240118651646E-2</c:v>
                </c:pt>
                <c:pt idx="1">
                  <c:v>0.23008643458776681</c:v>
                </c:pt>
                <c:pt idx="2">
                  <c:v>0.86975799476400284</c:v>
                </c:pt>
                <c:pt idx="3">
                  <c:v>2.0796013211895348</c:v>
                </c:pt>
                <c:pt idx="4">
                  <c:v>3.6909030643934777</c:v>
                </c:pt>
                <c:pt idx="5">
                  <c:v>4.4188737381653116</c:v>
                </c:pt>
                <c:pt idx="6">
                  <c:v>6.3993437008399647</c:v>
                </c:pt>
                <c:pt idx="7">
                  <c:v>0.10245372063458894</c:v>
                </c:pt>
                <c:pt idx="8">
                  <c:v>0.18906024879693967</c:v>
                </c:pt>
                <c:pt idx="9">
                  <c:v>0.17065171330883677</c:v>
                </c:pt>
                <c:pt idx="10">
                  <c:v>8.8230964363872774E-2</c:v>
                </c:pt>
                <c:pt idx="11">
                  <c:v>9.8560274918876881E-2</c:v>
                </c:pt>
                <c:pt idx="13">
                  <c:v>1.0000000000000002</c:v>
                </c:pt>
                <c:pt idx="14">
                  <c:v>4.4695923568041014</c:v>
                </c:pt>
                <c:pt idx="15">
                  <c:v>0.11531743958576413</c:v>
                </c:pt>
                <c:pt idx="16">
                  <c:v>1.4017268341953575</c:v>
                </c:pt>
                <c:pt idx="17">
                  <c:v>0.87602749188768736</c:v>
                </c:pt>
                <c:pt idx="18">
                  <c:v>0.30358487514957921</c:v>
                </c:pt>
                <c:pt idx="19">
                  <c:v>0.21698413527680546</c:v>
                </c:pt>
                <c:pt idx="20">
                  <c:v>0.21397372713604884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1.52798877025843E-2</c:v>
                  </c:pt>
                  <c:pt idx="1">
                    <c:v>5.8670525597400637E-2</c:v>
                  </c:pt>
                  <c:pt idx="2">
                    <c:v>0.11199253092477865</c:v>
                  </c:pt>
                  <c:pt idx="3">
                    <c:v>0.18516500917853804</c:v>
                  </c:pt>
                  <c:pt idx="4">
                    <c:v>0.20251530886191876</c:v>
                  </c:pt>
                  <c:pt idx="5">
                    <c:v>0.22055251391684405</c:v>
                  </c:pt>
                  <c:pt idx="6">
                    <c:v>0.27038844474803675</c:v>
                  </c:pt>
                  <c:pt idx="7">
                    <c:v>1.8370276616745115E-2</c:v>
                  </c:pt>
                  <c:pt idx="8">
                    <c:v>1.7960191649825017E-2</c:v>
                  </c:pt>
                  <c:pt idx="9">
                    <c:v>7.9567951739202419E-3</c:v>
                  </c:pt>
                  <c:pt idx="10">
                    <c:v>2.913724619563815E-2</c:v>
                  </c:pt>
                  <c:pt idx="11">
                    <c:v>1.3956724424388176E-2</c:v>
                  </c:pt>
                  <c:pt idx="13">
                    <c:v>0.23738242877944435</c:v>
                  </c:pt>
                  <c:pt idx="14">
                    <c:v>0.17783787900524964</c:v>
                  </c:pt>
                  <c:pt idx="15">
                    <c:v>1.5638527712977052E-2</c:v>
                  </c:pt>
                  <c:pt idx="16">
                    <c:v>0.16065496739644669</c:v>
                  </c:pt>
                  <c:pt idx="17">
                    <c:v>0.27450210635786354</c:v>
                  </c:pt>
                  <c:pt idx="18">
                    <c:v>0.10653051917197631</c:v>
                  </c:pt>
                  <c:pt idx="19">
                    <c:v>9.6208228865974129E-3</c:v>
                  </c:pt>
                  <c:pt idx="20">
                    <c:v>1.5842170619612562E-2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0.21937383237108299</c:v>
                  </c:pt>
                  <c:pt idx="2">
                    <c:v>0.75610696987890313</c:v>
                  </c:pt>
                  <c:pt idx="3">
                    <c:v>3.2802838236078824E-2</c:v>
                  </c:pt>
                  <c:pt idx="4">
                    <c:v>0.48602898314493725</c:v>
                  </c:pt>
                  <c:pt idx="5">
                    <c:v>0.26803124802169015</c:v>
                  </c:pt>
                  <c:pt idx="6">
                    <c:v>9.9355925353736899E-2</c:v>
                  </c:pt>
                  <c:pt idx="7">
                    <c:v>6.3119533767360195E-2</c:v>
                  </c:pt>
                  <c:pt idx="8">
                    <c:v>6.9845016379714797E-2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Fadrozole-0,016ug/L</c:v>
                </c:pt>
                <c:pt idx="8">
                  <c:v>Fadrozole-0,08ug/L</c:v>
                </c:pt>
                <c:pt idx="9">
                  <c:v>Fadrozole-0,4ug/L</c:v>
                </c:pt>
                <c:pt idx="10">
                  <c:v>Fadrozole-2ug/L</c:v>
                </c:pt>
                <c:pt idx="11">
                  <c:v>Fadrozole-10ug/L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Fadrozole-0,016ug/L + Testostérone</c:v>
                </c:pt>
                <c:pt idx="17">
                  <c:v>Fadrozole-0,08ug/L + Testostérone</c:v>
                </c:pt>
                <c:pt idx="18">
                  <c:v>Fadrozole-0,4ug/L + Testostérone</c:v>
                </c:pt>
                <c:pt idx="19">
                  <c:v>Fadrozole-2ug/L + Testostérone</c:v>
                </c:pt>
                <c:pt idx="20">
                  <c:v>Fadrozole-10ug/L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5.8692518923581287E-2</c:v>
                </c:pt>
                <c:pt idx="1">
                  <c:v>0.16900935811379122</c:v>
                </c:pt>
                <c:pt idx="2">
                  <c:v>0.42533145720321502</c:v>
                </c:pt>
                <c:pt idx="3">
                  <c:v>0.77693098423603824</c:v>
                </c:pt>
                <c:pt idx="4">
                  <c:v>1.7055911488774838</c:v>
                </c:pt>
                <c:pt idx="5">
                  <c:v>1.4065802473301634</c:v>
                </c:pt>
                <c:pt idx="6">
                  <c:v>2.739214434402296</c:v>
                </c:pt>
                <c:pt idx="7">
                  <c:v>5.8648863337820177E-2</c:v>
                </c:pt>
                <c:pt idx="8">
                  <c:v>7.7197242007775307E-2</c:v>
                </c:pt>
                <c:pt idx="9">
                  <c:v>4.3768008187260239E-2</c:v>
                </c:pt>
                <c:pt idx="10">
                  <c:v>8.0061659694507542E-2</c:v>
                </c:pt>
                <c:pt idx="11">
                  <c:v>4.4708275988052493E-2</c:v>
                </c:pt>
                <c:pt idx="13">
                  <c:v>1</c:v>
                </c:pt>
                <c:pt idx="14">
                  <c:v>1.9102186831873758</c:v>
                </c:pt>
                <c:pt idx="15">
                  <c:v>5.0146019054568697E-2</c:v>
                </c:pt>
                <c:pt idx="16">
                  <c:v>0.5315002723208182</c:v>
                </c:pt>
                <c:pt idx="17">
                  <c:v>0.88399661807570062</c:v>
                </c:pt>
                <c:pt idx="18">
                  <c:v>0.45332055247568676</c:v>
                </c:pt>
                <c:pt idx="19">
                  <c:v>5.8131468828970689E-2</c:v>
                </c:pt>
                <c:pt idx="20">
                  <c:v>6.4819375943195034E-2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0.55445744110360429</c:v>
                  </c:pt>
                  <c:pt idx="1">
                    <c:v>0.38195518083939173</c:v>
                  </c:pt>
                  <c:pt idx="2">
                    <c:v>0.38513997999241401</c:v>
                  </c:pt>
                  <c:pt idx="3">
                    <c:v>0.39701823371994588</c:v>
                  </c:pt>
                  <c:pt idx="4">
                    <c:v>0.67431589338590903</c:v>
                  </c:pt>
                  <c:pt idx="5">
                    <c:v>0.82426015815336351</c:v>
                  </c:pt>
                  <c:pt idx="6">
                    <c:v>0.87937095246361008</c:v>
                  </c:pt>
                  <c:pt idx="7">
                    <c:v>2.073663862655023E-2</c:v>
                  </c:pt>
                  <c:pt idx="8">
                    <c:v>3.3479651442387362E-2</c:v>
                  </c:pt>
                  <c:pt idx="9">
                    <c:v>0.10358821675072727</c:v>
                  </c:pt>
                  <c:pt idx="10">
                    <c:v>3.196928018231962E-2</c:v>
                  </c:pt>
                  <c:pt idx="11">
                    <c:v>2.3841897400519226E-2</c:v>
                  </c:pt>
                  <c:pt idx="13">
                    <c:v>0.15449608371086337</c:v>
                  </c:pt>
                  <c:pt idx="14">
                    <c:v>0.7100470314902142</c:v>
                  </c:pt>
                  <c:pt idx="15">
                    <c:v>3.6794457783691455E-2</c:v>
                  </c:pt>
                  <c:pt idx="16">
                    <c:v>0.45467515280771653</c:v>
                  </c:pt>
                  <c:pt idx="17">
                    <c:v>0.56678936189027918</c:v>
                  </c:pt>
                  <c:pt idx="18">
                    <c:v>0.30660335124065902</c:v>
                  </c:pt>
                  <c:pt idx="19">
                    <c:v>6.0475160475256778E-2</c:v>
                  </c:pt>
                  <c:pt idx="20">
                    <c:v>3.8684549773509262E-2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0.21937383237108299</c:v>
                  </c:pt>
                  <c:pt idx="2">
                    <c:v>0.75610696987890313</c:v>
                  </c:pt>
                  <c:pt idx="3">
                    <c:v>3.2802838236078824E-2</c:v>
                  </c:pt>
                  <c:pt idx="4">
                    <c:v>0.48602898314493725</c:v>
                  </c:pt>
                  <c:pt idx="5">
                    <c:v>0.26803124802169015</c:v>
                  </c:pt>
                  <c:pt idx="6">
                    <c:v>9.9355925353736899E-2</c:v>
                  </c:pt>
                  <c:pt idx="7">
                    <c:v>6.3119533767360195E-2</c:v>
                  </c:pt>
                  <c:pt idx="8">
                    <c:v>6.9845016379714797E-2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Fadrozole-0,016ug/L</c:v>
                </c:pt>
                <c:pt idx="8">
                  <c:v>Fadrozole-0,08ug/L</c:v>
                </c:pt>
                <c:pt idx="9">
                  <c:v>Fadrozole-0,4ug/L</c:v>
                </c:pt>
                <c:pt idx="10">
                  <c:v>Fadrozole-2ug/L</c:v>
                </c:pt>
                <c:pt idx="11">
                  <c:v>Fadrozole-10ug/L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Fadrozole-0,016ug/L + Testostérone</c:v>
                </c:pt>
                <c:pt idx="17">
                  <c:v>Fadrozole-0,08ug/L + Testostérone</c:v>
                </c:pt>
                <c:pt idx="18">
                  <c:v>Fadrozole-0,4ug/L + Testostérone</c:v>
                </c:pt>
                <c:pt idx="19">
                  <c:v>Fadrozole-2ug/L + Testostérone</c:v>
                </c:pt>
                <c:pt idx="20">
                  <c:v>Fadrozole-10ug/L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1.5607035064329202</c:v>
                </c:pt>
                <c:pt idx="1">
                  <c:v>1.2529963410735168</c:v>
                </c:pt>
                <c:pt idx="2">
                  <c:v>1.3696184971697236</c:v>
                </c:pt>
                <c:pt idx="3">
                  <c:v>4.4958595323009209</c:v>
                </c:pt>
                <c:pt idx="4">
                  <c:v>4.5290853604874082</c:v>
                </c:pt>
                <c:pt idx="5">
                  <c:v>4.8403480567579393</c:v>
                </c:pt>
                <c:pt idx="6">
                  <c:v>6.9319939217219853</c:v>
                </c:pt>
                <c:pt idx="7">
                  <c:v>0.12439233642053102</c:v>
                </c:pt>
                <c:pt idx="8">
                  <c:v>0.14271788573674943</c:v>
                </c:pt>
                <c:pt idx="9">
                  <c:v>0.23853105587983775</c:v>
                </c:pt>
                <c:pt idx="10">
                  <c:v>0.1445138877945043</c:v>
                </c:pt>
                <c:pt idx="11">
                  <c:v>0.14248745931197998</c:v>
                </c:pt>
                <c:pt idx="13">
                  <c:v>1</c:v>
                </c:pt>
                <c:pt idx="14">
                  <c:v>5.4237787693321984</c:v>
                </c:pt>
                <c:pt idx="15">
                  <c:v>0.1191917591364683</c:v>
                </c:pt>
                <c:pt idx="16">
                  <c:v>1.9479294327379471</c:v>
                </c:pt>
                <c:pt idx="17">
                  <c:v>1.3253805299887613</c:v>
                </c:pt>
                <c:pt idx="18">
                  <c:v>0.93363816112013365</c:v>
                </c:pt>
                <c:pt idx="19">
                  <c:v>0.17789919030411466</c:v>
                </c:pt>
                <c:pt idx="20">
                  <c:v>0.15076335754267975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E1DACE1-190F-47AF-8375-6FFEED89C61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E64447A-87E8-44F1-87BF-78E775A5B26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53AD4D8-FA06-4813-B54D-D4EACAC421D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9218065-7527-4113-B59B-02134258C54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5F9EBCE-F432-4A73-AC19-89E2E81F5E3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32F3741-388F-4682-B9FF-2ECDA287C69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BAD0810-9868-4E6A-BF97-8A8E4CF2FC9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6015438-406E-4C65-BB46-B770DDFEE61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0CBB78-B206-4359-B759-D488681AD51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2518BB0-BD48-41EF-BAC2-B92A2B485C5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2980C25-C172-4B17-89AF-59C42E248FA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8533014-06B6-4E59-8972-52E2E3ACAF2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E0E058A-EAD4-4819-B535-FF710E5F23C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577CA36-2A95-4603-AF72-24DB1B4CDB5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7EDFAD6-A685-46AB-9124-90249EA2DA6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2939DC2-1CD8-42DD-B04D-DBBDE9F5654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DF444F4-13F1-4632-BC9B-2FD53757BB3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FFAE45F-26CA-4607-B5C6-EEAF0CDA70C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A9D4C23-B716-4A3F-B2FB-10A94BC547D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C955EE5-2687-466A-91EA-2B419C24F5D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0.2166652569043212</c:v>
                  </c:pt>
                  <c:pt idx="1">
                    <c:v>0.16418537251325449</c:v>
                  </c:pt>
                  <c:pt idx="2">
                    <c:v>0.16924361311539746</c:v>
                  </c:pt>
                  <c:pt idx="3">
                    <c:v>0.37425558287707628</c:v>
                  </c:pt>
                  <c:pt idx="4">
                    <c:v>0.39009068385108925</c:v>
                  </c:pt>
                  <c:pt idx="5">
                    <c:v>0.44241435430500897</c:v>
                  </c:pt>
                  <c:pt idx="6">
                    <c:v>0.54897519189952959</c:v>
                  </c:pt>
                  <c:pt idx="7">
                    <c:v>1.1997252184453997E-2</c:v>
                  </c:pt>
                  <c:pt idx="8">
                    <c:v>2.7987191719299594E-2</c:v>
                  </c:pt>
                  <c:pt idx="9">
                    <c:v>3.9151389579222852E-2</c:v>
                  </c:pt>
                  <c:pt idx="10">
                    <c:v>1.8063155612109361E-2</c:v>
                  </c:pt>
                  <c:pt idx="11">
                    <c:v>1.3991753139743473E-2</c:v>
                  </c:pt>
                  <c:pt idx="13">
                    <c:v>0.11684884567042345</c:v>
                  </c:pt>
                  <c:pt idx="14">
                    <c:v>0.44817720720582943</c:v>
                  </c:pt>
                  <c:pt idx="15">
                    <c:v>1.7461222347930867E-2</c:v>
                  </c:pt>
                  <c:pt idx="16">
                    <c:v>0.24819239072855806</c:v>
                  </c:pt>
                  <c:pt idx="17">
                    <c:v>0.21181231729207611</c:v>
                  </c:pt>
                  <c:pt idx="18">
                    <c:v>0.12556222870674869</c:v>
                  </c:pt>
                  <c:pt idx="19">
                    <c:v>3.24377565604504E-2</c:v>
                  </c:pt>
                  <c:pt idx="20">
                    <c:v>2.8890149754330331E-2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0.2166652569043212</c:v>
                  </c:pt>
                  <c:pt idx="1">
                    <c:v>0.16418537251325449</c:v>
                  </c:pt>
                  <c:pt idx="2">
                    <c:v>0.16924361311539746</c:v>
                  </c:pt>
                  <c:pt idx="3">
                    <c:v>0.37425558287707628</c:v>
                  </c:pt>
                  <c:pt idx="4">
                    <c:v>0.39009068385108925</c:v>
                  </c:pt>
                  <c:pt idx="5">
                    <c:v>0.44241435430500897</c:v>
                  </c:pt>
                  <c:pt idx="6">
                    <c:v>0.54897519189952959</c:v>
                  </c:pt>
                  <c:pt idx="7">
                    <c:v>1.1997252184453997E-2</c:v>
                  </c:pt>
                  <c:pt idx="8">
                    <c:v>2.7987191719299594E-2</c:v>
                  </c:pt>
                  <c:pt idx="9">
                    <c:v>3.9151389579222852E-2</c:v>
                  </c:pt>
                  <c:pt idx="10">
                    <c:v>1.8063155612109361E-2</c:v>
                  </c:pt>
                  <c:pt idx="11">
                    <c:v>1.3991753139743473E-2</c:v>
                  </c:pt>
                  <c:pt idx="13">
                    <c:v>0.11684884567042345</c:v>
                  </c:pt>
                  <c:pt idx="14">
                    <c:v>0.44817720720582943</c:v>
                  </c:pt>
                  <c:pt idx="15">
                    <c:v>1.7461222347930867E-2</c:v>
                  </c:pt>
                  <c:pt idx="16">
                    <c:v>0.24819239072855806</c:v>
                  </c:pt>
                  <c:pt idx="17">
                    <c:v>0.21181231729207611</c:v>
                  </c:pt>
                  <c:pt idx="18">
                    <c:v>0.12556222870674869</c:v>
                  </c:pt>
                  <c:pt idx="19">
                    <c:v>3.24377565604504E-2</c:v>
                  </c:pt>
                  <c:pt idx="20">
                    <c:v>2.8890149754330331E-2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Fadrozole-0,016ug/L</c:v>
                </c:pt>
                <c:pt idx="8">
                  <c:v>Fadrozole-0,08ug/L</c:v>
                </c:pt>
                <c:pt idx="9">
                  <c:v>Fadrozole-0,4ug/L</c:v>
                </c:pt>
                <c:pt idx="10">
                  <c:v>Fadrozole-2ug/L</c:v>
                </c:pt>
                <c:pt idx="11">
                  <c:v>Fadrozole-10ug/L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Fadrozole-0,016ug/L + Testostérone</c:v>
                </c:pt>
                <c:pt idx="17">
                  <c:v>Fadrozole-0,08ug/L + Testostérone</c:v>
                </c:pt>
                <c:pt idx="18">
                  <c:v>Fadrozole-0,4ug/L + Testostérone</c:v>
                </c:pt>
                <c:pt idx="19">
                  <c:v>Fadrozole-2ug/L + Testostérone</c:v>
                </c:pt>
                <c:pt idx="20">
                  <c:v>Fadrozole-10ug/L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0.52442550510296981</c:v>
                </c:pt>
                <c:pt idx="1">
                  <c:v>0.55069737792502493</c:v>
                </c:pt>
                <c:pt idx="2">
                  <c:v>0.90836226677792653</c:v>
                </c:pt>
                <c:pt idx="3">
                  <c:v>2.5325997693645146</c:v>
                </c:pt>
                <c:pt idx="4">
                  <c:v>3.197566630413279</c:v>
                </c:pt>
                <c:pt idx="5">
                  <c:v>3.5552673474178058</c:v>
                </c:pt>
                <c:pt idx="6">
                  <c:v>5.4706609574483336</c:v>
                </c:pt>
                <c:pt idx="7">
                  <c:v>9.3894218553173481E-2</c:v>
                </c:pt>
                <c:pt idx="8">
                  <c:v>0.13632512551382148</c:v>
                </c:pt>
                <c:pt idx="9">
                  <c:v>0.14717718100554961</c:v>
                </c:pt>
                <c:pt idx="10">
                  <c:v>0.10426883728429488</c:v>
                </c:pt>
                <c:pt idx="11">
                  <c:v>9.7141421642530201E-2</c:v>
                </c:pt>
                <c:pt idx="13">
                  <c:v>1</c:v>
                </c:pt>
                <c:pt idx="14">
                  <c:v>3.8278893667071947</c:v>
                </c:pt>
                <c:pt idx="15">
                  <c:v>9.3828260133823518E-2</c:v>
                </c:pt>
                <c:pt idx="16">
                  <c:v>1.2782891338784244</c:v>
                </c:pt>
                <c:pt idx="17">
                  <c:v>1.0155589821577578</c:v>
                </c:pt>
                <c:pt idx="18">
                  <c:v>0.57481581890493982</c:v>
                </c:pt>
                <c:pt idx="19">
                  <c:v>0.15504290810652852</c:v>
                </c:pt>
                <c:pt idx="20">
                  <c:v>0.1431854868739745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ns</c:v>
                  </c:pt>
                  <c:pt idx="3">
                    <c:v>***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ns</c:v>
                  </c:pt>
                  <c:pt idx="11">
                    <c:v>ns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ns</c:v>
                  </c:pt>
                  <c:pt idx="17">
                    <c:v>ns</c:v>
                  </c:pt>
                  <c:pt idx="18">
                    <c:v>ns</c:v>
                  </c:pt>
                  <c:pt idx="19">
                    <c:v>***</c:v>
                  </c:pt>
                  <c:pt idx="20">
                    <c:v>***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70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59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tabSelected="1" zoomScale="55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8220" cy="605940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7" zoomScale="55" zoomScaleNormal="55" workbookViewId="0">
      <selection activeCell="D18" sqref="D18"/>
    </sheetView>
  </sheetViews>
  <sheetFormatPr baseColWidth="10" defaultColWidth="10.90625" defaultRowHeight="39" customHeight="1" x14ac:dyDescent="0.35"/>
  <cols>
    <col min="1" max="1" width="42" bestFit="1" customWidth="1"/>
    <col min="2" max="2" width="33.81640625" style="28" bestFit="1" customWidth="1"/>
    <col min="3" max="3" width="21.26953125" customWidth="1"/>
    <col min="4" max="4" width="30.453125" customWidth="1"/>
    <col min="5" max="5" width="62.26953125" style="90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16"/>
      <c r="B1" s="117"/>
      <c r="C1" s="117"/>
      <c r="D1" s="117"/>
      <c r="E1" s="117"/>
      <c r="F1" s="117"/>
      <c r="G1" s="117"/>
      <c r="H1" s="117"/>
      <c r="I1" s="118"/>
    </row>
    <row r="2" spans="1:9" ht="21.5" thickBot="1" x14ac:dyDescent="0.55000000000000004">
      <c r="A2" s="109" t="s">
        <v>5</v>
      </c>
      <c r="B2" s="27" t="s">
        <v>24</v>
      </c>
      <c r="C2" s="119"/>
      <c r="D2" s="120"/>
      <c r="E2" s="27" t="s">
        <v>23</v>
      </c>
      <c r="F2" s="131"/>
      <c r="G2" s="132"/>
      <c r="H2" s="132"/>
      <c r="I2" s="133"/>
    </row>
    <row r="3" spans="1:9" ht="21.5" thickBot="1" x14ac:dyDescent="0.55000000000000004">
      <c r="A3" s="110" t="s">
        <v>6</v>
      </c>
      <c r="B3" s="27" t="s">
        <v>24</v>
      </c>
      <c r="C3" s="121"/>
      <c r="D3" s="122"/>
      <c r="E3" s="27" t="s">
        <v>23</v>
      </c>
      <c r="F3" s="128"/>
      <c r="G3" s="129"/>
      <c r="H3" s="129"/>
      <c r="I3" s="130"/>
    </row>
    <row r="4" spans="1:9" ht="21.5" thickBot="1" x14ac:dyDescent="0.55000000000000004">
      <c r="A4" s="111" t="s">
        <v>9</v>
      </c>
      <c r="B4" s="27" t="s">
        <v>24</v>
      </c>
      <c r="C4" s="123"/>
      <c r="D4" s="124"/>
      <c r="E4" s="27" t="s">
        <v>23</v>
      </c>
      <c r="F4" s="125"/>
      <c r="G4" s="126"/>
      <c r="H4" s="126"/>
      <c r="I4" s="127"/>
    </row>
    <row r="5" spans="1:9" s="1" customFormat="1" ht="65.25" customHeight="1" thickBot="1" x14ac:dyDescent="0.4">
      <c r="A5" s="116"/>
      <c r="B5" s="117"/>
      <c r="C5" s="117"/>
      <c r="D5" s="117"/>
      <c r="E5" s="117"/>
      <c r="F5" s="117"/>
      <c r="G5" s="117"/>
      <c r="H5" s="117"/>
      <c r="I5" s="118"/>
    </row>
    <row r="6" spans="1:9" s="69" customFormat="1" ht="39" customHeight="1" x14ac:dyDescent="0.5">
      <c r="A6" s="59" t="s">
        <v>25</v>
      </c>
      <c r="B6" s="60" t="s">
        <v>26</v>
      </c>
      <c r="C6" s="47" t="s">
        <v>7</v>
      </c>
      <c r="D6" s="47" t="s">
        <v>27</v>
      </c>
      <c r="E6" s="87" t="s">
        <v>28</v>
      </c>
      <c r="F6" s="68" t="s">
        <v>29</v>
      </c>
    </row>
    <row r="7" spans="1:9" s="96" customFormat="1" ht="39" customHeight="1" x14ac:dyDescent="0.5">
      <c r="A7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2" t="s">
        <v>46</v>
      </c>
      <c r="C7" s="93"/>
      <c r="D7" s="94"/>
      <c r="E7" s="95" t="s">
        <v>31</v>
      </c>
      <c r="F7" s="70"/>
    </row>
    <row r="8" spans="1:9" s="96" customFormat="1" ht="39" customHeight="1" x14ac:dyDescent="0.5">
      <c r="A8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2" t="s">
        <v>46</v>
      </c>
      <c r="C8" s="93" t="s">
        <v>32</v>
      </c>
      <c r="D8" s="94" t="s">
        <v>17</v>
      </c>
      <c r="E8" s="95" t="s">
        <v>18</v>
      </c>
      <c r="F8" s="70"/>
    </row>
    <row r="9" spans="1:9" s="96" customFormat="1" ht="39" customHeight="1" x14ac:dyDescent="0.5">
      <c r="A9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2" t="s">
        <v>46</v>
      </c>
      <c r="C9" s="93" t="s">
        <v>33</v>
      </c>
      <c r="D9" s="94" t="s">
        <v>17</v>
      </c>
      <c r="E9" s="95" t="s">
        <v>18</v>
      </c>
      <c r="F9" s="70"/>
    </row>
    <row r="10" spans="1:9" s="96" customFormat="1" ht="39" customHeight="1" x14ac:dyDescent="0.5">
      <c r="A10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2" t="s">
        <v>46</v>
      </c>
      <c r="C10" s="93">
        <v>76</v>
      </c>
      <c r="D10" s="94" t="s">
        <v>17</v>
      </c>
      <c r="E10" s="95" t="s">
        <v>18</v>
      </c>
      <c r="F10" s="70"/>
    </row>
    <row r="11" spans="1:9" s="96" customFormat="1" ht="39" customHeight="1" x14ac:dyDescent="0.5">
      <c r="A11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2" t="s">
        <v>46</v>
      </c>
      <c r="C11" s="93">
        <v>114</v>
      </c>
      <c r="D11" s="94" t="s">
        <v>17</v>
      </c>
      <c r="E11" s="95" t="s">
        <v>18</v>
      </c>
      <c r="F11" s="70"/>
    </row>
    <row r="12" spans="1:9" s="96" customFormat="1" ht="39" customHeight="1" x14ac:dyDescent="0.5">
      <c r="A12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2" t="s">
        <v>46</v>
      </c>
      <c r="C12" s="93" t="s">
        <v>34</v>
      </c>
      <c r="D12" s="94" t="s">
        <v>17</v>
      </c>
      <c r="E12" s="95" t="s">
        <v>18</v>
      </c>
      <c r="F12" s="70"/>
    </row>
    <row r="13" spans="1:9" s="96" customFormat="1" ht="39" customHeight="1" x14ac:dyDescent="0.5">
      <c r="A13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2" t="s">
        <v>46</v>
      </c>
      <c r="C13" s="93">
        <v>488</v>
      </c>
      <c r="D13" s="94" t="s">
        <v>17</v>
      </c>
      <c r="E13" s="95" t="s">
        <v>18</v>
      </c>
      <c r="F13" s="70"/>
    </row>
    <row r="14" spans="1:9" s="96" customFormat="1" ht="39" customHeight="1" x14ac:dyDescent="0.5">
      <c r="A14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Fadrozole-0,016ug/L</v>
      </c>
      <c r="B14" s="92" t="s">
        <v>30</v>
      </c>
      <c r="C14" s="93">
        <v>1.6E-2</v>
      </c>
      <c r="D14" s="94" t="s">
        <v>48</v>
      </c>
      <c r="E14" s="95" t="s">
        <v>47</v>
      </c>
      <c r="F14" s="70"/>
    </row>
    <row r="15" spans="1:9" s="71" customFormat="1" ht="39" customHeight="1" x14ac:dyDescent="0.35">
      <c r="A1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Fadrozole-0,08ug/L</v>
      </c>
      <c r="B15" s="92" t="s">
        <v>30</v>
      </c>
      <c r="C15" s="65">
        <v>0.08</v>
      </c>
      <c r="D15" s="94" t="s">
        <v>48</v>
      </c>
      <c r="E15" s="95" t="s">
        <v>47</v>
      </c>
      <c r="F15" s="70"/>
    </row>
    <row r="16" spans="1:9" s="71" customFormat="1" ht="39" customHeight="1" x14ac:dyDescent="0.35">
      <c r="A1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Fadrozole-0,4ug/L</v>
      </c>
      <c r="B16" s="92" t="s">
        <v>30</v>
      </c>
      <c r="C16" s="65">
        <v>0.4</v>
      </c>
      <c r="D16" s="94" t="s">
        <v>48</v>
      </c>
      <c r="E16" s="95" t="s">
        <v>47</v>
      </c>
      <c r="F16" s="70"/>
    </row>
    <row r="17" spans="1:6" s="71" customFormat="1" ht="39" customHeight="1" x14ac:dyDescent="0.35">
      <c r="A1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Fadrozole-2ug/L</v>
      </c>
      <c r="B17" s="92" t="s">
        <v>30</v>
      </c>
      <c r="C17" s="65">
        <v>2</v>
      </c>
      <c r="D17" s="94" t="s">
        <v>48</v>
      </c>
      <c r="E17" s="95" t="s">
        <v>47</v>
      </c>
      <c r="F17" s="70"/>
    </row>
    <row r="18" spans="1:6" s="71" customFormat="1" ht="39" customHeight="1" x14ac:dyDescent="0.35">
      <c r="A1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Fadrozole-10ug/L</v>
      </c>
      <c r="B18" s="92" t="s">
        <v>30</v>
      </c>
      <c r="C18" s="65">
        <v>10</v>
      </c>
      <c r="D18" s="94" t="s">
        <v>48</v>
      </c>
      <c r="E18" s="95" t="s">
        <v>47</v>
      </c>
      <c r="F18" s="70"/>
    </row>
    <row r="19" spans="1:6" s="71" customFormat="1" ht="39" customHeight="1" x14ac:dyDescent="0.35">
      <c r="A1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2" t="s">
        <v>30</v>
      </c>
      <c r="C19" s="65"/>
      <c r="D19" s="65"/>
      <c r="E19" s="25"/>
      <c r="F19" s="70"/>
    </row>
    <row r="20" spans="1:6" s="71" customFormat="1" ht="39" customHeight="1" x14ac:dyDescent="0.35">
      <c r="A2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2" t="s">
        <v>30</v>
      </c>
      <c r="C20" s="65"/>
      <c r="D20" s="65"/>
      <c r="E20" s="61"/>
      <c r="F20" s="70"/>
    </row>
    <row r="21" spans="1:6" s="71" customFormat="1" ht="39" customHeight="1" x14ac:dyDescent="0.35">
      <c r="A2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2" t="s">
        <v>30</v>
      </c>
      <c r="C21" s="65"/>
      <c r="D21" s="65"/>
      <c r="E21" s="25"/>
      <c r="F21" s="70"/>
    </row>
    <row r="22" spans="1:6" s="71" customFormat="1" ht="39" customHeight="1" x14ac:dyDescent="0.35">
      <c r="A2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2" t="s">
        <v>30</v>
      </c>
      <c r="C22" s="65"/>
      <c r="D22" s="65"/>
      <c r="E22" s="61"/>
      <c r="F22" s="70"/>
    </row>
    <row r="23" spans="1:6" s="71" customFormat="1" ht="39" customHeight="1" x14ac:dyDescent="0.35">
      <c r="A2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2" t="s">
        <v>30</v>
      </c>
      <c r="C23" s="65"/>
      <c r="D23" s="65"/>
      <c r="E23" s="25"/>
      <c r="F23" s="70"/>
    </row>
    <row r="24" spans="1:6" s="71" customFormat="1" ht="39" customHeight="1" x14ac:dyDescent="0.35">
      <c r="A24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2" t="s">
        <v>30</v>
      </c>
      <c r="C24" s="65"/>
      <c r="D24" s="65"/>
      <c r="E24" s="61"/>
      <c r="F24" s="70"/>
    </row>
    <row r="25" spans="1:6" s="71" customFormat="1" ht="39" customHeight="1" x14ac:dyDescent="0.35">
      <c r="A2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2" t="s">
        <v>30</v>
      </c>
      <c r="C25" s="65"/>
      <c r="D25" s="65"/>
      <c r="E25" s="25"/>
      <c r="F25" s="70"/>
    </row>
    <row r="26" spans="1:6" s="71" customFormat="1" ht="39" customHeight="1" x14ac:dyDescent="0.35">
      <c r="A2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2" t="s">
        <v>30</v>
      </c>
      <c r="C26" s="65"/>
      <c r="D26" s="65"/>
      <c r="E26" s="61"/>
      <c r="F26" s="70"/>
    </row>
    <row r="27" spans="1:6" s="71" customFormat="1" ht="39" customHeight="1" x14ac:dyDescent="0.35">
      <c r="A2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2" t="s">
        <v>30</v>
      </c>
      <c r="C27" s="65"/>
      <c r="D27" s="65"/>
      <c r="E27" s="25"/>
      <c r="F27" s="70"/>
    </row>
    <row r="28" spans="1:6" s="71" customFormat="1" ht="39" customHeight="1" x14ac:dyDescent="0.35">
      <c r="A2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2" t="s">
        <v>30</v>
      </c>
      <c r="C28" s="65"/>
      <c r="D28" s="65"/>
      <c r="E28" s="61"/>
      <c r="F28" s="70"/>
    </row>
    <row r="29" spans="1:6" s="71" customFormat="1" ht="39" customHeight="1" x14ac:dyDescent="0.35">
      <c r="A2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2" t="s">
        <v>30</v>
      </c>
      <c r="C29" s="65"/>
      <c r="D29" s="74"/>
      <c r="E29" s="25"/>
      <c r="F29" s="70"/>
    </row>
    <row r="30" spans="1:6" s="71" customFormat="1" ht="39" customHeight="1" x14ac:dyDescent="0.35">
      <c r="A3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2" t="s">
        <v>30</v>
      </c>
      <c r="C30" s="65"/>
      <c r="D30" s="74"/>
      <c r="E30" s="61"/>
      <c r="F30" s="70"/>
    </row>
    <row r="31" spans="1:6" s="71" customFormat="1" ht="39" customHeight="1" x14ac:dyDescent="0.35">
      <c r="A3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2" t="s">
        <v>30</v>
      </c>
      <c r="C31" s="65"/>
      <c r="D31" s="74"/>
      <c r="E31" s="25"/>
      <c r="F31" s="70"/>
    </row>
    <row r="32" spans="1:6" s="71" customFormat="1" ht="39" customHeight="1" x14ac:dyDescent="0.35">
      <c r="A3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2" t="s">
        <v>30</v>
      </c>
      <c r="C32" s="65"/>
      <c r="D32" s="74"/>
      <c r="E32" s="61"/>
      <c r="F32" s="70"/>
    </row>
    <row r="33" spans="1:6" s="71" customFormat="1" ht="39" customHeight="1" x14ac:dyDescent="0.35">
      <c r="A3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2" t="s">
        <v>30</v>
      </c>
      <c r="C33" s="65"/>
      <c r="D33" s="74"/>
      <c r="E33" s="25"/>
      <c r="F33" s="70"/>
    </row>
    <row r="34" spans="1:6" s="71" customFormat="1" ht="39" customHeight="1" thickBot="1" x14ac:dyDescent="0.4">
      <c r="A3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2" t="s">
        <v>30</v>
      </c>
      <c r="C34" s="98"/>
      <c r="D34" s="75"/>
      <c r="E34" s="97"/>
      <c r="F34" s="70"/>
    </row>
    <row r="35" spans="1:6" s="71" customFormat="1" ht="39" customHeight="1" x14ac:dyDescent="0.35">
      <c r="A35" s="9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2" t="s">
        <v>46</v>
      </c>
      <c r="C35" s="66">
        <v>30</v>
      </c>
      <c r="D35" s="76" t="s">
        <v>19</v>
      </c>
      <c r="E35" s="88" t="s">
        <v>8</v>
      </c>
      <c r="F35" s="100"/>
    </row>
    <row r="36" spans="1:6" s="71" customFormat="1" ht="39" customHeight="1" x14ac:dyDescent="0.35">
      <c r="A36" s="10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3" t="s">
        <v>46</v>
      </c>
      <c r="C36" s="67">
        <v>64</v>
      </c>
      <c r="D36" s="77" t="s">
        <v>17</v>
      </c>
      <c r="E36" s="89" t="s">
        <v>20</v>
      </c>
      <c r="F36" s="102"/>
    </row>
    <row r="37" spans="1:6" s="71" customFormat="1" ht="39" customHeight="1" thickBot="1" x14ac:dyDescent="0.4">
      <c r="A37" s="103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4" t="s">
        <v>46</v>
      </c>
      <c r="C37" s="105">
        <v>10</v>
      </c>
      <c r="D37" s="106" t="s">
        <v>21</v>
      </c>
      <c r="E37" s="107" t="s">
        <v>22</v>
      </c>
      <c r="F37" s="108"/>
    </row>
    <row r="38" spans="1:6" s="71" customFormat="1" ht="39" customHeight="1" x14ac:dyDescent="0.35">
      <c r="A38" s="3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Fadrozole-0,016ug/L + Testostérone</v>
      </c>
      <c r="B38" s="112" t="str">
        <f>B14</f>
        <v>test chemical</v>
      </c>
      <c r="C38" s="112">
        <f t="shared" ref="C38:E38" si="0">C14</f>
        <v>1.6E-2</v>
      </c>
      <c r="D38" s="112" t="str">
        <f t="shared" si="0"/>
        <v>ug/L</v>
      </c>
      <c r="E38" s="112" t="str">
        <f t="shared" si="0"/>
        <v>Fadrozole</v>
      </c>
      <c r="F38" s="72" t="s">
        <v>13</v>
      </c>
    </row>
    <row r="39" spans="1:6" s="71" customFormat="1" ht="39" customHeight="1" x14ac:dyDescent="0.35">
      <c r="A3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Fadrozole-0,08ug/L + Testostérone</v>
      </c>
      <c r="B39" s="114" t="str">
        <f t="shared" ref="B39:E39" si="1">B15</f>
        <v>test chemical</v>
      </c>
      <c r="C39" s="114">
        <f t="shared" si="1"/>
        <v>0.08</v>
      </c>
      <c r="D39" s="114" t="str">
        <f t="shared" si="1"/>
        <v>ug/L</v>
      </c>
      <c r="E39" s="114" t="str">
        <f t="shared" si="1"/>
        <v>Fadrozole</v>
      </c>
      <c r="F39" s="73" t="s">
        <v>13</v>
      </c>
    </row>
    <row r="40" spans="1:6" s="71" customFormat="1" ht="39" customHeight="1" x14ac:dyDescent="0.35">
      <c r="A4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Fadrozole-0,4ug/L + Testostérone</v>
      </c>
      <c r="B40" s="114" t="str">
        <f t="shared" ref="B40:E40" si="2">B16</f>
        <v>test chemical</v>
      </c>
      <c r="C40" s="114">
        <f t="shared" si="2"/>
        <v>0.4</v>
      </c>
      <c r="D40" s="114" t="str">
        <f t="shared" si="2"/>
        <v>ug/L</v>
      </c>
      <c r="E40" s="114" t="str">
        <f t="shared" si="2"/>
        <v>Fadrozole</v>
      </c>
      <c r="F40" s="73" t="s">
        <v>13</v>
      </c>
    </row>
    <row r="41" spans="1:6" s="71" customFormat="1" ht="39" customHeight="1" x14ac:dyDescent="0.35">
      <c r="A4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Fadrozole-2ug/L + Testostérone</v>
      </c>
      <c r="B41" s="114" t="str">
        <f t="shared" ref="B41:E41" si="3">B17</f>
        <v>test chemical</v>
      </c>
      <c r="C41" s="114">
        <f t="shared" si="3"/>
        <v>2</v>
      </c>
      <c r="D41" s="114" t="str">
        <f t="shared" si="3"/>
        <v>ug/L</v>
      </c>
      <c r="E41" s="114" t="str">
        <f t="shared" si="3"/>
        <v>Fadrozole</v>
      </c>
      <c r="F41" s="73" t="s">
        <v>13</v>
      </c>
    </row>
    <row r="42" spans="1:6" s="71" customFormat="1" ht="39" customHeight="1" x14ac:dyDescent="0.35">
      <c r="A4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Fadrozole-10ug/L + Testostérone</v>
      </c>
      <c r="B42" s="114" t="str">
        <f t="shared" ref="B42:E42" si="4">B18</f>
        <v>test chemical</v>
      </c>
      <c r="C42" s="114">
        <f t="shared" si="4"/>
        <v>10</v>
      </c>
      <c r="D42" s="114" t="str">
        <f t="shared" si="4"/>
        <v>ug/L</v>
      </c>
      <c r="E42" s="114" t="str">
        <f t="shared" si="4"/>
        <v>Fadrozole</v>
      </c>
      <c r="F42" s="73" t="s">
        <v>13</v>
      </c>
    </row>
    <row r="43" spans="1:6" s="71" customFormat="1" ht="39" customHeight="1" x14ac:dyDescent="0.35">
      <c r="A4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4" t="str">
        <f t="shared" ref="B43:E43" si="5">B19</f>
        <v>test chemical</v>
      </c>
      <c r="C43" s="114">
        <f t="shared" si="5"/>
        <v>0</v>
      </c>
      <c r="D43" s="114">
        <f t="shared" si="5"/>
        <v>0</v>
      </c>
      <c r="E43" s="114">
        <f t="shared" si="5"/>
        <v>0</v>
      </c>
      <c r="F43" s="73" t="s">
        <v>13</v>
      </c>
    </row>
    <row r="44" spans="1:6" s="71" customFormat="1" ht="39" customHeight="1" x14ac:dyDescent="0.35">
      <c r="A4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4" t="str">
        <f t="shared" ref="B44:E44" si="6">B20</f>
        <v>test chemical</v>
      </c>
      <c r="C44" s="114">
        <f t="shared" si="6"/>
        <v>0</v>
      </c>
      <c r="D44" s="114">
        <f t="shared" si="6"/>
        <v>0</v>
      </c>
      <c r="E44" s="114">
        <f t="shared" si="6"/>
        <v>0</v>
      </c>
      <c r="F44" s="73" t="s">
        <v>13</v>
      </c>
    </row>
    <row r="45" spans="1:6" s="71" customFormat="1" ht="39" customHeight="1" x14ac:dyDescent="0.35">
      <c r="A4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4" t="str">
        <f t="shared" ref="B45:E45" si="7">B21</f>
        <v>test chemical</v>
      </c>
      <c r="C45" s="114">
        <f t="shared" si="7"/>
        <v>0</v>
      </c>
      <c r="D45" s="114">
        <f t="shared" si="7"/>
        <v>0</v>
      </c>
      <c r="E45" s="114">
        <f t="shared" si="7"/>
        <v>0</v>
      </c>
      <c r="F45" s="73" t="s">
        <v>13</v>
      </c>
    </row>
    <row r="46" spans="1:6" s="71" customFormat="1" ht="39" customHeight="1" x14ac:dyDescent="0.35">
      <c r="A4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4" t="str">
        <f t="shared" ref="B46:E46" si="8">B22</f>
        <v>test chemical</v>
      </c>
      <c r="C46" s="114">
        <f t="shared" si="8"/>
        <v>0</v>
      </c>
      <c r="D46" s="114">
        <f t="shared" si="8"/>
        <v>0</v>
      </c>
      <c r="E46" s="114">
        <f t="shared" si="8"/>
        <v>0</v>
      </c>
      <c r="F46" s="73" t="s">
        <v>13</v>
      </c>
    </row>
    <row r="47" spans="1:6" s="71" customFormat="1" ht="39" customHeight="1" x14ac:dyDescent="0.35">
      <c r="A47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4" t="str">
        <f t="shared" ref="B47:E47" si="9">B23</f>
        <v>test chemical</v>
      </c>
      <c r="C47" s="114">
        <f t="shared" si="9"/>
        <v>0</v>
      </c>
      <c r="D47" s="114">
        <f t="shared" si="9"/>
        <v>0</v>
      </c>
      <c r="E47" s="114">
        <f t="shared" si="9"/>
        <v>0</v>
      </c>
      <c r="F47" s="73" t="s">
        <v>13</v>
      </c>
    </row>
    <row r="48" spans="1:6" s="71" customFormat="1" ht="39" customHeight="1" x14ac:dyDescent="0.35">
      <c r="A48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4" t="str">
        <f t="shared" ref="B48:E48" si="10">B24</f>
        <v>test chemical</v>
      </c>
      <c r="C48" s="114">
        <f t="shared" si="10"/>
        <v>0</v>
      </c>
      <c r="D48" s="114">
        <f t="shared" si="10"/>
        <v>0</v>
      </c>
      <c r="E48" s="114">
        <f t="shared" si="10"/>
        <v>0</v>
      </c>
      <c r="F48" s="73" t="s">
        <v>13</v>
      </c>
    </row>
    <row r="49" spans="1:6" s="71" customFormat="1" ht="39" customHeight="1" x14ac:dyDescent="0.35">
      <c r="A4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4" t="str">
        <f t="shared" ref="B49:E49" si="11">B25</f>
        <v>test chemical</v>
      </c>
      <c r="C49" s="114">
        <f t="shared" si="11"/>
        <v>0</v>
      </c>
      <c r="D49" s="114">
        <f t="shared" si="11"/>
        <v>0</v>
      </c>
      <c r="E49" s="114">
        <f t="shared" si="11"/>
        <v>0</v>
      </c>
      <c r="F49" s="73" t="s">
        <v>13</v>
      </c>
    </row>
    <row r="50" spans="1:6" s="71" customFormat="1" ht="39" customHeight="1" x14ac:dyDescent="0.35">
      <c r="A5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4" t="str">
        <f t="shared" ref="B50:E50" si="12">B26</f>
        <v>test chemical</v>
      </c>
      <c r="C50" s="114">
        <f t="shared" si="12"/>
        <v>0</v>
      </c>
      <c r="D50" s="114">
        <f t="shared" si="12"/>
        <v>0</v>
      </c>
      <c r="E50" s="114">
        <f t="shared" si="12"/>
        <v>0</v>
      </c>
      <c r="F50" s="73" t="s">
        <v>13</v>
      </c>
    </row>
    <row r="51" spans="1:6" s="71" customFormat="1" ht="39" customHeight="1" x14ac:dyDescent="0.35">
      <c r="A5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4" t="str">
        <f t="shared" ref="B51:E51" si="13">B27</f>
        <v>test chemical</v>
      </c>
      <c r="C51" s="114">
        <f t="shared" si="13"/>
        <v>0</v>
      </c>
      <c r="D51" s="114">
        <f t="shared" si="13"/>
        <v>0</v>
      </c>
      <c r="E51" s="114">
        <f t="shared" si="13"/>
        <v>0</v>
      </c>
      <c r="F51" s="73" t="s">
        <v>13</v>
      </c>
    </row>
    <row r="52" spans="1:6" s="71" customFormat="1" ht="39" customHeight="1" x14ac:dyDescent="0.35">
      <c r="A5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4" t="str">
        <f t="shared" ref="B52:E52" si="14">B28</f>
        <v>test chemical</v>
      </c>
      <c r="C52" s="114">
        <f t="shared" si="14"/>
        <v>0</v>
      </c>
      <c r="D52" s="114">
        <f t="shared" si="14"/>
        <v>0</v>
      </c>
      <c r="E52" s="114">
        <f t="shared" si="14"/>
        <v>0</v>
      </c>
      <c r="F52" s="73" t="s">
        <v>13</v>
      </c>
    </row>
    <row r="53" spans="1:6" s="71" customFormat="1" ht="39" customHeight="1" x14ac:dyDescent="0.35">
      <c r="A5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4" t="str">
        <f t="shared" ref="B53:E53" si="15">B29</f>
        <v>test chemical</v>
      </c>
      <c r="C53" s="114">
        <f t="shared" si="15"/>
        <v>0</v>
      </c>
      <c r="D53" s="114">
        <f t="shared" si="15"/>
        <v>0</v>
      </c>
      <c r="E53" s="114">
        <f t="shared" si="15"/>
        <v>0</v>
      </c>
      <c r="F53" s="73" t="s">
        <v>13</v>
      </c>
    </row>
    <row r="54" spans="1:6" s="71" customFormat="1" ht="39" customHeight="1" x14ac:dyDescent="0.35">
      <c r="A5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4" t="str">
        <f t="shared" ref="B54:E54" si="16">B30</f>
        <v>test chemical</v>
      </c>
      <c r="C54" s="114">
        <f t="shared" si="16"/>
        <v>0</v>
      </c>
      <c r="D54" s="114">
        <f t="shared" si="16"/>
        <v>0</v>
      </c>
      <c r="E54" s="114">
        <f t="shared" si="16"/>
        <v>0</v>
      </c>
      <c r="F54" s="73" t="s">
        <v>13</v>
      </c>
    </row>
    <row r="55" spans="1:6" s="71" customFormat="1" ht="39" customHeight="1" x14ac:dyDescent="0.35">
      <c r="A5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4" t="str">
        <f t="shared" ref="B55:E55" si="17">B31</f>
        <v>test chemical</v>
      </c>
      <c r="C55" s="114">
        <f t="shared" si="17"/>
        <v>0</v>
      </c>
      <c r="D55" s="114">
        <f t="shared" si="17"/>
        <v>0</v>
      </c>
      <c r="E55" s="114">
        <f t="shared" si="17"/>
        <v>0</v>
      </c>
      <c r="F55" s="73" t="s">
        <v>13</v>
      </c>
    </row>
    <row r="56" spans="1:6" s="71" customFormat="1" ht="39" customHeight="1" x14ac:dyDescent="0.35">
      <c r="A5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4" t="str">
        <f t="shared" ref="B56:E56" si="18">B32</f>
        <v>test chemical</v>
      </c>
      <c r="C56" s="114">
        <f t="shared" si="18"/>
        <v>0</v>
      </c>
      <c r="D56" s="114">
        <f t="shared" si="18"/>
        <v>0</v>
      </c>
      <c r="E56" s="114">
        <f t="shared" si="18"/>
        <v>0</v>
      </c>
      <c r="F56" s="73" t="s">
        <v>13</v>
      </c>
    </row>
    <row r="57" spans="1:6" s="71" customFormat="1" ht="39" customHeight="1" x14ac:dyDescent="0.35">
      <c r="A57" s="6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3" t="str">
        <f t="shared" ref="B57:E57" si="19">B33</f>
        <v>test chemical</v>
      </c>
      <c r="C57" s="113">
        <f t="shared" si="19"/>
        <v>0</v>
      </c>
      <c r="D57" s="113">
        <f t="shared" si="19"/>
        <v>0</v>
      </c>
      <c r="E57" s="113">
        <f t="shared" si="19"/>
        <v>0</v>
      </c>
      <c r="F57" s="73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7A6D-69BE-4774-BD62-0BD2ECE449DC}">
  <dimension ref="A1"/>
  <sheetViews>
    <sheetView workbookViewId="0">
      <selection activeCell="E10" sqref="E10"/>
    </sheetView>
  </sheetViews>
  <sheetFormatPr baseColWidth="10" defaultColWidth="10.90625" defaultRowHeight="14.5" x14ac:dyDescent="0.35"/>
  <sheetData>
    <row r="1" spans="1:1" x14ac:dyDescent="0.35">
      <c r="A1" t="s">
        <v>49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55" zoomScaleNormal="55" zoomScaleSheetLayoutView="40" zoomScalePageLayoutView="30" workbookViewId="0">
      <pane xSplit="1" topLeftCell="L1" activePane="topRight" state="frozen"/>
      <selection pane="topRight" activeCell="V5" sqref="V5:V12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5" t="s">
        <v>5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Fadrozole-0,016ug/L</v>
      </c>
      <c r="J4" s="20" t="str">
        <f>'Front page'!A15</f>
        <v>Fadrozole-0,08ug/L</v>
      </c>
      <c r="K4" s="20" t="str">
        <f>'Front page'!A16</f>
        <v>Fadrozole-0,4ug/L</v>
      </c>
      <c r="L4" s="20" t="str">
        <f>'Front page'!A17</f>
        <v>Fadrozole-2ug/L</v>
      </c>
      <c r="M4" s="20" t="str">
        <f>'Front page'!A18</f>
        <v>Fadrozole-10ug/L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Fadrozole-0,016ug/L + Testostérone</v>
      </c>
      <c r="S4" s="21" t="str">
        <f>'Front page'!A39</f>
        <v>Fadrozole-0,08ug/L + Testostérone</v>
      </c>
      <c r="T4" s="21" t="str">
        <f>'Front page'!A40</f>
        <v>Fadrozole-0,4ug/L + Testostérone</v>
      </c>
      <c r="U4" s="21" t="str">
        <f>'Front page'!A41</f>
        <v>Fadrozole-2ug/L + Testostérone</v>
      </c>
      <c r="V4" s="21" t="str">
        <f>'Front page'!A42</f>
        <v>Fadrozole-10ug/L + Testostérone</v>
      </c>
    </row>
    <row r="5" spans="1:22" ht="16.5" x14ac:dyDescent="0.35">
      <c r="A5" s="138" t="s">
        <v>35</v>
      </c>
      <c r="B5" s="56">
        <v>14159</v>
      </c>
      <c r="C5" s="13">
        <v>1000998</v>
      </c>
      <c r="D5" s="17">
        <v>604592</v>
      </c>
      <c r="E5" s="17">
        <v>604880</v>
      </c>
      <c r="F5" s="17">
        <v>4881547</v>
      </c>
      <c r="G5" s="17">
        <v>6616378</v>
      </c>
      <c r="H5" s="17">
        <v>6372864</v>
      </c>
      <c r="I5" s="17">
        <v>27400</v>
      </c>
      <c r="J5" s="16">
        <v>109507</v>
      </c>
      <c r="K5" s="13">
        <v>169394</v>
      </c>
      <c r="L5" s="13">
        <v>10973</v>
      </c>
      <c r="M5" s="13">
        <v>34058</v>
      </c>
      <c r="N5" s="3"/>
      <c r="O5" s="17">
        <v>1122759</v>
      </c>
      <c r="P5" s="13">
        <v>8898570</v>
      </c>
      <c r="Q5" s="13">
        <v>75738</v>
      </c>
      <c r="R5" s="4">
        <v>1887097</v>
      </c>
      <c r="S5" s="17">
        <v>1518055</v>
      </c>
      <c r="T5" s="17">
        <v>599142</v>
      </c>
      <c r="U5" s="17">
        <v>66925</v>
      </c>
      <c r="V5" s="17">
        <v>142649</v>
      </c>
    </row>
    <row r="6" spans="1:22" ht="16.5" x14ac:dyDescent="0.35">
      <c r="A6" s="139"/>
      <c r="B6" s="56">
        <v>28379</v>
      </c>
      <c r="C6" s="13">
        <v>72708</v>
      </c>
      <c r="D6" s="17">
        <v>1626818</v>
      </c>
      <c r="E6" s="17">
        <v>1117348</v>
      </c>
      <c r="F6" s="17">
        <v>1731234</v>
      </c>
      <c r="G6" s="17">
        <v>5547818</v>
      </c>
      <c r="H6" s="17">
        <v>8983010</v>
      </c>
      <c r="I6" s="17">
        <v>162478</v>
      </c>
      <c r="J6" s="16">
        <v>61629</v>
      </c>
      <c r="K6" s="13">
        <v>62451</v>
      </c>
      <c r="L6" s="13">
        <v>85700</v>
      </c>
      <c r="M6" s="13">
        <v>98277</v>
      </c>
      <c r="N6" s="3"/>
      <c r="O6" s="17">
        <v>1139274</v>
      </c>
      <c r="P6" s="56">
        <v>3772461</v>
      </c>
      <c r="Q6" s="13">
        <v>84948</v>
      </c>
      <c r="R6" s="4">
        <v>3124028</v>
      </c>
      <c r="S6" s="17">
        <v>603682</v>
      </c>
      <c r="T6" s="17">
        <v>76907</v>
      </c>
      <c r="U6" s="17">
        <v>8564</v>
      </c>
      <c r="V6" s="17">
        <v>682391</v>
      </c>
    </row>
    <row r="7" spans="1:22" ht="16.5" x14ac:dyDescent="0.35">
      <c r="A7" s="139"/>
      <c r="B7" s="56">
        <v>121513</v>
      </c>
      <c r="C7" s="56">
        <v>93227</v>
      </c>
      <c r="D7" s="56">
        <v>192314</v>
      </c>
      <c r="E7" s="56">
        <v>1984922</v>
      </c>
      <c r="F7" s="56">
        <v>4593435</v>
      </c>
      <c r="G7" s="56">
        <v>4474566</v>
      </c>
      <c r="H7" s="56">
        <v>7216257</v>
      </c>
      <c r="I7" s="56">
        <v>154302</v>
      </c>
      <c r="J7" s="56">
        <v>333093</v>
      </c>
      <c r="K7" s="56">
        <v>98893</v>
      </c>
      <c r="L7" s="56">
        <v>139960</v>
      </c>
      <c r="M7" s="56">
        <v>85938</v>
      </c>
      <c r="N7" s="3"/>
      <c r="O7" s="17">
        <v>1978479</v>
      </c>
      <c r="P7" s="56">
        <v>3030272</v>
      </c>
      <c r="Q7" s="13">
        <v>79458</v>
      </c>
      <c r="R7" s="4">
        <v>84081</v>
      </c>
      <c r="S7" s="17">
        <v>1502465</v>
      </c>
      <c r="T7" s="17">
        <v>46638</v>
      </c>
      <c r="U7" s="17">
        <v>135692</v>
      </c>
      <c r="V7" s="17">
        <v>146712</v>
      </c>
    </row>
    <row r="8" spans="1:22" ht="16.5" x14ac:dyDescent="0.35">
      <c r="A8" s="139"/>
      <c r="B8" s="56">
        <v>86474</v>
      </c>
      <c r="C8" s="56">
        <v>114241</v>
      </c>
      <c r="D8" s="56">
        <v>959452</v>
      </c>
      <c r="E8" s="56">
        <v>2160125</v>
      </c>
      <c r="F8" s="56">
        <v>7657514</v>
      </c>
      <c r="G8" s="56">
        <v>4844722</v>
      </c>
      <c r="H8" s="56">
        <v>5855810</v>
      </c>
      <c r="I8" s="56">
        <v>114513</v>
      </c>
      <c r="J8" s="56">
        <v>99290</v>
      </c>
      <c r="K8" s="56">
        <v>490457</v>
      </c>
      <c r="L8" s="56">
        <v>64900</v>
      </c>
      <c r="M8" s="56">
        <v>45124</v>
      </c>
      <c r="N8" s="3"/>
      <c r="O8" s="56">
        <v>394517</v>
      </c>
      <c r="P8" s="56">
        <v>6261709</v>
      </c>
      <c r="Q8" s="56">
        <v>223033</v>
      </c>
      <c r="R8" s="56">
        <v>1742310</v>
      </c>
      <c r="S8" s="56">
        <v>2376826</v>
      </c>
      <c r="T8" s="56">
        <v>808973</v>
      </c>
      <c r="U8" s="56">
        <v>539845</v>
      </c>
      <c r="V8" s="56">
        <v>408199</v>
      </c>
    </row>
    <row r="9" spans="1:22" ht="16.5" x14ac:dyDescent="0.35">
      <c r="A9" s="139"/>
      <c r="B9" s="56">
        <v>174073</v>
      </c>
      <c r="C9" s="56">
        <v>217315</v>
      </c>
      <c r="D9" s="56">
        <v>837303</v>
      </c>
      <c r="E9" s="56">
        <v>4753438</v>
      </c>
      <c r="F9" s="56">
        <v>1644986</v>
      </c>
      <c r="G9" s="56">
        <v>2741081</v>
      </c>
      <c r="H9" s="56">
        <v>5145738</v>
      </c>
      <c r="I9" s="56">
        <v>143030</v>
      </c>
      <c r="J9" s="56">
        <v>707790</v>
      </c>
      <c r="K9" s="56">
        <v>6932</v>
      </c>
      <c r="L9" s="56">
        <v>310210</v>
      </c>
      <c r="M9" s="56">
        <v>73010</v>
      </c>
      <c r="N9" s="3"/>
      <c r="O9" s="56">
        <v>3776283</v>
      </c>
      <c r="P9" s="56">
        <v>3582444</v>
      </c>
      <c r="Q9" s="56">
        <v>19153</v>
      </c>
      <c r="R9" s="56">
        <v>708549</v>
      </c>
      <c r="S9" s="56">
        <v>203919</v>
      </c>
      <c r="T9" s="56">
        <v>291713</v>
      </c>
      <c r="U9" s="56">
        <v>327783</v>
      </c>
      <c r="V9" s="56">
        <v>153715</v>
      </c>
    </row>
    <row r="10" spans="1:22" ht="16.5" x14ac:dyDescent="0.35">
      <c r="A10" s="139"/>
      <c r="B10" s="56">
        <v>61514</v>
      </c>
      <c r="C10" s="56">
        <v>65767</v>
      </c>
      <c r="D10" s="56">
        <v>1788181</v>
      </c>
      <c r="E10" s="56">
        <v>3141552</v>
      </c>
      <c r="F10" s="56">
        <v>2674888</v>
      </c>
      <c r="G10" s="56">
        <v>3078429</v>
      </c>
      <c r="H10" s="56">
        <v>7205188</v>
      </c>
      <c r="I10" s="56">
        <v>158445</v>
      </c>
      <c r="J10" s="56">
        <v>174030</v>
      </c>
      <c r="K10" s="56">
        <v>205558</v>
      </c>
      <c r="L10" s="56">
        <v>19247</v>
      </c>
      <c r="M10" s="56">
        <v>178970</v>
      </c>
      <c r="N10" s="3"/>
      <c r="O10" s="56">
        <v>1178854</v>
      </c>
      <c r="P10" s="13">
        <v>3029666</v>
      </c>
      <c r="Q10" s="56">
        <v>247241</v>
      </c>
      <c r="R10" s="56"/>
      <c r="S10" s="56">
        <v>26278</v>
      </c>
      <c r="T10" s="56">
        <v>315869</v>
      </c>
      <c r="U10" s="56">
        <v>308988</v>
      </c>
      <c r="V10" s="56">
        <v>190827</v>
      </c>
    </row>
    <row r="11" spans="1:22" ht="16.5" x14ac:dyDescent="0.35">
      <c r="A11" s="139"/>
      <c r="B11" s="56">
        <v>72001</v>
      </c>
      <c r="C11" s="13">
        <v>199728</v>
      </c>
      <c r="D11" s="17">
        <v>1345193</v>
      </c>
      <c r="E11" s="17">
        <v>2348048</v>
      </c>
      <c r="F11" s="17">
        <v>4876029</v>
      </c>
      <c r="G11" s="17">
        <v>4634261</v>
      </c>
      <c r="H11" s="17">
        <v>3596537</v>
      </c>
      <c r="I11" s="17">
        <v>93316</v>
      </c>
      <c r="J11" s="16">
        <v>105600</v>
      </c>
      <c r="K11" s="13">
        <v>376649</v>
      </c>
      <c r="L11" s="13">
        <v>48781</v>
      </c>
      <c r="M11" s="13">
        <v>112184</v>
      </c>
      <c r="N11" s="3"/>
      <c r="O11" s="56">
        <v>158801</v>
      </c>
      <c r="P11" s="13">
        <v>5111162</v>
      </c>
      <c r="Q11" s="56">
        <v>249971</v>
      </c>
      <c r="R11" s="56"/>
      <c r="S11" s="56">
        <v>270507</v>
      </c>
      <c r="T11" s="56">
        <v>148807</v>
      </c>
      <c r="U11" s="56">
        <v>64253</v>
      </c>
      <c r="V11" s="56">
        <v>65016</v>
      </c>
    </row>
    <row r="12" spans="1:22" ht="16.5" x14ac:dyDescent="0.35">
      <c r="A12" s="139"/>
      <c r="B12" s="56">
        <v>160380</v>
      </c>
      <c r="C12" s="13">
        <v>217854</v>
      </c>
      <c r="D12" s="17">
        <v>137764</v>
      </c>
      <c r="E12" s="17">
        <v>1802229</v>
      </c>
      <c r="F12" s="17">
        <v>3731776</v>
      </c>
      <c r="G12" s="17">
        <v>6124493</v>
      </c>
      <c r="H12" s="17">
        <v>10745023</v>
      </c>
      <c r="I12" s="17">
        <v>28996</v>
      </c>
      <c r="J12" s="16">
        <v>37522</v>
      </c>
      <c r="K12" s="13">
        <v>59566</v>
      </c>
      <c r="L12" s="13">
        <v>80202</v>
      </c>
      <c r="M12" s="13">
        <v>221383</v>
      </c>
      <c r="N12" s="3"/>
      <c r="O12" s="17">
        <v>763690</v>
      </c>
      <c r="Q12" s="13">
        <v>13739</v>
      </c>
      <c r="R12" s="4"/>
      <c r="S12" s="17">
        <v>1043887</v>
      </c>
      <c r="T12" s="17"/>
      <c r="U12" s="17">
        <v>416932</v>
      </c>
      <c r="V12" s="17">
        <v>53543</v>
      </c>
    </row>
    <row r="13" spans="1:22" ht="16.5" x14ac:dyDescent="0.35">
      <c r="A13" s="139"/>
      <c r="B13" s="14"/>
      <c r="C13" s="13"/>
      <c r="D13" s="16"/>
      <c r="E13" s="16"/>
      <c r="F13" s="16"/>
      <c r="G13" s="16"/>
      <c r="H13" s="16"/>
      <c r="I13" s="17"/>
      <c r="J13" s="16"/>
      <c r="K13" s="13"/>
      <c r="L13" s="13"/>
      <c r="M13" s="13"/>
      <c r="N13" s="3"/>
      <c r="O13" s="17">
        <v>1562924</v>
      </c>
      <c r="Q13" s="13"/>
      <c r="R13" s="4"/>
      <c r="S13" s="17"/>
      <c r="T13" s="17"/>
      <c r="U13" s="17"/>
      <c r="V13" s="17"/>
    </row>
    <row r="14" spans="1:22" ht="16.5" x14ac:dyDescent="0.35">
      <c r="A14" s="139"/>
      <c r="B14" s="14"/>
      <c r="C14" s="16"/>
      <c r="D14" s="16"/>
      <c r="E14" s="16"/>
      <c r="F14" s="16"/>
      <c r="G14" s="16"/>
      <c r="H14" s="16"/>
      <c r="I14" s="17"/>
      <c r="J14" s="16"/>
      <c r="K14" s="13"/>
      <c r="L14" s="13"/>
      <c r="M14" s="13"/>
      <c r="N14" s="3"/>
      <c r="O14" s="17">
        <v>1498603</v>
      </c>
      <c r="Q14" s="13"/>
      <c r="R14" s="4"/>
      <c r="S14" s="17"/>
      <c r="T14" s="17"/>
      <c r="U14" s="17"/>
      <c r="V14" s="17"/>
    </row>
    <row r="15" spans="1:22" ht="16.5" x14ac:dyDescent="0.35">
      <c r="A15" s="139"/>
      <c r="B15" s="14"/>
      <c r="C15" s="16"/>
      <c r="D15" s="16"/>
      <c r="E15" s="16"/>
      <c r="F15" s="16"/>
      <c r="G15" s="16"/>
      <c r="H15" s="16"/>
      <c r="I15" s="17"/>
      <c r="J15" s="16"/>
      <c r="K15" s="13"/>
      <c r="L15" s="13"/>
      <c r="M15" s="13"/>
      <c r="N15" s="3"/>
      <c r="O15" s="17">
        <v>1750872</v>
      </c>
      <c r="Q15" s="13"/>
      <c r="R15" s="4"/>
      <c r="S15" s="17"/>
      <c r="T15" s="17"/>
      <c r="U15" s="17"/>
      <c r="V15" s="17"/>
    </row>
    <row r="16" spans="1:22" ht="16.5" x14ac:dyDescent="0.35">
      <c r="A16" s="139"/>
      <c r="B16" s="14"/>
      <c r="C16" s="16"/>
      <c r="D16" s="16"/>
      <c r="E16" s="16"/>
      <c r="F16" s="16"/>
      <c r="G16" s="16"/>
      <c r="H16" s="16"/>
      <c r="I16" s="17"/>
      <c r="J16" s="16"/>
      <c r="K16" s="13"/>
      <c r="L16" s="13"/>
      <c r="M16" s="13"/>
      <c r="N16" s="3"/>
      <c r="O16" s="17">
        <v>9901</v>
      </c>
      <c r="P16" s="13"/>
      <c r="Q16" s="13"/>
      <c r="R16" s="4"/>
      <c r="S16" s="17"/>
      <c r="T16" s="17"/>
      <c r="U16" s="17"/>
      <c r="V16" s="17"/>
    </row>
    <row r="17" spans="1:22" s="1" customFormat="1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827890</v>
      </c>
      <c r="P17" s="13"/>
      <c r="Q17" s="13"/>
      <c r="R17" s="17"/>
      <c r="S17" s="17"/>
      <c r="T17" s="17"/>
      <c r="U17" s="17"/>
      <c r="V17" s="17"/>
    </row>
    <row r="18" spans="1:22" s="1" customFormat="1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166340</v>
      </c>
      <c r="P18" s="13"/>
      <c r="Q18" s="13"/>
      <c r="R18" s="17"/>
      <c r="S18" s="17"/>
      <c r="T18" s="17"/>
      <c r="U18" s="17"/>
      <c r="V18" s="17"/>
    </row>
    <row r="19" spans="1:22" s="1" customFormat="1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748759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6"/>
      <c r="D20" s="16"/>
      <c r="E20" s="16"/>
      <c r="F20" s="16"/>
      <c r="G20" s="16"/>
      <c r="H20" s="16"/>
      <c r="I20" s="17"/>
      <c r="J20" s="16"/>
      <c r="K20" s="13"/>
      <c r="L20" s="13"/>
      <c r="M20" s="13"/>
      <c r="N20" s="3"/>
      <c r="O20" s="17">
        <v>148954</v>
      </c>
      <c r="P20" s="13"/>
      <c r="Q20" s="13"/>
      <c r="R20" s="4"/>
      <c r="S20" s="17"/>
      <c r="T20" s="17"/>
      <c r="U20" s="17"/>
      <c r="V20" s="17"/>
    </row>
    <row r="21" spans="1:22" s="1" customFormat="1" ht="16.5" x14ac:dyDescent="0.35">
      <c r="A21" s="49"/>
      <c r="B21" s="50"/>
      <c r="C21" s="7"/>
      <c r="D21" s="7"/>
      <c r="E21" s="7"/>
      <c r="F21" s="7"/>
      <c r="G21" s="7"/>
      <c r="H21" s="7"/>
      <c r="I21" s="7"/>
      <c r="J21" s="7"/>
      <c r="K21" s="18"/>
      <c r="L21" s="18"/>
      <c r="M21" s="18"/>
      <c r="N21" s="3"/>
      <c r="O21" s="7"/>
      <c r="P21" s="18"/>
      <c r="Q21" s="18"/>
      <c r="R21" s="7"/>
      <c r="S21" s="7"/>
      <c r="T21" s="7"/>
      <c r="U21" s="7"/>
      <c r="V21" s="7"/>
    </row>
    <row r="22" spans="1:22" s="52" customFormat="1" x14ac:dyDescent="0.35">
      <c r="A22" s="51" t="str">
        <f t="shared" ref="A22:M22" si="0">A4</f>
        <v>Group names</v>
      </c>
      <c r="B22" s="51" t="str">
        <f t="shared" si="0"/>
        <v>Solvent control</v>
      </c>
      <c r="C22" s="51" t="str">
        <f t="shared" si="0"/>
        <v>EE2-33.8ng/L</v>
      </c>
      <c r="D22" s="51" t="str">
        <f t="shared" si="0"/>
        <v>EE2-50.6ng/L</v>
      </c>
      <c r="E22" s="51" t="str">
        <f t="shared" si="0"/>
        <v>EE2-76ng/L</v>
      </c>
      <c r="F22" s="51" t="str">
        <f t="shared" si="0"/>
        <v>EE2-114ng/L</v>
      </c>
      <c r="G22" s="51" t="str">
        <f t="shared" si="0"/>
        <v>EE2-170.9ng/L</v>
      </c>
      <c r="H22" s="51" t="str">
        <f t="shared" si="0"/>
        <v>EE2-488ng/L</v>
      </c>
      <c r="I22" s="51" t="str">
        <f t="shared" si="0"/>
        <v>Fadrozole-0,016ug/L</v>
      </c>
      <c r="J22" s="51" t="str">
        <f t="shared" si="0"/>
        <v>Fadrozole-0,08ug/L</v>
      </c>
      <c r="K22" s="51" t="str">
        <f t="shared" si="0"/>
        <v>Fadrozole-0,4ug/L</v>
      </c>
      <c r="L22" s="51" t="str">
        <f t="shared" si="0"/>
        <v>Fadrozole-2ug/L</v>
      </c>
      <c r="M22" s="51" t="str">
        <f t="shared" si="0"/>
        <v>Fadrozole-10ug/L</v>
      </c>
      <c r="N22" s="51" t="s">
        <v>12</v>
      </c>
      <c r="O22" s="51" t="str">
        <f t="shared" ref="O22:V22" si="1">O4</f>
        <v>Testo -30µg/L</v>
      </c>
      <c r="P22" s="51" t="str">
        <f t="shared" si="1"/>
        <v>Testo 30µg/L + EE2 -64ng/L</v>
      </c>
      <c r="Q22" s="51" t="str">
        <f t="shared" si="1"/>
        <v>Testo 30µg/L + FAD-10mg/L</v>
      </c>
      <c r="R22" s="51" t="str">
        <f t="shared" si="1"/>
        <v>Fadrozole-0,016ug/L + Testostérone</v>
      </c>
      <c r="S22" s="51" t="str">
        <f t="shared" si="1"/>
        <v>Fadrozole-0,08ug/L + Testostérone</v>
      </c>
      <c r="T22" s="51" t="str">
        <f t="shared" si="1"/>
        <v>Fadrozole-0,4ug/L + Testostérone</v>
      </c>
      <c r="U22" s="51" t="str">
        <f t="shared" si="1"/>
        <v>Fadrozole-2ug/L + Testostérone</v>
      </c>
      <c r="V22" s="51" t="str">
        <f t="shared" si="1"/>
        <v>Fadrozole-10ug/L + Testostérone</v>
      </c>
    </row>
    <row r="23" spans="1:22" x14ac:dyDescent="0.35">
      <c r="A23" s="5" t="s">
        <v>0</v>
      </c>
      <c r="B23" s="5">
        <f>AVERAGE(B5:B20)</f>
        <v>89811.625</v>
      </c>
      <c r="C23" s="5">
        <f>AVERAGE(C5:C20)</f>
        <v>247729.75</v>
      </c>
      <c r="D23" s="5">
        <f>AVERAGE(D5:D20)</f>
        <v>936452.125</v>
      </c>
      <c r="E23" s="5">
        <f>AVERAGE(E5:E20)</f>
        <v>2239067.75</v>
      </c>
      <c r="F23" s="5">
        <f t="shared" ref="F23:M23" si="2">AVERAGE(F5:F20)</f>
        <v>3973926.125</v>
      </c>
      <c r="G23" s="5">
        <f t="shared" si="2"/>
        <v>4757718.5</v>
      </c>
      <c r="H23" s="5">
        <f t="shared" si="2"/>
        <v>6890053.375</v>
      </c>
      <c r="I23" s="5">
        <f t="shared" si="2"/>
        <v>110310</v>
      </c>
      <c r="J23" s="5">
        <f t="shared" si="2"/>
        <v>203557.625</v>
      </c>
      <c r="K23" s="5">
        <f t="shared" si="2"/>
        <v>183737.5</v>
      </c>
      <c r="L23" s="5">
        <f t="shared" si="2"/>
        <v>94996.625</v>
      </c>
      <c r="M23" s="5">
        <f t="shared" si="2"/>
        <v>106118</v>
      </c>
      <c r="N23" s="5" t="s">
        <v>0</v>
      </c>
      <c r="O23" s="5">
        <f t="shared" ref="O23:V23" si="3">AVERAGE(O5:O20)</f>
        <v>1076681.25</v>
      </c>
      <c r="P23" s="5">
        <f t="shared" si="3"/>
        <v>4812326.2857142854</v>
      </c>
      <c r="Q23" s="5">
        <f t="shared" si="3"/>
        <v>124160.125</v>
      </c>
      <c r="R23" s="5">
        <f t="shared" si="3"/>
        <v>1509213</v>
      </c>
      <c r="S23" s="5">
        <f t="shared" si="3"/>
        <v>943202.375</v>
      </c>
      <c r="T23" s="5">
        <f t="shared" si="3"/>
        <v>326864.14285714284</v>
      </c>
      <c r="U23" s="5">
        <f t="shared" si="3"/>
        <v>233622.75</v>
      </c>
      <c r="V23" s="5">
        <f t="shared" si="3"/>
        <v>230381.5</v>
      </c>
    </row>
    <row r="24" spans="1:22" x14ac:dyDescent="0.35">
      <c r="A24" s="3" t="s">
        <v>1</v>
      </c>
      <c r="B24" s="3">
        <f>STDEV(B5:B20)</f>
        <v>58200.703004928189</v>
      </c>
      <c r="C24" s="3">
        <f>STDEV(C5:C20)</f>
        <v>310981.91114401771</v>
      </c>
      <c r="D24" s="3">
        <f>STDEV(D5:D20)</f>
        <v>618898.92743563722</v>
      </c>
      <c r="E24" s="3">
        <f>STDEV(E5:E20)</f>
        <v>1272729.7538185676</v>
      </c>
      <c r="F24" s="3">
        <f t="shared" ref="F24:M24" si="4">STDEV(F5:F20)</f>
        <v>1992483.8388117794</v>
      </c>
      <c r="G24" s="3">
        <f t="shared" si="4"/>
        <v>1359452.1808162287</v>
      </c>
      <c r="H24" s="3">
        <f t="shared" si="4"/>
        <v>2225630.1620902102</v>
      </c>
      <c r="I24" s="3">
        <f t="shared" si="4"/>
        <v>55852.955995440127</v>
      </c>
      <c r="J24" s="3">
        <f t="shared" si="4"/>
        <v>223263.48922865462</v>
      </c>
      <c r="K24" s="3">
        <f t="shared" si="4"/>
        <v>169267.88541497511</v>
      </c>
      <c r="L24" s="3">
        <f t="shared" si="4"/>
        <v>95978.774522491614</v>
      </c>
      <c r="M24" s="3">
        <f t="shared" si="4"/>
        <v>64484.766158926475</v>
      </c>
      <c r="N24" s="3" t="s">
        <v>1</v>
      </c>
      <c r="O24" s="3">
        <f t="shared" ref="O24:V24" si="5">STDEV(O5:O20)</f>
        <v>944782.76821835258</v>
      </c>
      <c r="P24" s="3">
        <f t="shared" si="5"/>
        <v>2153869.6242571352</v>
      </c>
      <c r="Q24" s="3">
        <f t="shared" si="5"/>
        <v>99894.957353694423</v>
      </c>
      <c r="R24" s="3">
        <f t="shared" si="5"/>
        <v>1170130.5559007081</v>
      </c>
      <c r="S24" s="3">
        <f t="shared" si="5"/>
        <v>816239.43324316607</v>
      </c>
      <c r="T24" s="3">
        <f t="shared" si="5"/>
        <v>283028.35198523168</v>
      </c>
      <c r="U24" s="3">
        <f t="shared" si="5"/>
        <v>192218.82839822356</v>
      </c>
      <c r="V24" s="3">
        <f t="shared" si="5"/>
        <v>212700.03779568474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s="1" customFormat="1" x14ac:dyDescent="0.35">
      <c r="A27" s="19" t="str">
        <f>A4</f>
        <v>Group names</v>
      </c>
      <c r="B27" s="20" t="str">
        <f t="shared" ref="B27:M27" si="6">B4</f>
        <v>Solvent control</v>
      </c>
      <c r="C27" s="20" t="str">
        <f t="shared" si="6"/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Fadrozole-0,016ug/L</v>
      </c>
      <c r="J27" s="20" t="str">
        <f t="shared" si="6"/>
        <v>Fadrozole-0,08ug/L</v>
      </c>
      <c r="K27" s="20" t="str">
        <f t="shared" si="6"/>
        <v>Fadrozole-0,4ug/L</v>
      </c>
      <c r="L27" s="20" t="str">
        <f t="shared" si="6"/>
        <v>Fadrozole-2ug/L</v>
      </c>
      <c r="M27" s="20" t="str">
        <f t="shared" si="6"/>
        <v>Fadrozole-10ug/L</v>
      </c>
      <c r="N27" s="3"/>
      <c r="O27" s="21" t="str">
        <f t="shared" ref="O27:V27" si="7">O4</f>
        <v>Testo -30µg/L</v>
      </c>
      <c r="P27" s="21" t="str">
        <f t="shared" si="7"/>
        <v>Testo 30µg/L + EE2 -64ng/L</v>
      </c>
      <c r="Q27" s="21" t="str">
        <f t="shared" si="7"/>
        <v>Testo 30µg/L + FAD-10mg/L</v>
      </c>
      <c r="R27" s="21" t="str">
        <f t="shared" si="7"/>
        <v>Fadrozole-0,016ug/L + Testostérone</v>
      </c>
      <c r="S27" s="21" t="str">
        <f t="shared" si="7"/>
        <v>Fadrozole-0,08ug/L + Testostérone</v>
      </c>
      <c r="T27" s="21" t="str">
        <f t="shared" si="7"/>
        <v>Fadrozole-0,4ug/L + Testostérone</v>
      </c>
      <c r="U27" s="21" t="str">
        <f t="shared" si="7"/>
        <v>Fadrozole-2ug/L + Testostérone</v>
      </c>
      <c r="V27" s="21" t="str">
        <f t="shared" si="7"/>
        <v>Fadrozole-10ug/L + Testostérone</v>
      </c>
    </row>
    <row r="28" spans="1:22" x14ac:dyDescent="0.35">
      <c r="A28" s="140" t="s">
        <v>36</v>
      </c>
      <c r="B28" s="11">
        <f t="shared" ref="B28:E35" si="8">IF(B5="","",(B5/$O$23))</f>
        <v>1.3150595870411973E-2</v>
      </c>
      <c r="C28" s="11">
        <f t="shared" si="8"/>
        <v>0.92970691186458387</v>
      </c>
      <c r="D28" s="11">
        <f t="shared" si="8"/>
        <v>0.56153295137256265</v>
      </c>
      <c r="E28" s="11">
        <f t="shared" si="8"/>
        <v>0.56180044000952001</v>
      </c>
      <c r="F28" s="11">
        <f t="shared" ref="F28:M28" si="9">IF(F5="","",(F5/$O$23))</f>
        <v>4.5338831710870791</v>
      </c>
      <c r="G28" s="11">
        <f t="shared" si="9"/>
        <v>6.1451594889388108</v>
      </c>
      <c r="H28" s="11">
        <f t="shared" si="9"/>
        <v>5.9189885585915052</v>
      </c>
      <c r="I28" s="11">
        <f t="shared" ref="I28:L35" si="10">IF(I5="","",(I5/$O$23))</f>
        <v>2.5448571710522498E-2</v>
      </c>
      <c r="J28" s="11">
        <f t="shared" si="10"/>
        <v>0.10170791030307252</v>
      </c>
      <c r="K28" s="11">
        <f t="shared" si="10"/>
        <v>0.15732975753037401</v>
      </c>
      <c r="L28" s="11">
        <f t="shared" si="10"/>
        <v>1.0191502824071655E-2</v>
      </c>
      <c r="M28" s="11">
        <f t="shared" si="9"/>
        <v>3.1632388880181578E-2</v>
      </c>
      <c r="N28" s="6"/>
      <c r="O28" s="11">
        <f t="shared" ref="O28:V37" si="11">IF(O5="","",(O5/$O$23))</f>
        <v>1.0427960921581945</v>
      </c>
      <c r="P28" s="11">
        <f t="shared" ref="P28" si="12">IF(P5="","",(P5/$O$23))</f>
        <v>8.2648137505877433</v>
      </c>
      <c r="Q28" s="11">
        <f t="shared" si="11"/>
        <v>7.0343938839837694E-2</v>
      </c>
      <c r="R28" s="11">
        <f t="shared" si="11"/>
        <v>1.7526979317230611</v>
      </c>
      <c r="S28" s="11">
        <f t="shared" si="11"/>
        <v>1.4099391068619427</v>
      </c>
      <c r="T28" s="11">
        <f t="shared" si="11"/>
        <v>0.55647110043014125</v>
      </c>
      <c r="U28" s="11">
        <f t="shared" si="11"/>
        <v>6.2158600792945919E-2</v>
      </c>
      <c r="V28" s="11">
        <f t="shared" si="11"/>
        <v>0.13248953671293151</v>
      </c>
    </row>
    <row r="29" spans="1:22" x14ac:dyDescent="0.35">
      <c r="A29" s="141"/>
      <c r="B29" s="11">
        <f t="shared" si="8"/>
        <v>2.6357847320179487E-2</v>
      </c>
      <c r="C29" s="11">
        <f t="shared" si="8"/>
        <v>6.7529735471849262E-2</v>
      </c>
      <c r="D29" s="11">
        <f t="shared" si="8"/>
        <v>1.5109560048528754</v>
      </c>
      <c r="E29" s="11">
        <f t="shared" si="8"/>
        <v>1.0377704636353611</v>
      </c>
      <c r="F29" s="11">
        <f t="shared" ref="F29:M29" si="13">IF(F6="","",(F6/$O$23))</f>
        <v>1.6079354962297336</v>
      </c>
      <c r="G29" s="11">
        <f t="shared" si="13"/>
        <v>5.152702343428011</v>
      </c>
      <c r="H29" s="11">
        <f t="shared" si="13"/>
        <v>8.3432399328956457</v>
      </c>
      <c r="I29" s="11">
        <f t="shared" si="10"/>
        <v>0.15090631512344066</v>
      </c>
      <c r="J29" s="11">
        <f t="shared" si="10"/>
        <v>5.723978196889748E-2</v>
      </c>
      <c r="K29" s="11">
        <f t="shared" si="10"/>
        <v>5.8003239120213157E-2</v>
      </c>
      <c r="L29" s="11">
        <f t="shared" si="10"/>
        <v>7.9596445094590434E-2</v>
      </c>
      <c r="M29" s="11">
        <f t="shared" si="13"/>
        <v>9.1277711021716043E-2</v>
      </c>
      <c r="N29" s="6"/>
      <c r="O29" s="11">
        <f t="shared" si="11"/>
        <v>1.0581348936837156</v>
      </c>
      <c r="P29" s="11">
        <f t="shared" ref="P29" si="14">IF(P6="","",(P6/$O$23))</f>
        <v>3.5037862877244308</v>
      </c>
      <c r="Q29" s="11">
        <f t="shared" si="11"/>
        <v>7.889800254253522E-2</v>
      </c>
      <c r="R29" s="11">
        <f t="shared" si="11"/>
        <v>2.901534692835043</v>
      </c>
      <c r="S29" s="11">
        <f t="shared" si="11"/>
        <v>0.5606877615821767</v>
      </c>
      <c r="T29" s="11">
        <f t="shared" si="11"/>
        <v>7.1429682647487364E-2</v>
      </c>
      <c r="U29" s="11">
        <f t="shared" si="11"/>
        <v>7.9540718295224334E-3</v>
      </c>
      <c r="V29" s="11">
        <f t="shared" si="11"/>
        <v>0.63379110577062614</v>
      </c>
    </row>
    <row r="30" spans="1:22" x14ac:dyDescent="0.35">
      <c r="A30" s="141"/>
      <c r="B30" s="11">
        <f t="shared" si="8"/>
        <v>0.11285884285623066</v>
      </c>
      <c r="C30" s="11">
        <f t="shared" si="8"/>
        <v>8.6587372075068642E-2</v>
      </c>
      <c r="D30" s="11">
        <f t="shared" si="8"/>
        <v>0.17861739488822714</v>
      </c>
      <c r="E30" s="11">
        <f t="shared" si="8"/>
        <v>1.8435558341895524</v>
      </c>
      <c r="F30" s="11">
        <f t="shared" ref="F30:M30" si="15">IF(F7="","",(F7/$O$23))</f>
        <v>4.2662905107709452</v>
      </c>
      <c r="G30" s="11">
        <f t="shared" si="15"/>
        <v>4.1558873622067809</v>
      </c>
      <c r="H30" s="11">
        <f t="shared" si="15"/>
        <v>6.7023151002211661</v>
      </c>
      <c r="I30" s="11">
        <f t="shared" si="10"/>
        <v>0.14331260992981906</v>
      </c>
      <c r="J30" s="11">
        <f t="shared" si="10"/>
        <v>0.30937011302091494</v>
      </c>
      <c r="K30" s="11">
        <f t="shared" si="10"/>
        <v>9.1849839495208072E-2</v>
      </c>
      <c r="L30" s="11">
        <f t="shared" si="10"/>
        <v>0.12999204732134045</v>
      </c>
      <c r="M30" s="11">
        <f t="shared" si="15"/>
        <v>7.9817494732076E-2</v>
      </c>
      <c r="N30" s="6"/>
      <c r="O30" s="11">
        <f t="shared" si="11"/>
        <v>1.8375717047176219</v>
      </c>
      <c r="P30" s="11">
        <f t="shared" ref="P30" si="16">IF(P7="","",(P7/$O$23))</f>
        <v>2.8144559961455631</v>
      </c>
      <c r="Q30" s="11">
        <f t="shared" si="11"/>
        <v>7.3799000400536371E-2</v>
      </c>
      <c r="R30" s="11">
        <f t="shared" si="11"/>
        <v>7.8092750291694962E-2</v>
      </c>
      <c r="S30" s="11">
        <f t="shared" si="11"/>
        <v>1.3954594268266489</v>
      </c>
      <c r="T30" s="11">
        <f t="shared" si="11"/>
        <v>4.3316441147275481E-2</v>
      </c>
      <c r="U30" s="11">
        <f t="shared" si="11"/>
        <v>0.12602801432643135</v>
      </c>
      <c r="V30" s="11">
        <f t="shared" si="11"/>
        <v>0.13626316981000644</v>
      </c>
    </row>
    <row r="31" spans="1:22" x14ac:dyDescent="0.35">
      <c r="A31" s="141"/>
      <c r="B31" s="11">
        <f t="shared" si="8"/>
        <v>8.0315320806413223E-2</v>
      </c>
      <c r="C31" s="11">
        <f t="shared" si="8"/>
        <v>0.10610475477305842</v>
      </c>
      <c r="D31" s="11">
        <f t="shared" si="8"/>
        <v>0.89111981842351207</v>
      </c>
      <c r="E31" s="11">
        <f t="shared" si="8"/>
        <v>2.0062808746785552</v>
      </c>
      <c r="F31" s="11">
        <f t="shared" ref="F31:M31" si="17">IF(F8="","",(F8/$O$23))</f>
        <v>7.1121457720193417</v>
      </c>
      <c r="G31" s="11">
        <f t="shared" si="17"/>
        <v>4.4996808479761308</v>
      </c>
      <c r="H31" s="11">
        <f t="shared" si="17"/>
        <v>5.438759149934115</v>
      </c>
      <c r="I31" s="11">
        <f t="shared" si="10"/>
        <v>0.10635738293018476</v>
      </c>
      <c r="J31" s="11">
        <f t="shared" si="10"/>
        <v>9.2218565151013815E-2</v>
      </c>
      <c r="K31" s="11">
        <f t="shared" si="10"/>
        <v>0.45552664727838438</v>
      </c>
      <c r="L31" s="11">
        <f t="shared" si="10"/>
        <v>6.0277821314339786E-2</v>
      </c>
      <c r="M31" s="11">
        <f t="shared" si="17"/>
        <v>4.1910268243270696E-2</v>
      </c>
      <c r="N31" s="6"/>
      <c r="O31" s="11">
        <f t="shared" si="11"/>
        <v>0.36641949509197824</v>
      </c>
      <c r="P31" s="11">
        <f t="shared" ref="P31" si="18">IF(P8="","",(P8/$O$23))</f>
        <v>5.8157500188658435</v>
      </c>
      <c r="Q31" s="11">
        <f t="shared" si="11"/>
        <v>0.20714858738368483</v>
      </c>
      <c r="R31" s="11">
        <f t="shared" si="11"/>
        <v>1.6182226633927173</v>
      </c>
      <c r="S31" s="11">
        <f t="shared" si="11"/>
        <v>2.2075484271691366</v>
      </c>
      <c r="T31" s="11">
        <f t="shared" si="11"/>
        <v>0.75135793439330345</v>
      </c>
      <c r="U31" s="11">
        <f t="shared" si="11"/>
        <v>0.50139723339660647</v>
      </c>
      <c r="V31" s="11">
        <f t="shared" si="11"/>
        <v>0.37912706290742965</v>
      </c>
    </row>
    <row r="32" spans="1:22" x14ac:dyDescent="0.35">
      <c r="A32" s="141"/>
      <c r="B32" s="11">
        <f t="shared" si="8"/>
        <v>0.16167551910094097</v>
      </c>
      <c r="C32" s="11">
        <f t="shared" si="8"/>
        <v>0.20183782340409476</v>
      </c>
      <c r="D32" s="11">
        <f t="shared" si="8"/>
        <v>0.7776702714940007</v>
      </c>
      <c r="E32" s="11">
        <f t="shared" si="8"/>
        <v>4.4148980954205346</v>
      </c>
      <c r="F32" s="11">
        <f t="shared" ref="F32:M32" si="19">IF(F9="","",(F9/$O$23))</f>
        <v>1.5278300797009328</v>
      </c>
      <c r="G32" s="11">
        <f t="shared" si="19"/>
        <v>2.545861182220829</v>
      </c>
      <c r="H32" s="11">
        <f t="shared" si="19"/>
        <v>4.7792584852759346</v>
      </c>
      <c r="I32" s="11">
        <f t="shared" si="10"/>
        <v>0.13284340188890631</v>
      </c>
      <c r="J32" s="11">
        <f t="shared" si="10"/>
        <v>0.65738118872228901</v>
      </c>
      <c r="K32" s="11">
        <f t="shared" si="10"/>
        <v>6.4383028867643043E-3</v>
      </c>
      <c r="L32" s="11">
        <f t="shared" si="10"/>
        <v>0.28811684052267095</v>
      </c>
      <c r="M32" s="11">
        <f t="shared" si="19"/>
        <v>6.7810227028658673E-2</v>
      </c>
      <c r="N32" s="6"/>
      <c r="O32" s="11">
        <f t="shared" si="11"/>
        <v>3.5073360848440522</v>
      </c>
      <c r="P32" s="11">
        <f t="shared" ref="P32" si="20">IF(P9="","",(P9/$O$23))</f>
        <v>3.3273023004719362</v>
      </c>
      <c r="Q32" s="11">
        <f t="shared" si="11"/>
        <v>1.7788923137651E-2</v>
      </c>
      <c r="R32" s="11">
        <f t="shared" si="11"/>
        <v>0.65808613273427019</v>
      </c>
      <c r="S32" s="11">
        <f t="shared" si="11"/>
        <v>0.18939588666562179</v>
      </c>
      <c r="T32" s="11">
        <f t="shared" si="11"/>
        <v>0.27093719705808939</v>
      </c>
      <c r="U32" s="11">
        <f t="shared" si="11"/>
        <v>0.30443829127701444</v>
      </c>
      <c r="V32" s="11">
        <f t="shared" si="11"/>
        <v>0.14276741607602064</v>
      </c>
    </row>
    <row r="33" spans="1:22" x14ac:dyDescent="0.35">
      <c r="A33" s="141"/>
      <c r="B33" s="11">
        <f t="shared" si="8"/>
        <v>5.7132972270112443E-2</v>
      </c>
      <c r="C33" s="11">
        <f t="shared" si="8"/>
        <v>6.1083073565180036E-2</v>
      </c>
      <c r="D33" s="11">
        <f t="shared" si="8"/>
        <v>1.6608267302880959</v>
      </c>
      <c r="E33" s="11">
        <f t="shared" si="8"/>
        <v>2.9178106333699039</v>
      </c>
      <c r="F33" s="11">
        <f t="shared" ref="F33:M33" si="21">IF(F10="","",(F10/$O$23))</f>
        <v>2.4843824483801495</v>
      </c>
      <c r="G33" s="11">
        <f t="shared" si="21"/>
        <v>2.8591832540967905</v>
      </c>
      <c r="H33" s="11">
        <f t="shared" si="21"/>
        <v>6.6920344345181082</v>
      </c>
      <c r="I33" s="11">
        <f t="shared" si="10"/>
        <v>0.14716054542604878</v>
      </c>
      <c r="J33" s="11">
        <f t="shared" si="10"/>
        <v>0.16163558156139526</v>
      </c>
      <c r="K33" s="11">
        <f t="shared" si="10"/>
        <v>0.19091815706830598</v>
      </c>
      <c r="L33" s="11">
        <f t="shared" si="10"/>
        <v>1.78762284566579E-2</v>
      </c>
      <c r="M33" s="11">
        <f t="shared" si="21"/>
        <v>0.16622375470920478</v>
      </c>
      <c r="N33" s="6"/>
      <c r="O33" s="11">
        <f t="shared" si="11"/>
        <v>1.0948960056655579</v>
      </c>
      <c r="P33" s="11">
        <f t="shared" ref="P33" si="22">IF(P10="","",(P10/$O$23))</f>
        <v>2.8138931554719653</v>
      </c>
      <c r="Q33" s="11">
        <f t="shared" si="11"/>
        <v>0.2296324933679304</v>
      </c>
      <c r="R33" s="11" t="str">
        <f t="shared" si="11"/>
        <v/>
      </c>
      <c r="S33" s="11">
        <f t="shared" si="11"/>
        <v>2.4406480562376282E-2</v>
      </c>
      <c r="T33" s="11">
        <f t="shared" si="11"/>
        <v>0.29337280648288433</v>
      </c>
      <c r="U33" s="11">
        <f t="shared" si="11"/>
        <v>0.28698187137558123</v>
      </c>
      <c r="V33" s="11">
        <f t="shared" si="11"/>
        <v>0.17723629904393709</v>
      </c>
    </row>
    <row r="34" spans="1:22" x14ac:dyDescent="0.35">
      <c r="A34" s="141"/>
      <c r="B34" s="11">
        <f t="shared" si="8"/>
        <v>6.6873088019318627E-2</v>
      </c>
      <c r="C34" s="11">
        <f t="shared" si="8"/>
        <v>0.18550336972989917</v>
      </c>
      <c r="D34" s="11">
        <f t="shared" si="8"/>
        <v>1.2493883403282076</v>
      </c>
      <c r="E34" s="11">
        <f t="shared" si="8"/>
        <v>2.1808199966331725</v>
      </c>
      <c r="F34" s="11">
        <f t="shared" ref="F34:M34" si="23">IF(F11="","",(F11/$O$23))</f>
        <v>4.5287581631053762</v>
      </c>
      <c r="G34" s="11">
        <f t="shared" si="23"/>
        <v>4.3042088826196236</v>
      </c>
      <c r="H34" s="11">
        <f t="shared" si="23"/>
        <v>3.3403915968630455</v>
      </c>
      <c r="I34" s="11">
        <f t="shared" si="10"/>
        <v>8.6670033494128371E-2</v>
      </c>
      <c r="J34" s="11">
        <f t="shared" si="10"/>
        <v>9.8079166884349478E-2</v>
      </c>
      <c r="K34" s="11">
        <f t="shared" si="10"/>
        <v>0.34982405424075136</v>
      </c>
      <c r="L34" s="11">
        <f t="shared" si="10"/>
        <v>4.5306816664634958E-2</v>
      </c>
      <c r="M34" s="11">
        <f t="shared" si="23"/>
        <v>0.10419425433479036</v>
      </c>
      <c r="N34" s="6"/>
      <c r="O34" s="11">
        <f t="shared" si="11"/>
        <v>0.1474911911022877</v>
      </c>
      <c r="P34" s="11">
        <f t="shared" ref="P34" si="24">IF(P11="","",(P11/$O$23))</f>
        <v>4.7471449883612253</v>
      </c>
      <c r="Q34" s="11">
        <f t="shared" si="11"/>
        <v>0.2321680627390883</v>
      </c>
      <c r="R34" s="11" t="str">
        <f t="shared" si="11"/>
        <v/>
      </c>
      <c r="S34" s="11">
        <f t="shared" si="11"/>
        <v>0.25124148860212808</v>
      </c>
      <c r="T34" s="11">
        <f t="shared" si="11"/>
        <v>0.13820896388787304</v>
      </c>
      <c r="U34" s="11">
        <f t="shared" si="11"/>
        <v>5.9676900661175258E-2</v>
      </c>
      <c r="V34" s="11">
        <f t="shared" si="11"/>
        <v>6.038555979311426E-2</v>
      </c>
    </row>
    <row r="35" spans="1:22" x14ac:dyDescent="0.35">
      <c r="A35" s="141"/>
      <c r="B35" s="11">
        <f t="shared" si="8"/>
        <v>0.14895773470560578</v>
      </c>
      <c r="C35" s="11">
        <f t="shared" si="8"/>
        <v>0.2023384358184003</v>
      </c>
      <c r="D35" s="11">
        <f t="shared" si="8"/>
        <v>0.12795244646454093</v>
      </c>
      <c r="E35" s="11">
        <f t="shared" si="8"/>
        <v>1.6738742315796806</v>
      </c>
      <c r="F35" s="11">
        <f t="shared" ref="F35:M35" si="25">IF(F12="","",(F12/$O$23))</f>
        <v>3.4659988738542626</v>
      </c>
      <c r="G35" s="11">
        <f t="shared" si="25"/>
        <v>5.6883065438355134</v>
      </c>
      <c r="H35" s="11">
        <f t="shared" si="25"/>
        <v>9.9797623484202038</v>
      </c>
      <c r="I35" s="11">
        <f t="shared" si="10"/>
        <v>2.6930904573660961E-2</v>
      </c>
      <c r="J35" s="11">
        <f t="shared" si="10"/>
        <v>3.4849682763584862E-2</v>
      </c>
      <c r="K35" s="11">
        <f t="shared" si="10"/>
        <v>5.5323708850692814E-2</v>
      </c>
      <c r="L35" s="11">
        <f t="shared" si="10"/>
        <v>7.4490012712676107E-2</v>
      </c>
      <c r="M35" s="11">
        <f t="shared" si="25"/>
        <v>0.20561610040111686</v>
      </c>
      <c r="N35" s="6"/>
      <c r="O35" s="11">
        <f t="shared" si="11"/>
        <v>0.70929999013171263</v>
      </c>
      <c r="P35" s="11" t="str">
        <f t="shared" ref="P35" si="26">IF(P12="","",(P12/$O$23))</f>
        <v/>
      </c>
      <c r="Q35" s="11">
        <f t="shared" si="11"/>
        <v>1.2760508274849218E-2</v>
      </c>
      <c r="R35" s="11" t="str">
        <f t="shared" si="11"/>
        <v/>
      </c>
      <c r="S35" s="11">
        <f t="shared" si="11"/>
        <v>0.96954135683146703</v>
      </c>
      <c r="T35" s="11" t="str">
        <f t="shared" si="11"/>
        <v/>
      </c>
      <c r="U35" s="11">
        <f t="shared" si="11"/>
        <v>0.38723809855516661</v>
      </c>
      <c r="V35" s="11">
        <f t="shared" si="11"/>
        <v>4.9729666974325036E-2</v>
      </c>
    </row>
    <row r="36" spans="1:22" s="1" customFormat="1" x14ac:dyDescent="0.35">
      <c r="A36" s="141"/>
      <c r="B36" s="11" t="str">
        <f t="shared" ref="B36:M36" si="27">IF(B13="","",(B13/$O$23))</f>
        <v/>
      </c>
      <c r="C36" s="11" t="str">
        <f t="shared" si="27"/>
        <v/>
      </c>
      <c r="D36" s="11" t="str">
        <f t="shared" si="27"/>
        <v/>
      </c>
      <c r="E36" s="11" t="str">
        <f t="shared" si="27"/>
        <v/>
      </c>
      <c r="F36" s="11" t="str">
        <f t="shared" si="27"/>
        <v/>
      </c>
      <c r="G36" s="11" t="str">
        <f t="shared" si="27"/>
        <v/>
      </c>
      <c r="H36" s="11" t="str">
        <f t="shared" si="27"/>
        <v/>
      </c>
      <c r="I36" s="11" t="str">
        <f t="shared" si="27"/>
        <v/>
      </c>
      <c r="J36" s="11" t="str">
        <f t="shared" si="27"/>
        <v/>
      </c>
      <c r="K36" s="11" t="str">
        <f t="shared" si="27"/>
        <v/>
      </c>
      <c r="L36" s="11" t="str">
        <f t="shared" si="27"/>
        <v/>
      </c>
      <c r="M36" s="11" t="str">
        <f t="shared" si="27"/>
        <v/>
      </c>
      <c r="N36" s="6"/>
      <c r="O36" s="11">
        <f t="shared" si="11"/>
        <v>1.4516125362079073</v>
      </c>
      <c r="P36" s="11" t="str">
        <f t="shared" ref="P36" si="28">IF(P13="","",(P13/$O$23))</f>
        <v/>
      </c>
      <c r="Q36" s="11" t="str">
        <f t="shared" si="11"/>
        <v/>
      </c>
      <c r="R36" s="11" t="str">
        <f t="shared" si="11"/>
        <v/>
      </c>
      <c r="S36" s="11" t="str">
        <f t="shared" si="11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s="1" customFormat="1" x14ac:dyDescent="0.35">
      <c r="A37" s="141"/>
      <c r="B37" s="11" t="str">
        <f t="shared" ref="B37:M37" si="29">IF(B14="","",(B14/$O$23))</f>
        <v/>
      </c>
      <c r="C37" s="11" t="str">
        <f t="shared" si="29"/>
        <v/>
      </c>
      <c r="D37" s="11" t="str">
        <f t="shared" si="29"/>
        <v/>
      </c>
      <c r="E37" s="11" t="str">
        <f t="shared" si="29"/>
        <v/>
      </c>
      <c r="F37" s="11" t="str">
        <f t="shared" si="29"/>
        <v/>
      </c>
      <c r="G37" s="11" t="str">
        <f t="shared" si="29"/>
        <v/>
      </c>
      <c r="H37" s="11" t="str">
        <f t="shared" si="29"/>
        <v/>
      </c>
      <c r="I37" s="11" t="str">
        <f t="shared" si="29"/>
        <v/>
      </c>
      <c r="J37" s="11" t="str">
        <f t="shared" si="29"/>
        <v/>
      </c>
      <c r="K37" s="11" t="str">
        <f t="shared" si="29"/>
        <v/>
      </c>
      <c r="L37" s="11" t="str">
        <f t="shared" si="29"/>
        <v/>
      </c>
      <c r="M37" s="11" t="str">
        <f t="shared" si="29"/>
        <v/>
      </c>
      <c r="N37" s="6"/>
      <c r="O37" s="11">
        <f t="shared" si="11"/>
        <v>1.3918724785074506</v>
      </c>
      <c r="P37" s="11" t="str">
        <f t="shared" ref="P37" si="30">IF(P14="","",(P14/$O$23))</f>
        <v/>
      </c>
      <c r="Q37" s="11" t="str">
        <f t="shared" si="11"/>
        <v/>
      </c>
      <c r="R37" s="11" t="str">
        <f t="shared" si="11"/>
        <v/>
      </c>
      <c r="S37" s="11" t="str">
        <f t="shared" si="11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s="1" customFormat="1" x14ac:dyDescent="0.35">
      <c r="A38" s="141"/>
      <c r="B38" s="11" t="str">
        <f t="shared" ref="B38:M38" si="31">IF(B15="","",(B15/$O$23))</f>
        <v/>
      </c>
      <c r="C38" s="11" t="str">
        <f t="shared" si="31"/>
        <v/>
      </c>
      <c r="D38" s="11" t="str">
        <f t="shared" si="31"/>
        <v/>
      </c>
      <c r="E38" s="11" t="str">
        <f t="shared" si="31"/>
        <v/>
      </c>
      <c r="F38" s="11" t="str">
        <f t="shared" si="31"/>
        <v/>
      </c>
      <c r="G38" s="11" t="str">
        <f t="shared" si="31"/>
        <v/>
      </c>
      <c r="H38" s="11" t="str">
        <f t="shared" si="31"/>
        <v/>
      </c>
      <c r="I38" s="11" t="str">
        <f t="shared" si="31"/>
        <v/>
      </c>
      <c r="J38" s="11" t="str">
        <f t="shared" si="31"/>
        <v/>
      </c>
      <c r="K38" s="11" t="str">
        <f t="shared" si="31"/>
        <v/>
      </c>
      <c r="L38" s="11" t="str">
        <f t="shared" si="31"/>
        <v/>
      </c>
      <c r="M38" s="11" t="str">
        <f t="shared" si="31"/>
        <v/>
      </c>
      <c r="N38" s="6"/>
      <c r="O38" s="11">
        <f t="shared" ref="O38:R38" si="32">IF(O15="","",(O15/$O$23))</f>
        <v>1.6261748776622609</v>
      </c>
      <c r="P38" s="11" t="str">
        <f t="shared" ref="P38" si="33">IF(P15="","",(P15/$O$23))</f>
        <v/>
      </c>
      <c r="Q38" s="11" t="str">
        <f t="shared" si="32"/>
        <v/>
      </c>
      <c r="R38" s="11" t="str">
        <f t="shared" si="32"/>
        <v/>
      </c>
      <c r="S38" s="11" t="str">
        <f t="shared" ref="S38:V43" si="34">IF(S15="","",(S15/$O$23))</f>
        <v/>
      </c>
      <c r="T38" s="11" t="str">
        <f t="shared" si="34"/>
        <v/>
      </c>
      <c r="U38" s="11" t="str">
        <f t="shared" si="34"/>
        <v/>
      </c>
      <c r="V38" s="11" t="str">
        <f t="shared" si="34"/>
        <v/>
      </c>
    </row>
    <row r="39" spans="1:22" s="1" customFormat="1" x14ac:dyDescent="0.35">
      <c r="A39" s="141"/>
      <c r="B39" s="11" t="str">
        <f t="shared" ref="B39:M39" si="35">IF(B16="","",(B16/$O$23))</f>
        <v/>
      </c>
      <c r="C39" s="11" t="str">
        <f t="shared" si="35"/>
        <v/>
      </c>
      <c r="D39" s="11" t="str">
        <f t="shared" si="35"/>
        <v/>
      </c>
      <c r="E39" s="11" t="str">
        <f t="shared" si="35"/>
        <v/>
      </c>
      <c r="F39" s="11" t="str">
        <f t="shared" si="35"/>
        <v/>
      </c>
      <c r="G39" s="11" t="str">
        <f t="shared" si="35"/>
        <v/>
      </c>
      <c r="H39" s="11" t="str">
        <f t="shared" si="35"/>
        <v/>
      </c>
      <c r="I39" s="11" t="str">
        <f t="shared" si="35"/>
        <v/>
      </c>
      <c r="J39" s="11" t="str">
        <f t="shared" si="35"/>
        <v/>
      </c>
      <c r="K39" s="11" t="str">
        <f t="shared" si="35"/>
        <v/>
      </c>
      <c r="L39" s="11" t="str">
        <f t="shared" si="35"/>
        <v/>
      </c>
      <c r="M39" s="11" t="str">
        <f t="shared" si="35"/>
        <v/>
      </c>
      <c r="N39" s="6"/>
      <c r="O39" s="11">
        <f t="shared" ref="O39:R39" si="36">IF(O16="","",(O16/$O$23))</f>
        <v>9.1958506753971984E-3</v>
      </c>
      <c r="P39" s="11" t="str">
        <f t="shared" ref="P39" si="37">IF(P16="","",(P16/$O$23))</f>
        <v/>
      </c>
      <c r="Q39" s="11" t="str">
        <f t="shared" si="36"/>
        <v/>
      </c>
      <c r="R39" s="11" t="str">
        <f t="shared" si="36"/>
        <v/>
      </c>
      <c r="S39" s="11" t="str">
        <f t="shared" si="34"/>
        <v/>
      </c>
      <c r="T39" s="11" t="str">
        <f t="shared" si="34"/>
        <v/>
      </c>
      <c r="U39" s="11" t="str">
        <f t="shared" si="34"/>
        <v/>
      </c>
      <c r="V39" s="11" t="str">
        <f t="shared" si="34"/>
        <v/>
      </c>
    </row>
    <row r="40" spans="1:22" s="1" customFormat="1" x14ac:dyDescent="0.35">
      <c r="A40" s="141"/>
      <c r="B40" s="11" t="str">
        <f t="shared" ref="B40:M40" si="38">IF(B17="","",(B17/$O$23))</f>
        <v/>
      </c>
      <c r="C40" s="11" t="str">
        <f t="shared" si="38"/>
        <v/>
      </c>
      <c r="D40" s="11" t="str">
        <f t="shared" si="38"/>
        <v/>
      </c>
      <c r="E40" s="11" t="str">
        <f t="shared" si="38"/>
        <v/>
      </c>
      <c r="F40" s="11" t="str">
        <f t="shared" si="38"/>
        <v/>
      </c>
      <c r="G40" s="11" t="str">
        <f t="shared" si="38"/>
        <v/>
      </c>
      <c r="H40" s="11" t="str">
        <f t="shared" si="38"/>
        <v/>
      </c>
      <c r="I40" s="11" t="str">
        <f t="shared" si="38"/>
        <v/>
      </c>
      <c r="J40" s="11" t="str">
        <f t="shared" si="38"/>
        <v/>
      </c>
      <c r="K40" s="11" t="str">
        <f t="shared" si="38"/>
        <v/>
      </c>
      <c r="L40" s="11" t="str">
        <f t="shared" si="38"/>
        <v/>
      </c>
      <c r="M40" s="11" t="str">
        <f t="shared" si="38"/>
        <v/>
      </c>
      <c r="N40" s="6"/>
      <c r="O40" s="11">
        <f t="shared" ref="O40:R40" si="39">IF(O17="","",(O17/$O$23))</f>
        <v>0.76892766545344782</v>
      </c>
      <c r="P40" s="11" t="str">
        <f t="shared" ref="P40" si="40">IF(P17="","",(P17/$O$23))</f>
        <v/>
      </c>
      <c r="Q40" s="11" t="str">
        <f t="shared" si="39"/>
        <v/>
      </c>
      <c r="R40" s="11" t="str">
        <f t="shared" si="39"/>
        <v/>
      </c>
      <c r="S40" s="11" t="str">
        <f t="shared" si="34"/>
        <v/>
      </c>
      <c r="T40" s="11" t="str">
        <f t="shared" si="34"/>
        <v/>
      </c>
      <c r="U40" s="11" t="str">
        <f t="shared" si="34"/>
        <v/>
      </c>
      <c r="V40" s="11" t="str">
        <f t="shared" si="34"/>
        <v/>
      </c>
    </row>
    <row r="41" spans="1:22" s="1" customFormat="1" x14ac:dyDescent="0.35">
      <c r="A41" s="141"/>
      <c r="B41" s="11" t="str">
        <f t="shared" ref="B41:M41" si="41">IF(B18="","",(B18/$O$23))</f>
        <v/>
      </c>
      <c r="C41" s="11" t="str">
        <f t="shared" si="41"/>
        <v/>
      </c>
      <c r="D41" s="11" t="str">
        <f t="shared" si="41"/>
        <v/>
      </c>
      <c r="E41" s="11" t="str">
        <f t="shared" si="41"/>
        <v/>
      </c>
      <c r="F41" s="11" t="str">
        <f t="shared" si="41"/>
        <v/>
      </c>
      <c r="G41" s="11" t="str">
        <f t="shared" si="41"/>
        <v/>
      </c>
      <c r="H41" s="11" t="str">
        <f t="shared" si="41"/>
        <v/>
      </c>
      <c r="I41" s="11" t="str">
        <f t="shared" si="41"/>
        <v/>
      </c>
      <c r="J41" s="11" t="str">
        <f t="shared" si="41"/>
        <v/>
      </c>
      <c r="K41" s="11" t="str">
        <f t="shared" si="41"/>
        <v/>
      </c>
      <c r="L41" s="11" t="str">
        <f t="shared" si="41"/>
        <v/>
      </c>
      <c r="M41" s="11" t="str">
        <f t="shared" si="41"/>
        <v/>
      </c>
      <c r="N41" s="6"/>
      <c r="O41" s="11">
        <f t="shared" ref="O41:R41" si="42">IF(O18="","",(O18/$O$23))</f>
        <v>0.15449326344263914</v>
      </c>
      <c r="P41" s="11" t="str">
        <f t="shared" ref="P41" si="43">IF(P18="","",(P18/$O$23))</f>
        <v/>
      </c>
      <c r="Q41" s="11" t="str">
        <f t="shared" si="42"/>
        <v/>
      </c>
      <c r="R41" s="11" t="str">
        <f t="shared" si="42"/>
        <v/>
      </c>
      <c r="S41" s="11" t="str">
        <f t="shared" si="34"/>
        <v/>
      </c>
      <c r="T41" s="11" t="str">
        <f t="shared" si="34"/>
        <v/>
      </c>
      <c r="U41" s="11" t="str">
        <f t="shared" si="34"/>
        <v/>
      </c>
      <c r="V41" s="11" t="str">
        <f t="shared" si="34"/>
        <v/>
      </c>
    </row>
    <row r="42" spans="1:22" s="1" customFormat="1" x14ac:dyDescent="0.35">
      <c r="A42" s="141"/>
      <c r="B42" s="11" t="str">
        <f t="shared" ref="B42:M42" si="44">IF(B19="","",(B19/$O$23))</f>
        <v/>
      </c>
      <c r="C42" s="11" t="str">
        <f t="shared" si="44"/>
        <v/>
      </c>
      <c r="D42" s="11" t="str">
        <f t="shared" si="44"/>
        <v/>
      </c>
      <c r="E42" s="11" t="str">
        <f t="shared" si="44"/>
        <v/>
      </c>
      <c r="F42" s="11" t="str">
        <f t="shared" si="44"/>
        <v/>
      </c>
      <c r="G42" s="11" t="str">
        <f t="shared" si="44"/>
        <v/>
      </c>
      <c r="H42" s="11" t="str">
        <f t="shared" si="44"/>
        <v/>
      </c>
      <c r="I42" s="11" t="str">
        <f t="shared" si="44"/>
        <v/>
      </c>
      <c r="J42" s="11" t="str">
        <f t="shared" si="44"/>
        <v/>
      </c>
      <c r="K42" s="11" t="str">
        <f t="shared" si="44"/>
        <v/>
      </c>
      <c r="L42" s="11" t="str">
        <f t="shared" si="44"/>
        <v/>
      </c>
      <c r="M42" s="11" t="str">
        <f t="shared" si="44"/>
        <v/>
      </c>
      <c r="N42" s="6"/>
      <c r="O42" s="11">
        <f t="shared" ref="O42:R42" si="45">IF(O19="","",(O19/$O$23))</f>
        <v>0.69543237610945674</v>
      </c>
      <c r="P42" s="11" t="str">
        <f t="shared" ref="P42" si="46">IF(P19="","",(P19/$O$23))</f>
        <v/>
      </c>
      <c r="Q42" s="11" t="str">
        <f t="shared" si="45"/>
        <v/>
      </c>
      <c r="R42" s="11" t="str">
        <f t="shared" si="45"/>
        <v/>
      </c>
      <c r="S42" s="11" t="str">
        <f t="shared" si="34"/>
        <v/>
      </c>
      <c r="T42" s="11" t="str">
        <f t="shared" si="34"/>
        <v/>
      </c>
      <c r="U42" s="11" t="str">
        <f t="shared" si="34"/>
        <v/>
      </c>
      <c r="V42" s="11" t="str">
        <f t="shared" si="34"/>
        <v/>
      </c>
    </row>
    <row r="43" spans="1:22" s="1" customFormat="1" x14ac:dyDescent="0.35">
      <c r="A43" s="141"/>
      <c r="B43" s="11" t="str">
        <f t="shared" ref="B43:M43" si="47">IF(B20="","",(B20/$O$23))</f>
        <v/>
      </c>
      <c r="C43" s="11" t="str">
        <f t="shared" si="47"/>
        <v/>
      </c>
      <c r="D43" s="11" t="str">
        <f t="shared" si="47"/>
        <v/>
      </c>
      <c r="E43" s="11" t="str">
        <f t="shared" si="47"/>
        <v/>
      </c>
      <c r="F43" s="11" t="str">
        <f t="shared" si="47"/>
        <v/>
      </c>
      <c r="G43" s="11" t="str">
        <f t="shared" si="47"/>
        <v/>
      </c>
      <c r="H43" s="11" t="str">
        <f t="shared" si="47"/>
        <v/>
      </c>
      <c r="I43" s="11" t="str">
        <f t="shared" si="47"/>
        <v/>
      </c>
      <c r="J43" s="11" t="str">
        <f t="shared" si="47"/>
        <v/>
      </c>
      <c r="K43" s="11" t="str">
        <f t="shared" si="47"/>
        <v/>
      </c>
      <c r="L43" s="11" t="str">
        <f t="shared" si="47"/>
        <v/>
      </c>
      <c r="M43" s="11" t="str">
        <f t="shared" si="47"/>
        <v/>
      </c>
      <c r="N43" s="6"/>
      <c r="O43" s="11">
        <f t="shared" ref="O43:R43" si="48">IF(O20="","",(O20/$O$23))</f>
        <v>0.13834549454632</v>
      </c>
      <c r="P43" s="11" t="str">
        <f t="shared" ref="P43" si="49">IF(P20="","",(P20/$O$23))</f>
        <v/>
      </c>
      <c r="Q43" s="11" t="str">
        <f t="shared" si="48"/>
        <v/>
      </c>
      <c r="R43" s="11" t="str">
        <f t="shared" si="48"/>
        <v/>
      </c>
      <c r="S43" s="11" t="str">
        <f t="shared" si="34"/>
        <v/>
      </c>
      <c r="T43" s="11" t="str">
        <f t="shared" si="34"/>
        <v/>
      </c>
      <c r="U43" s="11" t="str">
        <f t="shared" si="34"/>
        <v/>
      </c>
      <c r="V43" s="11" t="str">
        <f t="shared" si="34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N44" s="7"/>
      <c r="O44" s="3"/>
      <c r="P44" s="3"/>
      <c r="Q44" s="3"/>
      <c r="R44" s="3"/>
      <c r="S44" s="3"/>
      <c r="T44" s="3"/>
      <c r="U44" s="3"/>
      <c r="V44" s="3"/>
    </row>
    <row r="45" spans="1:22" s="52" customFormat="1" x14ac:dyDescent="0.35">
      <c r="A45" s="53" t="str">
        <f t="shared" ref="A45:M45" si="50">A4</f>
        <v>Group names</v>
      </c>
      <c r="B45" s="53" t="str">
        <f t="shared" si="50"/>
        <v>Solvent control</v>
      </c>
      <c r="C45" s="53" t="str">
        <f t="shared" si="50"/>
        <v>EE2-33.8ng/L</v>
      </c>
      <c r="D45" s="53" t="str">
        <f t="shared" si="50"/>
        <v>EE2-50.6ng/L</v>
      </c>
      <c r="E45" s="53" t="str">
        <f t="shared" si="50"/>
        <v>EE2-76ng/L</v>
      </c>
      <c r="F45" s="53" t="str">
        <f t="shared" si="50"/>
        <v>EE2-114ng/L</v>
      </c>
      <c r="G45" s="53" t="str">
        <f t="shared" si="50"/>
        <v>EE2-170.9ng/L</v>
      </c>
      <c r="H45" s="53" t="str">
        <f t="shared" si="50"/>
        <v>EE2-488ng/L</v>
      </c>
      <c r="I45" s="53" t="str">
        <f t="shared" si="50"/>
        <v>Fadrozole-0,016ug/L</v>
      </c>
      <c r="J45" s="53" t="str">
        <f t="shared" si="50"/>
        <v>Fadrozole-0,08ug/L</v>
      </c>
      <c r="K45" s="53" t="str">
        <f t="shared" si="50"/>
        <v>Fadrozole-0,4ug/L</v>
      </c>
      <c r="L45" s="53" t="str">
        <f t="shared" si="50"/>
        <v>Fadrozole-2ug/L</v>
      </c>
      <c r="M45" s="53" t="str">
        <f t="shared" si="50"/>
        <v>Fadrozole-10ug/L</v>
      </c>
      <c r="N45" s="53" t="str">
        <f>N22</f>
        <v>Nom des groupes</v>
      </c>
      <c r="O45" s="53" t="str">
        <f t="shared" ref="O45:V45" si="51">O4</f>
        <v>Testo -30µg/L</v>
      </c>
      <c r="P45" s="53" t="str">
        <f t="shared" si="51"/>
        <v>Testo 30µg/L + EE2 -64ng/L</v>
      </c>
      <c r="Q45" s="53" t="str">
        <f t="shared" si="51"/>
        <v>Testo 30µg/L + FAD-10mg/L</v>
      </c>
      <c r="R45" s="53" t="str">
        <f t="shared" si="51"/>
        <v>Fadrozole-0,016ug/L + Testostérone</v>
      </c>
      <c r="S45" s="53" t="str">
        <f t="shared" si="51"/>
        <v>Fadrozole-0,08ug/L + Testostérone</v>
      </c>
      <c r="T45" s="53" t="str">
        <f t="shared" si="51"/>
        <v>Fadrozole-0,4ug/L + Testostérone</v>
      </c>
      <c r="U45" s="53" t="str">
        <f t="shared" si="51"/>
        <v>Fadrozole-2ug/L + Testostérone</v>
      </c>
      <c r="V45" s="53" t="str">
        <f t="shared" si="51"/>
        <v>Fadrozole-10ug/L + Testostérone</v>
      </c>
    </row>
    <row r="46" spans="1:22" x14ac:dyDescent="0.35">
      <c r="A46" s="8" t="s">
        <v>0</v>
      </c>
      <c r="B46" s="10">
        <f t="shared" ref="B46:H46" si="52">AVERAGE(B28:B43)</f>
        <v>8.3415240118651646E-2</v>
      </c>
      <c r="C46" s="10">
        <f t="shared" si="52"/>
        <v>0.23008643458776681</v>
      </c>
      <c r="D46" s="10">
        <f t="shared" si="52"/>
        <v>0.86975799476400284</v>
      </c>
      <c r="E46" s="10">
        <f t="shared" si="52"/>
        <v>2.0796013211895348</v>
      </c>
      <c r="F46" s="10">
        <f t="shared" si="52"/>
        <v>3.6909030643934777</v>
      </c>
      <c r="G46" s="10">
        <f t="shared" si="52"/>
        <v>4.4188737381653116</v>
      </c>
      <c r="H46" s="10">
        <f t="shared" si="52"/>
        <v>6.3993437008399647</v>
      </c>
      <c r="I46" s="10">
        <f>AVERAGE(I28:I43)</f>
        <v>0.10245372063458894</v>
      </c>
      <c r="J46" s="9">
        <f>AVERAGE(J28:J43)</f>
        <v>0.18906024879693967</v>
      </c>
      <c r="K46" s="9">
        <f>AVERAGE(K28:K43)</f>
        <v>0.17065171330883677</v>
      </c>
      <c r="L46" s="9">
        <f t="shared" ref="L46:M46" si="53">AVERAGE(L28:L43)</f>
        <v>8.8230964363872774E-2</v>
      </c>
      <c r="M46" s="9">
        <f t="shared" si="53"/>
        <v>9.8560274918876881E-2</v>
      </c>
      <c r="N46" s="8" t="s">
        <v>0</v>
      </c>
      <c r="O46" s="10">
        <f>AVERAGE(O28:O43)</f>
        <v>1.0000000000000002</v>
      </c>
      <c r="P46" s="10">
        <f>AVERAGE(P28:P43)</f>
        <v>4.4695923568041014</v>
      </c>
      <c r="Q46" s="10">
        <f>AVERAGE(Q28:Q43)</f>
        <v>0.11531743958576413</v>
      </c>
      <c r="R46" s="10">
        <f>AVERAGE(R28:R43)</f>
        <v>1.4017268341953575</v>
      </c>
      <c r="S46" s="10">
        <f t="shared" ref="S46:V46" si="54">AVERAGE(S28:S43)</f>
        <v>0.87602749188768736</v>
      </c>
      <c r="T46" s="10">
        <f t="shared" si="54"/>
        <v>0.30358487514957921</v>
      </c>
      <c r="U46" s="10">
        <f t="shared" si="54"/>
        <v>0.21698413527680546</v>
      </c>
      <c r="V46" s="10">
        <f t="shared" si="54"/>
        <v>0.21397372713604884</v>
      </c>
    </row>
    <row r="47" spans="1:22" x14ac:dyDescent="0.35">
      <c r="A47" s="8" t="s">
        <v>1</v>
      </c>
      <c r="B47" s="8">
        <f t="shared" ref="B47:K47" si="55">STDEV(B28:B43)</f>
        <v>5.4055648322034196E-2</v>
      </c>
      <c r="C47" s="8">
        <f t="shared" si="55"/>
        <v>0.28883377614685657</v>
      </c>
      <c r="D47" s="8">
        <f t="shared" si="55"/>
        <v>0.57482093928508304</v>
      </c>
      <c r="E47" s="8">
        <f t="shared" si="55"/>
        <v>1.1820859273053823</v>
      </c>
      <c r="F47" s="8">
        <f t="shared" si="55"/>
        <v>1.8505791187612664</v>
      </c>
      <c r="G47" s="8">
        <f t="shared" si="55"/>
        <v>1.2626319821360581</v>
      </c>
      <c r="H47" s="8">
        <f t="shared" si="55"/>
        <v>2.0671207584326501</v>
      </c>
      <c r="I47" s="8">
        <f>STDEV(I28:I43)</f>
        <v>5.1875107879365515E-2</v>
      </c>
      <c r="J47" s="8">
        <f t="shared" si="55"/>
        <v>0.20736266116703958</v>
      </c>
      <c r="K47" s="8">
        <f t="shared" si="55"/>
        <v>0.15721262482742696</v>
      </c>
      <c r="L47" s="8">
        <f t="shared" ref="L47:M47" si="56">STDEV(L28:L43)</f>
        <v>8.9143165186996262E-2</v>
      </c>
      <c r="M47" s="8">
        <f t="shared" si="56"/>
        <v>5.9892160431814376E-2</v>
      </c>
      <c r="N47" s="8" t="s">
        <v>1</v>
      </c>
      <c r="O47" s="8">
        <f>STDEV(O28:O43)</f>
        <v>0.87749532948433195</v>
      </c>
      <c r="P47" s="8">
        <f>STDEV(P28:P43)</f>
        <v>2.0004710068621829</v>
      </c>
      <c r="Q47" s="8">
        <f>STDEV(Q28:Q43)</f>
        <v>9.2780437435586824E-2</v>
      </c>
      <c r="R47" s="8">
        <f>STDEV(R28:R43)</f>
        <v>1.0867938453471793</v>
      </c>
      <c r="S47" s="8">
        <f t="shared" ref="S47:V47" si="57">STDEV(S28:S43)</f>
        <v>0.7581068521841221</v>
      </c>
      <c r="T47" s="8">
        <f t="shared" si="57"/>
        <v>0.26287106976668501</v>
      </c>
      <c r="U47" s="8">
        <f t="shared" si="57"/>
        <v>0.17852900140893466</v>
      </c>
      <c r="V47" s="8">
        <f t="shared" si="57"/>
        <v>0.1975515388567273</v>
      </c>
    </row>
    <row r="48" spans="1:22" x14ac:dyDescent="0.35">
      <c r="A48" s="8" t="s">
        <v>2</v>
      </c>
      <c r="B48" s="8">
        <f t="shared" ref="B48:K48" si="58" xml:space="preserve"> B47/SQRT(COUNT(B28:B43))</f>
        <v>1.9111557744972796E-2</v>
      </c>
      <c r="C48" s="8">
        <f t="shared" si="58"/>
        <v>0.10211816087457977</v>
      </c>
      <c r="D48" s="8">
        <f t="shared" si="58"/>
        <v>0.20322989206825146</v>
      </c>
      <c r="E48" s="8">
        <f t="shared" si="58"/>
        <v>0.41793048757141199</v>
      </c>
      <c r="F48" s="8">
        <f t="shared" si="58"/>
        <v>0.65427852199915826</v>
      </c>
      <c r="G48" s="8">
        <f t="shared" si="58"/>
        <v>0.4464078183557092</v>
      </c>
      <c r="H48" s="8">
        <f t="shared" si="58"/>
        <v>0.73083755290960295</v>
      </c>
      <c r="I48" s="8">
        <f xml:space="preserve"> I47/SQRT(COUNT(I28:I43))</f>
        <v>1.8340620278141529E-2</v>
      </c>
      <c r="J48" s="8">
        <f t="shared" si="58"/>
        <v>7.3313771938051026E-2</v>
      </c>
      <c r="K48" s="8">
        <f t="shared" si="58"/>
        <v>5.5583056551805086E-2</v>
      </c>
      <c r="L48" s="8">
        <f t="shared" ref="L48:M48" si="59" xml:space="preserve"> L47/SQRT(COUNT(L28:L43))</f>
        <v>3.1516868300078812E-2</v>
      </c>
      <c r="M48" s="8">
        <f t="shared" si="59"/>
        <v>2.1175076390624284E-2</v>
      </c>
      <c r="N48" s="8" t="s">
        <v>2</v>
      </c>
      <c r="O48" s="8">
        <f xml:space="preserve"> O47/SQRT(COUNT(O28:O43))</f>
        <v>0.21937383237108299</v>
      </c>
      <c r="P48" s="8">
        <f xml:space="preserve"> P47/SQRT(COUNT(P28:P43))</f>
        <v>0.75610696987890313</v>
      </c>
      <c r="Q48" s="8">
        <f xml:space="preserve"> Q47/SQRT(COUNT(Q28:Q43))</f>
        <v>3.2802838236078824E-2</v>
      </c>
      <c r="R48" s="8">
        <f xml:space="preserve"> R47/SQRT(COUNT(R28:R43))</f>
        <v>0.48602898314493725</v>
      </c>
      <c r="S48" s="8">
        <f t="shared" ref="S48:V48" si="60" xml:space="preserve"> S47/SQRT(COUNT(S28:S43))</f>
        <v>0.26803124802169015</v>
      </c>
      <c r="T48" s="8">
        <f t="shared" si="60"/>
        <v>9.9355925353736899E-2</v>
      </c>
      <c r="U48" s="8">
        <f t="shared" si="60"/>
        <v>6.3119533767360195E-2</v>
      </c>
      <c r="V48" s="8">
        <f t="shared" si="60"/>
        <v>6.9845016379714797E-2</v>
      </c>
    </row>
    <row r="49" spans="1:22" s="1" customFormat="1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9" t="str">
        <f t="shared" ref="A52:H52" si="61">A27</f>
        <v>Group names</v>
      </c>
      <c r="B52" s="30" t="str">
        <f t="shared" si="61"/>
        <v>Solvent control</v>
      </c>
      <c r="C52" s="30" t="str">
        <f t="shared" si="61"/>
        <v>EE2-33.8ng/L</v>
      </c>
      <c r="D52" s="30" t="str">
        <f t="shared" si="61"/>
        <v>EE2-50.6ng/L</v>
      </c>
      <c r="E52" s="30" t="str">
        <f t="shared" si="61"/>
        <v>EE2-76ng/L</v>
      </c>
      <c r="F52" s="30" t="str">
        <f t="shared" si="61"/>
        <v>EE2-114ng/L</v>
      </c>
      <c r="G52" s="30" t="str">
        <f t="shared" si="61"/>
        <v>EE2-170.9ng/L</v>
      </c>
      <c r="H52" s="30" t="str">
        <f t="shared" si="61"/>
        <v>EE2-488ng/L</v>
      </c>
      <c r="I52" s="30" t="str">
        <f>I4</f>
        <v>Fadrozole-0,016ug/L</v>
      </c>
      <c r="J52" s="30" t="str">
        <f>J4</f>
        <v>Fadrozole-0,08ug/L</v>
      </c>
      <c r="K52" s="30" t="str">
        <f>K27</f>
        <v>Fadrozole-0,4ug/L</v>
      </c>
      <c r="L52" s="30" t="str">
        <f t="shared" ref="L52:M52" si="62">L27</f>
        <v>Fadrozole-2ug/L</v>
      </c>
      <c r="M52" s="30" t="str">
        <f t="shared" si="62"/>
        <v>Fadrozole-10ug/L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Fadrozole-0,016ug/L + Testostérone</v>
      </c>
      <c r="S52" s="30" t="str">
        <f t="shared" ref="S52:V52" si="63">S27</f>
        <v>Fadrozole-0,08ug/L + Testostérone</v>
      </c>
      <c r="T52" s="30" t="str">
        <f t="shared" si="63"/>
        <v>Fadrozole-0,4ug/L + Testostérone</v>
      </c>
      <c r="U52" s="30" t="str">
        <f t="shared" si="63"/>
        <v>Fadrozole-2ug/L + Testostérone</v>
      </c>
      <c r="V52" s="30" t="str">
        <f t="shared" si="63"/>
        <v>Fadrozole-10ug/L + Testostérone</v>
      </c>
    </row>
    <row r="53" spans="1:22" s="3" customFormat="1" x14ac:dyDescent="0.35">
      <c r="A53" s="45" t="s">
        <v>10</v>
      </c>
      <c r="B53" s="78">
        <f t="shared" ref="B53:M53" si="64">B46</f>
        <v>8.3415240118651646E-2</v>
      </c>
      <c r="C53" s="78">
        <f t="shared" si="64"/>
        <v>0.23008643458776681</v>
      </c>
      <c r="D53" s="78">
        <f t="shared" si="64"/>
        <v>0.86975799476400284</v>
      </c>
      <c r="E53" s="78">
        <f t="shared" si="64"/>
        <v>2.0796013211895348</v>
      </c>
      <c r="F53" s="78">
        <f t="shared" si="64"/>
        <v>3.6909030643934777</v>
      </c>
      <c r="G53" s="78">
        <f t="shared" si="64"/>
        <v>4.4188737381653116</v>
      </c>
      <c r="H53" s="78">
        <f t="shared" si="64"/>
        <v>6.3993437008399647</v>
      </c>
      <c r="I53" s="78">
        <f t="shared" si="64"/>
        <v>0.10245372063458894</v>
      </c>
      <c r="J53" s="78">
        <f t="shared" si="64"/>
        <v>0.18906024879693967</v>
      </c>
      <c r="K53" s="78">
        <f t="shared" si="64"/>
        <v>0.17065171330883677</v>
      </c>
      <c r="L53" s="78">
        <f t="shared" si="64"/>
        <v>8.8230964363872774E-2</v>
      </c>
      <c r="M53" s="78">
        <f t="shared" si="64"/>
        <v>9.8560274918876881E-2</v>
      </c>
      <c r="N53" s="78"/>
      <c r="O53" s="78">
        <f t="shared" ref="O53:V53" si="65">O46</f>
        <v>1.0000000000000002</v>
      </c>
      <c r="P53" s="78">
        <f t="shared" si="65"/>
        <v>4.4695923568041014</v>
      </c>
      <c r="Q53" s="78">
        <f t="shared" si="65"/>
        <v>0.11531743958576413</v>
      </c>
      <c r="R53" s="78">
        <f t="shared" si="65"/>
        <v>1.4017268341953575</v>
      </c>
      <c r="S53" s="78">
        <f t="shared" si="65"/>
        <v>0.87602749188768736</v>
      </c>
      <c r="T53" s="78">
        <f t="shared" si="65"/>
        <v>0.30358487514957921</v>
      </c>
      <c r="U53" s="78">
        <f t="shared" si="65"/>
        <v>0.21698413527680546</v>
      </c>
      <c r="V53" s="78">
        <f t="shared" si="65"/>
        <v>0.21397372713604884</v>
      </c>
    </row>
    <row r="54" spans="1:22" s="3" customFormat="1" x14ac:dyDescent="0.35">
      <c r="A54" s="45" t="s">
        <v>2</v>
      </c>
      <c r="B54" s="78">
        <f t="shared" ref="B54:M54" si="66">B48</f>
        <v>1.9111557744972796E-2</v>
      </c>
      <c r="C54" s="78">
        <f t="shared" si="66"/>
        <v>0.10211816087457977</v>
      </c>
      <c r="D54" s="78">
        <f t="shared" si="66"/>
        <v>0.20322989206825146</v>
      </c>
      <c r="E54" s="78">
        <f t="shared" si="66"/>
        <v>0.41793048757141199</v>
      </c>
      <c r="F54" s="78">
        <f t="shared" si="66"/>
        <v>0.65427852199915826</v>
      </c>
      <c r="G54" s="78">
        <f t="shared" si="66"/>
        <v>0.4464078183557092</v>
      </c>
      <c r="H54" s="78">
        <f t="shared" si="66"/>
        <v>0.73083755290960295</v>
      </c>
      <c r="I54" s="78">
        <f t="shared" si="66"/>
        <v>1.8340620278141529E-2</v>
      </c>
      <c r="J54" s="78">
        <f t="shared" si="66"/>
        <v>7.3313771938051026E-2</v>
      </c>
      <c r="K54" s="78">
        <f t="shared" si="66"/>
        <v>5.5583056551805086E-2</v>
      </c>
      <c r="L54" s="78">
        <f t="shared" si="66"/>
        <v>3.1516868300078812E-2</v>
      </c>
      <c r="M54" s="78">
        <f t="shared" si="66"/>
        <v>2.1175076390624284E-2</v>
      </c>
      <c r="N54" s="78"/>
      <c r="O54" s="78">
        <f t="shared" ref="O54:V54" si="67">O48</f>
        <v>0.21937383237108299</v>
      </c>
      <c r="P54" s="78">
        <f t="shared" si="67"/>
        <v>0.75610696987890313</v>
      </c>
      <c r="Q54" s="78">
        <f t="shared" si="67"/>
        <v>3.2802838236078824E-2</v>
      </c>
      <c r="R54" s="78">
        <f t="shared" si="67"/>
        <v>0.48602898314493725</v>
      </c>
      <c r="S54" s="78">
        <f t="shared" si="67"/>
        <v>0.26803124802169015</v>
      </c>
      <c r="T54" s="78">
        <f t="shared" si="67"/>
        <v>9.9355925353736899E-2</v>
      </c>
      <c r="U54" s="78">
        <f t="shared" si="67"/>
        <v>6.3119533767360195E-2</v>
      </c>
      <c r="V54" s="78">
        <f t="shared" si="67"/>
        <v>6.9845016379714797E-2</v>
      </c>
    </row>
    <row r="55" spans="1:22" s="3" customFormat="1" x14ac:dyDescent="0.35">
      <c r="A55" s="45" t="s">
        <v>14</v>
      </c>
      <c r="B55" s="78">
        <f t="shared" ref="B55:M55" si="68">(B53*100/$B$53)-100</f>
        <v>0</v>
      </c>
      <c r="C55" s="78">
        <f t="shared" si="68"/>
        <v>175.83261075612427</v>
      </c>
      <c r="D55" s="78">
        <f t="shared" si="68"/>
        <v>942.68475823703216</v>
      </c>
      <c r="E55" s="78">
        <f t="shared" si="68"/>
        <v>2393.0711920645012</v>
      </c>
      <c r="F55" s="78">
        <f t="shared" si="68"/>
        <v>4324.7346877422606</v>
      </c>
      <c r="G55" s="78">
        <f t="shared" si="68"/>
        <v>5197.4417287294382</v>
      </c>
      <c r="H55" s="78">
        <f t="shared" si="68"/>
        <v>7571.672097014166</v>
      </c>
      <c r="I55" s="78">
        <f t="shared" si="68"/>
        <v>22.823743585532497</v>
      </c>
      <c r="J55" s="78">
        <f t="shared" si="68"/>
        <v>126.64952894461044</v>
      </c>
      <c r="K55" s="78">
        <f t="shared" si="68"/>
        <v>104.58097712851765</v>
      </c>
      <c r="L55" s="78">
        <f t="shared" si="68"/>
        <v>5.773194728410715</v>
      </c>
      <c r="M55" s="78">
        <f t="shared" si="68"/>
        <v>18.156196372128903</v>
      </c>
      <c r="N55" s="78"/>
      <c r="O55" s="78">
        <f t="shared" ref="O55:V55" si="69">(O53*100/$O$53)-100</f>
        <v>0</v>
      </c>
      <c r="P55" s="78">
        <f t="shared" si="69"/>
        <v>346.95923568041002</v>
      </c>
      <c r="Q55" s="78">
        <f t="shared" si="69"/>
        <v>-88.468256041423587</v>
      </c>
      <c r="R55" s="78">
        <f t="shared" si="69"/>
        <v>40.17268341953573</v>
      </c>
      <c r="S55" s="78">
        <f t="shared" si="69"/>
        <v>-12.397250811231274</v>
      </c>
      <c r="T55" s="78">
        <f t="shared" si="69"/>
        <v>-69.641512485042085</v>
      </c>
      <c r="U55" s="78">
        <f t="shared" si="69"/>
        <v>-78.301586472319457</v>
      </c>
      <c r="V55" s="78">
        <f t="shared" si="69"/>
        <v>-78.602627286395119</v>
      </c>
    </row>
    <row r="56" spans="1:22" s="3" customFormat="1" x14ac:dyDescent="0.35">
      <c r="A56" s="45" t="s">
        <v>38</v>
      </c>
      <c r="B56" s="78">
        <f>[1]!SWTEST(B28:B43)</f>
        <v>0.67911408966525844</v>
      </c>
      <c r="C56" s="78">
        <f>[1]!SWTEST(C28:C43)</f>
        <v>1.674190022098454E-4</v>
      </c>
      <c r="D56" s="78">
        <f>[1]!SWTEST(D28:D43)</f>
        <v>0.62696509590472937</v>
      </c>
      <c r="E56" s="78">
        <f>[1]!SWTEST(E28:E43)</f>
        <v>0.56164602355076609</v>
      </c>
      <c r="F56" s="78">
        <f>[1]!SWTEST(F28:F43)</f>
        <v>0.46680811542417544</v>
      </c>
      <c r="G56" s="78">
        <f>[1]!SWTEST(G28:G43)</f>
        <v>0.72430809612684377</v>
      </c>
      <c r="H56" s="78">
        <f>[1]!SWTEST(H28:H43)</f>
        <v>0.95405588601269542</v>
      </c>
      <c r="I56" s="78">
        <f>[1]!SWTEST(I28:I43)</f>
        <v>6.5587373120693737E-2</v>
      </c>
      <c r="J56" s="78">
        <f>[1]!SWTEST(J28:J43)</f>
        <v>4.9080792941030849E-3</v>
      </c>
      <c r="K56" s="78">
        <f>[1]!SWTEST(K28:K43)</f>
        <v>0.22177423848882183</v>
      </c>
      <c r="L56" s="78">
        <f>[1]!SWTEST(L28:L43)</f>
        <v>2.5974341536990964E-2</v>
      </c>
      <c r="M56" s="78">
        <f>[1]!SWTEST(M28:M43)</f>
        <v>0.3937663013391508</v>
      </c>
      <c r="N56" s="78"/>
      <c r="O56" s="78">
        <f>[1]!SWTEST(O28:O43)</f>
        <v>2.547923503711802E-2</v>
      </c>
      <c r="P56" s="78">
        <f>[1]!SWTEST(P28:P43)</f>
        <v>0.11228668185725088</v>
      </c>
      <c r="Q56" s="78">
        <f>[1]!SWTEST(Q28:Q43)</f>
        <v>6.3377693298680149E-2</v>
      </c>
      <c r="R56" s="78">
        <f>[1]!SWTEST(R28:R43)</f>
        <v>0.87549853440084624</v>
      </c>
      <c r="S56" s="78">
        <f>[1]!SWTEST(S28:S43)</f>
        <v>0.48317327730558568</v>
      </c>
      <c r="T56" s="78">
        <f>[1]!SWTEST(T28:T43)</f>
        <v>0.31701672164726824</v>
      </c>
      <c r="U56" s="78">
        <f>[1]!SWTEST(U28:U43)</f>
        <v>0.45107632990698221</v>
      </c>
      <c r="V56" s="78">
        <f>[1]!SWTEST(V28:V43)</f>
        <v>1.8642895134097004E-2</v>
      </c>
    </row>
    <row r="57" spans="1:22" s="3" customFormat="1" x14ac:dyDescent="0.35">
      <c r="A57" s="45" t="s">
        <v>39</v>
      </c>
      <c r="B57" s="78" t="str">
        <f t="shared" ref="B57:M57" si="70">IF(B56&gt;0.05,"Oui","Non")</f>
        <v>Oui</v>
      </c>
      <c r="C57" s="78" t="str">
        <f t="shared" si="70"/>
        <v>Non</v>
      </c>
      <c r="D57" s="78" t="str">
        <f t="shared" si="70"/>
        <v>Oui</v>
      </c>
      <c r="E57" s="78" t="str">
        <f t="shared" si="70"/>
        <v>Oui</v>
      </c>
      <c r="F57" s="78" t="str">
        <f t="shared" si="70"/>
        <v>Oui</v>
      </c>
      <c r="G57" s="78" t="str">
        <f t="shared" si="70"/>
        <v>Oui</v>
      </c>
      <c r="H57" s="78" t="str">
        <f t="shared" si="70"/>
        <v>Oui</v>
      </c>
      <c r="I57" s="78" t="str">
        <f t="shared" si="70"/>
        <v>Oui</v>
      </c>
      <c r="J57" s="78" t="str">
        <f t="shared" si="70"/>
        <v>Non</v>
      </c>
      <c r="K57" s="78" t="str">
        <f t="shared" si="70"/>
        <v>Oui</v>
      </c>
      <c r="L57" s="78" t="str">
        <f t="shared" si="70"/>
        <v>Non</v>
      </c>
      <c r="M57" s="78" t="str">
        <f t="shared" si="70"/>
        <v>Oui</v>
      </c>
      <c r="N57" s="78"/>
      <c r="O57" s="78" t="str">
        <f t="shared" ref="O57:V57" si="71">IF(O56&gt;0.05,"Oui","Non")</f>
        <v>Non</v>
      </c>
      <c r="P57" s="78" t="str">
        <f t="shared" si="71"/>
        <v>Oui</v>
      </c>
      <c r="Q57" s="78" t="str">
        <f t="shared" si="71"/>
        <v>Oui</v>
      </c>
      <c r="R57" s="78" t="str">
        <f t="shared" si="71"/>
        <v>Oui</v>
      </c>
      <c r="S57" s="78" t="str">
        <f t="shared" si="71"/>
        <v>Oui</v>
      </c>
      <c r="T57" s="78" t="str">
        <f t="shared" si="71"/>
        <v>Oui</v>
      </c>
      <c r="U57" s="78" t="str">
        <f t="shared" si="71"/>
        <v>Oui</v>
      </c>
      <c r="V57" s="78" t="str">
        <f t="shared" si="71"/>
        <v>Non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M59" si="72">IF($B57="Non",IF(C$57="Non","Mann Withney",IF(C$57="Oui","Mann Withney","")),IF($B$57="Oui",IF(C$57="Oui","T-Test Welch",IF(C$57="Non","Mann Withney",""))))</f>
        <v>Mann Withney</v>
      </c>
      <c r="D59" s="82" t="str">
        <f t="shared" si="72"/>
        <v>T-Test Welch</v>
      </c>
      <c r="E59" s="82" t="str">
        <f t="shared" si="72"/>
        <v>T-Test Welch</v>
      </c>
      <c r="F59" s="82" t="str">
        <f t="shared" si="72"/>
        <v>T-Test Welch</v>
      </c>
      <c r="G59" s="82" t="str">
        <f t="shared" si="72"/>
        <v>T-Test Welch</v>
      </c>
      <c r="H59" s="82" t="str">
        <f t="shared" si="72"/>
        <v>T-Test Welch</v>
      </c>
      <c r="I59" s="82" t="str">
        <f t="shared" si="72"/>
        <v>T-Test Welch</v>
      </c>
      <c r="J59" s="82" t="str">
        <f t="shared" si="72"/>
        <v>Mann Withney</v>
      </c>
      <c r="K59" s="82" t="str">
        <f t="shared" si="72"/>
        <v>T-Test Welch</v>
      </c>
      <c r="L59" s="82" t="str">
        <f t="shared" si="72"/>
        <v>Mann Withney</v>
      </c>
      <c r="M59" s="82" t="str">
        <f t="shared" si="72"/>
        <v>T-Test Welch</v>
      </c>
      <c r="N59" s="82"/>
      <c r="O59" s="82" t="str">
        <f>IF($B57="Non",IF(O$57="Non","Mann Withney",IF(O$57="Oui","Mann Withney","")),IF($B$57="Oui",IF(O$57="Oui","T-Test Welch",IF(O$57="Non","Mann Withney",""))))</f>
        <v>Mann Withney</v>
      </c>
      <c r="P59" s="82" t="str">
        <f t="shared" ref="P59:V59" si="73">IF($O57="Non",IF(P$57="Non","Mann Withney",IF(P$57="Oui","Mann Withney","")),IF($O$57="Oui",IF(P$57="Oui","T-Test Welch",IF(P$57="Non","Mann Withney",""))))</f>
        <v>Mann Withney</v>
      </c>
      <c r="Q59" s="82" t="str">
        <f t="shared" si="73"/>
        <v>Mann Withney</v>
      </c>
      <c r="R59" s="82" t="str">
        <f t="shared" si="73"/>
        <v>Mann Withney</v>
      </c>
      <c r="S59" s="82" t="str">
        <f t="shared" si="73"/>
        <v>Mann Withney</v>
      </c>
      <c r="T59" s="82" t="str">
        <f t="shared" si="73"/>
        <v>Mann Withney</v>
      </c>
      <c r="U59" s="82" t="str">
        <f t="shared" si="73"/>
        <v>Mann Withney</v>
      </c>
      <c r="V59" s="82" t="str">
        <f t="shared" si="73"/>
        <v>Mann Withney</v>
      </c>
    </row>
    <row r="60" spans="1:22" s="3" customFormat="1" x14ac:dyDescent="0.35">
      <c r="A60" s="45" t="s">
        <v>41</v>
      </c>
      <c r="B60" s="83"/>
      <c r="C60" s="83">
        <f>IF(C59="Mann Withney",[1]!MTEST($B28:$B43,C28:C43,2), IF(C59="T-Test Welch",_xlfn.T.TEST($B28:$B43,C28:C43,2,3),""))</f>
        <v>7.4203411329755165E-2</v>
      </c>
      <c r="D60" s="83">
        <f>IF(D59="Mann Withney",[1]!MTEST($B28:$B43,D28:D43,2), IF(D59="T-Test Welch",_xlfn.T.TEST($B28:$B43,D28:D43,2,3),""))</f>
        <v>6.0669453721406584E-3</v>
      </c>
      <c r="E60" s="83">
        <f>IF(E59="Mann Withney",[1]!MTEST($B28:$B43,E28:E43,2), IF(E59="T-Test Welch",_xlfn.T.TEST($B28:$B43,E28:E43,2,3),""))</f>
        <v>2.009346186216533E-3</v>
      </c>
      <c r="F60" s="83">
        <f>IF(F59="Mann Withney",[1]!MTEST($B28:$B43,F28:F43,2), IF(F59="T-Test Welch",_xlfn.T.TEST($B28:$B43,F28:F43,2,3),""))</f>
        <v>8.9055390047589338E-4</v>
      </c>
      <c r="G60" s="83">
        <f>IF(G59="Mann Withney",[1]!MTEST($B28:$B43,G28:G43,2), IF(G59="T-Test Welch",_xlfn.T.TEST($B28:$B43,G28:G43,2,3),""))</f>
        <v>2.5473821737644918E-5</v>
      </c>
      <c r="H60" s="83">
        <f>IF(H59="Mann Withney",[1]!MTEST($B28:$B43,H28:H43,2), IF(H59="T-Test Welch",_xlfn.T.TEST($B28:$B43,H28:H43,2,3),""))</f>
        <v>5.5182778310050979E-5</v>
      </c>
      <c r="I60" s="83">
        <f>IF(I59="Mann Withney",[1]!MTEST($B28:$B43,I28:I43,2), IF(I59="T-Test Welch",_xlfn.T.TEST($B28:$B43,I28:I43,2,3),""))</f>
        <v>0.48413870499348588</v>
      </c>
      <c r="J60" s="83">
        <f>IF(J59="Mann Withney",[1]!MTEST($B28:$B43,J28:J43,2), IF(J59="T-Test Welch",_xlfn.T.TEST($B28:$B43,J28:J43,2,3),""))</f>
        <v>0.24799581483148536</v>
      </c>
      <c r="K60" s="83">
        <f>IF(K59="Mann Withney",[1]!MTEST($B28:$B43,K28:K43,2), IF(K59="T-Test Welch",_xlfn.T.TEST($B28:$B43,K28:K43,2,3),""))</f>
        <v>0.17332630658294734</v>
      </c>
      <c r="L60" s="83">
        <f>IF(L59="Mann Withney",[1]!MTEST($B28:$B43,L28:L43,2), IF(L59="T-Test Welch",_xlfn.T.TEST($B28:$B43,L28:L43,2,3),""))</f>
        <v>0.67442407223529366</v>
      </c>
      <c r="M60" s="83">
        <f>IF(M59="Mann Withney",[1]!MTEST($B28:$B43,M28:M43,2), IF(M59="T-Test Welch",_xlfn.T.TEST($B28:$B43,M28:M43,2,3),""))</f>
        <v>0.60385947598530054</v>
      </c>
      <c r="N60" s="83"/>
      <c r="O60" s="83">
        <f>IF(O59="Mann Withney",[1]!MTEST($B28:$B43,O28:O43,2), IF(O59="T-Test Welch",_xlfn.T.TEST($B28:$B43,O28:O43,2,3),""))</f>
        <v>1.7895728484755846E-3</v>
      </c>
      <c r="P60" s="83">
        <f>IF(P59="Mann Withney",[1]!MTEST($O28:$O43,P28:P43,2), IF(P59="T-Test Welch",_xlfn.T.TEST($O28:$O43,P28:P43,2,3),""))</f>
        <v>5.1200452218980175E-4</v>
      </c>
      <c r="Q60" s="83">
        <f>IF(Q59="Mann Withney",[1]!MTEST($O28:$O43,Q28:Q43,2), IF(Q59="T-Test Welch",_xlfn.T.TEST($O28:$O43,Q28:Q43,2,3),""))</f>
        <v>4.0001431806946375E-3</v>
      </c>
      <c r="R60" s="83">
        <f>IF(R59="Mann Withney",[1]!MTEST($O28:$O43,R28:R43,2), IF(R59="T-Test Welch",_xlfn.T.TEST($O28:$O43,R28:R43,2,3),""))</f>
        <v>0.5088828153535192</v>
      </c>
      <c r="S60" s="83">
        <f>IF(S59="Mann Withney",[1]!MTEST($O28:$O43,S28:S43,2), IF(S59="T-Test Welch",_xlfn.T.TEST($O28:$O43,S28:S43,2,3),""))</f>
        <v>0.85423960576809321</v>
      </c>
      <c r="T60" s="83">
        <f>IF(T59="Mann Withney",[1]!MTEST($O28:$O43,T28:T43,2), IF(T59="T-Test Welch",_xlfn.T.TEST($O28:$O43,T28:T43,2,3),""))</f>
        <v>2.7460744334305121E-2</v>
      </c>
      <c r="U60" s="83">
        <f>IF(U59="Mann Withney",[1]!MTEST($O28:$O43,U28:U43,2), IF(U59="T-Test Welch",_xlfn.T.TEST($O28:$O43,U28:U43,2,3),""))</f>
        <v>8.4584156046332293E-3</v>
      </c>
      <c r="V60" s="83">
        <f>IF(V59="Mann Withney",[1]!MTEST($O28:$O43,V28:V43,2), IF(V59="T-Test Welch",_xlfn.T.TEST($O28:$O43,V28:V43,2,3),""))</f>
        <v>7.0507291104227043E-3</v>
      </c>
    </row>
    <row r="61" spans="1:22" s="3" customFormat="1" ht="15" thickBot="1" x14ac:dyDescent="0.4">
      <c r="A61" s="46" t="s">
        <v>15</v>
      </c>
      <c r="B61" s="79"/>
      <c r="C61" s="79" t="str">
        <f t="shared" ref="C61:M61" si="74">IF(C60&gt;0.05,"NS",IF(C60&gt;0.01,"*",IF(C60&gt;0.001,"**","***")))</f>
        <v>NS</v>
      </c>
      <c r="D61" s="79" t="str">
        <f t="shared" si="74"/>
        <v>**</v>
      </c>
      <c r="E61" s="79" t="str">
        <f t="shared" si="74"/>
        <v>**</v>
      </c>
      <c r="F61" s="79" t="str">
        <f t="shared" si="74"/>
        <v>***</v>
      </c>
      <c r="G61" s="79" t="str">
        <f t="shared" si="74"/>
        <v>***</v>
      </c>
      <c r="H61" s="79" t="str">
        <f t="shared" si="74"/>
        <v>***</v>
      </c>
      <c r="I61" s="79" t="str">
        <f t="shared" si="74"/>
        <v>NS</v>
      </c>
      <c r="J61" s="79" t="str">
        <f t="shared" si="74"/>
        <v>NS</v>
      </c>
      <c r="K61" s="79" t="str">
        <f t="shared" si="74"/>
        <v>NS</v>
      </c>
      <c r="L61" s="79" t="str">
        <f t="shared" si="74"/>
        <v>NS</v>
      </c>
      <c r="M61" s="79" t="str">
        <f t="shared" si="74"/>
        <v>NS</v>
      </c>
      <c r="N61" s="79"/>
      <c r="O61" s="79" t="str">
        <f>IF(O60&gt;0.05,"NS",IF(O60&gt;0.01,"*",IF(O60&gt;0.001,"**","***")))</f>
        <v>**</v>
      </c>
      <c r="P61" s="79" t="str">
        <f>IF(P60&gt;0.05,"NS",IF(P60&gt;0.01,"*",IF(P60&gt;0.001,"**","***")))</f>
        <v>***</v>
      </c>
      <c r="Q61" s="79" t="str">
        <f t="shared" ref="Q61" si="75">IF(Q60&gt;0.05,"NS",IF(Q60&gt;0.01,"*",IF(Q60&gt;0.001,"**","***")))</f>
        <v>**</v>
      </c>
      <c r="R61" s="79" t="str">
        <f t="shared" ref="R61" si="76">IF(R60&gt;0.05,"NS",IF(R60&gt;0.01,"*",IF(R60&gt;0.001,"**","***")))</f>
        <v>NS</v>
      </c>
      <c r="S61" s="79" t="str">
        <f t="shared" ref="S61" si="77">IF(S60&gt;0.05,"NS",IF(S60&gt;0.01,"*",IF(S60&gt;0.001,"**","***")))</f>
        <v>NS</v>
      </c>
      <c r="T61" s="79" t="str">
        <f t="shared" ref="T61" si="78">IF(T60&gt;0.05,"NS",IF(T60&gt;0.01,"*",IF(T60&gt;0.001,"**","***")))</f>
        <v>*</v>
      </c>
      <c r="U61" s="79" t="str">
        <f t="shared" ref="U61" si="79">IF(U60&gt;0.05,"NS",IF(U60&gt;0.01,"*",IF(U60&gt;0.001,"**","***")))</f>
        <v>**</v>
      </c>
      <c r="V61" s="79" t="str">
        <f t="shared" ref="V61" si="80">IF(V60&gt;0.05,"NS",IF(V60&gt;0.01,"*",IF(V60&gt;0.001,"**","***")))</f>
        <v>**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12:V21 R5:V7" name="Plage1"/>
    <protectedRange sqref="B51:J51" name="Plage2_1"/>
    <protectedRange sqref="O5:O7 J5:J6 B13:J21 J11:J12 O12:O21" name="Plage1_1"/>
    <protectedRange sqref="B5:I6 B11:I12 B7:M10 P6:P9 O8:O11 Q8:V11" name="Plage1_1_1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zoomScale="70" zoomScaleNormal="70" zoomScaleSheetLayoutView="40" zoomScalePageLayoutView="30" workbookViewId="0">
      <selection activeCell="H5" sqref="B5:H14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customFormat="1" ht="15" thickBot="1" x14ac:dyDescent="0.4"/>
    <row r="3" spans="1:22" ht="15" thickBot="1" x14ac:dyDescent="0.4">
      <c r="A3" s="84" t="s">
        <v>6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Fadrozole-0,016ug/L</v>
      </c>
      <c r="J4" s="20" t="str">
        <f>'Front page'!A15</f>
        <v>Fadrozole-0,08ug/L</v>
      </c>
      <c r="K4" s="20" t="str">
        <f>'Front page'!A16</f>
        <v>Fadrozole-0,4ug/L</v>
      </c>
      <c r="L4" s="20" t="str">
        <f>'Front page'!A17</f>
        <v>Fadrozole-2ug/L</v>
      </c>
      <c r="M4" s="20" t="str">
        <f>'Front page'!A18</f>
        <v>Fadrozole-10ug/L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Fadrozole-0,016ug/L + Testostérone</v>
      </c>
      <c r="S4" s="21" t="str">
        <f>'Front page'!A39</f>
        <v>Fadrozole-0,08ug/L + Testostérone</v>
      </c>
      <c r="T4" s="21" t="str">
        <f>'Front page'!A40</f>
        <v>Fadrozole-0,4ug/L + Testostérone</v>
      </c>
      <c r="U4" s="21" t="str">
        <f>'Front page'!A41</f>
        <v>Fadrozole-2ug/L + Testostérone</v>
      </c>
      <c r="V4" s="21" t="str">
        <f>'Front page'!A42</f>
        <v>Fadrozole-10ug/L + Testostérone</v>
      </c>
    </row>
    <row r="5" spans="1:22" x14ac:dyDescent="0.35">
      <c r="A5" s="138" t="s">
        <v>35</v>
      </c>
      <c r="B5" s="17">
        <v>6911</v>
      </c>
      <c r="C5" s="17">
        <v>1648968</v>
      </c>
      <c r="D5" s="17">
        <v>445753</v>
      </c>
      <c r="E5" s="17">
        <v>5489152</v>
      </c>
      <c r="F5" s="17">
        <v>2827971</v>
      </c>
      <c r="G5" s="17">
        <v>4484880</v>
      </c>
      <c r="H5" s="17">
        <v>10694984</v>
      </c>
      <c r="I5" s="17">
        <v>512623</v>
      </c>
      <c r="J5" s="17">
        <v>109020</v>
      </c>
      <c r="K5" s="13">
        <v>62591</v>
      </c>
      <c r="L5" s="13">
        <v>81611</v>
      </c>
      <c r="M5" s="13">
        <v>15453</v>
      </c>
      <c r="N5" s="3"/>
      <c r="O5" s="17">
        <v>218391</v>
      </c>
      <c r="P5" s="13">
        <v>6590587</v>
      </c>
      <c r="Q5" s="13">
        <v>39988</v>
      </c>
      <c r="R5" s="17">
        <v>163982</v>
      </c>
      <c r="S5" s="17">
        <v>2401030</v>
      </c>
      <c r="T5" s="17">
        <v>110314</v>
      </c>
      <c r="U5" s="17">
        <v>180242</v>
      </c>
      <c r="V5" s="17">
        <v>135168</v>
      </c>
    </row>
    <row r="6" spans="1:22" ht="16.5" x14ac:dyDescent="0.35">
      <c r="A6" s="139"/>
      <c r="B6" s="14">
        <v>216594</v>
      </c>
      <c r="C6" s="13">
        <v>152137</v>
      </c>
      <c r="D6" s="17">
        <v>394912</v>
      </c>
      <c r="E6" s="17">
        <v>1364361</v>
      </c>
      <c r="F6" s="17">
        <v>3963432</v>
      </c>
      <c r="G6" s="17">
        <v>2022658</v>
      </c>
      <c r="H6" s="17">
        <v>9111769</v>
      </c>
      <c r="I6" s="17">
        <v>172658</v>
      </c>
      <c r="J6" s="17">
        <v>199927</v>
      </c>
      <c r="K6" s="13">
        <v>236522</v>
      </c>
      <c r="L6" s="13">
        <v>30068</v>
      </c>
      <c r="M6" s="13">
        <v>129966</v>
      </c>
      <c r="N6" s="3"/>
      <c r="O6" s="17">
        <v>442182</v>
      </c>
      <c r="P6" s="13">
        <v>4992626</v>
      </c>
      <c r="Q6" s="13">
        <v>230269</v>
      </c>
      <c r="R6" s="17">
        <v>3000740</v>
      </c>
      <c r="S6" s="17">
        <v>7353838</v>
      </c>
      <c r="T6" s="17">
        <v>818157</v>
      </c>
      <c r="U6" s="17">
        <v>171574</v>
      </c>
      <c r="V6" s="17">
        <v>98834</v>
      </c>
    </row>
    <row r="7" spans="1:22" ht="16.5" x14ac:dyDescent="0.35">
      <c r="A7" s="139"/>
      <c r="B7" s="14">
        <v>406433</v>
      </c>
      <c r="C7" s="13">
        <v>260080</v>
      </c>
      <c r="D7" s="17">
        <v>2549385</v>
      </c>
      <c r="E7" s="17">
        <v>1375051</v>
      </c>
      <c r="F7" s="17">
        <v>6136127</v>
      </c>
      <c r="G7" s="17">
        <v>7239706</v>
      </c>
      <c r="H7" s="17">
        <v>8838133</v>
      </c>
      <c r="I7" s="17">
        <v>68751</v>
      </c>
      <c r="J7" s="17">
        <v>116837</v>
      </c>
      <c r="K7" s="13">
        <v>129595</v>
      </c>
      <c r="L7" s="13">
        <v>221347</v>
      </c>
      <c r="M7" s="13">
        <v>347998</v>
      </c>
      <c r="N7" s="3"/>
      <c r="O7" s="17">
        <v>77842</v>
      </c>
      <c r="P7" s="13">
        <v>8264893</v>
      </c>
      <c r="Q7" s="13">
        <v>93765</v>
      </c>
      <c r="R7" s="17">
        <v>461857</v>
      </c>
      <c r="S7" s="17">
        <v>2502352</v>
      </c>
      <c r="T7" s="17">
        <v>1388133</v>
      </c>
      <c r="U7" s="17">
        <v>239970</v>
      </c>
      <c r="V7" s="17">
        <v>207875</v>
      </c>
    </row>
    <row r="8" spans="1:22" ht="16.5" x14ac:dyDescent="0.35">
      <c r="A8" s="139"/>
      <c r="B8" s="14">
        <v>132138</v>
      </c>
      <c r="C8" s="13">
        <v>643147</v>
      </c>
      <c r="D8" s="17">
        <v>768008</v>
      </c>
      <c r="E8" s="17">
        <v>3105217</v>
      </c>
      <c r="F8" s="17">
        <v>6144825</v>
      </c>
      <c r="G8" s="17">
        <v>3428228</v>
      </c>
      <c r="H8" s="17">
        <v>7245433</v>
      </c>
      <c r="I8" s="17">
        <v>205152</v>
      </c>
      <c r="J8" s="17">
        <v>488530</v>
      </c>
      <c r="K8" s="13">
        <v>238441</v>
      </c>
      <c r="L8" s="13">
        <v>143864</v>
      </c>
      <c r="M8" s="13">
        <v>269890</v>
      </c>
      <c r="N8" s="3"/>
      <c r="O8" s="17">
        <v>571078</v>
      </c>
      <c r="P8" s="13">
        <v>6090137</v>
      </c>
      <c r="Q8" s="13">
        <v>89197</v>
      </c>
      <c r="R8" s="17">
        <v>1295209</v>
      </c>
      <c r="S8" s="17">
        <v>727311</v>
      </c>
      <c r="T8" s="17">
        <v>1309516</v>
      </c>
      <c r="U8" s="17">
        <v>237842</v>
      </c>
      <c r="V8" s="17">
        <v>82176</v>
      </c>
    </row>
    <row r="9" spans="1:22" ht="16.5" x14ac:dyDescent="0.35">
      <c r="A9" s="139"/>
      <c r="B9" s="14">
        <v>296339</v>
      </c>
      <c r="C9" s="13">
        <v>676651</v>
      </c>
      <c r="D9" s="17">
        <v>888575</v>
      </c>
      <c r="E9" s="17">
        <v>813487</v>
      </c>
      <c r="F9" s="17">
        <v>7017350</v>
      </c>
      <c r="G9" s="17">
        <v>1938409</v>
      </c>
      <c r="H9" s="17">
        <v>10500559</v>
      </c>
      <c r="I9" s="17">
        <v>262989</v>
      </c>
      <c r="J9" s="17">
        <v>285681</v>
      </c>
      <c r="K9" s="13">
        <v>111884</v>
      </c>
      <c r="L9" s="13">
        <v>338839</v>
      </c>
      <c r="M9" s="13">
        <v>26949</v>
      </c>
      <c r="N9" s="3"/>
      <c r="O9" s="17">
        <v>1485296</v>
      </c>
      <c r="P9" s="13">
        <v>4215322</v>
      </c>
      <c r="Q9" s="13">
        <v>336938</v>
      </c>
      <c r="R9" s="17">
        <v>3313857</v>
      </c>
      <c r="S9" s="17">
        <v>281539</v>
      </c>
      <c r="T9" s="17">
        <v>2251126</v>
      </c>
      <c r="U9" s="17">
        <v>254440</v>
      </c>
      <c r="V9" s="17">
        <v>389234</v>
      </c>
    </row>
    <row r="10" spans="1:22" ht="16.5" x14ac:dyDescent="0.35">
      <c r="A10" s="139"/>
      <c r="B10" s="14">
        <v>37232</v>
      </c>
      <c r="C10" s="13">
        <v>224754</v>
      </c>
      <c r="D10" s="17">
        <v>1573807</v>
      </c>
      <c r="E10" s="17">
        <v>1154569</v>
      </c>
      <c r="F10" s="17">
        <v>2747901</v>
      </c>
      <c r="G10" s="17">
        <v>3895996</v>
      </c>
      <c r="H10" s="17">
        <v>4556952</v>
      </c>
      <c r="I10" s="17">
        <v>49928</v>
      </c>
      <c r="J10" s="17">
        <v>93886</v>
      </c>
      <c r="K10" s="13">
        <v>74225</v>
      </c>
      <c r="L10" s="13">
        <v>201389</v>
      </c>
      <c r="M10" s="13">
        <v>132255</v>
      </c>
      <c r="N10" s="3"/>
      <c r="O10" s="17">
        <v>553501</v>
      </c>
      <c r="P10" s="13">
        <v>2969960</v>
      </c>
      <c r="Q10" s="13">
        <v>66862</v>
      </c>
      <c r="R10" s="17">
        <v>1093651</v>
      </c>
      <c r="S10" s="17">
        <v>1046216</v>
      </c>
      <c r="T10" s="17">
        <v>378200</v>
      </c>
      <c r="U10" s="17">
        <v>90920</v>
      </c>
      <c r="V10" s="17">
        <v>419076</v>
      </c>
    </row>
    <row r="11" spans="1:22" ht="16.5" x14ac:dyDescent="0.35">
      <c r="A11" s="139"/>
      <c r="B11" s="14">
        <v>148051</v>
      </c>
      <c r="C11" s="13">
        <v>309128</v>
      </c>
      <c r="D11" s="17">
        <v>2390513</v>
      </c>
      <c r="E11" s="17">
        <v>3504058</v>
      </c>
      <c r="F11" s="17">
        <v>5641961</v>
      </c>
      <c r="G11" s="17">
        <v>4625800</v>
      </c>
      <c r="H11" s="17">
        <v>7084399</v>
      </c>
      <c r="I11" s="17">
        <v>34216</v>
      </c>
      <c r="J11" s="17">
        <v>142503</v>
      </c>
      <c r="K11" s="13">
        <v>104075</v>
      </c>
      <c r="L11" s="13">
        <v>108453</v>
      </c>
      <c r="M11" s="13">
        <v>33600</v>
      </c>
      <c r="N11" s="3"/>
      <c r="O11" s="17">
        <v>309432</v>
      </c>
      <c r="P11" s="13">
        <v>5311357</v>
      </c>
      <c r="Q11" s="13">
        <v>10368</v>
      </c>
      <c r="R11" s="17">
        <v>3282395</v>
      </c>
      <c r="S11" s="17">
        <v>4763073</v>
      </c>
      <c r="T11" s="17">
        <v>2040138</v>
      </c>
      <c r="U11" s="17">
        <v>56569</v>
      </c>
      <c r="V11" s="17">
        <v>159727</v>
      </c>
    </row>
    <row r="12" spans="1:22" ht="16.5" x14ac:dyDescent="0.35">
      <c r="A12" s="139"/>
      <c r="B12" s="14">
        <v>177380</v>
      </c>
      <c r="C12" s="13">
        <v>177232</v>
      </c>
      <c r="D12" s="17"/>
      <c r="E12" s="17">
        <v>2005353</v>
      </c>
      <c r="F12" s="17">
        <v>6816634</v>
      </c>
      <c r="G12" s="17">
        <v>6420797</v>
      </c>
      <c r="H12" s="17"/>
      <c r="I12" s="17">
        <v>113704</v>
      </c>
      <c r="J12" s="17">
        <v>432735</v>
      </c>
      <c r="K12" s="13">
        <v>102389</v>
      </c>
      <c r="L12" s="13">
        <v>812902</v>
      </c>
      <c r="M12" s="13">
        <v>126377</v>
      </c>
      <c r="N12" s="3"/>
      <c r="O12" s="17">
        <v>112509</v>
      </c>
      <c r="P12" s="13">
        <v>6219389</v>
      </c>
      <c r="Q12" s="13">
        <v>346761</v>
      </c>
      <c r="R12" s="17">
        <v>257127</v>
      </c>
      <c r="S12" s="17">
        <v>2328189</v>
      </c>
      <c r="T12" s="17">
        <v>2680327</v>
      </c>
      <c r="U12" s="17"/>
      <c r="V12" s="17">
        <v>77333</v>
      </c>
    </row>
    <row r="13" spans="1:22" ht="16.5" x14ac:dyDescent="0.35">
      <c r="A13" s="139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6590587</v>
      </c>
      <c r="P13" s="13">
        <v>7377760</v>
      </c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4992626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8264893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6090137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4215322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2969960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5311357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6219389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>
        <v>7377760</v>
      </c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Fadrozole-0,016ug/L</v>
      </c>
      <c r="J22" s="3" t="str">
        <f t="shared" si="1"/>
        <v>Fadrozole-0,08ug/L</v>
      </c>
      <c r="K22" s="3" t="str">
        <f t="shared" si="1"/>
        <v>Fadrozole-0,4ug/L</v>
      </c>
      <c r="L22" s="3" t="str">
        <f t="shared" si="1"/>
        <v>Fadrozole-2ug/L</v>
      </c>
      <c r="M22" s="3" t="str">
        <f t="shared" si="1"/>
        <v>Fadrozole-10ug/L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Fadrozole-0,016ug/L + Testostérone</v>
      </c>
      <c r="S22" s="3" t="str">
        <f t="shared" si="1"/>
        <v>Fadrozole-0,08ug/L + Testostérone</v>
      </c>
      <c r="T22" s="3" t="str">
        <f t="shared" si="1"/>
        <v>Fadrozole-0,4ug/L + Testostérone</v>
      </c>
      <c r="U22" s="3" t="str">
        <f t="shared" si="1"/>
        <v>Fadrozole-2ug/L + Testostérone</v>
      </c>
      <c r="V22" s="3" t="str">
        <f t="shared" si="1"/>
        <v>Fadrozole-10ug/L + Testostérone</v>
      </c>
    </row>
    <row r="23" spans="1:22" x14ac:dyDescent="0.35">
      <c r="A23" s="5" t="s">
        <v>0</v>
      </c>
      <c r="B23" s="5">
        <f t="shared" ref="B23:J23" si="2">AVERAGE(B5:B20)</f>
        <v>177634.75</v>
      </c>
      <c r="C23" s="5">
        <f t="shared" si="2"/>
        <v>511512.125</v>
      </c>
      <c r="D23" s="5">
        <f t="shared" si="2"/>
        <v>1287279</v>
      </c>
      <c r="E23" s="5">
        <f t="shared" si="2"/>
        <v>2351406</v>
      </c>
      <c r="F23" s="5">
        <f t="shared" si="2"/>
        <v>5162025.125</v>
      </c>
      <c r="G23" s="5">
        <f t="shared" si="2"/>
        <v>4257059.25</v>
      </c>
      <c r="H23" s="5">
        <f t="shared" si="2"/>
        <v>8290318.4285714282</v>
      </c>
      <c r="I23" s="5">
        <f t="shared" si="2"/>
        <v>177502.625</v>
      </c>
      <c r="J23" s="5">
        <f t="shared" si="2"/>
        <v>233639.875</v>
      </c>
      <c r="K23" s="5"/>
      <c r="L23" s="5">
        <f>AVERAGE(L5:L20)</f>
        <v>242309.125</v>
      </c>
      <c r="M23" s="5"/>
      <c r="N23" s="5" t="s">
        <v>0</v>
      </c>
      <c r="O23" s="5">
        <f>AVERAGE(O5:O20)</f>
        <v>3026531.375</v>
      </c>
      <c r="P23" s="5">
        <f>AVERAGE(P5:P20)</f>
        <v>5781336.777777778</v>
      </c>
      <c r="Q23" s="5">
        <f>AVERAGE(Q5:Q20)</f>
        <v>151768.5</v>
      </c>
      <c r="R23" s="5">
        <f>AVERAGE(R5:R20)</f>
        <v>1608602.25</v>
      </c>
      <c r="S23" s="5">
        <f>AVERAGE(S5:S20)</f>
        <v>2675443.5</v>
      </c>
      <c r="T23" s="5">
        <f t="shared" ref="T23:V23" si="3">AVERAGE(T5:T20)</f>
        <v>1371988.875</v>
      </c>
      <c r="U23" s="5">
        <f t="shared" si="3"/>
        <v>175936.71428571429</v>
      </c>
      <c r="V23" s="5">
        <f t="shared" si="3"/>
        <v>196177.875</v>
      </c>
    </row>
    <row r="24" spans="1:22" x14ac:dyDescent="0.35">
      <c r="A24" s="3" t="s">
        <v>1</v>
      </c>
      <c r="B24" s="3">
        <f t="shared" ref="B24:J24" si="4">STDEV(B5:B20)</f>
        <v>130800.78078376618</v>
      </c>
      <c r="C24" s="3">
        <f t="shared" si="4"/>
        <v>502238.67521199165</v>
      </c>
      <c r="D24" s="3">
        <f t="shared" si="4"/>
        <v>896774.51933749765</v>
      </c>
      <c r="E24" s="3">
        <f t="shared" si="4"/>
        <v>1585072.3674029163</v>
      </c>
      <c r="F24" s="3">
        <f t="shared" si="4"/>
        <v>1733596.5443858893</v>
      </c>
      <c r="G24" s="3">
        <f t="shared" si="4"/>
        <v>1888000.8535184776</v>
      </c>
      <c r="H24" s="3">
        <f t="shared" si="4"/>
        <v>2165121.7770602684</v>
      </c>
      <c r="I24" s="3">
        <f t="shared" si="4"/>
        <v>157255.50942875238</v>
      </c>
      <c r="J24" s="3">
        <f t="shared" si="4"/>
        <v>153745.04947610741</v>
      </c>
      <c r="K24" s="3"/>
      <c r="L24" s="3">
        <f>STDEV(L5:L20)</f>
        <v>249424.25143829454</v>
      </c>
      <c r="M24" s="3"/>
      <c r="N24" s="3" t="s">
        <v>1</v>
      </c>
      <c r="O24" s="3">
        <f>STDEV(O5:O20)</f>
        <v>2873781.474298765</v>
      </c>
      <c r="P24" s="3">
        <f>STDEV(P5:P20)</f>
        <v>1614695.7614185235</v>
      </c>
      <c r="Q24" s="3">
        <f>STDEV(Q5:Q20)</f>
        <v>133870.8552694403</v>
      </c>
      <c r="R24" s="3">
        <f>STDEV(R5:R20)</f>
        <v>1375258.4823441892</v>
      </c>
      <c r="S24" s="3">
        <f>STDEV(S5:S20)</f>
        <v>2349826.8139970899</v>
      </c>
      <c r="T24" s="3">
        <f t="shared" ref="T24:V24" si="5">STDEV(T5:T20)</f>
        <v>911935.69980476738</v>
      </c>
      <c r="U24" s="3">
        <f t="shared" si="5"/>
        <v>77038.252002310037</v>
      </c>
      <c r="V24" s="3">
        <f t="shared" si="5"/>
        <v>135614.10441547263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Fadrozole-0,016ug/L</v>
      </c>
      <c r="J27" s="20" t="str">
        <f t="shared" si="6"/>
        <v>Fadrozole-0,08ug/L</v>
      </c>
      <c r="K27" s="20" t="str">
        <f t="shared" si="6"/>
        <v>Fadrozole-0,4ug/L</v>
      </c>
      <c r="L27" s="20" t="str">
        <f t="shared" si="6"/>
        <v>Fadrozole-2ug/L</v>
      </c>
      <c r="M27" s="20" t="str">
        <f t="shared" si="6"/>
        <v>Fadrozole-10ug/L</v>
      </c>
      <c r="N27" s="3"/>
      <c r="O27" s="21" t="str">
        <f>O4</f>
        <v>Testo -30µg/L</v>
      </c>
      <c r="P27" s="21" t="str">
        <f t="shared" ref="P27:R27" si="7">P4</f>
        <v>Testo 30µg/L + EE2 -64ng/L</v>
      </c>
      <c r="Q27" s="21" t="str">
        <f t="shared" si="7"/>
        <v>Testo 30µg/L + FAD-10mg/L</v>
      </c>
      <c r="R27" s="21" t="str">
        <f t="shared" si="7"/>
        <v>Fadrozole-0,016ug/L + Testostérone</v>
      </c>
      <c r="S27" s="21" t="str">
        <f t="shared" ref="S27:V27" si="8">S4</f>
        <v>Fadrozole-0,08ug/L + Testostérone</v>
      </c>
      <c r="T27" s="21" t="str">
        <f t="shared" si="8"/>
        <v>Fadrozole-0,4ug/L + Testostérone</v>
      </c>
      <c r="U27" s="21" t="str">
        <f t="shared" si="8"/>
        <v>Fadrozole-2ug/L + Testostérone</v>
      </c>
      <c r="V27" s="21" t="str">
        <f t="shared" si="8"/>
        <v>Fadrozole-10ug/L + Testostérone</v>
      </c>
    </row>
    <row r="28" spans="1:22" ht="14.5" customHeight="1" x14ac:dyDescent="0.35">
      <c r="A28" s="140" t="s">
        <v>36</v>
      </c>
      <c r="B28" s="11">
        <f t="shared" ref="B28:M28" si="9">IF(B5="","",(B5/$O$23))</f>
        <v>2.2834721150049204E-3</v>
      </c>
      <c r="C28" s="11">
        <f t="shared" si="9"/>
        <v>0.54483757003840738</v>
      </c>
      <c r="D28" s="11">
        <f t="shared" si="9"/>
        <v>0.1472818037447241</v>
      </c>
      <c r="E28" s="11">
        <f t="shared" si="9"/>
        <v>1.8136775469575299</v>
      </c>
      <c r="F28" s="11">
        <f t="shared" si="9"/>
        <v>0.93439341926531327</v>
      </c>
      <c r="G28" s="11">
        <f t="shared" si="9"/>
        <v>1.4818547850011963</v>
      </c>
      <c r="H28" s="11">
        <f t="shared" si="9"/>
        <v>3.5337429799484568</v>
      </c>
      <c r="I28" s="11">
        <f t="shared" si="9"/>
        <v>0.1693764037057108</v>
      </c>
      <c r="J28" s="11">
        <f t="shared" si="9"/>
        <v>3.6021433942676373E-2</v>
      </c>
      <c r="K28" s="11">
        <f t="shared" si="9"/>
        <v>2.0680770243130222E-2</v>
      </c>
      <c r="L28" s="11">
        <f t="shared" si="9"/>
        <v>2.6965192125259232E-2</v>
      </c>
      <c r="M28" s="11">
        <f t="shared" si="9"/>
        <v>5.1058449707959827E-3</v>
      </c>
      <c r="N28" s="6"/>
      <c r="O28" s="11">
        <f t="shared" ref="O28:S37" si="10">IF(O5="","",(O5/$O$23))</f>
        <v>7.2158842232388887E-2</v>
      </c>
      <c r="P28" s="11">
        <f t="shared" si="10"/>
        <v>2.1776040567231854</v>
      </c>
      <c r="Q28" s="11">
        <f t="shared" si="10"/>
        <v>1.3212484869746311E-2</v>
      </c>
      <c r="R28" s="11">
        <f t="shared" si="10"/>
        <v>5.4181496796807532E-2</v>
      </c>
      <c r="S28" s="11">
        <f t="shared" si="10"/>
        <v>0.79332731186373373</v>
      </c>
      <c r="T28" s="11">
        <f t="shared" ref="T28:V43" si="11">IF(T5="","",(T5/$O$23))</f>
        <v>3.6448986093858021E-2</v>
      </c>
      <c r="U28" s="11">
        <f t="shared" si="11"/>
        <v>5.9553983642413093E-2</v>
      </c>
      <c r="V28" s="11">
        <f t="shared" si="11"/>
        <v>4.4661027180000736E-2</v>
      </c>
    </row>
    <row r="29" spans="1:22" x14ac:dyDescent="0.35">
      <c r="A29" s="141"/>
      <c r="B29" s="11">
        <f t="shared" ref="B29:M29" si="12">IF(B6="","",(B6/$O$23))</f>
        <v>7.1565093224913293E-2</v>
      </c>
      <c r="C29" s="11">
        <f t="shared" si="12"/>
        <v>5.0267775598394383E-2</v>
      </c>
      <c r="D29" s="11">
        <f t="shared" si="12"/>
        <v>0.13048336563172089</v>
      </c>
      <c r="E29" s="11">
        <f t="shared" si="12"/>
        <v>0.45080021679933846</v>
      </c>
      <c r="F29" s="11">
        <f t="shared" si="12"/>
        <v>1.3095625020573263</v>
      </c>
      <c r="G29" s="11">
        <f t="shared" si="12"/>
        <v>0.6683089482262512</v>
      </c>
      <c r="H29" s="11">
        <f t="shared" si="12"/>
        <v>3.0106309405102398</v>
      </c>
      <c r="I29" s="11">
        <f t="shared" si="12"/>
        <v>5.7048144759444301E-2</v>
      </c>
      <c r="J29" s="11">
        <f t="shared" si="12"/>
        <v>6.6058129002545041E-2</v>
      </c>
      <c r="K29" s="11">
        <f t="shared" si="12"/>
        <v>7.8149528517608716E-2</v>
      </c>
      <c r="L29" s="11">
        <f t="shared" si="12"/>
        <v>9.9348053181837568E-3</v>
      </c>
      <c r="M29" s="11">
        <f t="shared" si="12"/>
        <v>4.2942227882901099E-2</v>
      </c>
      <c r="N29" s="6"/>
      <c r="O29" s="11">
        <f t="shared" si="10"/>
        <v>0.14610190518841062</v>
      </c>
      <c r="P29" s="11">
        <f t="shared" si="10"/>
        <v>1.6496197730644706</v>
      </c>
      <c r="Q29" s="11">
        <f t="shared" si="10"/>
        <v>7.6083467001890906E-2</v>
      </c>
      <c r="R29" s="11">
        <f t="shared" si="10"/>
        <v>0.99147823967296556</v>
      </c>
      <c r="S29" s="11">
        <f t="shared" si="10"/>
        <v>2.4297907699701278</v>
      </c>
      <c r="T29" s="11">
        <f t="shared" si="11"/>
        <v>0.27032827307134721</v>
      </c>
      <c r="U29" s="11">
        <f t="shared" si="11"/>
        <v>5.6689978969737265E-2</v>
      </c>
      <c r="V29" s="11">
        <f t="shared" si="11"/>
        <v>3.2655864999912645E-2</v>
      </c>
    </row>
    <row r="30" spans="1:22" x14ac:dyDescent="0.35">
      <c r="A30" s="141"/>
      <c r="B30" s="11">
        <f t="shared" ref="B30:M30" si="13">IF(B7="","",(B7/$O$23))</f>
        <v>0.13429003358671607</v>
      </c>
      <c r="C30" s="11">
        <f t="shared" si="13"/>
        <v>8.5933356630079547E-2</v>
      </c>
      <c r="D30" s="11">
        <f t="shared" si="13"/>
        <v>0.84234547213309496</v>
      </c>
      <c r="E30" s="11">
        <f t="shared" si="13"/>
        <v>0.45433231300964128</v>
      </c>
      <c r="F30" s="11">
        <f t="shared" si="13"/>
        <v>2.0274453622672257</v>
      </c>
      <c r="G30" s="11">
        <f t="shared" si="13"/>
        <v>2.3920802737424123</v>
      </c>
      <c r="H30" s="11">
        <f t="shared" si="13"/>
        <v>2.9202185290413518</v>
      </c>
      <c r="I30" s="11">
        <f t="shared" si="13"/>
        <v>2.2716103513052133E-2</v>
      </c>
      <c r="J30" s="11">
        <f t="shared" si="13"/>
        <v>3.8604258645757471E-2</v>
      </c>
      <c r="K30" s="11">
        <f t="shared" si="13"/>
        <v>4.281964531096262E-2</v>
      </c>
      <c r="L30" s="11">
        <f t="shared" si="13"/>
        <v>7.3135537872955306E-2</v>
      </c>
      <c r="M30" s="11">
        <f t="shared" si="13"/>
        <v>0.1149824524782929</v>
      </c>
      <c r="N30" s="6"/>
      <c r="O30" s="11">
        <f t="shared" si="10"/>
        <v>2.5719872142412534E-2</v>
      </c>
      <c r="P30" s="11">
        <f t="shared" si="10"/>
        <v>2.7308135868903722</v>
      </c>
      <c r="Q30" s="11">
        <f t="shared" si="10"/>
        <v>3.0981010398413597E-2</v>
      </c>
      <c r="R30" s="11">
        <f t="shared" si="10"/>
        <v>0.15260274643609137</v>
      </c>
      <c r="S30" s="11">
        <f t="shared" si="10"/>
        <v>0.82680524004149802</v>
      </c>
      <c r="T30" s="11">
        <f t="shared" si="11"/>
        <v>0.45865475291826441</v>
      </c>
      <c r="U30" s="11">
        <f t="shared" si="11"/>
        <v>7.9288786490772797E-2</v>
      </c>
      <c r="V30" s="11">
        <f t="shared" si="11"/>
        <v>6.8684237578736484E-2</v>
      </c>
    </row>
    <row r="31" spans="1:22" x14ac:dyDescent="0.35">
      <c r="A31" s="141"/>
      <c r="B31" s="11">
        <f t="shared" ref="B31:M31" si="14">IF(B8="","",(B8/$O$23))</f>
        <v>4.3659881107295642E-2</v>
      </c>
      <c r="C31" s="11">
        <f t="shared" si="14"/>
        <v>0.21250300106338729</v>
      </c>
      <c r="D31" s="11">
        <f t="shared" si="14"/>
        <v>0.25375847953996511</v>
      </c>
      <c r="E31" s="11">
        <f t="shared" si="14"/>
        <v>1.0259986153290745</v>
      </c>
      <c r="F31" s="11">
        <f t="shared" si="14"/>
        <v>2.0303192792772551</v>
      </c>
      <c r="G31" s="11">
        <f t="shared" si="14"/>
        <v>1.1327250820256241</v>
      </c>
      <c r="H31" s="11">
        <f t="shared" si="14"/>
        <v>2.3939725389431987</v>
      </c>
      <c r="I31" s="11">
        <f t="shared" si="14"/>
        <v>6.7784527758282365E-2</v>
      </c>
      <c r="J31" s="11">
        <f t="shared" si="14"/>
        <v>0.16141580557710228</v>
      </c>
      <c r="K31" s="11">
        <f t="shared" si="14"/>
        <v>7.8783587696988608E-2</v>
      </c>
      <c r="L31" s="11">
        <f t="shared" si="14"/>
        <v>4.7534283367539842E-2</v>
      </c>
      <c r="M31" s="11">
        <f t="shared" si="14"/>
        <v>8.9174690944679211E-2</v>
      </c>
      <c r="N31" s="6"/>
      <c r="O31" s="11">
        <f t="shared" si="10"/>
        <v>0.18869059303903632</v>
      </c>
      <c r="P31" s="11">
        <f t="shared" si="10"/>
        <v>2.0122497491042859</v>
      </c>
      <c r="Q31" s="11">
        <f t="shared" si="10"/>
        <v>2.9471691830718259E-2</v>
      </c>
      <c r="R31" s="11">
        <f t="shared" si="10"/>
        <v>0.42795161837699436</v>
      </c>
      <c r="S31" s="11">
        <f t="shared" si="10"/>
        <v>0.24031173309743073</v>
      </c>
      <c r="T31" s="11">
        <f t="shared" si="11"/>
        <v>0.43267881206088604</v>
      </c>
      <c r="U31" s="11">
        <f t="shared" si="11"/>
        <v>7.8585671361163401E-2</v>
      </c>
      <c r="V31" s="11">
        <f t="shared" si="11"/>
        <v>2.7151874478750448E-2</v>
      </c>
    </row>
    <row r="32" spans="1:22" x14ac:dyDescent="0.35">
      <c r="A32" s="141"/>
      <c r="B32" s="11">
        <f t="shared" ref="B32:M32" si="15">IF(B9="","",(B9/$O$23))</f>
        <v>9.7913737966783834E-2</v>
      </c>
      <c r="C32" s="11">
        <f t="shared" si="15"/>
        <v>0.22357309941979372</v>
      </c>
      <c r="D32" s="11">
        <f t="shared" si="15"/>
        <v>0.29359517213000974</v>
      </c>
      <c r="E32" s="11">
        <f t="shared" si="15"/>
        <v>0.26878525255664992</v>
      </c>
      <c r="F32" s="11">
        <f t="shared" si="15"/>
        <v>2.3186113509231339</v>
      </c>
      <c r="G32" s="11">
        <f t="shared" si="15"/>
        <v>0.64047213123637281</v>
      </c>
      <c r="H32" s="11">
        <f t="shared" si="15"/>
        <v>3.4695027736165462</v>
      </c>
      <c r="I32" s="11">
        <f t="shared" si="15"/>
        <v>8.6894522942125449E-2</v>
      </c>
      <c r="J32" s="11">
        <f t="shared" si="15"/>
        <v>9.4392214916324796E-2</v>
      </c>
      <c r="K32" s="11">
        <f t="shared" si="15"/>
        <v>3.6967731748692015E-2</v>
      </c>
      <c r="L32" s="11">
        <f t="shared" si="15"/>
        <v>0.11195621588426453</v>
      </c>
      <c r="M32" s="11">
        <f t="shared" si="15"/>
        <v>8.9042526446632322E-3</v>
      </c>
      <c r="N32" s="6"/>
      <c r="O32" s="11">
        <f t="shared" si="10"/>
        <v>0.4907585007275862</v>
      </c>
      <c r="P32" s="11">
        <f t="shared" si="10"/>
        <v>1.392789790589896</v>
      </c>
      <c r="Q32" s="11">
        <f t="shared" si="10"/>
        <v>0.11132810410729675</v>
      </c>
      <c r="R32" s="11">
        <f t="shared" si="10"/>
        <v>1.0949356175103258</v>
      </c>
      <c r="S32" s="11">
        <f t="shared" si="10"/>
        <v>9.3023651539049387E-2</v>
      </c>
      <c r="T32" s="11">
        <f t="shared" si="11"/>
        <v>0.74379734457568614</v>
      </c>
      <c r="U32" s="11">
        <f t="shared" si="11"/>
        <v>8.406983720761857E-2</v>
      </c>
      <c r="V32" s="11">
        <f t="shared" si="11"/>
        <v>0.12860729058194548</v>
      </c>
    </row>
    <row r="33" spans="1:22" x14ac:dyDescent="0.35">
      <c r="A33" s="141"/>
      <c r="B33" s="11">
        <f t="shared" ref="B33:M33" si="16">IF(B10="","",(B10/$O$23))</f>
        <v>1.2301871478203328E-2</v>
      </c>
      <c r="C33" s="11">
        <f t="shared" si="16"/>
        <v>7.4261248985069583E-2</v>
      </c>
      <c r="D33" s="11">
        <f t="shared" si="16"/>
        <v>0.52000353044415404</v>
      </c>
      <c r="E33" s="11">
        <f t="shared" si="16"/>
        <v>0.38148258086371234</v>
      </c>
      <c r="F33" s="11">
        <f t="shared" si="16"/>
        <v>0.90793739086877956</v>
      </c>
      <c r="G33" s="11">
        <f t="shared" si="16"/>
        <v>1.2872808893316032</v>
      </c>
      <c r="H33" s="11">
        <f t="shared" si="16"/>
        <v>1.5056681842592827</v>
      </c>
      <c r="I33" s="11">
        <f t="shared" si="16"/>
        <v>1.6496772646211209E-2</v>
      </c>
      <c r="J33" s="11">
        <f t="shared" si="16"/>
        <v>3.1020990159072778E-2</v>
      </c>
      <c r="K33" s="11">
        <f t="shared" si="16"/>
        <v>2.4524774668823645E-2</v>
      </c>
      <c r="L33" s="11">
        <f t="shared" si="16"/>
        <v>6.6541190242906376E-2</v>
      </c>
      <c r="M33" s="11">
        <f t="shared" si="16"/>
        <v>4.3698539222974356E-2</v>
      </c>
      <c r="N33" s="6"/>
      <c r="O33" s="11">
        <f t="shared" si="10"/>
        <v>0.18288295458361142</v>
      </c>
      <c r="P33" s="11">
        <f t="shared" si="10"/>
        <v>0.98130818154825838</v>
      </c>
      <c r="Q33" s="11">
        <f t="shared" si="10"/>
        <v>2.2091956671025755E-2</v>
      </c>
      <c r="R33" s="11">
        <f t="shared" si="10"/>
        <v>0.36135458863366315</v>
      </c>
      <c r="S33" s="11">
        <f t="shared" si="10"/>
        <v>0.34568153122152911</v>
      </c>
      <c r="T33" s="11">
        <f t="shared" si="11"/>
        <v>0.12496153290332238</v>
      </c>
      <c r="U33" s="11">
        <f t="shared" si="11"/>
        <v>3.0040990406055183E-2</v>
      </c>
      <c r="V33" s="11">
        <f t="shared" si="11"/>
        <v>0.13846742295873274</v>
      </c>
    </row>
    <row r="34" spans="1:22" x14ac:dyDescent="0.35">
      <c r="A34" s="141"/>
      <c r="B34" s="11">
        <f t="shared" ref="B34:M34" si="17">IF(B11="","",(B11/$O$23))</f>
        <v>4.8917715250845532E-2</v>
      </c>
      <c r="C34" s="11">
        <f t="shared" si="17"/>
        <v>0.10213936738058763</v>
      </c>
      <c r="D34" s="11">
        <f t="shared" si="17"/>
        <v>0.78985237679883624</v>
      </c>
      <c r="E34" s="11">
        <f t="shared" si="17"/>
        <v>1.1577801667428609</v>
      </c>
      <c r="F34" s="11">
        <f t="shared" si="17"/>
        <v>1.8641673589126431</v>
      </c>
      <c r="G34" s="11">
        <f t="shared" si="17"/>
        <v>1.528416337663111</v>
      </c>
      <c r="H34" s="11">
        <f t="shared" si="17"/>
        <v>2.3407650944969967</v>
      </c>
      <c r="I34" s="11">
        <f t="shared" si="17"/>
        <v>1.1305351162929874E-2</v>
      </c>
      <c r="J34" s="11">
        <f t="shared" si="17"/>
        <v>4.7084593662935346E-2</v>
      </c>
      <c r="K34" s="11">
        <f t="shared" si="17"/>
        <v>3.4387550335571858E-2</v>
      </c>
      <c r="L34" s="11">
        <f t="shared" si="17"/>
        <v>3.5834090766694929E-2</v>
      </c>
      <c r="M34" s="11">
        <f t="shared" si="17"/>
        <v>1.1101817835937684E-2</v>
      </c>
      <c r="N34" s="6"/>
      <c r="O34" s="11">
        <f t="shared" si="10"/>
        <v>0.10223981239910325</v>
      </c>
      <c r="P34" s="11">
        <f t="shared" si="10"/>
        <v>1.7549320796319186</v>
      </c>
      <c r="Q34" s="11">
        <f t="shared" si="10"/>
        <v>3.4257037893750566E-3</v>
      </c>
      <c r="R34" s="11">
        <f t="shared" si="10"/>
        <v>1.0845402189164486</v>
      </c>
      <c r="S34" s="11">
        <f t="shared" si="10"/>
        <v>1.5737728805140836</v>
      </c>
      <c r="T34" s="11">
        <f t="shared" si="11"/>
        <v>0.67408453679089975</v>
      </c>
      <c r="U34" s="11">
        <f t="shared" si="11"/>
        <v>1.8691033725034487E-2</v>
      </c>
      <c r="V34" s="11">
        <f t="shared" si="11"/>
        <v>5.2775596948833881E-2</v>
      </c>
    </row>
    <row r="35" spans="1:22" x14ac:dyDescent="0.35">
      <c r="A35" s="141"/>
      <c r="B35" s="11">
        <f t="shared" ref="B35:M35" si="18">IF(B12="","",(B12/$O$23))</f>
        <v>5.8608346658887686E-2</v>
      </c>
      <c r="C35" s="11">
        <f t="shared" si="18"/>
        <v>5.8559445794610337E-2</v>
      </c>
      <c r="D35" s="11" t="str">
        <f t="shared" si="18"/>
        <v/>
      </c>
      <c r="E35" s="11">
        <f t="shared" si="18"/>
        <v>0.66259118162949826</v>
      </c>
      <c r="F35" s="11">
        <f t="shared" si="18"/>
        <v>2.2522925274481915</v>
      </c>
      <c r="G35" s="11">
        <f t="shared" si="18"/>
        <v>2.1215035314147372</v>
      </c>
      <c r="H35" s="11" t="str">
        <f t="shared" si="18"/>
        <v/>
      </c>
      <c r="I35" s="11">
        <f t="shared" si="18"/>
        <v>3.7569080214805303E-2</v>
      </c>
      <c r="J35" s="11">
        <f t="shared" si="18"/>
        <v>0.1429805101557885</v>
      </c>
      <c r="K35" s="11">
        <f t="shared" si="18"/>
        <v>3.3830476976304272E-2</v>
      </c>
      <c r="L35" s="11">
        <f t="shared" si="18"/>
        <v>0.26859196197825635</v>
      </c>
      <c r="M35" s="11">
        <f t="shared" si="18"/>
        <v>4.1756381924175495E-2</v>
      </c>
      <c r="N35" s="6"/>
      <c r="O35" s="11">
        <f t="shared" si="10"/>
        <v>3.7174238776890259E-2</v>
      </c>
      <c r="P35" s="11">
        <f t="shared" si="10"/>
        <v>2.0549560633581736</v>
      </c>
      <c r="Q35" s="11">
        <f t="shared" si="10"/>
        <v>0.11457373376808294</v>
      </c>
      <c r="R35" s="11">
        <f t="shared" si="10"/>
        <v>8.495765222324847E-2</v>
      </c>
      <c r="S35" s="11">
        <f t="shared" si="10"/>
        <v>0.76925982635815238</v>
      </c>
      <c r="T35" s="11">
        <f t="shared" si="11"/>
        <v>0.88561018139123038</v>
      </c>
      <c r="U35" s="11" t="str">
        <f t="shared" si="11"/>
        <v/>
      </c>
      <c r="V35" s="11">
        <f t="shared" si="11"/>
        <v>2.5551692818647883E-2</v>
      </c>
    </row>
    <row r="36" spans="1:22" x14ac:dyDescent="0.35">
      <c r="A36" s="141"/>
      <c r="B36" s="11" t="str">
        <f t="shared" ref="B36:M36" si="19">IF(B13="","",(B13/$O$23))</f>
        <v/>
      </c>
      <c r="C36" s="11" t="str">
        <f t="shared" si="19"/>
        <v/>
      </c>
      <c r="D36" s="11" t="str">
        <f t="shared" si="19"/>
        <v/>
      </c>
      <c r="E36" s="11" t="str">
        <f t="shared" si="19"/>
        <v/>
      </c>
      <c r="F36" s="11" t="str">
        <f t="shared" si="19"/>
        <v/>
      </c>
      <c r="G36" s="11" t="str">
        <f t="shared" si="19"/>
        <v/>
      </c>
      <c r="H36" s="11" t="str">
        <f t="shared" si="19"/>
        <v/>
      </c>
      <c r="I36" s="11" t="str">
        <f t="shared" si="19"/>
        <v/>
      </c>
      <c r="J36" s="11" t="str">
        <f t="shared" si="19"/>
        <v/>
      </c>
      <c r="K36" s="11" t="str">
        <f t="shared" si="19"/>
        <v/>
      </c>
      <c r="L36" s="11" t="str">
        <f t="shared" si="19"/>
        <v/>
      </c>
      <c r="M36" s="11" t="str">
        <f t="shared" si="19"/>
        <v/>
      </c>
      <c r="N36" s="6"/>
      <c r="O36" s="11">
        <f t="shared" si="10"/>
        <v>2.1776040567231854</v>
      </c>
      <c r="P36" s="11">
        <f t="shared" si="10"/>
        <v>2.4376948677758215</v>
      </c>
      <c r="Q36" s="11" t="str">
        <f t="shared" si="10"/>
        <v/>
      </c>
      <c r="R36" s="11" t="str">
        <f t="shared" si="10"/>
        <v/>
      </c>
      <c r="S36" s="11" t="str">
        <f t="shared" si="10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x14ac:dyDescent="0.35">
      <c r="A37" s="141"/>
      <c r="B37" s="11" t="str">
        <f t="shared" ref="B37:M37" si="20">IF(B14="","",(B14/$O$23))</f>
        <v/>
      </c>
      <c r="C37" s="11" t="str">
        <f t="shared" si="20"/>
        <v/>
      </c>
      <c r="D37" s="11" t="str">
        <f t="shared" si="20"/>
        <v/>
      </c>
      <c r="E37" s="11" t="str">
        <f t="shared" si="20"/>
        <v/>
      </c>
      <c r="F37" s="11" t="str">
        <f t="shared" si="20"/>
        <v/>
      </c>
      <c r="G37" s="11" t="str">
        <f t="shared" si="20"/>
        <v/>
      </c>
      <c r="H37" s="11" t="str">
        <f t="shared" si="20"/>
        <v/>
      </c>
      <c r="I37" s="11" t="str">
        <f t="shared" si="20"/>
        <v/>
      </c>
      <c r="J37" s="11" t="str">
        <f t="shared" si="20"/>
        <v/>
      </c>
      <c r="K37" s="11" t="str">
        <f t="shared" si="20"/>
        <v/>
      </c>
      <c r="L37" s="11" t="str">
        <f t="shared" si="20"/>
        <v/>
      </c>
      <c r="M37" s="11" t="str">
        <f t="shared" si="20"/>
        <v/>
      </c>
      <c r="N37" s="6"/>
      <c r="O37" s="11">
        <f t="shared" si="10"/>
        <v>1.6496197730644706</v>
      </c>
      <c r="P37" s="11" t="str">
        <f t="shared" si="10"/>
        <v/>
      </c>
      <c r="Q37" s="11" t="str">
        <f t="shared" si="10"/>
        <v/>
      </c>
      <c r="R37" s="11" t="str">
        <f t="shared" si="10"/>
        <v/>
      </c>
      <c r="S37" s="11" t="str">
        <f t="shared" si="10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x14ac:dyDescent="0.35">
      <c r="A38" s="141"/>
      <c r="B38" s="11" t="str">
        <f t="shared" ref="B38:M38" si="21">IF(B15="","",(B15/$O$23))</f>
        <v/>
      </c>
      <c r="C38" s="11" t="str">
        <f t="shared" si="21"/>
        <v/>
      </c>
      <c r="D38" s="11" t="str">
        <f t="shared" si="21"/>
        <v/>
      </c>
      <c r="E38" s="11" t="str">
        <f t="shared" si="21"/>
        <v/>
      </c>
      <c r="F38" s="11" t="str">
        <f t="shared" si="21"/>
        <v/>
      </c>
      <c r="G38" s="11" t="str">
        <f t="shared" si="21"/>
        <v/>
      </c>
      <c r="H38" s="11" t="str">
        <f t="shared" si="21"/>
        <v/>
      </c>
      <c r="I38" s="11" t="str">
        <f t="shared" si="21"/>
        <v/>
      </c>
      <c r="J38" s="11" t="str">
        <f t="shared" si="21"/>
        <v/>
      </c>
      <c r="K38" s="11" t="str">
        <f t="shared" si="21"/>
        <v/>
      </c>
      <c r="L38" s="11" t="str">
        <f t="shared" si="21"/>
        <v/>
      </c>
      <c r="M38" s="11" t="str">
        <f t="shared" si="21"/>
        <v/>
      </c>
      <c r="N38" s="6"/>
      <c r="O38" s="11">
        <f t="shared" ref="O38:S43" si="22">IF(O15="","",(O15/$O$23))</f>
        <v>2.7308135868903722</v>
      </c>
      <c r="P38" s="11" t="str">
        <f t="shared" si="22"/>
        <v/>
      </c>
      <c r="Q38" s="11" t="str">
        <f t="shared" si="22"/>
        <v/>
      </c>
      <c r="R38" s="11" t="str">
        <f t="shared" si="22"/>
        <v/>
      </c>
      <c r="S38" s="11" t="str">
        <f t="shared" si="22"/>
        <v/>
      </c>
      <c r="T38" s="11" t="str">
        <f t="shared" si="11"/>
        <v/>
      </c>
      <c r="U38" s="11" t="str">
        <f t="shared" si="11"/>
        <v/>
      </c>
      <c r="V38" s="11" t="str">
        <f t="shared" si="11"/>
        <v/>
      </c>
    </row>
    <row r="39" spans="1:22" x14ac:dyDescent="0.35">
      <c r="A39" s="141"/>
      <c r="B39" s="11" t="str">
        <f t="shared" ref="B39:M39" si="23">IF(B16="","",(B16/$O$23))</f>
        <v/>
      </c>
      <c r="C39" s="11" t="str">
        <f t="shared" si="23"/>
        <v/>
      </c>
      <c r="D39" s="11" t="str">
        <f t="shared" si="23"/>
        <v/>
      </c>
      <c r="E39" s="11" t="str">
        <f t="shared" si="23"/>
        <v/>
      </c>
      <c r="F39" s="11" t="str">
        <f t="shared" si="23"/>
        <v/>
      </c>
      <c r="G39" s="11" t="str">
        <f t="shared" si="23"/>
        <v/>
      </c>
      <c r="H39" s="11" t="str">
        <f t="shared" si="23"/>
        <v/>
      </c>
      <c r="I39" s="11" t="str">
        <f t="shared" si="23"/>
        <v/>
      </c>
      <c r="J39" s="11" t="str">
        <f t="shared" si="23"/>
        <v/>
      </c>
      <c r="K39" s="11" t="str">
        <f t="shared" si="23"/>
        <v/>
      </c>
      <c r="L39" s="11" t="str">
        <f t="shared" si="23"/>
        <v/>
      </c>
      <c r="M39" s="11" t="str">
        <f t="shared" si="23"/>
        <v/>
      </c>
      <c r="N39" s="6"/>
      <c r="O39" s="11">
        <f t="shared" si="22"/>
        <v>2.0122497491042859</v>
      </c>
      <c r="P39" s="11" t="str">
        <f t="shared" si="22"/>
        <v/>
      </c>
      <c r="Q39" s="11" t="str">
        <f t="shared" si="22"/>
        <v/>
      </c>
      <c r="R39" s="11" t="str">
        <f t="shared" si="22"/>
        <v/>
      </c>
      <c r="S39" s="11" t="str">
        <f t="shared" si="22"/>
        <v/>
      </c>
      <c r="T39" s="11" t="str">
        <f t="shared" si="11"/>
        <v/>
      </c>
      <c r="U39" s="11" t="str">
        <f t="shared" si="11"/>
        <v/>
      </c>
      <c r="V39" s="11" t="str">
        <f t="shared" si="11"/>
        <v/>
      </c>
    </row>
    <row r="40" spans="1:22" x14ac:dyDescent="0.35">
      <c r="A40" s="141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si="22"/>
        <v>1.392789790589896</v>
      </c>
      <c r="P40" s="11" t="str">
        <f t="shared" si="22"/>
        <v/>
      </c>
      <c r="Q40" s="11" t="str">
        <f t="shared" si="22"/>
        <v/>
      </c>
      <c r="R40" s="11" t="str">
        <f t="shared" si="22"/>
        <v/>
      </c>
      <c r="S40" s="11" t="str">
        <f t="shared" si="22"/>
        <v/>
      </c>
      <c r="T40" s="11" t="str">
        <f t="shared" si="11"/>
        <v/>
      </c>
      <c r="U40" s="11" t="str">
        <f t="shared" si="11"/>
        <v/>
      </c>
      <c r="V40" s="11" t="str">
        <f t="shared" si="11"/>
        <v/>
      </c>
    </row>
    <row r="41" spans="1:22" x14ac:dyDescent="0.35">
      <c r="A41" s="141"/>
      <c r="B41" s="11" t="str">
        <f t="shared" ref="B41:M41" si="25">IF(B18="","",(B18/$O$23))</f>
        <v/>
      </c>
      <c r="C41" s="11" t="str">
        <f t="shared" si="25"/>
        <v/>
      </c>
      <c r="D41" s="11" t="str">
        <f t="shared" si="25"/>
        <v/>
      </c>
      <c r="E41" s="11" t="str">
        <f t="shared" si="25"/>
        <v/>
      </c>
      <c r="F41" s="11" t="str">
        <f t="shared" si="25"/>
        <v/>
      </c>
      <c r="G41" s="11" t="str">
        <f t="shared" si="25"/>
        <v/>
      </c>
      <c r="H41" s="11" t="str">
        <f t="shared" si="25"/>
        <v/>
      </c>
      <c r="I41" s="11" t="str">
        <f t="shared" si="25"/>
        <v/>
      </c>
      <c r="J41" s="11" t="str">
        <f t="shared" si="25"/>
        <v/>
      </c>
      <c r="K41" s="11" t="str">
        <f t="shared" si="25"/>
        <v/>
      </c>
      <c r="L41" s="11" t="str">
        <f t="shared" si="25"/>
        <v/>
      </c>
      <c r="M41" s="11" t="str">
        <f t="shared" si="25"/>
        <v/>
      </c>
      <c r="N41" s="6"/>
      <c r="O41" s="11">
        <f t="shared" si="22"/>
        <v>0.98130818154825838</v>
      </c>
      <c r="P41" s="11" t="str">
        <f t="shared" si="22"/>
        <v/>
      </c>
      <c r="Q41" s="11" t="str">
        <f t="shared" si="22"/>
        <v/>
      </c>
      <c r="R41" s="11" t="str">
        <f t="shared" si="22"/>
        <v/>
      </c>
      <c r="S41" s="11" t="str">
        <f t="shared" si="22"/>
        <v/>
      </c>
      <c r="T41" s="11" t="str">
        <f t="shared" si="11"/>
        <v/>
      </c>
      <c r="U41" s="11" t="str">
        <f t="shared" si="11"/>
        <v/>
      </c>
      <c r="V41" s="11" t="str">
        <f t="shared" si="11"/>
        <v/>
      </c>
    </row>
    <row r="42" spans="1:22" x14ac:dyDescent="0.35">
      <c r="A42" s="141"/>
      <c r="B42" s="11" t="str">
        <f t="shared" ref="B42:M42" si="26">IF(B19="","",(B19/$O$23))</f>
        <v/>
      </c>
      <c r="C42" s="11" t="str">
        <f t="shared" si="26"/>
        <v/>
      </c>
      <c r="D42" s="11" t="str">
        <f t="shared" si="26"/>
        <v/>
      </c>
      <c r="E42" s="11" t="str">
        <f t="shared" si="26"/>
        <v/>
      </c>
      <c r="F42" s="11" t="str">
        <f t="shared" si="26"/>
        <v/>
      </c>
      <c r="G42" s="11" t="str">
        <f t="shared" si="26"/>
        <v/>
      </c>
      <c r="H42" s="11" t="str">
        <f t="shared" si="26"/>
        <v/>
      </c>
      <c r="I42" s="11" t="str">
        <f t="shared" si="26"/>
        <v/>
      </c>
      <c r="J42" s="11" t="str">
        <f t="shared" si="26"/>
        <v/>
      </c>
      <c r="K42" s="11" t="str">
        <f t="shared" si="26"/>
        <v/>
      </c>
      <c r="L42" s="11" t="str">
        <f t="shared" si="26"/>
        <v/>
      </c>
      <c r="M42" s="11" t="str">
        <f t="shared" si="26"/>
        <v/>
      </c>
      <c r="N42" s="6"/>
      <c r="O42" s="11">
        <f t="shared" si="22"/>
        <v>1.7549320796319186</v>
      </c>
      <c r="P42" s="11" t="str">
        <f t="shared" si="22"/>
        <v/>
      </c>
      <c r="Q42" s="11" t="str">
        <f t="shared" si="22"/>
        <v/>
      </c>
      <c r="R42" s="11" t="str">
        <f t="shared" si="22"/>
        <v/>
      </c>
      <c r="S42" s="11" t="str">
        <f t="shared" si="22"/>
        <v/>
      </c>
      <c r="T42" s="11" t="str">
        <f t="shared" si="11"/>
        <v/>
      </c>
      <c r="U42" s="11" t="str">
        <f t="shared" si="11"/>
        <v/>
      </c>
      <c r="V42" s="11" t="str">
        <f t="shared" si="11"/>
        <v/>
      </c>
    </row>
    <row r="43" spans="1:22" x14ac:dyDescent="0.35">
      <c r="A43" s="141"/>
      <c r="B43" s="11" t="str">
        <f t="shared" ref="B43:M43" si="27">IF(B20="","",(B20/$O$23))</f>
        <v/>
      </c>
      <c r="C43" s="11" t="str">
        <f t="shared" si="27"/>
        <v/>
      </c>
      <c r="D43" s="11" t="str">
        <f t="shared" si="27"/>
        <v/>
      </c>
      <c r="E43" s="11" t="str">
        <f t="shared" si="27"/>
        <v/>
      </c>
      <c r="F43" s="11" t="str">
        <f t="shared" si="27"/>
        <v/>
      </c>
      <c r="G43" s="11" t="str">
        <f t="shared" si="27"/>
        <v/>
      </c>
      <c r="H43" s="11" t="str">
        <f t="shared" si="27"/>
        <v/>
      </c>
      <c r="I43" s="11" t="str">
        <f t="shared" si="27"/>
        <v/>
      </c>
      <c r="J43" s="11" t="str">
        <f t="shared" si="27"/>
        <v/>
      </c>
      <c r="K43" s="11" t="str">
        <f t="shared" si="27"/>
        <v/>
      </c>
      <c r="L43" s="11" t="str">
        <f t="shared" si="27"/>
        <v/>
      </c>
      <c r="M43" s="11" t="str">
        <f t="shared" si="27"/>
        <v/>
      </c>
      <c r="N43" s="6"/>
      <c r="O43" s="11">
        <f t="shared" si="22"/>
        <v>2.0549560633581736</v>
      </c>
      <c r="P43" s="11" t="str">
        <f t="shared" si="22"/>
        <v/>
      </c>
      <c r="Q43" s="11" t="str">
        <f t="shared" si="22"/>
        <v/>
      </c>
      <c r="R43" s="11" t="str">
        <f t="shared" si="22"/>
        <v/>
      </c>
      <c r="S43" s="11" t="str">
        <f t="shared" si="22"/>
        <v/>
      </c>
      <c r="T43" s="11" t="str">
        <f t="shared" si="11"/>
        <v/>
      </c>
      <c r="U43" s="11" t="str">
        <f t="shared" si="11"/>
        <v/>
      </c>
      <c r="V43" s="11" t="str">
        <f t="shared" si="11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8">A4</f>
        <v>Group names</v>
      </c>
      <c r="B45" s="7" t="str">
        <f t="shared" ref="B45:R45" si="29">B4</f>
        <v>Solvent control</v>
      </c>
      <c r="C45" s="7" t="str">
        <f t="shared" si="29"/>
        <v>EE2-33.8ng/L</v>
      </c>
      <c r="D45" s="7" t="str">
        <f t="shared" si="29"/>
        <v>EE2-50.6ng/L</v>
      </c>
      <c r="E45" s="7" t="str">
        <f t="shared" si="29"/>
        <v>EE2-76ng/L</v>
      </c>
      <c r="F45" s="7" t="str">
        <f t="shared" si="29"/>
        <v>EE2-114ng/L</v>
      </c>
      <c r="G45" s="7" t="str">
        <f t="shared" si="29"/>
        <v>EE2-170.9ng/L</v>
      </c>
      <c r="H45" s="7" t="str">
        <f t="shared" si="29"/>
        <v>EE2-488ng/L</v>
      </c>
      <c r="I45" s="7" t="str">
        <f t="shared" si="29"/>
        <v>Fadrozole-0,016ug/L</v>
      </c>
      <c r="J45" s="7" t="str">
        <f t="shared" si="29"/>
        <v>Fadrozole-0,08ug/L</v>
      </c>
      <c r="K45" s="7" t="str">
        <f t="shared" ref="K45:M45" si="30">K4</f>
        <v>Fadrozole-0,4ug/L</v>
      </c>
      <c r="L45" s="7" t="str">
        <f t="shared" si="30"/>
        <v>Fadrozole-2ug/L</v>
      </c>
      <c r="M45" s="7" t="str">
        <f t="shared" si="30"/>
        <v>Fadrozole-10ug/L</v>
      </c>
      <c r="N45" s="7"/>
      <c r="O45" s="7" t="str">
        <f t="shared" si="29"/>
        <v>Testo -30µg/L</v>
      </c>
      <c r="P45" s="7" t="str">
        <f t="shared" si="29"/>
        <v>Testo 30µg/L + EE2 -64ng/L</v>
      </c>
      <c r="Q45" s="7" t="str">
        <f t="shared" si="29"/>
        <v>Testo 30µg/L + FAD-10mg/L</v>
      </c>
      <c r="R45" s="7" t="str">
        <f t="shared" si="29"/>
        <v>Fadrozole-0,016ug/L + Testostérone</v>
      </c>
      <c r="S45" s="7" t="str">
        <f t="shared" ref="S45:V45" si="31">S4</f>
        <v>Fadrozole-0,08ug/L + Testostérone</v>
      </c>
      <c r="T45" s="7" t="str">
        <f t="shared" si="31"/>
        <v>Fadrozole-0,4ug/L + Testostérone</v>
      </c>
      <c r="U45" s="7" t="str">
        <f t="shared" si="31"/>
        <v>Fadrozole-2ug/L + Testostérone</v>
      </c>
      <c r="V45" s="7" t="str">
        <f t="shared" si="31"/>
        <v>Fadrozole-10ug/L + Testostérone</v>
      </c>
    </row>
    <row r="46" spans="1:22" x14ac:dyDescent="0.35">
      <c r="A46" s="8" t="s">
        <v>0</v>
      </c>
      <c r="B46" s="10">
        <f t="shared" ref="B46:H46" si="32">AVERAGE(B28:B43)</f>
        <v>5.8692518923581287E-2</v>
      </c>
      <c r="C46" s="10">
        <f t="shared" si="32"/>
        <v>0.16900935811379122</v>
      </c>
      <c r="D46" s="10">
        <f t="shared" si="32"/>
        <v>0.42533145720321502</v>
      </c>
      <c r="E46" s="10">
        <f t="shared" si="32"/>
        <v>0.77693098423603824</v>
      </c>
      <c r="F46" s="10">
        <f t="shared" si="32"/>
        <v>1.7055911488774838</v>
      </c>
      <c r="G46" s="10">
        <f t="shared" si="32"/>
        <v>1.4065802473301634</v>
      </c>
      <c r="H46" s="10">
        <f t="shared" si="32"/>
        <v>2.739214434402296</v>
      </c>
      <c r="I46" s="10">
        <f>AVERAGE(I28:I43)</f>
        <v>5.8648863337820177E-2</v>
      </c>
      <c r="J46" s="9">
        <f>AVERAGE(J28:J43)</f>
        <v>7.7197242007775307E-2</v>
      </c>
      <c r="K46" s="9">
        <f t="shared" ref="K46:M46" si="33">AVERAGE(K28:K43)</f>
        <v>4.3768008187260239E-2</v>
      </c>
      <c r="L46" s="9">
        <f t="shared" si="33"/>
        <v>8.0061659694507542E-2</v>
      </c>
      <c r="M46" s="9">
        <f t="shared" si="33"/>
        <v>4.4708275988052493E-2</v>
      </c>
      <c r="N46" s="8" t="s">
        <v>0</v>
      </c>
      <c r="O46" s="10">
        <f t="shared" ref="O46:R46" si="34">AVERAGE(O28:O43)</f>
        <v>1</v>
      </c>
      <c r="P46" s="10">
        <f t="shared" si="34"/>
        <v>1.9102186831873758</v>
      </c>
      <c r="Q46" s="10">
        <f t="shared" si="34"/>
        <v>5.0146019054568697E-2</v>
      </c>
      <c r="R46" s="10">
        <f t="shared" si="34"/>
        <v>0.5315002723208182</v>
      </c>
      <c r="S46" s="10">
        <f t="shared" ref="S46:V46" si="35">AVERAGE(S28:S43)</f>
        <v>0.88399661807570062</v>
      </c>
      <c r="T46" s="10">
        <f t="shared" si="35"/>
        <v>0.45332055247568676</v>
      </c>
      <c r="U46" s="10">
        <f t="shared" si="35"/>
        <v>5.8131468828970689E-2</v>
      </c>
      <c r="V46" s="10">
        <f t="shared" si="35"/>
        <v>6.4819375943195034E-2</v>
      </c>
    </row>
    <row r="47" spans="1:22" x14ac:dyDescent="0.35">
      <c r="A47" s="8" t="s">
        <v>1</v>
      </c>
      <c r="B47" s="8">
        <f t="shared" ref="B47:J47" si="36">STDEV(B28:B43)</f>
        <v>4.3218048841065185E-2</v>
      </c>
      <c r="C47" s="8">
        <f t="shared" si="36"/>
        <v>0.16594530602280363</v>
      </c>
      <c r="D47" s="8">
        <f t="shared" si="36"/>
        <v>0.29630438552367483</v>
      </c>
      <c r="E47" s="8">
        <f t="shared" si="36"/>
        <v>0.52372573451445426</v>
      </c>
      <c r="F47" s="8">
        <f t="shared" si="36"/>
        <v>0.57279979276140358</v>
      </c>
      <c r="G47" s="8">
        <f t="shared" si="36"/>
        <v>0.62381671279336337</v>
      </c>
      <c r="H47" s="8">
        <f t="shared" si="36"/>
        <v>0.71538058218883394</v>
      </c>
      <c r="I47" s="8">
        <f t="shared" si="36"/>
        <v>5.1958988671892553E-2</v>
      </c>
      <c r="J47" s="8">
        <f t="shared" si="36"/>
        <v>5.0799093228005104E-2</v>
      </c>
      <c r="K47" s="8">
        <f t="shared" ref="K47:M47" si="37">STDEV(K28:K43)</f>
        <v>2.2505215295965594E-2</v>
      </c>
      <c r="L47" s="8">
        <f t="shared" si="37"/>
        <v>8.2412577480150684E-2</v>
      </c>
      <c r="M47" s="8">
        <f t="shared" si="37"/>
        <v>3.9475577934547174E-2</v>
      </c>
      <c r="N47" s="8" t="s">
        <v>1</v>
      </c>
      <c r="O47" s="8">
        <f t="shared" ref="O47:R47" si="38">STDEV(O28:O43)</f>
        <v>0.9495297151177774</v>
      </c>
      <c r="P47" s="8">
        <f t="shared" si="38"/>
        <v>0.53351363701574894</v>
      </c>
      <c r="Q47" s="8">
        <f t="shared" si="38"/>
        <v>4.4232435974479296E-2</v>
      </c>
      <c r="R47" s="8">
        <f t="shared" si="38"/>
        <v>0.45440086750932462</v>
      </c>
      <c r="S47" s="8">
        <f t="shared" ref="S47:V47" si="39">STDEV(S28:S43)</f>
        <v>0.77640920342254494</v>
      </c>
      <c r="T47" s="8">
        <f t="shared" si="39"/>
        <v>0.30131381003931185</v>
      </c>
      <c r="U47" s="8">
        <f t="shared" si="39"/>
        <v>2.5454304765735326E-2</v>
      </c>
      <c r="V47" s="8">
        <f t="shared" si="39"/>
        <v>4.4808425095369329E-2</v>
      </c>
    </row>
    <row r="48" spans="1:22" x14ac:dyDescent="0.35">
      <c r="A48" s="8" t="s">
        <v>2</v>
      </c>
      <c r="B48" s="8">
        <f t="shared" ref="B48:J48" si="40" xml:space="preserve"> B47/SQRT(COUNT(B28:B43))</f>
        <v>1.52798877025843E-2</v>
      </c>
      <c r="C48" s="8">
        <f t="shared" si="40"/>
        <v>5.8670525597400637E-2</v>
      </c>
      <c r="D48" s="8">
        <f t="shared" si="40"/>
        <v>0.11199253092477865</v>
      </c>
      <c r="E48" s="8">
        <f t="shared" si="40"/>
        <v>0.18516500917853804</v>
      </c>
      <c r="F48" s="8">
        <f t="shared" si="40"/>
        <v>0.20251530886191876</v>
      </c>
      <c r="G48" s="8">
        <f t="shared" si="40"/>
        <v>0.22055251391684405</v>
      </c>
      <c r="H48" s="8">
        <f t="shared" si="40"/>
        <v>0.27038844474803675</v>
      </c>
      <c r="I48" s="8">
        <f t="shared" si="40"/>
        <v>1.8370276616745115E-2</v>
      </c>
      <c r="J48" s="8">
        <f t="shared" si="40"/>
        <v>1.7960191649825017E-2</v>
      </c>
      <c r="K48" s="8">
        <f t="shared" ref="K48:M48" si="41" xml:space="preserve"> K47/SQRT(COUNT(K28:K43))</f>
        <v>7.9567951739202419E-3</v>
      </c>
      <c r="L48" s="8">
        <f t="shared" si="41"/>
        <v>2.913724619563815E-2</v>
      </c>
      <c r="M48" s="8">
        <f t="shared" si="41"/>
        <v>1.3956724424388176E-2</v>
      </c>
      <c r="N48" s="8" t="s">
        <v>2</v>
      </c>
      <c r="O48" s="8">
        <f t="shared" ref="O48:R48" si="42" xml:space="preserve"> O47/SQRT(COUNT(O28:O43))</f>
        <v>0.23738242877944435</v>
      </c>
      <c r="P48" s="8">
        <f t="shared" si="42"/>
        <v>0.17783787900524964</v>
      </c>
      <c r="Q48" s="8">
        <f t="shared" si="42"/>
        <v>1.5638527712977052E-2</v>
      </c>
      <c r="R48" s="8">
        <f t="shared" si="42"/>
        <v>0.16065496739644669</v>
      </c>
      <c r="S48" s="8">
        <f t="shared" ref="S48:V48" si="43" xml:space="preserve"> S47/SQRT(COUNT(S28:S43))</f>
        <v>0.27450210635786354</v>
      </c>
      <c r="T48" s="8">
        <f t="shared" si="43"/>
        <v>0.10653051917197631</v>
      </c>
      <c r="U48" s="8">
        <f t="shared" si="43"/>
        <v>9.6208228865974129E-3</v>
      </c>
      <c r="V48" s="8">
        <f t="shared" si="43"/>
        <v>1.5842170619612562E-2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customFormat="1" ht="15" thickBot="1" x14ac:dyDescent="0.4"/>
    <row r="52" spans="1:22" x14ac:dyDescent="0.35">
      <c r="A52" s="29" t="str">
        <f t="shared" ref="A52" si="44">A27</f>
        <v>Group names</v>
      </c>
      <c r="B52" s="30" t="str">
        <f t="shared" ref="B52:H52" si="45">B27</f>
        <v>Solvent control</v>
      </c>
      <c r="C52" s="30" t="str">
        <f t="shared" si="45"/>
        <v>EE2-33.8ng/L</v>
      </c>
      <c r="D52" s="30" t="str">
        <f t="shared" si="45"/>
        <v>EE2-50.6ng/L</v>
      </c>
      <c r="E52" s="30" t="str">
        <f t="shared" si="45"/>
        <v>EE2-76ng/L</v>
      </c>
      <c r="F52" s="30" t="str">
        <f t="shared" si="45"/>
        <v>EE2-114ng/L</v>
      </c>
      <c r="G52" s="30" t="str">
        <f t="shared" si="45"/>
        <v>EE2-170.9ng/L</v>
      </c>
      <c r="H52" s="30" t="str">
        <f t="shared" si="45"/>
        <v>EE2-488ng/L</v>
      </c>
      <c r="I52" s="30" t="str">
        <f>I4</f>
        <v>Fadrozole-0,016ug/L</v>
      </c>
      <c r="J52" s="30" t="str">
        <f>J4</f>
        <v>Fadrozole-0,08ug/L</v>
      </c>
      <c r="K52" s="30" t="str">
        <f t="shared" ref="K52:M52" si="46">K4</f>
        <v>Fadrozole-0,4ug/L</v>
      </c>
      <c r="L52" s="30" t="str">
        <f t="shared" si="46"/>
        <v>Fadrozole-2ug/L</v>
      </c>
      <c r="M52" s="30" t="str">
        <f t="shared" si="46"/>
        <v>Fadrozole-10ug/L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Fadrozole-0,016ug/L + Testostérone</v>
      </c>
      <c r="S52" s="30" t="str">
        <f t="shared" ref="S52:V52" si="47">S27</f>
        <v>Fadrozole-0,08ug/L + Testostérone</v>
      </c>
      <c r="T52" s="30" t="str">
        <f t="shared" si="47"/>
        <v>Fadrozole-0,4ug/L + Testostérone</v>
      </c>
      <c r="U52" s="30" t="str">
        <f t="shared" si="47"/>
        <v>Fadrozole-2ug/L + Testostérone</v>
      </c>
      <c r="V52" s="30" t="str">
        <f t="shared" si="47"/>
        <v>Fadrozole-10ug/L + Testostérone</v>
      </c>
    </row>
    <row r="53" spans="1:22" s="3" customFormat="1" x14ac:dyDescent="0.35">
      <c r="A53" s="45" t="s">
        <v>10</v>
      </c>
      <c r="B53" s="78">
        <f t="shared" ref="B53" si="48">B46</f>
        <v>5.8692518923581287E-2</v>
      </c>
      <c r="C53" s="78">
        <f t="shared" ref="C53:V53" si="49">C46</f>
        <v>0.16900935811379122</v>
      </c>
      <c r="D53" s="78">
        <f t="shared" si="49"/>
        <v>0.42533145720321502</v>
      </c>
      <c r="E53" s="78">
        <f t="shared" si="49"/>
        <v>0.77693098423603824</v>
      </c>
      <c r="F53" s="78">
        <f t="shared" si="49"/>
        <v>1.7055911488774838</v>
      </c>
      <c r="G53" s="78">
        <f t="shared" si="49"/>
        <v>1.4065802473301634</v>
      </c>
      <c r="H53" s="78">
        <f t="shared" si="49"/>
        <v>2.739214434402296</v>
      </c>
      <c r="I53" s="78">
        <f t="shared" si="49"/>
        <v>5.8648863337820177E-2</v>
      </c>
      <c r="J53" s="78">
        <f t="shared" si="49"/>
        <v>7.7197242007775307E-2</v>
      </c>
      <c r="K53" s="78">
        <f t="shared" si="49"/>
        <v>4.3768008187260239E-2</v>
      </c>
      <c r="L53" s="78">
        <f t="shared" si="49"/>
        <v>8.0061659694507542E-2</v>
      </c>
      <c r="M53" s="78">
        <f t="shared" si="49"/>
        <v>4.4708275988052493E-2</v>
      </c>
      <c r="N53" s="78"/>
      <c r="O53" s="78">
        <f t="shared" si="49"/>
        <v>1</v>
      </c>
      <c r="P53" s="78">
        <f t="shared" si="49"/>
        <v>1.9102186831873758</v>
      </c>
      <c r="Q53" s="78">
        <f t="shared" si="49"/>
        <v>5.0146019054568697E-2</v>
      </c>
      <c r="R53" s="78">
        <f t="shared" si="49"/>
        <v>0.5315002723208182</v>
      </c>
      <c r="S53" s="78">
        <f t="shared" si="49"/>
        <v>0.88399661807570062</v>
      </c>
      <c r="T53" s="78">
        <f t="shared" si="49"/>
        <v>0.45332055247568676</v>
      </c>
      <c r="U53" s="78">
        <f t="shared" si="49"/>
        <v>5.8131468828970689E-2</v>
      </c>
      <c r="V53" s="78">
        <f t="shared" si="49"/>
        <v>6.4819375943195034E-2</v>
      </c>
    </row>
    <row r="54" spans="1:22" s="3" customFormat="1" x14ac:dyDescent="0.35">
      <c r="A54" s="45" t="s">
        <v>2</v>
      </c>
      <c r="B54" s="78">
        <f t="shared" ref="B54" si="50">B48</f>
        <v>1.52798877025843E-2</v>
      </c>
      <c r="C54" s="78">
        <f t="shared" ref="C54:V54" si="51">C48</f>
        <v>5.8670525597400637E-2</v>
      </c>
      <c r="D54" s="78">
        <f t="shared" si="51"/>
        <v>0.11199253092477865</v>
      </c>
      <c r="E54" s="78">
        <f t="shared" si="51"/>
        <v>0.18516500917853804</v>
      </c>
      <c r="F54" s="78">
        <f t="shared" si="51"/>
        <v>0.20251530886191876</v>
      </c>
      <c r="G54" s="78">
        <f t="shared" si="51"/>
        <v>0.22055251391684405</v>
      </c>
      <c r="H54" s="78">
        <f t="shared" si="51"/>
        <v>0.27038844474803675</v>
      </c>
      <c r="I54" s="78">
        <f t="shared" si="51"/>
        <v>1.8370276616745115E-2</v>
      </c>
      <c r="J54" s="78">
        <f t="shared" si="51"/>
        <v>1.7960191649825017E-2</v>
      </c>
      <c r="K54" s="78">
        <f t="shared" si="51"/>
        <v>7.9567951739202419E-3</v>
      </c>
      <c r="L54" s="78">
        <f t="shared" si="51"/>
        <v>2.913724619563815E-2</v>
      </c>
      <c r="M54" s="78">
        <f t="shared" si="51"/>
        <v>1.3956724424388176E-2</v>
      </c>
      <c r="N54" s="78"/>
      <c r="O54" s="78">
        <f t="shared" si="51"/>
        <v>0.23738242877944435</v>
      </c>
      <c r="P54" s="78">
        <f t="shared" si="51"/>
        <v>0.17783787900524964</v>
      </c>
      <c r="Q54" s="78">
        <f t="shared" si="51"/>
        <v>1.5638527712977052E-2</v>
      </c>
      <c r="R54" s="78">
        <f t="shared" si="51"/>
        <v>0.16065496739644669</v>
      </c>
      <c r="S54" s="78">
        <f t="shared" si="51"/>
        <v>0.27450210635786354</v>
      </c>
      <c r="T54" s="78">
        <f t="shared" si="51"/>
        <v>0.10653051917197631</v>
      </c>
      <c r="U54" s="78">
        <f t="shared" si="51"/>
        <v>9.6208228865974129E-3</v>
      </c>
      <c r="V54" s="78">
        <f t="shared" si="51"/>
        <v>1.5842170619612562E-2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52">(C53*100/$B53)-100</f>
        <v>187.95724091147702</v>
      </c>
      <c r="D55" s="78">
        <f t="shared" si="52"/>
        <v>624.67746316528724</v>
      </c>
      <c r="E55" s="78">
        <f t="shared" si="52"/>
        <v>1223.7308578417233</v>
      </c>
      <c r="F55" s="78">
        <f t="shared" si="52"/>
        <v>2805.9770821869033</v>
      </c>
      <c r="G55" s="78">
        <f t="shared" si="52"/>
        <v>2296.5239064991501</v>
      </c>
      <c r="H55" s="78">
        <f t="shared" si="52"/>
        <v>4567.058910810767</v>
      </c>
      <c r="I55" s="78">
        <f t="shared" si="52"/>
        <v>-7.4380153657997994E-2</v>
      </c>
      <c r="J55" s="78">
        <f t="shared" si="52"/>
        <v>31.528248273493773</v>
      </c>
      <c r="K55" s="78">
        <f t="shared" si="52"/>
        <v>-25.428301613282315</v>
      </c>
      <c r="L55" s="78">
        <f t="shared" si="52"/>
        <v>36.40862781634786</v>
      </c>
      <c r="M55" s="78">
        <f t="shared" si="52"/>
        <v>-23.826278360512234</v>
      </c>
      <c r="N55" s="78"/>
      <c r="O55" s="78">
        <f t="shared" ref="O55:V55" si="53">(O53*100/$O53)-100</f>
        <v>0</v>
      </c>
      <c r="P55" s="78">
        <f t="shared" si="53"/>
        <v>91.021868318737575</v>
      </c>
      <c r="Q55" s="78">
        <f t="shared" si="53"/>
        <v>-94.985398094543129</v>
      </c>
      <c r="R55" s="78">
        <f t="shared" si="53"/>
        <v>-46.849972767918182</v>
      </c>
      <c r="S55" s="78">
        <f t="shared" si="53"/>
        <v>-11.600338192429945</v>
      </c>
      <c r="T55" s="78">
        <f t="shared" si="53"/>
        <v>-54.667944752431325</v>
      </c>
      <c r="U55" s="78">
        <f t="shared" si="53"/>
        <v>-94.186853117102928</v>
      </c>
      <c r="V55" s="78">
        <f t="shared" si="53"/>
        <v>-93.518062405680496</v>
      </c>
    </row>
    <row r="56" spans="1:22" s="3" customFormat="1" x14ac:dyDescent="0.35">
      <c r="A56" s="45" t="s">
        <v>38</v>
      </c>
      <c r="B56" s="78">
        <f>[1]!SWTEST(B28:B43)</f>
        <v>0.86514005106874259</v>
      </c>
      <c r="C56" s="78">
        <f>[1]!SWTEST(C28:C43)</f>
        <v>5.6543954704419974E-3</v>
      </c>
      <c r="D56" s="78">
        <f>[1]!SWTEST(D28:D43)</f>
        <v>0.17511244894591171</v>
      </c>
      <c r="E56" s="78">
        <f>[1]!SWTEST(E28:E43)</f>
        <v>0.15228458696710034</v>
      </c>
      <c r="F56" s="78">
        <f>[1]!SWTEST(F28:F43)</f>
        <v>0.12153070526035892</v>
      </c>
      <c r="G56" s="78">
        <f>[1]!SWTEST(G28:G43)</f>
        <v>0.60617145213605239</v>
      </c>
      <c r="H56" s="78">
        <f>[1]!SWTEST(H28:H43)</f>
        <v>0.57829903721797016</v>
      </c>
      <c r="I56" s="78">
        <f>[1]!SWTEST(I28:I43)</f>
        <v>0.10016066985510341</v>
      </c>
      <c r="J56" s="78">
        <f>[1]!SWTEST(J28:J43)</f>
        <v>8.5337250071591875E-2</v>
      </c>
      <c r="K56" s="78">
        <f>[1]!SWTEST(K28:K43)</f>
        <v>4.394710088727638E-2</v>
      </c>
      <c r="L56" s="78">
        <f>[1]!SWTEST(L28:L43)</f>
        <v>1.2650411094373148E-2</v>
      </c>
      <c r="M56" s="78">
        <f>[1]!SWTEST(M28:M43)</f>
        <v>0.16523828733983148</v>
      </c>
      <c r="N56" s="78"/>
      <c r="O56" s="78">
        <f>[1]!SWTEST(O28:O43)</f>
        <v>1.7044794189731149E-2</v>
      </c>
      <c r="P56" s="78">
        <f>[1]!SWTEST(P28:P43)</f>
        <v>0.99682604878936987</v>
      </c>
      <c r="Q56" s="78">
        <f>[1]!SWTEST(Q28:Q43)</f>
        <v>9.2873931114765496E-2</v>
      </c>
      <c r="R56" s="78">
        <f>[1]!SWTEST(R28:R43)</f>
        <v>6.2148259541514039E-2</v>
      </c>
      <c r="S56" s="78">
        <f>[1]!SWTEST(S28:S43)</f>
        <v>0.16776367286815796</v>
      </c>
      <c r="T56" s="78">
        <f>[1]!SWTEST(T28:T43)</f>
        <v>0.82421442747184093</v>
      </c>
      <c r="U56" s="78">
        <f>[1]!SWTEST(U28:U43)</f>
        <v>0.26383549846466492</v>
      </c>
      <c r="V56" s="78">
        <f>[1]!SWTEST(V28:V43)</f>
        <v>4.3745253635909753E-2</v>
      </c>
    </row>
    <row r="57" spans="1:22" s="3" customFormat="1" x14ac:dyDescent="0.35">
      <c r="A57" s="45" t="s">
        <v>39</v>
      </c>
      <c r="B57" s="78" t="str">
        <f>IF(B56&gt;0.05,"Oui","Non")</f>
        <v>Oui</v>
      </c>
      <c r="C57" s="78" t="str">
        <f t="shared" ref="C57:V57" si="54">IF(C56&gt;0.05,"Oui","Non")</f>
        <v>Non</v>
      </c>
      <c r="D57" s="78" t="str">
        <f t="shared" si="54"/>
        <v>Oui</v>
      </c>
      <c r="E57" s="78" t="str">
        <f t="shared" si="54"/>
        <v>Oui</v>
      </c>
      <c r="F57" s="78" t="str">
        <f t="shared" si="54"/>
        <v>Oui</v>
      </c>
      <c r="G57" s="78" t="str">
        <f t="shared" si="54"/>
        <v>Oui</v>
      </c>
      <c r="H57" s="78" t="str">
        <f t="shared" si="54"/>
        <v>Oui</v>
      </c>
      <c r="I57" s="78" t="str">
        <f t="shared" si="54"/>
        <v>Oui</v>
      </c>
      <c r="J57" s="78" t="str">
        <f t="shared" si="54"/>
        <v>Oui</v>
      </c>
      <c r="K57" s="78" t="str">
        <f t="shared" si="54"/>
        <v>Non</v>
      </c>
      <c r="L57" s="78" t="str">
        <f t="shared" si="54"/>
        <v>Non</v>
      </c>
      <c r="M57" s="78" t="str">
        <f t="shared" si="54"/>
        <v>Oui</v>
      </c>
      <c r="N57" s="78"/>
      <c r="O57" s="78" t="str">
        <f t="shared" si="54"/>
        <v>Non</v>
      </c>
      <c r="P57" s="78" t="str">
        <f t="shared" si="54"/>
        <v>Oui</v>
      </c>
      <c r="Q57" s="78" t="str">
        <f t="shared" si="54"/>
        <v>Oui</v>
      </c>
      <c r="R57" s="78" t="str">
        <f t="shared" si="54"/>
        <v>Oui</v>
      </c>
      <c r="S57" s="78" t="str">
        <f t="shared" si="54"/>
        <v>Oui</v>
      </c>
      <c r="T57" s="78" t="str">
        <f t="shared" si="54"/>
        <v>Oui</v>
      </c>
      <c r="U57" s="78" t="str">
        <f t="shared" si="54"/>
        <v>Oui</v>
      </c>
      <c r="V57" s="78" t="str">
        <f t="shared" si="54"/>
        <v>Non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O59" si="55">IF($B57="Non",IF(C57="Non","MW",IF(C57="Oui","MW","")),IF($B57="Oui",IF(C57="Oui","T-Test Welch",IF(C57="Non","MW",""))))</f>
        <v>MW</v>
      </c>
      <c r="D59" s="82" t="str">
        <f t="shared" si="55"/>
        <v>T-Test Welch</v>
      </c>
      <c r="E59" s="82" t="str">
        <f t="shared" si="55"/>
        <v>T-Test Welch</v>
      </c>
      <c r="F59" s="82" t="str">
        <f t="shared" si="55"/>
        <v>T-Test Welch</v>
      </c>
      <c r="G59" s="82" t="str">
        <f t="shared" si="55"/>
        <v>T-Test Welch</v>
      </c>
      <c r="H59" s="82" t="str">
        <f t="shared" si="55"/>
        <v>T-Test Welch</v>
      </c>
      <c r="I59" s="82" t="str">
        <f t="shared" si="55"/>
        <v>T-Test Welch</v>
      </c>
      <c r="J59" s="82" t="str">
        <f t="shared" si="55"/>
        <v>T-Test Welch</v>
      </c>
      <c r="K59" s="82" t="str">
        <f t="shared" si="55"/>
        <v>MW</v>
      </c>
      <c r="L59" s="82" t="str">
        <f t="shared" si="55"/>
        <v>MW</v>
      </c>
      <c r="M59" s="82" t="str">
        <f t="shared" si="55"/>
        <v>T-Test Welch</v>
      </c>
      <c r="N59" s="82"/>
      <c r="O59" s="82" t="str">
        <f t="shared" si="55"/>
        <v>MW</v>
      </c>
      <c r="P59" s="82" t="str">
        <f t="shared" ref="P59:V59" si="56">IF($O57="Non",IF(P57="Non","MW",IF(P57="Oui","MW","")),IF($O57="Oui",IF(P57="Oui","T-Test Welch",IF(P57="Non","MW",""))))</f>
        <v>MW</v>
      </c>
      <c r="Q59" s="82" t="str">
        <f t="shared" si="56"/>
        <v>MW</v>
      </c>
      <c r="R59" s="82" t="str">
        <f t="shared" si="56"/>
        <v>MW</v>
      </c>
      <c r="S59" s="82" t="str">
        <f t="shared" si="56"/>
        <v>MW</v>
      </c>
      <c r="T59" s="82" t="str">
        <f t="shared" si="56"/>
        <v>MW</v>
      </c>
      <c r="U59" s="82" t="str">
        <f t="shared" si="56"/>
        <v>MW</v>
      </c>
      <c r="V59" s="82" t="str">
        <f t="shared" si="56"/>
        <v>MW</v>
      </c>
    </row>
    <row r="60" spans="1:22" s="3" customFormat="1" x14ac:dyDescent="0.35">
      <c r="A60" s="45" t="s">
        <v>41</v>
      </c>
      <c r="B60" s="83"/>
      <c r="C60" s="83">
        <f>IF(C59="MW",[1]!MTEST($B28:$B43,C28:C43,2), IF(C59="T-Test Welch",_xlfn.T.TEST($B28:$B43,C28:C43,2,3),""))</f>
        <v>4.599936687503714E-2</v>
      </c>
      <c r="D60" s="83">
        <f>IF(D59="MW",[1]!MTEST($B28:$B43,D28:D43,2), IF(D59="T-Test Welch",_xlfn.T.TEST($B28:$B43,D28:D43,2,3),""))</f>
        <v>1.6715832603500246E-2</v>
      </c>
      <c r="E60" s="83">
        <f>IF(E59="MW",[1]!MTEST($B28:$B43,E28:E43,2), IF(E59="T-Test Welch",_xlfn.T.TEST($B28:$B43,E28:E43,2,3),""))</f>
        <v>6.0065051946290634E-3</v>
      </c>
      <c r="F60" s="83">
        <f>IF(F59="MW",[1]!MTEST($B28:$B43,F28:F43,2), IF(F59="T-Test Welch",_xlfn.T.TEST($B28:$B43,F28:F43,2,3),""))</f>
        <v>7.8571904873455019E-5</v>
      </c>
      <c r="G60" s="83">
        <f>IF(G59="MW",[1]!MTEST($B28:$B43,G28:G43,2), IF(G59="T-Test Welch",_xlfn.T.TEST($B28:$B43,G28:G43,2,3),""))</f>
        <v>4.7463170085825337E-4</v>
      </c>
      <c r="H60" s="83">
        <f>IF(H59="MW",[1]!MTEST($B28:$B43,H28:H43,2), IF(H59="T-Test Welch",_xlfn.T.TEST($B28:$B43,H28:H43,2,3),""))</f>
        <v>5.9045221611455947E-5</v>
      </c>
      <c r="I60" s="83">
        <f>IF(I59="MW",[1]!MTEST($B28:$B43,I28:I43,2), IF(I59="T-Test Welch",_xlfn.T.TEST($B28:$B43,I28:I43,2,3),""))</f>
        <v>0.99856887259740068</v>
      </c>
      <c r="J60" s="83">
        <f>IF(J59="MW",[1]!MTEST($B28:$B43,J28:J43,2), IF(J59="T-Test Welch",_xlfn.T.TEST($B28:$B43,J28:J43,2,3),""))</f>
        <v>0.44601035803587075</v>
      </c>
      <c r="K60" s="83">
        <f>IF(K59="MW",[1]!MTEST($B28:$B43,K28:K43,2), IF(K59="T-Test Welch",_xlfn.T.TEST($B28:$B43,K28:K43,2,3),""))</f>
        <v>0.40081416938293457</v>
      </c>
      <c r="L60" s="83">
        <f>IF(L59="MW",[1]!MTEST($B28:$B43,L28:L43,2), IF(L59="T-Test Welch",_xlfn.T.TEST($B28:$B43,L28:L43,2,3),""))</f>
        <v>0.83363488302468225</v>
      </c>
      <c r="M60" s="83">
        <f>IF(M59="MW",[1]!MTEST($B28:$B43,M28:M43,2), IF(M59="T-Test Welch",_xlfn.T.TEST($B28:$B43,M28:M43,2,3),""))</f>
        <v>0.51030008273548189</v>
      </c>
      <c r="N60" s="83"/>
      <c r="O60" s="83">
        <f>IF(O59="MW",[1]!MTEST($B28:$B43,O28:O43,2), IF(O59="T-Test Welch",_xlfn.T.TEST($B28:$B43,O28:O43,2,3),""))</f>
        <v>2.6942620192960121E-3</v>
      </c>
      <c r="P60" s="83">
        <f>IF(P59="MW",[1]!MTEST($O28:$O43,P28:P43,2), IF(P59="T-Test Welch",_xlfn.T.TEST($O28:$O43,P28:P43,2,3),""))</f>
        <v>2.7248440892305936E-2</v>
      </c>
      <c r="Q60" s="83">
        <f>IF(Q59="MW",[1]!MTEST($O28:$O43,Q28:Q43,2), IF(Q59="T-Test Welch",_xlfn.T.TEST($O28:$O43,Q28:Q43,2,3),""))</f>
        <v>1.7895728484755846E-3</v>
      </c>
      <c r="R60" s="83">
        <f>IF(R59="MW",[1]!MTEST($O28:$O43,R28:R43,2), IF(R59="T-Test Welch",_xlfn.T.TEST($O28:$O43,R28:R43,2,3),""))</f>
        <v>0.42598311654491883</v>
      </c>
      <c r="S60" s="83">
        <f>IF(S59="MW",[1]!MTEST($O28:$O43,S28:S43,2), IF(S59="T-Test Welch",_xlfn.T.TEST($O28:$O43,S28:S43,2,3),""))</f>
        <v>0.90252325017767943</v>
      </c>
      <c r="T60" s="83">
        <f>IF(T59="MW",[1]!MTEST($O28:$O43,T28:T43,2), IF(T59="T-Test Welch",_xlfn.T.TEST($O28:$O43,T28:T43,2,3),""))</f>
        <v>0.39126727928263927</v>
      </c>
      <c r="U60" s="83">
        <f>IF(U59="MW",[1]!MTEST($O28:$O43,U28:U43,2), IF(U59="T-Test Welch",_xlfn.T.TEST($O28:$O43,U28:U43,2,3),""))</f>
        <v>5.0122871454887363E-3</v>
      </c>
      <c r="V60" s="83">
        <f>IF(V59="MW",[1]!MTEST($O28:$O43,V28:V43,2), IF(V59="T-Test Welch",_xlfn.T.TEST($O28:$O43,V28:V43,2,3),""))</f>
        <v>3.2886143038479698E-3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57">IF(C60&gt;0.05,"NS",IF(C60&gt;0.01,"*",IF(C60&gt;0.001,"**","***")))</f>
        <v>*</v>
      </c>
      <c r="D61" s="79" t="str">
        <f t="shared" si="57"/>
        <v>*</v>
      </c>
      <c r="E61" s="79" t="str">
        <f t="shared" si="57"/>
        <v>**</v>
      </c>
      <c r="F61" s="79" t="str">
        <f t="shared" si="57"/>
        <v>***</v>
      </c>
      <c r="G61" s="79" t="str">
        <f t="shared" si="57"/>
        <v>***</v>
      </c>
      <c r="H61" s="79" t="str">
        <f t="shared" si="57"/>
        <v>***</v>
      </c>
      <c r="I61" s="79" t="str">
        <f t="shared" si="57"/>
        <v>NS</v>
      </c>
      <c r="J61" s="79" t="str">
        <f t="shared" si="57"/>
        <v>NS</v>
      </c>
      <c r="K61" s="79" t="str">
        <f t="shared" si="57"/>
        <v>NS</v>
      </c>
      <c r="L61" s="79" t="str">
        <f t="shared" si="57"/>
        <v>NS</v>
      </c>
      <c r="M61" s="79" t="str">
        <f t="shared" si="57"/>
        <v>NS</v>
      </c>
      <c r="N61" s="79"/>
      <c r="O61" s="79" t="str">
        <f t="shared" si="57"/>
        <v>**</v>
      </c>
      <c r="P61" s="79" t="str">
        <f>IF(P60&gt;0.05,"NS",IF(P60&gt;0.01,"*",IF(P60&gt;0.001,"**","***")))</f>
        <v>*</v>
      </c>
      <c r="Q61" s="79" t="str">
        <f t="shared" ref="Q61:V61" si="58">IF(Q60&gt;0.05,"NS",IF(Q60&gt;0.01,"*",IF(Q60&gt;0.001,"**","***")))</f>
        <v>**</v>
      </c>
      <c r="R61" s="79" t="str">
        <f t="shared" si="58"/>
        <v>NS</v>
      </c>
      <c r="S61" s="79" t="str">
        <f t="shared" si="58"/>
        <v>NS</v>
      </c>
      <c r="T61" s="79" t="str">
        <f t="shared" si="58"/>
        <v>NS</v>
      </c>
      <c r="U61" s="79" t="str">
        <f t="shared" si="58"/>
        <v>**</v>
      </c>
      <c r="V61" s="79" t="str">
        <f t="shared" si="58"/>
        <v>**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T1" zoomScale="70" zoomScaleNormal="70" zoomScaleSheetLayoutView="40" zoomScalePageLayoutView="30" workbookViewId="0">
      <selection activeCell="V5" sqref="V5:V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/>
    <row r="3" spans="1:22" ht="15" thickBot="1" x14ac:dyDescent="0.4">
      <c r="A3" s="84" t="s">
        <v>9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Fadrozole-0,016ug/L</v>
      </c>
      <c r="J4" s="20" t="str">
        <f>'Front page'!A15</f>
        <v>Fadrozole-0,08ug/L</v>
      </c>
      <c r="K4" s="20" t="str">
        <f>'Front page'!A16</f>
        <v>Fadrozole-0,4ug/L</v>
      </c>
      <c r="L4" s="20" t="str">
        <f>'Front page'!A17</f>
        <v>Fadrozole-2ug/L</v>
      </c>
      <c r="M4" s="20" t="str">
        <f>'Front page'!A18</f>
        <v>Fadrozole-10ug/L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Fadrozole-0,016ug/L + Testostérone</v>
      </c>
      <c r="S4" s="21" t="str">
        <f>'Front page'!A39</f>
        <v>Fadrozole-0,08ug/L + Testostérone</v>
      </c>
      <c r="T4" s="21" t="str">
        <f>'Front page'!A40</f>
        <v>Fadrozole-0,4ug/L + Testostérone</v>
      </c>
      <c r="U4" s="21" t="str">
        <f>'Front page'!A41</f>
        <v>Fadrozole-2ug/L + Testostérone</v>
      </c>
      <c r="V4" s="21" t="str">
        <f>'Front page'!A42</f>
        <v>Fadrozole-10ug/L + Testostérone</v>
      </c>
    </row>
    <row r="5" spans="1:22" x14ac:dyDescent="0.35">
      <c r="A5" s="138" t="s">
        <v>35</v>
      </c>
      <c r="B5" s="17">
        <v>1461815</v>
      </c>
      <c r="C5" s="17">
        <v>297496</v>
      </c>
      <c r="D5" s="17">
        <v>2271350</v>
      </c>
      <c r="E5" s="17">
        <v>5310301</v>
      </c>
      <c r="F5" s="17">
        <v>4326244</v>
      </c>
      <c r="G5" s="17">
        <v>4709186</v>
      </c>
      <c r="H5" s="17">
        <v>11010165</v>
      </c>
      <c r="I5" s="17">
        <v>106619</v>
      </c>
      <c r="J5" s="17">
        <v>98755</v>
      </c>
      <c r="K5" s="13">
        <v>213654</v>
      </c>
      <c r="L5" s="13">
        <v>26485</v>
      </c>
      <c r="M5" s="13">
        <v>285324</v>
      </c>
      <c r="N5" s="3"/>
      <c r="O5" s="17">
        <v>1323083</v>
      </c>
      <c r="P5" s="13">
        <v>6924275</v>
      </c>
      <c r="Q5" s="13">
        <v>15318</v>
      </c>
      <c r="R5" s="17">
        <v>752580</v>
      </c>
      <c r="S5" s="17">
        <v>5283432</v>
      </c>
      <c r="T5" s="17">
        <v>3035872</v>
      </c>
      <c r="U5" s="17">
        <v>97416</v>
      </c>
      <c r="V5" s="17">
        <v>145246</v>
      </c>
    </row>
    <row r="6" spans="1:22" ht="16.5" x14ac:dyDescent="0.35">
      <c r="A6" s="139"/>
      <c r="B6" s="14">
        <v>4239102</v>
      </c>
      <c r="C6" s="13">
        <v>2036493</v>
      </c>
      <c r="D6" s="17">
        <v>1006958</v>
      </c>
      <c r="E6" s="17">
        <v>4397782</v>
      </c>
      <c r="F6" s="17">
        <v>8434820</v>
      </c>
      <c r="G6" s="17">
        <v>7593437</v>
      </c>
      <c r="H6" s="17">
        <v>7808734</v>
      </c>
      <c r="I6" s="17">
        <v>166871</v>
      </c>
      <c r="J6" s="17">
        <v>120087</v>
      </c>
      <c r="K6" s="13">
        <v>314055</v>
      </c>
      <c r="L6" s="13">
        <v>115819</v>
      </c>
      <c r="M6" s="13">
        <v>84921</v>
      </c>
      <c r="N6" s="3"/>
      <c r="O6" s="17">
        <v>1555658</v>
      </c>
      <c r="P6" s="13">
        <v>8635842</v>
      </c>
      <c r="Q6" s="13">
        <v>154584</v>
      </c>
      <c r="R6" s="17">
        <v>1547909</v>
      </c>
      <c r="S6" s="17">
        <v>374179</v>
      </c>
      <c r="T6" s="17">
        <v>241558</v>
      </c>
      <c r="U6" s="17">
        <v>58441</v>
      </c>
      <c r="V6" s="17">
        <v>38974</v>
      </c>
    </row>
    <row r="7" spans="1:22" ht="16.5" x14ac:dyDescent="0.35">
      <c r="A7" s="139"/>
      <c r="B7" s="14">
        <v>3873092</v>
      </c>
      <c r="C7" s="13">
        <v>914688</v>
      </c>
      <c r="D7" s="17">
        <v>1345842</v>
      </c>
      <c r="E7" s="17">
        <v>3412696</v>
      </c>
      <c r="F7" s="17">
        <v>6547505</v>
      </c>
      <c r="G7" s="17">
        <v>4270378</v>
      </c>
      <c r="H7" s="17">
        <v>10235052</v>
      </c>
      <c r="I7" s="17">
        <v>89095</v>
      </c>
      <c r="J7" s="17">
        <v>89492</v>
      </c>
      <c r="K7" s="13">
        <v>109875</v>
      </c>
      <c r="L7" s="13">
        <v>241787</v>
      </c>
      <c r="M7" s="13">
        <v>238001</v>
      </c>
      <c r="N7" s="3"/>
      <c r="O7" s="17">
        <v>269635</v>
      </c>
      <c r="P7" s="13">
        <v>7736440</v>
      </c>
      <c r="Q7" s="13">
        <v>102989</v>
      </c>
      <c r="R7" s="17">
        <v>2622423</v>
      </c>
      <c r="S7" s="17">
        <v>490720</v>
      </c>
      <c r="T7" s="17">
        <v>475671</v>
      </c>
      <c r="U7" s="17">
        <v>81250</v>
      </c>
      <c r="V7" s="17">
        <v>244146</v>
      </c>
    </row>
    <row r="8" spans="1:22" ht="16.5" x14ac:dyDescent="0.35">
      <c r="A8" s="139"/>
      <c r="B8" s="14">
        <v>9334</v>
      </c>
      <c r="C8" s="13">
        <v>4109105</v>
      </c>
      <c r="D8" s="17">
        <v>1715578</v>
      </c>
      <c r="E8" s="17">
        <v>5719031</v>
      </c>
      <c r="F8" s="17">
        <v>3793926</v>
      </c>
      <c r="G8" s="17">
        <v>9429755</v>
      </c>
      <c r="H8" s="17">
        <v>4460911</v>
      </c>
      <c r="I8" s="17">
        <v>254211</v>
      </c>
      <c r="J8" s="17">
        <v>381457</v>
      </c>
      <c r="K8" s="13">
        <v>255069</v>
      </c>
      <c r="L8" s="13">
        <v>191390</v>
      </c>
      <c r="M8" s="13">
        <v>189180</v>
      </c>
      <c r="N8" s="3"/>
      <c r="O8" s="17">
        <v>2464086</v>
      </c>
      <c r="P8" s="13">
        <v>7513548</v>
      </c>
      <c r="Q8" s="13">
        <v>127717</v>
      </c>
      <c r="R8" s="17">
        <v>3671951</v>
      </c>
      <c r="S8" s="17">
        <v>718031</v>
      </c>
      <c r="T8" s="17">
        <v>222629</v>
      </c>
      <c r="U8" s="17">
        <v>97907</v>
      </c>
      <c r="V8" s="17">
        <v>174394</v>
      </c>
    </row>
    <row r="9" spans="1:22" ht="16.5" x14ac:dyDescent="0.35">
      <c r="A9" s="139"/>
      <c r="B9" s="14">
        <v>2156345</v>
      </c>
      <c r="C9" s="13">
        <v>2020884</v>
      </c>
      <c r="D9" s="17">
        <v>1277254</v>
      </c>
      <c r="E9" s="17">
        <v>5778827</v>
      </c>
      <c r="F9" s="17">
        <v>3402686</v>
      </c>
      <c r="G9" s="17">
        <v>2083673</v>
      </c>
      <c r="H9" s="17">
        <v>11593911</v>
      </c>
      <c r="I9" s="17">
        <v>113988</v>
      </c>
      <c r="J9" s="17">
        <v>108472</v>
      </c>
      <c r="K9" s="13">
        <v>56944</v>
      </c>
      <c r="L9" s="13">
        <v>317961</v>
      </c>
      <c r="M9" s="13">
        <v>257206</v>
      </c>
      <c r="N9" s="3"/>
      <c r="O9" s="17">
        <v>175819</v>
      </c>
      <c r="P9" s="13">
        <v>6347475</v>
      </c>
      <c r="Q9" s="13">
        <v>125746</v>
      </c>
      <c r="R9" s="17">
        <v>1106902</v>
      </c>
      <c r="S9" s="17">
        <v>1362620</v>
      </c>
      <c r="T9" s="17">
        <v>996921</v>
      </c>
      <c r="U9" s="17">
        <v>197116</v>
      </c>
      <c r="V9" s="17">
        <v>71736</v>
      </c>
    </row>
    <row r="10" spans="1:22" ht="16.5" x14ac:dyDescent="0.35">
      <c r="A10" s="139"/>
      <c r="B10" s="14">
        <v>389173</v>
      </c>
      <c r="C10" s="13">
        <v>533945</v>
      </c>
      <c r="D10" s="17">
        <v>553308</v>
      </c>
      <c r="E10" s="17">
        <v>5561478</v>
      </c>
      <c r="F10" s="17">
        <v>4964487</v>
      </c>
      <c r="G10" s="17">
        <v>2216390</v>
      </c>
      <c r="H10" s="17">
        <v>5638322</v>
      </c>
      <c r="I10" s="17">
        <v>83188</v>
      </c>
      <c r="J10" s="17">
        <v>135547</v>
      </c>
      <c r="K10" s="13">
        <v>28483</v>
      </c>
      <c r="L10" s="13">
        <v>23000</v>
      </c>
      <c r="M10" s="13">
        <v>132934</v>
      </c>
      <c r="N10" s="3"/>
      <c r="O10" s="17">
        <v>1043618</v>
      </c>
      <c r="P10" s="13">
        <v>4266338</v>
      </c>
      <c r="Q10" s="13">
        <v>68236</v>
      </c>
      <c r="R10" s="17">
        <v>447025</v>
      </c>
      <c r="S10" s="17">
        <v>1871918</v>
      </c>
      <c r="T10" s="17">
        <v>1549025</v>
      </c>
      <c r="U10" s="17">
        <v>226226</v>
      </c>
      <c r="V10" s="17">
        <v>422544</v>
      </c>
    </row>
    <row r="11" spans="1:22" ht="16.5" x14ac:dyDescent="0.35">
      <c r="A11" s="139"/>
      <c r="B11" s="14">
        <v>522838</v>
      </c>
      <c r="C11" s="13">
        <v>712368</v>
      </c>
      <c r="D11" s="17">
        <v>4283137</v>
      </c>
      <c r="E11" s="17">
        <v>6570256</v>
      </c>
      <c r="F11" s="17"/>
      <c r="G11" s="17">
        <v>7733753</v>
      </c>
      <c r="H11" s="17">
        <v>4525773</v>
      </c>
      <c r="I11" s="17">
        <v>194403</v>
      </c>
      <c r="J11" s="17">
        <v>95576</v>
      </c>
      <c r="K11" s="13">
        <v>955550</v>
      </c>
      <c r="L11" s="13">
        <v>230858</v>
      </c>
      <c r="M11" s="13">
        <v>41997</v>
      </c>
      <c r="N11" s="3"/>
      <c r="O11" s="17">
        <v>1225574</v>
      </c>
      <c r="P11" s="13">
        <v>7346476</v>
      </c>
      <c r="Q11" s="13">
        <v>371627</v>
      </c>
      <c r="R11" s="17">
        <v>4336447</v>
      </c>
      <c r="S11" s="17">
        <v>643175</v>
      </c>
      <c r="T11" s="17">
        <v>1839833</v>
      </c>
      <c r="U11" s="17">
        <v>222152</v>
      </c>
      <c r="V11" s="17">
        <v>63208</v>
      </c>
    </row>
    <row r="12" spans="1:22" ht="16.5" x14ac:dyDescent="0.35">
      <c r="A12" s="139"/>
      <c r="B12" s="14"/>
      <c r="C12" s="13">
        <v>983363</v>
      </c>
      <c r="D12" s="17">
        <v>235357</v>
      </c>
      <c r="E12" s="17">
        <v>7141356</v>
      </c>
      <c r="F12" s="17"/>
      <c r="G12" s="17">
        <v>6806668</v>
      </c>
      <c r="H12" s="17">
        <v>8948354</v>
      </c>
      <c r="I12" s="17"/>
      <c r="J12" s="17">
        <v>292819</v>
      </c>
      <c r="K12" s="13"/>
      <c r="L12" s="13">
        <v>191544</v>
      </c>
      <c r="M12" s="13">
        <v>145779</v>
      </c>
      <c r="N12" s="3"/>
      <c r="O12" s="17">
        <v>2278977</v>
      </c>
      <c r="P12" s="13">
        <v>1478020</v>
      </c>
      <c r="Q12" s="13"/>
      <c r="R12" s="17">
        <v>3561289</v>
      </c>
      <c r="S12" s="17"/>
      <c r="T12" s="17">
        <v>288150</v>
      </c>
      <c r="U12" s="17">
        <v>667633</v>
      </c>
      <c r="V12" s="17">
        <v>236494</v>
      </c>
    </row>
    <row r="13" spans="1:22" ht="16.5" x14ac:dyDescent="0.35">
      <c r="A13" s="139"/>
      <c r="B13" s="14"/>
      <c r="C13" s="13"/>
      <c r="D13" s="17"/>
      <c r="E13" s="17">
        <v>2966478</v>
      </c>
      <c r="F13" s="17"/>
      <c r="G13" s="17"/>
      <c r="H13" s="17"/>
      <c r="I13" s="17"/>
      <c r="J13" s="17"/>
      <c r="K13" s="13"/>
      <c r="L13" s="13"/>
      <c r="M13" s="13">
        <v>109737</v>
      </c>
      <c r="N13" s="3"/>
      <c r="O13" s="17">
        <v>861385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990461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431291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1041591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1878586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377162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1988921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623085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Fadrozole-0,016ug/L</v>
      </c>
      <c r="J22" s="3" t="str">
        <f t="shared" si="1"/>
        <v>Fadrozole-0,08ug/L</v>
      </c>
      <c r="K22" s="3" t="str">
        <f t="shared" si="1"/>
        <v>Fadrozole-0,4ug/L</v>
      </c>
      <c r="L22" s="3" t="str">
        <f t="shared" si="1"/>
        <v>Fadrozole-2ug/L</v>
      </c>
      <c r="M22" s="3" t="str">
        <f t="shared" si="1"/>
        <v>Fadrozole-10ug/L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Fadrozole-0,016ug/L + Testostérone</v>
      </c>
      <c r="S22" s="3" t="str">
        <f t="shared" si="1"/>
        <v>Fadrozole-0,08ug/L + Testostérone</v>
      </c>
      <c r="T22" s="3" t="str">
        <f t="shared" si="1"/>
        <v>Fadrozole-0,4ug/L + Testostérone</v>
      </c>
      <c r="U22" s="3" t="str">
        <f t="shared" si="1"/>
        <v>Fadrozole-2ug/L + Testostérone</v>
      </c>
      <c r="V22" s="3" t="str">
        <f t="shared" si="1"/>
        <v>Fadrozole-10ug/L + Testostérone</v>
      </c>
    </row>
    <row r="23" spans="1:22" x14ac:dyDescent="0.35">
      <c r="A23" s="5" t="s">
        <v>0</v>
      </c>
      <c r="B23" s="5">
        <f t="shared" ref="B23:J23" si="2">AVERAGE(B5:B20)</f>
        <v>1807385.5714285714</v>
      </c>
      <c r="C23" s="5">
        <f t="shared" si="2"/>
        <v>1451042.75</v>
      </c>
      <c r="D23" s="5">
        <f t="shared" si="2"/>
        <v>1586098</v>
      </c>
      <c r="E23" s="5">
        <f t="shared" si="2"/>
        <v>5206467.222222222</v>
      </c>
      <c r="F23" s="5">
        <f t="shared" si="2"/>
        <v>5244944.666666667</v>
      </c>
      <c r="G23" s="5">
        <f t="shared" si="2"/>
        <v>5605405</v>
      </c>
      <c r="H23" s="5">
        <f t="shared" si="2"/>
        <v>8027652.75</v>
      </c>
      <c r="I23" s="5">
        <f t="shared" si="2"/>
        <v>144053.57142857142</v>
      </c>
      <c r="J23" s="5">
        <f t="shared" si="2"/>
        <v>165275.625</v>
      </c>
      <c r="K23" s="5"/>
      <c r="L23" s="5">
        <f>AVERAGE(L5:L20)</f>
        <v>167355.5</v>
      </c>
      <c r="M23" s="5"/>
      <c r="N23" s="5" t="s">
        <v>0</v>
      </c>
      <c r="O23" s="5">
        <f>AVERAGE(O5:O20)</f>
        <v>1158058.25</v>
      </c>
      <c r="P23" s="5">
        <f>AVERAGE(P5:P20)</f>
        <v>6281051.75</v>
      </c>
      <c r="Q23" s="5">
        <f>AVERAGE(Q5:Q20)</f>
        <v>138031</v>
      </c>
      <c r="R23" s="5">
        <f>AVERAGE(R5:R20)</f>
        <v>2255815.75</v>
      </c>
      <c r="S23" s="5">
        <f>AVERAGE(S5:S20)</f>
        <v>1534867.857142857</v>
      </c>
      <c r="T23" s="5">
        <f t="shared" ref="T23:V23" si="3">AVERAGE(T5:T20)</f>
        <v>1081207.375</v>
      </c>
      <c r="U23" s="5">
        <f t="shared" si="3"/>
        <v>206017.625</v>
      </c>
      <c r="V23" s="5">
        <f t="shared" si="3"/>
        <v>174592.75</v>
      </c>
    </row>
    <row r="24" spans="1:22" x14ac:dyDescent="0.35">
      <c r="A24" s="3" t="s">
        <v>1</v>
      </c>
      <c r="B24" s="3">
        <f t="shared" ref="B24:J24" si="4">STDEV(B5:B20)</f>
        <v>1698821.0792188463</v>
      </c>
      <c r="C24" s="3">
        <f t="shared" si="4"/>
        <v>1251087.8415253263</v>
      </c>
      <c r="D24" s="3">
        <f t="shared" si="4"/>
        <v>1261519.5981761725</v>
      </c>
      <c r="E24" s="3">
        <f t="shared" si="4"/>
        <v>1379310.722879437</v>
      </c>
      <c r="F24" s="3">
        <f t="shared" si="4"/>
        <v>1912799.3960596779</v>
      </c>
      <c r="G24" s="3">
        <f t="shared" si="4"/>
        <v>2699850.4375649085</v>
      </c>
      <c r="H24" s="3">
        <f t="shared" si="4"/>
        <v>2880364.9276336869</v>
      </c>
      <c r="I24" s="3">
        <f t="shared" si="4"/>
        <v>63535.694896273722</v>
      </c>
      <c r="J24" s="3">
        <f t="shared" si="4"/>
        <v>109662.04141027038</v>
      </c>
      <c r="K24" s="3"/>
      <c r="L24" s="3">
        <f>STDEV(L5:L20)</f>
        <v>104714.84547092642</v>
      </c>
      <c r="M24" s="3"/>
      <c r="N24" s="3" t="s">
        <v>1</v>
      </c>
      <c r="O24" s="3">
        <f>STDEV(O5:O20)</f>
        <v>715661.85733622371</v>
      </c>
      <c r="P24" s="3">
        <f>STDEV(P5:P20)</f>
        <v>2325747.2409625226</v>
      </c>
      <c r="Q24" s="3">
        <f>STDEV(Q5:Q20)</f>
        <v>112735.79511701981</v>
      </c>
      <c r="R24" s="3">
        <f>STDEV(R5:R20)</f>
        <v>1489280.9001080019</v>
      </c>
      <c r="S24" s="3">
        <f>STDEV(S5:S20)</f>
        <v>1736605.2722453875</v>
      </c>
      <c r="T24" s="3">
        <f t="shared" ref="T24:V24" si="5">STDEV(T5:T20)</f>
        <v>1004274.1770516851</v>
      </c>
      <c r="U24" s="3">
        <f t="shared" si="5"/>
        <v>198085.38221321019</v>
      </c>
      <c r="V24" s="3">
        <f t="shared" si="5"/>
        <v>126710.59931733077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Fadrozole-0,016ug/L</v>
      </c>
      <c r="J27" s="20" t="str">
        <f t="shared" si="6"/>
        <v>Fadrozole-0,08ug/L</v>
      </c>
      <c r="K27" s="20" t="str">
        <f t="shared" si="6"/>
        <v>Fadrozole-0,4ug/L</v>
      </c>
      <c r="L27" s="20" t="str">
        <f t="shared" si="6"/>
        <v>Fadrozole-2ug/L</v>
      </c>
      <c r="M27" s="20" t="str">
        <f t="shared" si="6"/>
        <v>Fadrozole-10ug/L</v>
      </c>
      <c r="N27" s="3"/>
      <c r="O27" s="21" t="str">
        <f>O4</f>
        <v>Testo -30µg/L</v>
      </c>
      <c r="P27" s="21" t="str">
        <f t="shared" ref="P27:V27" si="7">P4</f>
        <v>Testo 30µg/L + EE2 -64ng/L</v>
      </c>
      <c r="Q27" s="21" t="str">
        <f t="shared" si="7"/>
        <v>Testo 30µg/L + FAD-10mg/L</v>
      </c>
      <c r="R27" s="21" t="str">
        <f t="shared" si="7"/>
        <v>Fadrozole-0,016ug/L + Testostérone</v>
      </c>
      <c r="S27" s="21" t="str">
        <f t="shared" si="7"/>
        <v>Fadrozole-0,08ug/L + Testostérone</v>
      </c>
      <c r="T27" s="21" t="str">
        <f t="shared" si="7"/>
        <v>Fadrozole-0,4ug/L + Testostérone</v>
      </c>
      <c r="U27" s="21" t="str">
        <f t="shared" si="7"/>
        <v>Fadrozole-2ug/L + Testostérone</v>
      </c>
      <c r="V27" s="21" t="str">
        <f t="shared" si="7"/>
        <v>Fadrozole-10ug/L + Testostérone</v>
      </c>
    </row>
    <row r="28" spans="1:22" ht="14.5" customHeight="1" x14ac:dyDescent="0.35">
      <c r="A28" s="140" t="s">
        <v>36</v>
      </c>
      <c r="B28" s="11">
        <f t="shared" ref="B28:M28" si="8">IF(B5="","",(B5/$O$23))</f>
        <v>1.2622983343022685</v>
      </c>
      <c r="C28" s="11">
        <f t="shared" si="8"/>
        <v>0.25689208638684624</v>
      </c>
      <c r="D28" s="11">
        <f t="shared" si="8"/>
        <v>1.9613434816426549</v>
      </c>
      <c r="E28" s="11">
        <f t="shared" si="8"/>
        <v>4.5855214968677096</v>
      </c>
      <c r="F28" s="11">
        <f t="shared" si="8"/>
        <v>3.7357740856299757</v>
      </c>
      <c r="G28" s="11">
        <f t="shared" si="8"/>
        <v>4.0664500252901785</v>
      </c>
      <c r="H28" s="11">
        <f t="shared" si="8"/>
        <v>9.5074362623814483</v>
      </c>
      <c r="I28" s="11">
        <f t="shared" si="8"/>
        <v>9.2067044123212288E-2</v>
      </c>
      <c r="J28" s="11">
        <f t="shared" si="8"/>
        <v>8.5276366711259988E-2</v>
      </c>
      <c r="K28" s="11">
        <f t="shared" si="8"/>
        <v>0.18449331024583607</v>
      </c>
      <c r="L28" s="11">
        <f t="shared" si="8"/>
        <v>2.2870179457725896E-2</v>
      </c>
      <c r="M28" s="11">
        <f t="shared" si="8"/>
        <v>0.24638138884637278</v>
      </c>
      <c r="N28" s="6"/>
      <c r="O28" s="11">
        <f t="shared" ref="O28:V37" si="9">IF(O5="","",(O5/$O$23))</f>
        <v>1.142501251556215</v>
      </c>
      <c r="P28" s="11">
        <f t="shared" si="9"/>
        <v>5.9792113220556908</v>
      </c>
      <c r="Q28" s="11">
        <f t="shared" si="9"/>
        <v>1.3227313911023043E-2</v>
      </c>
      <c r="R28" s="11">
        <f t="shared" si="9"/>
        <v>0.64986368345461032</v>
      </c>
      <c r="S28" s="11">
        <f t="shared" si="9"/>
        <v>4.5623197278720653</v>
      </c>
      <c r="T28" s="11">
        <f t="shared" si="9"/>
        <v>2.6215192543207562</v>
      </c>
      <c r="U28" s="11">
        <f t="shared" si="9"/>
        <v>8.4120120900654183E-2</v>
      </c>
      <c r="V28" s="11">
        <f t="shared" si="9"/>
        <v>0.12542201568876177</v>
      </c>
    </row>
    <row r="29" spans="1:22" x14ac:dyDescent="0.35">
      <c r="A29" s="141"/>
      <c r="B29" s="11">
        <f t="shared" ref="B29:M29" si="10">IF(B6="","",(B6/$O$23))</f>
        <v>3.6605257118974803</v>
      </c>
      <c r="C29" s="11">
        <f t="shared" si="10"/>
        <v>1.7585410751143131</v>
      </c>
      <c r="D29" s="11">
        <f t="shared" si="10"/>
        <v>0.86952275500822174</v>
      </c>
      <c r="E29" s="11">
        <f t="shared" si="10"/>
        <v>3.7975481803268534</v>
      </c>
      <c r="F29" s="11">
        <f t="shared" si="10"/>
        <v>7.2835887141255631</v>
      </c>
      <c r="G29" s="11">
        <f t="shared" si="10"/>
        <v>6.5570423594840763</v>
      </c>
      <c r="H29" s="11">
        <f t="shared" si="10"/>
        <v>6.7429544239247035</v>
      </c>
      <c r="I29" s="11">
        <f t="shared" si="10"/>
        <v>0.14409551505720891</v>
      </c>
      <c r="J29" s="11">
        <f t="shared" si="10"/>
        <v>0.10369685635416008</v>
      </c>
      <c r="K29" s="11">
        <f t="shared" si="10"/>
        <v>0.27119102169515219</v>
      </c>
      <c r="L29" s="11">
        <f t="shared" si="10"/>
        <v>0.10001137680250539</v>
      </c>
      <c r="M29" s="11">
        <f t="shared" si="10"/>
        <v>7.3330508201983793E-2</v>
      </c>
      <c r="N29" s="6"/>
      <c r="O29" s="11">
        <f t="shared" si="9"/>
        <v>1.3433331181743233</v>
      </c>
      <c r="P29" s="11">
        <f t="shared" si="9"/>
        <v>7.4571741101969611</v>
      </c>
      <c r="Q29" s="11">
        <f t="shared" si="9"/>
        <v>0.1334855133582443</v>
      </c>
      <c r="R29" s="11">
        <f t="shared" si="9"/>
        <v>1.3366417449208621</v>
      </c>
      <c r="S29" s="11">
        <f t="shared" si="9"/>
        <v>0.32310896278317608</v>
      </c>
      <c r="T29" s="11">
        <f t="shared" si="9"/>
        <v>0.20858881666790077</v>
      </c>
      <c r="U29" s="11">
        <f t="shared" si="9"/>
        <v>5.0464646316366213E-2</v>
      </c>
      <c r="V29" s="11">
        <f t="shared" si="9"/>
        <v>3.3654611069866301E-2</v>
      </c>
    </row>
    <row r="30" spans="1:22" x14ac:dyDescent="0.35">
      <c r="A30" s="141"/>
      <c r="B30" s="11">
        <f t="shared" ref="B30:M30" si="11">IF(B7="","",(B7/$O$23))</f>
        <v>3.3444707984248634</v>
      </c>
      <c r="C30" s="11">
        <f t="shared" si="11"/>
        <v>0.78984627932144169</v>
      </c>
      <c r="D30" s="11">
        <f t="shared" si="11"/>
        <v>1.1621539762788271</v>
      </c>
      <c r="E30" s="11">
        <f t="shared" si="11"/>
        <v>2.9469122127492291</v>
      </c>
      <c r="F30" s="11">
        <f t="shared" si="11"/>
        <v>5.6538649934059881</v>
      </c>
      <c r="G30" s="11">
        <f t="shared" si="11"/>
        <v>3.68753298894939</v>
      </c>
      <c r="H30" s="11">
        <f t="shared" si="11"/>
        <v>8.8381150084635216</v>
      </c>
      <c r="I30" s="11">
        <f t="shared" si="11"/>
        <v>7.6934817398002217E-2</v>
      </c>
      <c r="J30" s="11">
        <f t="shared" si="11"/>
        <v>7.7277632623402148E-2</v>
      </c>
      <c r="K30" s="11">
        <f t="shared" si="11"/>
        <v>9.4878647080144721E-2</v>
      </c>
      <c r="L30" s="11">
        <f t="shared" si="11"/>
        <v>0.20878656147046143</v>
      </c>
      <c r="M30" s="11">
        <f t="shared" si="11"/>
        <v>0.20551729587004799</v>
      </c>
      <c r="N30" s="6"/>
      <c r="O30" s="11">
        <f t="shared" si="9"/>
        <v>0.23283371108491305</v>
      </c>
      <c r="P30" s="11">
        <f t="shared" si="9"/>
        <v>6.6805275123250496</v>
      </c>
      <c r="Q30" s="11">
        <f t="shared" si="9"/>
        <v>8.8932486772578145E-2</v>
      </c>
      <c r="R30" s="11">
        <f t="shared" si="9"/>
        <v>2.2645000801989017</v>
      </c>
      <c r="S30" s="11">
        <f t="shared" si="9"/>
        <v>0.42374379699812165</v>
      </c>
      <c r="T30" s="11">
        <f t="shared" si="9"/>
        <v>0.41074876846652575</v>
      </c>
      <c r="U30" s="11">
        <f t="shared" si="9"/>
        <v>7.0160546760061504E-2</v>
      </c>
      <c r="V30" s="11">
        <f t="shared" si="9"/>
        <v>0.2108235919911628</v>
      </c>
    </row>
    <row r="31" spans="1:22" x14ac:dyDescent="0.35">
      <c r="A31" s="141"/>
      <c r="B31" s="11">
        <f t="shared" ref="B31:M31" si="12">IF(B8="","",(B8/$O$23))</f>
        <v>8.0600436117958668E-3</v>
      </c>
      <c r="C31" s="11">
        <f t="shared" si="12"/>
        <v>3.5482714276246465</v>
      </c>
      <c r="D31" s="11">
        <f t="shared" si="12"/>
        <v>1.4814263444865576</v>
      </c>
      <c r="E31" s="11">
        <f t="shared" si="12"/>
        <v>4.9384657464337396</v>
      </c>
      <c r="F31" s="11">
        <f t="shared" si="12"/>
        <v>3.2761098157195461</v>
      </c>
      <c r="G31" s="11">
        <f t="shared" si="12"/>
        <v>8.1427294352421384</v>
      </c>
      <c r="H31" s="11">
        <f t="shared" si="12"/>
        <v>3.852060982251972</v>
      </c>
      <c r="I31" s="11">
        <f t="shared" si="12"/>
        <v>0.21951486464519379</v>
      </c>
      <c r="J31" s="11">
        <f t="shared" si="12"/>
        <v>0.32939362074403422</v>
      </c>
      <c r="K31" s="11">
        <f t="shared" si="12"/>
        <v>0.22025576001898003</v>
      </c>
      <c r="L31" s="11">
        <f t="shared" si="12"/>
        <v>0.16526802516194675</v>
      </c>
      <c r="M31" s="11">
        <f t="shared" si="12"/>
        <v>0.16335965829007307</v>
      </c>
      <c r="N31" s="6"/>
      <c r="O31" s="11">
        <f t="shared" si="9"/>
        <v>2.1277737972161592</v>
      </c>
      <c r="P31" s="11">
        <f t="shared" si="9"/>
        <v>6.4880570558518968</v>
      </c>
      <c r="Q31" s="11">
        <f t="shared" si="9"/>
        <v>0.11028547139144339</v>
      </c>
      <c r="R31" s="11">
        <f t="shared" si="9"/>
        <v>3.1707826441372875</v>
      </c>
      <c r="S31" s="11">
        <f t="shared" si="9"/>
        <v>0.62003012370059973</v>
      </c>
      <c r="T31" s="11">
        <f t="shared" si="9"/>
        <v>0.19224335218025518</v>
      </c>
      <c r="U31" s="11">
        <f t="shared" si="9"/>
        <v>8.4544106481690362E-2</v>
      </c>
      <c r="V31" s="11">
        <f t="shared" si="9"/>
        <v>0.15059173405137435</v>
      </c>
    </row>
    <row r="32" spans="1:22" x14ac:dyDescent="0.35">
      <c r="A32" s="141"/>
      <c r="B32" s="11">
        <f t="shared" ref="B32:M32" si="13">IF(B9="","",(B9/$O$23))</f>
        <v>1.8620350055793826</v>
      </c>
      <c r="C32" s="11">
        <f t="shared" si="13"/>
        <v>1.7450624785065862</v>
      </c>
      <c r="D32" s="11">
        <f t="shared" si="13"/>
        <v>1.1029272491258535</v>
      </c>
      <c r="E32" s="11">
        <f t="shared" si="13"/>
        <v>4.9901004547914578</v>
      </c>
      <c r="F32" s="11">
        <f t="shared" si="13"/>
        <v>2.9382684333883895</v>
      </c>
      <c r="G32" s="11">
        <f t="shared" si="13"/>
        <v>1.7992816855283402</v>
      </c>
      <c r="H32" s="11">
        <f t="shared" si="13"/>
        <v>10.011509351969126</v>
      </c>
      <c r="I32" s="11">
        <f t="shared" si="13"/>
        <v>9.8430281896441735E-2</v>
      </c>
      <c r="J32" s="11">
        <f t="shared" si="13"/>
        <v>9.3667136346552521E-2</v>
      </c>
      <c r="K32" s="11">
        <f t="shared" si="13"/>
        <v>4.9171965227137751E-2</v>
      </c>
      <c r="L32" s="11">
        <f t="shared" si="13"/>
        <v>0.27456390902616512</v>
      </c>
      <c r="M32" s="11">
        <f t="shared" si="13"/>
        <v>0.22210109033807238</v>
      </c>
      <c r="N32" s="6"/>
      <c r="O32" s="11">
        <f t="shared" si="9"/>
        <v>0.15182224210224313</v>
      </c>
      <c r="P32" s="11">
        <f t="shared" si="9"/>
        <v>5.4811362036408786</v>
      </c>
      <c r="Q32" s="11">
        <f t="shared" si="9"/>
        <v>0.10858348446634701</v>
      </c>
      <c r="R32" s="11">
        <f t="shared" si="9"/>
        <v>0.95582584036683815</v>
      </c>
      <c r="S32" s="11">
        <f t="shared" si="9"/>
        <v>1.1766420212454771</v>
      </c>
      <c r="T32" s="11">
        <f t="shared" si="9"/>
        <v>0.86085566075799724</v>
      </c>
      <c r="U32" s="11">
        <f t="shared" si="9"/>
        <v>0.17021250874038504</v>
      </c>
      <c r="V32" s="11">
        <f t="shared" si="9"/>
        <v>6.1945070552366428E-2</v>
      </c>
    </row>
    <row r="33" spans="1:22" x14ac:dyDescent="0.35">
      <c r="A33" s="141"/>
      <c r="B33" s="11">
        <f t="shared" ref="B33:M33" si="14">IF(B10="","",(B10/$O$23))</f>
        <v>0.3360564980215805</v>
      </c>
      <c r="C33" s="11">
        <f t="shared" si="14"/>
        <v>0.46106920787447436</v>
      </c>
      <c r="D33" s="11">
        <f t="shared" si="14"/>
        <v>0.47778943762112142</v>
      </c>
      <c r="E33" s="11">
        <f t="shared" si="14"/>
        <v>4.8024164587575795</v>
      </c>
      <c r="F33" s="11">
        <f t="shared" si="14"/>
        <v>4.2869061206549839</v>
      </c>
      <c r="G33" s="11">
        <f t="shared" si="14"/>
        <v>1.9138847290280951</v>
      </c>
      <c r="H33" s="11">
        <f t="shared" si="14"/>
        <v>4.8687723609757976</v>
      </c>
      <c r="I33" s="11">
        <f t="shared" si="14"/>
        <v>7.1834037709243043E-2</v>
      </c>
      <c r="J33" s="11">
        <f t="shared" si="14"/>
        <v>0.11704678931305916</v>
      </c>
      <c r="K33" s="11">
        <f t="shared" si="14"/>
        <v>2.4595481272207162E-2</v>
      </c>
      <c r="L33" s="11">
        <f t="shared" si="14"/>
        <v>1.9860831698232797E-2</v>
      </c>
      <c r="M33" s="11">
        <f t="shared" si="14"/>
        <v>0.11479042612925559</v>
      </c>
      <c r="N33" s="6"/>
      <c r="O33" s="11">
        <f t="shared" si="9"/>
        <v>0.90117919370636146</v>
      </c>
      <c r="P33" s="11">
        <f t="shared" si="9"/>
        <v>3.6840443906858744</v>
      </c>
      <c r="Q33" s="11">
        <f t="shared" si="9"/>
        <v>5.8922770076548392E-2</v>
      </c>
      <c r="R33" s="11">
        <f t="shared" si="9"/>
        <v>0.38601253434358762</v>
      </c>
      <c r="S33" s="11">
        <f t="shared" si="9"/>
        <v>1.6164281891692409</v>
      </c>
      <c r="T33" s="11">
        <f t="shared" si="9"/>
        <v>1.3376054270154372</v>
      </c>
      <c r="U33" s="11">
        <f t="shared" si="9"/>
        <v>0.19534941355497445</v>
      </c>
      <c r="V33" s="11">
        <f t="shared" si="9"/>
        <v>0.36487283778687296</v>
      </c>
    </row>
    <row r="34" spans="1:22" x14ac:dyDescent="0.35">
      <c r="A34" s="141"/>
      <c r="B34" s="11">
        <f t="shared" ref="B34:M34" si="15">IF(B11="","",(B11/$O$23))</f>
        <v>0.45147815319307127</v>
      </c>
      <c r="C34" s="11">
        <f t="shared" si="15"/>
        <v>0.6151400415307261</v>
      </c>
      <c r="D34" s="11">
        <f t="shared" si="15"/>
        <v>3.6985505694553793</v>
      </c>
      <c r="E34" s="11">
        <f t="shared" si="15"/>
        <v>5.6735108100132265</v>
      </c>
      <c r="F34" s="11" t="str">
        <f t="shared" si="15"/>
        <v/>
      </c>
      <c r="G34" s="11">
        <f t="shared" si="15"/>
        <v>6.6782072490740427</v>
      </c>
      <c r="H34" s="11">
        <f t="shared" si="15"/>
        <v>3.9080702546698318</v>
      </c>
      <c r="I34" s="11">
        <f t="shared" si="15"/>
        <v>0.16786979411441522</v>
      </c>
      <c r="J34" s="11">
        <f t="shared" si="15"/>
        <v>8.2531254364795553E-2</v>
      </c>
      <c r="K34" s="11">
        <f t="shared" si="15"/>
        <v>0.82513120561940645</v>
      </c>
      <c r="L34" s="11">
        <f t="shared" si="15"/>
        <v>0.19934921235611422</v>
      </c>
      <c r="M34" s="11">
        <f t="shared" si="15"/>
        <v>3.6265015166551423E-2</v>
      </c>
      <c r="N34" s="6"/>
      <c r="O34" s="11">
        <f t="shared" si="9"/>
        <v>1.0583008238143461</v>
      </c>
      <c r="P34" s="11">
        <f t="shared" si="9"/>
        <v>6.3437879743959336</v>
      </c>
      <c r="Q34" s="11">
        <f t="shared" si="9"/>
        <v>0.32090527397909391</v>
      </c>
      <c r="R34" s="11">
        <f t="shared" si="9"/>
        <v>3.7445845232741961</v>
      </c>
      <c r="S34" s="11">
        <f t="shared" si="9"/>
        <v>0.55539088815264692</v>
      </c>
      <c r="T34" s="11">
        <f t="shared" si="9"/>
        <v>1.5887223289502062</v>
      </c>
      <c r="U34" s="11">
        <f t="shared" si="9"/>
        <v>0.19183145580112226</v>
      </c>
      <c r="V34" s="11">
        <f t="shared" si="9"/>
        <v>5.4581019564430372E-2</v>
      </c>
    </row>
    <row r="35" spans="1:22" x14ac:dyDescent="0.35">
      <c r="A35" s="141"/>
      <c r="B35" s="11" t="str">
        <f t="shared" ref="B35:M35" si="16">IF(B12="","",(B12/$O$23))</f>
        <v/>
      </c>
      <c r="C35" s="11">
        <f t="shared" si="16"/>
        <v>0.84914813222909991</v>
      </c>
      <c r="D35" s="11">
        <f t="shared" si="16"/>
        <v>0.20323416373917289</v>
      </c>
      <c r="E35" s="11">
        <f t="shared" si="16"/>
        <v>6.1666638962245637</v>
      </c>
      <c r="F35" s="11" t="str">
        <f t="shared" si="16"/>
        <v/>
      </c>
      <c r="G35" s="11">
        <f t="shared" si="16"/>
        <v>5.8776559814672531</v>
      </c>
      <c r="H35" s="11">
        <f t="shared" si="16"/>
        <v>7.7270327291394887</v>
      </c>
      <c r="I35" s="11" t="str">
        <f t="shared" si="16"/>
        <v/>
      </c>
      <c r="J35" s="11">
        <f t="shared" si="16"/>
        <v>0.25285342943673172</v>
      </c>
      <c r="K35" s="11" t="str">
        <f t="shared" si="16"/>
        <v/>
      </c>
      <c r="L35" s="11">
        <f t="shared" si="16"/>
        <v>0.16540100638288271</v>
      </c>
      <c r="M35" s="11">
        <f t="shared" si="16"/>
        <v>0.12588226887550777</v>
      </c>
      <c r="N35" s="6"/>
      <c r="O35" s="11">
        <f t="shared" si="9"/>
        <v>1.9679295061366733</v>
      </c>
      <c r="P35" s="11">
        <f t="shared" si="9"/>
        <v>1.2762915855053061</v>
      </c>
      <c r="Q35" s="11" t="str">
        <f t="shared" si="9"/>
        <v/>
      </c>
      <c r="R35" s="11">
        <f t="shared" si="9"/>
        <v>3.0752244112072948</v>
      </c>
      <c r="S35" s="11" t="str">
        <f t="shared" si="9"/>
        <v/>
      </c>
      <c r="T35" s="11">
        <f t="shared" si="9"/>
        <v>0.24882168060199045</v>
      </c>
      <c r="U35" s="11">
        <f t="shared" si="9"/>
        <v>0.57651072387766333</v>
      </c>
      <c r="V35" s="11">
        <f t="shared" si="9"/>
        <v>0.2042159796366029</v>
      </c>
    </row>
    <row r="36" spans="1:22" x14ac:dyDescent="0.35">
      <c r="A36" s="141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>
        <f t="shared" si="17"/>
        <v>2.5615965345439231</v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>
        <f t="shared" si="17"/>
        <v>9.4759482089955313E-2</v>
      </c>
      <c r="N36" s="6"/>
      <c r="O36" s="11">
        <f t="shared" si="9"/>
        <v>0.74381837010357643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x14ac:dyDescent="0.35">
      <c r="A37" s="141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0.85527735759405887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x14ac:dyDescent="0.35">
      <c r="A38" s="141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V43" si="20">IF(O15="","",(O15/$O$23))</f>
        <v>0.3724259984331531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si="20"/>
        <v/>
      </c>
      <c r="T38" s="11" t="str">
        <f t="shared" si="20"/>
        <v/>
      </c>
      <c r="U38" s="11" t="str">
        <f t="shared" si="20"/>
        <v/>
      </c>
      <c r="V38" s="11" t="str">
        <f t="shared" si="20"/>
        <v/>
      </c>
    </row>
    <row r="39" spans="1:22" x14ac:dyDescent="0.35">
      <c r="A39" s="141"/>
      <c r="B39" s="11" t="str">
        <f t="shared" ref="B39:M39" si="21">IF(B16="","",(B16/$O$23))</f>
        <v/>
      </c>
      <c r="C39" s="11" t="str">
        <f t="shared" si="21"/>
        <v/>
      </c>
      <c r="D39" s="11" t="str">
        <f t="shared" si="21"/>
        <v/>
      </c>
      <c r="E39" s="11" t="str">
        <f t="shared" si="21"/>
        <v/>
      </c>
      <c r="F39" s="11" t="str">
        <f t="shared" si="21"/>
        <v/>
      </c>
      <c r="G39" s="11" t="str">
        <f t="shared" si="21"/>
        <v/>
      </c>
      <c r="H39" s="11" t="str">
        <f t="shared" si="21"/>
        <v/>
      </c>
      <c r="I39" s="11" t="str">
        <f t="shared" si="21"/>
        <v/>
      </c>
      <c r="J39" s="11" t="str">
        <f t="shared" si="21"/>
        <v/>
      </c>
      <c r="K39" s="11" t="str">
        <f t="shared" si="21"/>
        <v/>
      </c>
      <c r="L39" s="11" t="str">
        <f t="shared" si="21"/>
        <v/>
      </c>
      <c r="M39" s="11" t="str">
        <f t="shared" si="21"/>
        <v/>
      </c>
      <c r="N39" s="6"/>
      <c r="O39" s="11">
        <f t="shared" si="20"/>
        <v>0.89942884997365202</v>
      </c>
      <c r="P39" s="11" t="str">
        <f t="shared" si="20"/>
        <v/>
      </c>
      <c r="Q39" s="11" t="str">
        <f t="shared" si="20"/>
        <v/>
      </c>
      <c r="R39" s="11" t="str">
        <f t="shared" si="20"/>
        <v/>
      </c>
      <c r="S39" s="11" t="str">
        <f t="shared" si="20"/>
        <v/>
      </c>
      <c r="T39" s="11" t="str">
        <f t="shared" si="20"/>
        <v/>
      </c>
      <c r="U39" s="11" t="str">
        <f t="shared" si="20"/>
        <v/>
      </c>
      <c r="V39" s="11" t="str">
        <f t="shared" si="20"/>
        <v/>
      </c>
    </row>
    <row r="40" spans="1:22" x14ac:dyDescent="0.35">
      <c r="A40" s="141"/>
      <c r="B40" s="11" t="str">
        <f t="shared" ref="B40:M40" si="22">IF(B17="","",(B17/$O$23))</f>
        <v/>
      </c>
      <c r="C40" s="11" t="str">
        <f t="shared" si="22"/>
        <v/>
      </c>
      <c r="D40" s="11" t="str">
        <f t="shared" si="22"/>
        <v/>
      </c>
      <c r="E40" s="11" t="str">
        <f t="shared" si="22"/>
        <v/>
      </c>
      <c r="F40" s="11" t="str">
        <f t="shared" si="22"/>
        <v/>
      </c>
      <c r="G40" s="11" t="str">
        <f t="shared" si="22"/>
        <v/>
      </c>
      <c r="H40" s="11" t="str">
        <f t="shared" si="22"/>
        <v/>
      </c>
      <c r="I40" s="11" t="str">
        <f t="shared" si="22"/>
        <v/>
      </c>
      <c r="J40" s="11" t="str">
        <f t="shared" si="22"/>
        <v/>
      </c>
      <c r="K40" s="11" t="str">
        <f t="shared" si="22"/>
        <v/>
      </c>
      <c r="L40" s="11" t="str">
        <f t="shared" si="22"/>
        <v/>
      </c>
      <c r="M40" s="11" t="str">
        <f t="shared" si="22"/>
        <v/>
      </c>
      <c r="N40" s="6"/>
      <c r="O40" s="11">
        <f t="shared" si="20"/>
        <v>1.622186103332885</v>
      </c>
      <c r="P40" s="11" t="str">
        <f t="shared" si="20"/>
        <v/>
      </c>
      <c r="Q40" s="11" t="str">
        <f t="shared" si="20"/>
        <v/>
      </c>
      <c r="R40" s="11" t="str">
        <f t="shared" si="20"/>
        <v/>
      </c>
      <c r="S40" s="11" t="str">
        <f t="shared" si="20"/>
        <v/>
      </c>
      <c r="T40" s="11" t="str">
        <f t="shared" si="20"/>
        <v/>
      </c>
      <c r="U40" s="11" t="str">
        <f t="shared" si="20"/>
        <v/>
      </c>
      <c r="V40" s="11" t="str">
        <f t="shared" si="20"/>
        <v/>
      </c>
    </row>
    <row r="41" spans="1:22" x14ac:dyDescent="0.35">
      <c r="A41" s="141"/>
      <c r="B41" s="11" t="str">
        <f t="shared" ref="B41:M41" si="23">IF(B18="","",(B18/$O$23))</f>
        <v/>
      </c>
      <c r="C41" s="11" t="str">
        <f t="shared" si="23"/>
        <v/>
      </c>
      <c r="D41" s="11" t="str">
        <f t="shared" si="23"/>
        <v/>
      </c>
      <c r="E41" s="11" t="str">
        <f t="shared" si="23"/>
        <v/>
      </c>
      <c r="F41" s="11" t="str">
        <f t="shared" si="23"/>
        <v/>
      </c>
      <c r="G41" s="11" t="str">
        <f t="shared" si="23"/>
        <v/>
      </c>
      <c r="H41" s="11" t="str">
        <f t="shared" si="23"/>
        <v/>
      </c>
      <c r="I41" s="11" t="str">
        <f t="shared" si="23"/>
        <v/>
      </c>
      <c r="J41" s="11" t="str">
        <f t="shared" si="23"/>
        <v/>
      </c>
      <c r="K41" s="11" t="str">
        <f t="shared" si="23"/>
        <v/>
      </c>
      <c r="L41" s="11" t="str">
        <f t="shared" si="23"/>
        <v/>
      </c>
      <c r="M41" s="11" t="str">
        <f t="shared" si="23"/>
        <v/>
      </c>
      <c r="N41" s="6"/>
      <c r="O41" s="11">
        <f t="shared" si="20"/>
        <v>0.32568482630299467</v>
      </c>
      <c r="P41" s="11" t="str">
        <f t="shared" si="20"/>
        <v/>
      </c>
      <c r="Q41" s="11" t="str">
        <f t="shared" si="20"/>
        <v/>
      </c>
      <c r="R41" s="11" t="str">
        <f t="shared" si="20"/>
        <v/>
      </c>
      <c r="S41" s="11" t="str">
        <f t="shared" si="20"/>
        <v/>
      </c>
      <c r="T41" s="11" t="str">
        <f t="shared" si="20"/>
        <v/>
      </c>
      <c r="U41" s="11" t="str">
        <f t="shared" si="20"/>
        <v/>
      </c>
      <c r="V41" s="11" t="str">
        <f t="shared" si="20"/>
        <v/>
      </c>
    </row>
    <row r="42" spans="1:22" x14ac:dyDescent="0.35">
      <c r="A42" s="141"/>
      <c r="B42" s="11" t="str">
        <f t="shared" ref="B42:M42" si="24">IF(B19="","",(B19/$O$23))</f>
        <v/>
      </c>
      <c r="C42" s="11" t="str">
        <f t="shared" si="24"/>
        <v/>
      </c>
      <c r="D42" s="11" t="str">
        <f t="shared" si="24"/>
        <v/>
      </c>
      <c r="E42" s="11" t="str">
        <f t="shared" si="24"/>
        <v/>
      </c>
      <c r="F42" s="11" t="str">
        <f t="shared" si="24"/>
        <v/>
      </c>
      <c r="G42" s="11" t="str">
        <f t="shared" si="24"/>
        <v/>
      </c>
      <c r="H42" s="11" t="str">
        <f t="shared" si="24"/>
        <v/>
      </c>
      <c r="I42" s="11" t="str">
        <f t="shared" si="24"/>
        <v/>
      </c>
      <c r="J42" s="11" t="str">
        <f t="shared" si="24"/>
        <v/>
      </c>
      <c r="K42" s="11" t="str">
        <f t="shared" si="24"/>
        <v/>
      </c>
      <c r="L42" s="11" t="str">
        <f t="shared" si="24"/>
        <v/>
      </c>
      <c r="M42" s="11" t="str">
        <f t="shared" si="24"/>
        <v/>
      </c>
      <c r="N42" s="6"/>
      <c r="O42" s="11">
        <f t="shared" si="20"/>
        <v>1.7174619670469944</v>
      </c>
      <c r="P42" s="11" t="str">
        <f t="shared" si="20"/>
        <v/>
      </c>
      <c r="Q42" s="11" t="str">
        <f t="shared" si="20"/>
        <v/>
      </c>
      <c r="R42" s="11" t="str">
        <f t="shared" si="20"/>
        <v/>
      </c>
      <c r="S42" s="11" t="str">
        <f t="shared" si="20"/>
        <v/>
      </c>
      <c r="T42" s="11" t="str">
        <f t="shared" si="20"/>
        <v/>
      </c>
      <c r="U42" s="11" t="str">
        <f t="shared" si="20"/>
        <v/>
      </c>
      <c r="V42" s="11" t="str">
        <f t="shared" si="20"/>
        <v/>
      </c>
    </row>
    <row r="43" spans="1:22" x14ac:dyDescent="0.35">
      <c r="A43" s="141"/>
      <c r="B43" s="11" t="str">
        <f t="shared" ref="B43:M43" si="25">IF(B20="","",(B20/$O$23))</f>
        <v/>
      </c>
      <c r="C43" s="11" t="str">
        <f t="shared" si="25"/>
        <v/>
      </c>
      <c r="D43" s="11" t="str">
        <f t="shared" si="25"/>
        <v/>
      </c>
      <c r="E43" s="11" t="str">
        <f t="shared" si="25"/>
        <v/>
      </c>
      <c r="F43" s="11" t="str">
        <f t="shared" si="25"/>
        <v/>
      </c>
      <c r="G43" s="11" t="str">
        <f t="shared" si="25"/>
        <v/>
      </c>
      <c r="H43" s="11" t="str">
        <f t="shared" si="25"/>
        <v/>
      </c>
      <c r="I43" s="11" t="str">
        <f t="shared" si="25"/>
        <v/>
      </c>
      <c r="J43" s="11" t="str">
        <f t="shared" si="25"/>
        <v/>
      </c>
      <c r="K43" s="11" t="str">
        <f t="shared" si="25"/>
        <v/>
      </c>
      <c r="L43" s="11" t="str">
        <f t="shared" si="25"/>
        <v/>
      </c>
      <c r="M43" s="11" t="str">
        <f t="shared" si="25"/>
        <v/>
      </c>
      <c r="N43" s="6"/>
      <c r="O43" s="11">
        <f t="shared" si="20"/>
        <v>0.53804288342145135</v>
      </c>
      <c r="P43" s="11" t="str">
        <f t="shared" si="20"/>
        <v/>
      </c>
      <c r="Q43" s="11" t="str">
        <f t="shared" si="20"/>
        <v/>
      </c>
      <c r="R43" s="11" t="str">
        <f t="shared" si="20"/>
        <v/>
      </c>
      <c r="S43" s="11" t="str">
        <f t="shared" si="20"/>
        <v/>
      </c>
      <c r="T43" s="11" t="str">
        <f t="shared" si="20"/>
        <v/>
      </c>
      <c r="U43" s="11" t="str">
        <f t="shared" si="20"/>
        <v/>
      </c>
      <c r="V43" s="11" t="str">
        <f t="shared" si="20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6">A4</f>
        <v>Group names</v>
      </c>
      <c r="B45" s="7" t="str">
        <f t="shared" ref="B45:V45" si="27">B4</f>
        <v>Solvent control</v>
      </c>
      <c r="C45" s="7" t="str">
        <f t="shared" si="27"/>
        <v>EE2-33.8ng/L</v>
      </c>
      <c r="D45" s="7" t="str">
        <f t="shared" si="27"/>
        <v>EE2-50.6ng/L</v>
      </c>
      <c r="E45" s="7" t="str">
        <f t="shared" si="27"/>
        <v>EE2-76ng/L</v>
      </c>
      <c r="F45" s="7" t="str">
        <f t="shared" si="27"/>
        <v>EE2-114ng/L</v>
      </c>
      <c r="G45" s="7" t="str">
        <f t="shared" si="27"/>
        <v>EE2-170.9ng/L</v>
      </c>
      <c r="H45" s="7" t="str">
        <f t="shared" si="27"/>
        <v>EE2-488ng/L</v>
      </c>
      <c r="I45" s="7" t="str">
        <f t="shared" si="27"/>
        <v>Fadrozole-0,016ug/L</v>
      </c>
      <c r="J45" s="7" t="str">
        <f t="shared" si="27"/>
        <v>Fadrozole-0,08ug/L</v>
      </c>
      <c r="K45" s="7" t="str">
        <f t="shared" si="27"/>
        <v>Fadrozole-0,4ug/L</v>
      </c>
      <c r="L45" s="7" t="str">
        <f t="shared" si="27"/>
        <v>Fadrozole-2ug/L</v>
      </c>
      <c r="M45" s="7" t="str">
        <f t="shared" si="27"/>
        <v>Fadrozole-10ug/L</v>
      </c>
      <c r="N45" s="7"/>
      <c r="O45" s="7" t="str">
        <f t="shared" si="27"/>
        <v>Testo -30µg/L</v>
      </c>
      <c r="P45" s="7" t="str">
        <f t="shared" si="27"/>
        <v>Testo 30µg/L + EE2 -64ng/L</v>
      </c>
      <c r="Q45" s="7" t="str">
        <f t="shared" si="27"/>
        <v>Testo 30µg/L + FAD-10mg/L</v>
      </c>
      <c r="R45" s="7" t="str">
        <f t="shared" si="27"/>
        <v>Fadrozole-0,016ug/L + Testostérone</v>
      </c>
      <c r="S45" s="7" t="str">
        <f t="shared" si="27"/>
        <v>Fadrozole-0,08ug/L + Testostérone</v>
      </c>
      <c r="T45" s="7" t="str">
        <f t="shared" si="27"/>
        <v>Fadrozole-0,4ug/L + Testostérone</v>
      </c>
      <c r="U45" s="7" t="str">
        <f t="shared" si="27"/>
        <v>Fadrozole-2ug/L + Testostérone</v>
      </c>
      <c r="V45" s="7" t="str">
        <f t="shared" si="27"/>
        <v>Fadrozole-10ug/L + Testostérone</v>
      </c>
    </row>
    <row r="46" spans="1:22" x14ac:dyDescent="0.35">
      <c r="A46" s="8" t="s">
        <v>0</v>
      </c>
      <c r="B46" s="10">
        <f t="shared" ref="B46:H46" si="28">AVERAGE(B28:B43)</f>
        <v>1.5607035064329202</v>
      </c>
      <c r="C46" s="10">
        <f t="shared" si="28"/>
        <v>1.2529963410735168</v>
      </c>
      <c r="D46" s="10">
        <f t="shared" si="28"/>
        <v>1.3696184971697236</v>
      </c>
      <c r="E46" s="10">
        <f t="shared" si="28"/>
        <v>4.4958595323009209</v>
      </c>
      <c r="F46" s="10">
        <f t="shared" si="28"/>
        <v>4.5290853604874082</v>
      </c>
      <c r="G46" s="10">
        <f t="shared" si="28"/>
        <v>4.8403480567579393</v>
      </c>
      <c r="H46" s="10">
        <f t="shared" si="28"/>
        <v>6.9319939217219853</v>
      </c>
      <c r="I46" s="10">
        <f>AVERAGE(I28:I43)</f>
        <v>0.12439233642053102</v>
      </c>
      <c r="J46" s="9">
        <f>AVERAGE(J28:J43)</f>
        <v>0.14271788573674943</v>
      </c>
      <c r="K46" s="9">
        <f t="shared" ref="K46:M46" si="29">AVERAGE(K28:K43)</f>
        <v>0.23853105587983775</v>
      </c>
      <c r="L46" s="9">
        <f t="shared" si="29"/>
        <v>0.1445138877945043</v>
      </c>
      <c r="M46" s="9">
        <f t="shared" si="29"/>
        <v>0.14248745931197998</v>
      </c>
      <c r="N46" s="8" t="s">
        <v>0</v>
      </c>
      <c r="O46" s="10">
        <f t="shared" ref="O46:V46" si="30">AVERAGE(O28:O43)</f>
        <v>1</v>
      </c>
      <c r="P46" s="10">
        <f t="shared" si="30"/>
        <v>5.4237787693321984</v>
      </c>
      <c r="Q46" s="10">
        <f t="shared" si="30"/>
        <v>0.1191917591364683</v>
      </c>
      <c r="R46" s="10">
        <f t="shared" si="30"/>
        <v>1.9479294327379471</v>
      </c>
      <c r="S46" s="10">
        <f t="shared" si="30"/>
        <v>1.3253805299887613</v>
      </c>
      <c r="T46" s="10">
        <f t="shared" si="30"/>
        <v>0.93363816112013365</v>
      </c>
      <c r="U46" s="10">
        <f t="shared" si="30"/>
        <v>0.17789919030411466</v>
      </c>
      <c r="V46" s="10">
        <f t="shared" si="30"/>
        <v>0.15076335754267975</v>
      </c>
    </row>
    <row r="47" spans="1:22" x14ac:dyDescent="0.35">
      <c r="A47" s="8" t="s">
        <v>1</v>
      </c>
      <c r="B47" s="8">
        <f t="shared" ref="B47:M47" si="31">STDEV(B28:B43)</f>
        <v>1.4669565017293791</v>
      </c>
      <c r="C47" s="8">
        <f t="shared" si="31"/>
        <v>1.0803323939234719</v>
      </c>
      <c r="D47" s="8">
        <f t="shared" si="31"/>
        <v>1.0893403662347487</v>
      </c>
      <c r="E47" s="8">
        <f t="shared" si="31"/>
        <v>1.1910547011598376</v>
      </c>
      <c r="F47" s="8">
        <f t="shared" si="31"/>
        <v>1.6517298642444591</v>
      </c>
      <c r="G47" s="8">
        <f t="shared" si="31"/>
        <v>2.331359789168558</v>
      </c>
      <c r="H47" s="8">
        <f t="shared" si="31"/>
        <v>2.4872366546619675</v>
      </c>
      <c r="I47" s="8">
        <f t="shared" si="31"/>
        <v>5.4863988833267902E-2</v>
      </c>
      <c r="J47" s="8">
        <f t="shared" si="31"/>
        <v>9.4694754266696324E-2</v>
      </c>
      <c r="K47" s="8">
        <f t="shared" si="31"/>
        <v>0.27406866027907967</v>
      </c>
      <c r="L47" s="8">
        <f t="shared" si="31"/>
        <v>9.0422779226283653E-2</v>
      </c>
      <c r="M47" s="8">
        <f t="shared" si="31"/>
        <v>7.1525692201557675E-2</v>
      </c>
      <c r="N47" s="8" t="s">
        <v>1</v>
      </c>
      <c r="O47" s="8">
        <f t="shared" ref="O47:V47" si="32">STDEV(O28:O43)</f>
        <v>0.6179843348434535</v>
      </c>
      <c r="P47" s="8">
        <f t="shared" si="32"/>
        <v>2.0083162837124342</v>
      </c>
      <c r="Q47" s="8">
        <f t="shared" si="32"/>
        <v>9.7348984921112408E-2</v>
      </c>
      <c r="R47" s="8">
        <f t="shared" si="32"/>
        <v>1.2860155351494644</v>
      </c>
      <c r="S47" s="8">
        <f t="shared" si="32"/>
        <v>1.4995836973186689</v>
      </c>
      <c r="T47" s="8">
        <f t="shared" si="32"/>
        <v>0.86720523518716353</v>
      </c>
      <c r="U47" s="8">
        <f t="shared" si="32"/>
        <v>0.17104958426159497</v>
      </c>
      <c r="V47" s="8">
        <f t="shared" si="32"/>
        <v>0.10941642988798769</v>
      </c>
    </row>
    <row r="48" spans="1:22" x14ac:dyDescent="0.35">
      <c r="A48" s="8" t="s">
        <v>2</v>
      </c>
      <c r="B48" s="8">
        <f t="shared" ref="B48:M48" si="33" xml:space="preserve"> B47/SQRT(COUNT(B28:B43))</f>
        <v>0.55445744110360429</v>
      </c>
      <c r="C48" s="8">
        <f t="shared" si="33"/>
        <v>0.38195518083939173</v>
      </c>
      <c r="D48" s="8">
        <f t="shared" si="33"/>
        <v>0.38513997999241401</v>
      </c>
      <c r="E48" s="8">
        <f t="shared" si="33"/>
        <v>0.39701823371994588</v>
      </c>
      <c r="F48" s="8">
        <f t="shared" si="33"/>
        <v>0.67431589338590903</v>
      </c>
      <c r="G48" s="8">
        <f t="shared" si="33"/>
        <v>0.82426015815336351</v>
      </c>
      <c r="H48" s="8">
        <f t="shared" si="33"/>
        <v>0.87937095246361008</v>
      </c>
      <c r="I48" s="8">
        <f t="shared" si="33"/>
        <v>2.073663862655023E-2</v>
      </c>
      <c r="J48" s="8">
        <f t="shared" si="33"/>
        <v>3.3479651442387362E-2</v>
      </c>
      <c r="K48" s="8">
        <f t="shared" si="33"/>
        <v>0.10358821675072727</v>
      </c>
      <c r="L48" s="8">
        <f t="shared" si="33"/>
        <v>3.196928018231962E-2</v>
      </c>
      <c r="M48" s="8">
        <f t="shared" si="33"/>
        <v>2.3841897400519226E-2</v>
      </c>
      <c r="N48" s="8" t="s">
        <v>2</v>
      </c>
      <c r="O48" s="8">
        <f t="shared" ref="O48:V48" si="34" xml:space="preserve"> O47/SQRT(COUNT(O28:O43))</f>
        <v>0.15449608371086337</v>
      </c>
      <c r="P48" s="8">
        <f t="shared" si="34"/>
        <v>0.7100470314902142</v>
      </c>
      <c r="Q48" s="8">
        <f t="shared" si="34"/>
        <v>3.6794457783691455E-2</v>
      </c>
      <c r="R48" s="8">
        <f t="shared" si="34"/>
        <v>0.45467515280771653</v>
      </c>
      <c r="S48" s="8">
        <f t="shared" si="34"/>
        <v>0.56678936189027918</v>
      </c>
      <c r="T48" s="8">
        <f t="shared" si="34"/>
        <v>0.30660335124065902</v>
      </c>
      <c r="U48" s="8">
        <f t="shared" si="34"/>
        <v>6.0475160475256778E-2</v>
      </c>
      <c r="V48" s="8">
        <f t="shared" si="34"/>
        <v>3.8684549773509262E-2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/>
    <row r="52" spans="1:22" x14ac:dyDescent="0.35">
      <c r="A52" s="29" t="str">
        <f t="shared" ref="A52" si="35">A27</f>
        <v>Group names</v>
      </c>
      <c r="B52" s="30" t="str">
        <f t="shared" ref="B52:H52" si="36">B27</f>
        <v>Solvent control</v>
      </c>
      <c r="C52" s="30" t="str">
        <f t="shared" si="36"/>
        <v>EE2-33.8ng/L</v>
      </c>
      <c r="D52" s="30" t="str">
        <f t="shared" si="36"/>
        <v>EE2-50.6ng/L</v>
      </c>
      <c r="E52" s="30" t="str">
        <f t="shared" si="36"/>
        <v>EE2-76ng/L</v>
      </c>
      <c r="F52" s="30" t="str">
        <f t="shared" si="36"/>
        <v>EE2-114ng/L</v>
      </c>
      <c r="G52" s="30" t="str">
        <f t="shared" si="36"/>
        <v>EE2-170.9ng/L</v>
      </c>
      <c r="H52" s="30" t="str">
        <f t="shared" si="36"/>
        <v>EE2-488ng/L</v>
      </c>
      <c r="I52" s="30" t="str">
        <f>I4</f>
        <v>Fadrozole-0,016ug/L</v>
      </c>
      <c r="J52" s="30" t="str">
        <f>J4</f>
        <v>Fadrozole-0,08ug/L</v>
      </c>
      <c r="K52" s="30" t="str">
        <f t="shared" ref="K52:M52" si="37">K4</f>
        <v>Fadrozole-0,4ug/L</v>
      </c>
      <c r="L52" s="30" t="str">
        <f t="shared" si="37"/>
        <v>Fadrozole-2ug/L</v>
      </c>
      <c r="M52" s="30" t="str">
        <f t="shared" si="37"/>
        <v>Fadrozole-10ug/L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Fadrozole-0,016ug/L + Testostérone</v>
      </c>
      <c r="S52" s="30" t="str">
        <f t="shared" ref="S52:V52" si="38">S27</f>
        <v>Fadrozole-0,08ug/L + Testostérone</v>
      </c>
      <c r="T52" s="30" t="str">
        <f t="shared" si="38"/>
        <v>Fadrozole-0,4ug/L + Testostérone</v>
      </c>
      <c r="U52" s="30" t="str">
        <f t="shared" si="38"/>
        <v>Fadrozole-2ug/L + Testostérone</v>
      </c>
      <c r="V52" s="30" t="str">
        <f t="shared" si="38"/>
        <v>Fadrozole-10ug/L + Testostérone</v>
      </c>
    </row>
    <row r="53" spans="1:22" s="3" customFormat="1" x14ac:dyDescent="0.35">
      <c r="A53" s="45" t="s">
        <v>10</v>
      </c>
      <c r="B53" s="78">
        <f t="shared" ref="B53:V53" si="39">B46</f>
        <v>1.5607035064329202</v>
      </c>
      <c r="C53" s="78">
        <f t="shared" si="39"/>
        <v>1.2529963410735168</v>
      </c>
      <c r="D53" s="78">
        <f t="shared" si="39"/>
        <v>1.3696184971697236</v>
      </c>
      <c r="E53" s="78">
        <f t="shared" si="39"/>
        <v>4.4958595323009209</v>
      </c>
      <c r="F53" s="78">
        <f t="shared" si="39"/>
        <v>4.5290853604874082</v>
      </c>
      <c r="G53" s="78">
        <f t="shared" si="39"/>
        <v>4.8403480567579393</v>
      </c>
      <c r="H53" s="78">
        <f t="shared" si="39"/>
        <v>6.9319939217219853</v>
      </c>
      <c r="I53" s="78">
        <f t="shared" si="39"/>
        <v>0.12439233642053102</v>
      </c>
      <c r="J53" s="78">
        <f t="shared" si="39"/>
        <v>0.14271788573674943</v>
      </c>
      <c r="K53" s="78">
        <f t="shared" si="39"/>
        <v>0.23853105587983775</v>
      </c>
      <c r="L53" s="78">
        <f t="shared" si="39"/>
        <v>0.1445138877945043</v>
      </c>
      <c r="M53" s="78">
        <f t="shared" si="39"/>
        <v>0.14248745931197998</v>
      </c>
      <c r="N53" s="78"/>
      <c r="O53" s="78">
        <f t="shared" si="39"/>
        <v>1</v>
      </c>
      <c r="P53" s="78">
        <f t="shared" si="39"/>
        <v>5.4237787693321984</v>
      </c>
      <c r="Q53" s="78">
        <f t="shared" si="39"/>
        <v>0.1191917591364683</v>
      </c>
      <c r="R53" s="78">
        <f t="shared" si="39"/>
        <v>1.9479294327379471</v>
      </c>
      <c r="S53" s="78">
        <f t="shared" si="39"/>
        <v>1.3253805299887613</v>
      </c>
      <c r="T53" s="78">
        <f t="shared" si="39"/>
        <v>0.93363816112013365</v>
      </c>
      <c r="U53" s="78">
        <f t="shared" si="39"/>
        <v>0.17789919030411466</v>
      </c>
      <c r="V53" s="78">
        <f t="shared" si="39"/>
        <v>0.15076335754267975</v>
      </c>
    </row>
    <row r="54" spans="1:22" s="3" customFormat="1" x14ac:dyDescent="0.35">
      <c r="A54" s="45" t="s">
        <v>2</v>
      </c>
      <c r="B54" s="78">
        <f t="shared" ref="B54:V54" si="40">B48</f>
        <v>0.55445744110360429</v>
      </c>
      <c r="C54" s="78">
        <f t="shared" si="40"/>
        <v>0.38195518083939173</v>
      </c>
      <c r="D54" s="78">
        <f t="shared" si="40"/>
        <v>0.38513997999241401</v>
      </c>
      <c r="E54" s="78">
        <f t="shared" si="40"/>
        <v>0.39701823371994588</v>
      </c>
      <c r="F54" s="78">
        <f t="shared" si="40"/>
        <v>0.67431589338590903</v>
      </c>
      <c r="G54" s="78">
        <f t="shared" si="40"/>
        <v>0.82426015815336351</v>
      </c>
      <c r="H54" s="78">
        <f t="shared" si="40"/>
        <v>0.87937095246361008</v>
      </c>
      <c r="I54" s="78">
        <f t="shared" si="40"/>
        <v>2.073663862655023E-2</v>
      </c>
      <c r="J54" s="78">
        <f t="shared" si="40"/>
        <v>3.3479651442387362E-2</v>
      </c>
      <c r="K54" s="78">
        <f t="shared" si="40"/>
        <v>0.10358821675072727</v>
      </c>
      <c r="L54" s="78">
        <f t="shared" si="40"/>
        <v>3.196928018231962E-2</v>
      </c>
      <c r="M54" s="78">
        <f t="shared" si="40"/>
        <v>2.3841897400519226E-2</v>
      </c>
      <c r="N54" s="78"/>
      <c r="O54" s="78">
        <f t="shared" si="40"/>
        <v>0.15449608371086337</v>
      </c>
      <c r="P54" s="78">
        <f t="shared" si="40"/>
        <v>0.7100470314902142</v>
      </c>
      <c r="Q54" s="78">
        <f t="shared" si="40"/>
        <v>3.6794457783691455E-2</v>
      </c>
      <c r="R54" s="78">
        <f t="shared" si="40"/>
        <v>0.45467515280771653</v>
      </c>
      <c r="S54" s="78">
        <f t="shared" si="40"/>
        <v>0.56678936189027918</v>
      </c>
      <c r="T54" s="78">
        <f t="shared" si="40"/>
        <v>0.30660335124065902</v>
      </c>
      <c r="U54" s="78">
        <f t="shared" si="40"/>
        <v>6.0475160475256778E-2</v>
      </c>
      <c r="V54" s="78">
        <f t="shared" si="40"/>
        <v>3.8684549773509262E-2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41">(C53*100/$B53)-100</f>
        <v>-19.715927086156569</v>
      </c>
      <c r="D55" s="78">
        <f t="shared" si="41"/>
        <v>-12.243517649289629</v>
      </c>
      <c r="E55" s="78">
        <f t="shared" si="41"/>
        <v>188.06621589365636</v>
      </c>
      <c r="F55" s="78">
        <f t="shared" si="41"/>
        <v>190.1951166137186</v>
      </c>
      <c r="G55" s="78">
        <f t="shared" si="41"/>
        <v>210.13885961087124</v>
      </c>
      <c r="H55" s="78">
        <f t="shared" si="41"/>
        <v>344.15828459086794</v>
      </c>
      <c r="I55" s="78">
        <f t="shared" si="41"/>
        <v>-92.029726600356199</v>
      </c>
      <c r="J55" s="78">
        <f t="shared" si="41"/>
        <v>-90.855541417796928</v>
      </c>
      <c r="K55" s="78">
        <f t="shared" si="41"/>
        <v>-84.71644006073808</v>
      </c>
      <c r="L55" s="78">
        <f t="shared" si="41"/>
        <v>-90.740464976284997</v>
      </c>
      <c r="M55" s="78">
        <f t="shared" si="41"/>
        <v>-90.870305684284432</v>
      </c>
      <c r="N55" s="78"/>
      <c r="O55" s="78">
        <f t="shared" ref="O55:V55" si="42">(O53*100/$O53)-100</f>
        <v>0</v>
      </c>
      <c r="P55" s="78">
        <f t="shared" si="42"/>
        <v>442.3778769332198</v>
      </c>
      <c r="Q55" s="78">
        <f t="shared" si="42"/>
        <v>-88.080824086353175</v>
      </c>
      <c r="R55" s="78">
        <f t="shared" si="42"/>
        <v>94.79294327379472</v>
      </c>
      <c r="S55" s="78">
        <f t="shared" si="42"/>
        <v>32.53805299887614</v>
      </c>
      <c r="T55" s="78">
        <f t="shared" si="42"/>
        <v>-6.6361838879866326</v>
      </c>
      <c r="U55" s="78">
        <f t="shared" si="42"/>
        <v>-82.210080969588532</v>
      </c>
      <c r="V55" s="78">
        <f t="shared" si="42"/>
        <v>-84.923664245732027</v>
      </c>
    </row>
    <row r="56" spans="1:22" s="3" customFormat="1" x14ac:dyDescent="0.35">
      <c r="A56" s="45" t="s">
        <v>38</v>
      </c>
      <c r="B56" s="78">
        <f>[1]!SWTEST(B28:B43)</f>
        <v>0.2656127089977558</v>
      </c>
      <c r="C56" s="78">
        <f>[1]!SWTEST(C28:C43)</f>
        <v>5.8523136650495022E-2</v>
      </c>
      <c r="D56" s="78">
        <f>[1]!SWTEST(D28:D43)</f>
        <v>0.16532193687040642</v>
      </c>
      <c r="E56" s="78">
        <f>[1]!SWTEST(E28:E43)</f>
        <v>0.64416358840032162</v>
      </c>
      <c r="F56" s="78">
        <f>[1]!SWTEST(F28:F43)</f>
        <v>0.39302813442319184</v>
      </c>
      <c r="G56" s="78">
        <f>[1]!SWTEST(G28:G43)</f>
        <v>0.52043910432757845</v>
      </c>
      <c r="H56" s="78">
        <f>[1]!SWTEST(H28:H43)</f>
        <v>0.29890319231154217</v>
      </c>
      <c r="I56" s="78">
        <f>[1]!SWTEST(I28:I43)</f>
        <v>0.28482159258155093</v>
      </c>
      <c r="J56" s="78">
        <f>[1]!SWTEST(J28:J43)</f>
        <v>3.7573204740658506E-3</v>
      </c>
      <c r="K56" s="78">
        <f>[1]!SWTEST(K28:K43)</f>
        <v>1.4725335157987574E-2</v>
      </c>
      <c r="L56" s="78">
        <f>[1]!SWTEST(L28:L43)</f>
        <v>0.48780947606490477</v>
      </c>
      <c r="M56" s="78">
        <f>[1]!SWTEST(M28:M43)</f>
        <v>0.82639766444916352</v>
      </c>
      <c r="N56" s="78"/>
      <c r="O56" s="78">
        <f>[1]!SWTEST(O28:O43)</f>
        <v>0.47602394626427902</v>
      </c>
      <c r="P56" s="78">
        <f>[1]!SWTEST(P28:P43)</f>
        <v>8.4842094890302144E-2</v>
      </c>
      <c r="Q56" s="78">
        <f>[1]!SWTEST(Q28:Q43)</f>
        <v>8.1098916325419101E-2</v>
      </c>
      <c r="R56" s="78">
        <f>[1]!SWTEST(R28:R43)</f>
        <v>0.38380255153684639</v>
      </c>
      <c r="S56" s="78">
        <f>[1]!SWTEST(S28:S43)</f>
        <v>4.5206323075543953E-3</v>
      </c>
      <c r="T56" s="78">
        <f>[1]!SWTEST(T28:T43)</f>
        <v>0.1088714717831456</v>
      </c>
      <c r="U56" s="78">
        <f>[1]!SWTEST(U28:U43)</f>
        <v>2.9948920652541622E-3</v>
      </c>
      <c r="V56" s="78">
        <f>[1]!SWTEST(V28:V43)</f>
        <v>0.35440131965295063</v>
      </c>
    </row>
    <row r="57" spans="1:22" s="3" customFormat="1" x14ac:dyDescent="0.35">
      <c r="A57" s="45" t="s">
        <v>39</v>
      </c>
      <c r="B57" s="78" t="str">
        <f>IF(B56&gt;0.05,"Oui","Non")</f>
        <v>Oui</v>
      </c>
      <c r="C57" s="78" t="str">
        <f t="shared" ref="C57:V57" si="43">IF(C56&gt;0.05,"Oui","Non")</f>
        <v>Oui</v>
      </c>
      <c r="D57" s="78" t="str">
        <f t="shared" si="43"/>
        <v>Oui</v>
      </c>
      <c r="E57" s="78" t="str">
        <f t="shared" si="43"/>
        <v>Oui</v>
      </c>
      <c r="F57" s="78" t="str">
        <f t="shared" si="43"/>
        <v>Oui</v>
      </c>
      <c r="G57" s="78" t="str">
        <f t="shared" si="43"/>
        <v>Oui</v>
      </c>
      <c r="H57" s="78" t="str">
        <f t="shared" si="43"/>
        <v>Oui</v>
      </c>
      <c r="I57" s="78" t="str">
        <f t="shared" si="43"/>
        <v>Oui</v>
      </c>
      <c r="J57" s="78" t="str">
        <f t="shared" si="43"/>
        <v>Non</v>
      </c>
      <c r="K57" s="78" t="str">
        <f t="shared" si="43"/>
        <v>Non</v>
      </c>
      <c r="L57" s="78" t="str">
        <f t="shared" si="43"/>
        <v>Oui</v>
      </c>
      <c r="M57" s="78" t="str">
        <f t="shared" si="43"/>
        <v>Oui</v>
      </c>
      <c r="N57" s="78"/>
      <c r="O57" s="78" t="str">
        <f t="shared" si="43"/>
        <v>Oui</v>
      </c>
      <c r="P57" s="78" t="str">
        <f t="shared" si="43"/>
        <v>Oui</v>
      </c>
      <c r="Q57" s="78" t="str">
        <f t="shared" si="43"/>
        <v>Oui</v>
      </c>
      <c r="R57" s="78" t="str">
        <f t="shared" si="43"/>
        <v>Oui</v>
      </c>
      <c r="S57" s="78" t="str">
        <f t="shared" si="43"/>
        <v>Non</v>
      </c>
      <c r="T57" s="78" t="str">
        <f t="shared" si="43"/>
        <v>Oui</v>
      </c>
      <c r="U57" s="78" t="str">
        <f t="shared" si="43"/>
        <v>Non</v>
      </c>
      <c r="V57" s="78" t="str">
        <f t="shared" si="43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O59" si="44">IF($B57="Non",IF(C57="Non","MW",IF(C57="Oui","MW","")),IF($B57="Oui",IF(C57="Oui","T-Test Welch",IF(C57="Non","MW",""))))</f>
        <v>T-Test Welch</v>
      </c>
      <c r="D59" s="82" t="str">
        <f t="shared" si="44"/>
        <v>T-Test Welch</v>
      </c>
      <c r="E59" s="82" t="str">
        <f t="shared" si="44"/>
        <v>T-Test Welch</v>
      </c>
      <c r="F59" s="82" t="str">
        <f t="shared" si="44"/>
        <v>T-Test Welch</v>
      </c>
      <c r="G59" s="82" t="str">
        <f t="shared" si="44"/>
        <v>T-Test Welch</v>
      </c>
      <c r="H59" s="82" t="str">
        <f t="shared" si="44"/>
        <v>T-Test Welch</v>
      </c>
      <c r="I59" s="82" t="str">
        <f t="shared" si="44"/>
        <v>T-Test Welch</v>
      </c>
      <c r="J59" s="82" t="str">
        <f t="shared" si="44"/>
        <v>MW</v>
      </c>
      <c r="K59" s="82" t="str">
        <f t="shared" si="44"/>
        <v>MW</v>
      </c>
      <c r="L59" s="82" t="str">
        <f t="shared" si="44"/>
        <v>T-Test Welch</v>
      </c>
      <c r="M59" s="82" t="str">
        <f t="shared" si="44"/>
        <v>T-Test Welch</v>
      </c>
      <c r="N59" s="82"/>
      <c r="O59" s="82" t="str">
        <f t="shared" si="44"/>
        <v>T-Test Welch</v>
      </c>
      <c r="P59" s="82" t="str">
        <f t="shared" ref="P59:V59" si="45">IF($O57="Non",IF(P57="Non","MW",IF(P57="Oui","MW","")),IF($O57="Oui",IF(P57="Oui","T-Test Welch",IF(P57="Non","MW",""))))</f>
        <v>T-Test Welch</v>
      </c>
      <c r="Q59" s="82" t="str">
        <f t="shared" si="45"/>
        <v>T-Test Welch</v>
      </c>
      <c r="R59" s="82" t="str">
        <f t="shared" si="45"/>
        <v>T-Test Welch</v>
      </c>
      <c r="S59" s="82" t="str">
        <f t="shared" si="45"/>
        <v>MW</v>
      </c>
      <c r="T59" s="82" t="str">
        <f t="shared" si="45"/>
        <v>T-Test Welch</v>
      </c>
      <c r="U59" s="82" t="str">
        <f t="shared" si="45"/>
        <v>MW</v>
      </c>
      <c r="V59" s="82" t="str">
        <f t="shared" si="45"/>
        <v>T-Test Welch</v>
      </c>
    </row>
    <row r="60" spans="1:22" s="3" customFormat="1" x14ac:dyDescent="0.35">
      <c r="A60" s="45" t="s">
        <v>41</v>
      </c>
      <c r="B60" s="83"/>
      <c r="C60" s="83">
        <f>IF(C59="MW",[1]!MTEST($B28:$B43,C28:C43,2), IF(C59="T-Test Welch",_xlfn.T.TEST($B28:$B43,C28:C43,2,3),""))</f>
        <v>0.65659944066938103</v>
      </c>
      <c r="D60" s="83">
        <f>IF(D59="MW",[1]!MTEST($B28:$B43,D28:D43,2), IF(D59="T-Test Welch",_xlfn.T.TEST($B28:$B43,D28:D43,2,3),""))</f>
        <v>0.78239874381006602</v>
      </c>
      <c r="E60" s="83">
        <f>IF(E59="MW",[1]!MTEST($B28:$B43,E28:E43,2), IF(E59="T-Test Welch",_xlfn.T.TEST($B28:$B43,E28:E43,2,3),""))</f>
        <v>1.1346229592394516E-3</v>
      </c>
      <c r="F60" s="83">
        <f>IF(F59="MW",[1]!MTEST($B28:$B43,F28:F43,2), IF(F59="T-Test Welch",_xlfn.T.TEST($B28:$B43,F28:F43,2,3),""))</f>
        <v>6.6080557648427159E-3</v>
      </c>
      <c r="G60" s="83">
        <f>IF(G59="MW",[1]!MTEST($B28:$B43,G28:G43,2), IF(G59="T-Test Welch",_xlfn.T.TEST($B28:$B43,G28:G43,2,3),""))</f>
        <v>6.3762288293432862E-3</v>
      </c>
      <c r="H60" s="83">
        <f>IF(H59="MW",[1]!MTEST($B28:$B43,H28:H43,2), IF(H59="T-Test Welch",_xlfn.T.TEST($B28:$B43,H28:H43,2,3),""))</f>
        <v>2.6549925792238271E-4</v>
      </c>
      <c r="I60" s="83">
        <f>IF(I59="MW",[1]!MTEST($B28:$B43,I28:I43,2), IF(I59="T-Test Welch",_xlfn.T.TEST($B28:$B43,I28:I43,2,3),""))</f>
        <v>4.1181087009440412E-2</v>
      </c>
      <c r="J60" s="83">
        <f>IF(J59="MW",[1]!MTEST($B28:$B43,J28:J43,2), IF(J59="T-Test Welch",_xlfn.T.TEST($B28:$B43,J28:J43,2,3),""))</f>
        <v>2.0637558243972176E-2</v>
      </c>
      <c r="K60" s="83">
        <f>IF(K59="MW",[1]!MTEST($B28:$B43,K28:K43,2), IF(K59="T-Test Welch",_xlfn.T.TEST($B28:$B43,K28:K43,2,3),""))</f>
        <v>4.7645425584361911E-2</v>
      </c>
      <c r="L60" s="83">
        <f>IF(L59="MW",[1]!MTEST($B28:$B43,L28:L43,2), IF(L59="T-Test Welch",_xlfn.T.TEST($B28:$B43,L28:L43,2,3),""))</f>
        <v>4.3240771833515365E-2</v>
      </c>
      <c r="M60" s="83">
        <f>IF(M59="MW",[1]!MTEST($B28:$B43,M28:M43,2), IF(M59="T-Test Welch",_xlfn.T.TEST($B28:$B43,M28:M43,2,3),""))</f>
        <v>4.303002584031821E-2</v>
      </c>
      <c r="N60" s="83"/>
      <c r="O60" s="83">
        <f>IF(O59="MW",[1]!MTEST($B28:$B43,O28:O43,2), IF(O59="T-Test Welch",_xlfn.T.TEST($B28:$B43,O28:O43,2,3),""))</f>
        <v>0.36265268134112422</v>
      </c>
      <c r="P60" s="83">
        <f>IF(P59="MW",[1]!MTEST($O28:$O43,P28:P43,2), IF(P59="T-Test Welch",_xlfn.T.TEST($O28:$O43,P28:P43,2,3),""))</f>
        <v>3.4699642685616193E-4</v>
      </c>
      <c r="Q60" s="83">
        <f>IF(Q59="MW",[1]!MTEST($O28:$O43,Q28:Q43,2), IF(Q59="T-Test Welch",_xlfn.T.TEST($O28:$O43,Q28:Q43,2,3),""))</f>
        <v>3.8613088098982629E-5</v>
      </c>
      <c r="R60" s="83">
        <f>IF(R59="MW",[1]!MTEST($O28:$O43,R28:R43,2), IF(R59="T-Test Welch",_xlfn.T.TEST($O28:$O43,R28:R43,2,3),""))</f>
        <v>8.1096938312434225E-2</v>
      </c>
      <c r="S60" s="83">
        <f>IF(S59="MW",[1]!MTEST($O28:$O43,S28:S43,2), IF(S59="T-Test Welch",_xlfn.T.TEST($O28:$O43,S28:S43,2,3),""))</f>
        <v>0.94672873464810392</v>
      </c>
      <c r="T60" s="83">
        <f>IF(T59="MW",[1]!MTEST($O28:$O43,T28:T43,2), IF(T59="T-Test Welch",_xlfn.T.TEST($O28:$O43,T28:T43,2,3),""))</f>
        <v>0.85035748945726586</v>
      </c>
      <c r="U60" s="83">
        <f>IF(U59="MW",[1]!MTEST($O28:$O43,U28:U43,2), IF(U59="T-Test Welch",_xlfn.T.TEST($O28:$O43,U28:U43,2,3),""))</f>
        <v>6.0517226253797851E-4</v>
      </c>
      <c r="V60" s="83">
        <f>IF(V59="MW",[1]!MTEST($O28:$O43,V28:V43,2), IF(V59="T-Test Welch",_xlfn.T.TEST($O28:$O43,V28:V43,2,3),""))</f>
        <v>5.7253994041487987E-5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46">IF(C60&gt;0.05,"NS",IF(C60&gt;0.01,"*",IF(C60&gt;0.001,"**","***")))</f>
        <v>NS</v>
      </c>
      <c r="D61" s="79" t="str">
        <f t="shared" si="46"/>
        <v>NS</v>
      </c>
      <c r="E61" s="79" t="str">
        <f t="shared" si="46"/>
        <v>**</v>
      </c>
      <c r="F61" s="79" t="str">
        <f t="shared" si="46"/>
        <v>**</v>
      </c>
      <c r="G61" s="79" t="str">
        <f t="shared" si="46"/>
        <v>**</v>
      </c>
      <c r="H61" s="79" t="str">
        <f t="shared" si="46"/>
        <v>***</v>
      </c>
      <c r="I61" s="79" t="str">
        <f t="shared" si="46"/>
        <v>*</v>
      </c>
      <c r="J61" s="79" t="str">
        <f t="shared" si="46"/>
        <v>*</v>
      </c>
      <c r="K61" s="79" t="str">
        <f t="shared" si="46"/>
        <v>*</v>
      </c>
      <c r="L61" s="79" t="str">
        <f t="shared" si="46"/>
        <v>*</v>
      </c>
      <c r="M61" s="79" t="str">
        <f t="shared" si="46"/>
        <v>*</v>
      </c>
      <c r="N61" s="79"/>
      <c r="O61" s="79" t="str">
        <f t="shared" si="46"/>
        <v>NS</v>
      </c>
      <c r="P61" s="79" t="str">
        <f>IF(P60&gt;0.05,"NS",IF(P60&gt;0.01,"*",IF(P60&gt;0.001,"**","***")))</f>
        <v>***</v>
      </c>
      <c r="Q61" s="79" t="str">
        <f t="shared" ref="Q61:V61" si="47">IF(Q60&gt;0.05,"NS",IF(Q60&gt;0.01,"*",IF(Q60&gt;0.001,"**","***")))</f>
        <v>***</v>
      </c>
      <c r="R61" s="79" t="str">
        <f t="shared" si="47"/>
        <v>NS</v>
      </c>
      <c r="S61" s="79" t="str">
        <f t="shared" si="47"/>
        <v>NS</v>
      </c>
      <c r="T61" s="79" t="str">
        <f t="shared" si="47"/>
        <v>NS</v>
      </c>
      <c r="U61" s="79" t="str">
        <f t="shared" si="47"/>
        <v>***</v>
      </c>
      <c r="V61" s="79" t="str">
        <f t="shared" si="47"/>
        <v>***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19"/>
  <sheetViews>
    <sheetView showGridLines="0" topLeftCell="K91" zoomScale="70" zoomScaleNormal="70" workbookViewId="0">
      <selection activeCell="P99" sqref="P99"/>
    </sheetView>
  </sheetViews>
  <sheetFormatPr baseColWidth="10" defaultColWidth="10.90625" defaultRowHeight="14.5" x14ac:dyDescent="0.35"/>
  <cols>
    <col min="1" max="1" width="42.81640625" customWidth="1"/>
    <col min="2" max="2" width="14" bestFit="1" customWidth="1"/>
    <col min="3" max="13" width="22.7265625" bestFit="1" customWidth="1"/>
    <col min="14" max="14" width="8.453125" customWidth="1"/>
    <col min="15" max="15" width="22.7265625" customWidth="1"/>
    <col min="18" max="22" width="29.1796875" customWidth="1"/>
  </cols>
  <sheetData>
    <row r="1" spans="1:22" s="1" customFormat="1" ht="21.5" thickBot="1" x14ac:dyDescent="0.4">
      <c r="A1" s="22"/>
      <c r="B1" s="39"/>
      <c r="C1" s="23"/>
      <c r="D1" s="23"/>
      <c r="E1" s="23"/>
      <c r="F1" s="23"/>
      <c r="G1" s="23"/>
      <c r="H1" s="40"/>
      <c r="I1" s="39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8" customFormat="1" ht="15" thickBot="1" x14ac:dyDescent="0.4"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55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/>
      <c r="B4" s="20" t="str">
        <f>'R1'!B4</f>
        <v>Solvent control</v>
      </c>
      <c r="C4" s="20" t="str">
        <f>'R1'!C4</f>
        <v>EE2-33.8ng/L</v>
      </c>
      <c r="D4" s="20" t="str">
        <f>'R1'!D4</f>
        <v>EE2-50.6ng/L</v>
      </c>
      <c r="E4" s="20" t="str">
        <f>'R1'!E4</f>
        <v>EE2-76ng/L</v>
      </c>
      <c r="F4" s="20" t="str">
        <f>'R1'!F4</f>
        <v>EE2-114ng/L</v>
      </c>
      <c r="G4" s="20" t="str">
        <f>'R1'!G4</f>
        <v>EE2-170.9ng/L</v>
      </c>
      <c r="H4" s="20" t="str">
        <f>'R1'!H4</f>
        <v>EE2-488ng/L</v>
      </c>
      <c r="I4" s="20" t="str">
        <f>'R1'!I4</f>
        <v>Fadrozole-0,016ug/L</v>
      </c>
      <c r="J4" s="20" t="str">
        <f>'R1'!J4</f>
        <v>Fadrozole-0,08ug/L</v>
      </c>
      <c r="K4" s="20" t="str">
        <f>'R1'!K4</f>
        <v>Fadrozole-0,4ug/L</v>
      </c>
      <c r="L4" s="20" t="str">
        <f>'R1'!L4</f>
        <v>Fadrozole-2ug/L</v>
      </c>
      <c r="M4" s="20" t="str">
        <f>'R1'!M4</f>
        <v>Fadrozole-10ug/L</v>
      </c>
      <c r="O4" s="20" t="str">
        <f>'R1'!O4</f>
        <v>Testo -30µg/L</v>
      </c>
      <c r="P4" s="20" t="str">
        <f>'R1'!P4</f>
        <v>Testo 30µg/L + EE2 -64ng/L</v>
      </c>
      <c r="Q4" s="20" t="str">
        <f>'R1'!Q4</f>
        <v>Testo 30µg/L + FAD-10mg/L</v>
      </c>
      <c r="R4" s="20" t="str">
        <f>'R1'!R4</f>
        <v>Fadrozole-0,016ug/L + Testostérone</v>
      </c>
      <c r="S4" s="20" t="str">
        <f>'R1'!S4</f>
        <v>Fadrozole-0,08ug/L + Testostérone</v>
      </c>
      <c r="T4" s="20" t="str">
        <f>'R1'!T4</f>
        <v>Fadrozole-0,4ug/L + Testostérone</v>
      </c>
      <c r="U4" s="20" t="str">
        <f>'R1'!U4</f>
        <v>Fadrozole-2ug/L + Testostérone</v>
      </c>
      <c r="V4" s="20" t="str">
        <f>'R1'!V4</f>
        <v>Fadrozole-10ug/L + Testostérone</v>
      </c>
    </row>
    <row r="5" spans="1:22" s="1" customFormat="1" x14ac:dyDescent="0.35">
      <c r="A5" s="19"/>
      <c r="B5" s="20"/>
      <c r="C5" s="115"/>
      <c r="D5" s="20"/>
      <c r="E5" s="20"/>
      <c r="F5" s="20"/>
      <c r="G5" s="20"/>
      <c r="H5" s="20"/>
      <c r="I5" s="20"/>
      <c r="J5" s="20"/>
      <c r="K5" s="20"/>
      <c r="L5" s="20"/>
      <c r="M5" s="20"/>
      <c r="O5" s="20"/>
      <c r="P5" s="20"/>
      <c r="Q5" s="20"/>
      <c r="R5" s="20"/>
      <c r="S5" s="20"/>
      <c r="T5" s="20"/>
      <c r="U5" s="20"/>
      <c r="V5" s="20"/>
    </row>
    <row r="6" spans="1:22" s="1" customFormat="1" x14ac:dyDescent="0.35">
      <c r="A6" s="54" t="s">
        <v>3</v>
      </c>
      <c r="B6" s="37">
        <f>'R1'!B28</f>
        <v>1.3150595870411973E-2</v>
      </c>
      <c r="C6" s="37">
        <f>'R1'!C28</f>
        <v>0.92970691186458387</v>
      </c>
      <c r="D6" s="37">
        <f>'R1'!D28</f>
        <v>0.56153295137256265</v>
      </c>
      <c r="E6" s="37">
        <f>'R1'!E28</f>
        <v>0.56180044000952001</v>
      </c>
      <c r="F6" s="37">
        <f>'R1'!F28</f>
        <v>4.5338831710870791</v>
      </c>
      <c r="G6" s="37">
        <f>'R1'!G28</f>
        <v>6.1451594889388108</v>
      </c>
      <c r="H6" s="37">
        <f>'R1'!H28</f>
        <v>5.9189885585915052</v>
      </c>
      <c r="I6" s="37">
        <f>'R1'!I28</f>
        <v>2.5448571710522498E-2</v>
      </c>
      <c r="J6" s="37">
        <f>'R1'!J28</f>
        <v>0.10170791030307252</v>
      </c>
      <c r="K6" s="37">
        <f>'R1'!K28</f>
        <v>0.15732975753037401</v>
      </c>
      <c r="L6" s="37">
        <f>'R1'!L28</f>
        <v>1.0191502824071655E-2</v>
      </c>
      <c r="M6" s="37">
        <f>'R1'!M28</f>
        <v>3.1632388880181578E-2</v>
      </c>
      <c r="N6"/>
      <c r="O6" s="37">
        <f>'R1'!O28</f>
        <v>1.0427960921581945</v>
      </c>
      <c r="P6" s="37">
        <f>'R1'!P28</f>
        <v>8.2648137505877433</v>
      </c>
      <c r="Q6" s="37">
        <f>'R1'!Q28</f>
        <v>7.0343938839837694E-2</v>
      </c>
      <c r="R6" s="37">
        <f>'R1'!R28</f>
        <v>1.7526979317230611</v>
      </c>
      <c r="S6" s="37">
        <f>'R1'!S28</f>
        <v>1.4099391068619427</v>
      </c>
      <c r="T6" s="37">
        <f>'R1'!T28</f>
        <v>0.55647110043014125</v>
      </c>
      <c r="U6" s="37">
        <f>'R1'!U28</f>
        <v>6.2158600792945919E-2</v>
      </c>
      <c r="V6" s="37">
        <f>'R1'!V28</f>
        <v>0.13248953671293151</v>
      </c>
    </row>
    <row r="7" spans="1:22" s="1" customFormat="1" x14ac:dyDescent="0.35">
      <c r="A7" s="144"/>
      <c r="B7" s="37">
        <f>'R1'!B29</f>
        <v>2.6357847320179487E-2</v>
      </c>
      <c r="C7" s="37">
        <f>'R1'!C29</f>
        <v>6.7529735471849262E-2</v>
      </c>
      <c r="D7" s="37">
        <f>'R1'!D29</f>
        <v>1.5109560048528754</v>
      </c>
      <c r="E7" s="37">
        <f>'R1'!E29</f>
        <v>1.0377704636353611</v>
      </c>
      <c r="F7" s="37">
        <f>'R1'!F29</f>
        <v>1.6079354962297336</v>
      </c>
      <c r="G7" s="37">
        <f>'R1'!G29</f>
        <v>5.152702343428011</v>
      </c>
      <c r="H7" s="37">
        <f>'R1'!H29</f>
        <v>8.3432399328956457</v>
      </c>
      <c r="I7" s="37">
        <f>'R1'!I29</f>
        <v>0.15090631512344066</v>
      </c>
      <c r="J7" s="37">
        <f>'R1'!J29</f>
        <v>5.723978196889748E-2</v>
      </c>
      <c r="K7" s="37">
        <f>'R1'!K29</f>
        <v>5.8003239120213157E-2</v>
      </c>
      <c r="L7" s="37">
        <f>'R1'!L29</f>
        <v>7.9596445094590434E-2</v>
      </c>
      <c r="M7" s="37">
        <f>'R1'!M29</f>
        <v>9.1277711021716043E-2</v>
      </c>
      <c r="N7"/>
      <c r="O7" s="37">
        <f>'R1'!O29</f>
        <v>1.0581348936837156</v>
      </c>
      <c r="P7" s="37">
        <f>'R1'!P29</f>
        <v>3.5037862877244308</v>
      </c>
      <c r="Q7" s="37">
        <f>'R1'!Q29</f>
        <v>7.889800254253522E-2</v>
      </c>
      <c r="R7" s="37">
        <f>'R1'!R29</f>
        <v>2.901534692835043</v>
      </c>
      <c r="S7" s="37">
        <f>'R1'!S29</f>
        <v>0.5606877615821767</v>
      </c>
      <c r="T7" s="37">
        <f>'R1'!T29</f>
        <v>7.1429682647487364E-2</v>
      </c>
      <c r="U7" s="37">
        <f>'R1'!U29</f>
        <v>7.9540718295224334E-3</v>
      </c>
      <c r="V7" s="37">
        <f>'R1'!V29</f>
        <v>0.63379110577062614</v>
      </c>
    </row>
    <row r="8" spans="1:22" s="1" customFormat="1" x14ac:dyDescent="0.35">
      <c r="A8" s="145"/>
      <c r="B8" s="37">
        <f>'R1'!B30</f>
        <v>0.11285884285623066</v>
      </c>
      <c r="C8" s="37">
        <f>'R1'!C30</f>
        <v>8.6587372075068642E-2</v>
      </c>
      <c r="D8" s="37">
        <f>'R1'!D30</f>
        <v>0.17861739488822714</v>
      </c>
      <c r="E8" s="37">
        <f>'R1'!E30</f>
        <v>1.8435558341895524</v>
      </c>
      <c r="F8" s="37">
        <f>'R1'!F30</f>
        <v>4.2662905107709452</v>
      </c>
      <c r="G8" s="37">
        <f>'R1'!G30</f>
        <v>4.1558873622067809</v>
      </c>
      <c r="H8" s="37">
        <f>'R1'!H30</f>
        <v>6.7023151002211661</v>
      </c>
      <c r="I8" s="37">
        <f>'R1'!I30</f>
        <v>0.14331260992981906</v>
      </c>
      <c r="J8" s="37">
        <f>'R1'!J30</f>
        <v>0.30937011302091494</v>
      </c>
      <c r="K8" s="37">
        <f>'R1'!K30</f>
        <v>9.1849839495208072E-2</v>
      </c>
      <c r="L8" s="37">
        <f>'R1'!L30</f>
        <v>0.12999204732134045</v>
      </c>
      <c r="M8" s="37">
        <f>'R1'!M30</f>
        <v>7.9817494732076E-2</v>
      </c>
      <c r="N8"/>
      <c r="O8" s="37">
        <f>'R1'!O30</f>
        <v>1.8375717047176219</v>
      </c>
      <c r="P8" s="37">
        <f>'R1'!P30</f>
        <v>2.8144559961455631</v>
      </c>
      <c r="Q8" s="37">
        <f>'R1'!Q30</f>
        <v>7.3799000400536371E-2</v>
      </c>
      <c r="R8" s="37">
        <f>'R1'!R30</f>
        <v>7.8092750291694962E-2</v>
      </c>
      <c r="S8" s="37">
        <f>'R1'!S30</f>
        <v>1.3954594268266489</v>
      </c>
      <c r="T8" s="37">
        <f>'R1'!T30</f>
        <v>4.3316441147275481E-2</v>
      </c>
      <c r="U8" s="37">
        <f>'R1'!U30</f>
        <v>0.12602801432643135</v>
      </c>
      <c r="V8" s="37">
        <f>'R1'!V30</f>
        <v>0.13626316981000644</v>
      </c>
    </row>
    <row r="9" spans="1:22" s="1" customFormat="1" x14ac:dyDescent="0.35">
      <c r="A9" s="145"/>
      <c r="B9" s="37">
        <f>'R1'!B31</f>
        <v>8.0315320806413223E-2</v>
      </c>
      <c r="C9" s="37">
        <f>'R1'!C31</f>
        <v>0.10610475477305842</v>
      </c>
      <c r="D9" s="37">
        <f>'R1'!D31</f>
        <v>0.89111981842351207</v>
      </c>
      <c r="E9" s="37">
        <f>'R1'!E31</f>
        <v>2.0062808746785552</v>
      </c>
      <c r="F9" s="37">
        <f>'R1'!F31</f>
        <v>7.1121457720193417</v>
      </c>
      <c r="G9" s="37">
        <f>'R1'!G31</f>
        <v>4.4996808479761308</v>
      </c>
      <c r="H9" s="37">
        <f>'R1'!H31</f>
        <v>5.438759149934115</v>
      </c>
      <c r="I9" s="37">
        <f>'R1'!I31</f>
        <v>0.10635738293018476</v>
      </c>
      <c r="J9" s="37">
        <f>'R1'!J31</f>
        <v>9.2218565151013815E-2</v>
      </c>
      <c r="K9" s="37">
        <f>'R1'!K31</f>
        <v>0.45552664727838438</v>
      </c>
      <c r="L9" s="37">
        <f>'R1'!L31</f>
        <v>6.0277821314339786E-2</v>
      </c>
      <c r="M9" s="37">
        <f>'R1'!M31</f>
        <v>4.1910268243270696E-2</v>
      </c>
      <c r="N9"/>
      <c r="O9" s="37">
        <f>'R1'!O31</f>
        <v>0.36641949509197824</v>
      </c>
      <c r="P9" s="37">
        <f>'R1'!P31</f>
        <v>5.8157500188658435</v>
      </c>
      <c r="Q9" s="37">
        <f>'R1'!Q31</f>
        <v>0.20714858738368483</v>
      </c>
      <c r="R9" s="37">
        <f>'R1'!R31</f>
        <v>1.6182226633927173</v>
      </c>
      <c r="S9" s="37">
        <f>'R1'!S31</f>
        <v>2.2075484271691366</v>
      </c>
      <c r="T9" s="37">
        <f>'R1'!T31</f>
        <v>0.75135793439330345</v>
      </c>
      <c r="U9" s="37">
        <f>'R1'!U31</f>
        <v>0.50139723339660647</v>
      </c>
      <c r="V9" s="37">
        <f>'R1'!V31</f>
        <v>0.37912706290742965</v>
      </c>
    </row>
    <row r="10" spans="1:22" s="1" customFormat="1" x14ac:dyDescent="0.35">
      <c r="A10" s="145"/>
      <c r="B10" s="37">
        <f>'R1'!B32</f>
        <v>0.16167551910094097</v>
      </c>
      <c r="C10" s="37">
        <f>'R1'!C32</f>
        <v>0.20183782340409476</v>
      </c>
      <c r="D10" s="37">
        <f>'R1'!D32</f>
        <v>0.7776702714940007</v>
      </c>
      <c r="E10" s="37">
        <f>'R1'!E32</f>
        <v>4.4148980954205346</v>
      </c>
      <c r="F10" s="37">
        <f>'R1'!F32</f>
        <v>1.5278300797009328</v>
      </c>
      <c r="G10" s="37">
        <f>'R1'!G32</f>
        <v>2.545861182220829</v>
      </c>
      <c r="H10" s="37">
        <f>'R1'!H32</f>
        <v>4.7792584852759346</v>
      </c>
      <c r="I10" s="37">
        <f>'R1'!I32</f>
        <v>0.13284340188890631</v>
      </c>
      <c r="J10" s="37">
        <f>'R1'!J32</f>
        <v>0.65738118872228901</v>
      </c>
      <c r="K10" s="37">
        <f>'R1'!K32</f>
        <v>6.4383028867643043E-3</v>
      </c>
      <c r="L10" s="37">
        <f>'R1'!L32</f>
        <v>0.28811684052267095</v>
      </c>
      <c r="M10" s="37">
        <f>'R1'!M32</f>
        <v>6.7810227028658673E-2</v>
      </c>
      <c r="N10"/>
      <c r="O10" s="37">
        <f>'R1'!O32</f>
        <v>3.5073360848440522</v>
      </c>
      <c r="P10" s="37">
        <f>'R1'!P32</f>
        <v>3.3273023004719362</v>
      </c>
      <c r="Q10" s="37">
        <f>'R1'!Q32</f>
        <v>1.7788923137651E-2</v>
      </c>
      <c r="R10" s="37">
        <f>'R1'!R32</f>
        <v>0.65808613273427019</v>
      </c>
      <c r="S10" s="37">
        <f>'R1'!S32</f>
        <v>0.18939588666562179</v>
      </c>
      <c r="T10" s="37">
        <f>'R1'!T32</f>
        <v>0.27093719705808939</v>
      </c>
      <c r="U10" s="37">
        <f>'R1'!U32</f>
        <v>0.30443829127701444</v>
      </c>
      <c r="V10" s="37">
        <f>'R1'!V32</f>
        <v>0.14276741607602064</v>
      </c>
    </row>
    <row r="11" spans="1:22" s="1" customFormat="1" x14ac:dyDescent="0.35">
      <c r="A11" s="145"/>
      <c r="B11" s="37">
        <f>'R1'!B33</f>
        <v>5.7132972270112443E-2</v>
      </c>
      <c r="C11" s="37">
        <f>'R1'!C33</f>
        <v>6.1083073565180036E-2</v>
      </c>
      <c r="D11" s="37">
        <f>'R1'!D33</f>
        <v>1.6608267302880959</v>
      </c>
      <c r="E11" s="37">
        <f>'R1'!E33</f>
        <v>2.9178106333699039</v>
      </c>
      <c r="F11" s="37">
        <f>'R1'!F33</f>
        <v>2.4843824483801495</v>
      </c>
      <c r="G11" s="37">
        <f>'R1'!G33</f>
        <v>2.8591832540967905</v>
      </c>
      <c r="H11" s="37">
        <f>'R1'!H33</f>
        <v>6.6920344345181082</v>
      </c>
      <c r="I11" s="37">
        <f>'R1'!I33</f>
        <v>0.14716054542604878</v>
      </c>
      <c r="J11" s="37">
        <f>'R1'!J33</f>
        <v>0.16163558156139526</v>
      </c>
      <c r="K11" s="37">
        <f>'R1'!K33</f>
        <v>0.19091815706830598</v>
      </c>
      <c r="L11" s="37">
        <f>'R1'!L33</f>
        <v>1.78762284566579E-2</v>
      </c>
      <c r="M11" s="37">
        <f>'R1'!M33</f>
        <v>0.16622375470920478</v>
      </c>
      <c r="N11"/>
      <c r="O11" s="37">
        <f>'R1'!O33</f>
        <v>1.0948960056655579</v>
      </c>
      <c r="P11" s="37">
        <f>'R1'!P33</f>
        <v>2.8138931554719653</v>
      </c>
      <c r="Q11" s="37">
        <f>'R1'!Q33</f>
        <v>0.2296324933679304</v>
      </c>
      <c r="R11" s="37" t="str">
        <f>'R1'!R33</f>
        <v/>
      </c>
      <c r="S11" s="37">
        <f>'R1'!S33</f>
        <v>2.4406480562376282E-2</v>
      </c>
      <c r="T11" s="37">
        <f>'R1'!T33</f>
        <v>0.29337280648288433</v>
      </c>
      <c r="U11" s="37">
        <f>'R1'!U33</f>
        <v>0.28698187137558123</v>
      </c>
      <c r="V11" s="37">
        <f>'R1'!V33</f>
        <v>0.17723629904393709</v>
      </c>
    </row>
    <row r="12" spans="1:22" s="1" customFormat="1" x14ac:dyDescent="0.35">
      <c r="A12" s="145"/>
      <c r="B12" s="37">
        <f>'R1'!B34</f>
        <v>6.6873088019318627E-2</v>
      </c>
      <c r="C12" s="37">
        <f>'R1'!C34</f>
        <v>0.18550336972989917</v>
      </c>
      <c r="D12" s="37">
        <f>'R1'!D34</f>
        <v>1.2493883403282076</v>
      </c>
      <c r="E12" s="37">
        <f>'R1'!E34</f>
        <v>2.1808199966331725</v>
      </c>
      <c r="F12" s="37">
        <f>'R1'!F34</f>
        <v>4.5287581631053762</v>
      </c>
      <c r="G12" s="37">
        <f>'R1'!G34</f>
        <v>4.3042088826196236</v>
      </c>
      <c r="H12" s="37">
        <f>'R1'!H34</f>
        <v>3.3403915968630455</v>
      </c>
      <c r="I12" s="37">
        <f>'R1'!I34</f>
        <v>8.6670033494128371E-2</v>
      </c>
      <c r="J12" s="37">
        <f>'R1'!J34</f>
        <v>9.8079166884349478E-2</v>
      </c>
      <c r="K12" s="37">
        <f>'R1'!K34</f>
        <v>0.34982405424075136</v>
      </c>
      <c r="L12" s="37">
        <f>'R1'!L34</f>
        <v>4.5306816664634958E-2</v>
      </c>
      <c r="M12" s="37">
        <f>'R1'!M34</f>
        <v>0.10419425433479036</v>
      </c>
      <c r="N12"/>
      <c r="O12" s="37">
        <f>'R1'!O34</f>
        <v>0.1474911911022877</v>
      </c>
      <c r="P12" s="37">
        <f>'R1'!P34</f>
        <v>4.7471449883612253</v>
      </c>
      <c r="Q12" s="37">
        <f>'R1'!Q34</f>
        <v>0.2321680627390883</v>
      </c>
      <c r="R12" s="37" t="str">
        <f>'R1'!R34</f>
        <v/>
      </c>
      <c r="S12" s="37">
        <f>'R1'!S34</f>
        <v>0.25124148860212808</v>
      </c>
      <c r="T12" s="37">
        <f>'R1'!T34</f>
        <v>0.13820896388787304</v>
      </c>
      <c r="U12" s="37">
        <f>'R1'!U34</f>
        <v>5.9676900661175258E-2</v>
      </c>
      <c r="V12" s="37">
        <f>'R1'!V34</f>
        <v>6.038555979311426E-2</v>
      </c>
    </row>
    <row r="13" spans="1:22" s="1" customFormat="1" x14ac:dyDescent="0.35">
      <c r="A13" s="145"/>
      <c r="B13" s="37">
        <f>'R1'!B35</f>
        <v>0.14895773470560578</v>
      </c>
      <c r="C13" s="37">
        <f>'R1'!C35</f>
        <v>0.2023384358184003</v>
      </c>
      <c r="D13" s="37">
        <f>'R1'!D35</f>
        <v>0.12795244646454093</v>
      </c>
      <c r="E13" s="37">
        <f>'R1'!E35</f>
        <v>1.6738742315796806</v>
      </c>
      <c r="F13" s="37">
        <f>'R1'!F35</f>
        <v>3.4659988738542626</v>
      </c>
      <c r="G13" s="37">
        <f>'R1'!G35</f>
        <v>5.6883065438355134</v>
      </c>
      <c r="H13" s="37">
        <f>'R1'!H35</f>
        <v>9.9797623484202038</v>
      </c>
      <c r="I13" s="37">
        <f>'R1'!I35</f>
        <v>2.6930904573660961E-2</v>
      </c>
      <c r="J13" s="37">
        <f>'R1'!J35</f>
        <v>3.4849682763584862E-2</v>
      </c>
      <c r="K13" s="37">
        <f>'R1'!K35</f>
        <v>5.5323708850692814E-2</v>
      </c>
      <c r="L13" s="37">
        <f>'R1'!L35</f>
        <v>7.4490012712676107E-2</v>
      </c>
      <c r="M13" s="37">
        <f>'R1'!M35</f>
        <v>0.20561610040111686</v>
      </c>
      <c r="N13"/>
      <c r="O13" s="37">
        <f>'R1'!O35</f>
        <v>0.70929999013171263</v>
      </c>
      <c r="P13" s="37" t="str">
        <f>'R1'!P35</f>
        <v/>
      </c>
      <c r="Q13" s="37">
        <f>'R1'!Q35</f>
        <v>1.2760508274849218E-2</v>
      </c>
      <c r="R13" s="37" t="str">
        <f>'R1'!R35</f>
        <v/>
      </c>
      <c r="S13" s="37">
        <f>'R1'!S35</f>
        <v>0.96954135683146703</v>
      </c>
      <c r="T13" s="37" t="str">
        <f>'R1'!T35</f>
        <v/>
      </c>
      <c r="U13" s="37">
        <f>'R1'!U35</f>
        <v>0.38723809855516661</v>
      </c>
      <c r="V13" s="37">
        <f>'R1'!V35</f>
        <v>4.9729666974325036E-2</v>
      </c>
    </row>
    <row r="14" spans="1:22" s="1" customFormat="1" x14ac:dyDescent="0.35">
      <c r="A14" s="145"/>
      <c r="B14" s="37" t="str">
        <f>'R1'!B36</f>
        <v/>
      </c>
      <c r="C14" s="37" t="str">
        <f>'R1'!C36</f>
        <v/>
      </c>
      <c r="D14" s="37" t="str">
        <f>'R1'!D36</f>
        <v/>
      </c>
      <c r="E14" s="37" t="str">
        <f>'R1'!E36</f>
        <v/>
      </c>
      <c r="F14" s="37" t="str">
        <f>'R1'!F36</f>
        <v/>
      </c>
      <c r="G14" s="37" t="str">
        <f>'R1'!G36</f>
        <v/>
      </c>
      <c r="H14" s="37" t="str">
        <f>'R1'!H36</f>
        <v/>
      </c>
      <c r="I14" s="37" t="str">
        <f>'R1'!I36</f>
        <v/>
      </c>
      <c r="J14" s="37" t="str">
        <f>'R1'!J36</f>
        <v/>
      </c>
      <c r="K14" s="37" t="str">
        <f>'R1'!K36</f>
        <v/>
      </c>
      <c r="L14" s="37" t="str">
        <f>'R1'!L36</f>
        <v/>
      </c>
      <c r="M14" s="37" t="str">
        <f>'R1'!M36</f>
        <v/>
      </c>
      <c r="N14"/>
      <c r="O14" s="37">
        <f>'R1'!O36</f>
        <v>1.4516125362079073</v>
      </c>
      <c r="P14" s="37" t="str">
        <f>'R1'!P36</f>
        <v/>
      </c>
      <c r="Q14" s="37" t="str">
        <f>'R1'!Q36</f>
        <v/>
      </c>
      <c r="R14" s="37" t="str">
        <f>'R1'!R36</f>
        <v/>
      </c>
      <c r="S14" s="37" t="str">
        <f>'R1'!S36</f>
        <v/>
      </c>
      <c r="T14" s="37" t="str">
        <f>'R1'!T36</f>
        <v/>
      </c>
      <c r="U14" s="37" t="str">
        <f>'R1'!U36</f>
        <v/>
      </c>
      <c r="V14" s="37" t="str">
        <f>'R1'!V36</f>
        <v/>
      </c>
    </row>
    <row r="15" spans="1:22" s="1" customFormat="1" x14ac:dyDescent="0.35">
      <c r="A15" s="145"/>
      <c r="B15" s="37" t="str">
        <f>'R1'!B37</f>
        <v/>
      </c>
      <c r="C15" s="37" t="str">
        <f>'R1'!C37</f>
        <v/>
      </c>
      <c r="D15" s="37" t="str">
        <f>'R1'!D37</f>
        <v/>
      </c>
      <c r="E15" s="37" t="str">
        <f>'R1'!E37</f>
        <v/>
      </c>
      <c r="F15" s="37" t="str">
        <f>'R1'!F37</f>
        <v/>
      </c>
      <c r="G15" s="37" t="str">
        <f>'R1'!G37</f>
        <v/>
      </c>
      <c r="H15" s="37" t="str">
        <f>'R1'!H37</f>
        <v/>
      </c>
      <c r="I15" s="37" t="str">
        <f>'R1'!I37</f>
        <v/>
      </c>
      <c r="J15" s="37" t="str">
        <f>'R1'!J37</f>
        <v/>
      </c>
      <c r="K15" s="37" t="str">
        <f>'R1'!K37</f>
        <v/>
      </c>
      <c r="L15" s="37" t="str">
        <f>'R1'!L37</f>
        <v/>
      </c>
      <c r="M15" s="37" t="str">
        <f>'R1'!M37</f>
        <v/>
      </c>
      <c r="N15"/>
      <c r="O15" s="37">
        <f>'R1'!O37</f>
        <v>1.3918724785074506</v>
      </c>
      <c r="P15" s="37" t="str">
        <f>'R1'!P37</f>
        <v/>
      </c>
      <c r="Q15" s="37" t="str">
        <f>'R1'!Q37</f>
        <v/>
      </c>
      <c r="R15" s="37" t="str">
        <f>'R1'!R37</f>
        <v/>
      </c>
      <c r="S15" s="37" t="str">
        <f>'R1'!S37</f>
        <v/>
      </c>
      <c r="T15" s="37" t="str">
        <f>'R1'!T37</f>
        <v/>
      </c>
      <c r="U15" s="37" t="str">
        <f>'R1'!U37</f>
        <v/>
      </c>
      <c r="V15" s="37" t="str">
        <f>'R1'!V37</f>
        <v/>
      </c>
    </row>
    <row r="16" spans="1:22" s="1" customFormat="1" x14ac:dyDescent="0.35">
      <c r="A16" s="145"/>
      <c r="B16" s="37" t="str">
        <f>'R1'!B38</f>
        <v/>
      </c>
      <c r="C16" s="37" t="str">
        <f>'R1'!C38</f>
        <v/>
      </c>
      <c r="D16" s="37" t="str">
        <f>'R1'!D38</f>
        <v/>
      </c>
      <c r="E16" s="37" t="str">
        <f>'R1'!E38</f>
        <v/>
      </c>
      <c r="F16" s="37" t="str">
        <f>'R1'!F38</f>
        <v/>
      </c>
      <c r="G16" s="37" t="str">
        <f>'R1'!G38</f>
        <v/>
      </c>
      <c r="H16" s="37" t="str">
        <f>'R1'!H38</f>
        <v/>
      </c>
      <c r="I16" s="37" t="str">
        <f>'R1'!I38</f>
        <v/>
      </c>
      <c r="J16" s="37" t="str">
        <f>'R1'!J38</f>
        <v/>
      </c>
      <c r="K16" s="37" t="str">
        <f>'R1'!K38</f>
        <v/>
      </c>
      <c r="L16" s="37" t="str">
        <f>'R1'!L38</f>
        <v/>
      </c>
      <c r="M16" s="37" t="str">
        <f>'R1'!M38</f>
        <v/>
      </c>
      <c r="N16"/>
      <c r="O16" s="37">
        <f>'R1'!O38</f>
        <v>1.6261748776622609</v>
      </c>
      <c r="P16" s="37" t="str">
        <f>'R1'!P38</f>
        <v/>
      </c>
      <c r="Q16" s="37" t="str">
        <f>'R1'!Q38</f>
        <v/>
      </c>
      <c r="R16" s="37" t="str">
        <f>'R1'!R38</f>
        <v/>
      </c>
      <c r="S16" s="37" t="str">
        <f>'R1'!S38</f>
        <v/>
      </c>
      <c r="T16" s="37" t="str">
        <f>'R1'!T38</f>
        <v/>
      </c>
      <c r="U16" s="37" t="str">
        <f>'R1'!U38</f>
        <v/>
      </c>
      <c r="V16" s="37" t="str">
        <f>'R1'!V38</f>
        <v/>
      </c>
    </row>
    <row r="17" spans="1:22" s="1" customFormat="1" x14ac:dyDescent="0.35">
      <c r="A17" s="145"/>
      <c r="B17" s="37" t="str">
        <f>'R1'!B39</f>
        <v/>
      </c>
      <c r="C17" s="37" t="str">
        <f>'R1'!C39</f>
        <v/>
      </c>
      <c r="D17" s="37" t="str">
        <f>'R1'!D39</f>
        <v/>
      </c>
      <c r="E17" s="37" t="str">
        <f>'R1'!E39</f>
        <v/>
      </c>
      <c r="F17" s="37" t="str">
        <f>'R1'!F39</f>
        <v/>
      </c>
      <c r="G17" s="37" t="str">
        <f>'R1'!G39</f>
        <v/>
      </c>
      <c r="H17" s="37" t="str">
        <f>'R1'!H39</f>
        <v/>
      </c>
      <c r="I17" s="37" t="str">
        <f>'R1'!I39</f>
        <v/>
      </c>
      <c r="J17" s="37" t="str">
        <f>'R1'!J39</f>
        <v/>
      </c>
      <c r="K17" s="37" t="str">
        <f>'R1'!K39</f>
        <v/>
      </c>
      <c r="L17" s="37" t="str">
        <f>'R1'!L39</f>
        <v/>
      </c>
      <c r="M17" s="37" t="str">
        <f>'R1'!M39</f>
        <v/>
      </c>
      <c r="N17"/>
      <c r="O17" s="37">
        <f>'R1'!O39</f>
        <v>9.1958506753971984E-3</v>
      </c>
      <c r="P17" s="37" t="str">
        <f>'R1'!P39</f>
        <v/>
      </c>
      <c r="Q17" s="37" t="str">
        <f>'R1'!Q39</f>
        <v/>
      </c>
      <c r="R17" s="37" t="str">
        <f>'R1'!R39</f>
        <v/>
      </c>
      <c r="S17" s="37" t="str">
        <f>'R1'!S39</f>
        <v/>
      </c>
      <c r="T17" s="37" t="str">
        <f>'R1'!T39</f>
        <v/>
      </c>
      <c r="U17" s="37" t="str">
        <f>'R1'!U39</f>
        <v/>
      </c>
      <c r="V17" s="37" t="str">
        <f>'R1'!V39</f>
        <v/>
      </c>
    </row>
    <row r="18" spans="1:22" s="1" customFormat="1" x14ac:dyDescent="0.35">
      <c r="A18" s="145"/>
      <c r="B18" s="37" t="str">
        <f>'R1'!B40</f>
        <v/>
      </c>
      <c r="C18" s="37" t="str">
        <f>'R1'!C40</f>
        <v/>
      </c>
      <c r="D18" s="37" t="str">
        <f>'R1'!D40</f>
        <v/>
      </c>
      <c r="E18" s="37" t="str">
        <f>'R1'!E40</f>
        <v/>
      </c>
      <c r="F18" s="37" t="str">
        <f>'R1'!F40</f>
        <v/>
      </c>
      <c r="G18" s="37" t="str">
        <f>'R1'!G40</f>
        <v/>
      </c>
      <c r="H18" s="37" t="str">
        <f>'R1'!H40</f>
        <v/>
      </c>
      <c r="I18" s="37" t="str">
        <f>'R1'!I40</f>
        <v/>
      </c>
      <c r="J18" s="37" t="str">
        <f>'R1'!J40</f>
        <v/>
      </c>
      <c r="K18" s="37" t="str">
        <f>'R1'!K40</f>
        <v/>
      </c>
      <c r="L18" s="37" t="str">
        <f>'R1'!L40</f>
        <v/>
      </c>
      <c r="M18" s="37" t="str">
        <f>'R1'!M40</f>
        <v/>
      </c>
      <c r="N18"/>
      <c r="O18" s="37">
        <f>'R1'!O40</f>
        <v>0.76892766545344782</v>
      </c>
      <c r="P18" s="37" t="str">
        <f>'R1'!P40</f>
        <v/>
      </c>
      <c r="Q18" s="37" t="str">
        <f>'R1'!Q40</f>
        <v/>
      </c>
      <c r="R18" s="37" t="str">
        <f>'R1'!R40</f>
        <v/>
      </c>
      <c r="S18" s="37" t="str">
        <f>'R1'!S40</f>
        <v/>
      </c>
      <c r="T18" s="37" t="str">
        <f>'R1'!T40</f>
        <v/>
      </c>
      <c r="U18" s="37" t="str">
        <f>'R1'!U40</f>
        <v/>
      </c>
      <c r="V18" s="37" t="str">
        <f>'R1'!V40</f>
        <v/>
      </c>
    </row>
    <row r="19" spans="1:22" s="1" customFormat="1" x14ac:dyDescent="0.35">
      <c r="A19" s="145"/>
      <c r="B19" s="37" t="str">
        <f>'R1'!B41</f>
        <v/>
      </c>
      <c r="C19" s="37" t="str">
        <f>'R1'!C41</f>
        <v/>
      </c>
      <c r="D19" s="37" t="str">
        <f>'R1'!D41</f>
        <v/>
      </c>
      <c r="E19" s="37" t="str">
        <f>'R1'!E41</f>
        <v/>
      </c>
      <c r="F19" s="37" t="str">
        <f>'R1'!F41</f>
        <v/>
      </c>
      <c r="G19" s="37" t="str">
        <f>'R1'!G41</f>
        <v/>
      </c>
      <c r="H19" s="37" t="str">
        <f>'R1'!H41</f>
        <v/>
      </c>
      <c r="I19" s="37" t="str">
        <f>'R1'!I41</f>
        <v/>
      </c>
      <c r="J19" s="37" t="str">
        <f>'R1'!J41</f>
        <v/>
      </c>
      <c r="K19" s="37" t="str">
        <f>'R1'!K41</f>
        <v/>
      </c>
      <c r="L19" s="37" t="str">
        <f>'R1'!L41</f>
        <v/>
      </c>
      <c r="M19" s="37" t="str">
        <f>'R1'!M41</f>
        <v/>
      </c>
      <c r="N19"/>
      <c r="O19" s="37">
        <f>'R1'!O41</f>
        <v>0.15449326344263914</v>
      </c>
      <c r="P19" s="37" t="str">
        <f>'R1'!P41</f>
        <v/>
      </c>
      <c r="Q19" s="37" t="str">
        <f>'R1'!Q41</f>
        <v/>
      </c>
      <c r="R19" s="37" t="str">
        <f>'R1'!R41</f>
        <v/>
      </c>
      <c r="S19" s="37" t="str">
        <f>'R1'!S41</f>
        <v/>
      </c>
      <c r="T19" s="37" t="str">
        <f>'R1'!T41</f>
        <v/>
      </c>
      <c r="U19" s="37" t="str">
        <f>'R1'!U41</f>
        <v/>
      </c>
      <c r="V19" s="37" t="str">
        <f>'R1'!V41</f>
        <v/>
      </c>
    </row>
    <row r="20" spans="1:22" s="1" customFormat="1" x14ac:dyDescent="0.35">
      <c r="A20" s="145"/>
      <c r="B20" s="37" t="str">
        <f>'R1'!B42</f>
        <v/>
      </c>
      <c r="C20" s="37" t="str">
        <f>'R1'!C42</f>
        <v/>
      </c>
      <c r="D20" s="37" t="str">
        <f>'R1'!D42</f>
        <v/>
      </c>
      <c r="E20" s="37" t="str">
        <f>'R1'!E42</f>
        <v/>
      </c>
      <c r="F20" s="37" t="str">
        <f>'R1'!F42</f>
        <v/>
      </c>
      <c r="G20" s="37" t="str">
        <f>'R1'!G42</f>
        <v/>
      </c>
      <c r="H20" s="37" t="str">
        <f>'R1'!H42</f>
        <v/>
      </c>
      <c r="I20" s="37" t="str">
        <f>'R1'!I42</f>
        <v/>
      </c>
      <c r="J20" s="37" t="str">
        <f>'R1'!J42</f>
        <v/>
      </c>
      <c r="K20" s="37" t="str">
        <f>'R1'!K42</f>
        <v/>
      </c>
      <c r="L20" s="37" t="str">
        <f>'R1'!L42</f>
        <v/>
      </c>
      <c r="M20" s="37" t="str">
        <f>'R1'!M42</f>
        <v/>
      </c>
      <c r="N20"/>
      <c r="O20" s="37">
        <f>'R1'!O42</f>
        <v>0.69543237610945674</v>
      </c>
      <c r="P20" s="37" t="str">
        <f>'R1'!P42</f>
        <v/>
      </c>
      <c r="Q20" s="37" t="str">
        <f>'R1'!Q42</f>
        <v/>
      </c>
      <c r="R20" s="37" t="str">
        <f>'R1'!R42</f>
        <v/>
      </c>
      <c r="S20" s="37" t="str">
        <f>'R1'!S42</f>
        <v/>
      </c>
      <c r="T20" s="37" t="str">
        <f>'R1'!T42</f>
        <v/>
      </c>
      <c r="U20" s="37" t="str">
        <f>'R1'!U42</f>
        <v/>
      </c>
      <c r="V20" s="37" t="str">
        <f>'R1'!V42</f>
        <v/>
      </c>
    </row>
    <row r="21" spans="1:22" s="1" customFormat="1" x14ac:dyDescent="0.35">
      <c r="A21" s="146"/>
      <c r="B21" s="37" t="str">
        <f>'R1'!B43</f>
        <v/>
      </c>
      <c r="C21" s="37" t="str">
        <f>'R1'!C43</f>
        <v/>
      </c>
      <c r="D21" s="37" t="str">
        <f>'R1'!D43</f>
        <v/>
      </c>
      <c r="E21" s="37" t="str">
        <f>'R1'!E43</f>
        <v/>
      </c>
      <c r="F21" s="37" t="str">
        <f>'R1'!F43</f>
        <v/>
      </c>
      <c r="G21" s="37" t="str">
        <f>'R1'!G43</f>
        <v/>
      </c>
      <c r="H21" s="37" t="str">
        <f>'R1'!H43</f>
        <v/>
      </c>
      <c r="I21" s="37" t="str">
        <f>'R1'!I43</f>
        <v/>
      </c>
      <c r="J21" s="37" t="str">
        <f>'R1'!J43</f>
        <v/>
      </c>
      <c r="K21" s="37" t="str">
        <f>'R1'!K43</f>
        <v/>
      </c>
      <c r="L21" s="37" t="str">
        <f>'R1'!L43</f>
        <v/>
      </c>
      <c r="M21" s="37" t="str">
        <f>'R1'!M43</f>
        <v/>
      </c>
      <c r="N21"/>
      <c r="O21" s="37">
        <f>'R1'!O43</f>
        <v>0.13834549454632</v>
      </c>
      <c r="P21" s="37" t="str">
        <f>'R1'!P43</f>
        <v/>
      </c>
      <c r="Q21" s="37" t="str">
        <f>'R1'!Q43</f>
        <v/>
      </c>
      <c r="R21" s="37" t="str">
        <f>'R1'!R43</f>
        <v/>
      </c>
      <c r="S21" s="37" t="str">
        <f>'R1'!S43</f>
        <v/>
      </c>
      <c r="T21" s="37" t="str">
        <f>'R1'!T43</f>
        <v/>
      </c>
      <c r="U21" s="37" t="str">
        <f>'R1'!U43</f>
        <v/>
      </c>
      <c r="V21" s="37" t="str">
        <f>'R1'!V43</f>
        <v/>
      </c>
    </row>
    <row r="22" spans="1:22" x14ac:dyDescent="0.35">
      <c r="A22" s="24" t="s">
        <v>4</v>
      </c>
      <c r="B22" s="38">
        <f>'R2'!B28</f>
        <v>2.2834721150049204E-3</v>
      </c>
      <c r="C22" s="38">
        <f>'R2'!C28</f>
        <v>0.54483757003840738</v>
      </c>
      <c r="D22" s="38">
        <f>'R2'!D28</f>
        <v>0.1472818037447241</v>
      </c>
      <c r="E22" s="38">
        <f>'R2'!E28</f>
        <v>1.8136775469575299</v>
      </c>
      <c r="F22" s="38">
        <f>'R2'!F28</f>
        <v>0.93439341926531327</v>
      </c>
      <c r="G22" s="38">
        <f>'R2'!G28</f>
        <v>1.4818547850011963</v>
      </c>
      <c r="H22" s="38">
        <f>'R2'!H28</f>
        <v>3.5337429799484568</v>
      </c>
      <c r="I22" s="38">
        <f>'R2'!I28</f>
        <v>0.1693764037057108</v>
      </c>
      <c r="J22" s="38">
        <f>'R2'!J28</f>
        <v>3.6021433942676373E-2</v>
      </c>
      <c r="K22" s="38">
        <f>'R2'!K28</f>
        <v>2.0680770243130222E-2</v>
      </c>
      <c r="L22" s="38">
        <f>'R2'!L28</f>
        <v>2.6965192125259232E-2</v>
      </c>
      <c r="M22" s="38">
        <f>'R2'!M28</f>
        <v>5.1058449707959827E-3</v>
      </c>
      <c r="O22" s="38">
        <f>'R2'!O28</f>
        <v>7.2158842232388887E-2</v>
      </c>
      <c r="P22" s="38">
        <f>'R2'!P28</f>
        <v>2.1776040567231854</v>
      </c>
      <c r="Q22" s="38">
        <f>'R2'!Q28</f>
        <v>1.3212484869746311E-2</v>
      </c>
      <c r="R22" s="38">
        <f>'R2'!R28</f>
        <v>5.4181496796807532E-2</v>
      </c>
      <c r="S22" s="38">
        <f>'R2'!S28</f>
        <v>0.79332731186373373</v>
      </c>
      <c r="T22" s="38">
        <f>'R2'!T28</f>
        <v>3.6448986093858021E-2</v>
      </c>
      <c r="U22" s="38">
        <f>'R2'!U28</f>
        <v>5.9553983642413093E-2</v>
      </c>
      <c r="V22" s="38">
        <f>'R2'!V28</f>
        <v>4.4661027180000736E-2</v>
      </c>
    </row>
    <row r="23" spans="1:22" x14ac:dyDescent="0.35">
      <c r="A23" s="144"/>
      <c r="B23" s="38">
        <f>'R2'!B29</f>
        <v>7.1565093224913293E-2</v>
      </c>
      <c r="C23" s="38">
        <f>'R2'!C29</f>
        <v>5.0267775598394383E-2</v>
      </c>
      <c r="D23" s="38">
        <f>'R2'!D29</f>
        <v>0.13048336563172089</v>
      </c>
      <c r="E23" s="38">
        <f>'R2'!E29</f>
        <v>0.45080021679933846</v>
      </c>
      <c r="F23" s="38">
        <f>'R2'!F29</f>
        <v>1.3095625020573263</v>
      </c>
      <c r="G23" s="38">
        <f>'R2'!G29</f>
        <v>0.6683089482262512</v>
      </c>
      <c r="H23" s="38">
        <f>'R2'!H29</f>
        <v>3.0106309405102398</v>
      </c>
      <c r="I23" s="38">
        <f>'R2'!I29</f>
        <v>5.7048144759444301E-2</v>
      </c>
      <c r="J23" s="38">
        <f>'R2'!J29</f>
        <v>6.6058129002545041E-2</v>
      </c>
      <c r="K23" s="38">
        <f>'R2'!K29</f>
        <v>7.8149528517608716E-2</v>
      </c>
      <c r="L23" s="38">
        <f>'R2'!L29</f>
        <v>9.9348053181837568E-3</v>
      </c>
      <c r="M23" s="38">
        <f>'R2'!M29</f>
        <v>4.2942227882901099E-2</v>
      </c>
      <c r="O23" s="38">
        <f>'R2'!O29</f>
        <v>0.14610190518841062</v>
      </c>
      <c r="P23" s="38">
        <f>'R2'!P29</f>
        <v>1.6496197730644706</v>
      </c>
      <c r="Q23" s="38">
        <f>'R2'!Q29</f>
        <v>7.6083467001890906E-2</v>
      </c>
      <c r="R23" s="38">
        <f>'R2'!R29</f>
        <v>0.99147823967296556</v>
      </c>
      <c r="S23" s="38">
        <f>'R2'!S29</f>
        <v>2.4297907699701278</v>
      </c>
      <c r="T23" s="38">
        <f>'R2'!T29</f>
        <v>0.27032827307134721</v>
      </c>
      <c r="U23" s="38">
        <f>'R2'!U29</f>
        <v>5.6689978969737265E-2</v>
      </c>
      <c r="V23" s="38">
        <f>'R2'!V29</f>
        <v>3.2655864999912645E-2</v>
      </c>
    </row>
    <row r="24" spans="1:22" x14ac:dyDescent="0.35">
      <c r="A24" s="145"/>
      <c r="B24" s="38">
        <f>'R2'!B30</f>
        <v>0.13429003358671607</v>
      </c>
      <c r="C24" s="38">
        <f>'R2'!C30</f>
        <v>8.5933356630079547E-2</v>
      </c>
      <c r="D24" s="38">
        <f>'R2'!D30</f>
        <v>0.84234547213309496</v>
      </c>
      <c r="E24" s="38">
        <f>'R2'!E30</f>
        <v>0.45433231300964128</v>
      </c>
      <c r="F24" s="38">
        <f>'R2'!F30</f>
        <v>2.0274453622672257</v>
      </c>
      <c r="G24" s="38">
        <f>'R2'!G30</f>
        <v>2.3920802737424123</v>
      </c>
      <c r="H24" s="38">
        <f>'R2'!H30</f>
        <v>2.9202185290413518</v>
      </c>
      <c r="I24" s="38">
        <f>'R2'!I30</f>
        <v>2.2716103513052133E-2</v>
      </c>
      <c r="J24" s="38">
        <f>'R2'!J30</f>
        <v>3.8604258645757471E-2</v>
      </c>
      <c r="K24" s="38">
        <f>'R2'!K30</f>
        <v>4.281964531096262E-2</v>
      </c>
      <c r="L24" s="38">
        <f>'R2'!L30</f>
        <v>7.3135537872955306E-2</v>
      </c>
      <c r="M24" s="38">
        <f>'R2'!M30</f>
        <v>0.1149824524782929</v>
      </c>
      <c r="O24" s="38">
        <f>'R2'!O30</f>
        <v>2.5719872142412534E-2</v>
      </c>
      <c r="P24" s="38">
        <f>'R2'!P30</f>
        <v>2.7308135868903722</v>
      </c>
      <c r="Q24" s="38">
        <f>'R2'!Q30</f>
        <v>3.0981010398413597E-2</v>
      </c>
      <c r="R24" s="38">
        <f>'R2'!R30</f>
        <v>0.15260274643609137</v>
      </c>
      <c r="S24" s="38">
        <f>'R2'!S30</f>
        <v>0.82680524004149802</v>
      </c>
      <c r="T24" s="38">
        <f>'R2'!T30</f>
        <v>0.45865475291826441</v>
      </c>
      <c r="U24" s="38">
        <f>'R2'!U30</f>
        <v>7.9288786490772797E-2</v>
      </c>
      <c r="V24" s="38">
        <f>'R2'!V30</f>
        <v>6.8684237578736484E-2</v>
      </c>
    </row>
    <row r="25" spans="1:22" x14ac:dyDescent="0.35">
      <c r="A25" s="145"/>
      <c r="B25" s="38">
        <f>'R2'!B31</f>
        <v>4.3659881107295642E-2</v>
      </c>
      <c r="C25" s="38">
        <f>'R2'!C31</f>
        <v>0.21250300106338729</v>
      </c>
      <c r="D25" s="38">
        <f>'R2'!D31</f>
        <v>0.25375847953996511</v>
      </c>
      <c r="E25" s="38">
        <f>'R2'!E31</f>
        <v>1.0259986153290745</v>
      </c>
      <c r="F25" s="38">
        <f>'R2'!F31</f>
        <v>2.0303192792772551</v>
      </c>
      <c r="G25" s="38">
        <f>'R2'!G31</f>
        <v>1.1327250820256241</v>
      </c>
      <c r="H25" s="38">
        <f>'R2'!H31</f>
        <v>2.3939725389431987</v>
      </c>
      <c r="I25" s="38">
        <f>'R2'!I31</f>
        <v>6.7784527758282365E-2</v>
      </c>
      <c r="J25" s="38">
        <f>'R2'!J31</f>
        <v>0.16141580557710228</v>
      </c>
      <c r="K25" s="38">
        <f>'R2'!K31</f>
        <v>7.8783587696988608E-2</v>
      </c>
      <c r="L25" s="38">
        <f>'R2'!L31</f>
        <v>4.7534283367539842E-2</v>
      </c>
      <c r="M25" s="38">
        <f>'R2'!M31</f>
        <v>8.9174690944679211E-2</v>
      </c>
      <c r="O25" s="38">
        <f>'R2'!O31</f>
        <v>0.18869059303903632</v>
      </c>
      <c r="P25" s="38">
        <f>'R2'!P31</f>
        <v>2.0122497491042859</v>
      </c>
      <c r="Q25" s="38">
        <f>'R2'!Q31</f>
        <v>2.9471691830718259E-2</v>
      </c>
      <c r="R25" s="38">
        <f>'R2'!R31</f>
        <v>0.42795161837699436</v>
      </c>
      <c r="S25" s="38">
        <f>'R2'!S31</f>
        <v>0.24031173309743073</v>
      </c>
      <c r="T25" s="38">
        <f>'R2'!T31</f>
        <v>0.43267881206088604</v>
      </c>
      <c r="U25" s="38">
        <f>'R2'!U31</f>
        <v>7.8585671361163401E-2</v>
      </c>
      <c r="V25" s="38">
        <f>'R2'!V31</f>
        <v>2.7151874478750448E-2</v>
      </c>
    </row>
    <row r="26" spans="1:22" x14ac:dyDescent="0.35">
      <c r="A26" s="145"/>
      <c r="B26" s="38">
        <f>'R2'!B32</f>
        <v>9.7913737966783834E-2</v>
      </c>
      <c r="C26" s="38">
        <f>'R2'!C32</f>
        <v>0.22357309941979372</v>
      </c>
      <c r="D26" s="38">
        <f>'R2'!D32</f>
        <v>0.29359517213000974</v>
      </c>
      <c r="E26" s="38">
        <f>'R2'!E32</f>
        <v>0.26878525255664992</v>
      </c>
      <c r="F26" s="38">
        <f>'R2'!F32</f>
        <v>2.3186113509231339</v>
      </c>
      <c r="G26" s="38">
        <f>'R2'!G32</f>
        <v>0.64047213123637281</v>
      </c>
      <c r="H26" s="38">
        <f>'R2'!H32</f>
        <v>3.4695027736165462</v>
      </c>
      <c r="I26" s="38">
        <f>'R2'!I32</f>
        <v>8.6894522942125449E-2</v>
      </c>
      <c r="J26" s="38">
        <f>'R2'!J32</f>
        <v>9.4392214916324796E-2</v>
      </c>
      <c r="K26" s="38">
        <f>'R2'!K32</f>
        <v>3.6967731748692015E-2</v>
      </c>
      <c r="L26" s="38">
        <f>'R2'!L32</f>
        <v>0.11195621588426453</v>
      </c>
      <c r="M26" s="38">
        <f>'R2'!M32</f>
        <v>8.9042526446632322E-3</v>
      </c>
      <c r="O26" s="38">
        <f>'R2'!O32</f>
        <v>0.4907585007275862</v>
      </c>
      <c r="P26" s="38">
        <f>'R2'!P32</f>
        <v>1.392789790589896</v>
      </c>
      <c r="Q26" s="38">
        <f>'R2'!Q32</f>
        <v>0.11132810410729675</v>
      </c>
      <c r="R26" s="38">
        <f>'R2'!R32</f>
        <v>1.0949356175103258</v>
      </c>
      <c r="S26" s="38">
        <f>'R2'!S32</f>
        <v>9.3023651539049387E-2</v>
      </c>
      <c r="T26" s="38">
        <f>'R2'!T32</f>
        <v>0.74379734457568614</v>
      </c>
      <c r="U26" s="38">
        <f>'R2'!U32</f>
        <v>8.406983720761857E-2</v>
      </c>
      <c r="V26" s="38">
        <f>'R2'!V32</f>
        <v>0.12860729058194548</v>
      </c>
    </row>
    <row r="27" spans="1:22" x14ac:dyDescent="0.35">
      <c r="A27" s="145"/>
      <c r="B27" s="38">
        <f>'R2'!B33</f>
        <v>1.2301871478203328E-2</v>
      </c>
      <c r="C27" s="38">
        <f>'R2'!C33</f>
        <v>7.4261248985069583E-2</v>
      </c>
      <c r="D27" s="38">
        <f>'R2'!D33</f>
        <v>0.52000353044415404</v>
      </c>
      <c r="E27" s="38">
        <f>'R2'!E33</f>
        <v>0.38148258086371234</v>
      </c>
      <c r="F27" s="38">
        <f>'R2'!F33</f>
        <v>0.90793739086877956</v>
      </c>
      <c r="G27" s="38">
        <f>'R2'!G33</f>
        <v>1.2872808893316032</v>
      </c>
      <c r="H27" s="38">
        <f>'R2'!H33</f>
        <v>1.5056681842592827</v>
      </c>
      <c r="I27" s="38">
        <f>'R2'!I33</f>
        <v>1.6496772646211209E-2</v>
      </c>
      <c r="J27" s="38">
        <f>'R2'!J33</f>
        <v>3.1020990159072778E-2</v>
      </c>
      <c r="K27" s="38">
        <f>'R2'!K33</f>
        <v>2.4524774668823645E-2</v>
      </c>
      <c r="L27" s="38">
        <f>'R2'!L33</f>
        <v>6.6541190242906376E-2</v>
      </c>
      <c r="M27" s="38">
        <f>'R2'!M33</f>
        <v>4.3698539222974356E-2</v>
      </c>
      <c r="O27" s="38">
        <f>'R2'!O33</f>
        <v>0.18288295458361142</v>
      </c>
      <c r="P27" s="38">
        <f>'R2'!P33</f>
        <v>0.98130818154825838</v>
      </c>
      <c r="Q27" s="38">
        <f>'R2'!Q33</f>
        <v>2.2091956671025755E-2</v>
      </c>
      <c r="R27" s="38">
        <f>'R2'!R33</f>
        <v>0.36135458863366315</v>
      </c>
      <c r="S27" s="38">
        <f>'R2'!S33</f>
        <v>0.34568153122152911</v>
      </c>
      <c r="T27" s="38">
        <f>'R2'!T33</f>
        <v>0.12496153290332238</v>
      </c>
      <c r="U27" s="38">
        <f>'R2'!U33</f>
        <v>3.0040990406055183E-2</v>
      </c>
      <c r="V27" s="38">
        <f>'R2'!V33</f>
        <v>0.13846742295873274</v>
      </c>
    </row>
    <row r="28" spans="1:22" x14ac:dyDescent="0.35">
      <c r="A28" s="145"/>
      <c r="B28" s="38">
        <f>'R2'!B34</f>
        <v>4.8917715250845532E-2</v>
      </c>
      <c r="C28" s="38">
        <f>'R2'!C34</f>
        <v>0.10213936738058763</v>
      </c>
      <c r="D28" s="38">
        <f>'R2'!D34</f>
        <v>0.78985237679883624</v>
      </c>
      <c r="E28" s="38">
        <f>'R2'!E34</f>
        <v>1.1577801667428609</v>
      </c>
      <c r="F28" s="38">
        <f>'R2'!F34</f>
        <v>1.8641673589126431</v>
      </c>
      <c r="G28" s="38">
        <f>'R2'!G34</f>
        <v>1.528416337663111</v>
      </c>
      <c r="H28" s="38">
        <f>'R2'!H34</f>
        <v>2.3407650944969967</v>
      </c>
      <c r="I28" s="38">
        <f>'R2'!I34</f>
        <v>1.1305351162929874E-2</v>
      </c>
      <c r="J28" s="38">
        <f>'R2'!J34</f>
        <v>4.7084593662935346E-2</v>
      </c>
      <c r="K28" s="38">
        <f>'R2'!K34</f>
        <v>3.4387550335571858E-2</v>
      </c>
      <c r="L28" s="38">
        <f>'R2'!L34</f>
        <v>3.5834090766694929E-2</v>
      </c>
      <c r="M28" s="38">
        <f>'R2'!M34</f>
        <v>1.1101817835937684E-2</v>
      </c>
      <c r="O28" s="38">
        <f>'R2'!O34</f>
        <v>0.10223981239910325</v>
      </c>
      <c r="P28" s="38">
        <f>'R2'!P34</f>
        <v>1.7549320796319186</v>
      </c>
      <c r="Q28" s="38">
        <f>'R2'!Q34</f>
        <v>3.4257037893750566E-3</v>
      </c>
      <c r="R28" s="38">
        <f>'R2'!R34</f>
        <v>1.0845402189164486</v>
      </c>
      <c r="S28" s="38">
        <f>'R2'!S34</f>
        <v>1.5737728805140836</v>
      </c>
      <c r="T28" s="38">
        <f>'R2'!T34</f>
        <v>0.67408453679089975</v>
      </c>
      <c r="U28" s="38">
        <f>'R2'!U34</f>
        <v>1.8691033725034487E-2</v>
      </c>
      <c r="V28" s="38">
        <f>'R2'!V34</f>
        <v>5.2775596948833881E-2</v>
      </c>
    </row>
    <row r="29" spans="1:22" x14ac:dyDescent="0.35">
      <c r="A29" s="145"/>
      <c r="B29" s="38">
        <f>'R2'!B35</f>
        <v>5.8608346658887686E-2</v>
      </c>
      <c r="C29" s="38">
        <f>'R2'!C35</f>
        <v>5.8559445794610337E-2</v>
      </c>
      <c r="D29" s="38" t="str">
        <f>'R2'!D35</f>
        <v/>
      </c>
      <c r="E29" s="38">
        <f>'R2'!E35</f>
        <v>0.66259118162949826</v>
      </c>
      <c r="F29" s="38">
        <f>'R2'!F35</f>
        <v>2.2522925274481915</v>
      </c>
      <c r="G29" s="38">
        <f>'R2'!G35</f>
        <v>2.1215035314147372</v>
      </c>
      <c r="H29" s="38" t="str">
        <f>'R2'!H35</f>
        <v/>
      </c>
      <c r="I29" s="38">
        <f>'R2'!I35</f>
        <v>3.7569080214805303E-2</v>
      </c>
      <c r="J29" s="38">
        <f>'R2'!J35</f>
        <v>0.1429805101557885</v>
      </c>
      <c r="K29" s="38">
        <f>'R2'!K35</f>
        <v>3.3830476976304272E-2</v>
      </c>
      <c r="L29" s="38">
        <f>'R2'!L35</f>
        <v>0.26859196197825635</v>
      </c>
      <c r="M29" s="38">
        <f>'R2'!M35</f>
        <v>4.1756381924175495E-2</v>
      </c>
      <c r="O29" s="38">
        <f>'R2'!O35</f>
        <v>3.7174238776890259E-2</v>
      </c>
      <c r="P29" s="38">
        <f>'R2'!P35</f>
        <v>2.0549560633581736</v>
      </c>
      <c r="Q29" s="38">
        <f>'R2'!Q35</f>
        <v>0.11457373376808294</v>
      </c>
      <c r="R29" s="38">
        <f>'R2'!R35</f>
        <v>8.495765222324847E-2</v>
      </c>
      <c r="S29" s="38">
        <f>'R2'!S35</f>
        <v>0.76925982635815238</v>
      </c>
      <c r="T29" s="38">
        <f>'R2'!T35</f>
        <v>0.88561018139123038</v>
      </c>
      <c r="U29" s="38" t="str">
        <f>'R2'!U35</f>
        <v/>
      </c>
      <c r="V29" s="38">
        <f>'R2'!V35</f>
        <v>2.5551692818647883E-2</v>
      </c>
    </row>
    <row r="30" spans="1:22" x14ac:dyDescent="0.35">
      <c r="A30" s="145"/>
      <c r="B30" s="38" t="str">
        <f>'R2'!B36</f>
        <v/>
      </c>
      <c r="C30" s="38" t="str">
        <f>'R2'!C36</f>
        <v/>
      </c>
      <c r="D30" s="38" t="str">
        <f>'R2'!D36</f>
        <v/>
      </c>
      <c r="E30" s="38" t="str">
        <f>'R2'!E36</f>
        <v/>
      </c>
      <c r="F30" s="38" t="str">
        <f>'R2'!F36</f>
        <v/>
      </c>
      <c r="G30" s="38" t="str">
        <f>'R2'!G36</f>
        <v/>
      </c>
      <c r="H30" s="38" t="str">
        <f>'R2'!H36</f>
        <v/>
      </c>
      <c r="I30" s="38" t="str">
        <f>'R2'!I36</f>
        <v/>
      </c>
      <c r="J30" s="38" t="str">
        <f>'R2'!J36</f>
        <v/>
      </c>
      <c r="K30" s="38" t="str">
        <f>'R2'!K36</f>
        <v/>
      </c>
      <c r="L30" s="38" t="str">
        <f>'R2'!L36</f>
        <v/>
      </c>
      <c r="M30" s="38" t="str">
        <f>'R2'!M36</f>
        <v/>
      </c>
      <c r="O30" s="38">
        <f>'R2'!O36</f>
        <v>2.1776040567231854</v>
      </c>
      <c r="P30" s="38">
        <f>'R2'!P36</f>
        <v>2.4376948677758215</v>
      </c>
      <c r="Q30" s="38" t="str">
        <f>'R2'!Q36</f>
        <v/>
      </c>
      <c r="R30" s="38" t="str">
        <f>'R2'!R36</f>
        <v/>
      </c>
      <c r="S30" s="38" t="str">
        <f>'R2'!S36</f>
        <v/>
      </c>
      <c r="T30" s="38" t="str">
        <f>'R2'!T36</f>
        <v/>
      </c>
      <c r="U30" s="38" t="str">
        <f>'R2'!U36</f>
        <v/>
      </c>
      <c r="V30" s="38" t="str">
        <f>'R2'!V36</f>
        <v/>
      </c>
    </row>
    <row r="31" spans="1:22" s="1" customFormat="1" x14ac:dyDescent="0.35">
      <c r="A31" s="145"/>
      <c r="B31" s="38" t="str">
        <f>'R2'!B37</f>
        <v/>
      </c>
      <c r="C31" s="38" t="str">
        <f>'R2'!C37</f>
        <v/>
      </c>
      <c r="D31" s="38" t="str">
        <f>'R2'!D37</f>
        <v/>
      </c>
      <c r="E31" s="38" t="str">
        <f>'R2'!E37</f>
        <v/>
      </c>
      <c r="F31" s="38" t="str">
        <f>'R2'!F37</f>
        <v/>
      </c>
      <c r="G31" s="38" t="str">
        <f>'R2'!G37</f>
        <v/>
      </c>
      <c r="H31" s="38" t="str">
        <f>'R2'!H37</f>
        <v/>
      </c>
      <c r="I31" s="38" t="str">
        <f>'R2'!I37</f>
        <v/>
      </c>
      <c r="J31" s="38" t="str">
        <f>'R2'!J37</f>
        <v/>
      </c>
      <c r="K31" s="38" t="str">
        <f>'R2'!K37</f>
        <v/>
      </c>
      <c r="L31" s="38" t="str">
        <f>'R2'!L37</f>
        <v/>
      </c>
      <c r="M31" s="38" t="str">
        <f>'R2'!M37</f>
        <v/>
      </c>
      <c r="N31"/>
      <c r="O31" s="38">
        <f>'R2'!O37</f>
        <v>1.6496197730644706</v>
      </c>
      <c r="P31" s="38" t="str">
        <f>'R2'!P37</f>
        <v/>
      </c>
      <c r="Q31" s="38" t="str">
        <f>'R2'!Q37</f>
        <v/>
      </c>
      <c r="R31" s="38" t="str">
        <f>'R2'!R37</f>
        <v/>
      </c>
      <c r="S31" s="38" t="str">
        <f>'R2'!S37</f>
        <v/>
      </c>
      <c r="T31" s="38" t="str">
        <f>'R2'!T37</f>
        <v/>
      </c>
      <c r="U31" s="38" t="str">
        <f>'R2'!U37</f>
        <v/>
      </c>
      <c r="V31" s="38" t="str">
        <f>'R2'!V37</f>
        <v/>
      </c>
    </row>
    <row r="32" spans="1:22" s="1" customFormat="1" x14ac:dyDescent="0.35">
      <c r="A32" s="145"/>
      <c r="B32" s="38" t="str">
        <f>'R2'!B38</f>
        <v/>
      </c>
      <c r="C32" s="38" t="str">
        <f>'R2'!C38</f>
        <v/>
      </c>
      <c r="D32" s="38" t="str">
        <f>'R2'!D38</f>
        <v/>
      </c>
      <c r="E32" s="38" t="str">
        <f>'R2'!E38</f>
        <v/>
      </c>
      <c r="F32" s="38" t="str">
        <f>'R2'!F38</f>
        <v/>
      </c>
      <c r="G32" s="38" t="str">
        <f>'R2'!G38</f>
        <v/>
      </c>
      <c r="H32" s="38" t="str">
        <f>'R2'!H38</f>
        <v/>
      </c>
      <c r="I32" s="38" t="str">
        <f>'R2'!I38</f>
        <v/>
      </c>
      <c r="J32" s="38" t="str">
        <f>'R2'!J38</f>
        <v/>
      </c>
      <c r="K32" s="38" t="str">
        <f>'R2'!K38</f>
        <v/>
      </c>
      <c r="L32" s="38" t="str">
        <f>'R2'!L38</f>
        <v/>
      </c>
      <c r="M32" s="38" t="str">
        <f>'R2'!M38</f>
        <v/>
      </c>
      <c r="N32"/>
      <c r="O32" s="38">
        <f>'R2'!O38</f>
        <v>2.7308135868903722</v>
      </c>
      <c r="P32" s="38" t="str">
        <f>'R2'!P38</f>
        <v/>
      </c>
      <c r="Q32" s="38" t="str">
        <f>'R2'!Q38</f>
        <v/>
      </c>
      <c r="R32" s="38" t="str">
        <f>'R2'!R38</f>
        <v/>
      </c>
      <c r="S32" s="38" t="str">
        <f>'R2'!S38</f>
        <v/>
      </c>
      <c r="T32" s="38" t="str">
        <f>'R2'!T38</f>
        <v/>
      </c>
      <c r="U32" s="38" t="str">
        <f>'R2'!U38</f>
        <v/>
      </c>
      <c r="V32" s="38" t="str">
        <f>'R2'!V38</f>
        <v/>
      </c>
    </row>
    <row r="33" spans="1:22" s="1" customFormat="1" x14ac:dyDescent="0.35">
      <c r="A33" s="145"/>
      <c r="B33" s="38" t="str">
        <f>'R2'!B39</f>
        <v/>
      </c>
      <c r="C33" s="38" t="str">
        <f>'R2'!C39</f>
        <v/>
      </c>
      <c r="D33" s="38" t="str">
        <f>'R2'!D39</f>
        <v/>
      </c>
      <c r="E33" s="38" t="str">
        <f>'R2'!E39</f>
        <v/>
      </c>
      <c r="F33" s="38" t="str">
        <f>'R2'!F39</f>
        <v/>
      </c>
      <c r="G33" s="38" t="str">
        <f>'R2'!G39</f>
        <v/>
      </c>
      <c r="H33" s="38" t="str">
        <f>'R2'!H39</f>
        <v/>
      </c>
      <c r="I33" s="38" t="str">
        <f>'R2'!I39</f>
        <v/>
      </c>
      <c r="J33" s="38" t="str">
        <f>'R2'!J39</f>
        <v/>
      </c>
      <c r="K33" s="38" t="str">
        <f>'R2'!K39</f>
        <v/>
      </c>
      <c r="L33" s="38" t="str">
        <f>'R2'!L39</f>
        <v/>
      </c>
      <c r="M33" s="38" t="str">
        <f>'R2'!M39</f>
        <v/>
      </c>
      <c r="N33"/>
      <c r="O33" s="38">
        <f>'R2'!O39</f>
        <v>2.0122497491042859</v>
      </c>
      <c r="P33" s="38" t="str">
        <f>'R2'!P39</f>
        <v/>
      </c>
      <c r="Q33" s="38" t="str">
        <f>'R2'!Q39</f>
        <v/>
      </c>
      <c r="R33" s="38" t="str">
        <f>'R2'!R39</f>
        <v/>
      </c>
      <c r="S33" s="38" t="str">
        <f>'R2'!S39</f>
        <v/>
      </c>
      <c r="T33" s="38" t="str">
        <f>'R2'!T39</f>
        <v/>
      </c>
      <c r="U33" s="38" t="str">
        <f>'R2'!U39</f>
        <v/>
      </c>
      <c r="V33" s="38" t="str">
        <f>'R2'!V39</f>
        <v/>
      </c>
    </row>
    <row r="34" spans="1:22" s="1" customFormat="1" x14ac:dyDescent="0.35">
      <c r="A34" s="145"/>
      <c r="B34" s="38" t="str">
        <f>'R2'!B40</f>
        <v/>
      </c>
      <c r="C34" s="38" t="str">
        <f>'R2'!C40</f>
        <v/>
      </c>
      <c r="D34" s="38" t="str">
        <f>'R2'!D40</f>
        <v/>
      </c>
      <c r="E34" s="38" t="str">
        <f>'R2'!E40</f>
        <v/>
      </c>
      <c r="F34" s="38" t="str">
        <f>'R2'!F40</f>
        <v/>
      </c>
      <c r="G34" s="38" t="str">
        <f>'R2'!G40</f>
        <v/>
      </c>
      <c r="H34" s="38" t="str">
        <f>'R2'!H40</f>
        <v/>
      </c>
      <c r="I34" s="38" t="str">
        <f>'R2'!I40</f>
        <v/>
      </c>
      <c r="J34" s="38" t="str">
        <f>'R2'!J40</f>
        <v/>
      </c>
      <c r="K34" s="38" t="str">
        <f>'R2'!K40</f>
        <v/>
      </c>
      <c r="L34" s="38" t="str">
        <f>'R2'!L40</f>
        <v/>
      </c>
      <c r="M34" s="38" t="str">
        <f>'R2'!M40</f>
        <v/>
      </c>
      <c r="N34"/>
      <c r="O34" s="38">
        <f>'R2'!O40</f>
        <v>1.392789790589896</v>
      </c>
      <c r="P34" s="38" t="str">
        <f>'R2'!P40</f>
        <v/>
      </c>
      <c r="Q34" s="38" t="str">
        <f>'R2'!Q40</f>
        <v/>
      </c>
      <c r="R34" s="38" t="str">
        <f>'R2'!R40</f>
        <v/>
      </c>
      <c r="S34" s="38" t="str">
        <f>'R2'!S40</f>
        <v/>
      </c>
      <c r="T34" s="38" t="str">
        <f>'R2'!T40</f>
        <v/>
      </c>
      <c r="U34" s="38" t="str">
        <f>'R2'!U40</f>
        <v/>
      </c>
      <c r="V34" s="38" t="str">
        <f>'R2'!V40</f>
        <v/>
      </c>
    </row>
    <row r="35" spans="1:22" s="1" customFormat="1" x14ac:dyDescent="0.35">
      <c r="A35" s="145"/>
      <c r="B35" s="38" t="str">
        <f>'R2'!B41</f>
        <v/>
      </c>
      <c r="C35" s="38" t="str">
        <f>'R2'!C41</f>
        <v/>
      </c>
      <c r="D35" s="38" t="str">
        <f>'R2'!D41</f>
        <v/>
      </c>
      <c r="E35" s="38" t="str">
        <f>'R2'!E41</f>
        <v/>
      </c>
      <c r="F35" s="38" t="str">
        <f>'R2'!F41</f>
        <v/>
      </c>
      <c r="G35" s="38" t="str">
        <f>'R2'!G41</f>
        <v/>
      </c>
      <c r="H35" s="38" t="str">
        <f>'R2'!H41</f>
        <v/>
      </c>
      <c r="I35" s="38" t="str">
        <f>'R2'!I41</f>
        <v/>
      </c>
      <c r="J35" s="38" t="str">
        <f>'R2'!J41</f>
        <v/>
      </c>
      <c r="K35" s="38" t="str">
        <f>'R2'!K41</f>
        <v/>
      </c>
      <c r="L35" s="38" t="str">
        <f>'R2'!L41</f>
        <v/>
      </c>
      <c r="M35" s="38" t="str">
        <f>'R2'!M41</f>
        <v/>
      </c>
      <c r="N35"/>
      <c r="O35" s="38">
        <f>'R2'!O41</f>
        <v>0.98130818154825838</v>
      </c>
      <c r="P35" s="38" t="str">
        <f>'R2'!P41</f>
        <v/>
      </c>
      <c r="Q35" s="38" t="str">
        <f>'R2'!Q41</f>
        <v/>
      </c>
      <c r="R35" s="38" t="str">
        <f>'R2'!R41</f>
        <v/>
      </c>
      <c r="S35" s="38" t="str">
        <f>'R2'!S41</f>
        <v/>
      </c>
      <c r="T35" s="38" t="str">
        <f>'R2'!T41</f>
        <v/>
      </c>
      <c r="U35" s="38" t="str">
        <f>'R2'!U41</f>
        <v/>
      </c>
      <c r="V35" s="38" t="str">
        <f>'R2'!V41</f>
        <v/>
      </c>
    </row>
    <row r="36" spans="1:22" x14ac:dyDescent="0.35">
      <c r="A36" s="145"/>
      <c r="B36" s="38" t="str">
        <f>'R2'!B42</f>
        <v/>
      </c>
      <c r="C36" s="38" t="str">
        <f>'R2'!C42</f>
        <v/>
      </c>
      <c r="D36" s="38" t="str">
        <f>'R2'!D42</f>
        <v/>
      </c>
      <c r="E36" s="38" t="str">
        <f>'R2'!E42</f>
        <v/>
      </c>
      <c r="F36" s="38" t="str">
        <f>'R2'!F42</f>
        <v/>
      </c>
      <c r="G36" s="38" t="str">
        <f>'R2'!G42</f>
        <v/>
      </c>
      <c r="H36" s="38" t="str">
        <f>'R2'!H42</f>
        <v/>
      </c>
      <c r="I36" s="38" t="str">
        <f>'R2'!I42</f>
        <v/>
      </c>
      <c r="J36" s="38" t="str">
        <f>'R2'!J42</f>
        <v/>
      </c>
      <c r="K36" s="38" t="str">
        <f>'R2'!K42</f>
        <v/>
      </c>
      <c r="L36" s="38" t="str">
        <f>'R2'!L42</f>
        <v/>
      </c>
      <c r="M36" s="38" t="str">
        <f>'R2'!M42</f>
        <v/>
      </c>
      <c r="O36" s="38">
        <f>'R2'!O42</f>
        <v>1.7549320796319186</v>
      </c>
      <c r="P36" s="38" t="str">
        <f>'R2'!P42</f>
        <v/>
      </c>
      <c r="Q36" s="38" t="str">
        <f>'R2'!Q42</f>
        <v/>
      </c>
      <c r="R36" s="38" t="str">
        <f>'R2'!R42</f>
        <v/>
      </c>
      <c r="S36" s="38" t="str">
        <f>'R2'!S42</f>
        <v/>
      </c>
      <c r="T36" s="38" t="str">
        <f>'R2'!T42</f>
        <v/>
      </c>
      <c r="U36" s="38" t="str">
        <f>'R2'!U42</f>
        <v/>
      </c>
      <c r="V36" s="38" t="str">
        <f>'R2'!V42</f>
        <v/>
      </c>
    </row>
    <row r="37" spans="1:22" x14ac:dyDescent="0.35">
      <c r="A37" s="146"/>
      <c r="B37" s="38" t="str">
        <f>'R2'!B43</f>
        <v/>
      </c>
      <c r="C37" s="38" t="str">
        <f>'R2'!C43</f>
        <v/>
      </c>
      <c r="D37" s="38" t="str">
        <f>'R2'!D43</f>
        <v/>
      </c>
      <c r="E37" s="38" t="str">
        <f>'R2'!E43</f>
        <v/>
      </c>
      <c r="F37" s="38" t="str">
        <f>'R2'!F43</f>
        <v/>
      </c>
      <c r="G37" s="38" t="str">
        <f>'R2'!G43</f>
        <v/>
      </c>
      <c r="H37" s="38" t="str">
        <f>'R2'!H43</f>
        <v/>
      </c>
      <c r="I37" s="38" t="str">
        <f>'R2'!I43</f>
        <v/>
      </c>
      <c r="J37" s="38" t="str">
        <f>'R2'!J43</f>
        <v/>
      </c>
      <c r="K37" s="38" t="str">
        <f>'R2'!K43</f>
        <v/>
      </c>
      <c r="L37" s="38" t="str">
        <f>'R2'!L43</f>
        <v/>
      </c>
      <c r="M37" s="38" t="str">
        <f>'R2'!M43</f>
        <v/>
      </c>
      <c r="O37" s="38">
        <f>'R2'!O43</f>
        <v>2.0549560633581736</v>
      </c>
      <c r="P37" s="38" t="str">
        <f>'R2'!P43</f>
        <v/>
      </c>
      <c r="Q37" s="38" t="str">
        <f>'R2'!Q43</f>
        <v/>
      </c>
      <c r="R37" s="38" t="str">
        <f>'R2'!R43</f>
        <v/>
      </c>
      <c r="S37" s="38" t="str">
        <f>'R2'!S43</f>
        <v/>
      </c>
      <c r="T37" s="38" t="str">
        <f>'R2'!T43</f>
        <v/>
      </c>
      <c r="U37" s="38" t="str">
        <f>'R2'!U43</f>
        <v/>
      </c>
      <c r="V37" s="38" t="str">
        <f>'R2'!V43</f>
        <v/>
      </c>
    </row>
    <row r="38" spans="1:22" s="1" customFormat="1" x14ac:dyDescent="0.35">
      <c r="A38" s="85" t="s">
        <v>16</v>
      </c>
      <c r="B38" s="86">
        <f>'R3'!B28</f>
        <v>1.2622983343022685</v>
      </c>
      <c r="C38" s="86">
        <f>'R3'!C28</f>
        <v>0.25689208638684624</v>
      </c>
      <c r="D38" s="86">
        <f>'R3'!D28</f>
        <v>1.9613434816426549</v>
      </c>
      <c r="E38" s="86">
        <f>'R3'!E28</f>
        <v>4.5855214968677096</v>
      </c>
      <c r="F38" s="86">
        <f>'R3'!F28</f>
        <v>3.7357740856299757</v>
      </c>
      <c r="G38" s="86">
        <f>'R3'!G28</f>
        <v>4.0664500252901785</v>
      </c>
      <c r="H38" s="86">
        <f>'R3'!H28</f>
        <v>9.5074362623814483</v>
      </c>
      <c r="I38" s="86">
        <f>'R3'!I28</f>
        <v>9.2067044123212288E-2</v>
      </c>
      <c r="J38" s="86">
        <f>'R3'!J28</f>
        <v>8.5276366711259988E-2</v>
      </c>
      <c r="K38" s="86">
        <f>'R3'!K28</f>
        <v>0.18449331024583607</v>
      </c>
      <c r="L38" s="86">
        <f>'R3'!L28</f>
        <v>2.2870179457725896E-2</v>
      </c>
      <c r="M38" s="86">
        <f>'R3'!M28</f>
        <v>0.24638138884637278</v>
      </c>
      <c r="N38"/>
      <c r="O38" s="86">
        <f>'R3'!O28</f>
        <v>1.142501251556215</v>
      </c>
      <c r="P38" s="86">
        <f>'R3'!P28</f>
        <v>5.9792113220556908</v>
      </c>
      <c r="Q38" s="86">
        <f>'R3'!Q28</f>
        <v>1.3227313911023043E-2</v>
      </c>
      <c r="R38" s="86">
        <f>'R3'!R28</f>
        <v>0.64986368345461032</v>
      </c>
      <c r="S38" s="86">
        <f>'R3'!S28</f>
        <v>4.5623197278720653</v>
      </c>
      <c r="T38" s="86">
        <f>'R3'!T28</f>
        <v>2.6215192543207562</v>
      </c>
      <c r="U38" s="86">
        <f>'R3'!U28</f>
        <v>8.4120120900654183E-2</v>
      </c>
      <c r="V38" s="86">
        <f>'R3'!V28</f>
        <v>0.12542201568876177</v>
      </c>
    </row>
    <row r="39" spans="1:22" s="1" customFormat="1" x14ac:dyDescent="0.35">
      <c r="A39" s="144"/>
      <c r="B39" s="86">
        <f>'R3'!B29</f>
        <v>3.6605257118974803</v>
      </c>
      <c r="C39" s="86">
        <f>'R3'!C29</f>
        <v>1.7585410751143131</v>
      </c>
      <c r="D39" s="86">
        <f>'R3'!D29</f>
        <v>0.86952275500822174</v>
      </c>
      <c r="E39" s="86">
        <f>'R3'!E29</f>
        <v>3.7975481803268534</v>
      </c>
      <c r="F39" s="86">
        <f>'R3'!F29</f>
        <v>7.2835887141255631</v>
      </c>
      <c r="G39" s="86">
        <f>'R3'!G29</f>
        <v>6.5570423594840763</v>
      </c>
      <c r="H39" s="86">
        <f>'R3'!H29</f>
        <v>6.7429544239247035</v>
      </c>
      <c r="I39" s="86">
        <f>'R3'!I29</f>
        <v>0.14409551505720891</v>
      </c>
      <c r="J39" s="86">
        <f>'R3'!J29</f>
        <v>0.10369685635416008</v>
      </c>
      <c r="K39" s="86">
        <f>'R3'!K29</f>
        <v>0.27119102169515219</v>
      </c>
      <c r="L39" s="86">
        <f>'R3'!L29</f>
        <v>0.10001137680250539</v>
      </c>
      <c r="M39" s="86">
        <f>'R3'!M29</f>
        <v>7.3330508201983793E-2</v>
      </c>
      <c r="N39"/>
      <c r="O39" s="86">
        <f>'R3'!O29</f>
        <v>1.3433331181743233</v>
      </c>
      <c r="P39" s="86">
        <f>'R3'!P29</f>
        <v>7.4571741101969611</v>
      </c>
      <c r="Q39" s="86">
        <f>'R3'!Q29</f>
        <v>0.1334855133582443</v>
      </c>
      <c r="R39" s="86">
        <f>'R3'!R29</f>
        <v>1.3366417449208621</v>
      </c>
      <c r="S39" s="86">
        <f>'R3'!S29</f>
        <v>0.32310896278317608</v>
      </c>
      <c r="T39" s="86">
        <f>'R3'!T29</f>
        <v>0.20858881666790077</v>
      </c>
      <c r="U39" s="86">
        <f>'R3'!U29</f>
        <v>5.0464646316366213E-2</v>
      </c>
      <c r="V39" s="86">
        <f>'R3'!V29</f>
        <v>3.3654611069866301E-2</v>
      </c>
    </row>
    <row r="40" spans="1:22" s="1" customFormat="1" x14ac:dyDescent="0.35">
      <c r="A40" s="145"/>
      <c r="B40" s="86">
        <f>'R3'!B30</f>
        <v>3.3444707984248634</v>
      </c>
      <c r="C40" s="86">
        <f>'R3'!C30</f>
        <v>0.78984627932144169</v>
      </c>
      <c r="D40" s="86">
        <f>'R3'!D30</f>
        <v>1.1621539762788271</v>
      </c>
      <c r="E40" s="86">
        <f>'R3'!E30</f>
        <v>2.9469122127492291</v>
      </c>
      <c r="F40" s="86">
        <f>'R3'!F30</f>
        <v>5.6538649934059881</v>
      </c>
      <c r="G40" s="86">
        <f>'R3'!G30</f>
        <v>3.68753298894939</v>
      </c>
      <c r="H40" s="86">
        <f>'R3'!H30</f>
        <v>8.8381150084635216</v>
      </c>
      <c r="I40" s="86">
        <f>'R3'!I30</f>
        <v>7.6934817398002217E-2</v>
      </c>
      <c r="J40" s="86">
        <f>'R3'!J30</f>
        <v>7.7277632623402148E-2</v>
      </c>
      <c r="K40" s="86">
        <f>'R3'!K30</f>
        <v>9.4878647080144721E-2</v>
      </c>
      <c r="L40" s="86">
        <f>'R3'!L30</f>
        <v>0.20878656147046143</v>
      </c>
      <c r="M40" s="86">
        <f>'R3'!M30</f>
        <v>0.20551729587004799</v>
      </c>
      <c r="N40"/>
      <c r="O40" s="86">
        <f>'R3'!O30</f>
        <v>0.23283371108491305</v>
      </c>
      <c r="P40" s="86">
        <f>'R3'!P30</f>
        <v>6.6805275123250496</v>
      </c>
      <c r="Q40" s="86">
        <f>'R3'!Q30</f>
        <v>8.8932486772578145E-2</v>
      </c>
      <c r="R40" s="86">
        <f>'R3'!R30</f>
        <v>2.2645000801989017</v>
      </c>
      <c r="S40" s="86">
        <f>'R3'!S30</f>
        <v>0.42374379699812165</v>
      </c>
      <c r="T40" s="86">
        <f>'R3'!T30</f>
        <v>0.41074876846652575</v>
      </c>
      <c r="U40" s="86">
        <f>'R3'!U30</f>
        <v>7.0160546760061504E-2</v>
      </c>
      <c r="V40" s="86">
        <f>'R3'!V30</f>
        <v>0.2108235919911628</v>
      </c>
    </row>
    <row r="41" spans="1:22" s="1" customFormat="1" x14ac:dyDescent="0.35">
      <c r="A41" s="145"/>
      <c r="B41" s="86">
        <f>'R3'!B31</f>
        <v>8.0600436117958668E-3</v>
      </c>
      <c r="C41" s="86">
        <f>'R3'!C31</f>
        <v>3.5482714276246465</v>
      </c>
      <c r="D41" s="86">
        <f>'R3'!D31</f>
        <v>1.4814263444865576</v>
      </c>
      <c r="E41" s="86">
        <f>'R3'!E31</f>
        <v>4.9384657464337396</v>
      </c>
      <c r="F41" s="86">
        <f>'R3'!F31</f>
        <v>3.2761098157195461</v>
      </c>
      <c r="G41" s="86">
        <f>'R3'!G31</f>
        <v>8.1427294352421384</v>
      </c>
      <c r="H41" s="86">
        <f>'R3'!H31</f>
        <v>3.852060982251972</v>
      </c>
      <c r="I41" s="86">
        <f>'R3'!I31</f>
        <v>0.21951486464519379</v>
      </c>
      <c r="J41" s="86">
        <f>'R3'!J31</f>
        <v>0.32939362074403422</v>
      </c>
      <c r="K41" s="86">
        <f>'R3'!K31</f>
        <v>0.22025576001898003</v>
      </c>
      <c r="L41" s="86">
        <f>'R3'!L31</f>
        <v>0.16526802516194675</v>
      </c>
      <c r="M41" s="86">
        <f>'R3'!M31</f>
        <v>0.16335965829007307</v>
      </c>
      <c r="N41"/>
      <c r="O41" s="86">
        <f>'R3'!O31</f>
        <v>2.1277737972161592</v>
      </c>
      <c r="P41" s="86">
        <f>'R3'!P31</f>
        <v>6.4880570558518968</v>
      </c>
      <c r="Q41" s="86">
        <f>'R3'!Q31</f>
        <v>0.11028547139144339</v>
      </c>
      <c r="R41" s="86">
        <f>'R3'!R31</f>
        <v>3.1707826441372875</v>
      </c>
      <c r="S41" s="86">
        <f>'R3'!S31</f>
        <v>0.62003012370059973</v>
      </c>
      <c r="T41" s="86">
        <f>'R3'!T31</f>
        <v>0.19224335218025518</v>
      </c>
      <c r="U41" s="86">
        <f>'R3'!U31</f>
        <v>8.4544106481690362E-2</v>
      </c>
      <c r="V41" s="86">
        <f>'R3'!V31</f>
        <v>0.15059173405137435</v>
      </c>
    </row>
    <row r="42" spans="1:22" s="1" customFormat="1" x14ac:dyDescent="0.35">
      <c r="A42" s="145"/>
      <c r="B42" s="86">
        <f>'R3'!B32</f>
        <v>1.8620350055793826</v>
      </c>
      <c r="C42" s="86">
        <f>'R3'!C32</f>
        <v>1.7450624785065862</v>
      </c>
      <c r="D42" s="86">
        <f>'R3'!D32</f>
        <v>1.1029272491258535</v>
      </c>
      <c r="E42" s="86">
        <f>'R3'!E32</f>
        <v>4.9901004547914578</v>
      </c>
      <c r="F42" s="86">
        <f>'R3'!F32</f>
        <v>2.9382684333883895</v>
      </c>
      <c r="G42" s="86">
        <f>'R3'!G32</f>
        <v>1.7992816855283402</v>
      </c>
      <c r="H42" s="86">
        <f>'R3'!H32</f>
        <v>10.011509351969126</v>
      </c>
      <c r="I42" s="86">
        <f>'R3'!I32</f>
        <v>9.8430281896441735E-2</v>
      </c>
      <c r="J42" s="86">
        <f>'R3'!J32</f>
        <v>9.3667136346552521E-2</v>
      </c>
      <c r="K42" s="86">
        <f>'R3'!K32</f>
        <v>4.9171965227137751E-2</v>
      </c>
      <c r="L42" s="86">
        <f>'R3'!L32</f>
        <v>0.27456390902616512</v>
      </c>
      <c r="M42" s="86">
        <f>'R3'!M32</f>
        <v>0.22210109033807238</v>
      </c>
      <c r="N42"/>
      <c r="O42" s="86">
        <f>'R3'!O32</f>
        <v>0.15182224210224313</v>
      </c>
      <c r="P42" s="86">
        <f>'R3'!P32</f>
        <v>5.4811362036408786</v>
      </c>
      <c r="Q42" s="86">
        <f>'R3'!Q32</f>
        <v>0.10858348446634701</v>
      </c>
      <c r="R42" s="86">
        <f>'R3'!R32</f>
        <v>0.95582584036683815</v>
      </c>
      <c r="S42" s="86">
        <f>'R3'!S32</f>
        <v>1.1766420212454771</v>
      </c>
      <c r="T42" s="86">
        <f>'R3'!T32</f>
        <v>0.86085566075799724</v>
      </c>
      <c r="U42" s="86">
        <f>'R3'!U32</f>
        <v>0.17021250874038504</v>
      </c>
      <c r="V42" s="86">
        <f>'R3'!V32</f>
        <v>6.1945070552366428E-2</v>
      </c>
    </row>
    <row r="43" spans="1:22" s="1" customFormat="1" x14ac:dyDescent="0.35">
      <c r="A43" s="145"/>
      <c r="B43" s="86">
        <f>'R3'!B33</f>
        <v>0.3360564980215805</v>
      </c>
      <c r="C43" s="86">
        <f>'R3'!C33</f>
        <v>0.46106920787447436</v>
      </c>
      <c r="D43" s="86">
        <f>'R3'!D33</f>
        <v>0.47778943762112142</v>
      </c>
      <c r="E43" s="86">
        <f>'R3'!E33</f>
        <v>4.8024164587575795</v>
      </c>
      <c r="F43" s="86">
        <f>'R3'!F33</f>
        <v>4.2869061206549839</v>
      </c>
      <c r="G43" s="86">
        <f>'R3'!G33</f>
        <v>1.9138847290280951</v>
      </c>
      <c r="H43" s="86">
        <f>'R3'!H33</f>
        <v>4.8687723609757976</v>
      </c>
      <c r="I43" s="86">
        <f>'R3'!I33</f>
        <v>7.1834037709243043E-2</v>
      </c>
      <c r="J43" s="86">
        <f>'R3'!J33</f>
        <v>0.11704678931305916</v>
      </c>
      <c r="K43" s="86">
        <f>'R3'!K33</f>
        <v>2.4595481272207162E-2</v>
      </c>
      <c r="L43" s="86">
        <f>'R3'!L33</f>
        <v>1.9860831698232797E-2</v>
      </c>
      <c r="M43" s="86">
        <f>'R3'!M33</f>
        <v>0.11479042612925559</v>
      </c>
      <c r="N43"/>
      <c r="O43" s="86">
        <f>'R3'!O33</f>
        <v>0.90117919370636146</v>
      </c>
      <c r="P43" s="86">
        <f>'R3'!P33</f>
        <v>3.6840443906858744</v>
      </c>
      <c r="Q43" s="86">
        <f>'R3'!Q33</f>
        <v>5.8922770076548392E-2</v>
      </c>
      <c r="R43" s="86">
        <f>'R3'!R33</f>
        <v>0.38601253434358762</v>
      </c>
      <c r="S43" s="86">
        <f>'R3'!S33</f>
        <v>1.6164281891692409</v>
      </c>
      <c r="T43" s="86">
        <f>'R3'!T33</f>
        <v>1.3376054270154372</v>
      </c>
      <c r="U43" s="86">
        <f>'R3'!U33</f>
        <v>0.19534941355497445</v>
      </c>
      <c r="V43" s="86">
        <f>'R3'!V33</f>
        <v>0.36487283778687296</v>
      </c>
    </row>
    <row r="44" spans="1:22" s="1" customFormat="1" x14ac:dyDescent="0.35">
      <c r="A44" s="145"/>
      <c r="B44" s="86">
        <f>'R3'!B34</f>
        <v>0.45147815319307127</v>
      </c>
      <c r="C44" s="86">
        <f>'R3'!C34</f>
        <v>0.6151400415307261</v>
      </c>
      <c r="D44" s="86">
        <f>'R3'!D34</f>
        <v>3.6985505694553793</v>
      </c>
      <c r="E44" s="86">
        <f>'R3'!E34</f>
        <v>5.6735108100132265</v>
      </c>
      <c r="F44" s="86" t="str">
        <f>'R3'!F34</f>
        <v/>
      </c>
      <c r="G44" s="86">
        <f>'R3'!G34</f>
        <v>6.6782072490740427</v>
      </c>
      <c r="H44" s="86">
        <f>'R3'!H34</f>
        <v>3.9080702546698318</v>
      </c>
      <c r="I44" s="86">
        <f>'R3'!I34</f>
        <v>0.16786979411441522</v>
      </c>
      <c r="J44" s="86">
        <f>'R3'!J34</f>
        <v>8.2531254364795553E-2</v>
      </c>
      <c r="K44" s="86">
        <f>'R3'!K34</f>
        <v>0.82513120561940645</v>
      </c>
      <c r="L44" s="86">
        <f>'R3'!L34</f>
        <v>0.19934921235611422</v>
      </c>
      <c r="M44" s="86">
        <f>'R3'!M34</f>
        <v>3.6265015166551423E-2</v>
      </c>
      <c r="N44"/>
      <c r="O44" s="86">
        <f>'R3'!O34</f>
        <v>1.0583008238143461</v>
      </c>
      <c r="P44" s="86">
        <f>'R3'!P34</f>
        <v>6.3437879743959336</v>
      </c>
      <c r="Q44" s="86">
        <f>'R3'!Q34</f>
        <v>0.32090527397909391</v>
      </c>
      <c r="R44" s="86">
        <f>'R3'!R34</f>
        <v>3.7445845232741961</v>
      </c>
      <c r="S44" s="86">
        <f>'R3'!S34</f>
        <v>0.55539088815264692</v>
      </c>
      <c r="T44" s="86">
        <f>'R3'!T34</f>
        <v>1.5887223289502062</v>
      </c>
      <c r="U44" s="86">
        <f>'R3'!U34</f>
        <v>0.19183145580112226</v>
      </c>
      <c r="V44" s="86">
        <f>'R3'!V34</f>
        <v>5.4581019564430372E-2</v>
      </c>
    </row>
    <row r="45" spans="1:22" s="1" customFormat="1" x14ac:dyDescent="0.35">
      <c r="A45" s="145"/>
      <c r="B45" s="86" t="str">
        <f>'R3'!B35</f>
        <v/>
      </c>
      <c r="C45" s="86">
        <f>'R3'!C35</f>
        <v>0.84914813222909991</v>
      </c>
      <c r="D45" s="86">
        <f>'R3'!D35</f>
        <v>0.20323416373917289</v>
      </c>
      <c r="E45" s="86">
        <f>'R3'!E35</f>
        <v>6.1666638962245637</v>
      </c>
      <c r="F45" s="86" t="str">
        <f>'R3'!F35</f>
        <v/>
      </c>
      <c r="G45" s="86">
        <f>'R3'!G35</f>
        <v>5.8776559814672531</v>
      </c>
      <c r="H45" s="86">
        <f>'R3'!H35</f>
        <v>7.7270327291394887</v>
      </c>
      <c r="I45" s="86" t="str">
        <f>'R3'!I35</f>
        <v/>
      </c>
      <c r="J45" s="86">
        <f>'R3'!J35</f>
        <v>0.25285342943673172</v>
      </c>
      <c r="K45" s="86" t="str">
        <f>'R3'!K35</f>
        <v/>
      </c>
      <c r="L45" s="86">
        <f>'R3'!L35</f>
        <v>0.16540100638288271</v>
      </c>
      <c r="M45" s="86">
        <f>'R3'!M35</f>
        <v>0.12588226887550777</v>
      </c>
      <c r="N45"/>
      <c r="O45" s="86">
        <f>'R3'!O35</f>
        <v>1.9679295061366733</v>
      </c>
      <c r="P45" s="86">
        <f>'R3'!P35</f>
        <v>1.2762915855053061</v>
      </c>
      <c r="Q45" s="86" t="str">
        <f>'R3'!Q35</f>
        <v/>
      </c>
      <c r="R45" s="86">
        <f>'R3'!R35</f>
        <v>3.0752244112072948</v>
      </c>
      <c r="S45" s="86" t="str">
        <f>'R3'!S35</f>
        <v/>
      </c>
      <c r="T45" s="86">
        <f>'R3'!T35</f>
        <v>0.24882168060199045</v>
      </c>
      <c r="U45" s="86">
        <f>'R3'!U35</f>
        <v>0.57651072387766333</v>
      </c>
      <c r="V45" s="86">
        <f>'R3'!V35</f>
        <v>0.2042159796366029</v>
      </c>
    </row>
    <row r="46" spans="1:22" s="1" customFormat="1" x14ac:dyDescent="0.35">
      <c r="A46" s="145"/>
      <c r="B46" s="86" t="str">
        <f>'R3'!B36</f>
        <v/>
      </c>
      <c r="C46" s="86" t="str">
        <f>'R3'!C36</f>
        <v/>
      </c>
      <c r="D46" s="86" t="str">
        <f>'R3'!D36</f>
        <v/>
      </c>
      <c r="E46" s="86">
        <f>'R3'!E36</f>
        <v>2.5615965345439231</v>
      </c>
      <c r="F46" s="86" t="str">
        <f>'R3'!F36</f>
        <v/>
      </c>
      <c r="G46" s="86" t="str">
        <f>'R3'!G36</f>
        <v/>
      </c>
      <c r="H46" s="86" t="str">
        <f>'R3'!H36</f>
        <v/>
      </c>
      <c r="I46" s="86" t="str">
        <f>'R3'!I36</f>
        <v/>
      </c>
      <c r="J46" s="86" t="str">
        <f>'R3'!J36</f>
        <v/>
      </c>
      <c r="K46" s="86" t="str">
        <f>'R3'!K36</f>
        <v/>
      </c>
      <c r="L46" s="86" t="str">
        <f>'R3'!L36</f>
        <v/>
      </c>
      <c r="M46" s="86">
        <f>'R3'!M36</f>
        <v>9.4759482089955313E-2</v>
      </c>
      <c r="N46"/>
      <c r="O46" s="86">
        <f>'R3'!O36</f>
        <v>0.74381837010357643</v>
      </c>
      <c r="P46" s="86" t="str">
        <f>'R3'!P36</f>
        <v/>
      </c>
      <c r="Q46" s="86" t="str">
        <f>'R3'!Q36</f>
        <v/>
      </c>
      <c r="R46" s="86" t="str">
        <f>'R3'!R36</f>
        <v/>
      </c>
      <c r="S46" s="86" t="str">
        <f>'R3'!S36</f>
        <v/>
      </c>
      <c r="T46" s="86" t="str">
        <f>'R3'!T36</f>
        <v/>
      </c>
      <c r="U46" s="86" t="str">
        <f>'R3'!U36</f>
        <v/>
      </c>
      <c r="V46" s="86" t="str">
        <f>'R3'!V36</f>
        <v/>
      </c>
    </row>
    <row r="47" spans="1:22" s="1" customFormat="1" x14ac:dyDescent="0.35">
      <c r="A47" s="145"/>
      <c r="B47" s="86" t="str">
        <f>'R3'!B37</f>
        <v/>
      </c>
      <c r="C47" s="86" t="str">
        <f>'R3'!C37</f>
        <v/>
      </c>
      <c r="D47" s="86" t="str">
        <f>'R3'!D37</f>
        <v/>
      </c>
      <c r="E47" s="86" t="str">
        <f>'R3'!E37</f>
        <v/>
      </c>
      <c r="F47" s="86" t="str">
        <f>'R3'!F37</f>
        <v/>
      </c>
      <c r="G47" s="86" t="str">
        <f>'R3'!G37</f>
        <v/>
      </c>
      <c r="H47" s="86" t="str">
        <f>'R3'!H37</f>
        <v/>
      </c>
      <c r="I47" s="86" t="str">
        <f>'R3'!I37</f>
        <v/>
      </c>
      <c r="J47" s="86" t="str">
        <f>'R3'!J37</f>
        <v/>
      </c>
      <c r="K47" s="86" t="str">
        <f>'R3'!K37</f>
        <v/>
      </c>
      <c r="L47" s="86" t="str">
        <f>'R3'!L37</f>
        <v/>
      </c>
      <c r="M47" s="86" t="str">
        <f>'R3'!M37</f>
        <v/>
      </c>
      <c r="N47"/>
      <c r="O47" s="86">
        <f>'R3'!O37</f>
        <v>0.85527735759405887</v>
      </c>
      <c r="P47" s="86" t="str">
        <f>'R3'!P37</f>
        <v/>
      </c>
      <c r="Q47" s="86" t="str">
        <f>'R3'!Q37</f>
        <v/>
      </c>
      <c r="R47" s="86" t="str">
        <f>'R3'!R37</f>
        <v/>
      </c>
      <c r="S47" s="86" t="str">
        <f>'R3'!S37</f>
        <v/>
      </c>
      <c r="T47" s="86" t="str">
        <f>'R3'!T37</f>
        <v/>
      </c>
      <c r="U47" s="86" t="str">
        <f>'R3'!U37</f>
        <v/>
      </c>
      <c r="V47" s="86" t="str">
        <f>'R3'!V37</f>
        <v/>
      </c>
    </row>
    <row r="48" spans="1:22" s="1" customFormat="1" x14ac:dyDescent="0.35">
      <c r="A48" s="145"/>
      <c r="B48" s="86" t="str">
        <f>'R3'!B38</f>
        <v/>
      </c>
      <c r="C48" s="86" t="str">
        <f>'R3'!C38</f>
        <v/>
      </c>
      <c r="D48" s="86" t="str">
        <f>'R3'!D38</f>
        <v/>
      </c>
      <c r="E48" s="86" t="str">
        <f>'R3'!E38</f>
        <v/>
      </c>
      <c r="F48" s="86" t="str">
        <f>'R3'!F38</f>
        <v/>
      </c>
      <c r="G48" s="86" t="str">
        <f>'R3'!G38</f>
        <v/>
      </c>
      <c r="H48" s="86" t="str">
        <f>'R3'!H38</f>
        <v/>
      </c>
      <c r="I48" s="86" t="str">
        <f>'R3'!I38</f>
        <v/>
      </c>
      <c r="J48" s="86" t="str">
        <f>'R3'!J38</f>
        <v/>
      </c>
      <c r="K48" s="86" t="str">
        <f>'R3'!K38</f>
        <v/>
      </c>
      <c r="L48" s="86" t="str">
        <f>'R3'!L38</f>
        <v/>
      </c>
      <c r="M48" s="86" t="str">
        <f>'R3'!M38</f>
        <v/>
      </c>
      <c r="N48"/>
      <c r="O48" s="86">
        <f>'R3'!O38</f>
        <v>0.3724259984331531</v>
      </c>
      <c r="P48" s="86" t="str">
        <f>'R3'!P38</f>
        <v/>
      </c>
      <c r="Q48" s="86" t="str">
        <f>'R3'!Q38</f>
        <v/>
      </c>
      <c r="R48" s="86" t="str">
        <f>'R3'!R38</f>
        <v/>
      </c>
      <c r="S48" s="86" t="str">
        <f>'R3'!S38</f>
        <v/>
      </c>
      <c r="T48" s="86" t="str">
        <f>'R3'!T38</f>
        <v/>
      </c>
      <c r="U48" s="86" t="str">
        <f>'R3'!U38</f>
        <v/>
      </c>
      <c r="V48" s="86" t="str">
        <f>'R3'!V38</f>
        <v/>
      </c>
    </row>
    <row r="49" spans="1:24" s="1" customFormat="1" x14ac:dyDescent="0.35">
      <c r="A49" s="145"/>
      <c r="B49" s="86" t="str">
        <f>'R3'!B39</f>
        <v/>
      </c>
      <c r="C49" s="86" t="str">
        <f>'R3'!C39</f>
        <v/>
      </c>
      <c r="D49" s="86" t="str">
        <f>'R3'!D39</f>
        <v/>
      </c>
      <c r="E49" s="86" t="str">
        <f>'R3'!E39</f>
        <v/>
      </c>
      <c r="F49" s="86" t="str">
        <f>'R3'!F39</f>
        <v/>
      </c>
      <c r="G49" s="86" t="str">
        <f>'R3'!G39</f>
        <v/>
      </c>
      <c r="H49" s="86" t="str">
        <f>'R3'!H39</f>
        <v/>
      </c>
      <c r="I49" s="86" t="str">
        <f>'R3'!I39</f>
        <v/>
      </c>
      <c r="J49" s="86" t="str">
        <f>'R3'!J39</f>
        <v/>
      </c>
      <c r="K49" s="86" t="str">
        <f>'R3'!K39</f>
        <v/>
      </c>
      <c r="L49" s="86" t="str">
        <f>'R3'!L39</f>
        <v/>
      </c>
      <c r="M49" s="86" t="str">
        <f>'R3'!M39</f>
        <v/>
      </c>
      <c r="N49"/>
      <c r="O49" s="86">
        <f>'R3'!O39</f>
        <v>0.89942884997365202</v>
      </c>
      <c r="P49" s="86" t="str">
        <f>'R3'!P39</f>
        <v/>
      </c>
      <c r="Q49" s="86" t="str">
        <f>'R3'!Q39</f>
        <v/>
      </c>
      <c r="R49" s="86" t="str">
        <f>'R3'!R39</f>
        <v/>
      </c>
      <c r="S49" s="86" t="str">
        <f>'R3'!S39</f>
        <v/>
      </c>
      <c r="T49" s="86" t="str">
        <f>'R3'!T39</f>
        <v/>
      </c>
      <c r="U49" s="86" t="str">
        <f>'R3'!U39</f>
        <v/>
      </c>
      <c r="V49" s="86" t="str">
        <f>'R3'!V39</f>
        <v/>
      </c>
    </row>
    <row r="50" spans="1:24" s="1" customFormat="1" x14ac:dyDescent="0.35">
      <c r="A50" s="145"/>
      <c r="B50" s="86" t="str">
        <f>'R3'!B40</f>
        <v/>
      </c>
      <c r="C50" s="86" t="str">
        <f>'R3'!C40</f>
        <v/>
      </c>
      <c r="D50" s="86" t="str">
        <f>'R3'!D40</f>
        <v/>
      </c>
      <c r="E50" s="86" t="str">
        <f>'R3'!E40</f>
        <v/>
      </c>
      <c r="F50" s="86" t="str">
        <f>'R3'!F40</f>
        <v/>
      </c>
      <c r="G50" s="86" t="str">
        <f>'R3'!G40</f>
        <v/>
      </c>
      <c r="H50" s="86" t="str">
        <f>'R3'!H40</f>
        <v/>
      </c>
      <c r="I50" s="86" t="str">
        <f>'R3'!I40</f>
        <v/>
      </c>
      <c r="J50" s="86" t="str">
        <f>'R3'!J40</f>
        <v/>
      </c>
      <c r="K50" s="86" t="str">
        <f>'R3'!K40</f>
        <v/>
      </c>
      <c r="L50" s="86" t="str">
        <f>'R3'!L40</f>
        <v/>
      </c>
      <c r="M50" s="86" t="str">
        <f>'R3'!M40</f>
        <v/>
      </c>
      <c r="N50"/>
      <c r="O50" s="86">
        <f>'R3'!O40</f>
        <v>1.622186103332885</v>
      </c>
      <c r="P50" s="86" t="str">
        <f>'R3'!P40</f>
        <v/>
      </c>
      <c r="Q50" s="86" t="str">
        <f>'R3'!Q40</f>
        <v/>
      </c>
      <c r="R50" s="86" t="str">
        <f>'R3'!R40</f>
        <v/>
      </c>
      <c r="S50" s="86" t="str">
        <f>'R3'!S40</f>
        <v/>
      </c>
      <c r="T50" s="86" t="str">
        <f>'R3'!T40</f>
        <v/>
      </c>
      <c r="U50" s="86" t="str">
        <f>'R3'!U40</f>
        <v/>
      </c>
      <c r="V50" s="86" t="str">
        <f>'R3'!V40</f>
        <v/>
      </c>
    </row>
    <row r="51" spans="1:24" s="1" customFormat="1" x14ac:dyDescent="0.35">
      <c r="A51" s="145"/>
      <c r="B51" s="86" t="str">
        <f>'R3'!B41</f>
        <v/>
      </c>
      <c r="C51" s="86" t="str">
        <f>'R3'!C41</f>
        <v/>
      </c>
      <c r="D51" s="86" t="str">
        <f>'R3'!D41</f>
        <v/>
      </c>
      <c r="E51" s="86" t="str">
        <f>'R3'!E41</f>
        <v/>
      </c>
      <c r="F51" s="86" t="str">
        <f>'R3'!F41</f>
        <v/>
      </c>
      <c r="G51" s="86" t="str">
        <f>'R3'!G41</f>
        <v/>
      </c>
      <c r="H51" s="86" t="str">
        <f>'R3'!H41</f>
        <v/>
      </c>
      <c r="I51" s="86" t="str">
        <f>'R3'!I41</f>
        <v/>
      </c>
      <c r="J51" s="86" t="str">
        <f>'R3'!J41</f>
        <v/>
      </c>
      <c r="K51" s="86" t="str">
        <f>'R3'!K41</f>
        <v/>
      </c>
      <c r="L51" s="86" t="str">
        <f>'R3'!L41</f>
        <v/>
      </c>
      <c r="M51" s="86" t="str">
        <f>'R3'!M41</f>
        <v/>
      </c>
      <c r="N51"/>
      <c r="O51" s="86">
        <f>'R3'!O41</f>
        <v>0.32568482630299467</v>
      </c>
      <c r="P51" s="86" t="str">
        <f>'R3'!P41</f>
        <v/>
      </c>
      <c r="Q51" s="86" t="str">
        <f>'R3'!Q41</f>
        <v/>
      </c>
      <c r="R51" s="86" t="str">
        <f>'R3'!R41</f>
        <v/>
      </c>
      <c r="S51" s="86" t="str">
        <f>'R3'!S41</f>
        <v/>
      </c>
      <c r="T51" s="86" t="str">
        <f>'R3'!T41</f>
        <v/>
      </c>
      <c r="U51" s="86" t="str">
        <f>'R3'!U41</f>
        <v/>
      </c>
      <c r="V51" s="86" t="str">
        <f>'R3'!V41</f>
        <v/>
      </c>
    </row>
    <row r="52" spans="1:24" s="1" customFormat="1" x14ac:dyDescent="0.35">
      <c r="A52" s="145"/>
      <c r="B52" s="86" t="str">
        <f>'R3'!B42</f>
        <v/>
      </c>
      <c r="C52" s="86" t="str">
        <f>'R3'!C42</f>
        <v/>
      </c>
      <c r="D52" s="86" t="str">
        <f>'R3'!D42</f>
        <v/>
      </c>
      <c r="E52" s="86" t="str">
        <f>'R3'!E42</f>
        <v/>
      </c>
      <c r="F52" s="86" t="str">
        <f>'R3'!F42</f>
        <v/>
      </c>
      <c r="G52" s="86" t="str">
        <f>'R3'!G42</f>
        <v/>
      </c>
      <c r="H52" s="86" t="str">
        <f>'R3'!H42</f>
        <v/>
      </c>
      <c r="I52" s="86" t="str">
        <f>'R3'!I42</f>
        <v/>
      </c>
      <c r="J52" s="86" t="str">
        <f>'R3'!J42</f>
        <v/>
      </c>
      <c r="K52" s="86" t="str">
        <f>'R3'!K42</f>
        <v/>
      </c>
      <c r="L52" s="86" t="str">
        <f>'R3'!L42</f>
        <v/>
      </c>
      <c r="M52" s="86" t="str">
        <f>'R3'!M42</f>
        <v/>
      </c>
      <c r="N52"/>
      <c r="O52" s="86">
        <f>'R3'!O42</f>
        <v>1.7174619670469944</v>
      </c>
      <c r="P52" s="86" t="str">
        <f>'R3'!P42</f>
        <v/>
      </c>
      <c r="Q52" s="86" t="str">
        <f>'R3'!Q42</f>
        <v/>
      </c>
      <c r="R52" s="86" t="str">
        <f>'R3'!R42</f>
        <v/>
      </c>
      <c r="S52" s="86" t="str">
        <f>'R3'!S42</f>
        <v/>
      </c>
      <c r="T52" s="86" t="str">
        <f>'R3'!T42</f>
        <v/>
      </c>
      <c r="U52" s="86" t="str">
        <f>'R3'!U42</f>
        <v/>
      </c>
      <c r="V52" s="86" t="str">
        <f>'R3'!V42</f>
        <v/>
      </c>
    </row>
    <row r="53" spans="1:24" s="1" customFormat="1" x14ac:dyDescent="0.35">
      <c r="A53" s="146"/>
      <c r="B53" s="86" t="str">
        <f>'R3'!B43</f>
        <v/>
      </c>
      <c r="C53" s="86" t="str">
        <f>'R3'!C43</f>
        <v/>
      </c>
      <c r="D53" s="86" t="str">
        <f>'R3'!D43</f>
        <v/>
      </c>
      <c r="E53" s="86" t="str">
        <f>'R3'!E43</f>
        <v/>
      </c>
      <c r="F53" s="86" t="str">
        <f>'R3'!F43</f>
        <v/>
      </c>
      <c r="G53" s="86" t="str">
        <f>'R3'!G43</f>
        <v/>
      </c>
      <c r="H53" s="86" t="str">
        <f>'R3'!H43</f>
        <v/>
      </c>
      <c r="I53" s="86" t="str">
        <f>'R3'!I43</f>
        <v/>
      </c>
      <c r="J53" s="86" t="str">
        <f>'R3'!J43</f>
        <v/>
      </c>
      <c r="K53" s="86" t="str">
        <f>'R3'!K43</f>
        <v/>
      </c>
      <c r="L53" s="86" t="str">
        <f>'R3'!L43</f>
        <v/>
      </c>
      <c r="M53" s="86" t="str">
        <f>'R3'!M43</f>
        <v/>
      </c>
      <c r="N53"/>
      <c r="O53" s="86">
        <f>'R3'!O43</f>
        <v>0.53804288342145135</v>
      </c>
      <c r="P53" s="86" t="str">
        <f>'R3'!P43</f>
        <v/>
      </c>
      <c r="Q53" s="86" t="str">
        <f>'R3'!Q43</f>
        <v/>
      </c>
      <c r="R53" s="86" t="str">
        <f>'R3'!R43</f>
        <v/>
      </c>
      <c r="S53" s="86" t="str">
        <f>'R3'!S43</f>
        <v/>
      </c>
      <c r="T53" s="86" t="str">
        <f>'R3'!T43</f>
        <v/>
      </c>
      <c r="U53" s="86" t="str">
        <f>'R3'!U43</f>
        <v/>
      </c>
      <c r="V53" s="86" t="str">
        <f>'R3'!V43</f>
        <v/>
      </c>
    </row>
    <row r="54" spans="1:24" s="44" customFormat="1" x14ac:dyDescent="0.3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/>
      <c r="O54" s="43"/>
      <c r="P54" s="43"/>
      <c r="Q54" s="43"/>
      <c r="R54" s="43"/>
      <c r="S54" s="43"/>
      <c r="T54" s="43"/>
      <c r="U54" s="43"/>
      <c r="V54" s="43"/>
    </row>
    <row r="55" spans="1:24" s="26" customFormat="1" x14ac:dyDescent="0.35">
      <c r="A55" s="26" t="s">
        <v>37</v>
      </c>
      <c r="B55" s="15" t="str">
        <f t="shared" ref="B55:M55" si="0">B4</f>
        <v>Solvent control</v>
      </c>
      <c r="C55" s="15" t="str">
        <f t="shared" si="0"/>
        <v>EE2-33.8ng/L</v>
      </c>
      <c r="D55" s="15" t="str">
        <f t="shared" si="0"/>
        <v>EE2-50.6ng/L</v>
      </c>
      <c r="E55" s="15" t="str">
        <f t="shared" si="0"/>
        <v>EE2-76ng/L</v>
      </c>
      <c r="F55" s="15" t="str">
        <f t="shared" si="0"/>
        <v>EE2-114ng/L</v>
      </c>
      <c r="G55" s="15" t="str">
        <f t="shared" si="0"/>
        <v>EE2-170.9ng/L</v>
      </c>
      <c r="H55" s="15" t="str">
        <f t="shared" si="0"/>
        <v>EE2-488ng/L</v>
      </c>
      <c r="I55" s="15" t="str">
        <f t="shared" si="0"/>
        <v>Fadrozole-0,016ug/L</v>
      </c>
      <c r="J55" s="15" t="str">
        <f t="shared" si="0"/>
        <v>Fadrozole-0,08ug/L</v>
      </c>
      <c r="K55" s="15" t="str">
        <f t="shared" si="0"/>
        <v>Fadrozole-0,4ug/L</v>
      </c>
      <c r="L55" s="15" t="str">
        <f t="shared" si="0"/>
        <v>Fadrozole-2ug/L</v>
      </c>
      <c r="M55" s="15" t="str">
        <f t="shared" si="0"/>
        <v>Fadrozole-10ug/L</v>
      </c>
      <c r="O55" s="15" t="str">
        <f t="shared" ref="O55:V55" si="1">O4</f>
        <v>Testo -30µg/L</v>
      </c>
      <c r="P55" s="15" t="str">
        <f t="shared" si="1"/>
        <v>Testo 30µg/L + EE2 -64ng/L</v>
      </c>
      <c r="Q55" s="15" t="str">
        <f t="shared" si="1"/>
        <v>Testo 30µg/L + FAD-10mg/L</v>
      </c>
      <c r="R55" s="15" t="str">
        <f t="shared" si="1"/>
        <v>Fadrozole-0,016ug/L + Testostérone</v>
      </c>
      <c r="S55" s="15" t="str">
        <f t="shared" si="1"/>
        <v>Fadrozole-0,08ug/L + Testostérone</v>
      </c>
      <c r="T55" s="15" t="str">
        <f t="shared" si="1"/>
        <v>Fadrozole-0,4ug/L + Testostérone</v>
      </c>
      <c r="U55" s="15" t="str">
        <f t="shared" si="1"/>
        <v>Fadrozole-2ug/L + Testostérone</v>
      </c>
      <c r="V55" s="15" t="str">
        <f t="shared" si="1"/>
        <v>Fadrozole-10ug/L + Testostérone</v>
      </c>
    </row>
    <row r="56" spans="1:24" x14ac:dyDescent="0.35">
      <c r="A56" t="s">
        <v>10</v>
      </c>
      <c r="B56" s="9">
        <f t="shared" ref="B56:V56" si="2">AVERAGE(B6:B53)</f>
        <v>0.52442550510296981</v>
      </c>
      <c r="C56" s="9">
        <f t="shared" si="2"/>
        <v>0.55069737792502493</v>
      </c>
      <c r="D56" s="9">
        <f t="shared" si="2"/>
        <v>0.90836226677792653</v>
      </c>
      <c r="E56" s="9">
        <f t="shared" si="2"/>
        <v>2.5325997693645146</v>
      </c>
      <c r="F56" s="9">
        <f t="shared" si="2"/>
        <v>3.197566630413279</v>
      </c>
      <c r="G56" s="9">
        <f t="shared" si="2"/>
        <v>3.5552673474178058</v>
      </c>
      <c r="H56" s="9">
        <f t="shared" si="2"/>
        <v>5.4706609574483336</v>
      </c>
      <c r="I56" s="9">
        <f t="shared" si="2"/>
        <v>9.3894218553173481E-2</v>
      </c>
      <c r="J56" s="9">
        <f t="shared" si="2"/>
        <v>0.13632512551382148</v>
      </c>
      <c r="K56" s="9">
        <f t="shared" si="2"/>
        <v>0.14717718100554961</v>
      </c>
      <c r="L56" s="9">
        <f t="shared" si="2"/>
        <v>0.10426883728429488</v>
      </c>
      <c r="M56" s="9">
        <f t="shared" si="2"/>
        <v>9.7141421642530201E-2</v>
      </c>
      <c r="N56" s="9"/>
      <c r="O56" s="9">
        <f t="shared" si="2"/>
        <v>1</v>
      </c>
      <c r="P56" s="9">
        <f t="shared" si="2"/>
        <v>3.8278893667071947</v>
      </c>
      <c r="Q56" s="9">
        <f t="shared" si="2"/>
        <v>9.3828260133823518E-2</v>
      </c>
      <c r="R56" s="9">
        <f t="shared" si="2"/>
        <v>1.2782891338784244</v>
      </c>
      <c r="S56" s="9">
        <f t="shared" si="2"/>
        <v>1.0155589821577578</v>
      </c>
      <c r="T56" s="9">
        <f t="shared" si="2"/>
        <v>0.57481581890493982</v>
      </c>
      <c r="U56" s="9">
        <f t="shared" si="2"/>
        <v>0.15504290810652852</v>
      </c>
      <c r="V56" s="9">
        <f t="shared" si="2"/>
        <v>0.1431854868739745</v>
      </c>
    </row>
    <row r="57" spans="1:24" x14ac:dyDescent="0.35">
      <c r="A57" t="s">
        <v>1</v>
      </c>
      <c r="B57" s="3">
        <f>STDEV(B6:B53)</f>
        <v>1.0390900690683924</v>
      </c>
      <c r="C57" s="3">
        <f t="shared" ref="C57:V57" si="3">STDEV(C6:C53)</f>
        <v>0.80434077177250396</v>
      </c>
      <c r="D57" s="3">
        <f t="shared" si="3"/>
        <v>0.81166385489816506</v>
      </c>
      <c r="E57" s="3">
        <f t="shared" si="3"/>
        <v>1.8712779143853813</v>
      </c>
      <c r="F57" s="3">
        <f t="shared" si="3"/>
        <v>1.8296874912954482</v>
      </c>
      <c r="G57" s="3">
        <f t="shared" si="3"/>
        <v>2.1673788458603243</v>
      </c>
      <c r="H57" s="3">
        <f t="shared" si="3"/>
        <v>2.6327925308284135</v>
      </c>
      <c r="I57" s="3">
        <f t="shared" si="3"/>
        <v>5.753680021933686E-2</v>
      </c>
      <c r="J57" s="3">
        <f t="shared" si="3"/>
        <v>0.13710867809146129</v>
      </c>
      <c r="K57" s="3">
        <f t="shared" si="3"/>
        <v>0.18776346832553403</v>
      </c>
      <c r="L57" s="3">
        <f t="shared" si="3"/>
        <v>8.849102878831655E-2</v>
      </c>
      <c r="M57" s="3">
        <f t="shared" si="3"/>
        <v>6.9958765698717368E-2</v>
      </c>
      <c r="N57" s="3"/>
      <c r="O57" s="3">
        <f t="shared" si="3"/>
        <v>0.80955255002779214</v>
      </c>
      <c r="P57" s="3">
        <f t="shared" si="3"/>
        <v>2.1956109439997804</v>
      </c>
      <c r="Q57" s="3">
        <f t="shared" si="3"/>
        <v>8.3741080571779383E-2</v>
      </c>
      <c r="R57" s="3">
        <f t="shared" si="3"/>
        <v>1.1373604174256733</v>
      </c>
      <c r="S57" s="3">
        <f t="shared" si="3"/>
        <v>1.0158161882952543</v>
      </c>
      <c r="T57" s="3">
        <f t="shared" si="3"/>
        <v>0.60217529456922658</v>
      </c>
      <c r="U57" s="3">
        <f t="shared" si="3"/>
        <v>0.15556601545815199</v>
      </c>
      <c r="V57" s="3">
        <f t="shared" si="3"/>
        <v>0.14153225098140418</v>
      </c>
      <c r="W57" s="3"/>
      <c r="X57" s="3"/>
    </row>
    <row r="58" spans="1:24" x14ac:dyDescent="0.35">
      <c r="A58" t="s">
        <v>2</v>
      </c>
      <c r="B58" s="3">
        <f xml:space="preserve"> B57/SQRT(COUNT(B6:B53))</f>
        <v>0.2166652569043212</v>
      </c>
      <c r="C58" s="3">
        <f t="shared" ref="C58:V58" si="4" xml:space="preserve"> C57/SQRT(COUNT(C6:C53))</f>
        <v>0.16418537251325449</v>
      </c>
      <c r="D58" s="3">
        <f t="shared" si="4"/>
        <v>0.16924361311539746</v>
      </c>
      <c r="E58" s="3">
        <f t="shared" si="4"/>
        <v>0.37425558287707628</v>
      </c>
      <c r="F58" s="3">
        <f t="shared" si="4"/>
        <v>0.39009068385108925</v>
      </c>
      <c r="G58" s="3">
        <f t="shared" si="4"/>
        <v>0.44241435430500897</v>
      </c>
      <c r="H58" s="3">
        <f t="shared" si="4"/>
        <v>0.54897519189952959</v>
      </c>
      <c r="I58" s="3">
        <f t="shared" si="4"/>
        <v>1.1997252184453997E-2</v>
      </c>
      <c r="J58" s="3">
        <f t="shared" si="4"/>
        <v>2.7987191719299594E-2</v>
      </c>
      <c r="K58" s="3">
        <f t="shared" si="4"/>
        <v>3.9151389579222852E-2</v>
      </c>
      <c r="L58" s="3">
        <f t="shared" si="4"/>
        <v>1.8063155612109361E-2</v>
      </c>
      <c r="M58" s="3">
        <f t="shared" si="4"/>
        <v>1.3991753139743473E-2</v>
      </c>
      <c r="N58" s="3"/>
      <c r="O58" s="3">
        <f t="shared" si="4"/>
        <v>0.11684884567042345</v>
      </c>
      <c r="P58" s="3">
        <f t="shared" si="4"/>
        <v>0.44817720720582943</v>
      </c>
      <c r="Q58" s="3">
        <f t="shared" si="4"/>
        <v>1.7461222347930867E-2</v>
      </c>
      <c r="R58" s="3">
        <f t="shared" si="4"/>
        <v>0.24819239072855806</v>
      </c>
      <c r="S58" s="3">
        <f t="shared" si="4"/>
        <v>0.21181231729207611</v>
      </c>
      <c r="T58" s="3">
        <f t="shared" si="4"/>
        <v>0.12556222870674869</v>
      </c>
      <c r="U58" s="3">
        <f t="shared" si="4"/>
        <v>3.24377565604504E-2</v>
      </c>
      <c r="V58" s="3">
        <f t="shared" si="4"/>
        <v>2.8890149754330331E-2</v>
      </c>
      <c r="W58" s="3"/>
      <c r="X58" s="3"/>
    </row>
    <row r="59" spans="1:2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2" customFormat="1" ht="26.5" thickBot="1" x14ac:dyDescent="0.4">
      <c r="A60" s="147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</row>
    <row r="61" spans="1:2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35">
      <c r="A62" s="1" t="s">
        <v>37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Fadrozole-0,016ug/L</v>
      </c>
      <c r="J62" s="3" t="str">
        <f t="shared" si="6"/>
        <v>Fadrozole-0,08ug/L</v>
      </c>
      <c r="K62" s="3" t="str">
        <f t="shared" si="6"/>
        <v>Fadrozole-0,4ug/L</v>
      </c>
      <c r="L62" s="3" t="str">
        <f t="shared" si="6"/>
        <v>Fadrozole-2ug/L</v>
      </c>
      <c r="M62" s="3" t="str">
        <f t="shared" si="6"/>
        <v>Fadrozole-10ug/L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Fadrozole-0,016ug/L + Testostérone</v>
      </c>
      <c r="S62" s="3" t="str">
        <f t="shared" si="6"/>
        <v>Fadrozole-0,08ug/L + Testostérone</v>
      </c>
      <c r="T62" s="3" t="str">
        <f t="shared" si="6"/>
        <v>Fadrozole-0,4ug/L + Testostérone</v>
      </c>
      <c r="U62" s="3" t="str">
        <f t="shared" si="6"/>
        <v>Fadrozole-2ug/L + Testostérone</v>
      </c>
      <c r="V62" s="3" t="str">
        <f t="shared" si="6"/>
        <v>Fadrozole-10ug/L + Testostérone</v>
      </c>
    </row>
    <row r="63" spans="1:24" s="1" customFormat="1" x14ac:dyDescent="0.35">
      <c r="A63" s="1" t="s">
        <v>44</v>
      </c>
      <c r="B63" s="3">
        <f>COUNT(B6:B53)</f>
        <v>23</v>
      </c>
      <c r="C63" s="3">
        <f t="shared" ref="C63:V63" si="7">COUNT(C6:C53)</f>
        <v>24</v>
      </c>
      <c r="D63" s="3">
        <f t="shared" si="7"/>
        <v>23</v>
      </c>
      <c r="E63" s="3">
        <f t="shared" si="7"/>
        <v>25</v>
      </c>
      <c r="F63" s="3">
        <f t="shared" si="7"/>
        <v>22</v>
      </c>
      <c r="G63" s="3">
        <f t="shared" si="7"/>
        <v>24</v>
      </c>
      <c r="H63" s="3">
        <f t="shared" si="7"/>
        <v>23</v>
      </c>
      <c r="I63" s="3">
        <f t="shared" si="7"/>
        <v>23</v>
      </c>
      <c r="J63" s="3">
        <f t="shared" si="7"/>
        <v>24</v>
      </c>
      <c r="K63" s="3">
        <f t="shared" si="7"/>
        <v>23</v>
      </c>
      <c r="L63" s="3">
        <f t="shared" si="7"/>
        <v>24</v>
      </c>
      <c r="M63" s="3">
        <f t="shared" si="7"/>
        <v>25</v>
      </c>
      <c r="N63" s="3"/>
      <c r="O63" s="3">
        <f t="shared" si="7"/>
        <v>48</v>
      </c>
      <c r="P63" s="3">
        <f t="shared" si="7"/>
        <v>24</v>
      </c>
      <c r="Q63" s="3">
        <f t="shared" si="7"/>
        <v>23</v>
      </c>
      <c r="R63" s="3">
        <f t="shared" si="7"/>
        <v>21</v>
      </c>
      <c r="S63" s="3">
        <f t="shared" si="7"/>
        <v>23</v>
      </c>
      <c r="T63" s="3">
        <f t="shared" si="7"/>
        <v>23</v>
      </c>
      <c r="U63" s="3">
        <f t="shared" si="7"/>
        <v>23</v>
      </c>
      <c r="V63" s="3">
        <f t="shared" si="7"/>
        <v>24</v>
      </c>
    </row>
    <row r="64" spans="1:24" s="1" customFormat="1" ht="15" thickBot="1" x14ac:dyDescent="0.4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2" customFormat="1" ht="26.5" thickBot="1" x14ac:dyDescent="0.4">
      <c r="A65" s="147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</row>
    <row r="66" spans="1:2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2" customFormat="1" ht="26.5" thickBot="1" x14ac:dyDescent="0.4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spans="1:22" ht="15" thickBot="1" x14ac:dyDescent="0.4"/>
    <row r="72" spans="1:22" s="32" customFormat="1" ht="26.5" thickBot="1" x14ac:dyDescent="0.4">
      <c r="A72" s="147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spans="1:22" ht="15" thickBot="1" x14ac:dyDescent="0.4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35">
      <c r="A74" s="29" t="s">
        <v>45</v>
      </c>
      <c r="B74" s="30" t="str">
        <f t="shared" ref="B74:M74" si="9">B4</f>
        <v>Solvent control</v>
      </c>
      <c r="C74" s="30" t="str">
        <f t="shared" si="9"/>
        <v>EE2-33.8ng/L</v>
      </c>
      <c r="D74" s="30" t="str">
        <f t="shared" si="9"/>
        <v>EE2-50.6ng/L</v>
      </c>
      <c r="E74" s="30" t="str">
        <f t="shared" si="9"/>
        <v>EE2-76ng/L</v>
      </c>
      <c r="F74" s="30" t="str">
        <f t="shared" si="9"/>
        <v>EE2-114ng/L</v>
      </c>
      <c r="G74" s="30" t="str">
        <f t="shared" si="9"/>
        <v>EE2-170.9ng/L</v>
      </c>
      <c r="H74" s="30" t="str">
        <f t="shared" si="9"/>
        <v>EE2-488ng/L</v>
      </c>
      <c r="I74" s="30" t="str">
        <f t="shared" si="9"/>
        <v>Fadrozole-0,016ug/L</v>
      </c>
      <c r="J74" s="30" t="str">
        <f t="shared" si="9"/>
        <v>Fadrozole-0,08ug/L</v>
      </c>
      <c r="K74" s="30" t="str">
        <f t="shared" si="9"/>
        <v>Fadrozole-0,4ug/L</v>
      </c>
      <c r="L74" s="30" t="str">
        <f t="shared" si="9"/>
        <v>Fadrozole-2ug/L</v>
      </c>
      <c r="M74" s="30" t="str">
        <f t="shared" si="9"/>
        <v>Fadrozole-10ug/L</v>
      </c>
      <c r="N74" s="30"/>
      <c r="O74" s="30" t="str">
        <f t="shared" ref="O74:V74" si="10">O4</f>
        <v>Testo -30µg/L</v>
      </c>
      <c r="P74" s="30" t="str">
        <f t="shared" si="10"/>
        <v>Testo 30µg/L + EE2 -64ng/L</v>
      </c>
      <c r="Q74" s="30" t="str">
        <f t="shared" si="10"/>
        <v>Testo 30µg/L + FAD-10mg/L</v>
      </c>
      <c r="R74" s="30" t="str">
        <f t="shared" si="10"/>
        <v>Fadrozole-0,016ug/L + Testostérone</v>
      </c>
      <c r="S74" s="30" t="str">
        <f t="shared" si="10"/>
        <v>Fadrozole-0,08ug/L + Testostérone</v>
      </c>
      <c r="T74" s="30" t="str">
        <f t="shared" si="10"/>
        <v>Fadrozole-0,4ug/L + Testostérone</v>
      </c>
      <c r="U74" s="30" t="str">
        <f t="shared" si="10"/>
        <v>Fadrozole-2ug/L + Testostérone</v>
      </c>
      <c r="V74" s="30" t="str">
        <f t="shared" si="10"/>
        <v>Fadrozole-10ug/L + Testostérone</v>
      </c>
    </row>
    <row r="75" spans="1:22" s="3" customFormat="1" x14ac:dyDescent="0.35">
      <c r="A75" s="45" t="s">
        <v>10</v>
      </c>
      <c r="B75" s="78">
        <f>B56</f>
        <v>0.52442550510296981</v>
      </c>
      <c r="C75" s="78">
        <f t="shared" ref="C75:V75" si="11">C56</f>
        <v>0.55069737792502493</v>
      </c>
      <c r="D75" s="78">
        <f t="shared" si="11"/>
        <v>0.90836226677792653</v>
      </c>
      <c r="E75" s="78">
        <f t="shared" si="11"/>
        <v>2.5325997693645146</v>
      </c>
      <c r="F75" s="78">
        <f t="shared" si="11"/>
        <v>3.197566630413279</v>
      </c>
      <c r="G75" s="78">
        <f t="shared" si="11"/>
        <v>3.5552673474178058</v>
      </c>
      <c r="H75" s="78">
        <f t="shared" si="11"/>
        <v>5.4706609574483336</v>
      </c>
      <c r="I75" s="78">
        <f t="shared" si="11"/>
        <v>9.3894218553173481E-2</v>
      </c>
      <c r="J75" s="78">
        <f t="shared" si="11"/>
        <v>0.13632512551382148</v>
      </c>
      <c r="K75" s="78">
        <f t="shared" si="11"/>
        <v>0.14717718100554961</v>
      </c>
      <c r="L75" s="78">
        <f t="shared" si="11"/>
        <v>0.10426883728429488</v>
      </c>
      <c r="M75" s="78">
        <f t="shared" si="11"/>
        <v>9.7141421642530201E-2</v>
      </c>
      <c r="N75" s="78"/>
      <c r="O75" s="78">
        <f t="shared" si="11"/>
        <v>1</v>
      </c>
      <c r="P75" s="78">
        <f t="shared" si="11"/>
        <v>3.8278893667071947</v>
      </c>
      <c r="Q75" s="78">
        <f t="shared" si="11"/>
        <v>9.3828260133823518E-2</v>
      </c>
      <c r="R75" s="78">
        <f t="shared" si="11"/>
        <v>1.2782891338784244</v>
      </c>
      <c r="S75" s="78">
        <f t="shared" si="11"/>
        <v>1.0155589821577578</v>
      </c>
      <c r="T75" s="78">
        <f t="shared" si="11"/>
        <v>0.57481581890493982</v>
      </c>
      <c r="U75" s="78">
        <f t="shared" si="11"/>
        <v>0.15504290810652852</v>
      </c>
      <c r="V75" s="78">
        <f t="shared" si="11"/>
        <v>0.1431854868739745</v>
      </c>
    </row>
    <row r="76" spans="1:22" s="3" customFormat="1" x14ac:dyDescent="0.35">
      <c r="A76" s="45" t="s">
        <v>2</v>
      </c>
      <c r="B76" s="78">
        <f>B58</f>
        <v>0.2166652569043212</v>
      </c>
      <c r="C76" s="78">
        <f t="shared" ref="C76:V76" si="12">C58</f>
        <v>0.16418537251325449</v>
      </c>
      <c r="D76" s="78">
        <f t="shared" si="12"/>
        <v>0.16924361311539746</v>
      </c>
      <c r="E76" s="78">
        <f t="shared" si="12"/>
        <v>0.37425558287707628</v>
      </c>
      <c r="F76" s="78">
        <f t="shared" si="12"/>
        <v>0.39009068385108925</v>
      </c>
      <c r="G76" s="78">
        <f t="shared" si="12"/>
        <v>0.44241435430500897</v>
      </c>
      <c r="H76" s="78">
        <f t="shared" si="12"/>
        <v>0.54897519189952959</v>
      </c>
      <c r="I76" s="78">
        <f t="shared" si="12"/>
        <v>1.1997252184453997E-2</v>
      </c>
      <c r="J76" s="78">
        <f t="shared" si="12"/>
        <v>2.7987191719299594E-2</v>
      </c>
      <c r="K76" s="78">
        <f t="shared" si="12"/>
        <v>3.9151389579222852E-2</v>
      </c>
      <c r="L76" s="78">
        <f t="shared" si="12"/>
        <v>1.8063155612109361E-2</v>
      </c>
      <c r="M76" s="78">
        <f t="shared" si="12"/>
        <v>1.3991753139743473E-2</v>
      </c>
      <c r="N76" s="78"/>
      <c r="O76" s="78">
        <f t="shared" si="12"/>
        <v>0.11684884567042345</v>
      </c>
      <c r="P76" s="78">
        <f t="shared" si="12"/>
        <v>0.44817720720582943</v>
      </c>
      <c r="Q76" s="78">
        <f t="shared" si="12"/>
        <v>1.7461222347930867E-2</v>
      </c>
      <c r="R76" s="78">
        <f t="shared" si="12"/>
        <v>0.24819239072855806</v>
      </c>
      <c r="S76" s="78">
        <f t="shared" si="12"/>
        <v>0.21181231729207611</v>
      </c>
      <c r="T76" s="78">
        <f t="shared" si="12"/>
        <v>0.12556222870674869</v>
      </c>
      <c r="U76" s="78">
        <f t="shared" si="12"/>
        <v>3.24377565604504E-2</v>
      </c>
      <c r="V76" s="78">
        <f t="shared" si="12"/>
        <v>2.8890149754330331E-2</v>
      </c>
    </row>
    <row r="77" spans="1:22" s="3" customFormat="1" x14ac:dyDescent="0.35">
      <c r="A77" s="45" t="s">
        <v>14</v>
      </c>
      <c r="B77" s="78">
        <f>(B75*100/$B$75)-100</f>
        <v>0</v>
      </c>
      <c r="C77" s="78">
        <f t="shared" ref="C77:M77" si="13">(C75*100/$B$75)-100</f>
        <v>5.0096481895739799</v>
      </c>
      <c r="D77" s="78">
        <f t="shared" si="13"/>
        <v>73.21092470503919</v>
      </c>
      <c r="E77" s="78">
        <f t="shared" si="13"/>
        <v>382.92841303880601</v>
      </c>
      <c r="F77" s="78">
        <f t="shared" si="13"/>
        <v>509.72752074395078</v>
      </c>
      <c r="G77" s="78">
        <f t="shared" si="13"/>
        <v>577.93562914521794</v>
      </c>
      <c r="H77" s="78">
        <f t="shared" si="13"/>
        <v>943.17217683266199</v>
      </c>
      <c r="I77" s="78">
        <f t="shared" si="13"/>
        <v>-82.095794800304844</v>
      </c>
      <c r="J77" s="78">
        <f t="shared" si="13"/>
        <v>-74.00486357217612</v>
      </c>
      <c r="K77" s="78">
        <f t="shared" si="13"/>
        <v>-71.935540973230943</v>
      </c>
      <c r="L77" s="78">
        <f t="shared" si="13"/>
        <v>-80.11751215955411</v>
      </c>
      <c r="M77" s="78">
        <f t="shared" si="13"/>
        <v>-81.476602358716946</v>
      </c>
      <c r="N77" s="78"/>
      <c r="O77" s="78">
        <f>(O75*100/$O$75)-100</f>
        <v>0</v>
      </c>
      <c r="P77" s="78">
        <f t="shared" ref="P77:V77" si="14">(P75*100/$O$75)-100</f>
        <v>282.78893667071947</v>
      </c>
      <c r="Q77" s="78">
        <f t="shared" si="14"/>
        <v>-90.617173986617644</v>
      </c>
      <c r="R77" s="78">
        <f t="shared" si="14"/>
        <v>27.828913387842434</v>
      </c>
      <c r="S77" s="78">
        <f t="shared" si="14"/>
        <v>1.5558982157757697</v>
      </c>
      <c r="T77" s="78">
        <f t="shared" si="14"/>
        <v>-42.518418109506015</v>
      </c>
      <c r="U77" s="78">
        <f t="shared" si="14"/>
        <v>-84.495709189347153</v>
      </c>
      <c r="V77" s="78">
        <f t="shared" si="14"/>
        <v>-85.681451312602547</v>
      </c>
    </row>
    <row r="78" spans="1:22" s="3" customFormat="1" x14ac:dyDescent="0.35">
      <c r="A78" s="45" t="s">
        <v>38</v>
      </c>
      <c r="B78" s="78">
        <f>[1]!DPTEST(B6:B53)</f>
        <v>5.8953842276832091E-6</v>
      </c>
      <c r="C78" s="78">
        <f>[1]!DPTEST(C6:C53)</f>
        <v>1.7405998964381553E-7</v>
      </c>
      <c r="D78" s="78">
        <f>[1]!DPTEST(D6:D53)</f>
        <v>2.8992129484706197E-5</v>
      </c>
      <c r="E78" s="78">
        <f>[1]!DPTEST(E6:E53)</f>
        <v>0.11397786537719889</v>
      </c>
      <c r="F78" s="78">
        <f>[1]!DPTEST(F6:F53)</f>
        <v>0.17809589480888577</v>
      </c>
      <c r="G78" s="78">
        <f>[1]!DPTEST(G6:G53)</f>
        <v>0.29519054184780957</v>
      </c>
      <c r="H78" s="78">
        <f>[1]!DPTEST(H6:H53)</f>
        <v>0.19673356279279375</v>
      </c>
      <c r="I78" s="78">
        <f>[1]!DPTEST(I6:I53)</f>
        <v>0.59349059491934919</v>
      </c>
      <c r="J78" s="78">
        <f>[1]!DPTEST(J6:J53)</f>
        <v>8.4651893605958151E-8</v>
      </c>
      <c r="K78" s="78">
        <f>[1]!DPTEST(K6:K53)</f>
        <v>7.2457004607340281E-7</v>
      </c>
      <c r="L78" s="78">
        <f>[1]!DPTEST(L6:L53)</f>
        <v>0.16027018894584677</v>
      </c>
      <c r="M78" s="78">
        <f>[1]!DPTEST(M6:M53)</f>
        <v>0.29547590742551755</v>
      </c>
      <c r="N78" s="78"/>
      <c r="O78" s="78">
        <f>[1]!DPTEST(O6:O53)</f>
        <v>4.8680109076989053E-2</v>
      </c>
      <c r="P78" s="78">
        <f>[1]!DPTEST(P6:P53)</f>
        <v>0.14895855131885327</v>
      </c>
      <c r="Q78" s="78">
        <f>[1]!DPTEST(Q6:Q53)</f>
        <v>2.1746500901136945E-2</v>
      </c>
      <c r="R78" s="78">
        <f>[1]!DPTEST(R6:R53)</f>
        <v>0.20522169137941104</v>
      </c>
      <c r="S78" s="78">
        <f>[1]!DPTEST(S6:S53)</f>
        <v>8.2752006271835654E-6</v>
      </c>
      <c r="T78" s="78">
        <f>[1]!DPTEST(T6:T53)</f>
        <v>1.5274600368875291E-5</v>
      </c>
      <c r="U78" s="78">
        <f>[1]!DPTEST(U6:U53)</f>
        <v>3.1712015514572256E-3</v>
      </c>
      <c r="V78" s="78">
        <f>[1]!DPTEST(V6:V53)</f>
        <v>6.2981069153256186E-6</v>
      </c>
    </row>
    <row r="79" spans="1:22" s="3" customFormat="1" x14ac:dyDescent="0.35">
      <c r="A79" s="45" t="s">
        <v>39</v>
      </c>
      <c r="B79" s="78" t="str">
        <f>IF(B78&gt;0.05,"Oui","Non")</f>
        <v>Non</v>
      </c>
      <c r="C79" s="78" t="str">
        <f t="shared" ref="C79:V79" si="15">IF(C78&gt;0.05,"Oui","Non")</f>
        <v>Non</v>
      </c>
      <c r="D79" s="78" t="str">
        <f t="shared" si="15"/>
        <v>Non</v>
      </c>
      <c r="E79" s="78" t="str">
        <f t="shared" si="15"/>
        <v>Oui</v>
      </c>
      <c r="F79" s="78" t="str">
        <f t="shared" si="15"/>
        <v>Oui</v>
      </c>
      <c r="G79" s="78" t="str">
        <f t="shared" si="15"/>
        <v>Oui</v>
      </c>
      <c r="H79" s="78" t="str">
        <f t="shared" si="15"/>
        <v>Oui</v>
      </c>
      <c r="I79" s="78" t="str">
        <f t="shared" si="15"/>
        <v>Oui</v>
      </c>
      <c r="J79" s="78" t="str">
        <f t="shared" si="15"/>
        <v>Non</v>
      </c>
      <c r="K79" s="78" t="str">
        <f t="shared" si="15"/>
        <v>Non</v>
      </c>
      <c r="L79" s="78" t="str">
        <f t="shared" si="15"/>
        <v>Oui</v>
      </c>
      <c r="M79" s="78" t="str">
        <f t="shared" si="15"/>
        <v>Oui</v>
      </c>
      <c r="N79" s="78"/>
      <c r="O79" s="78" t="str">
        <f t="shared" si="15"/>
        <v>Non</v>
      </c>
      <c r="P79" s="78" t="str">
        <f t="shared" si="15"/>
        <v>Oui</v>
      </c>
      <c r="Q79" s="78" t="str">
        <f t="shared" si="15"/>
        <v>Non</v>
      </c>
      <c r="R79" s="78" t="str">
        <f t="shared" si="15"/>
        <v>Oui</v>
      </c>
      <c r="S79" s="78" t="str">
        <f t="shared" si="15"/>
        <v>Non</v>
      </c>
      <c r="T79" s="78" t="str">
        <f t="shared" si="15"/>
        <v>Non</v>
      </c>
      <c r="U79" s="78" t="str">
        <f t="shared" si="15"/>
        <v>Non</v>
      </c>
      <c r="V79" s="78" t="str">
        <f t="shared" si="15"/>
        <v>Non</v>
      </c>
    </row>
    <row r="80" spans="1:22" s="3" customFormat="1" x14ac:dyDescent="0.35">
      <c r="A80" s="45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</row>
    <row r="81" spans="1:23" s="3" customFormat="1" x14ac:dyDescent="0.35">
      <c r="A81" s="45" t="s">
        <v>40</v>
      </c>
      <c r="B81" s="78"/>
      <c r="C81" s="78" t="s">
        <v>54</v>
      </c>
      <c r="D81" s="78" t="s">
        <v>54</v>
      </c>
      <c r="E81" s="78" t="s">
        <v>54</v>
      </c>
      <c r="F81" s="78" t="s">
        <v>54</v>
      </c>
      <c r="G81" s="78" t="s">
        <v>54</v>
      </c>
      <c r="H81" s="78" t="s">
        <v>54</v>
      </c>
      <c r="I81" s="78" t="s">
        <v>54</v>
      </c>
      <c r="J81" s="78" t="s">
        <v>54</v>
      </c>
      <c r="K81" s="78" t="s">
        <v>54</v>
      </c>
      <c r="L81" s="78" t="s">
        <v>54</v>
      </c>
      <c r="M81" s="78" t="s">
        <v>54</v>
      </c>
      <c r="N81" s="78"/>
      <c r="O81" s="78" t="str">
        <f>IF($B79="Non",IF(O79="Non","Mann Withney",IF(O79="Oui","Mann Withney","")),IF($B79="Oui",IF(O79="Oui","T-Test Welch",IF(O79="Non","Mann Withney",""))))</f>
        <v>Mann Withney</v>
      </c>
      <c r="P81" s="78" t="str">
        <f t="shared" ref="P81:Q81" si="16">IF($O79="Non",IF(P79="Non","Mann Withney",IF(P$79="Oui","Mann Withney","")),IF($O79="Oui",IF(P79="Oui","T-Test Welch",IF(P79="Non","Mann Withney",""))))</f>
        <v>Mann Withney</v>
      </c>
      <c r="Q81" s="78" t="str">
        <f t="shared" si="16"/>
        <v>Mann Withney</v>
      </c>
      <c r="R81" s="78" t="s">
        <v>54</v>
      </c>
      <c r="S81" s="78" t="s">
        <v>54</v>
      </c>
      <c r="T81" s="78" t="s">
        <v>54</v>
      </c>
      <c r="U81" s="78" t="s">
        <v>54</v>
      </c>
      <c r="V81" s="78" t="s">
        <v>54</v>
      </c>
    </row>
    <row r="82" spans="1:23" s="3" customFormat="1" x14ac:dyDescent="0.35">
      <c r="A82" s="45" t="s">
        <v>41</v>
      </c>
      <c r="B82" s="78"/>
      <c r="C82" s="78" t="s">
        <v>51</v>
      </c>
      <c r="D82" s="78">
        <v>0.32</v>
      </c>
      <c r="E82" s="78" t="s">
        <v>53</v>
      </c>
      <c r="F82" s="78" t="s">
        <v>53</v>
      </c>
      <c r="G82" s="78" t="s">
        <v>53</v>
      </c>
      <c r="H82" s="78" t="s">
        <v>53</v>
      </c>
      <c r="I82" s="78" t="s">
        <v>51</v>
      </c>
      <c r="J82" s="78" t="s">
        <v>51</v>
      </c>
      <c r="K82" s="78" t="s">
        <v>51</v>
      </c>
      <c r="L82" s="78" t="s">
        <v>51</v>
      </c>
      <c r="M82" s="78" t="s">
        <v>51</v>
      </c>
      <c r="N82" s="78"/>
      <c r="O82" s="78">
        <f>IF(O81="Mann Withney",[1]!MTEST($B6:$B37,O6:O53,2), IF(O81="T-Test Welch",_xlfn.T.TEST($B6:$B37,O6:O53,2,3),""))</f>
        <v>4.3171098829120069E-7</v>
      </c>
      <c r="P82" s="78">
        <f>IF(P81="Mann Withney",[1]!MTEST($O6:$O53,P6:P53,2), IF(P81="T-Test Welch",_xlfn.T.TEST($O6:$O53,P6:P53,2,3),""))</f>
        <v>7.943248947483994E-9</v>
      </c>
      <c r="Q82" s="78">
        <f>IF(Q81="Mann Withney",[1]!MTEST($O6:$O53,Q6:Q53,2), IF(Q81="T-Test Welch",_xlfn.T.TEST($O6:$O53,Q6:Q53,2,3),""))</f>
        <v>3.9692855891004797E-8</v>
      </c>
      <c r="R82" s="78" t="s">
        <v>51</v>
      </c>
      <c r="S82" s="78" t="s">
        <v>51</v>
      </c>
      <c r="T82" s="78">
        <v>0.4</v>
      </c>
      <c r="U82" s="78" t="s">
        <v>53</v>
      </c>
      <c r="V82" s="78" t="s">
        <v>53</v>
      </c>
    </row>
    <row r="83" spans="1:23" s="3" customFormat="1" ht="15" thickBot="1" x14ac:dyDescent="0.4">
      <c r="A83" s="46" t="s">
        <v>15</v>
      </c>
      <c r="B83" s="79"/>
      <c r="C83" s="79" t="s">
        <v>50</v>
      </c>
      <c r="D83" s="79" t="s">
        <v>50</v>
      </c>
      <c r="E83" s="79" t="s">
        <v>52</v>
      </c>
      <c r="F83" s="79" t="s">
        <v>52</v>
      </c>
      <c r="G83" s="79" t="s">
        <v>52</v>
      </c>
      <c r="H83" s="79" t="s">
        <v>52</v>
      </c>
      <c r="I83" s="79" t="s">
        <v>50</v>
      </c>
      <c r="J83" s="79" t="s">
        <v>50</v>
      </c>
      <c r="K83" s="79" t="s">
        <v>50</v>
      </c>
      <c r="L83" s="79" t="s">
        <v>50</v>
      </c>
      <c r="M83" s="79" t="s">
        <v>50</v>
      </c>
      <c r="N83" s="79"/>
      <c r="O83" s="79" t="str">
        <f t="shared" ref="O83" si="17">IF(O82&gt;0.05,"NS",IF(O82&gt;0.01,"*",IF(O82&gt;0.001,"**","***")))</f>
        <v>***</v>
      </c>
      <c r="P83" s="79" t="str">
        <f t="shared" ref="P83" si="18">IF(P82&gt;0.05,"NS",IF(P82&gt;0.01,"*",IF(P82&gt;0.001,"**","***")))</f>
        <v>***</v>
      </c>
      <c r="Q83" s="79" t="str">
        <f t="shared" ref="Q83" si="19">IF(Q82&gt;0.05,"NS",IF(Q82&gt;0.01,"*",IF(Q82&gt;0.001,"**","***")))</f>
        <v>***</v>
      </c>
      <c r="R83" s="79" t="s">
        <v>50</v>
      </c>
      <c r="S83" s="79" t="s">
        <v>50</v>
      </c>
      <c r="T83" s="79" t="s">
        <v>50</v>
      </c>
      <c r="U83" s="79" t="s">
        <v>52</v>
      </c>
      <c r="V83" s="79" t="s">
        <v>52</v>
      </c>
    </row>
    <row r="84" spans="1:23" s="1" customFormat="1" x14ac:dyDescent="0.35"/>
    <row r="85" spans="1:23" s="1" customFormat="1" x14ac:dyDescent="0.35">
      <c r="A85" s="2"/>
    </row>
    <row r="86" spans="1:23" x14ac:dyDescent="0.35">
      <c r="A86" s="1"/>
      <c r="B86" s="1"/>
    </row>
    <row r="87" spans="1:23" x14ac:dyDescent="0.35">
      <c r="A87" s="1"/>
      <c r="B87" s="1"/>
    </row>
    <row r="88" spans="1:23" ht="15" thickBot="1" x14ac:dyDescent="0.4"/>
    <row r="89" spans="1:23" s="32" customFormat="1" ht="26.5" thickBot="1" x14ac:dyDescent="0.4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1:23" ht="15" thickBot="1" x14ac:dyDescent="0.4"/>
    <row r="91" spans="1:23" s="32" customFormat="1" ht="26.5" thickBot="1" x14ac:dyDescent="0.4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1:23" ht="15" thickBot="1" x14ac:dyDescent="0.4"/>
    <row r="93" spans="1:23" s="32" customFormat="1" ht="26.5" thickBot="1" x14ac:dyDescent="0.4">
      <c r="A93" s="147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</row>
    <row r="94" spans="1:23" x14ac:dyDescent="0.35">
      <c r="B94" s="1">
        <f t="shared" ref="B94:V94" si="20">B75/$B$75</f>
        <v>1</v>
      </c>
      <c r="C94" s="1">
        <f t="shared" si="20"/>
        <v>1.0500964818957397</v>
      </c>
      <c r="D94" s="1">
        <f t="shared" si="20"/>
        <v>1.732109247050392</v>
      </c>
      <c r="E94" s="1">
        <f t="shared" si="20"/>
        <v>4.8292841303880598</v>
      </c>
      <c r="F94" s="1">
        <f t="shared" si="20"/>
        <v>6.097275207439508</v>
      </c>
      <c r="G94" s="1">
        <f t="shared" si="20"/>
        <v>6.7793562914521805</v>
      </c>
      <c r="H94" s="1">
        <f>H75/$B$75</f>
        <v>10.431721768326621</v>
      </c>
      <c r="I94" s="1">
        <f t="shared" si="20"/>
        <v>0.1790420519969515</v>
      </c>
      <c r="J94" s="1">
        <f t="shared" si="20"/>
        <v>0.25995136427823878</v>
      </c>
      <c r="K94" s="1">
        <f t="shared" si="20"/>
        <v>0.28064459026769051</v>
      </c>
      <c r="L94" s="1">
        <f t="shared" si="20"/>
        <v>0.19882487840445884</v>
      </c>
      <c r="M94" s="1">
        <f t="shared" si="20"/>
        <v>0.18523397641283043</v>
      </c>
      <c r="N94" s="1">
        <f t="shared" si="20"/>
        <v>0</v>
      </c>
      <c r="O94" s="1">
        <f t="shared" si="20"/>
        <v>1.906848523325829</v>
      </c>
      <c r="P94" s="1">
        <f t="shared" si="20"/>
        <v>7.2992051863602567</v>
      </c>
      <c r="Q94" s="1">
        <f t="shared" si="20"/>
        <v>0.17891627928241313</v>
      </c>
      <c r="R94" s="1">
        <f t="shared" si="20"/>
        <v>2.4375037473195262</v>
      </c>
      <c r="S94" s="1">
        <f t="shared" si="20"/>
        <v>1.9365171454778023</v>
      </c>
      <c r="T94" s="1">
        <f t="shared" si="20"/>
        <v>1.0960866954632116</v>
      </c>
      <c r="U94" s="1">
        <f t="shared" si="20"/>
        <v>0.29564334037507611</v>
      </c>
      <c r="V94" s="1">
        <f t="shared" si="20"/>
        <v>0.27303303420732816</v>
      </c>
      <c r="W94" s="1"/>
    </row>
    <row r="97" spans="4:17" x14ac:dyDescent="0.35">
      <c r="D97" s="1"/>
      <c r="E97" s="1"/>
    </row>
    <row r="98" spans="4:17" x14ac:dyDescent="0.35">
      <c r="D98" s="1"/>
      <c r="E98" s="1"/>
    </row>
    <row r="99" spans="4:17" x14ac:dyDescent="0.35">
      <c r="D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4:17" x14ac:dyDescent="0.35">
      <c r="D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4:17" x14ac:dyDescent="0.35">
      <c r="D101" s="1"/>
      <c r="E101" s="1"/>
    </row>
    <row r="102" spans="4:17" x14ac:dyDescent="0.35">
      <c r="D102" s="1"/>
      <c r="E102" s="1"/>
    </row>
    <row r="103" spans="4:17" x14ac:dyDescent="0.35">
      <c r="D103" s="1"/>
      <c r="E103" s="1"/>
    </row>
    <row r="104" spans="4:17" x14ac:dyDescent="0.35">
      <c r="D104" s="1"/>
      <c r="E104" s="1"/>
    </row>
    <row r="105" spans="4:17" x14ac:dyDescent="0.35">
      <c r="D105" s="1"/>
      <c r="E105" s="1"/>
    </row>
    <row r="106" spans="4:17" x14ac:dyDescent="0.35">
      <c r="D106" s="1"/>
      <c r="E106" s="1"/>
      <c r="F106" s="1"/>
      <c r="G106" s="1"/>
      <c r="H106" s="1"/>
      <c r="I106" s="1"/>
      <c r="J106" s="1"/>
    </row>
    <row r="107" spans="4:17" x14ac:dyDescent="0.35">
      <c r="D107" s="1"/>
      <c r="E107" s="1"/>
      <c r="F107" s="1"/>
      <c r="G107" s="1"/>
      <c r="H107" s="1"/>
      <c r="I107" s="1"/>
      <c r="J107" s="1"/>
    </row>
    <row r="115" spans="4:5" x14ac:dyDescent="0.35">
      <c r="D115" s="1"/>
      <c r="E115" s="1"/>
    </row>
    <row r="116" spans="4:5" x14ac:dyDescent="0.35">
      <c r="D116" s="1"/>
      <c r="E116" s="1"/>
    </row>
    <row r="117" spans="4:5" x14ac:dyDescent="0.35">
      <c r="D117" s="1"/>
      <c r="E117" s="1"/>
    </row>
    <row r="118" spans="4:5" x14ac:dyDescent="0.35">
      <c r="D118" s="1"/>
      <c r="E118" s="1"/>
    </row>
    <row r="119" spans="4:5" x14ac:dyDescent="0.35">
      <c r="D119" s="1"/>
      <c r="E119" s="1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C76CE-52C4-4D33-8E74-078785190B56}"/>
</file>

<file path=customXml/itemProps2.xml><?xml version="1.0" encoding="utf-8"?>
<ds:datastoreItem xmlns:ds="http://schemas.openxmlformats.org/officeDocument/2006/customXml" ds:itemID="{E29D3678-9654-4B2A-89F5-8CF486F0DDC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6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Front page</vt:lpstr>
      <vt:lpstr>Comments R1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2022-10-05T15:08:41Z</dcterms:modified>
</cp:coreProperties>
</file>