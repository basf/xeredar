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6.xml" ContentType="application/vnd.openxmlformats-officedocument.drawingml.chartshapes+xml"/>
  <Override PartName="/xl/drawings/drawing2.xml" ContentType="application/vnd.openxmlformats-officedocument.drawingml.chartshapes+xml"/>
  <Override PartName="/xl/drawings/drawing4.xml" ContentType="application/vnd.openxmlformats-officedocument.drawingml.chartshap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chartsheets/sheet2.xml" ContentType="application/vnd.openxmlformats-officedocument.spreadsheetml.chartsheet+xml"/>
  <Override PartName="/xl/worksheets/sheet5.xml" ContentType="application/vnd.openxmlformats-officedocument.spreadsheetml.worksheet+xml"/>
  <Override PartName="/xl/chartsheets/sheet3.xml" ContentType="application/vnd.openxmlformats-officedocument.spreadsheetml.chartsheet+xml"/>
  <Override PartName="/xl/worksheets/sheet6.xml" ContentType="application/vnd.openxmlformats-officedocument.spreadsheetml.worksheet+xml"/>
  <Override PartName="/xl/chartsheets/sheet4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7.xml" ContentType="application/vnd.openxmlformats-officedocument.drawing+xml"/>
  <Override PartName="/xl/externalLinks/externalLink1.xml" ContentType="application/vnd.openxmlformats-officedocument.spreadsheetml.externalLink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filterPrivacy="1" hidePivotFieldList="1" defaultThemeVersion="124226"/>
  <xr:revisionPtr revIDLastSave="0" documentId="13_ncr:1_{94ECFD49-F4DE-4457-9F21-2B7E1C51DFB1}" xr6:coauthVersionLast="47" xr6:coauthVersionMax="47" xr10:uidLastSave="{00000000-0000-0000-0000-000000000000}"/>
  <bookViews>
    <workbookView xWindow="-110" yWindow="-110" windowWidth="19420" windowHeight="10420" firstSheet="4" activeTab="8" xr2:uid="{00000000-000D-0000-FFFF-FFFF00000000}"/>
  </bookViews>
  <sheets>
    <sheet name="Front page" sheetId="10" r:id="rId1"/>
    <sheet name="Comments R1" sheetId="35" r:id="rId2"/>
    <sheet name="R1" sheetId="1" r:id="rId3"/>
    <sheet name="Graph R1" sheetId="8" r:id="rId4"/>
    <sheet name="R2" sheetId="23" r:id="rId5"/>
    <sheet name="Graph R2" sheetId="19" r:id="rId6"/>
    <sheet name="R3" sheetId="33" r:id="rId7"/>
    <sheet name="Graph R3" sheetId="34" r:id="rId8"/>
    <sheet name="pooled normalised values" sheetId="4" r:id="rId9"/>
    <sheet name="pooled normalised graphe" sheetId="5" r:id="rId10"/>
  </sheets>
  <externalReferences>
    <externalReference r:id="rId11"/>
  </externalReferences>
  <definedNames>
    <definedName name="_xlnm.Print_Area" localSheetId="0">'Front page'!$A$1:$I$51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94" i="4" l="1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E94" i="4"/>
  <c r="D94" i="4"/>
  <c r="C94" i="4"/>
  <c r="B94" i="4"/>
  <c r="A14" i="10" l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A7" i="10"/>
  <c r="Q36" i="1"/>
  <c r="R36" i="1"/>
  <c r="S36" i="1"/>
  <c r="T36" i="1"/>
  <c r="U36" i="1"/>
  <c r="V36" i="1"/>
  <c r="B36" i="1"/>
  <c r="C36" i="1"/>
  <c r="D36" i="1"/>
  <c r="E36" i="1"/>
  <c r="F36" i="1"/>
  <c r="G36" i="1"/>
  <c r="H36" i="1"/>
  <c r="I36" i="1"/>
  <c r="J36" i="1"/>
  <c r="K36" i="1"/>
  <c r="L36" i="1"/>
  <c r="M36" i="1"/>
  <c r="A45" i="33"/>
  <c r="A27" i="33"/>
  <c r="A52" i="33" s="1"/>
  <c r="A22" i="33"/>
  <c r="A45" i="23"/>
  <c r="A27" i="23"/>
  <c r="A52" i="23" s="1"/>
  <c r="A22" i="23"/>
  <c r="A27" i="1"/>
  <c r="A45" i="1"/>
  <c r="B39" i="10"/>
  <c r="C39" i="10"/>
  <c r="D39" i="10"/>
  <c r="E39" i="10"/>
  <c r="B40" i="10"/>
  <c r="C40" i="10"/>
  <c r="D40" i="10"/>
  <c r="E40" i="10"/>
  <c r="B41" i="10"/>
  <c r="C41" i="10"/>
  <c r="D41" i="10"/>
  <c r="E41" i="10"/>
  <c r="B42" i="10"/>
  <c r="C42" i="10"/>
  <c r="D42" i="10"/>
  <c r="E42" i="10"/>
  <c r="B43" i="10"/>
  <c r="C43" i="10"/>
  <c r="D43" i="10"/>
  <c r="E43" i="10"/>
  <c r="B44" i="10"/>
  <c r="C44" i="10"/>
  <c r="D44" i="10"/>
  <c r="E44" i="10"/>
  <c r="B45" i="10"/>
  <c r="C45" i="10"/>
  <c r="D45" i="10"/>
  <c r="E45" i="10"/>
  <c r="B46" i="10"/>
  <c r="C46" i="10"/>
  <c r="D46" i="10"/>
  <c r="E46" i="10"/>
  <c r="B47" i="10"/>
  <c r="C47" i="10"/>
  <c r="D47" i="10"/>
  <c r="E47" i="10"/>
  <c r="B48" i="10"/>
  <c r="C48" i="10"/>
  <c r="D48" i="10"/>
  <c r="E48" i="10"/>
  <c r="B49" i="10"/>
  <c r="C49" i="10"/>
  <c r="D49" i="10"/>
  <c r="E49" i="10"/>
  <c r="B50" i="10"/>
  <c r="C50" i="10"/>
  <c r="D50" i="10"/>
  <c r="E50" i="10"/>
  <c r="B51" i="10"/>
  <c r="C51" i="10"/>
  <c r="D51" i="10"/>
  <c r="E51" i="10"/>
  <c r="B52" i="10"/>
  <c r="C52" i="10"/>
  <c r="D52" i="10"/>
  <c r="E52" i="10"/>
  <c r="B53" i="10"/>
  <c r="C53" i="10"/>
  <c r="D53" i="10"/>
  <c r="E53" i="10"/>
  <c r="B54" i="10"/>
  <c r="C54" i="10"/>
  <c r="D54" i="10"/>
  <c r="E54" i="10"/>
  <c r="B55" i="10"/>
  <c r="C55" i="10"/>
  <c r="D55" i="10"/>
  <c r="E55" i="10"/>
  <c r="B56" i="10"/>
  <c r="C56" i="10"/>
  <c r="D56" i="10"/>
  <c r="E56" i="10"/>
  <c r="B57" i="10"/>
  <c r="C57" i="10"/>
  <c r="D57" i="10"/>
  <c r="E57" i="10"/>
  <c r="C38" i="10"/>
  <c r="D38" i="10"/>
  <c r="E38" i="10"/>
  <c r="B38" i="10"/>
  <c r="A8" i="10" l="1"/>
  <c r="A9" i="10"/>
  <c r="A10" i="10"/>
  <c r="A11" i="10"/>
  <c r="A12" i="10"/>
  <c r="A13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B4" i="33" l="1"/>
  <c r="B4" i="23" l="1"/>
  <c r="B4" i="1"/>
  <c r="H4" i="33" l="1"/>
  <c r="H4" i="23"/>
  <c r="H4" i="1"/>
  <c r="G4" i="33"/>
  <c r="G4" i="23"/>
  <c r="G4" i="1"/>
  <c r="C4" i="33"/>
  <c r="C4" i="23"/>
  <c r="C4" i="1"/>
  <c r="D4" i="33"/>
  <c r="D4" i="23"/>
  <c r="D4" i="1"/>
  <c r="F4" i="33" l="1"/>
  <c r="F4" i="23"/>
  <c r="F4" i="1"/>
  <c r="E4" i="33"/>
  <c r="E4" i="23"/>
  <c r="E4" i="1"/>
  <c r="I4" i="33"/>
  <c r="I4" i="23"/>
  <c r="I4" i="1"/>
  <c r="V43" i="33" l="1"/>
  <c r="V53" i="4" s="1"/>
  <c r="U43" i="33"/>
  <c r="U53" i="4" s="1"/>
  <c r="T43" i="33"/>
  <c r="T53" i="4" s="1"/>
  <c r="S43" i="33"/>
  <c r="S53" i="4" s="1"/>
  <c r="R43" i="33"/>
  <c r="R53" i="4" s="1"/>
  <c r="Q43" i="33"/>
  <c r="Q53" i="4" s="1"/>
  <c r="P43" i="33"/>
  <c r="P53" i="4" s="1"/>
  <c r="M43" i="33"/>
  <c r="M53" i="4" s="1"/>
  <c r="L43" i="33"/>
  <c r="L53" i="4" s="1"/>
  <c r="K43" i="33"/>
  <c r="K53" i="4" s="1"/>
  <c r="J43" i="33"/>
  <c r="J53" i="4" s="1"/>
  <c r="I43" i="33"/>
  <c r="I53" i="4" s="1"/>
  <c r="H43" i="33"/>
  <c r="H53" i="4" s="1"/>
  <c r="G43" i="33"/>
  <c r="G53" i="4" s="1"/>
  <c r="F43" i="33"/>
  <c r="F53" i="4" s="1"/>
  <c r="E43" i="33"/>
  <c r="E53" i="4" s="1"/>
  <c r="D43" i="33"/>
  <c r="D53" i="4" s="1"/>
  <c r="C43" i="33"/>
  <c r="C53" i="4" s="1"/>
  <c r="B43" i="33"/>
  <c r="B53" i="4" s="1"/>
  <c r="V42" i="33"/>
  <c r="V52" i="4" s="1"/>
  <c r="U42" i="33"/>
  <c r="U52" i="4" s="1"/>
  <c r="T42" i="33"/>
  <c r="T52" i="4" s="1"/>
  <c r="S42" i="33"/>
  <c r="S52" i="4" s="1"/>
  <c r="R42" i="33"/>
  <c r="R52" i="4" s="1"/>
  <c r="Q42" i="33"/>
  <c r="Q52" i="4" s="1"/>
  <c r="P42" i="33"/>
  <c r="P52" i="4" s="1"/>
  <c r="M42" i="33"/>
  <c r="M52" i="4" s="1"/>
  <c r="L42" i="33"/>
  <c r="L52" i="4" s="1"/>
  <c r="K42" i="33"/>
  <c r="K52" i="4" s="1"/>
  <c r="J42" i="33"/>
  <c r="J52" i="4" s="1"/>
  <c r="I42" i="33"/>
  <c r="I52" i="4" s="1"/>
  <c r="H42" i="33"/>
  <c r="H52" i="4" s="1"/>
  <c r="G42" i="33"/>
  <c r="G52" i="4" s="1"/>
  <c r="F42" i="33"/>
  <c r="F52" i="4" s="1"/>
  <c r="E42" i="33"/>
  <c r="E52" i="4" s="1"/>
  <c r="D42" i="33"/>
  <c r="D52" i="4" s="1"/>
  <c r="C42" i="33"/>
  <c r="C52" i="4" s="1"/>
  <c r="B42" i="33"/>
  <c r="B52" i="4" s="1"/>
  <c r="V41" i="33"/>
  <c r="V51" i="4" s="1"/>
  <c r="U41" i="33"/>
  <c r="U51" i="4" s="1"/>
  <c r="T41" i="33"/>
  <c r="T51" i="4" s="1"/>
  <c r="S41" i="33"/>
  <c r="S51" i="4" s="1"/>
  <c r="R41" i="33"/>
  <c r="R51" i="4" s="1"/>
  <c r="Q41" i="33"/>
  <c r="Q51" i="4" s="1"/>
  <c r="P41" i="33"/>
  <c r="P51" i="4" s="1"/>
  <c r="M41" i="33"/>
  <c r="M51" i="4" s="1"/>
  <c r="L41" i="33"/>
  <c r="L51" i="4" s="1"/>
  <c r="K41" i="33"/>
  <c r="K51" i="4" s="1"/>
  <c r="J41" i="33"/>
  <c r="J51" i="4" s="1"/>
  <c r="I41" i="33"/>
  <c r="I51" i="4" s="1"/>
  <c r="H41" i="33"/>
  <c r="H51" i="4" s="1"/>
  <c r="G41" i="33"/>
  <c r="G51" i="4" s="1"/>
  <c r="F41" i="33"/>
  <c r="F51" i="4" s="1"/>
  <c r="E41" i="33"/>
  <c r="E51" i="4" s="1"/>
  <c r="D41" i="33"/>
  <c r="D51" i="4" s="1"/>
  <c r="C41" i="33"/>
  <c r="C51" i="4" s="1"/>
  <c r="B41" i="33"/>
  <c r="B51" i="4" s="1"/>
  <c r="V40" i="33"/>
  <c r="V50" i="4" s="1"/>
  <c r="U40" i="33"/>
  <c r="U50" i="4" s="1"/>
  <c r="T40" i="33"/>
  <c r="T50" i="4" s="1"/>
  <c r="S40" i="33"/>
  <c r="S50" i="4" s="1"/>
  <c r="R40" i="33"/>
  <c r="R50" i="4" s="1"/>
  <c r="Q40" i="33"/>
  <c r="Q50" i="4" s="1"/>
  <c r="P40" i="33"/>
  <c r="P50" i="4" s="1"/>
  <c r="M40" i="33"/>
  <c r="M50" i="4" s="1"/>
  <c r="L40" i="33"/>
  <c r="L50" i="4" s="1"/>
  <c r="K40" i="33"/>
  <c r="K50" i="4" s="1"/>
  <c r="J40" i="33"/>
  <c r="J50" i="4" s="1"/>
  <c r="I40" i="33"/>
  <c r="I50" i="4" s="1"/>
  <c r="H40" i="33"/>
  <c r="H50" i="4" s="1"/>
  <c r="G40" i="33"/>
  <c r="G50" i="4" s="1"/>
  <c r="F40" i="33"/>
  <c r="F50" i="4" s="1"/>
  <c r="E40" i="33"/>
  <c r="E50" i="4" s="1"/>
  <c r="D40" i="33"/>
  <c r="D50" i="4" s="1"/>
  <c r="C40" i="33"/>
  <c r="C50" i="4" s="1"/>
  <c r="B40" i="33"/>
  <c r="B50" i="4" s="1"/>
  <c r="V39" i="33"/>
  <c r="V49" i="4" s="1"/>
  <c r="U39" i="33"/>
  <c r="U49" i="4" s="1"/>
  <c r="T39" i="33"/>
  <c r="T49" i="4" s="1"/>
  <c r="S39" i="33"/>
  <c r="S49" i="4" s="1"/>
  <c r="R39" i="33"/>
  <c r="R49" i="4" s="1"/>
  <c r="Q39" i="33"/>
  <c r="Q49" i="4" s="1"/>
  <c r="P39" i="33"/>
  <c r="P49" i="4" s="1"/>
  <c r="M39" i="33"/>
  <c r="M49" i="4" s="1"/>
  <c r="L39" i="33"/>
  <c r="L49" i="4" s="1"/>
  <c r="K39" i="33"/>
  <c r="K49" i="4" s="1"/>
  <c r="J39" i="33"/>
  <c r="J49" i="4" s="1"/>
  <c r="I39" i="33"/>
  <c r="I49" i="4" s="1"/>
  <c r="H39" i="33"/>
  <c r="H49" i="4" s="1"/>
  <c r="G39" i="33"/>
  <c r="G49" i="4" s="1"/>
  <c r="F39" i="33"/>
  <c r="F49" i="4" s="1"/>
  <c r="E39" i="33"/>
  <c r="E49" i="4" s="1"/>
  <c r="D39" i="33"/>
  <c r="D49" i="4" s="1"/>
  <c r="C39" i="33"/>
  <c r="C49" i="4" s="1"/>
  <c r="B39" i="33"/>
  <c r="B49" i="4" s="1"/>
  <c r="V38" i="33"/>
  <c r="V48" i="4" s="1"/>
  <c r="U38" i="33"/>
  <c r="U48" i="4" s="1"/>
  <c r="T38" i="33"/>
  <c r="T48" i="4" s="1"/>
  <c r="S38" i="33"/>
  <c r="S48" i="4" s="1"/>
  <c r="R38" i="33"/>
  <c r="R48" i="4" s="1"/>
  <c r="Q38" i="33"/>
  <c r="Q48" i="4" s="1"/>
  <c r="P38" i="33"/>
  <c r="P48" i="4" s="1"/>
  <c r="M38" i="33"/>
  <c r="M48" i="4" s="1"/>
  <c r="L38" i="33"/>
  <c r="L48" i="4" s="1"/>
  <c r="K38" i="33"/>
  <c r="K48" i="4" s="1"/>
  <c r="J38" i="33"/>
  <c r="J48" i="4" s="1"/>
  <c r="I38" i="33"/>
  <c r="I48" i="4" s="1"/>
  <c r="H38" i="33"/>
  <c r="H48" i="4" s="1"/>
  <c r="G38" i="33"/>
  <c r="G48" i="4" s="1"/>
  <c r="F38" i="33"/>
  <c r="F48" i="4" s="1"/>
  <c r="E38" i="33"/>
  <c r="E48" i="4" s="1"/>
  <c r="D38" i="33"/>
  <c r="D48" i="4" s="1"/>
  <c r="C38" i="33"/>
  <c r="C48" i="4" s="1"/>
  <c r="B38" i="33"/>
  <c r="B48" i="4" s="1"/>
  <c r="V37" i="33"/>
  <c r="V47" i="4" s="1"/>
  <c r="U37" i="33"/>
  <c r="U47" i="4" s="1"/>
  <c r="T37" i="33"/>
  <c r="T47" i="4" s="1"/>
  <c r="S37" i="33"/>
  <c r="S47" i="4" s="1"/>
  <c r="R37" i="33"/>
  <c r="R47" i="4" s="1"/>
  <c r="Q37" i="33"/>
  <c r="Q47" i="4" s="1"/>
  <c r="P37" i="33"/>
  <c r="P47" i="4" s="1"/>
  <c r="M37" i="33"/>
  <c r="M47" i="4" s="1"/>
  <c r="L37" i="33"/>
  <c r="L47" i="4" s="1"/>
  <c r="K37" i="33"/>
  <c r="K47" i="4" s="1"/>
  <c r="J37" i="33"/>
  <c r="J47" i="4" s="1"/>
  <c r="I37" i="33"/>
  <c r="I47" i="4" s="1"/>
  <c r="H37" i="33"/>
  <c r="H47" i="4" s="1"/>
  <c r="G37" i="33"/>
  <c r="G47" i="4" s="1"/>
  <c r="F37" i="33"/>
  <c r="F47" i="4" s="1"/>
  <c r="E37" i="33"/>
  <c r="E47" i="4" s="1"/>
  <c r="D37" i="33"/>
  <c r="D47" i="4" s="1"/>
  <c r="C37" i="33"/>
  <c r="C47" i="4" s="1"/>
  <c r="B37" i="33"/>
  <c r="B47" i="4" s="1"/>
  <c r="V36" i="33"/>
  <c r="V46" i="4" s="1"/>
  <c r="U36" i="33"/>
  <c r="U46" i="4" s="1"/>
  <c r="T36" i="33"/>
  <c r="T46" i="4" s="1"/>
  <c r="S36" i="33"/>
  <c r="S46" i="4" s="1"/>
  <c r="R36" i="33"/>
  <c r="R46" i="4" s="1"/>
  <c r="Q36" i="33"/>
  <c r="Q46" i="4" s="1"/>
  <c r="M36" i="33"/>
  <c r="M46" i="4" s="1"/>
  <c r="L36" i="33"/>
  <c r="L46" i="4" s="1"/>
  <c r="K36" i="33"/>
  <c r="K46" i="4" s="1"/>
  <c r="J36" i="33"/>
  <c r="J46" i="4" s="1"/>
  <c r="I36" i="33"/>
  <c r="I46" i="4" s="1"/>
  <c r="H36" i="33"/>
  <c r="H46" i="4" s="1"/>
  <c r="G36" i="33"/>
  <c r="G46" i="4" s="1"/>
  <c r="F36" i="33"/>
  <c r="F46" i="4" s="1"/>
  <c r="E36" i="33"/>
  <c r="E46" i="4" s="1"/>
  <c r="D36" i="33"/>
  <c r="D46" i="4" s="1"/>
  <c r="C36" i="33"/>
  <c r="C46" i="4" s="1"/>
  <c r="B36" i="33"/>
  <c r="B46" i="4" s="1"/>
  <c r="V35" i="33"/>
  <c r="V45" i="4" s="1"/>
  <c r="U35" i="33"/>
  <c r="U45" i="4" s="1"/>
  <c r="T35" i="33"/>
  <c r="T45" i="4" s="1"/>
  <c r="S35" i="33"/>
  <c r="S45" i="4" s="1"/>
  <c r="R35" i="33"/>
  <c r="R45" i="4" s="1"/>
  <c r="P35" i="33"/>
  <c r="P45" i="4" s="1"/>
  <c r="V30" i="33"/>
  <c r="V40" i="4" s="1"/>
  <c r="U30" i="33"/>
  <c r="U40" i="4" s="1"/>
  <c r="T30" i="33"/>
  <c r="T40" i="4" s="1"/>
  <c r="S30" i="33"/>
  <c r="S40" i="4" s="1"/>
  <c r="R30" i="33"/>
  <c r="R40" i="4" s="1"/>
  <c r="V29" i="33"/>
  <c r="V39" i="4" s="1"/>
  <c r="U29" i="33"/>
  <c r="U39" i="4" s="1"/>
  <c r="T29" i="33"/>
  <c r="T39" i="4" s="1"/>
  <c r="S29" i="33"/>
  <c r="S39" i="4" s="1"/>
  <c r="R29" i="33"/>
  <c r="R39" i="4" s="1"/>
  <c r="V28" i="33"/>
  <c r="U28" i="33"/>
  <c r="T28" i="33"/>
  <c r="S28" i="33"/>
  <c r="R28" i="33"/>
  <c r="V24" i="33"/>
  <c r="U24" i="33"/>
  <c r="T24" i="33"/>
  <c r="S24" i="33"/>
  <c r="R24" i="33"/>
  <c r="Q24" i="33"/>
  <c r="P24" i="33"/>
  <c r="O24" i="33"/>
  <c r="L24" i="33"/>
  <c r="J24" i="33"/>
  <c r="I24" i="33"/>
  <c r="H24" i="33"/>
  <c r="G24" i="33"/>
  <c r="F24" i="33"/>
  <c r="E24" i="33"/>
  <c r="D24" i="33"/>
  <c r="C24" i="33"/>
  <c r="B24" i="33"/>
  <c r="V23" i="33"/>
  <c r="U23" i="33"/>
  <c r="T23" i="33"/>
  <c r="S23" i="33"/>
  <c r="R23" i="33"/>
  <c r="Q23" i="33"/>
  <c r="P23" i="33"/>
  <c r="O23" i="33"/>
  <c r="V34" i="33" s="1"/>
  <c r="V44" i="4" s="1"/>
  <c r="L23" i="33"/>
  <c r="J23" i="33"/>
  <c r="I23" i="33"/>
  <c r="H23" i="33"/>
  <c r="G23" i="33"/>
  <c r="F23" i="33"/>
  <c r="E23" i="33"/>
  <c r="D23" i="33"/>
  <c r="C23" i="33"/>
  <c r="B23" i="33"/>
  <c r="H22" i="33"/>
  <c r="G45" i="33"/>
  <c r="F27" i="33"/>
  <c r="F52" i="33" s="1"/>
  <c r="E45" i="33"/>
  <c r="D22" i="33"/>
  <c r="C45" i="33"/>
  <c r="B45" i="33"/>
  <c r="P30" i="33" l="1"/>
  <c r="P40" i="4" s="1"/>
  <c r="Q30" i="33"/>
  <c r="Q40" i="4" s="1"/>
  <c r="P28" i="33"/>
  <c r="Q29" i="33"/>
  <c r="Q39" i="4" s="1"/>
  <c r="P36" i="33"/>
  <c r="P46" i="4" s="1"/>
  <c r="Q35" i="33"/>
  <c r="Q45" i="4" s="1"/>
  <c r="P29" i="33"/>
  <c r="P39" i="4" s="1"/>
  <c r="Q28" i="33"/>
  <c r="Q38" i="4" s="1"/>
  <c r="O37" i="33"/>
  <c r="O47" i="4" s="1"/>
  <c r="O41" i="33"/>
  <c r="O51" i="4" s="1"/>
  <c r="O43" i="33"/>
  <c r="O53" i="4" s="1"/>
  <c r="O36" i="33"/>
  <c r="O46" i="4" s="1"/>
  <c r="O38" i="33"/>
  <c r="O48" i="4" s="1"/>
  <c r="O40" i="33"/>
  <c r="O50" i="4" s="1"/>
  <c r="O42" i="33"/>
  <c r="O52" i="4" s="1"/>
  <c r="O39" i="33"/>
  <c r="O49" i="4" s="1"/>
  <c r="I28" i="33"/>
  <c r="I38" i="4" s="1"/>
  <c r="B28" i="33"/>
  <c r="B38" i="4" s="1"/>
  <c r="J28" i="33"/>
  <c r="J38" i="4" s="1"/>
  <c r="F29" i="33"/>
  <c r="F39" i="4" s="1"/>
  <c r="O29" i="33"/>
  <c r="O39" i="4" s="1"/>
  <c r="O30" i="33"/>
  <c r="O40" i="4" s="1"/>
  <c r="B34" i="33"/>
  <c r="B44" i="4" s="1"/>
  <c r="J34" i="33"/>
  <c r="J44" i="4" s="1"/>
  <c r="F35" i="33"/>
  <c r="F45" i="4" s="1"/>
  <c r="O35" i="33"/>
  <c r="O45" i="4" s="1"/>
  <c r="G29" i="33"/>
  <c r="G39" i="4" s="1"/>
  <c r="C34" i="33"/>
  <c r="C44" i="4" s="1"/>
  <c r="K34" i="33"/>
  <c r="K44" i="4" s="1"/>
  <c r="G35" i="33"/>
  <c r="G45" i="4" s="1"/>
  <c r="C28" i="33"/>
  <c r="C38" i="4" s="1"/>
  <c r="D28" i="33"/>
  <c r="D38" i="4" s="1"/>
  <c r="L28" i="33"/>
  <c r="H29" i="33"/>
  <c r="H39" i="4" s="1"/>
  <c r="D34" i="33"/>
  <c r="D44" i="4" s="1"/>
  <c r="L34" i="33"/>
  <c r="L44" i="4" s="1"/>
  <c r="H35" i="33"/>
  <c r="H45" i="4" s="1"/>
  <c r="E28" i="33"/>
  <c r="M28" i="33"/>
  <c r="M38" i="4" s="1"/>
  <c r="I29" i="33"/>
  <c r="I39" i="4" s="1"/>
  <c r="E34" i="33"/>
  <c r="E44" i="4" s="1"/>
  <c r="M34" i="33"/>
  <c r="M44" i="4" s="1"/>
  <c r="I35" i="33"/>
  <c r="I45" i="4" s="1"/>
  <c r="K28" i="33"/>
  <c r="F28" i="33"/>
  <c r="O28" i="33"/>
  <c r="B29" i="33"/>
  <c r="B39" i="4" s="1"/>
  <c r="J29" i="33"/>
  <c r="J39" i="4" s="1"/>
  <c r="F34" i="33"/>
  <c r="F44" i="4" s="1"/>
  <c r="B35" i="33"/>
  <c r="B45" i="4" s="1"/>
  <c r="J35" i="33"/>
  <c r="J45" i="4" s="1"/>
  <c r="G28" i="33"/>
  <c r="G38" i="4" s="1"/>
  <c r="C29" i="33"/>
  <c r="C39" i="4" s="1"/>
  <c r="K29" i="33"/>
  <c r="K39" i="4" s="1"/>
  <c r="G34" i="33"/>
  <c r="G44" i="4" s="1"/>
  <c r="C35" i="33"/>
  <c r="C45" i="4" s="1"/>
  <c r="K35" i="33"/>
  <c r="K45" i="4" s="1"/>
  <c r="H28" i="33"/>
  <c r="H38" i="4" s="1"/>
  <c r="D29" i="33"/>
  <c r="D39" i="4" s="1"/>
  <c r="L29" i="33"/>
  <c r="L39" i="4" s="1"/>
  <c r="H34" i="33"/>
  <c r="H44" i="4" s="1"/>
  <c r="D35" i="33"/>
  <c r="D45" i="4" s="1"/>
  <c r="L35" i="33"/>
  <c r="L45" i="4" s="1"/>
  <c r="E29" i="33"/>
  <c r="E39" i="4" s="1"/>
  <c r="M29" i="33"/>
  <c r="M39" i="4" s="1"/>
  <c r="I34" i="33"/>
  <c r="I44" i="4" s="1"/>
  <c r="E35" i="33"/>
  <c r="E45" i="4" s="1"/>
  <c r="M35" i="33"/>
  <c r="M45" i="4" s="1"/>
  <c r="L32" i="33"/>
  <c r="L42" i="4" s="1"/>
  <c r="M33" i="33"/>
  <c r="M43" i="4" s="1"/>
  <c r="F30" i="33"/>
  <c r="P31" i="33"/>
  <c r="Q32" i="33"/>
  <c r="Q42" i="4" s="1"/>
  <c r="R33" i="33"/>
  <c r="R43" i="4" s="1"/>
  <c r="B30" i="33"/>
  <c r="V33" i="33"/>
  <c r="V43" i="4" s="1"/>
  <c r="O34" i="33"/>
  <c r="O44" i="4" s="1"/>
  <c r="K31" i="33"/>
  <c r="K41" i="4" s="1"/>
  <c r="J30" i="33"/>
  <c r="C31" i="33"/>
  <c r="C41" i="4" s="1"/>
  <c r="T31" i="33"/>
  <c r="D32" i="33"/>
  <c r="D42" i="4" s="1"/>
  <c r="U32" i="33"/>
  <c r="U42" i="4" s="1"/>
  <c r="E33" i="33"/>
  <c r="E43" i="4" s="1"/>
  <c r="G31" i="33"/>
  <c r="G41" i="4" s="1"/>
  <c r="H32" i="33"/>
  <c r="H42" i="4" s="1"/>
  <c r="I33" i="33"/>
  <c r="I43" i="4" s="1"/>
  <c r="S34" i="33"/>
  <c r="S44" i="4" s="1"/>
  <c r="C30" i="33"/>
  <c r="G30" i="33"/>
  <c r="K30" i="33"/>
  <c r="D31" i="33"/>
  <c r="D41" i="4" s="1"/>
  <c r="H31" i="33"/>
  <c r="H41" i="4" s="1"/>
  <c r="L31" i="33"/>
  <c r="L41" i="4" s="1"/>
  <c r="Q31" i="33"/>
  <c r="U31" i="33"/>
  <c r="I32" i="33"/>
  <c r="I42" i="4" s="1"/>
  <c r="M32" i="33"/>
  <c r="M42" i="4" s="1"/>
  <c r="V32" i="33"/>
  <c r="V42" i="4" s="1"/>
  <c r="B33" i="33"/>
  <c r="B43" i="4" s="1"/>
  <c r="E32" i="33"/>
  <c r="E42" i="4" s="1"/>
  <c r="R32" i="33"/>
  <c r="R42" i="4" s="1"/>
  <c r="F33" i="33"/>
  <c r="F43" i="4" s="1"/>
  <c r="J33" i="33"/>
  <c r="J43" i="4" s="1"/>
  <c r="O33" i="33"/>
  <c r="O43" i="4" s="1"/>
  <c r="S33" i="33"/>
  <c r="S43" i="4" s="1"/>
  <c r="P34" i="33"/>
  <c r="P44" i="4" s="1"/>
  <c r="T34" i="33"/>
  <c r="T44" i="4" s="1"/>
  <c r="D30" i="33"/>
  <c r="H30" i="33"/>
  <c r="L30" i="33"/>
  <c r="E31" i="33"/>
  <c r="E41" i="4" s="1"/>
  <c r="I31" i="33"/>
  <c r="I41" i="4" s="1"/>
  <c r="M31" i="33"/>
  <c r="M41" i="4" s="1"/>
  <c r="R31" i="33"/>
  <c r="V31" i="33"/>
  <c r="B32" i="33"/>
  <c r="B42" i="4" s="1"/>
  <c r="F32" i="33"/>
  <c r="F42" i="4" s="1"/>
  <c r="J32" i="33"/>
  <c r="J42" i="4" s="1"/>
  <c r="O32" i="33"/>
  <c r="O42" i="4" s="1"/>
  <c r="S32" i="33"/>
  <c r="S42" i="4" s="1"/>
  <c r="C33" i="33"/>
  <c r="C43" i="4" s="1"/>
  <c r="G33" i="33"/>
  <c r="G43" i="4" s="1"/>
  <c r="K33" i="33"/>
  <c r="K43" i="4" s="1"/>
  <c r="P33" i="33"/>
  <c r="P43" i="4" s="1"/>
  <c r="T33" i="33"/>
  <c r="T43" i="4" s="1"/>
  <c r="Q34" i="33"/>
  <c r="Q44" i="4" s="1"/>
  <c r="U34" i="33"/>
  <c r="U44" i="4" s="1"/>
  <c r="E30" i="33"/>
  <c r="I30" i="33"/>
  <c r="M30" i="33"/>
  <c r="B31" i="33"/>
  <c r="B41" i="4" s="1"/>
  <c r="F31" i="33"/>
  <c r="F41" i="4" s="1"/>
  <c r="J31" i="33"/>
  <c r="J41" i="4" s="1"/>
  <c r="O31" i="33"/>
  <c r="S31" i="33"/>
  <c r="C32" i="33"/>
  <c r="C42" i="4" s="1"/>
  <c r="G32" i="33"/>
  <c r="G42" i="4" s="1"/>
  <c r="K32" i="33"/>
  <c r="K42" i="4" s="1"/>
  <c r="P32" i="33"/>
  <c r="P42" i="4" s="1"/>
  <c r="T32" i="33"/>
  <c r="T42" i="4" s="1"/>
  <c r="D33" i="33"/>
  <c r="D43" i="4" s="1"/>
  <c r="H33" i="33"/>
  <c r="H43" i="4" s="1"/>
  <c r="L33" i="33"/>
  <c r="L43" i="4" s="1"/>
  <c r="Q33" i="33"/>
  <c r="Q43" i="4" s="1"/>
  <c r="U33" i="33"/>
  <c r="U43" i="4" s="1"/>
  <c r="R34" i="33"/>
  <c r="R44" i="4" s="1"/>
  <c r="U38" i="4"/>
  <c r="V38" i="4"/>
  <c r="E38" i="4"/>
  <c r="R38" i="4"/>
  <c r="B22" i="33"/>
  <c r="E22" i="33"/>
  <c r="I45" i="33"/>
  <c r="I52" i="33"/>
  <c r="I27" i="33"/>
  <c r="K38" i="4"/>
  <c r="P38" i="4"/>
  <c r="T38" i="4"/>
  <c r="B27" i="33"/>
  <c r="B52" i="33" s="1"/>
  <c r="D27" i="33"/>
  <c r="D52" i="33" s="1"/>
  <c r="I22" i="33"/>
  <c r="E27" i="33"/>
  <c r="E52" i="33" s="1"/>
  <c r="F38" i="4"/>
  <c r="O38" i="4"/>
  <c r="S38" i="4"/>
  <c r="D45" i="33"/>
  <c r="F22" i="33"/>
  <c r="F45" i="33"/>
  <c r="G22" i="33"/>
  <c r="G27" i="33"/>
  <c r="G52" i="33" s="1"/>
  <c r="C22" i="33"/>
  <c r="C27" i="33"/>
  <c r="C52" i="33" s="1"/>
  <c r="H27" i="33"/>
  <c r="H52" i="33" s="1"/>
  <c r="H45" i="33"/>
  <c r="R56" i="33"/>
  <c r="S56" i="33"/>
  <c r="D56" i="33"/>
  <c r="V56" i="33"/>
  <c r="K56" i="33"/>
  <c r="C56" i="33"/>
  <c r="U56" i="33"/>
  <c r="B56" i="33"/>
  <c r="L56" i="33"/>
  <c r="E56" i="33"/>
  <c r="Q56" i="33"/>
  <c r="G56" i="33"/>
  <c r="H56" i="33"/>
  <c r="F56" i="33"/>
  <c r="J56" i="33"/>
  <c r="I56" i="33"/>
  <c r="O56" i="33"/>
  <c r="P56" i="33"/>
  <c r="M56" i="33"/>
  <c r="T56" i="33"/>
  <c r="L47" i="33" l="1"/>
  <c r="S47" i="33"/>
  <c r="S48" i="33" s="1"/>
  <c r="S54" i="33" s="1"/>
  <c r="L38" i="4"/>
  <c r="K47" i="33"/>
  <c r="K48" i="33" s="1"/>
  <c r="K54" i="33" s="1"/>
  <c r="I47" i="33"/>
  <c r="I48" i="33" s="1"/>
  <c r="I54" i="33" s="1"/>
  <c r="R47" i="33"/>
  <c r="R48" i="33" s="1"/>
  <c r="R54" i="33" s="1"/>
  <c r="Q46" i="33"/>
  <c r="Q53" i="33" s="1"/>
  <c r="H46" i="33"/>
  <c r="H53" i="33" s="1"/>
  <c r="D46" i="33"/>
  <c r="D53" i="33" s="1"/>
  <c r="G47" i="33"/>
  <c r="G48" i="33" s="1"/>
  <c r="G54" i="33" s="1"/>
  <c r="E46" i="33"/>
  <c r="E53" i="33" s="1"/>
  <c r="C47" i="33"/>
  <c r="C48" i="33" s="1"/>
  <c r="C54" i="33" s="1"/>
  <c r="R46" i="33"/>
  <c r="R53" i="33" s="1"/>
  <c r="I46" i="33"/>
  <c r="I53" i="33" s="1"/>
  <c r="H47" i="33"/>
  <c r="H48" i="33" s="1"/>
  <c r="H54" i="33" s="1"/>
  <c r="G46" i="33"/>
  <c r="G53" i="33" s="1"/>
  <c r="S57" i="33"/>
  <c r="V57" i="33"/>
  <c r="U57" i="33"/>
  <c r="P57" i="33"/>
  <c r="O57" i="33"/>
  <c r="P59" i="33" s="1"/>
  <c r="M57" i="33"/>
  <c r="R57" i="33"/>
  <c r="K57" i="33"/>
  <c r="J57" i="33"/>
  <c r="F57" i="33"/>
  <c r="I57" i="33"/>
  <c r="H57" i="33"/>
  <c r="G57" i="33"/>
  <c r="L57" i="33"/>
  <c r="Q57" i="33"/>
  <c r="B57" i="33"/>
  <c r="F59" i="33" s="1"/>
  <c r="E57" i="33"/>
  <c r="D57" i="33"/>
  <c r="C57" i="33"/>
  <c r="T57" i="33"/>
  <c r="S41" i="4"/>
  <c r="V41" i="4"/>
  <c r="U41" i="4"/>
  <c r="P41" i="4"/>
  <c r="L48" i="33"/>
  <c r="L54" i="33" s="1"/>
  <c r="O41" i="4"/>
  <c r="M40" i="4"/>
  <c r="R41" i="4"/>
  <c r="K40" i="4"/>
  <c r="J40" i="4"/>
  <c r="F40" i="4"/>
  <c r="O47" i="33"/>
  <c r="O48" i="33" s="1"/>
  <c r="O54" i="33" s="1"/>
  <c r="I40" i="4"/>
  <c r="H40" i="4"/>
  <c r="G40" i="4"/>
  <c r="L40" i="4"/>
  <c r="Q41" i="4"/>
  <c r="B40" i="4"/>
  <c r="M46" i="33"/>
  <c r="M53" i="33" s="1"/>
  <c r="V46" i="33"/>
  <c r="V53" i="33" s="1"/>
  <c r="M47" i="33"/>
  <c r="M48" i="33" s="1"/>
  <c r="M54" i="33" s="1"/>
  <c r="B46" i="33"/>
  <c r="B53" i="33" s="1"/>
  <c r="U46" i="33"/>
  <c r="U53" i="33" s="1"/>
  <c r="Q47" i="33"/>
  <c r="Q48" i="33" s="1"/>
  <c r="Q54" i="33" s="1"/>
  <c r="F46" i="33"/>
  <c r="F53" i="33" s="1"/>
  <c r="E40" i="4"/>
  <c r="D40" i="4"/>
  <c r="C40" i="4"/>
  <c r="T41" i="4"/>
  <c r="V47" i="33"/>
  <c r="V48" i="33" s="1"/>
  <c r="V54" i="33" s="1"/>
  <c r="E47" i="33"/>
  <c r="E48" i="33" s="1"/>
  <c r="E54" i="33" s="1"/>
  <c r="U47" i="33"/>
  <c r="U48" i="33" s="1"/>
  <c r="U54" i="33" s="1"/>
  <c r="D47" i="33"/>
  <c r="D48" i="33" s="1"/>
  <c r="D54" i="33" s="1"/>
  <c r="S46" i="33"/>
  <c r="S53" i="33" s="1"/>
  <c r="J47" i="33"/>
  <c r="J48" i="33" s="1"/>
  <c r="J54" i="33" s="1"/>
  <c r="P47" i="33"/>
  <c r="P48" i="33" s="1"/>
  <c r="P54" i="33" s="1"/>
  <c r="J46" i="33"/>
  <c r="J53" i="33" s="1"/>
  <c r="B47" i="33"/>
  <c r="B48" i="33" s="1"/>
  <c r="B54" i="33" s="1"/>
  <c r="O46" i="33"/>
  <c r="O53" i="33" s="1"/>
  <c r="O55" i="33" s="1"/>
  <c r="T47" i="33"/>
  <c r="T48" i="33" s="1"/>
  <c r="T54" i="33" s="1"/>
  <c r="C46" i="33"/>
  <c r="C53" i="33" s="1"/>
  <c r="F47" i="33"/>
  <c r="F48" i="33" s="1"/>
  <c r="F54" i="33" s="1"/>
  <c r="T46" i="33"/>
  <c r="T53" i="33" s="1"/>
  <c r="P46" i="33"/>
  <c r="P53" i="33" s="1"/>
  <c r="L46" i="33"/>
  <c r="L53" i="33" s="1"/>
  <c r="K46" i="33"/>
  <c r="K53" i="33" s="1"/>
  <c r="P55" i="33" l="1"/>
  <c r="M55" i="33"/>
  <c r="J59" i="33"/>
  <c r="J60" i="33" s="1"/>
  <c r="J61" i="33" s="1"/>
  <c r="R59" i="33"/>
  <c r="Q59" i="33"/>
  <c r="T59" i="33"/>
  <c r="V59" i="33"/>
  <c r="U59" i="33"/>
  <c r="S59" i="33"/>
  <c r="E59" i="33"/>
  <c r="E60" i="33" s="1"/>
  <c r="E61" i="33" s="1"/>
  <c r="S55" i="33"/>
  <c r="H59" i="33"/>
  <c r="H60" i="33" s="1"/>
  <c r="H61" i="33" s="1"/>
  <c r="L59" i="33"/>
  <c r="D59" i="33"/>
  <c r="D60" i="33" s="1"/>
  <c r="D61" i="33" s="1"/>
  <c r="O59" i="33"/>
  <c r="C59" i="33"/>
  <c r="G59" i="33"/>
  <c r="G60" i="33" s="1"/>
  <c r="G61" i="33" s="1"/>
  <c r="I59" i="33"/>
  <c r="I60" i="33" s="1"/>
  <c r="I61" i="33" s="1"/>
  <c r="K59" i="33"/>
  <c r="M59" i="33"/>
  <c r="M60" i="33" s="1"/>
  <c r="M61" i="33" s="1"/>
  <c r="F60" i="33"/>
  <c r="F61" i="33" s="1"/>
  <c r="T55" i="33"/>
  <c r="R55" i="33"/>
  <c r="Q55" i="33"/>
  <c r="U55" i="33"/>
  <c r="V55" i="33"/>
  <c r="D55" i="33"/>
  <c r="B55" i="33"/>
  <c r="K55" i="33"/>
  <c r="L55" i="33"/>
  <c r="G55" i="33"/>
  <c r="F55" i="33"/>
  <c r="C55" i="33"/>
  <c r="J55" i="33"/>
  <c r="H55" i="33"/>
  <c r="I55" i="33"/>
  <c r="E55" i="33"/>
  <c r="T60" i="33"/>
  <c r="V60" i="33"/>
  <c r="Q60" i="33"/>
  <c r="P60" i="33"/>
  <c r="K60" i="33"/>
  <c r="S60" i="33"/>
  <c r="O60" i="33"/>
  <c r="R60" i="33"/>
  <c r="L60" i="33"/>
  <c r="C60" i="33"/>
  <c r="U60" i="33"/>
  <c r="U61" i="33" l="1"/>
  <c r="R61" i="33"/>
  <c r="K61" i="33"/>
  <c r="V61" i="33"/>
  <c r="C61" i="33"/>
  <c r="O61" i="33"/>
  <c r="P61" i="33"/>
  <c r="T61" i="33"/>
  <c r="L61" i="33"/>
  <c r="S61" i="33"/>
  <c r="Q61" i="33"/>
  <c r="M4" i="33"/>
  <c r="L4" i="33" l="1"/>
  <c r="L22" i="33" s="1"/>
  <c r="K4" i="33"/>
  <c r="K22" i="33" s="1"/>
  <c r="J4" i="33"/>
  <c r="J52" i="33" s="1"/>
  <c r="M45" i="33"/>
  <c r="M52" i="33"/>
  <c r="M27" i="33"/>
  <c r="M22" i="33"/>
  <c r="K45" i="33" l="1"/>
  <c r="K52" i="33"/>
  <c r="K27" i="33"/>
  <c r="O4" i="33"/>
  <c r="O4" i="23"/>
  <c r="O4" i="1"/>
  <c r="Q4" i="1"/>
  <c r="Q4" i="33"/>
  <c r="Q4" i="23"/>
  <c r="P4" i="33"/>
  <c r="P4" i="23"/>
  <c r="P4" i="1"/>
  <c r="J22" i="33"/>
  <c r="L52" i="33"/>
  <c r="J45" i="33"/>
  <c r="L27" i="33"/>
  <c r="J27" i="33"/>
  <c r="L45" i="33"/>
  <c r="Q22" i="33" l="1"/>
  <c r="Q45" i="33"/>
  <c r="Q27" i="33"/>
  <c r="Q52" i="33" s="1"/>
  <c r="O27" i="33"/>
  <c r="O52" i="33" s="1"/>
  <c r="O22" i="33"/>
  <c r="O45" i="33"/>
  <c r="P22" i="33"/>
  <c r="P45" i="33"/>
  <c r="P27" i="33"/>
  <c r="P52" i="33" s="1"/>
  <c r="P22" i="1" l="1"/>
  <c r="Q45" i="1"/>
  <c r="P28" i="23"/>
  <c r="Q28" i="23"/>
  <c r="R28" i="23"/>
  <c r="S28" i="23"/>
  <c r="S22" i="4" s="1"/>
  <c r="T28" i="23"/>
  <c r="T22" i="4" s="1"/>
  <c r="U28" i="23"/>
  <c r="V28" i="23"/>
  <c r="P29" i="23"/>
  <c r="Q29" i="23"/>
  <c r="Q23" i="4" s="1"/>
  <c r="R29" i="23"/>
  <c r="R23" i="4" s="1"/>
  <c r="S29" i="23"/>
  <c r="S23" i="4" s="1"/>
  <c r="T29" i="23"/>
  <c r="T23" i="4" s="1"/>
  <c r="U29" i="23"/>
  <c r="U23" i="4" s="1"/>
  <c r="V29" i="23"/>
  <c r="V23" i="4" s="1"/>
  <c r="P30" i="23"/>
  <c r="P24" i="4" s="1"/>
  <c r="Q30" i="23"/>
  <c r="Q24" i="4" s="1"/>
  <c r="R30" i="23"/>
  <c r="R24" i="4" s="1"/>
  <c r="S30" i="23"/>
  <c r="S24" i="4" s="1"/>
  <c r="T30" i="23"/>
  <c r="T24" i="4" s="1"/>
  <c r="U30" i="23"/>
  <c r="U24" i="4" s="1"/>
  <c r="V30" i="23"/>
  <c r="V24" i="4" s="1"/>
  <c r="P31" i="23"/>
  <c r="P25" i="4" s="1"/>
  <c r="Q31" i="23"/>
  <c r="Q25" i="4" s="1"/>
  <c r="R31" i="23"/>
  <c r="R25" i="4" s="1"/>
  <c r="S31" i="23"/>
  <c r="S25" i="4" s="1"/>
  <c r="T31" i="23"/>
  <c r="T25" i="4" s="1"/>
  <c r="U31" i="23"/>
  <c r="U25" i="4" s="1"/>
  <c r="V31" i="23"/>
  <c r="V25" i="4" s="1"/>
  <c r="P32" i="23"/>
  <c r="P26" i="4" s="1"/>
  <c r="Q32" i="23"/>
  <c r="Q26" i="4" s="1"/>
  <c r="R32" i="23"/>
  <c r="R26" i="4" s="1"/>
  <c r="S32" i="23"/>
  <c r="S26" i="4" s="1"/>
  <c r="T32" i="23"/>
  <c r="T26" i="4" s="1"/>
  <c r="U32" i="23"/>
  <c r="U26" i="4" s="1"/>
  <c r="V32" i="23"/>
  <c r="V26" i="4" s="1"/>
  <c r="P37" i="23"/>
  <c r="P31" i="4" s="1"/>
  <c r="Q37" i="23"/>
  <c r="Q31" i="4" s="1"/>
  <c r="R37" i="23"/>
  <c r="R31" i="4" s="1"/>
  <c r="S37" i="23"/>
  <c r="S31" i="4" s="1"/>
  <c r="T37" i="23"/>
  <c r="T31" i="4" s="1"/>
  <c r="U37" i="23"/>
  <c r="U31" i="4" s="1"/>
  <c r="V37" i="23"/>
  <c r="V31" i="4" s="1"/>
  <c r="P38" i="23"/>
  <c r="P32" i="4" s="1"/>
  <c r="Q38" i="23"/>
  <c r="Q32" i="4" s="1"/>
  <c r="R38" i="23"/>
  <c r="R32" i="4" s="1"/>
  <c r="S38" i="23"/>
  <c r="S32" i="4" s="1"/>
  <c r="T38" i="23"/>
  <c r="T32" i="4" s="1"/>
  <c r="U38" i="23"/>
  <c r="U32" i="4" s="1"/>
  <c r="V38" i="23"/>
  <c r="V32" i="4" s="1"/>
  <c r="P39" i="23"/>
  <c r="P33" i="4" s="1"/>
  <c r="Q39" i="23"/>
  <c r="Q33" i="4" s="1"/>
  <c r="R39" i="23"/>
  <c r="R33" i="4" s="1"/>
  <c r="S39" i="23"/>
  <c r="S33" i="4" s="1"/>
  <c r="T39" i="23"/>
  <c r="T33" i="4" s="1"/>
  <c r="U39" i="23"/>
  <c r="U33" i="4" s="1"/>
  <c r="V39" i="23"/>
  <c r="P40" i="23"/>
  <c r="P34" i="4" s="1"/>
  <c r="Q40" i="23"/>
  <c r="Q34" i="4" s="1"/>
  <c r="R40" i="23"/>
  <c r="R34" i="4" s="1"/>
  <c r="S40" i="23"/>
  <c r="S34" i="4" s="1"/>
  <c r="T40" i="23"/>
  <c r="T34" i="4" s="1"/>
  <c r="U40" i="23"/>
  <c r="U34" i="4" s="1"/>
  <c r="V40" i="23"/>
  <c r="V34" i="4" s="1"/>
  <c r="P41" i="23"/>
  <c r="P35" i="4" s="1"/>
  <c r="Q41" i="23"/>
  <c r="Q35" i="4" s="1"/>
  <c r="R41" i="23"/>
  <c r="R35" i="4" s="1"/>
  <c r="S41" i="23"/>
  <c r="S35" i="4" s="1"/>
  <c r="T41" i="23"/>
  <c r="T35" i="4" s="1"/>
  <c r="U41" i="23"/>
  <c r="U35" i="4" s="1"/>
  <c r="V41" i="23"/>
  <c r="V35" i="4" s="1"/>
  <c r="P42" i="23"/>
  <c r="P36" i="4" s="1"/>
  <c r="Q42" i="23"/>
  <c r="Q36" i="4" s="1"/>
  <c r="R42" i="23"/>
  <c r="R36" i="4" s="1"/>
  <c r="S42" i="23"/>
  <c r="S36" i="4" s="1"/>
  <c r="T42" i="23"/>
  <c r="T36" i="4" s="1"/>
  <c r="U42" i="23"/>
  <c r="U36" i="4" s="1"/>
  <c r="V42" i="23"/>
  <c r="V36" i="4" s="1"/>
  <c r="P43" i="23"/>
  <c r="Q43" i="23"/>
  <c r="Q37" i="4" s="1"/>
  <c r="R43" i="23"/>
  <c r="S43" i="23"/>
  <c r="T43" i="23"/>
  <c r="U43" i="23"/>
  <c r="U37" i="4" s="1"/>
  <c r="V43" i="23"/>
  <c r="O40" i="23"/>
  <c r="O34" i="4" s="1"/>
  <c r="K36" i="23"/>
  <c r="K30" i="4" s="1"/>
  <c r="L36" i="23"/>
  <c r="L30" i="4" s="1"/>
  <c r="M36" i="23"/>
  <c r="M30" i="4" s="1"/>
  <c r="K37" i="23"/>
  <c r="K31" i="4" s="1"/>
  <c r="L37" i="23"/>
  <c r="L31" i="4" s="1"/>
  <c r="M37" i="23"/>
  <c r="M31" i="4" s="1"/>
  <c r="K38" i="23"/>
  <c r="K32" i="4" s="1"/>
  <c r="L38" i="23"/>
  <c r="L32" i="4" s="1"/>
  <c r="M38" i="23"/>
  <c r="M32" i="4" s="1"/>
  <c r="K39" i="23"/>
  <c r="K33" i="4" s="1"/>
  <c r="L39" i="23"/>
  <c r="L33" i="4" s="1"/>
  <c r="M39" i="23"/>
  <c r="M33" i="4" s="1"/>
  <c r="K40" i="23"/>
  <c r="K34" i="4" s="1"/>
  <c r="L40" i="23"/>
  <c r="L34" i="4" s="1"/>
  <c r="M40" i="23"/>
  <c r="M34" i="4" s="1"/>
  <c r="K41" i="23"/>
  <c r="K35" i="4" s="1"/>
  <c r="L41" i="23"/>
  <c r="L35" i="4" s="1"/>
  <c r="M41" i="23"/>
  <c r="M35" i="4" s="1"/>
  <c r="K42" i="23"/>
  <c r="K36" i="4" s="1"/>
  <c r="L42" i="23"/>
  <c r="L36" i="4" s="1"/>
  <c r="M42" i="23"/>
  <c r="M36" i="4" s="1"/>
  <c r="K43" i="23"/>
  <c r="L43" i="23"/>
  <c r="M43" i="23"/>
  <c r="S14" i="4"/>
  <c r="T14" i="4"/>
  <c r="U14" i="4"/>
  <c r="V14" i="4"/>
  <c r="S37" i="1"/>
  <c r="S15" i="4" s="1"/>
  <c r="T37" i="1"/>
  <c r="T15" i="4" s="1"/>
  <c r="U37" i="1"/>
  <c r="U15" i="4" s="1"/>
  <c r="V37" i="1"/>
  <c r="V15" i="4" s="1"/>
  <c r="S38" i="1"/>
  <c r="S16" i="4" s="1"/>
  <c r="T38" i="1"/>
  <c r="T16" i="4" s="1"/>
  <c r="U38" i="1"/>
  <c r="U16" i="4" s="1"/>
  <c r="V38" i="1"/>
  <c r="V16" i="4" s="1"/>
  <c r="S39" i="1"/>
  <c r="S17" i="4" s="1"/>
  <c r="T39" i="1"/>
  <c r="T17" i="4" s="1"/>
  <c r="U39" i="1"/>
  <c r="U17" i="4" s="1"/>
  <c r="V39" i="1"/>
  <c r="V17" i="4" s="1"/>
  <c r="S40" i="1"/>
  <c r="S18" i="4" s="1"/>
  <c r="T40" i="1"/>
  <c r="T18" i="4" s="1"/>
  <c r="U40" i="1"/>
  <c r="U18" i="4" s="1"/>
  <c r="V40" i="1"/>
  <c r="V18" i="4" s="1"/>
  <c r="S41" i="1"/>
  <c r="S19" i="4" s="1"/>
  <c r="T41" i="1"/>
  <c r="T19" i="4" s="1"/>
  <c r="U41" i="1"/>
  <c r="U19" i="4" s="1"/>
  <c r="V41" i="1"/>
  <c r="V19" i="4" s="1"/>
  <c r="S42" i="1"/>
  <c r="S20" i="4" s="1"/>
  <c r="T42" i="1"/>
  <c r="T20" i="4" s="1"/>
  <c r="U42" i="1"/>
  <c r="U20" i="4" s="1"/>
  <c r="V42" i="1"/>
  <c r="V20" i="4" s="1"/>
  <c r="S43" i="1"/>
  <c r="S21" i="4" s="1"/>
  <c r="T43" i="1"/>
  <c r="U43" i="1"/>
  <c r="V43" i="1"/>
  <c r="K14" i="4"/>
  <c r="L14" i="4"/>
  <c r="M14" i="4"/>
  <c r="K37" i="1"/>
  <c r="K15" i="4" s="1"/>
  <c r="L37" i="1"/>
  <c r="L15" i="4" s="1"/>
  <c r="M37" i="1"/>
  <c r="M15" i="4" s="1"/>
  <c r="K38" i="1"/>
  <c r="K16" i="4" s="1"/>
  <c r="L38" i="1"/>
  <c r="L16" i="4" s="1"/>
  <c r="M38" i="1"/>
  <c r="M16" i="4" s="1"/>
  <c r="K39" i="1"/>
  <c r="K17" i="4" s="1"/>
  <c r="L39" i="1"/>
  <c r="L17" i="4" s="1"/>
  <c r="M39" i="1"/>
  <c r="M17" i="4" s="1"/>
  <c r="K40" i="1"/>
  <c r="K18" i="4" s="1"/>
  <c r="L40" i="1"/>
  <c r="L18" i="4" s="1"/>
  <c r="M40" i="1"/>
  <c r="M18" i="4" s="1"/>
  <c r="K41" i="1"/>
  <c r="K19" i="4" s="1"/>
  <c r="L41" i="1"/>
  <c r="L19" i="4" s="1"/>
  <c r="M41" i="1"/>
  <c r="M19" i="4" s="1"/>
  <c r="K42" i="1"/>
  <c r="K20" i="4" s="1"/>
  <c r="L42" i="1"/>
  <c r="L20" i="4" s="1"/>
  <c r="M42" i="1"/>
  <c r="M20" i="4" s="1"/>
  <c r="K43" i="1"/>
  <c r="L43" i="1"/>
  <c r="M43" i="1"/>
  <c r="N45" i="1"/>
  <c r="A22" i="1"/>
  <c r="I43" i="23"/>
  <c r="H43" i="23"/>
  <c r="G43" i="23"/>
  <c r="F43" i="23"/>
  <c r="E43" i="23"/>
  <c r="D43" i="23"/>
  <c r="C43" i="23"/>
  <c r="B43" i="23"/>
  <c r="I42" i="23"/>
  <c r="I36" i="4" s="1"/>
  <c r="H42" i="23"/>
  <c r="H36" i="4" s="1"/>
  <c r="G42" i="23"/>
  <c r="G36" i="4" s="1"/>
  <c r="F42" i="23"/>
  <c r="F36" i="4" s="1"/>
  <c r="E42" i="23"/>
  <c r="E36" i="4" s="1"/>
  <c r="D42" i="23"/>
  <c r="D36" i="4" s="1"/>
  <c r="C42" i="23"/>
  <c r="C36" i="4" s="1"/>
  <c r="B42" i="23"/>
  <c r="B36" i="4" s="1"/>
  <c r="I41" i="23"/>
  <c r="I35" i="4" s="1"/>
  <c r="H41" i="23"/>
  <c r="H35" i="4" s="1"/>
  <c r="G41" i="23"/>
  <c r="G35" i="4" s="1"/>
  <c r="F41" i="23"/>
  <c r="F35" i="4" s="1"/>
  <c r="E41" i="23"/>
  <c r="E35" i="4" s="1"/>
  <c r="D41" i="23"/>
  <c r="D35" i="4" s="1"/>
  <c r="C41" i="23"/>
  <c r="C35" i="4" s="1"/>
  <c r="B41" i="23"/>
  <c r="B35" i="4" s="1"/>
  <c r="I40" i="23"/>
  <c r="I34" i="4" s="1"/>
  <c r="H40" i="23"/>
  <c r="H34" i="4" s="1"/>
  <c r="G40" i="23"/>
  <c r="G34" i="4" s="1"/>
  <c r="F40" i="23"/>
  <c r="F34" i="4" s="1"/>
  <c r="E40" i="23"/>
  <c r="E34" i="4" s="1"/>
  <c r="D40" i="23"/>
  <c r="D34" i="4" s="1"/>
  <c r="C40" i="23"/>
  <c r="C34" i="4" s="1"/>
  <c r="B40" i="23"/>
  <c r="B34" i="4" s="1"/>
  <c r="V33" i="4"/>
  <c r="I39" i="23"/>
  <c r="I33" i="4" s="1"/>
  <c r="H39" i="23"/>
  <c r="H33" i="4" s="1"/>
  <c r="G39" i="23"/>
  <c r="G33" i="4" s="1"/>
  <c r="F39" i="23"/>
  <c r="F33" i="4" s="1"/>
  <c r="E39" i="23"/>
  <c r="E33" i="4" s="1"/>
  <c r="D39" i="23"/>
  <c r="D33" i="4" s="1"/>
  <c r="C39" i="23"/>
  <c r="C33" i="4" s="1"/>
  <c r="B39" i="23"/>
  <c r="B33" i="4" s="1"/>
  <c r="I38" i="23"/>
  <c r="I32" i="4" s="1"/>
  <c r="H38" i="23"/>
  <c r="H32" i="4" s="1"/>
  <c r="G38" i="23"/>
  <c r="G32" i="4" s="1"/>
  <c r="F38" i="23"/>
  <c r="F32" i="4" s="1"/>
  <c r="E38" i="23"/>
  <c r="E32" i="4" s="1"/>
  <c r="D38" i="23"/>
  <c r="D32" i="4" s="1"/>
  <c r="C38" i="23"/>
  <c r="C32" i="4" s="1"/>
  <c r="I37" i="23"/>
  <c r="I31" i="4" s="1"/>
  <c r="H37" i="23"/>
  <c r="H31" i="4" s="1"/>
  <c r="G37" i="23"/>
  <c r="G31" i="4" s="1"/>
  <c r="F37" i="23"/>
  <c r="F31" i="4" s="1"/>
  <c r="E37" i="23"/>
  <c r="E31" i="4" s="1"/>
  <c r="D37" i="23"/>
  <c r="D31" i="4" s="1"/>
  <c r="C37" i="23"/>
  <c r="C31" i="4" s="1"/>
  <c r="B37" i="23"/>
  <c r="B31" i="4" s="1"/>
  <c r="I36" i="23"/>
  <c r="I30" i="4" s="1"/>
  <c r="H36" i="23"/>
  <c r="H30" i="4" s="1"/>
  <c r="G36" i="23"/>
  <c r="G30" i="4" s="1"/>
  <c r="F36" i="23"/>
  <c r="F30" i="4" s="1"/>
  <c r="E36" i="23"/>
  <c r="E30" i="4" s="1"/>
  <c r="D36" i="23"/>
  <c r="D30" i="4" s="1"/>
  <c r="C36" i="23"/>
  <c r="C30" i="4" s="1"/>
  <c r="B36" i="23"/>
  <c r="B30" i="4" s="1"/>
  <c r="V24" i="23"/>
  <c r="U24" i="23"/>
  <c r="T24" i="23"/>
  <c r="S24" i="23"/>
  <c r="R24" i="23"/>
  <c r="Q24" i="23"/>
  <c r="P24" i="23"/>
  <c r="O24" i="23"/>
  <c r="L24" i="23"/>
  <c r="J24" i="23"/>
  <c r="I24" i="23"/>
  <c r="H24" i="23"/>
  <c r="G24" i="23"/>
  <c r="F24" i="23"/>
  <c r="E24" i="23"/>
  <c r="D24" i="23"/>
  <c r="C24" i="23"/>
  <c r="B24" i="23"/>
  <c r="V23" i="23"/>
  <c r="U23" i="23"/>
  <c r="T23" i="23"/>
  <c r="S23" i="23"/>
  <c r="R23" i="23"/>
  <c r="Q23" i="23"/>
  <c r="P23" i="23"/>
  <c r="O23" i="23"/>
  <c r="B32" i="23" s="1"/>
  <c r="B26" i="4" s="1"/>
  <c r="L23" i="23"/>
  <c r="J23" i="23"/>
  <c r="I23" i="23"/>
  <c r="H23" i="23"/>
  <c r="G23" i="23"/>
  <c r="F23" i="23"/>
  <c r="E23" i="23"/>
  <c r="D23" i="23"/>
  <c r="C23" i="23"/>
  <c r="B23" i="23"/>
  <c r="Q45" i="23"/>
  <c r="P45" i="23"/>
  <c r="O45" i="23"/>
  <c r="I22" i="23"/>
  <c r="H27" i="23"/>
  <c r="H52" i="23" s="1"/>
  <c r="G45" i="23"/>
  <c r="F27" i="23"/>
  <c r="F52" i="23" s="1"/>
  <c r="E45" i="23"/>
  <c r="C45" i="23"/>
  <c r="B45" i="23"/>
  <c r="J40" i="23"/>
  <c r="J34" i="4" s="1"/>
  <c r="J36" i="23"/>
  <c r="J30" i="4" s="1"/>
  <c r="J42" i="23"/>
  <c r="J36" i="4" s="1"/>
  <c r="J38" i="23"/>
  <c r="J32" i="4" s="1"/>
  <c r="J41" i="23"/>
  <c r="J35" i="4" s="1"/>
  <c r="J37" i="23"/>
  <c r="J31" i="4" s="1"/>
  <c r="J43" i="23"/>
  <c r="J39" i="23"/>
  <c r="J33" i="4" s="1"/>
  <c r="P22" i="23"/>
  <c r="S23" i="1"/>
  <c r="T23" i="1"/>
  <c r="U23" i="1"/>
  <c r="V23" i="1"/>
  <c r="S24" i="1"/>
  <c r="T24" i="1"/>
  <c r="U24" i="1"/>
  <c r="V24" i="1"/>
  <c r="L23" i="1"/>
  <c r="M23" i="1"/>
  <c r="L24" i="1"/>
  <c r="M24" i="1"/>
  <c r="I23" i="1"/>
  <c r="I24" i="1"/>
  <c r="C14" i="4"/>
  <c r="D14" i="4"/>
  <c r="E14" i="4"/>
  <c r="F14" i="4"/>
  <c r="G14" i="4"/>
  <c r="H14" i="4"/>
  <c r="I14" i="4"/>
  <c r="J14" i="4"/>
  <c r="C37" i="1"/>
  <c r="C15" i="4" s="1"/>
  <c r="D37" i="1"/>
  <c r="D15" i="4" s="1"/>
  <c r="E37" i="1"/>
  <c r="E15" i="4" s="1"/>
  <c r="F37" i="1"/>
  <c r="F15" i="4" s="1"/>
  <c r="G37" i="1"/>
  <c r="G15" i="4" s="1"/>
  <c r="H37" i="1"/>
  <c r="H15" i="4" s="1"/>
  <c r="I37" i="1"/>
  <c r="I15" i="4" s="1"/>
  <c r="J37" i="1"/>
  <c r="J15" i="4" s="1"/>
  <c r="C38" i="1"/>
  <c r="C16" i="4" s="1"/>
  <c r="D38" i="1"/>
  <c r="D16" i="4" s="1"/>
  <c r="E38" i="1"/>
  <c r="E16" i="4" s="1"/>
  <c r="F38" i="1"/>
  <c r="F16" i="4" s="1"/>
  <c r="G38" i="1"/>
  <c r="G16" i="4" s="1"/>
  <c r="H38" i="1"/>
  <c r="H16" i="4" s="1"/>
  <c r="I38" i="1"/>
  <c r="I16" i="4" s="1"/>
  <c r="J38" i="1"/>
  <c r="J16" i="4" s="1"/>
  <c r="C39" i="1"/>
  <c r="C17" i="4" s="1"/>
  <c r="D39" i="1"/>
  <c r="E39" i="1"/>
  <c r="E17" i="4" s="1"/>
  <c r="F39" i="1"/>
  <c r="F17" i="4" s="1"/>
  <c r="G39" i="1"/>
  <c r="G17" i="4" s="1"/>
  <c r="H39" i="1"/>
  <c r="H17" i="4" s="1"/>
  <c r="I39" i="1"/>
  <c r="I17" i="4" s="1"/>
  <c r="J39" i="1"/>
  <c r="J17" i="4" s="1"/>
  <c r="C40" i="1"/>
  <c r="C18" i="4" s="1"/>
  <c r="D40" i="1"/>
  <c r="D18" i="4" s="1"/>
  <c r="E40" i="1"/>
  <c r="E18" i="4" s="1"/>
  <c r="F40" i="1"/>
  <c r="F18" i="4" s="1"/>
  <c r="G40" i="1"/>
  <c r="G18" i="4" s="1"/>
  <c r="H40" i="1"/>
  <c r="H18" i="4" s="1"/>
  <c r="I40" i="1"/>
  <c r="I18" i="4" s="1"/>
  <c r="J40" i="1"/>
  <c r="J18" i="4" s="1"/>
  <c r="C41" i="1"/>
  <c r="C19" i="4" s="1"/>
  <c r="D41" i="1"/>
  <c r="D19" i="4" s="1"/>
  <c r="E41" i="1"/>
  <c r="E19" i="4" s="1"/>
  <c r="F41" i="1"/>
  <c r="F19" i="4" s="1"/>
  <c r="G41" i="1"/>
  <c r="G19" i="4" s="1"/>
  <c r="H41" i="1"/>
  <c r="H19" i="4" s="1"/>
  <c r="I41" i="1"/>
  <c r="I19" i="4" s="1"/>
  <c r="J41" i="1"/>
  <c r="J19" i="4" s="1"/>
  <c r="C42" i="1"/>
  <c r="C20" i="4" s="1"/>
  <c r="D42" i="1"/>
  <c r="D20" i="4" s="1"/>
  <c r="E42" i="1"/>
  <c r="E20" i="4" s="1"/>
  <c r="F42" i="1"/>
  <c r="F20" i="4" s="1"/>
  <c r="G42" i="1"/>
  <c r="G20" i="4" s="1"/>
  <c r="H42" i="1"/>
  <c r="H20" i="4" s="1"/>
  <c r="I42" i="1"/>
  <c r="I20" i="4" s="1"/>
  <c r="J42" i="1"/>
  <c r="J20" i="4" s="1"/>
  <c r="C43" i="1"/>
  <c r="D43" i="1"/>
  <c r="E43" i="1"/>
  <c r="F43" i="1"/>
  <c r="G43" i="1"/>
  <c r="H43" i="1"/>
  <c r="I43" i="1"/>
  <c r="J43" i="1"/>
  <c r="I45" i="1"/>
  <c r="Q14" i="4"/>
  <c r="R14" i="4"/>
  <c r="Q37" i="1"/>
  <c r="Q15" i="4" s="1"/>
  <c r="Q38" i="1"/>
  <c r="Q16" i="4" s="1"/>
  <c r="P17" i="4"/>
  <c r="Q39" i="1"/>
  <c r="Q17" i="4" s="1"/>
  <c r="R39" i="1"/>
  <c r="R17" i="4" s="1"/>
  <c r="P18" i="4"/>
  <c r="Q40" i="1"/>
  <c r="Q18" i="4" s="1"/>
  <c r="R40" i="1"/>
  <c r="R18" i="4" s="1"/>
  <c r="P19" i="4"/>
  <c r="Q41" i="1"/>
  <c r="Q19" i="4" s="1"/>
  <c r="P20" i="4"/>
  <c r="Q42" i="1"/>
  <c r="Q20" i="4" s="1"/>
  <c r="Q43" i="1"/>
  <c r="R43" i="1"/>
  <c r="B14" i="4"/>
  <c r="B37" i="1"/>
  <c r="B15" i="4" s="1"/>
  <c r="B38" i="1"/>
  <c r="B16" i="4" s="1"/>
  <c r="B39" i="1"/>
  <c r="B17" i="4" s="1"/>
  <c r="B40" i="1"/>
  <c r="B18" i="4" s="1"/>
  <c r="B41" i="1"/>
  <c r="B19" i="4" s="1"/>
  <c r="B42" i="1"/>
  <c r="B20" i="4" s="1"/>
  <c r="B43" i="1"/>
  <c r="B23" i="1"/>
  <c r="B4" i="4"/>
  <c r="B62" i="4" s="1"/>
  <c r="A52" i="1"/>
  <c r="O22" i="1"/>
  <c r="Q24" i="1"/>
  <c r="P24" i="1"/>
  <c r="O24" i="1"/>
  <c r="Q23" i="1"/>
  <c r="P23" i="1"/>
  <c r="O23" i="1"/>
  <c r="D28" i="1" s="1"/>
  <c r="H27" i="1"/>
  <c r="H52" i="1" s="1"/>
  <c r="G27" i="1"/>
  <c r="G52" i="1" s="1"/>
  <c r="F27" i="1"/>
  <c r="F52" i="1" s="1"/>
  <c r="E4" i="4"/>
  <c r="D22" i="1"/>
  <c r="C45" i="1"/>
  <c r="Q27" i="1"/>
  <c r="Q52" i="1" s="1"/>
  <c r="K24" i="1"/>
  <c r="J24" i="1"/>
  <c r="H24" i="1"/>
  <c r="G24" i="1"/>
  <c r="F24" i="1"/>
  <c r="E24" i="1"/>
  <c r="D24" i="1"/>
  <c r="C24" i="1"/>
  <c r="B24" i="1"/>
  <c r="K23" i="1"/>
  <c r="J23" i="1"/>
  <c r="H23" i="1"/>
  <c r="G23" i="1"/>
  <c r="F23" i="1"/>
  <c r="E23" i="1"/>
  <c r="D23" i="1"/>
  <c r="C23" i="1"/>
  <c r="R24" i="1"/>
  <c r="R23" i="1"/>
  <c r="K4" i="1"/>
  <c r="K4" i="4" s="1"/>
  <c r="K62" i="4" s="1"/>
  <c r="L4" i="1"/>
  <c r="L4" i="4" s="1"/>
  <c r="K4" i="23"/>
  <c r="K52" i="23" s="1"/>
  <c r="L4" i="23"/>
  <c r="L27" i="23" s="1"/>
  <c r="S56" i="1"/>
  <c r="T56" i="1"/>
  <c r="U56" i="1"/>
  <c r="V56" i="1"/>
  <c r="O39" i="23" l="1"/>
  <c r="O33" i="4" s="1"/>
  <c r="V28" i="1"/>
  <c r="P16" i="4"/>
  <c r="O43" i="23"/>
  <c r="O42" i="23"/>
  <c r="O36" i="4" s="1"/>
  <c r="O41" i="23"/>
  <c r="O35" i="4" s="1"/>
  <c r="C28" i="23"/>
  <c r="C22" i="4" s="1"/>
  <c r="I31" i="23"/>
  <c r="I25" i="4" s="1"/>
  <c r="H31" i="23"/>
  <c r="H25" i="4" s="1"/>
  <c r="H30" i="23"/>
  <c r="H24" i="4" s="1"/>
  <c r="F29" i="23"/>
  <c r="F23" i="4" s="1"/>
  <c r="K31" i="23"/>
  <c r="K25" i="4" s="1"/>
  <c r="L28" i="23"/>
  <c r="L22" i="4" s="1"/>
  <c r="K29" i="23"/>
  <c r="K23" i="4" s="1"/>
  <c r="G28" i="23"/>
  <c r="G22" i="4" s="1"/>
  <c r="H28" i="23"/>
  <c r="H22" i="4" s="1"/>
  <c r="G30" i="23"/>
  <c r="G24" i="4" s="1"/>
  <c r="C31" i="23"/>
  <c r="C25" i="4" s="1"/>
  <c r="E30" i="23"/>
  <c r="E24" i="4" s="1"/>
  <c r="M30" i="23"/>
  <c r="M24" i="4" s="1"/>
  <c r="K28" i="23"/>
  <c r="K22" i="4" s="1"/>
  <c r="L31" i="23"/>
  <c r="L25" i="4" s="1"/>
  <c r="G29" i="23"/>
  <c r="G23" i="4" s="1"/>
  <c r="G31" i="23"/>
  <c r="G25" i="4" s="1"/>
  <c r="L30" i="23"/>
  <c r="L24" i="4" s="1"/>
  <c r="E31" i="23"/>
  <c r="E25" i="4" s="1"/>
  <c r="D31" i="23"/>
  <c r="D25" i="4" s="1"/>
  <c r="M28" i="23"/>
  <c r="M22" i="4" s="1"/>
  <c r="E28" i="23"/>
  <c r="J31" i="23"/>
  <c r="J25" i="4" s="1"/>
  <c r="C29" i="23"/>
  <c r="C23" i="4" s="1"/>
  <c r="J28" i="23"/>
  <c r="J22" i="4" s="1"/>
  <c r="K30" i="23"/>
  <c r="K24" i="4" s="1"/>
  <c r="I30" i="23"/>
  <c r="I24" i="4" s="1"/>
  <c r="I34" i="23"/>
  <c r="I28" i="4" s="1"/>
  <c r="F31" i="23"/>
  <c r="F25" i="4" s="1"/>
  <c r="F28" i="23"/>
  <c r="F22" i="4" s="1"/>
  <c r="I28" i="23"/>
  <c r="I22" i="4" s="1"/>
  <c r="I32" i="23"/>
  <c r="I26" i="4" s="1"/>
  <c r="F30" i="23"/>
  <c r="F24" i="4" s="1"/>
  <c r="E29" i="23"/>
  <c r="E23" i="4" s="1"/>
  <c r="M29" i="23"/>
  <c r="M23" i="4" s="1"/>
  <c r="H29" i="23"/>
  <c r="H23" i="4" s="1"/>
  <c r="M31" i="23"/>
  <c r="M25" i="4" s="1"/>
  <c r="D30" i="23"/>
  <c r="D24" i="4" s="1"/>
  <c r="O29" i="23"/>
  <c r="O23" i="4" s="1"/>
  <c r="C30" i="23"/>
  <c r="C24" i="4" s="1"/>
  <c r="D28" i="23"/>
  <c r="D22" i="4" s="1"/>
  <c r="D29" i="23"/>
  <c r="D23" i="4" s="1"/>
  <c r="J30" i="23"/>
  <c r="J24" i="4" s="1"/>
  <c r="I29" i="23"/>
  <c r="I23" i="4" s="1"/>
  <c r="J29" i="23"/>
  <c r="J23" i="4" s="1"/>
  <c r="L29" i="23"/>
  <c r="L23" i="4" s="1"/>
  <c r="V30" i="1"/>
  <c r="V8" i="4" s="1"/>
  <c r="U30" i="1"/>
  <c r="U8" i="4" s="1"/>
  <c r="T30" i="1"/>
  <c r="T8" i="4" s="1"/>
  <c r="S30" i="1"/>
  <c r="S8" i="4" s="1"/>
  <c r="V29" i="1"/>
  <c r="V7" i="4" s="1"/>
  <c r="U29" i="1"/>
  <c r="U7" i="4" s="1"/>
  <c r="O38" i="1"/>
  <c r="O16" i="4" s="1"/>
  <c r="T29" i="1"/>
  <c r="T7" i="4" s="1"/>
  <c r="S29" i="1"/>
  <c r="S7" i="4" s="1"/>
  <c r="Q28" i="1"/>
  <c r="Q6" i="4" s="1"/>
  <c r="T33" i="1"/>
  <c r="T11" i="4" s="1"/>
  <c r="Q31" i="1"/>
  <c r="Q9" i="4" s="1"/>
  <c r="U33" i="1"/>
  <c r="U11" i="4" s="1"/>
  <c r="S35" i="1"/>
  <c r="S13" i="4" s="1"/>
  <c r="R31" i="1"/>
  <c r="V33" i="1"/>
  <c r="V11" i="4" s="1"/>
  <c r="U32" i="1"/>
  <c r="U10" i="4" s="1"/>
  <c r="V35" i="1"/>
  <c r="V13" i="4" s="1"/>
  <c r="S31" i="1"/>
  <c r="Q34" i="1"/>
  <c r="Q12" i="4" s="1"/>
  <c r="T31" i="1"/>
  <c r="T9" i="4" s="1"/>
  <c r="R34" i="1"/>
  <c r="S33" i="1"/>
  <c r="U31" i="1"/>
  <c r="U9" i="4" s="1"/>
  <c r="S34" i="1"/>
  <c r="S12" i="4" s="1"/>
  <c r="T35" i="1"/>
  <c r="T13" i="4" s="1"/>
  <c r="V31" i="1"/>
  <c r="T34" i="1"/>
  <c r="T12" i="4" s="1"/>
  <c r="U34" i="1"/>
  <c r="V32" i="1"/>
  <c r="V10" i="4" s="1"/>
  <c r="Q32" i="1"/>
  <c r="U35" i="1"/>
  <c r="U13" i="4" s="1"/>
  <c r="R32" i="1"/>
  <c r="V34" i="1"/>
  <c r="V12" i="4" s="1"/>
  <c r="Q33" i="1"/>
  <c r="S32" i="1"/>
  <c r="S10" i="4" s="1"/>
  <c r="Q35" i="1"/>
  <c r="Q13" i="4" s="1"/>
  <c r="T32" i="1"/>
  <c r="T10" i="4" s="1"/>
  <c r="R35" i="1"/>
  <c r="R33" i="1"/>
  <c r="R11" i="4" s="1"/>
  <c r="U28" i="1"/>
  <c r="U6" i="4" s="1"/>
  <c r="T28" i="1"/>
  <c r="T6" i="4" s="1"/>
  <c r="S28" i="1"/>
  <c r="S6" i="4" s="1"/>
  <c r="M29" i="1"/>
  <c r="M7" i="4" s="1"/>
  <c r="P11" i="4"/>
  <c r="O36" i="1"/>
  <c r="P12" i="4"/>
  <c r="O41" i="1"/>
  <c r="O19" i="4" s="1"/>
  <c r="P6" i="4"/>
  <c r="O40" i="1"/>
  <c r="O18" i="4" s="1"/>
  <c r="O42" i="1"/>
  <c r="O20" i="4" s="1"/>
  <c r="O43" i="1"/>
  <c r="O21" i="4" s="1"/>
  <c r="O39" i="1"/>
  <c r="O17" i="4" s="1"/>
  <c r="E29" i="1"/>
  <c r="E7" i="4" s="1"/>
  <c r="P8" i="4"/>
  <c r="G29" i="1"/>
  <c r="G7" i="4" s="1"/>
  <c r="F29" i="1"/>
  <c r="F7" i="4" s="1"/>
  <c r="M35" i="1"/>
  <c r="M13" i="4" s="1"/>
  <c r="O31" i="1"/>
  <c r="O33" i="1"/>
  <c r="O11" i="4" s="1"/>
  <c r="O35" i="1"/>
  <c r="O13" i="4" s="1"/>
  <c r="B34" i="1"/>
  <c r="B12" i="4" s="1"/>
  <c r="O34" i="1"/>
  <c r="D35" i="1"/>
  <c r="D13" i="4" s="1"/>
  <c r="C34" i="1"/>
  <c r="C12" i="4" s="1"/>
  <c r="B35" i="1"/>
  <c r="B13" i="4" s="1"/>
  <c r="D34" i="1"/>
  <c r="D12" i="4" s="1"/>
  <c r="E34" i="1"/>
  <c r="F34" i="1"/>
  <c r="F12" i="4" s="1"/>
  <c r="G35" i="1"/>
  <c r="G13" i="4" s="1"/>
  <c r="G34" i="1"/>
  <c r="G12" i="4" s="1"/>
  <c r="C35" i="1"/>
  <c r="C13" i="4" s="1"/>
  <c r="E35" i="1"/>
  <c r="E13" i="4" s="1"/>
  <c r="H35" i="1"/>
  <c r="H13" i="4" s="1"/>
  <c r="H34" i="1"/>
  <c r="H12" i="4" s="1"/>
  <c r="M34" i="1"/>
  <c r="M12" i="4" s="1"/>
  <c r="O32" i="1"/>
  <c r="O10" i="4" s="1"/>
  <c r="F35" i="1"/>
  <c r="F13" i="4" s="1"/>
  <c r="M28" i="1"/>
  <c r="M6" i="4" s="1"/>
  <c r="K35" i="1"/>
  <c r="K13" i="4" s="1"/>
  <c r="J34" i="1"/>
  <c r="J12" i="4" s="1"/>
  <c r="L34" i="1"/>
  <c r="L12" i="4" s="1"/>
  <c r="I35" i="1"/>
  <c r="K34" i="1"/>
  <c r="K12" i="4" s="1"/>
  <c r="I34" i="1"/>
  <c r="I12" i="4" s="1"/>
  <c r="J35" i="1"/>
  <c r="J13" i="4" s="1"/>
  <c r="L35" i="1"/>
  <c r="L13" i="4" s="1"/>
  <c r="I29" i="1"/>
  <c r="I7" i="4" s="1"/>
  <c r="J29" i="1"/>
  <c r="J7" i="4" s="1"/>
  <c r="J28" i="1"/>
  <c r="J6" i="4" s="1"/>
  <c r="L29" i="1"/>
  <c r="L7" i="4" s="1"/>
  <c r="K29" i="1"/>
  <c r="K7" i="4" s="1"/>
  <c r="L28" i="1"/>
  <c r="L6" i="4" s="1"/>
  <c r="K28" i="1"/>
  <c r="K6" i="4" s="1"/>
  <c r="C34" i="23"/>
  <c r="C28" i="4" s="1"/>
  <c r="C33" i="23"/>
  <c r="C27" i="4" s="1"/>
  <c r="U22" i="4"/>
  <c r="C29" i="1"/>
  <c r="C7" i="4" s="1"/>
  <c r="B30" i="1"/>
  <c r="B8" i="4" s="1"/>
  <c r="F30" i="1"/>
  <c r="F8" i="4" s="1"/>
  <c r="J30" i="1"/>
  <c r="J8" i="4" s="1"/>
  <c r="B31" i="1"/>
  <c r="B9" i="4" s="1"/>
  <c r="F31" i="1"/>
  <c r="J31" i="1"/>
  <c r="J9" i="4" s="1"/>
  <c r="B32" i="1"/>
  <c r="F32" i="1"/>
  <c r="F10" i="4" s="1"/>
  <c r="J32" i="1"/>
  <c r="J10" i="4" s="1"/>
  <c r="B33" i="1"/>
  <c r="B11" i="4" s="1"/>
  <c r="F33" i="1"/>
  <c r="F11" i="4" s="1"/>
  <c r="J33" i="1"/>
  <c r="J11" i="4" s="1"/>
  <c r="C30" i="1"/>
  <c r="C8" i="4" s="1"/>
  <c r="G30" i="1"/>
  <c r="G8" i="4" s="1"/>
  <c r="K30" i="1"/>
  <c r="K8" i="4" s="1"/>
  <c r="C31" i="1"/>
  <c r="C9" i="4" s="1"/>
  <c r="G31" i="1"/>
  <c r="G9" i="4" s="1"/>
  <c r="K31" i="1"/>
  <c r="K9" i="4" s="1"/>
  <c r="C32" i="1"/>
  <c r="G32" i="1"/>
  <c r="G10" i="4" s="1"/>
  <c r="K32" i="1"/>
  <c r="K10" i="4" s="1"/>
  <c r="C33" i="1"/>
  <c r="C11" i="4" s="1"/>
  <c r="G33" i="1"/>
  <c r="K33" i="1"/>
  <c r="K11" i="4" s="1"/>
  <c r="H30" i="1"/>
  <c r="H8" i="4" s="1"/>
  <c r="L30" i="1"/>
  <c r="L8" i="4" s="1"/>
  <c r="D31" i="1"/>
  <c r="D9" i="4" s="1"/>
  <c r="L31" i="1"/>
  <c r="L9" i="4" s="1"/>
  <c r="D32" i="1"/>
  <c r="L32" i="1"/>
  <c r="L10" i="4" s="1"/>
  <c r="D33" i="1"/>
  <c r="D11" i="4" s="1"/>
  <c r="L33" i="1"/>
  <c r="L11" i="4" s="1"/>
  <c r="D30" i="1"/>
  <c r="H31" i="1"/>
  <c r="H9" i="4" s="1"/>
  <c r="H32" i="1"/>
  <c r="H10" i="4" s="1"/>
  <c r="H33" i="1"/>
  <c r="H11" i="4" s="1"/>
  <c r="E30" i="1"/>
  <c r="E8" i="4" s="1"/>
  <c r="I30" i="1"/>
  <c r="I8" i="4" s="1"/>
  <c r="M30" i="1"/>
  <c r="M8" i="4" s="1"/>
  <c r="E31" i="1"/>
  <c r="E9" i="4" s="1"/>
  <c r="I31" i="1"/>
  <c r="I9" i="4" s="1"/>
  <c r="M31" i="1"/>
  <c r="M9" i="4" s="1"/>
  <c r="E32" i="1"/>
  <c r="E10" i="4" s="1"/>
  <c r="I32" i="1"/>
  <c r="I10" i="4" s="1"/>
  <c r="M32" i="1"/>
  <c r="E33" i="1"/>
  <c r="E11" i="4" s="1"/>
  <c r="I33" i="1"/>
  <c r="I11" i="4" s="1"/>
  <c r="M33" i="1"/>
  <c r="M11" i="4" s="1"/>
  <c r="F33" i="23"/>
  <c r="F27" i="4" s="1"/>
  <c r="E35" i="23"/>
  <c r="E29" i="4" s="1"/>
  <c r="H34" i="23"/>
  <c r="H28" i="4" s="1"/>
  <c r="M33" i="23"/>
  <c r="M27" i="4" s="1"/>
  <c r="L35" i="23"/>
  <c r="L29" i="4" s="1"/>
  <c r="M32" i="23"/>
  <c r="O36" i="23"/>
  <c r="O30" i="4" s="1"/>
  <c r="S36" i="23"/>
  <c r="S30" i="4" s="1"/>
  <c r="S34" i="23"/>
  <c r="S28" i="4" s="1"/>
  <c r="U33" i="23"/>
  <c r="J33" i="23"/>
  <c r="J27" i="4" s="1"/>
  <c r="I35" i="23"/>
  <c r="I29" i="4" s="1"/>
  <c r="D33" i="23"/>
  <c r="D27" i="4" s="1"/>
  <c r="G34" i="23"/>
  <c r="G28" i="4" s="1"/>
  <c r="H35" i="23"/>
  <c r="H29" i="4" s="1"/>
  <c r="F34" i="23"/>
  <c r="F28" i="4" s="1"/>
  <c r="E33" i="23"/>
  <c r="E27" i="4" s="1"/>
  <c r="C35" i="23"/>
  <c r="C29" i="4" s="1"/>
  <c r="K35" i="23"/>
  <c r="K29" i="4" s="1"/>
  <c r="L32" i="23"/>
  <c r="V36" i="23"/>
  <c r="V30" i="4" s="1"/>
  <c r="R36" i="23"/>
  <c r="R30" i="4" s="1"/>
  <c r="T35" i="23"/>
  <c r="T29" i="4" s="1"/>
  <c r="P35" i="23"/>
  <c r="P29" i="4" s="1"/>
  <c r="V34" i="23"/>
  <c r="V28" i="4" s="1"/>
  <c r="T33" i="23"/>
  <c r="T27" i="4" s="1"/>
  <c r="D35" i="23"/>
  <c r="D29" i="4" s="1"/>
  <c r="D32" i="23"/>
  <c r="H33" i="23"/>
  <c r="H27" i="4" s="1"/>
  <c r="F35" i="23"/>
  <c r="F29" i="4" s="1"/>
  <c r="C32" i="23"/>
  <c r="J34" i="23"/>
  <c r="J28" i="4" s="1"/>
  <c r="F32" i="23"/>
  <c r="I33" i="23"/>
  <c r="G35" i="23"/>
  <c r="G29" i="4" s="1"/>
  <c r="M34" i="23"/>
  <c r="M28" i="4" s="1"/>
  <c r="L33" i="23"/>
  <c r="L27" i="4" s="1"/>
  <c r="K32" i="23"/>
  <c r="O33" i="23"/>
  <c r="O27" i="4" s="1"/>
  <c r="U36" i="23"/>
  <c r="U30" i="4" s="1"/>
  <c r="Q36" i="23"/>
  <c r="Q30" i="4" s="1"/>
  <c r="S35" i="23"/>
  <c r="S29" i="4" s="1"/>
  <c r="U34" i="23"/>
  <c r="U28" i="4" s="1"/>
  <c r="Q34" i="23"/>
  <c r="Q28" i="4" s="1"/>
  <c r="S33" i="23"/>
  <c r="K34" i="23"/>
  <c r="K28" i="4" s="1"/>
  <c r="U35" i="23"/>
  <c r="U29" i="4" s="1"/>
  <c r="Q35" i="23"/>
  <c r="Q29" i="4" s="1"/>
  <c r="Q33" i="23"/>
  <c r="O35" i="23"/>
  <c r="O29" i="4" s="1"/>
  <c r="R34" i="23"/>
  <c r="R28" i="4" s="1"/>
  <c r="P33" i="23"/>
  <c r="G32" i="23"/>
  <c r="G33" i="23"/>
  <c r="G27" i="4" s="1"/>
  <c r="E32" i="23"/>
  <c r="J35" i="23"/>
  <c r="J29" i="4" s="1"/>
  <c r="E34" i="23"/>
  <c r="E28" i="4" s="1"/>
  <c r="H32" i="23"/>
  <c r="J32" i="23"/>
  <c r="D34" i="23"/>
  <c r="D28" i="4" s="1"/>
  <c r="M35" i="23"/>
  <c r="M29" i="4" s="1"/>
  <c r="L34" i="23"/>
  <c r="L28" i="4" s="1"/>
  <c r="K33" i="23"/>
  <c r="K27" i="4" s="1"/>
  <c r="T36" i="23"/>
  <c r="T30" i="4" s="1"/>
  <c r="P36" i="23"/>
  <c r="P30" i="4" s="1"/>
  <c r="V35" i="23"/>
  <c r="V29" i="4" s="1"/>
  <c r="R35" i="23"/>
  <c r="R29" i="4" s="1"/>
  <c r="T34" i="23"/>
  <c r="T28" i="4" s="1"/>
  <c r="P34" i="23"/>
  <c r="P28" i="4" s="1"/>
  <c r="V33" i="23"/>
  <c r="R33" i="23"/>
  <c r="S9" i="4"/>
  <c r="U12" i="4"/>
  <c r="S11" i="4"/>
  <c r="V9" i="4"/>
  <c r="Q11" i="4"/>
  <c r="M10" i="4"/>
  <c r="E22" i="4"/>
  <c r="Q22" i="4"/>
  <c r="P22" i="4"/>
  <c r="T4" i="33"/>
  <c r="T22" i="33" s="1"/>
  <c r="Q22" i="1"/>
  <c r="R13" i="4"/>
  <c r="H29" i="1"/>
  <c r="E28" i="1"/>
  <c r="F28" i="1"/>
  <c r="R41" i="1"/>
  <c r="R19" i="4" s="1"/>
  <c r="R37" i="1"/>
  <c r="R15" i="4" s="1"/>
  <c r="Q29" i="1"/>
  <c r="O37" i="1"/>
  <c r="O15" i="4" s="1"/>
  <c r="I28" i="1"/>
  <c r="H28" i="1"/>
  <c r="G28" i="1"/>
  <c r="R42" i="1"/>
  <c r="R20" i="4" s="1"/>
  <c r="R38" i="1"/>
  <c r="R16" i="4" s="1"/>
  <c r="R12" i="4"/>
  <c r="L74" i="4"/>
  <c r="L62" i="4"/>
  <c r="E55" i="4"/>
  <c r="E62" i="4"/>
  <c r="P21" i="4"/>
  <c r="I52" i="23"/>
  <c r="R4" i="33"/>
  <c r="V37" i="4"/>
  <c r="R37" i="4"/>
  <c r="K37" i="4"/>
  <c r="I45" i="23"/>
  <c r="U4" i="33"/>
  <c r="R21" i="4"/>
  <c r="Q21" i="4"/>
  <c r="S4" i="33"/>
  <c r="C27" i="23"/>
  <c r="C52" i="23" s="1"/>
  <c r="I27" i="23"/>
  <c r="V21" i="4"/>
  <c r="T21" i="4"/>
  <c r="B21" i="4"/>
  <c r="O37" i="23"/>
  <c r="O31" i="4" s="1"/>
  <c r="O34" i="23"/>
  <c r="O28" i="4" s="1"/>
  <c r="O38" i="23"/>
  <c r="T37" i="4"/>
  <c r="B38" i="23"/>
  <c r="F37" i="4"/>
  <c r="L37" i="4"/>
  <c r="P37" i="4"/>
  <c r="S37" i="4"/>
  <c r="J37" i="4"/>
  <c r="H37" i="4"/>
  <c r="M37" i="4"/>
  <c r="O37" i="4"/>
  <c r="Q4" i="4"/>
  <c r="Q62" i="4" s="1"/>
  <c r="P27" i="23"/>
  <c r="P52" i="23" s="1"/>
  <c r="J4" i="1"/>
  <c r="J4" i="4" s="1"/>
  <c r="J4" i="23"/>
  <c r="J45" i="23" s="1"/>
  <c r="M4" i="23"/>
  <c r="M27" i="23" s="1"/>
  <c r="M4" i="1"/>
  <c r="M4" i="4" s="1"/>
  <c r="L45" i="1"/>
  <c r="L27" i="1"/>
  <c r="L52" i="1" s="1"/>
  <c r="O32" i="23"/>
  <c r="O31" i="23"/>
  <c r="O25" i="4" s="1"/>
  <c r="O30" i="23"/>
  <c r="O24" i="4" s="1"/>
  <c r="B33" i="23"/>
  <c r="B27" i="4" s="1"/>
  <c r="B28" i="23"/>
  <c r="B30" i="23"/>
  <c r="B24" i="4" s="1"/>
  <c r="B34" i="23"/>
  <c r="B28" i="4" s="1"/>
  <c r="B35" i="23"/>
  <c r="O28" i="23"/>
  <c r="B31" i="23"/>
  <c r="B25" i="4" s="1"/>
  <c r="B29" i="23"/>
  <c r="B23" i="4" s="1"/>
  <c r="P10" i="4"/>
  <c r="D4" i="4"/>
  <c r="P23" i="4"/>
  <c r="O29" i="1"/>
  <c r="O7" i="4" s="1"/>
  <c r="B27" i="23"/>
  <c r="B52" i="23" s="1"/>
  <c r="K45" i="23"/>
  <c r="E27" i="23"/>
  <c r="E52" i="23" s="1"/>
  <c r="Q30" i="1"/>
  <c r="Q8" i="4" s="1"/>
  <c r="B29" i="1"/>
  <c r="B7" i="4" s="1"/>
  <c r="P13" i="4"/>
  <c r="P9" i="4"/>
  <c r="H22" i="23"/>
  <c r="F22" i="23"/>
  <c r="H45" i="23"/>
  <c r="R9" i="4"/>
  <c r="R22" i="4"/>
  <c r="V22" i="4"/>
  <c r="V57" i="1"/>
  <c r="U57" i="1"/>
  <c r="T57" i="1"/>
  <c r="S57" i="1"/>
  <c r="J21" i="4"/>
  <c r="E37" i="4"/>
  <c r="M21" i="4"/>
  <c r="R28" i="1"/>
  <c r="R30" i="1"/>
  <c r="R8" i="4" s="1"/>
  <c r="L21" i="4"/>
  <c r="U21" i="4"/>
  <c r="R29" i="1"/>
  <c r="R7" i="4" s="1"/>
  <c r="D21" i="4"/>
  <c r="C37" i="4"/>
  <c r="I37" i="4"/>
  <c r="K21" i="4"/>
  <c r="P14" i="4"/>
  <c r="C21" i="4"/>
  <c r="B37" i="4"/>
  <c r="D37" i="4"/>
  <c r="G37" i="4"/>
  <c r="O12" i="4"/>
  <c r="O30" i="1"/>
  <c r="O8" i="4" s="1"/>
  <c r="O9" i="4"/>
  <c r="B28" i="1"/>
  <c r="C28" i="1"/>
  <c r="O28" i="1"/>
  <c r="D29" i="1"/>
  <c r="D7" i="4" s="1"/>
  <c r="V6" i="4"/>
  <c r="G21" i="4"/>
  <c r="I21" i="4"/>
  <c r="F21" i="4"/>
  <c r="H21" i="4"/>
  <c r="E21" i="4"/>
  <c r="L52" i="23"/>
  <c r="D17" i="4"/>
  <c r="C4" i="4"/>
  <c r="G27" i="23"/>
  <c r="G52" i="23" s="1"/>
  <c r="K27" i="23"/>
  <c r="L22" i="1"/>
  <c r="D27" i="1"/>
  <c r="D52" i="1" s="1"/>
  <c r="D45" i="1"/>
  <c r="D22" i="23"/>
  <c r="D45" i="23"/>
  <c r="D27" i="23"/>
  <c r="D52" i="23" s="1"/>
  <c r="F45" i="23"/>
  <c r="E22" i="23"/>
  <c r="G22" i="23"/>
  <c r="K22" i="23"/>
  <c r="L45" i="23"/>
  <c r="O22" i="23"/>
  <c r="Q22" i="23"/>
  <c r="B22" i="23"/>
  <c r="C22" i="23"/>
  <c r="L22" i="23"/>
  <c r="Q27" i="23"/>
  <c r="Q52" i="23" s="1"/>
  <c r="O27" i="23"/>
  <c r="O52" i="23" s="1"/>
  <c r="E45" i="1"/>
  <c r="B27" i="1"/>
  <c r="B52" i="1" s="1"/>
  <c r="K27" i="1"/>
  <c r="K52" i="1" s="1"/>
  <c r="F4" i="4"/>
  <c r="G22" i="1"/>
  <c r="F45" i="1"/>
  <c r="C22" i="1"/>
  <c r="B22" i="1"/>
  <c r="G45" i="1"/>
  <c r="E27" i="1"/>
  <c r="E52" i="1" s="1"/>
  <c r="E22" i="1"/>
  <c r="I22" i="1"/>
  <c r="I27" i="1"/>
  <c r="P27" i="1"/>
  <c r="P52" i="1" s="1"/>
  <c r="H4" i="4"/>
  <c r="F22" i="1"/>
  <c r="I4" i="4"/>
  <c r="G4" i="4"/>
  <c r="C27" i="1"/>
  <c r="C52" i="1" s="1"/>
  <c r="B45" i="1"/>
  <c r="K74" i="4"/>
  <c r="K22" i="1"/>
  <c r="H22" i="1"/>
  <c r="O4" i="4"/>
  <c r="H45" i="1"/>
  <c r="O45" i="1"/>
  <c r="P4" i="4"/>
  <c r="K45" i="1"/>
  <c r="P45" i="1"/>
  <c r="O27" i="1"/>
  <c r="O52" i="1" s="1"/>
  <c r="I52" i="1"/>
  <c r="K55" i="4"/>
  <c r="B55" i="4"/>
  <c r="L55" i="4"/>
  <c r="E74" i="4"/>
  <c r="B74" i="4"/>
  <c r="M56" i="23"/>
  <c r="E56" i="1"/>
  <c r="B56" i="23"/>
  <c r="D56" i="1"/>
  <c r="E56" i="23"/>
  <c r="T56" i="23"/>
  <c r="I56" i="1"/>
  <c r="G56" i="23"/>
  <c r="M56" i="1"/>
  <c r="K56" i="1"/>
  <c r="R56" i="23"/>
  <c r="V56" i="23"/>
  <c r="C56" i="1"/>
  <c r="L56" i="23"/>
  <c r="O56" i="1"/>
  <c r="O56" i="23"/>
  <c r="Q56" i="1"/>
  <c r="J56" i="23"/>
  <c r="I56" i="23"/>
  <c r="R56" i="1"/>
  <c r="Q56" i="23"/>
  <c r="H56" i="23"/>
  <c r="B56" i="1"/>
  <c r="T78" i="4"/>
  <c r="S56" i="23"/>
  <c r="J56" i="1"/>
  <c r="D56" i="23"/>
  <c r="L56" i="1"/>
  <c r="K56" i="23"/>
  <c r="H56" i="1"/>
  <c r="G56" i="1"/>
  <c r="C56" i="23"/>
  <c r="P56" i="1"/>
  <c r="F56" i="1"/>
  <c r="F56" i="23"/>
  <c r="U56" i="23"/>
  <c r="P56" i="23"/>
  <c r="M46" i="23" l="1"/>
  <c r="M53" i="23" s="1"/>
  <c r="S47" i="1"/>
  <c r="S48" i="1" s="1"/>
  <c r="S54" i="1" s="1"/>
  <c r="E47" i="23"/>
  <c r="E48" i="23" s="1"/>
  <c r="E54" i="23" s="1"/>
  <c r="S46" i="23"/>
  <c r="S53" i="23" s="1"/>
  <c r="P47" i="23"/>
  <c r="P48" i="23" s="1"/>
  <c r="P54" i="23" s="1"/>
  <c r="V57" i="23"/>
  <c r="I57" i="23"/>
  <c r="T57" i="23"/>
  <c r="U57" i="23"/>
  <c r="M57" i="23"/>
  <c r="G57" i="23"/>
  <c r="Q57" i="23"/>
  <c r="S57" i="23"/>
  <c r="F57" i="23"/>
  <c r="P57" i="23"/>
  <c r="D57" i="23"/>
  <c r="L57" i="23"/>
  <c r="H57" i="23"/>
  <c r="K57" i="23"/>
  <c r="R57" i="23"/>
  <c r="J57" i="23"/>
  <c r="E57" i="23"/>
  <c r="C57" i="23"/>
  <c r="V27" i="4"/>
  <c r="V56" i="4" s="1"/>
  <c r="V75" i="4" s="1"/>
  <c r="I27" i="4"/>
  <c r="U27" i="4"/>
  <c r="U63" i="4" s="1"/>
  <c r="U64" i="4" s="1"/>
  <c r="M26" i="4"/>
  <c r="M63" i="4" s="1"/>
  <c r="M64" i="4" s="1"/>
  <c r="G26" i="4"/>
  <c r="Q27" i="4"/>
  <c r="S27" i="4"/>
  <c r="S63" i="4" s="1"/>
  <c r="S64" i="4" s="1"/>
  <c r="F26" i="4"/>
  <c r="P27" i="4"/>
  <c r="D26" i="4"/>
  <c r="L26" i="4"/>
  <c r="L56" i="4" s="1"/>
  <c r="L75" i="4" s="1"/>
  <c r="H26" i="4"/>
  <c r="K26" i="4"/>
  <c r="K63" i="4" s="1"/>
  <c r="K64" i="4" s="1"/>
  <c r="V46" i="23"/>
  <c r="V53" i="23" s="1"/>
  <c r="V47" i="23"/>
  <c r="V48" i="23" s="1"/>
  <c r="V54" i="23" s="1"/>
  <c r="R27" i="4"/>
  <c r="J26" i="4"/>
  <c r="J63" i="4" s="1"/>
  <c r="J64" i="4" s="1"/>
  <c r="E26" i="4"/>
  <c r="C26" i="4"/>
  <c r="M57" i="1"/>
  <c r="K57" i="1"/>
  <c r="J57" i="1"/>
  <c r="L57" i="1"/>
  <c r="E46" i="23"/>
  <c r="E53" i="23" s="1"/>
  <c r="F46" i="23"/>
  <c r="F53" i="23" s="1"/>
  <c r="K46" i="23"/>
  <c r="K53" i="23" s="1"/>
  <c r="G46" i="23"/>
  <c r="G53" i="23" s="1"/>
  <c r="M47" i="23"/>
  <c r="M48" i="23" s="1"/>
  <c r="M54" i="23" s="1"/>
  <c r="I46" i="23"/>
  <c r="I53" i="23" s="1"/>
  <c r="Q47" i="23"/>
  <c r="Q48" i="23" s="1"/>
  <c r="Q54" i="23" s="1"/>
  <c r="Q46" i="23"/>
  <c r="Q53" i="23" s="1"/>
  <c r="F47" i="23"/>
  <c r="F48" i="23" s="1"/>
  <c r="F54" i="23" s="1"/>
  <c r="S47" i="23"/>
  <c r="S48" i="23" s="1"/>
  <c r="S54" i="23" s="1"/>
  <c r="I47" i="23"/>
  <c r="I48" i="23" s="1"/>
  <c r="I54" i="23" s="1"/>
  <c r="T47" i="23"/>
  <c r="T48" i="23" s="1"/>
  <c r="T54" i="23" s="1"/>
  <c r="D46" i="23"/>
  <c r="D53" i="23" s="1"/>
  <c r="L46" i="23"/>
  <c r="L53" i="23" s="1"/>
  <c r="P46" i="23"/>
  <c r="P53" i="23" s="1"/>
  <c r="C46" i="23"/>
  <c r="C53" i="23" s="1"/>
  <c r="U47" i="23"/>
  <c r="U48" i="23" s="1"/>
  <c r="U54" i="23" s="1"/>
  <c r="H46" i="23"/>
  <c r="H53" i="23" s="1"/>
  <c r="U46" i="23"/>
  <c r="U53" i="23" s="1"/>
  <c r="H47" i="23"/>
  <c r="H48" i="23" s="1"/>
  <c r="H54" i="23" s="1"/>
  <c r="D47" i="23"/>
  <c r="D48" i="23" s="1"/>
  <c r="D54" i="23" s="1"/>
  <c r="R47" i="23"/>
  <c r="R48" i="23" s="1"/>
  <c r="R54" i="23" s="1"/>
  <c r="J47" i="23"/>
  <c r="J48" i="23" s="1"/>
  <c r="J54" i="23" s="1"/>
  <c r="T46" i="23"/>
  <c r="T53" i="23" s="1"/>
  <c r="L47" i="23"/>
  <c r="L48" i="23" s="1"/>
  <c r="L54" i="23" s="1"/>
  <c r="J46" i="23"/>
  <c r="J53" i="23" s="1"/>
  <c r="C47" i="23"/>
  <c r="C48" i="23" s="1"/>
  <c r="C54" i="23" s="1"/>
  <c r="K47" i="23"/>
  <c r="K48" i="23" s="1"/>
  <c r="K54" i="23" s="1"/>
  <c r="G47" i="23"/>
  <c r="G48" i="23" s="1"/>
  <c r="G54" i="23" s="1"/>
  <c r="R46" i="23"/>
  <c r="R53" i="23" s="1"/>
  <c r="L47" i="1"/>
  <c r="L48" i="1" s="1"/>
  <c r="L54" i="1" s="1"/>
  <c r="U47" i="1"/>
  <c r="U48" i="1" s="1"/>
  <c r="U54" i="1" s="1"/>
  <c r="V46" i="1"/>
  <c r="V53" i="1" s="1"/>
  <c r="S46" i="1"/>
  <c r="S53" i="1" s="1"/>
  <c r="T46" i="1"/>
  <c r="T53" i="1" s="1"/>
  <c r="U46" i="1"/>
  <c r="U53" i="1" s="1"/>
  <c r="M47" i="1"/>
  <c r="M48" i="1" s="1"/>
  <c r="M54" i="1" s="1"/>
  <c r="J46" i="1"/>
  <c r="J53" i="1" s="1"/>
  <c r="K47" i="1"/>
  <c r="K48" i="1" s="1"/>
  <c r="K54" i="1" s="1"/>
  <c r="V47" i="1"/>
  <c r="V48" i="1" s="1"/>
  <c r="V54" i="1" s="1"/>
  <c r="M46" i="1"/>
  <c r="M53" i="1" s="1"/>
  <c r="F46" i="1"/>
  <c r="F53" i="1" s="1"/>
  <c r="L46" i="1"/>
  <c r="L53" i="1" s="1"/>
  <c r="J47" i="1"/>
  <c r="J48" i="1" s="1"/>
  <c r="J54" i="1" s="1"/>
  <c r="T47" i="1"/>
  <c r="T48" i="1" s="1"/>
  <c r="T54" i="1" s="1"/>
  <c r="K46" i="1"/>
  <c r="K53" i="1" s="1"/>
  <c r="B22" i="4"/>
  <c r="D6" i="4"/>
  <c r="R6" i="4"/>
  <c r="I6" i="4"/>
  <c r="P7" i="4"/>
  <c r="E6" i="4"/>
  <c r="O6" i="4"/>
  <c r="B6" i="4"/>
  <c r="C6" i="4"/>
  <c r="H6" i="4"/>
  <c r="F6" i="4"/>
  <c r="P47" i="1"/>
  <c r="P48" i="1" s="1"/>
  <c r="P54" i="1" s="1"/>
  <c r="G6" i="4"/>
  <c r="Q7" i="4"/>
  <c r="T63" i="4"/>
  <c r="T64" i="4" s="1"/>
  <c r="T27" i="33"/>
  <c r="T52" i="33" s="1"/>
  <c r="T45" i="33"/>
  <c r="I47" i="1"/>
  <c r="I48" i="1" s="1"/>
  <c r="I54" i="1" s="1"/>
  <c r="F47" i="1"/>
  <c r="F48" i="1" s="1"/>
  <c r="F54" i="1" s="1"/>
  <c r="G47" i="1"/>
  <c r="G48" i="1" s="1"/>
  <c r="G54" i="1" s="1"/>
  <c r="E47" i="1"/>
  <c r="E48" i="1" s="1"/>
  <c r="E54" i="1" s="1"/>
  <c r="Q46" i="1"/>
  <c r="Q53" i="1" s="1"/>
  <c r="E46" i="1"/>
  <c r="E53" i="1" s="1"/>
  <c r="Q47" i="1"/>
  <c r="Q48" i="1" s="1"/>
  <c r="Q54" i="1" s="1"/>
  <c r="I46" i="1"/>
  <c r="I53" i="1" s="1"/>
  <c r="Q74" i="4"/>
  <c r="T57" i="4"/>
  <c r="T58" i="4" s="1"/>
  <c r="T76" i="4" s="1"/>
  <c r="H57" i="1"/>
  <c r="G57" i="1"/>
  <c r="F57" i="1"/>
  <c r="I57" i="1"/>
  <c r="E57" i="1"/>
  <c r="H7" i="4"/>
  <c r="G46" i="1"/>
  <c r="G53" i="1" s="1"/>
  <c r="H46" i="1"/>
  <c r="H53" i="1" s="1"/>
  <c r="H47" i="1"/>
  <c r="H48" i="1" s="1"/>
  <c r="H54" i="1" s="1"/>
  <c r="G11" i="4"/>
  <c r="F9" i="4"/>
  <c r="I13" i="4"/>
  <c r="E12" i="4"/>
  <c r="I55" i="4"/>
  <c r="I62" i="4"/>
  <c r="O55" i="4"/>
  <c r="O62" i="4"/>
  <c r="F55" i="4"/>
  <c r="F62" i="4"/>
  <c r="M55" i="4"/>
  <c r="M62" i="4"/>
  <c r="J55" i="4"/>
  <c r="J62" i="4"/>
  <c r="P55" i="4"/>
  <c r="P62" i="4"/>
  <c r="G55" i="4"/>
  <c r="G62" i="4"/>
  <c r="H74" i="4"/>
  <c r="H62" i="4"/>
  <c r="U22" i="33"/>
  <c r="U45" i="33"/>
  <c r="U27" i="33"/>
  <c r="U52" i="33" s="1"/>
  <c r="R45" i="33"/>
  <c r="R27" i="33"/>
  <c r="R52" i="33" s="1"/>
  <c r="R22" i="33"/>
  <c r="T56" i="4"/>
  <c r="T75" i="4" s="1"/>
  <c r="C74" i="4"/>
  <c r="C62" i="4"/>
  <c r="D55" i="4"/>
  <c r="D62" i="4"/>
  <c r="S27" i="33"/>
  <c r="S52" i="33" s="1"/>
  <c r="S22" i="33"/>
  <c r="S45" i="33"/>
  <c r="V4" i="33"/>
  <c r="Q55" i="4"/>
  <c r="V4" i="1"/>
  <c r="V45" i="1" s="1"/>
  <c r="O32" i="4"/>
  <c r="Q10" i="4"/>
  <c r="B32" i="4"/>
  <c r="H55" i="4"/>
  <c r="R10" i="4"/>
  <c r="O14" i="4"/>
  <c r="P15" i="4"/>
  <c r="V4" i="23"/>
  <c r="V45" i="23" s="1"/>
  <c r="B10" i="4"/>
  <c r="T79" i="4"/>
  <c r="O26" i="4"/>
  <c r="P46" i="1"/>
  <c r="P53" i="1" s="1"/>
  <c r="U4" i="1"/>
  <c r="U22" i="1" s="1"/>
  <c r="M74" i="4"/>
  <c r="M27" i="1"/>
  <c r="M52" i="1" s="1"/>
  <c r="M22" i="1"/>
  <c r="J52" i="1"/>
  <c r="J74" i="4"/>
  <c r="J27" i="1"/>
  <c r="J45" i="1"/>
  <c r="S4" i="1"/>
  <c r="S4" i="23"/>
  <c r="C55" i="4"/>
  <c r="U4" i="23"/>
  <c r="U22" i="23" s="1"/>
  <c r="J22" i="23"/>
  <c r="J52" i="23"/>
  <c r="J22" i="1"/>
  <c r="J27" i="23"/>
  <c r="R4" i="1"/>
  <c r="R22" i="1" s="1"/>
  <c r="R4" i="23"/>
  <c r="R22" i="23" s="1"/>
  <c r="M52" i="23"/>
  <c r="M22" i="23"/>
  <c r="M45" i="23"/>
  <c r="M45" i="1"/>
  <c r="B46" i="23"/>
  <c r="B53" i="23" s="1"/>
  <c r="B55" i="23" s="1"/>
  <c r="O46" i="23"/>
  <c r="O53" i="23" s="1"/>
  <c r="O55" i="23" s="1"/>
  <c r="O47" i="23"/>
  <c r="O48" i="23" s="1"/>
  <c r="O54" i="23" s="1"/>
  <c r="B47" i="23"/>
  <c r="B48" i="23" s="1"/>
  <c r="B54" i="23" s="1"/>
  <c r="B57" i="23"/>
  <c r="O57" i="23"/>
  <c r="B29" i="4"/>
  <c r="O22" i="4"/>
  <c r="R47" i="1"/>
  <c r="R48" i="1" s="1"/>
  <c r="R54" i="1" s="1"/>
  <c r="Q57" i="1"/>
  <c r="D74" i="4"/>
  <c r="R46" i="1"/>
  <c r="R53" i="1" s="1"/>
  <c r="C47" i="1"/>
  <c r="C48" i="1" s="1"/>
  <c r="C54" i="1" s="1"/>
  <c r="G74" i="4"/>
  <c r="D57" i="1"/>
  <c r="R57" i="1"/>
  <c r="P57" i="1"/>
  <c r="O57" i="1"/>
  <c r="C57" i="1"/>
  <c r="D10" i="4"/>
  <c r="C10" i="4"/>
  <c r="B57" i="1"/>
  <c r="C46" i="1"/>
  <c r="C53" i="1" s="1"/>
  <c r="B46" i="1"/>
  <c r="B53" i="1" s="1"/>
  <c r="B47" i="1"/>
  <c r="B48" i="1" s="1"/>
  <c r="B54" i="1" s="1"/>
  <c r="D46" i="1"/>
  <c r="D53" i="1" s="1"/>
  <c r="O47" i="1"/>
  <c r="O48" i="1" s="1"/>
  <c r="O54" i="1" s="1"/>
  <c r="O46" i="1"/>
  <c r="O53" i="1" s="1"/>
  <c r="O55" i="1" s="1"/>
  <c r="D47" i="1"/>
  <c r="D48" i="1" s="1"/>
  <c r="D54" i="1" s="1"/>
  <c r="D8" i="4"/>
  <c r="T4" i="1"/>
  <c r="T4" i="23"/>
  <c r="F74" i="4"/>
  <c r="I74" i="4"/>
  <c r="O74" i="4"/>
  <c r="P74" i="4"/>
  <c r="K78" i="4"/>
  <c r="M78" i="4"/>
  <c r="J78" i="4"/>
  <c r="H78" i="4"/>
  <c r="E78" i="4"/>
  <c r="B78" i="4"/>
  <c r="S78" i="4"/>
  <c r="O78" i="4"/>
  <c r="I78" i="4"/>
  <c r="U78" i="4"/>
  <c r="D78" i="4"/>
  <c r="F78" i="4"/>
  <c r="P78" i="4"/>
  <c r="G78" i="4"/>
  <c r="V78" i="4"/>
  <c r="Q78" i="4"/>
  <c r="R78" i="4"/>
  <c r="C78" i="4"/>
  <c r="L78" i="4"/>
  <c r="V57" i="4" l="1"/>
  <c r="V58" i="4" s="1"/>
  <c r="V76" i="4" s="1"/>
  <c r="M56" i="4"/>
  <c r="M75" i="4" s="1"/>
  <c r="M57" i="4"/>
  <c r="M58" i="4" s="1"/>
  <c r="M76" i="4" s="1"/>
  <c r="J56" i="4"/>
  <c r="J75" i="4" s="1"/>
  <c r="S57" i="4"/>
  <c r="S58" i="4" s="1"/>
  <c r="S76" i="4" s="1"/>
  <c r="S56" i="4"/>
  <c r="S75" i="4" s="1"/>
  <c r="J57" i="4"/>
  <c r="J58" i="4" s="1"/>
  <c r="J76" i="4" s="1"/>
  <c r="K56" i="4"/>
  <c r="K75" i="4" s="1"/>
  <c r="K57" i="4"/>
  <c r="K58" i="4" s="1"/>
  <c r="K76" i="4" s="1"/>
  <c r="U56" i="4"/>
  <c r="U75" i="4" s="1"/>
  <c r="U57" i="4"/>
  <c r="U58" i="4" s="1"/>
  <c r="U76" i="4" s="1"/>
  <c r="V63" i="4"/>
  <c r="V64" i="4" s="1"/>
  <c r="L57" i="4"/>
  <c r="L58" i="4" s="1"/>
  <c r="L76" i="4" s="1"/>
  <c r="L63" i="4"/>
  <c r="L64" i="4" s="1"/>
  <c r="J79" i="4"/>
  <c r="K79" i="4"/>
  <c r="V79" i="4"/>
  <c r="M79" i="4"/>
  <c r="L79" i="4"/>
  <c r="S79" i="4"/>
  <c r="U79" i="4"/>
  <c r="C63" i="4"/>
  <c r="C64" i="4" s="1"/>
  <c r="R63" i="4"/>
  <c r="R64" i="4" s="1"/>
  <c r="I57" i="4"/>
  <c r="I58" i="4" s="1"/>
  <c r="I76" i="4" s="1"/>
  <c r="F55" i="23"/>
  <c r="C55" i="23"/>
  <c r="I63" i="4"/>
  <c r="I64" i="4" s="1"/>
  <c r="H56" i="4"/>
  <c r="H75" i="4" s="1"/>
  <c r="F63" i="4"/>
  <c r="F64" i="4" s="1"/>
  <c r="G55" i="1"/>
  <c r="V4" i="4"/>
  <c r="V55" i="4" s="1"/>
  <c r="Q55" i="23"/>
  <c r="U55" i="23"/>
  <c r="T55" i="23"/>
  <c r="R55" i="23"/>
  <c r="S55" i="23"/>
  <c r="V55" i="23"/>
  <c r="P55" i="23"/>
  <c r="S55" i="1"/>
  <c r="U55" i="1"/>
  <c r="R55" i="1"/>
  <c r="T55" i="1"/>
  <c r="P55" i="1"/>
  <c r="Q55" i="1"/>
  <c r="V55" i="1"/>
  <c r="D63" i="4"/>
  <c r="D64" i="4" s="1"/>
  <c r="B63" i="4"/>
  <c r="B64" i="4" s="1"/>
  <c r="O63" i="4"/>
  <c r="O64" i="4" s="1"/>
  <c r="G56" i="4"/>
  <c r="G75" i="4" s="1"/>
  <c r="H57" i="4"/>
  <c r="H58" i="4" s="1"/>
  <c r="H76" i="4" s="1"/>
  <c r="H63" i="4"/>
  <c r="H64" i="4" s="1"/>
  <c r="P63" i="4"/>
  <c r="P64" i="4" s="1"/>
  <c r="G63" i="4"/>
  <c r="G64" i="4" s="1"/>
  <c r="E63" i="4"/>
  <c r="E64" i="4" s="1"/>
  <c r="Q63" i="4"/>
  <c r="Q64" i="4" s="1"/>
  <c r="V27" i="23"/>
  <c r="V52" i="23" s="1"/>
  <c r="I56" i="4"/>
  <c r="I75" i="4" s="1"/>
  <c r="U45" i="1"/>
  <c r="V22" i="1"/>
  <c r="V22" i="23"/>
  <c r="V27" i="1"/>
  <c r="V52" i="1" s="1"/>
  <c r="G57" i="4"/>
  <c r="G58" i="4" s="1"/>
  <c r="G76" i="4" s="1"/>
  <c r="F57" i="4"/>
  <c r="F58" i="4" s="1"/>
  <c r="F76" i="4" s="1"/>
  <c r="B56" i="4"/>
  <c r="E79" i="4"/>
  <c r="G79" i="4"/>
  <c r="I79" i="4"/>
  <c r="H79" i="4"/>
  <c r="F79" i="4"/>
  <c r="E57" i="4"/>
  <c r="E58" i="4" s="1"/>
  <c r="E76" i="4" s="1"/>
  <c r="E56" i="4"/>
  <c r="E75" i="4" s="1"/>
  <c r="F56" i="4"/>
  <c r="F75" i="4" s="1"/>
  <c r="P57" i="4"/>
  <c r="P58" i="4" s="1"/>
  <c r="P76" i="4" s="1"/>
  <c r="R56" i="4"/>
  <c r="R75" i="4" s="1"/>
  <c r="D56" i="4"/>
  <c r="D75" i="4" s="1"/>
  <c r="B57" i="4"/>
  <c r="B58" i="4" s="1"/>
  <c r="B76" i="4" s="1"/>
  <c r="V45" i="33"/>
  <c r="V27" i="33"/>
  <c r="V52" i="33" s="1"/>
  <c r="V22" i="33"/>
  <c r="D57" i="4"/>
  <c r="D58" i="4" s="1"/>
  <c r="D76" i="4" s="1"/>
  <c r="O57" i="4"/>
  <c r="O58" i="4" s="1"/>
  <c r="O76" i="4" s="1"/>
  <c r="C57" i="4"/>
  <c r="C58" i="4" s="1"/>
  <c r="C76" i="4" s="1"/>
  <c r="Q56" i="4"/>
  <c r="Q75" i="4" s="1"/>
  <c r="O56" i="4"/>
  <c r="O75" i="4" s="1"/>
  <c r="T77" i="4" s="1"/>
  <c r="C56" i="4"/>
  <c r="C75" i="4" s="1"/>
  <c r="P56" i="4"/>
  <c r="R57" i="4"/>
  <c r="R58" i="4" s="1"/>
  <c r="R76" i="4" s="1"/>
  <c r="Q57" i="4"/>
  <c r="Q58" i="4" s="1"/>
  <c r="Q76" i="4" s="1"/>
  <c r="Q79" i="4"/>
  <c r="P79" i="4"/>
  <c r="R79" i="4"/>
  <c r="U4" i="4"/>
  <c r="U27" i="1"/>
  <c r="U52" i="1" s="1"/>
  <c r="C79" i="4"/>
  <c r="D79" i="4"/>
  <c r="L55" i="23"/>
  <c r="D55" i="23"/>
  <c r="H55" i="23"/>
  <c r="K55" i="23"/>
  <c r="J55" i="23"/>
  <c r="M55" i="23"/>
  <c r="G55" i="23"/>
  <c r="E55" i="23"/>
  <c r="I55" i="23"/>
  <c r="R59" i="23"/>
  <c r="O79" i="4"/>
  <c r="B79" i="4"/>
  <c r="L59" i="23"/>
  <c r="F59" i="23"/>
  <c r="F60" i="23" s="1"/>
  <c r="Q59" i="23"/>
  <c r="V59" i="23"/>
  <c r="P59" i="23"/>
  <c r="T59" i="23"/>
  <c r="U59" i="23"/>
  <c r="S59" i="23"/>
  <c r="R45" i="23"/>
  <c r="S4" i="4"/>
  <c r="S62" i="4" s="1"/>
  <c r="S45" i="1"/>
  <c r="S27" i="1"/>
  <c r="S52" i="1" s="1"/>
  <c r="S22" i="1"/>
  <c r="U27" i="23"/>
  <c r="U52" i="23" s="1"/>
  <c r="U45" i="23"/>
  <c r="S45" i="23"/>
  <c r="S27" i="23"/>
  <c r="S52" i="23" s="1"/>
  <c r="S22" i="23"/>
  <c r="R45" i="1"/>
  <c r="R4" i="4"/>
  <c r="R62" i="4" s="1"/>
  <c r="R27" i="1"/>
  <c r="R52" i="1" s="1"/>
  <c r="R27" i="23"/>
  <c r="R52" i="23" s="1"/>
  <c r="C59" i="23"/>
  <c r="E59" i="23"/>
  <c r="E60" i="23" s="1"/>
  <c r="J59" i="23"/>
  <c r="K59" i="23"/>
  <c r="D59" i="23"/>
  <c r="D60" i="23" s="1"/>
  <c r="I59" i="23"/>
  <c r="I60" i="23" s="1"/>
  <c r="O59" i="23"/>
  <c r="G59" i="23"/>
  <c r="G60" i="23" s="1"/>
  <c r="H59" i="23"/>
  <c r="H60" i="23" s="1"/>
  <c r="M59" i="23"/>
  <c r="M60" i="23" s="1"/>
  <c r="C55" i="1"/>
  <c r="H55" i="1"/>
  <c r="F55" i="1"/>
  <c r="I55" i="1"/>
  <c r="L55" i="1"/>
  <c r="J55" i="1"/>
  <c r="D55" i="1"/>
  <c r="K55" i="1"/>
  <c r="E55" i="1"/>
  <c r="O59" i="1"/>
  <c r="O60" i="1" s="1"/>
  <c r="J59" i="1"/>
  <c r="J60" i="1" s="1"/>
  <c r="F59" i="1"/>
  <c r="F60" i="1" s="1"/>
  <c r="M59" i="1"/>
  <c r="M60" i="1" s="1"/>
  <c r="I59" i="1"/>
  <c r="I60" i="1" s="1"/>
  <c r="E59" i="1"/>
  <c r="E60" i="1" s="1"/>
  <c r="L59" i="1"/>
  <c r="L60" i="1" s="1"/>
  <c r="H59" i="1"/>
  <c r="H60" i="1" s="1"/>
  <c r="D59" i="1"/>
  <c r="D60" i="1" s="1"/>
  <c r="K59" i="1"/>
  <c r="K60" i="1" s="1"/>
  <c r="C59" i="1"/>
  <c r="C60" i="1" s="1"/>
  <c r="G59" i="1"/>
  <c r="G60" i="1" s="1"/>
  <c r="M55" i="1"/>
  <c r="T59" i="1"/>
  <c r="T60" i="1" s="1"/>
  <c r="P59" i="1"/>
  <c r="P60" i="1" s="1"/>
  <c r="S59" i="1"/>
  <c r="S60" i="1" s="1"/>
  <c r="V59" i="1"/>
  <c r="V60" i="1" s="1"/>
  <c r="R59" i="1"/>
  <c r="R60" i="1" s="1"/>
  <c r="U59" i="1"/>
  <c r="U60" i="1" s="1"/>
  <c r="Q59" i="1"/>
  <c r="Q60" i="1" s="1"/>
  <c r="B55" i="1"/>
  <c r="T27" i="23"/>
  <c r="T52" i="23" s="1"/>
  <c r="T45" i="23"/>
  <c r="T22" i="23"/>
  <c r="T27" i="1"/>
  <c r="T52" i="1" s="1"/>
  <c r="T45" i="1"/>
  <c r="T4" i="4"/>
  <c r="T62" i="4" s="1"/>
  <c r="T22" i="1"/>
  <c r="R60" i="23"/>
  <c r="U60" i="23"/>
  <c r="L60" i="23"/>
  <c r="C60" i="23"/>
  <c r="P60" i="23"/>
  <c r="V60" i="23"/>
  <c r="O60" i="23"/>
  <c r="T60" i="23"/>
  <c r="K60" i="23"/>
  <c r="J60" i="23"/>
  <c r="Q60" i="23"/>
  <c r="S60" i="23"/>
  <c r="V74" i="4" l="1"/>
  <c r="V62" i="4"/>
  <c r="P75" i="4"/>
  <c r="P77" i="4" s="1"/>
  <c r="O81" i="4"/>
  <c r="O82" i="4" s="1"/>
  <c r="U74" i="4"/>
  <c r="U62" i="4"/>
  <c r="R61" i="23"/>
  <c r="U55" i="4"/>
  <c r="V77" i="4"/>
  <c r="U77" i="4"/>
  <c r="O77" i="4"/>
  <c r="S77" i="4"/>
  <c r="Q77" i="4"/>
  <c r="R77" i="4"/>
  <c r="P81" i="4"/>
  <c r="P82" i="4" s="1"/>
  <c r="Q81" i="4"/>
  <c r="Q82" i="4" s="1"/>
  <c r="B75" i="4"/>
  <c r="M61" i="23"/>
  <c r="I61" i="23"/>
  <c r="E61" i="23"/>
  <c r="D61" i="23"/>
  <c r="C61" i="23"/>
  <c r="Q61" i="23"/>
  <c r="U61" i="23"/>
  <c r="P61" i="23"/>
  <c r="F61" i="23"/>
  <c r="H61" i="23"/>
  <c r="K61" i="23"/>
  <c r="G61" i="23"/>
  <c r="J61" i="23"/>
  <c r="S61" i="23"/>
  <c r="T61" i="23"/>
  <c r="V61" i="23"/>
  <c r="L61" i="23"/>
  <c r="D61" i="1"/>
  <c r="U61" i="1"/>
  <c r="S61" i="1"/>
  <c r="G61" i="1"/>
  <c r="M61" i="1"/>
  <c r="L61" i="1"/>
  <c r="T61" i="1"/>
  <c r="E61" i="1"/>
  <c r="F61" i="1"/>
  <c r="K61" i="1"/>
  <c r="I61" i="1"/>
  <c r="J61" i="1"/>
  <c r="V61" i="1"/>
  <c r="H61" i="1"/>
  <c r="S55" i="4"/>
  <c r="S74" i="4"/>
  <c r="R55" i="4"/>
  <c r="R74" i="4"/>
  <c r="O61" i="1"/>
  <c r="Q61" i="1"/>
  <c r="P61" i="1"/>
  <c r="C61" i="1"/>
  <c r="R61" i="1"/>
  <c r="T55" i="4"/>
  <c r="T74" i="4"/>
  <c r="K77" i="4" l="1"/>
  <c r="J77" i="4"/>
  <c r="G77" i="4"/>
  <c r="F77" i="4"/>
  <c r="L77" i="4"/>
  <c r="B77" i="4"/>
  <c r="M77" i="4"/>
  <c r="I77" i="4"/>
  <c r="H77" i="4"/>
  <c r="D77" i="4"/>
  <c r="C77" i="4"/>
  <c r="E77" i="4"/>
  <c r="P83" i="4"/>
  <c r="Q83" i="4"/>
  <c r="O83" i="4"/>
  <c r="O61" i="2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A68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A modifier si erreur dans le doc word - peut etre c'est Testo le témoin de référence</t>
        </r>
      </text>
    </comment>
    <comment ref="A69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A modifier si erreur dans le doc word - peut etre c'est Testo le témoin de référence</t>
        </r>
      </text>
    </comment>
  </commentList>
</comments>
</file>

<file path=xl/sharedStrings.xml><?xml version="1.0" encoding="utf-8"?>
<sst xmlns="http://schemas.openxmlformats.org/spreadsheetml/2006/main" count="245" uniqueCount="57">
  <si>
    <t>mean</t>
  </si>
  <si>
    <t>SD</t>
  </si>
  <si>
    <t>SEM</t>
  </si>
  <si>
    <t>Rep1</t>
  </si>
  <si>
    <t>Rep2</t>
  </si>
  <si>
    <t>R1</t>
  </si>
  <si>
    <t>R2</t>
  </si>
  <si>
    <t>Concentration</t>
  </si>
  <si>
    <t xml:space="preserve">Testo </t>
  </si>
  <si>
    <t>R3</t>
  </si>
  <si>
    <t>Mean</t>
  </si>
  <si>
    <t>Noms des groupes</t>
  </si>
  <si>
    <t>Nom des groupes</t>
  </si>
  <si>
    <t xml:space="preserve"> + Testostérone</t>
  </si>
  <si>
    <t>% induction</t>
  </si>
  <si>
    <t>Annotation</t>
  </si>
  <si>
    <t>Rep3</t>
  </si>
  <si>
    <t>ng/L</t>
  </si>
  <si>
    <t>EE2</t>
  </si>
  <si>
    <t>µg/L</t>
  </si>
  <si>
    <t xml:space="preserve">Testo 30µg/L + EE2 </t>
  </si>
  <si>
    <t>mg/L</t>
  </si>
  <si>
    <t>Testo 30µg/L + FAD</t>
  </si>
  <si>
    <t>Date performed :</t>
  </si>
  <si>
    <t>Experiment number :</t>
  </si>
  <si>
    <t>Do not fill in</t>
  </si>
  <si>
    <t>Do not fill in2</t>
  </si>
  <si>
    <t>Units</t>
  </si>
  <si>
    <t>Chemical name</t>
  </si>
  <si>
    <t>Do not fill in3</t>
  </si>
  <si>
    <t>test chemical</t>
  </si>
  <si>
    <t>Solvent control</t>
  </si>
  <si>
    <t>33.8</t>
  </si>
  <si>
    <t>50.6</t>
  </si>
  <si>
    <t>170.9</t>
  </si>
  <si>
    <t>Raw data</t>
  </si>
  <si>
    <t>Data normalised to the "Testo" group</t>
  </si>
  <si>
    <t>Group names</t>
  </si>
  <si>
    <t>Normality test : p value</t>
  </si>
  <si>
    <t>Normality test : normal distibution?</t>
  </si>
  <si>
    <t>Statistical test used</t>
  </si>
  <si>
    <t>Statistical test : p value</t>
  </si>
  <si>
    <t>Unspiked</t>
  </si>
  <si>
    <t>Testosterone spiked</t>
  </si>
  <si>
    <t>N</t>
  </si>
  <si>
    <t>Group Name</t>
  </si>
  <si>
    <t>Control</t>
  </si>
  <si>
    <t>T+EE2: 3 embryos died</t>
  </si>
  <si>
    <t xml:space="preserve"> -&gt; whole replicate invalid?</t>
  </si>
  <si>
    <t>BPA</t>
  </si>
  <si>
    <t>ns</t>
  </si>
  <si>
    <t>&gt;0,99</t>
  </si>
  <si>
    <t>*</t>
  </si>
  <si>
    <t>***</t>
  </si>
  <si>
    <t>&lt;0,001</t>
  </si>
  <si>
    <t>Kruskal-Wallis</t>
  </si>
  <si>
    <t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</si>
</sst>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3"/>
      <name val="Arial"/>
      <family val="2"/>
    </font>
    <font>
      <sz val="16"/>
      <color theme="1"/>
      <name val="Calibri"/>
      <family val="2"/>
      <scheme val="minor"/>
    </font>
    <font>
      <sz val="10"/>
      <name val="Arial"/>
      <family val="2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7">
    <xf numFmtId="0" fontId="0" fillId="0" borderId="0"/>
    <xf numFmtId="0" fontId="4" fillId="0" borderId="0"/>
    <xf numFmtId="0" fontId="8" fillId="0" borderId="0"/>
    <xf numFmtId="0" fontId="4" fillId="0" borderId="0"/>
    <xf numFmtId="0" fontId="8" fillId="0" borderId="0"/>
    <xf numFmtId="0" fontId="4" fillId="0" borderId="0"/>
    <xf numFmtId="0" fontId="8" fillId="0" borderId="0"/>
  </cellStyleXfs>
  <cellXfs count="149">
    <xf numFmtId="0" fontId="0" fillId="0" borderId="0" xfId="0"/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Alignment="1">
      <alignment horizontal="center"/>
    </xf>
    <xf numFmtId="2" fontId="0" fillId="5" borderId="0" xfId="0" applyNumberFormat="1" applyFill="1" applyAlignment="1">
      <alignment horizontal="center"/>
    </xf>
    <xf numFmtId="164" fontId="0" fillId="5" borderId="0" xfId="0" applyNumberFormat="1" applyFill="1" applyAlignment="1">
      <alignment horizontal="center"/>
    </xf>
    <xf numFmtId="164" fontId="0" fillId="0" borderId="1" xfId="0" applyNumberFormat="1" applyBorder="1" applyAlignment="1">
      <alignment horizont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/>
    <xf numFmtId="0" fontId="0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/>
    <xf numFmtId="0" fontId="0" fillId="8" borderId="1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10" borderId="12" xfId="0" applyFill="1" applyBorder="1" applyAlignment="1">
      <alignment horizontal="center"/>
    </xf>
    <xf numFmtId="0" fontId="5" fillId="0" borderId="7" xfId="0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1" fillId="4" borderId="3" xfId="0" applyFont="1" applyFill="1" applyBorder="1" applyAlignment="1">
      <alignment horizontal="center"/>
    </xf>
    <xf numFmtId="0" fontId="3" fillId="0" borderId="15" xfId="0" applyFont="1" applyBorder="1" applyAlignment="1">
      <alignment vertical="center"/>
    </xf>
    <xf numFmtId="0" fontId="0" fillId="0" borderId="0" xfId="0" applyFont="1"/>
    <xf numFmtId="0" fontId="3" fillId="0" borderId="9" xfId="0" applyNumberFormat="1" applyFont="1" applyBorder="1" applyAlignment="1">
      <alignment vertical="center"/>
    </xf>
    <xf numFmtId="0" fontId="0" fillId="0" borderId="0" xfId="0" applyNumberFormat="1"/>
    <xf numFmtId="0" fontId="0" fillId="6" borderId="8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23" xfId="0" applyFill="1" applyBorder="1"/>
    <xf numFmtId="0" fontId="0" fillId="0" borderId="0" xfId="0" applyAlignment="1">
      <alignment vertical="center"/>
    </xf>
    <xf numFmtId="164" fontId="7" fillId="11" borderId="7" xfId="0" applyNumberFormat="1" applyFont="1" applyFill="1" applyBorder="1" applyAlignment="1">
      <alignment horizontal="left" vertical="center"/>
    </xf>
    <xf numFmtId="164" fontId="7" fillId="11" borderId="6" xfId="0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3" fillId="13" borderId="26" xfId="0" applyFont="1" applyFill="1" applyBorder="1" applyAlignment="1">
      <alignment vertical="center"/>
    </xf>
    <xf numFmtId="164" fontId="0" fillId="3" borderId="1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0" fontId="5" fillId="0" borderId="6" xfId="0" applyFont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0" fontId="0" fillId="0" borderId="6" xfId="0" applyBorder="1"/>
    <xf numFmtId="49" fontId="0" fillId="0" borderId="0" xfId="0" applyNumberFormat="1" applyFill="1" applyBorder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0" fontId="0" fillId="0" borderId="0" xfId="0" applyFill="1"/>
    <xf numFmtId="164" fontId="0" fillId="6" borderId="10" xfId="0" applyNumberFormat="1" applyFill="1" applyBorder="1" applyAlignment="1">
      <alignment horizontal="center"/>
    </xf>
    <xf numFmtId="164" fontId="0" fillId="6" borderId="18" xfId="0" applyNumberFormat="1" applyFill="1" applyBorder="1" applyAlignment="1">
      <alignment horizontal="center"/>
    </xf>
    <xf numFmtId="0" fontId="3" fillId="7" borderId="2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/>
    <xf numFmtId="0" fontId="6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9" borderId="0" xfId="0" applyFont="1" applyFill="1" applyBorder="1" applyAlignment="1">
      <alignment vertical="center"/>
    </xf>
    <xf numFmtId="0" fontId="2" fillId="0" borderId="1" xfId="0" applyFont="1" applyBorder="1" applyAlignment="1">
      <alignment horizontal="right"/>
    </xf>
    <xf numFmtId="0" fontId="3" fillId="0" borderId="4" xfId="0" applyFont="1" applyBorder="1" applyAlignment="1">
      <alignment vertical="center"/>
    </xf>
    <xf numFmtId="0" fontId="3" fillId="13" borderId="3" xfId="0" applyFont="1" applyFill="1" applyBorder="1" applyAlignment="1">
      <alignment vertical="center"/>
    </xf>
    <xf numFmtId="2" fontId="3" fillId="7" borderId="2" xfId="0" applyNumberFormat="1" applyFont="1" applyFill="1" applyBorder="1" applyAlignment="1">
      <alignment horizontal="center" vertical="center" wrapText="1"/>
    </xf>
    <xf numFmtId="2" fontId="3" fillId="7" borderId="21" xfId="0" applyNumberFormat="1" applyFont="1" applyFill="1" applyBorder="1" applyAlignment="1">
      <alignment horizontal="center" vertical="center" wrapText="1"/>
    </xf>
    <xf numFmtId="0" fontId="3" fillId="0" borderId="25" xfId="0" applyFont="1" applyBorder="1" applyAlignment="1">
      <alignment vertical="center"/>
    </xf>
    <xf numFmtId="0" fontId="3" fillId="13" borderId="13" xfId="0" applyFont="1" applyFill="1" applyBorder="1" applyAlignment="1">
      <alignment vertical="center"/>
    </xf>
    <xf numFmtId="0" fontId="3" fillId="13" borderId="15" xfId="0" applyFont="1" applyFill="1" applyBorder="1" applyAlignment="1">
      <alignment vertical="center"/>
    </xf>
    <xf numFmtId="0" fontId="3" fillId="13" borderId="4" xfId="0" applyFont="1" applyFill="1" applyBorder="1" applyAlignment="1">
      <alignment vertical="center"/>
    </xf>
    <xf numFmtId="0" fontId="3" fillId="0" borderId="1" xfId="0" applyNumberFormat="1" applyFont="1" applyBorder="1" applyAlignment="1">
      <alignment horizontal="center" vertical="center"/>
    </xf>
    <xf numFmtId="0" fontId="3" fillId="13" borderId="9" xfId="0" applyNumberFormat="1" applyFont="1" applyFill="1" applyBorder="1" applyAlignment="1">
      <alignment horizontal="center" vertical="center"/>
    </xf>
    <xf numFmtId="0" fontId="3" fillId="13" borderId="1" xfId="0" applyNumberFormat="1" applyFont="1" applyFill="1" applyBorder="1" applyAlignment="1">
      <alignment horizontal="center" vertical="center"/>
    </xf>
    <xf numFmtId="0" fontId="3" fillId="7" borderId="0" xfId="0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13" borderId="23" xfId="0" applyFont="1" applyFill="1" applyBorder="1" applyAlignment="1">
      <alignment vertical="center"/>
    </xf>
    <xf numFmtId="0" fontId="3" fillId="13" borderId="0" xfId="0" applyFont="1" applyFill="1" applyBorder="1" applyAlignment="1">
      <alignment vertical="center"/>
    </xf>
    <xf numFmtId="0" fontId="3" fillId="0" borderId="3" xfId="0" applyNumberFormat="1" applyFont="1" applyBorder="1" applyAlignment="1">
      <alignment horizontal="center" vertical="center"/>
    </xf>
    <xf numFmtId="0" fontId="3" fillId="0" borderId="4" xfId="0" applyNumberFormat="1" applyFont="1" applyBorder="1" applyAlignment="1">
      <alignment horizontal="center" vertical="center"/>
    </xf>
    <xf numFmtId="0" fontId="3" fillId="13" borderId="26" xfId="0" applyNumberFormat="1" applyFont="1" applyFill="1" applyBorder="1" applyAlignment="1">
      <alignment horizontal="center" vertical="center"/>
    </xf>
    <xf numFmtId="0" fontId="3" fillId="13" borderId="3" xfId="0" applyNumberFormat="1" applyFon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164" fontId="0" fillId="6" borderId="0" xfId="0" applyNumberFormat="1" applyFill="1" applyBorder="1" applyAlignment="1">
      <alignment horizontal="center"/>
    </xf>
    <xf numFmtId="164" fontId="0" fillId="6" borderId="15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22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14" borderId="3" xfId="0" applyFont="1" applyFill="1" applyBorder="1" applyAlignment="1">
      <alignment horizontal="center"/>
    </xf>
    <xf numFmtId="164" fontId="0" fillId="14" borderId="1" xfId="0" applyNumberFormat="1" applyFill="1" applyBorder="1" applyAlignment="1">
      <alignment horizontal="center"/>
    </xf>
    <xf numFmtId="2" fontId="3" fillId="7" borderId="2" xfId="0" applyNumberFormat="1" applyFont="1" applyFill="1" applyBorder="1" applyAlignment="1">
      <alignment horizontal="center" vertical="center"/>
    </xf>
    <xf numFmtId="0" fontId="3" fillId="13" borderId="26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center" vertical="center"/>
    </xf>
    <xf numFmtId="0" fontId="0" fillId="0" borderId="0" xfId="0" applyAlignment="1"/>
    <xf numFmtId="0" fontId="3" fillId="0" borderId="3" xfId="0" applyNumberFormat="1" applyFont="1" applyFill="1" applyBorder="1" applyAlignment="1">
      <alignment vertical="center"/>
    </xf>
    <xf numFmtId="2" fontId="3" fillId="0" borderId="15" xfId="0" applyNumberFormat="1" applyFont="1" applyFill="1" applyBorder="1" applyAlignment="1">
      <alignment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3" xfId="0" applyNumberFormat="1" applyFont="1" applyFill="1" applyBorder="1" applyAlignment="1">
      <alignment horizontal="center" vertical="center"/>
    </xf>
    <xf numFmtId="2" fontId="3" fillId="0" borderId="3" xfId="0" applyNumberFormat="1" applyFont="1" applyFill="1" applyBorder="1" applyAlignment="1">
      <alignment horizontal="center" vertical="center"/>
    </xf>
    <xf numFmtId="0" fontId="3" fillId="0" borderId="0" xfId="0" applyFont="1" applyFill="1"/>
    <xf numFmtId="0" fontId="3" fillId="0" borderId="21" xfId="0" applyFont="1" applyBorder="1" applyAlignment="1">
      <alignment vertical="center"/>
    </xf>
    <xf numFmtId="0" fontId="3" fillId="0" borderId="22" xfId="0" applyNumberFormat="1" applyFont="1" applyBorder="1" applyAlignment="1">
      <alignment horizontal="center" vertical="center"/>
    </xf>
    <xf numFmtId="0" fontId="3" fillId="13" borderId="31" xfId="0" applyNumberFormat="1" applyFont="1" applyFill="1" applyBorder="1" applyAlignment="1">
      <alignment vertical="center"/>
    </xf>
    <xf numFmtId="0" fontId="3" fillId="13" borderId="29" xfId="0" applyFont="1" applyFill="1" applyBorder="1" applyAlignment="1">
      <alignment vertical="center"/>
    </xf>
    <xf numFmtId="0" fontId="3" fillId="13" borderId="32" xfId="0" applyNumberFormat="1" applyFont="1" applyFill="1" applyBorder="1" applyAlignment="1">
      <alignment vertical="center"/>
    </xf>
    <xf numFmtId="0" fontId="3" fillId="13" borderId="24" xfId="0" applyFont="1" applyFill="1" applyBorder="1" applyAlignment="1">
      <alignment vertical="center"/>
    </xf>
    <xf numFmtId="0" fontId="3" fillId="13" borderId="33" xfId="0" applyNumberFormat="1" applyFont="1" applyFill="1" applyBorder="1" applyAlignment="1">
      <alignment vertical="center"/>
    </xf>
    <xf numFmtId="0" fontId="3" fillId="13" borderId="34" xfId="0" applyFont="1" applyFill="1" applyBorder="1" applyAlignment="1">
      <alignment vertical="center"/>
    </xf>
    <xf numFmtId="0" fontId="3" fillId="13" borderId="11" xfId="0" applyNumberFormat="1" applyFont="1" applyFill="1" applyBorder="1" applyAlignment="1">
      <alignment horizontal="center" vertical="center"/>
    </xf>
    <xf numFmtId="0" fontId="3" fillId="13" borderId="35" xfId="0" applyNumberFormat="1" applyFont="1" applyFill="1" applyBorder="1" applyAlignment="1">
      <alignment horizontal="center" vertical="center"/>
    </xf>
    <xf numFmtId="0" fontId="3" fillId="13" borderId="35" xfId="0" applyFont="1" applyFill="1" applyBorder="1" applyAlignment="1">
      <alignment horizontal="center" vertical="center"/>
    </xf>
    <xf numFmtId="0" fontId="3" fillId="13" borderId="30" xfId="0" applyFont="1" applyFill="1" applyBorder="1" applyAlignment="1">
      <alignment vertical="center"/>
    </xf>
    <xf numFmtId="0" fontId="3" fillId="8" borderId="8" xfId="0" applyFont="1" applyFill="1" applyBorder="1" applyAlignment="1">
      <alignment horizontal="center"/>
    </xf>
    <xf numFmtId="0" fontId="3" fillId="8" borderId="10" xfId="0" applyFont="1" applyFill="1" applyBorder="1" applyAlignment="1">
      <alignment horizontal="center"/>
    </xf>
    <xf numFmtId="0" fontId="3" fillId="8" borderId="18" xfId="0" applyFont="1" applyFill="1" applyBorder="1" applyAlignment="1">
      <alignment horizontal="center"/>
    </xf>
    <xf numFmtId="0" fontId="3" fillId="13" borderId="39" xfId="0" applyNumberFormat="1" applyFont="1" applyFill="1" applyBorder="1" applyAlignment="1">
      <alignment vertical="center"/>
    </xf>
    <xf numFmtId="0" fontId="3" fillId="13" borderId="25" xfId="0" applyNumberFormat="1" applyFont="1" applyFill="1" applyBorder="1" applyAlignment="1">
      <alignment vertical="center"/>
    </xf>
    <xf numFmtId="0" fontId="3" fillId="13" borderId="1" xfId="0" applyNumberFormat="1" applyFont="1" applyFill="1" applyBorder="1" applyAlignment="1">
      <alignment vertical="center"/>
    </xf>
    <xf numFmtId="0" fontId="10" fillId="8" borderId="12" xfId="0" applyFont="1" applyFill="1" applyBorder="1" applyAlignment="1">
      <alignment horizontal="left"/>
    </xf>
    <xf numFmtId="0" fontId="7" fillId="12" borderId="7" xfId="0" applyFont="1" applyFill="1" applyBorder="1" applyAlignment="1">
      <alignment horizontal="center" vertical="center" wrapText="1"/>
    </xf>
    <xf numFmtId="0" fontId="7" fillId="12" borderId="6" xfId="0" applyFont="1" applyFill="1" applyBorder="1" applyAlignment="1">
      <alignment horizontal="center" vertical="center" wrapText="1"/>
    </xf>
    <xf numFmtId="0" fontId="7" fillId="12" borderId="5" xfId="0" applyFont="1" applyFill="1" applyBorder="1" applyAlignment="1">
      <alignment horizontal="center" vertical="center" wrapText="1"/>
    </xf>
    <xf numFmtId="14" fontId="3" fillId="0" borderId="9" xfId="0" applyNumberFormat="1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14" fontId="3" fillId="0" borderId="11" xfId="0" applyNumberFormat="1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5" xfId="0" applyFont="1" applyBorder="1" applyAlignment="1">
      <alignment horizontal="left" vertical="center"/>
    </xf>
    <xf numFmtId="0" fontId="3" fillId="0" borderId="37" xfId="0" applyFont="1" applyBorder="1" applyAlignment="1">
      <alignment horizontal="left" vertical="center"/>
    </xf>
    <xf numFmtId="0" fontId="3" fillId="0" borderId="38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3" fillId="0" borderId="26" xfId="0" applyFont="1" applyBorder="1" applyAlignment="1">
      <alignment horizontal="left" vertical="center"/>
    </xf>
    <xf numFmtId="0" fontId="3" fillId="0" borderId="27" xfId="0" applyFont="1" applyBorder="1" applyAlignment="1">
      <alignment horizontal="left" vertical="center"/>
    </xf>
    <xf numFmtId="0" fontId="3" fillId="0" borderId="28" xfId="0" applyFont="1" applyBorder="1" applyAlignment="1">
      <alignment horizontal="left" vertical="center"/>
    </xf>
    <xf numFmtId="0" fontId="7" fillId="11" borderId="7" xfId="0" applyFont="1" applyFill="1" applyBorder="1" applyAlignment="1">
      <alignment horizontal="left"/>
    </xf>
    <xf numFmtId="0" fontId="7" fillId="11" borderId="6" xfId="0" applyFont="1" applyFill="1" applyBorder="1" applyAlignment="1">
      <alignment horizontal="left"/>
    </xf>
    <xf numFmtId="164" fontId="7" fillId="11" borderId="7" xfId="0" applyNumberFormat="1" applyFont="1" applyFill="1" applyBorder="1" applyAlignment="1">
      <alignment horizontal="left"/>
    </xf>
    <xf numFmtId="164" fontId="7" fillId="11" borderId="6" xfId="0" applyNumberFormat="1" applyFont="1" applyFill="1" applyBorder="1" applyAlignment="1">
      <alignment horizontal="left"/>
    </xf>
    <xf numFmtId="0" fontId="1" fillId="0" borderId="19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0" borderId="19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164" fontId="7" fillId="11" borderId="7" xfId="0" applyNumberFormat="1" applyFont="1" applyFill="1" applyBorder="1" applyAlignment="1">
      <alignment horizontal="left" vertical="center"/>
    </xf>
    <xf numFmtId="164" fontId="7" fillId="11" borderId="6" xfId="0" applyNumberFormat="1" applyFont="1" applyFill="1" applyBorder="1" applyAlignment="1">
      <alignment horizontal="left" vertical="center"/>
    </xf>
  </cellXfs>
  <cellStyles count="7">
    <cellStyle name="Normal" xfId="0" builtinId="0"/>
    <cellStyle name="Normal 2" xfId="1" xr:uid="{00000000-0005-0000-0000-000001000000}"/>
    <cellStyle name="Normal 2 2" xfId="5" xr:uid="{00000000-0005-0000-0000-000002000000}"/>
    <cellStyle name="Normal 2 2 2" xfId="3" xr:uid="{00000000-0005-0000-0000-000003000000}"/>
    <cellStyle name="Normal 3" xfId="2" xr:uid="{00000000-0005-0000-0000-000004000000}"/>
    <cellStyle name="Normal 3 2" xfId="4" xr:uid="{00000000-0005-0000-0000-000005000000}"/>
    <cellStyle name="Normal 4" xfId="6" xr:uid="{00000000-0005-0000-0000-000006000000}"/>
  </cellStyles>
  <dxfs count="9"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6" tint="0.5999938962981048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0" formatCode="General"/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0" formatCode="General"/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6" tint="0.5999938962981048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0" formatCode="General"/>
      <fill>
        <patternFill patternType="solid">
          <fgColor indexed="64"/>
          <bgColor theme="6" tint="0.5999938962981048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165" formatCode="#,000"/>
      <fill>
        <patternFill patternType="solid">
          <fgColor indexed="64"/>
          <bgColor theme="6" tint="0.5999938962981048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colors>
    <mruColors>
      <color rgb="FF5F5F5F"/>
      <color rgb="FFBA38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3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5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2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4.xml"/><Relationship Id="rId15" Type="http://schemas.openxmlformats.org/officeDocument/2006/relationships/calcChain" Target="calcChain.xml"/><Relationship Id="rId10" Type="http://schemas.openxmlformats.org/officeDocument/2006/relationships/chartsheet" Target="chartsheets/sheet4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6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661954963560215E-2"/>
          <c:y val="0.14661966108751268"/>
          <c:w val="0.9002738512986157"/>
          <c:h val="0.63968468033016779"/>
        </c:manualLayout>
      </c:layout>
      <c:barChart>
        <c:barDir val="col"/>
        <c:grouping val="clustered"/>
        <c:varyColors val="0"/>
        <c:ser>
          <c:idx val="0"/>
          <c:order val="0"/>
          <c:tx>
            <c:v>R1</c:v>
          </c:tx>
          <c:spPr>
            <a:solidFill>
              <a:srgbClr val="00B050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01-9479-4293-B6F6-2F33FB06526E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2-9479-4293-B6F6-2F33FB06526E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3-9479-4293-B6F6-2F33FB06526E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4-9479-4293-B6F6-2F33FB06526E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5-9479-4293-B6F6-2F33FB06526E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6-9479-4293-B6F6-2F33FB06526E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7-9479-4293-B6F6-2F33FB06526E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8-9479-4293-B6F6-2F33FB06526E}"/>
              </c:ext>
            </c:extLst>
          </c:dPt>
          <c:dPt>
            <c:idx val="8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9-9479-4293-B6F6-2F33FB06526E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A-9479-4293-B6F6-2F33FB06526E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B-9479-4293-B6F6-2F33FB06526E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C-9479-4293-B6F6-2F33FB06526E}"/>
              </c:ext>
            </c:extLst>
          </c:dPt>
          <c:dPt>
            <c:idx val="13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12-9479-4293-B6F6-2F33FB06526E}"/>
              </c:ext>
            </c:extLst>
          </c:dPt>
          <c:dPt>
            <c:idx val="16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D-9479-4293-B6F6-2F33FB06526E}"/>
              </c:ext>
            </c:extLst>
          </c:dPt>
          <c:dPt>
            <c:idx val="17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E-9479-4293-B6F6-2F33FB06526E}"/>
              </c:ext>
            </c:extLst>
          </c:dPt>
          <c:dPt>
            <c:idx val="18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F-9479-4293-B6F6-2F33FB06526E}"/>
              </c:ext>
            </c:extLst>
          </c:dPt>
          <c:dPt>
            <c:idx val="19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0-9479-4293-B6F6-2F33FB06526E}"/>
              </c:ext>
            </c:extLst>
          </c:dPt>
          <c:dPt>
            <c:idx val="2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1-9479-4293-B6F6-2F33FB06526E}"/>
              </c:ext>
            </c:extLst>
          </c:dPt>
          <c:errBars>
            <c:errBarType val="plus"/>
            <c:errValType val="cust"/>
            <c:noEndCap val="0"/>
            <c:plus>
              <c:numRef>
                <c:f>'R1'!$B$54:$V$54</c:f>
                <c:numCache>
                  <c:formatCode>General</c:formatCode>
                  <c:ptCount val="21"/>
                  <c:pt idx="0">
                    <c:v>3.3252817023620547E-2</c:v>
                  </c:pt>
                  <c:pt idx="1">
                    <c:v>4.9661301637443409E-2</c:v>
                  </c:pt>
                  <c:pt idx="2">
                    <c:v>0.17226538189157969</c:v>
                  </c:pt>
                  <c:pt idx="3">
                    <c:v>0.38420700376680089</c:v>
                  </c:pt>
                  <c:pt idx="4">
                    <c:v>0.75707401582884093</c:v>
                  </c:pt>
                  <c:pt idx="5">
                    <c:v>0.68557730727492427</c:v>
                  </c:pt>
                  <c:pt idx="6">
                    <c:v>0.2253191146832127</c:v>
                  </c:pt>
                  <c:pt idx="7">
                    <c:v>4.110600346472975E-2</c:v>
                  </c:pt>
                  <c:pt idx="8">
                    <c:v>5.2776997691013593E-2</c:v>
                  </c:pt>
                  <c:pt idx="9">
                    <c:v>0.1897491615309489</c:v>
                  </c:pt>
                  <c:pt idx="10">
                    <c:v>0.50641613663827545</c:v>
                  </c:pt>
                  <c:pt idx="11">
                    <c:v>0.63338526591176292</c:v>
                  </c:pt>
                  <c:pt idx="13">
                    <c:v>0.18041607851940164</c:v>
                  </c:pt>
                  <c:pt idx="14">
                    <c:v>0.3933646090665186</c:v>
                  </c:pt>
                  <c:pt idx="15">
                    <c:v>2.1999747536566725E-2</c:v>
                  </c:pt>
                  <c:pt idx="16">
                    <c:v>0.32658672395751798</c:v>
                  </c:pt>
                  <c:pt idx="17">
                    <c:v>0.63095894370287209</c:v>
                  </c:pt>
                  <c:pt idx="18">
                    <c:v>0.57532748351263985</c:v>
                  </c:pt>
                  <c:pt idx="19">
                    <c:v>0.30573869387985231</c:v>
                  </c:pt>
                  <c:pt idx="20">
                    <c:v>0.5764090586530326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'R1'!$B$52:$V$52</c:f>
              <c:strCache>
                <c:ptCount val="21"/>
                <c:pt idx="0">
                  <c:v>Solvent control</c:v>
                </c:pt>
                <c:pt idx="1">
                  <c:v>EE2-33.8ng/L</c:v>
                </c:pt>
                <c:pt idx="2">
                  <c:v>EE2-50.6ng/L</c:v>
                </c:pt>
                <c:pt idx="3">
                  <c:v>EE2-76ng/L</c:v>
                </c:pt>
                <c:pt idx="4">
                  <c:v>EE2-114ng/L</c:v>
                </c:pt>
                <c:pt idx="5">
                  <c:v>EE2-170.9ng/L</c:v>
                </c:pt>
                <c:pt idx="6">
                  <c:v>EE2-488ng/L</c:v>
                </c:pt>
                <c:pt idx="7">
                  <c:v>BPA-1mg/L</c:v>
                </c:pt>
                <c:pt idx="8">
                  <c:v>BPA-2mg/L</c:v>
                </c:pt>
                <c:pt idx="9">
                  <c:v>BPA-3mg/L</c:v>
                </c:pt>
                <c:pt idx="10">
                  <c:v>BPA-4mg/L</c:v>
                </c:pt>
                <c:pt idx="11">
                  <c:v>BPA-5mg/L</c:v>
                </c:pt>
                <c:pt idx="13">
                  <c:v>Testo -30µg/L</c:v>
                </c:pt>
                <c:pt idx="14">
                  <c:v>Testo 30µg/L + EE2 -64ng/L</c:v>
                </c:pt>
                <c:pt idx="15">
                  <c:v>Testo 30µg/L + FAD-10mg/L</c:v>
                </c:pt>
                <c:pt idx="16">
                  <c:v>BPA-1mg/L + Testostérone</c:v>
                </c:pt>
                <c:pt idx="17">
                  <c:v>BPA-2mg/L + Testostérone</c:v>
                </c:pt>
                <c:pt idx="18">
                  <c:v>BPA-3mg/L + Testostérone</c:v>
                </c:pt>
                <c:pt idx="19">
                  <c:v>BPA-4mg/L + Testostérone</c:v>
                </c:pt>
                <c:pt idx="20">
                  <c:v>BPA-5mg/L + Testostérone</c:v>
                </c:pt>
              </c:strCache>
            </c:strRef>
          </c:cat>
          <c:val>
            <c:numRef>
              <c:f>'R1'!$B$53:$V$53</c:f>
              <c:numCache>
                <c:formatCode>0.0000</c:formatCode>
                <c:ptCount val="21"/>
                <c:pt idx="0">
                  <c:v>0.17983887544570448</c:v>
                </c:pt>
                <c:pt idx="1">
                  <c:v>0.36594885773329139</c:v>
                </c:pt>
                <c:pt idx="2">
                  <c:v>0.82403198785280107</c:v>
                </c:pt>
                <c:pt idx="3">
                  <c:v>2.4841191060749446</c:v>
                </c:pt>
                <c:pt idx="4">
                  <c:v>4.0146867907258219</c:v>
                </c:pt>
                <c:pt idx="5">
                  <c:v>5.9325031838555358</c:v>
                </c:pt>
                <c:pt idx="6">
                  <c:v>5.0868667317941716</c:v>
                </c:pt>
                <c:pt idx="7">
                  <c:v>0.15070014114780686</c:v>
                </c:pt>
                <c:pt idx="8">
                  <c:v>0.17236773895314056</c:v>
                </c:pt>
                <c:pt idx="9">
                  <c:v>0.62300773736620274</c:v>
                </c:pt>
                <c:pt idx="10">
                  <c:v>1.8775584076355787</c:v>
                </c:pt>
                <c:pt idx="11">
                  <c:v>3.3224503622842838</c:v>
                </c:pt>
                <c:pt idx="13">
                  <c:v>1</c:v>
                </c:pt>
                <c:pt idx="14">
                  <c:v>4.673491154633032</c:v>
                </c:pt>
                <c:pt idx="15">
                  <c:v>8.2120350445506404E-2</c:v>
                </c:pt>
                <c:pt idx="16">
                  <c:v>1.0878285979348559</c:v>
                </c:pt>
                <c:pt idx="17">
                  <c:v>3.013709632497982</c:v>
                </c:pt>
                <c:pt idx="18">
                  <c:v>3.1245196426859518</c:v>
                </c:pt>
                <c:pt idx="19">
                  <c:v>1.8670914345826313</c:v>
                </c:pt>
                <c:pt idx="20">
                  <c:v>2.5486668217165573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48-433F-93CE-959A7E8575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4817512"/>
        <c:axId val="324817904"/>
      </c:barChart>
      <c:catAx>
        <c:axId val="324817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 lang="en-GB"/>
            </a:pPr>
            <a:endParaRPr lang="fr-FR"/>
          </a:p>
        </c:txPr>
        <c:crossAx val="324817904"/>
        <c:crosses val="autoZero"/>
        <c:auto val="1"/>
        <c:lblAlgn val="ctr"/>
        <c:lblOffset val="100"/>
        <c:noMultiLvlLbl val="0"/>
      </c:catAx>
      <c:valAx>
        <c:axId val="324817904"/>
        <c:scaling>
          <c:orientation val="minMax"/>
          <c:max val="6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n-GB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baseline="0">
                    <a:effectLst/>
                  </a:rPr>
                  <a:t>fluorescence totale (unités arbitraires)</a:t>
                </a:r>
                <a:endParaRPr lang="en-GB" sz="1000">
                  <a:effectLst/>
                </a:endParaRPr>
              </a:p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n-GB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 sz="1000"/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fr-FR"/>
          </a:p>
        </c:txPr>
        <c:crossAx val="324817512"/>
        <c:crosses val="autoZero"/>
        <c:crossBetween val="between"/>
        <c:majorUnit val="0.2"/>
        <c:minorUnit val="0.1"/>
      </c:valAx>
    </c:plotArea>
    <c:plotVisOnly val="1"/>
    <c:dispBlanksAs val="gap"/>
    <c:showDLblsOverMax val="0"/>
  </c:chart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395319521821627E-2"/>
          <c:y val="0.14871824529979213"/>
          <c:w val="0.9002738512986157"/>
          <c:h val="0.63968468033016779"/>
        </c:manualLayout>
      </c:layout>
      <c:barChart>
        <c:barDir val="col"/>
        <c:grouping val="clustered"/>
        <c:varyColors val="0"/>
        <c:ser>
          <c:idx val="0"/>
          <c:order val="0"/>
          <c:tx>
            <c:v>R2</c:v>
          </c:tx>
          <c:spPr>
            <a:solidFill>
              <a:schemeClr val="accent2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17-20C9-4512-B8CA-3370C5107DCA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9-20C9-4512-B8CA-3370C5107DCA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A-20C9-4512-B8CA-3370C5107DCA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B-20C9-4512-B8CA-3370C5107DCA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C-20C9-4512-B8CA-3370C5107DCA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D-20C9-4512-B8CA-3370C5107DCA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E-20C9-4512-B8CA-3370C5107DCA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F-20C9-4512-B8CA-3370C5107DCA}"/>
              </c:ext>
            </c:extLst>
          </c:dPt>
          <c:dPt>
            <c:idx val="8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0-20C9-4512-B8CA-3370C5107DCA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EED2-4ACE-91AA-7F8713196E92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1-20C9-4512-B8CA-3370C5107DCA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EED2-4ACE-91AA-7F8713196E92}"/>
              </c:ext>
            </c:extLst>
          </c:dPt>
          <c:dPt>
            <c:idx val="13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05-EED2-4ACE-91AA-7F8713196E92}"/>
              </c:ext>
            </c:extLst>
          </c:dPt>
          <c:dPt>
            <c:idx val="14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18-20C9-4512-B8CA-3370C5107DCA}"/>
              </c:ext>
            </c:extLst>
          </c:dPt>
          <c:dPt>
            <c:idx val="15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7-EED2-4ACE-91AA-7F8713196E92}"/>
              </c:ext>
            </c:extLst>
          </c:dPt>
          <c:dPt>
            <c:idx val="16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2-20C9-4512-B8CA-3370C5107DCA}"/>
              </c:ext>
            </c:extLst>
          </c:dPt>
          <c:dPt>
            <c:idx val="17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3-20C9-4512-B8CA-3370C5107DCA}"/>
              </c:ext>
            </c:extLst>
          </c:dPt>
          <c:dPt>
            <c:idx val="18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4-20C9-4512-B8CA-3370C5107DCA}"/>
              </c:ext>
            </c:extLst>
          </c:dPt>
          <c:dPt>
            <c:idx val="19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5-20C9-4512-B8CA-3370C5107DCA}"/>
              </c:ext>
            </c:extLst>
          </c:dPt>
          <c:dPt>
            <c:idx val="2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6-20C9-4512-B8CA-3370C5107DCA}"/>
              </c:ext>
            </c:extLst>
          </c:dPt>
          <c:dPt>
            <c:idx val="25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9-EED2-4ACE-91AA-7F8713196E92}"/>
              </c:ext>
            </c:extLst>
          </c:dPt>
          <c:dPt>
            <c:idx val="26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B-EED2-4ACE-91AA-7F8713196E92}"/>
              </c:ext>
            </c:extLst>
          </c:dPt>
          <c:dPt>
            <c:idx val="27"/>
            <c:invertIfNegative val="0"/>
            <c:bubble3D val="0"/>
            <c:spPr>
              <a:solidFill>
                <a:srgbClr val="0070C0"/>
              </a:solidFill>
            </c:spPr>
            <c:extLst>
              <c:ext xmlns:c16="http://schemas.microsoft.com/office/drawing/2014/chart" uri="{C3380CC4-5D6E-409C-BE32-E72D297353CC}">
                <c16:uniqueId val="{0000000D-EED2-4ACE-91AA-7F8713196E92}"/>
              </c:ext>
            </c:extLst>
          </c:dPt>
          <c:dPt>
            <c:idx val="28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F-EED2-4ACE-91AA-7F8713196E92}"/>
              </c:ext>
            </c:extLst>
          </c:dPt>
          <c:dPt>
            <c:idx val="3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1-EED2-4ACE-91AA-7F8713196E92}"/>
              </c:ext>
            </c:extLst>
          </c:dPt>
          <c:dPt>
            <c:idx val="32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3-EED2-4ACE-91AA-7F8713196E92}"/>
              </c:ext>
            </c:extLst>
          </c:dPt>
          <c:dPt>
            <c:idx val="34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5-EED2-4ACE-91AA-7F8713196E92}"/>
              </c:ext>
            </c:extLst>
          </c:dPt>
          <c:errBars>
            <c:errBarType val="plus"/>
            <c:errValType val="cust"/>
            <c:noEndCap val="0"/>
            <c:plus>
              <c:numRef>
                <c:f>'R2'!$B$54:$V$54</c:f>
                <c:numCache>
                  <c:formatCode>General</c:formatCode>
                  <c:ptCount val="21"/>
                  <c:pt idx="0">
                    <c:v>1.9111557744972796E-2</c:v>
                  </c:pt>
                  <c:pt idx="1">
                    <c:v>0.10211816087457977</c:v>
                  </c:pt>
                  <c:pt idx="2">
                    <c:v>0.20322989206825146</c:v>
                  </c:pt>
                  <c:pt idx="3">
                    <c:v>0.41793048757141199</c:v>
                  </c:pt>
                  <c:pt idx="4">
                    <c:v>0.65427852199915826</c:v>
                  </c:pt>
                  <c:pt idx="5">
                    <c:v>0.4464078183557092</c:v>
                  </c:pt>
                  <c:pt idx="6">
                    <c:v>0.73083755290960295</c:v>
                  </c:pt>
                  <c:pt idx="7">
                    <c:v>3.2124218291424651E-2</c:v>
                  </c:pt>
                  <c:pt idx="8">
                    <c:v>7.1853534461349303E-2</c:v>
                  </c:pt>
                  <c:pt idx="9">
                    <c:v>0.10264041535540037</c:v>
                  </c:pt>
                  <c:pt idx="10">
                    <c:v>9.4692036925040288E-2</c:v>
                  </c:pt>
                  <c:pt idx="11">
                    <c:v>0.34066549918476763</c:v>
                  </c:pt>
                  <c:pt idx="13">
                    <c:v>0.21937383237108299</c:v>
                  </c:pt>
                  <c:pt idx="14">
                    <c:v>0.75610696987890313</c:v>
                  </c:pt>
                  <c:pt idx="15">
                    <c:v>3.2802838236078824E-2</c:v>
                  </c:pt>
                  <c:pt idx="16">
                    <c:v>0.30750543664702862</c:v>
                  </c:pt>
                  <c:pt idx="17">
                    <c:v>0.33249730547009321</c:v>
                  </c:pt>
                  <c:pt idx="18">
                    <c:v>0.72409910642859099</c:v>
                  </c:pt>
                  <c:pt idx="19">
                    <c:v>0.33757125360616597</c:v>
                  </c:pt>
                  <c:pt idx="20">
                    <c:v>0.84028538892376936</c:v>
                  </c:pt>
                </c:numCache>
              </c:numRef>
            </c:plus>
            <c:minus>
              <c:numRef>
                <c:f>'R1'!$N$48:$V$48</c:f>
                <c:numCache>
                  <c:formatCode>General</c:formatCode>
                  <c:ptCount val="9"/>
                  <c:pt idx="0">
                    <c:v>0</c:v>
                  </c:pt>
                  <c:pt idx="1">
                    <c:v>0.18041607851940164</c:v>
                  </c:pt>
                  <c:pt idx="2">
                    <c:v>0.3933646090665186</c:v>
                  </c:pt>
                  <c:pt idx="3">
                    <c:v>2.1999747536566725E-2</c:v>
                  </c:pt>
                  <c:pt idx="4">
                    <c:v>0.32658672395751798</c:v>
                  </c:pt>
                  <c:pt idx="5">
                    <c:v>0.63095894370287209</c:v>
                  </c:pt>
                  <c:pt idx="6">
                    <c:v>0.57532748351263985</c:v>
                  </c:pt>
                  <c:pt idx="7">
                    <c:v>0.30573869387985231</c:v>
                  </c:pt>
                  <c:pt idx="8">
                    <c:v>0.5764090586530326</c:v>
                  </c:pt>
                </c:numCache>
              </c:numRef>
            </c:minus>
          </c:errBars>
          <c:cat>
            <c:strRef>
              <c:f>'R2'!$B$52:$V$52</c:f>
              <c:strCache>
                <c:ptCount val="21"/>
                <c:pt idx="0">
                  <c:v>Solvent control</c:v>
                </c:pt>
                <c:pt idx="1">
                  <c:v>EE2-33.8ng/L</c:v>
                </c:pt>
                <c:pt idx="2">
                  <c:v>EE2-50.6ng/L</c:v>
                </c:pt>
                <c:pt idx="3">
                  <c:v>EE2-76ng/L</c:v>
                </c:pt>
                <c:pt idx="4">
                  <c:v>EE2-114ng/L</c:v>
                </c:pt>
                <c:pt idx="5">
                  <c:v>EE2-170.9ng/L</c:v>
                </c:pt>
                <c:pt idx="6">
                  <c:v>EE2-488ng/L</c:v>
                </c:pt>
                <c:pt idx="7">
                  <c:v>BPA-1mg/L</c:v>
                </c:pt>
                <c:pt idx="8">
                  <c:v>BPA-2mg/L</c:v>
                </c:pt>
                <c:pt idx="9">
                  <c:v>BPA-3mg/L</c:v>
                </c:pt>
                <c:pt idx="10">
                  <c:v>BPA-4mg/L</c:v>
                </c:pt>
                <c:pt idx="11">
                  <c:v>BPA-5mg/L</c:v>
                </c:pt>
                <c:pt idx="13">
                  <c:v>Testo -30µg/L</c:v>
                </c:pt>
                <c:pt idx="14">
                  <c:v>Testo 30µg/L + EE2 -64ng/L</c:v>
                </c:pt>
                <c:pt idx="15">
                  <c:v>Testo 30µg/L + FAD-10mg/L</c:v>
                </c:pt>
                <c:pt idx="16">
                  <c:v>BPA-1mg/L + Testostérone</c:v>
                </c:pt>
                <c:pt idx="17">
                  <c:v>BPA-2mg/L + Testostérone</c:v>
                </c:pt>
                <c:pt idx="18">
                  <c:v>BPA-3mg/L + Testostérone</c:v>
                </c:pt>
                <c:pt idx="19">
                  <c:v>BPA-4mg/L + Testostérone</c:v>
                </c:pt>
                <c:pt idx="20">
                  <c:v>BPA-5mg/L + Testostérone</c:v>
                </c:pt>
              </c:strCache>
            </c:strRef>
          </c:cat>
          <c:val>
            <c:numRef>
              <c:f>'R2'!$B$53:$V$53</c:f>
              <c:numCache>
                <c:formatCode>0.0000</c:formatCode>
                <c:ptCount val="21"/>
                <c:pt idx="0">
                  <c:v>8.3415240118651646E-2</c:v>
                </c:pt>
                <c:pt idx="1">
                  <c:v>0.23008643458776681</c:v>
                </c:pt>
                <c:pt idx="2">
                  <c:v>0.86975799476400284</c:v>
                </c:pt>
                <c:pt idx="3">
                  <c:v>2.0796013211895348</c:v>
                </c:pt>
                <c:pt idx="4">
                  <c:v>3.6909030643934777</c:v>
                </c:pt>
                <c:pt idx="5">
                  <c:v>4.4188737381653116</c:v>
                </c:pt>
                <c:pt idx="6">
                  <c:v>6.3993437008399647</c:v>
                </c:pt>
                <c:pt idx="7">
                  <c:v>0.13559990480005107</c:v>
                </c:pt>
                <c:pt idx="8">
                  <c:v>0.18703930646671357</c:v>
                </c:pt>
                <c:pt idx="9">
                  <c:v>0.25349575373398581</c:v>
                </c:pt>
                <c:pt idx="10">
                  <c:v>0.26284845213009883</c:v>
                </c:pt>
                <c:pt idx="11">
                  <c:v>1.4261546766974904</c:v>
                </c:pt>
                <c:pt idx="13">
                  <c:v>1.0000000000000002</c:v>
                </c:pt>
                <c:pt idx="14">
                  <c:v>4.4695923568041014</c:v>
                </c:pt>
                <c:pt idx="15">
                  <c:v>0.11531743958576413</c:v>
                </c:pt>
                <c:pt idx="16">
                  <c:v>1.2126503317486024</c:v>
                </c:pt>
                <c:pt idx="17">
                  <c:v>2.0616218820565511</c:v>
                </c:pt>
                <c:pt idx="18">
                  <c:v>4.4079823996191996</c:v>
                </c:pt>
                <c:pt idx="19">
                  <c:v>4.6104235817239321</c:v>
                </c:pt>
                <c:pt idx="20">
                  <c:v>5.795491353638786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ED2-4ACE-91AA-7F8713196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4818296"/>
        <c:axId val="324818688"/>
      </c:barChart>
      <c:catAx>
        <c:axId val="324818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 lang="en-GB"/>
            </a:pPr>
            <a:endParaRPr lang="fr-FR"/>
          </a:p>
        </c:txPr>
        <c:crossAx val="324818688"/>
        <c:crosses val="autoZero"/>
        <c:auto val="1"/>
        <c:lblAlgn val="ctr"/>
        <c:lblOffset val="100"/>
        <c:noMultiLvlLbl val="0"/>
      </c:catAx>
      <c:valAx>
        <c:axId val="324818688"/>
        <c:scaling>
          <c:orientation val="minMax"/>
          <c:max val="6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n-GB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baseline="0">
                    <a:effectLst/>
                  </a:rPr>
                  <a:t>fluorescence totale (unités arbitraires)</a:t>
                </a:r>
                <a:endParaRPr lang="en-GB" sz="1000">
                  <a:effectLst/>
                </a:endParaRPr>
              </a:p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n-GB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 sz="1000"/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fr-FR"/>
          </a:p>
        </c:txPr>
        <c:crossAx val="324818296"/>
        <c:crosses val="autoZero"/>
        <c:crossBetween val="between"/>
        <c:majorUnit val="0.2"/>
      </c:valAx>
    </c:plotArea>
    <c:plotVisOnly val="1"/>
    <c:dispBlanksAs val="gap"/>
    <c:showDLblsOverMax val="0"/>
  </c:chart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395319521821627E-2"/>
          <c:y val="0.14871824529979213"/>
          <c:w val="0.9002738512986157"/>
          <c:h val="0.63968468033016779"/>
        </c:manualLayout>
      </c:layout>
      <c:barChart>
        <c:barDir val="col"/>
        <c:grouping val="clustered"/>
        <c:varyColors val="0"/>
        <c:ser>
          <c:idx val="0"/>
          <c:order val="0"/>
          <c:tx>
            <c:v>R2</c:v>
          </c:tx>
          <c:spPr>
            <a:solidFill>
              <a:schemeClr val="accent2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1D-EA59-4FF1-816E-B4B22253AA0B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26-EA59-4FF1-816E-B4B22253AA0B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25-EA59-4FF1-816E-B4B22253AA0B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24-EA59-4FF1-816E-B4B22253AA0B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23-EA59-4FF1-816E-B4B22253AA0B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22-EA59-4FF1-816E-B4B22253AA0B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21-EA59-4FF1-816E-B4B22253AA0B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F-EA59-4FF1-816E-B4B22253AA0B}"/>
              </c:ext>
            </c:extLst>
          </c:dPt>
          <c:dPt>
            <c:idx val="8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0-EA59-4FF1-816E-B4B22253AA0B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EED2-4ACE-91AA-7F8713196E92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E-EA59-4FF1-816E-B4B22253AA0B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EED2-4ACE-91AA-7F8713196E92}"/>
              </c:ext>
            </c:extLst>
          </c:dPt>
          <c:dPt>
            <c:idx val="13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05-EED2-4ACE-91AA-7F8713196E92}"/>
              </c:ext>
            </c:extLst>
          </c:dPt>
          <c:dPt>
            <c:idx val="14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1C-EA59-4FF1-816E-B4B22253AA0B}"/>
              </c:ext>
            </c:extLst>
          </c:dPt>
          <c:dPt>
            <c:idx val="15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7-EED2-4ACE-91AA-7F8713196E92}"/>
              </c:ext>
            </c:extLst>
          </c:dPt>
          <c:dPt>
            <c:idx val="16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7-EA59-4FF1-816E-B4B22253AA0B}"/>
              </c:ext>
            </c:extLst>
          </c:dPt>
          <c:dPt>
            <c:idx val="17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8-EA59-4FF1-816E-B4B22253AA0B}"/>
              </c:ext>
            </c:extLst>
          </c:dPt>
          <c:dPt>
            <c:idx val="18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9-EA59-4FF1-816E-B4B22253AA0B}"/>
              </c:ext>
            </c:extLst>
          </c:dPt>
          <c:dPt>
            <c:idx val="19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A-EA59-4FF1-816E-B4B22253AA0B}"/>
              </c:ext>
            </c:extLst>
          </c:dPt>
          <c:dPt>
            <c:idx val="2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B-EA59-4FF1-816E-B4B22253AA0B}"/>
              </c:ext>
            </c:extLst>
          </c:dPt>
          <c:dPt>
            <c:idx val="25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9-EED2-4ACE-91AA-7F8713196E92}"/>
              </c:ext>
            </c:extLst>
          </c:dPt>
          <c:dPt>
            <c:idx val="26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B-EED2-4ACE-91AA-7F8713196E92}"/>
              </c:ext>
            </c:extLst>
          </c:dPt>
          <c:dPt>
            <c:idx val="27"/>
            <c:invertIfNegative val="0"/>
            <c:bubble3D val="0"/>
            <c:spPr>
              <a:solidFill>
                <a:srgbClr val="0070C0"/>
              </a:solidFill>
            </c:spPr>
            <c:extLst>
              <c:ext xmlns:c16="http://schemas.microsoft.com/office/drawing/2014/chart" uri="{C3380CC4-5D6E-409C-BE32-E72D297353CC}">
                <c16:uniqueId val="{0000000D-EED2-4ACE-91AA-7F8713196E92}"/>
              </c:ext>
            </c:extLst>
          </c:dPt>
          <c:dPt>
            <c:idx val="28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F-EED2-4ACE-91AA-7F8713196E92}"/>
              </c:ext>
            </c:extLst>
          </c:dPt>
          <c:dPt>
            <c:idx val="3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1-EED2-4ACE-91AA-7F8713196E92}"/>
              </c:ext>
            </c:extLst>
          </c:dPt>
          <c:dPt>
            <c:idx val="32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3-EED2-4ACE-91AA-7F8713196E92}"/>
              </c:ext>
            </c:extLst>
          </c:dPt>
          <c:dPt>
            <c:idx val="34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5-EED2-4ACE-91AA-7F8713196E92}"/>
              </c:ext>
            </c:extLst>
          </c:dPt>
          <c:errBars>
            <c:errBarType val="plus"/>
            <c:errValType val="cust"/>
            <c:noEndCap val="0"/>
            <c:plus>
              <c:numRef>
                <c:f>'R3'!$B$54:$V$54</c:f>
                <c:numCache>
                  <c:formatCode>General</c:formatCode>
                  <c:ptCount val="21"/>
                  <c:pt idx="0">
                    <c:v>1.52798877025843E-2</c:v>
                  </c:pt>
                  <c:pt idx="1">
                    <c:v>5.8670525597400637E-2</c:v>
                  </c:pt>
                  <c:pt idx="2">
                    <c:v>0.11199253092477865</c:v>
                  </c:pt>
                  <c:pt idx="3">
                    <c:v>0.18516500917853804</c:v>
                  </c:pt>
                  <c:pt idx="4">
                    <c:v>0.20251530886191876</c:v>
                  </c:pt>
                  <c:pt idx="5">
                    <c:v>0.22055251391684405</c:v>
                  </c:pt>
                  <c:pt idx="6">
                    <c:v>0.27038844474803675</c:v>
                  </c:pt>
                  <c:pt idx="7">
                    <c:v>1.247654298959138E-2</c:v>
                  </c:pt>
                  <c:pt idx="8">
                    <c:v>3.139954465675638E-2</c:v>
                  </c:pt>
                  <c:pt idx="9">
                    <c:v>4.0951402106707606E-2</c:v>
                  </c:pt>
                  <c:pt idx="10">
                    <c:v>0.15749140435266856</c:v>
                  </c:pt>
                  <c:pt idx="11">
                    <c:v>0.1876920321090233</c:v>
                  </c:pt>
                  <c:pt idx="13">
                    <c:v>0.23738242877944435</c:v>
                  </c:pt>
                  <c:pt idx="14">
                    <c:v>0.17783787900524964</c:v>
                  </c:pt>
                  <c:pt idx="15">
                    <c:v>1.5638527712977052E-2</c:v>
                  </c:pt>
                  <c:pt idx="16">
                    <c:v>0.18592976467563091</c:v>
                  </c:pt>
                  <c:pt idx="17">
                    <c:v>0.13140743437089644</c:v>
                  </c:pt>
                  <c:pt idx="18">
                    <c:v>0.20875623652683975</c:v>
                  </c:pt>
                  <c:pt idx="19">
                    <c:v>0.28922587424060225</c:v>
                  </c:pt>
                  <c:pt idx="20">
                    <c:v>0.30319375777377389</c:v>
                  </c:pt>
                </c:numCache>
              </c:numRef>
            </c:plus>
            <c:minus>
              <c:numRef>
                <c:f>'R1'!$N$48:$V$48</c:f>
                <c:numCache>
                  <c:formatCode>General</c:formatCode>
                  <c:ptCount val="9"/>
                  <c:pt idx="0">
                    <c:v>0</c:v>
                  </c:pt>
                  <c:pt idx="1">
                    <c:v>0.18041607851940164</c:v>
                  </c:pt>
                  <c:pt idx="2">
                    <c:v>0.3933646090665186</c:v>
                  </c:pt>
                  <c:pt idx="3">
                    <c:v>2.1999747536566725E-2</c:v>
                  </c:pt>
                  <c:pt idx="4">
                    <c:v>0.32658672395751798</c:v>
                  </c:pt>
                  <c:pt idx="5">
                    <c:v>0.63095894370287209</c:v>
                  </c:pt>
                  <c:pt idx="6">
                    <c:v>0.57532748351263985</c:v>
                  </c:pt>
                  <c:pt idx="7">
                    <c:v>0.30573869387985231</c:v>
                  </c:pt>
                  <c:pt idx="8">
                    <c:v>0.5764090586530326</c:v>
                  </c:pt>
                </c:numCache>
              </c:numRef>
            </c:minus>
          </c:errBars>
          <c:cat>
            <c:strRef>
              <c:f>'R3'!$B$52:$V$52</c:f>
              <c:strCache>
                <c:ptCount val="21"/>
                <c:pt idx="0">
                  <c:v>Solvent control</c:v>
                </c:pt>
                <c:pt idx="1">
                  <c:v>EE2-33.8ng/L</c:v>
                </c:pt>
                <c:pt idx="2">
                  <c:v>EE2-50.6ng/L</c:v>
                </c:pt>
                <c:pt idx="3">
                  <c:v>EE2-76ng/L</c:v>
                </c:pt>
                <c:pt idx="4">
                  <c:v>EE2-114ng/L</c:v>
                </c:pt>
                <c:pt idx="5">
                  <c:v>EE2-170.9ng/L</c:v>
                </c:pt>
                <c:pt idx="6">
                  <c:v>EE2-488ng/L</c:v>
                </c:pt>
                <c:pt idx="7">
                  <c:v>BPA-1mg/L</c:v>
                </c:pt>
                <c:pt idx="8">
                  <c:v>BPA-2mg/L</c:v>
                </c:pt>
                <c:pt idx="9">
                  <c:v>BPA-3mg/L</c:v>
                </c:pt>
                <c:pt idx="10">
                  <c:v>BPA-4mg/L</c:v>
                </c:pt>
                <c:pt idx="11">
                  <c:v>BPA-5mg/L</c:v>
                </c:pt>
                <c:pt idx="13">
                  <c:v>Testo -30µg/L</c:v>
                </c:pt>
                <c:pt idx="14">
                  <c:v>Testo 30µg/L + EE2 -64ng/L</c:v>
                </c:pt>
                <c:pt idx="15">
                  <c:v>Testo 30µg/L + FAD-10mg/L</c:v>
                </c:pt>
                <c:pt idx="16">
                  <c:v>BPA-1mg/L + Testostérone</c:v>
                </c:pt>
                <c:pt idx="17">
                  <c:v>BPA-2mg/L + Testostérone</c:v>
                </c:pt>
                <c:pt idx="18">
                  <c:v>BPA-3mg/L + Testostérone</c:v>
                </c:pt>
                <c:pt idx="19">
                  <c:v>BPA-4mg/L + Testostérone</c:v>
                </c:pt>
                <c:pt idx="20">
                  <c:v>BPA-5mg/L + Testostérone</c:v>
                </c:pt>
              </c:strCache>
            </c:strRef>
          </c:cat>
          <c:val>
            <c:numRef>
              <c:f>'R3'!$B$53:$V$53</c:f>
              <c:numCache>
                <c:formatCode>0.0000</c:formatCode>
                <c:ptCount val="21"/>
                <c:pt idx="0">
                  <c:v>5.8692518923581287E-2</c:v>
                </c:pt>
                <c:pt idx="1">
                  <c:v>0.16900935811379122</c:v>
                </c:pt>
                <c:pt idx="2">
                  <c:v>0.42533145720321502</c:v>
                </c:pt>
                <c:pt idx="3">
                  <c:v>0.77693098423603824</c:v>
                </c:pt>
                <c:pt idx="4">
                  <c:v>1.7055911488774838</c:v>
                </c:pt>
                <c:pt idx="5">
                  <c:v>1.4065802473301634</c:v>
                </c:pt>
                <c:pt idx="6">
                  <c:v>2.739214434402296</c:v>
                </c:pt>
                <c:pt idx="7">
                  <c:v>5.6364712699722604E-2</c:v>
                </c:pt>
                <c:pt idx="8">
                  <c:v>0.10559579941575858</c:v>
                </c:pt>
                <c:pt idx="9">
                  <c:v>9.7094896298572167E-2</c:v>
                </c:pt>
                <c:pt idx="10">
                  <c:v>0.30909448042881854</c:v>
                </c:pt>
                <c:pt idx="11">
                  <c:v>0.7935832566744826</c:v>
                </c:pt>
                <c:pt idx="13">
                  <c:v>1</c:v>
                </c:pt>
                <c:pt idx="14">
                  <c:v>1.9102186831873758</c:v>
                </c:pt>
                <c:pt idx="15">
                  <c:v>5.0146019054568697E-2</c:v>
                </c:pt>
                <c:pt idx="16">
                  <c:v>0.9774482347799881</c:v>
                </c:pt>
                <c:pt idx="17">
                  <c:v>1.2413612431161398</c:v>
                </c:pt>
                <c:pt idx="18">
                  <c:v>1.4906952682755519</c:v>
                </c:pt>
                <c:pt idx="19">
                  <c:v>2.4399189071681109</c:v>
                </c:pt>
                <c:pt idx="20">
                  <c:v>2.5524604465731002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ED2-4ACE-91AA-7F8713196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4373488"/>
        <c:axId val="434373880"/>
      </c:barChart>
      <c:catAx>
        <c:axId val="434373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 lang="en-GB"/>
            </a:pPr>
            <a:endParaRPr lang="fr-FR"/>
          </a:p>
        </c:txPr>
        <c:crossAx val="434373880"/>
        <c:crosses val="autoZero"/>
        <c:auto val="1"/>
        <c:lblAlgn val="ctr"/>
        <c:lblOffset val="100"/>
        <c:noMultiLvlLbl val="0"/>
      </c:catAx>
      <c:valAx>
        <c:axId val="434373880"/>
        <c:scaling>
          <c:orientation val="minMax"/>
          <c:max val="6.4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n-GB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baseline="0">
                    <a:effectLst/>
                  </a:rPr>
                  <a:t>fluorescence totale (unités arbitraires)</a:t>
                </a:r>
                <a:endParaRPr lang="en-GB" sz="1000">
                  <a:effectLst/>
                </a:endParaRPr>
              </a:p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n-GB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 sz="1000"/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fr-FR"/>
          </a:p>
        </c:txPr>
        <c:crossAx val="434373488"/>
        <c:crosses val="autoZero"/>
        <c:crossBetween val="between"/>
        <c:majorUnit val="0.2"/>
      </c:valAx>
    </c:plotArea>
    <c:plotVisOnly val="1"/>
    <c:dispBlanksAs val="gap"/>
    <c:showDLblsOverMax val="0"/>
  </c:chart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8086563142153819E-2"/>
          <c:y val="0.10694631110669023"/>
          <c:w val="0.91688911122572669"/>
          <c:h val="0.69895377069250364"/>
        </c:manualLayout>
      </c:layout>
      <c:barChart>
        <c:barDir val="col"/>
        <c:grouping val="clustered"/>
        <c:varyColors val="0"/>
        <c:ser>
          <c:idx val="0"/>
          <c:order val="0"/>
          <c:tx>
            <c:v>Pool</c:v>
          </c:tx>
          <c:spPr>
            <a:solidFill>
              <a:srgbClr val="00B050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2C-033C-4530-84A9-991A3866ABD4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1-033C-4530-84A9-991A3866ABD4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3-033C-4530-84A9-991A3866ABD4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5-033C-4530-84A9-991A3866ABD4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7-033C-4530-84A9-991A3866ABD4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9-033C-4530-84A9-991A3866ABD4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B-033C-4530-84A9-991A3866ABD4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D-033C-4530-84A9-991A3866ABD4}"/>
              </c:ext>
            </c:extLst>
          </c:dPt>
          <c:dPt>
            <c:idx val="8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F-033C-4530-84A9-991A3866ABD4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1-033C-4530-84A9-991A3866ABD4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3-033C-4530-84A9-991A3866ABD4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5-033C-4530-84A9-991A3866ABD4}"/>
              </c:ext>
            </c:extLst>
          </c:dPt>
          <c:dPt>
            <c:idx val="12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7-033C-4530-84A9-991A3866ABD4}"/>
              </c:ext>
            </c:extLst>
          </c:dPt>
          <c:dPt>
            <c:idx val="13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19-033C-4530-84A9-991A3866ABD4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B-033C-4530-84A9-991A3866ABD4}"/>
              </c:ext>
            </c:extLst>
          </c:dPt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D-033C-4530-84A9-991A3866ABD4}"/>
              </c:ext>
            </c:extLst>
          </c:dPt>
          <c:dPt>
            <c:idx val="16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F-033C-4530-84A9-991A3866ABD4}"/>
              </c:ext>
            </c:extLst>
          </c:dPt>
          <c:dPt>
            <c:idx val="17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1-033C-4530-84A9-991A3866ABD4}"/>
              </c:ext>
            </c:extLst>
          </c:dPt>
          <c:dPt>
            <c:idx val="18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3-033C-4530-84A9-991A3866ABD4}"/>
              </c:ext>
            </c:extLst>
          </c:dPt>
          <c:dPt>
            <c:idx val="19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5-033C-4530-84A9-991A3866ABD4}"/>
              </c:ext>
            </c:extLst>
          </c:dPt>
          <c:dPt>
            <c:idx val="2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7-033C-4530-84A9-991A3866ABD4}"/>
              </c:ext>
            </c:extLst>
          </c:dPt>
          <c:dPt>
            <c:idx val="2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9-033C-4530-84A9-991A3866ABD4}"/>
              </c:ext>
            </c:extLst>
          </c:dPt>
          <c:dPt>
            <c:idx val="22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B-033C-4530-84A9-991A3866ABD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7B8B31BE-35C9-45D7-AB2A-21E7EB8A01C6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C-033C-4530-84A9-991A3866ABD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D78EC51-68D4-4F49-9788-A2294542CF7C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033C-4530-84A9-991A3866ABD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380ACAB-849E-4B5B-A5AD-D9404B41B670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033C-4530-84A9-991A3866ABD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6B755EB-C4FD-4DF2-AE92-62630E220A29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33C-4530-84A9-991A3866ABD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30D068A-B2F5-41E2-8A7C-B73BC7D521BB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033C-4530-84A9-991A3866ABD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7F9B58A8-3FD3-417D-B9F4-4488CCFE767E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033C-4530-84A9-991A3866ABD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4CF66CF-B90C-4545-9F35-BAE4AAB67A2F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033C-4530-84A9-991A3866ABD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B7690E1F-D087-4352-AFF0-4DCB79F7E416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033C-4530-84A9-991A3866ABD4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21692FF2-5D56-4A44-A7E2-7ECBEEAF585D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033C-4530-84A9-991A3866ABD4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39099107-A32E-44DE-B7BD-F6ABCF8F9100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033C-4530-84A9-991A3866ABD4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076C8525-343A-4793-AF66-4C549A06B566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033C-4530-84A9-991A3866ABD4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85277AB5-53A5-48AA-8152-CA65F5C08998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033C-4530-84A9-991A3866ABD4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033C-4530-84A9-991A3866ABD4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BD342AB2-219B-4E12-835B-B411F3990A2E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033C-4530-84A9-991A3866ABD4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1F13DD25-641B-43B9-B75B-BCB591021532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033C-4530-84A9-991A3866ABD4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E579FF02-0326-4FD4-B0E6-B0816173A65D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033C-4530-84A9-991A3866ABD4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FFEFBE80-F538-4434-A389-280F85F9DB7E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033C-4530-84A9-991A3866ABD4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5A94E0F7-4D22-41E2-9076-78A9B58BB2DD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033C-4530-84A9-991A3866ABD4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BF4B3FB2-CEF1-4EC5-92FF-6CEB02EC1ACC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033C-4530-84A9-991A3866ABD4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92C0DCE4-DCD1-4121-B4AE-258F676D88DE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033C-4530-84A9-991A3866ABD4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B488D7E7-2B16-4A8F-B282-105C03CFD9CB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033C-4530-84A9-991A3866ABD4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3-033C-4530-84A9-991A3866ABD4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errBars>
            <c:errBarType val="both"/>
            <c:errValType val="cust"/>
            <c:noEndCap val="0"/>
            <c:plus>
              <c:numRef>
                <c:f>'pooled normalised values'!$B$76:$V$76</c:f>
                <c:numCache>
                  <c:formatCode>General</c:formatCode>
                  <c:ptCount val="21"/>
                  <c:pt idx="0">
                    <c:v>1.6636210071535269E-2</c:v>
                  </c:pt>
                  <c:pt idx="1">
                    <c:v>4.5119039749155418E-2</c:v>
                  </c:pt>
                  <c:pt idx="2">
                    <c:v>0.10349118186960352</c:v>
                  </c:pt>
                  <c:pt idx="3">
                    <c:v>0.24396938474762847</c:v>
                  </c:pt>
                  <c:pt idx="4">
                    <c:v>0.38383039082908227</c:v>
                  </c:pt>
                  <c:pt idx="5">
                    <c:v>0.47533187573848329</c:v>
                  </c:pt>
                  <c:pt idx="6">
                    <c:v>0.43113275239194115</c:v>
                  </c:pt>
                  <c:pt idx="7">
                    <c:v>1.9276845501564735E-2</c:v>
                  </c:pt>
                  <c:pt idx="8">
                    <c:v>3.092317641483646E-2</c:v>
                  </c:pt>
                  <c:pt idx="9">
                    <c:v>8.0389455367412543E-2</c:v>
                  </c:pt>
                  <c:pt idx="10">
                    <c:v>0.22998460720086553</c:v>
                  </c:pt>
                  <c:pt idx="11">
                    <c:v>0.31672984550839267</c:v>
                  </c:pt>
                  <c:pt idx="13">
                    <c:v>0.12237221269405145</c:v>
                  </c:pt>
                  <c:pt idx="14">
                    <c:v>0.37651765036525647</c:v>
                  </c:pt>
                  <c:pt idx="15">
                    <c:v>1.4829174559948279E-2</c:v>
                  </c:pt>
                  <c:pt idx="16">
                    <c:v>0.15595490274618484</c:v>
                  </c:pt>
                  <c:pt idx="17">
                    <c:v>0.26526926962848069</c:v>
                  </c:pt>
                  <c:pt idx="18">
                    <c:v>0.40141247390112272</c:v>
                  </c:pt>
                  <c:pt idx="19">
                    <c:v>0.30038475618755062</c:v>
                  </c:pt>
                  <c:pt idx="20">
                    <c:v>0.46518634071737508</c:v>
                  </c:pt>
                </c:numCache>
              </c:numRef>
            </c:plus>
            <c:minus>
              <c:numRef>
                <c:f>'pooled normalised values'!$B$76:$V$76</c:f>
                <c:numCache>
                  <c:formatCode>General</c:formatCode>
                  <c:ptCount val="21"/>
                  <c:pt idx="0">
                    <c:v>1.6636210071535269E-2</c:v>
                  </c:pt>
                  <c:pt idx="1">
                    <c:v>4.5119039749155418E-2</c:v>
                  </c:pt>
                  <c:pt idx="2">
                    <c:v>0.10349118186960352</c:v>
                  </c:pt>
                  <c:pt idx="3">
                    <c:v>0.24396938474762847</c:v>
                  </c:pt>
                  <c:pt idx="4">
                    <c:v>0.38383039082908227</c:v>
                  </c:pt>
                  <c:pt idx="5">
                    <c:v>0.47533187573848329</c:v>
                  </c:pt>
                  <c:pt idx="6">
                    <c:v>0.43113275239194115</c:v>
                  </c:pt>
                  <c:pt idx="7">
                    <c:v>1.9276845501564735E-2</c:v>
                  </c:pt>
                  <c:pt idx="8">
                    <c:v>3.092317641483646E-2</c:v>
                  </c:pt>
                  <c:pt idx="9">
                    <c:v>8.0389455367412543E-2</c:v>
                  </c:pt>
                  <c:pt idx="10">
                    <c:v>0.22998460720086553</c:v>
                  </c:pt>
                  <c:pt idx="11">
                    <c:v>0.31672984550839267</c:v>
                  </c:pt>
                  <c:pt idx="13">
                    <c:v>0.12237221269405145</c:v>
                  </c:pt>
                  <c:pt idx="14">
                    <c:v>0.37651765036525647</c:v>
                  </c:pt>
                  <c:pt idx="15">
                    <c:v>1.4829174559948279E-2</c:v>
                  </c:pt>
                  <c:pt idx="16">
                    <c:v>0.15595490274618484</c:v>
                  </c:pt>
                  <c:pt idx="17">
                    <c:v>0.26526926962848069</c:v>
                  </c:pt>
                  <c:pt idx="18">
                    <c:v>0.40141247390112272</c:v>
                  </c:pt>
                  <c:pt idx="19">
                    <c:v>0.30038475618755062</c:v>
                  </c:pt>
                  <c:pt idx="20">
                    <c:v>0.46518634071737508</c:v>
                  </c:pt>
                </c:numCache>
              </c:numRef>
            </c:minus>
          </c:errBars>
          <c:cat>
            <c:strRef>
              <c:f>'pooled normalised values'!$B$74:$V$74</c:f>
              <c:strCache>
                <c:ptCount val="21"/>
                <c:pt idx="0">
                  <c:v>Solvent control</c:v>
                </c:pt>
                <c:pt idx="1">
                  <c:v>EE2-33.8ng/L</c:v>
                </c:pt>
                <c:pt idx="2">
                  <c:v>EE2-50.6ng/L</c:v>
                </c:pt>
                <c:pt idx="3">
                  <c:v>EE2-76ng/L</c:v>
                </c:pt>
                <c:pt idx="4">
                  <c:v>EE2-114ng/L</c:v>
                </c:pt>
                <c:pt idx="5">
                  <c:v>EE2-170.9ng/L</c:v>
                </c:pt>
                <c:pt idx="6">
                  <c:v>EE2-488ng/L</c:v>
                </c:pt>
                <c:pt idx="7">
                  <c:v>BPA-1mg/L</c:v>
                </c:pt>
                <c:pt idx="8">
                  <c:v>BPA-2mg/L</c:v>
                </c:pt>
                <c:pt idx="9">
                  <c:v>BPA-3mg/L</c:v>
                </c:pt>
                <c:pt idx="10">
                  <c:v>BPA-4mg/L</c:v>
                </c:pt>
                <c:pt idx="11">
                  <c:v>BPA-5mg/L</c:v>
                </c:pt>
                <c:pt idx="13">
                  <c:v>Testo -30µg/L</c:v>
                </c:pt>
                <c:pt idx="14">
                  <c:v>Testo 30µg/L + EE2 -64ng/L</c:v>
                </c:pt>
                <c:pt idx="15">
                  <c:v>Testo 30µg/L + FAD-10mg/L</c:v>
                </c:pt>
                <c:pt idx="16">
                  <c:v>BPA-1mg/L + Testostérone</c:v>
                </c:pt>
                <c:pt idx="17">
                  <c:v>BPA-2mg/L + Testostérone</c:v>
                </c:pt>
                <c:pt idx="18">
                  <c:v>BPA-3mg/L + Testostérone</c:v>
                </c:pt>
                <c:pt idx="19">
                  <c:v>BPA-4mg/L + Testostérone</c:v>
                </c:pt>
                <c:pt idx="20">
                  <c:v>BPA-5mg/L + Testostérone</c:v>
                </c:pt>
              </c:strCache>
            </c:strRef>
          </c:cat>
          <c:val>
            <c:numRef>
              <c:f>'pooled normalised values'!$B$75:$V$75</c:f>
              <c:numCache>
                <c:formatCode>0.0000</c:formatCode>
                <c:ptCount val="21"/>
                <c:pt idx="0">
                  <c:v>0.10416235654164323</c:v>
                </c:pt>
                <c:pt idx="1">
                  <c:v>0.25019166720632624</c:v>
                </c:pt>
                <c:pt idx="2">
                  <c:v>0.71380036697746052</c:v>
                </c:pt>
                <c:pt idx="3">
                  <c:v>1.749612703736052</c:v>
                </c:pt>
                <c:pt idx="4">
                  <c:v>3.0989026626629759</c:v>
                </c:pt>
                <c:pt idx="5">
                  <c:v>3.8317893117805455</c:v>
                </c:pt>
                <c:pt idx="6">
                  <c:v>4.8171508077315908</c:v>
                </c:pt>
                <c:pt idx="7">
                  <c:v>0.11519332796968705</c:v>
                </c:pt>
                <c:pt idx="8">
                  <c:v>0.15500094827853761</c:v>
                </c:pt>
                <c:pt idx="9">
                  <c:v>0.31155562442712537</c:v>
                </c:pt>
                <c:pt idx="10">
                  <c:v>0.7913344469768897</c:v>
                </c:pt>
                <c:pt idx="11">
                  <c:v>1.7832633044767729</c:v>
                </c:pt>
                <c:pt idx="13">
                  <c:v>1.0000000000000002</c:v>
                </c:pt>
                <c:pt idx="14">
                  <c:v>3.5301544664672311</c:v>
                </c:pt>
                <c:pt idx="15">
                  <c:v>8.2545657488748148E-2</c:v>
                </c:pt>
                <c:pt idx="16">
                  <c:v>1.0926423881544822</c:v>
                </c:pt>
                <c:pt idx="17">
                  <c:v>2.0660796708203222</c:v>
                </c:pt>
                <c:pt idx="18">
                  <c:v>3.0736905746247865</c:v>
                </c:pt>
                <c:pt idx="19">
                  <c:v>2.9724779744915577</c:v>
                </c:pt>
                <c:pt idx="20">
                  <c:v>3.6322062073094803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'pooled normalised values'!$B$83:$V$83</c15:f>
                <c15:dlblRangeCache>
                  <c:ptCount val="21"/>
                  <c:pt idx="1">
                    <c:v>ns</c:v>
                  </c:pt>
                  <c:pt idx="2">
                    <c:v>*</c:v>
                  </c:pt>
                  <c:pt idx="3">
                    <c:v>***</c:v>
                  </c:pt>
                  <c:pt idx="4">
                    <c:v>***</c:v>
                  </c:pt>
                  <c:pt idx="5">
                    <c:v>***</c:v>
                  </c:pt>
                  <c:pt idx="6">
                    <c:v>***</c:v>
                  </c:pt>
                  <c:pt idx="7">
                    <c:v>ns</c:v>
                  </c:pt>
                  <c:pt idx="8">
                    <c:v>ns</c:v>
                  </c:pt>
                  <c:pt idx="9">
                    <c:v>ns</c:v>
                  </c:pt>
                  <c:pt idx="10">
                    <c:v>*</c:v>
                  </c:pt>
                  <c:pt idx="11">
                    <c:v>***</c:v>
                  </c:pt>
                  <c:pt idx="13">
                    <c:v>***</c:v>
                  </c:pt>
                  <c:pt idx="14">
                    <c:v>***</c:v>
                  </c:pt>
                  <c:pt idx="15">
                    <c:v>***</c:v>
                  </c:pt>
                  <c:pt idx="16">
                    <c:v>ns</c:v>
                  </c:pt>
                  <c:pt idx="17">
                    <c:v>**</c:v>
                  </c:pt>
                  <c:pt idx="18">
                    <c:v>***</c:v>
                  </c:pt>
                  <c:pt idx="19">
                    <c:v>***</c:v>
                  </c:pt>
                  <c:pt idx="20">
                    <c:v>***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B-033C-4530-84A9-991A3866AB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4374272"/>
        <c:axId val="434374664"/>
      </c:barChart>
      <c:catAx>
        <c:axId val="4343742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2700000"/>
          <a:lstStyle/>
          <a:p>
            <a:pPr>
              <a:defRPr lang="en-GB" sz="1000"/>
            </a:pPr>
            <a:endParaRPr lang="fr-FR"/>
          </a:p>
        </c:txPr>
        <c:crossAx val="434374664"/>
        <c:crosses val="autoZero"/>
        <c:auto val="1"/>
        <c:lblAlgn val="ctr"/>
        <c:lblOffset val="100"/>
        <c:noMultiLvlLbl val="0"/>
      </c:catAx>
      <c:valAx>
        <c:axId val="434374664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lang="en-GB" sz="1400"/>
                </a:pPr>
                <a:r>
                  <a:rPr lang="en-US" sz="1400"/>
                  <a:t>fluorescence totale (unités arbitraires)</a:t>
                </a:r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fr-FR"/>
          </a:p>
        </c:txPr>
        <c:crossAx val="434374272"/>
        <c:crosses val="autoZero"/>
        <c:crossBetween val="between"/>
      </c:valAx>
    </c:plotArea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zoomScale="70" workbookViewId="0"/>
  </sheetViews>
  <pageMargins left="0.7" right="0.7" top="0.75" bottom="0.75" header="0.3" footer="0.3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/>
  <sheetViews>
    <sheetView zoomScale="59" workbookViewId="0" zoomToFit="1"/>
  </sheetViews>
  <pageMargins left="0.7" right="0.7" top="0.75" bottom="0.75" header="0.3" footer="0.3"/>
  <pageSetup paperSize="9"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/>
  <sheetViews>
    <sheetView zoomScale="59" workbookViewId="0" zoomToFit="1"/>
  </sheetViews>
  <pageMargins left="0.7" right="0.7" top="0.75" bottom="0.75" header="0.3" footer="0.3"/>
  <pageSetup paperSize="9"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/>
  <sheetViews>
    <sheetView zoomScale="76" workbookViewId="0" zoomToFit="1"/>
  </sheetViews>
  <pageMargins left="0.7" right="0.7" top="0.75" bottom="0.75" header="0.3" footer="0.3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0.42494</cdr:x>
      <cdr:y>0.01696</cdr:y>
    </cdr:from>
    <cdr:to>
      <cdr:x>0.59244</cdr:x>
      <cdr:y>0.06852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3946365" y="102453"/>
          <a:ext cx="1555576" cy="3114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horzOverflow="clip" wrap="square" rtlCol="0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fr-FR" sz="1400" b="1"/>
            <a:t>N° expérience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88220" cy="6059407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0.37494</cdr:x>
      <cdr:y>0.01504</cdr:y>
    </cdr:from>
    <cdr:to>
      <cdr:x>0.5575</cdr:x>
      <cdr:y>0.06657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3480830" y="90920"/>
          <a:ext cx="1694833" cy="3114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horzOverflow="clip" wrap="square" rtlCol="0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fr-FR" sz="1400" b="1"/>
            <a:t>N° expérience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88220" cy="6059407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0.37494</cdr:x>
      <cdr:y>0.01504</cdr:y>
    </cdr:from>
    <cdr:to>
      <cdr:x>0.5575</cdr:x>
      <cdr:y>0.0666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3482021" y="90854"/>
          <a:ext cx="1695412" cy="3114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horzOverflow="clip" wrap="square" rtlCol="0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fr-FR" sz="1400" b="1"/>
            <a:t>N° expérience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299408" cy="6074276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alStats\RealStats%202013%202016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fig"/>
      <sheetName val="Wilcoxon Table"/>
      <sheetName val="Mann Table"/>
      <sheetName val="Runs Table"/>
      <sheetName val="KS Table"/>
      <sheetName val="KS2 Table"/>
      <sheetName val="Lil Table"/>
      <sheetName val="AD Table"/>
      <sheetName val="SW Table"/>
      <sheetName val="Stud. Q Table"/>
      <sheetName val="Stud. Q Table 2"/>
      <sheetName val="Sp Rho Table"/>
      <sheetName val="Ken Tau Table"/>
      <sheetName val="Durbin Table"/>
      <sheetName val="Dunnett Table"/>
      <sheetName val="Prime"/>
    </sheetNames>
    <definedNames>
      <definedName name="DPTEST"/>
      <definedName name="MTEST"/>
      <definedName name="SWTEST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ste_groupe" displayName="liste_groupe" ref="A6:F57" totalsRowShown="0" headerRowDxfId="8" dataDxfId="7" tableBorderDxfId="6">
  <autoFilter ref="A6:F57" xr:uid="{00000000-0009-0000-0100-000001000000}"/>
  <tableColumns count="6">
    <tableColumn id="4" xr3:uid="{00000000-0010-0000-0000-000004000000}" name="Do not fill in" dataDxfId="5">
      <calculatedColumnFormula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calculatedColumnFormula>
    </tableColumn>
    <tableColumn id="1" xr3:uid="{00000000-0010-0000-0000-000001000000}" name="Do not fill in2" dataDxfId="4">
      <calculatedColumnFormula>A2</calculatedColumnFormula>
    </tableColumn>
    <tableColumn id="2" xr3:uid="{00000000-0010-0000-0000-000002000000}" name="Concentration" dataDxfId="3">
      <calculatedColumnFormula>B2</calculatedColumnFormula>
    </tableColumn>
    <tableColumn id="10" xr3:uid="{00000000-0010-0000-0000-00000A000000}" name="Units" dataDxfId="2"/>
    <tableColumn id="3" xr3:uid="{00000000-0010-0000-0000-000003000000}" name="Chemical name" dataDxfId="1">
      <calculatedColumnFormula>C2</calculatedColumnFormula>
    </tableColumn>
    <tableColumn id="9" xr3:uid="{00000000-0010-0000-0000-000009000000}" name="Do not fill in3" dataDxfId="0"/>
  </tableColumns>
  <tableStyleInfo name="TableStyleLight15" showFirstColumn="0" showLastColumn="0" showRowStripes="0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7"/>
  <sheetViews>
    <sheetView showGridLines="0" topLeftCell="A2" zoomScale="55" zoomScaleNormal="55" workbookViewId="0">
      <selection activeCell="C2" sqref="C2:D2"/>
    </sheetView>
  </sheetViews>
  <sheetFormatPr baseColWidth="10" defaultColWidth="10.90625" defaultRowHeight="39" customHeight="1" x14ac:dyDescent="0.35"/>
  <cols>
    <col min="1" max="1" width="42" bestFit="1" customWidth="1"/>
    <col min="2" max="2" width="33.81640625" style="28" bestFit="1" customWidth="1"/>
    <col min="3" max="3" width="21.26953125" customWidth="1"/>
    <col min="4" max="4" width="30.453125" customWidth="1"/>
    <col min="5" max="5" width="62.26953125" style="90" bestFit="1" customWidth="1"/>
    <col min="6" max="6" width="56.7265625" bestFit="1" customWidth="1"/>
    <col min="7" max="7" width="19.453125" customWidth="1"/>
    <col min="8" max="8" width="15.26953125" customWidth="1"/>
    <col min="9" max="9" width="18" customWidth="1"/>
    <col min="10" max="10" width="19.54296875" bestFit="1" customWidth="1"/>
  </cols>
  <sheetData>
    <row r="1" spans="1:9" ht="39" customHeight="1" thickBot="1" x14ac:dyDescent="0.4">
      <c r="A1" s="116"/>
      <c r="B1" s="117"/>
      <c r="C1" s="117"/>
      <c r="D1" s="117"/>
      <c r="E1" s="117"/>
      <c r="F1" s="117"/>
      <c r="G1" s="117"/>
      <c r="H1" s="117"/>
      <c r="I1" s="118"/>
    </row>
    <row r="2" spans="1:9" ht="21.5" thickBot="1" x14ac:dyDescent="0.55000000000000004">
      <c r="A2" s="109" t="s">
        <v>5</v>
      </c>
      <c r="B2" s="27" t="s">
        <v>24</v>
      </c>
      <c r="C2" s="119"/>
      <c r="D2" s="120"/>
      <c r="E2" s="27" t="s">
        <v>23</v>
      </c>
      <c r="F2" s="131"/>
      <c r="G2" s="132"/>
      <c r="H2" s="132"/>
      <c r="I2" s="133"/>
    </row>
    <row r="3" spans="1:9" ht="21.5" thickBot="1" x14ac:dyDescent="0.55000000000000004">
      <c r="A3" s="110" t="s">
        <v>6</v>
      </c>
      <c r="B3" s="27" t="s">
        <v>24</v>
      </c>
      <c r="C3" s="121"/>
      <c r="D3" s="122"/>
      <c r="E3" s="27" t="s">
        <v>23</v>
      </c>
      <c r="F3" s="128"/>
      <c r="G3" s="129"/>
      <c r="H3" s="129"/>
      <c r="I3" s="130"/>
    </row>
    <row r="4" spans="1:9" ht="21.5" thickBot="1" x14ac:dyDescent="0.55000000000000004">
      <c r="A4" s="111" t="s">
        <v>9</v>
      </c>
      <c r="B4" s="27" t="s">
        <v>24</v>
      </c>
      <c r="C4" s="123"/>
      <c r="D4" s="124"/>
      <c r="E4" s="27" t="s">
        <v>23</v>
      </c>
      <c r="F4" s="125"/>
      <c r="G4" s="126"/>
      <c r="H4" s="126"/>
      <c r="I4" s="127"/>
    </row>
    <row r="5" spans="1:9" s="1" customFormat="1" ht="65.25" customHeight="1" thickBot="1" x14ac:dyDescent="0.4">
      <c r="A5" s="116"/>
      <c r="B5" s="117"/>
      <c r="C5" s="117"/>
      <c r="D5" s="117"/>
      <c r="E5" s="117"/>
      <c r="F5" s="117"/>
      <c r="G5" s="117"/>
      <c r="H5" s="117"/>
      <c r="I5" s="118"/>
    </row>
    <row r="6" spans="1:9" s="69" customFormat="1" ht="39" customHeight="1" x14ac:dyDescent="0.5">
      <c r="A6" s="59" t="s">
        <v>25</v>
      </c>
      <c r="B6" s="60" t="s">
        <v>26</v>
      </c>
      <c r="C6" s="47" t="s">
        <v>7</v>
      </c>
      <c r="D6" s="47" t="s">
        <v>27</v>
      </c>
      <c r="E6" s="87" t="s">
        <v>28</v>
      </c>
      <c r="F6" s="68" t="s">
        <v>29</v>
      </c>
    </row>
    <row r="7" spans="1:9" s="96" customFormat="1" ht="39" customHeight="1" x14ac:dyDescent="0.5">
      <c r="A7" s="91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Solvent control</v>
      </c>
      <c r="B7" s="92" t="s">
        <v>46</v>
      </c>
      <c r="C7" s="93"/>
      <c r="D7" s="94"/>
      <c r="E7" s="95" t="s">
        <v>31</v>
      </c>
      <c r="F7" s="70"/>
    </row>
    <row r="8" spans="1:9" s="96" customFormat="1" ht="39" customHeight="1" x14ac:dyDescent="0.5">
      <c r="A8" s="91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EE2-33.8ng/L</v>
      </c>
      <c r="B8" s="92" t="s">
        <v>46</v>
      </c>
      <c r="C8" s="93" t="s">
        <v>32</v>
      </c>
      <c r="D8" s="94" t="s">
        <v>17</v>
      </c>
      <c r="E8" s="95" t="s">
        <v>18</v>
      </c>
      <c r="F8" s="70"/>
    </row>
    <row r="9" spans="1:9" s="96" customFormat="1" ht="39" customHeight="1" x14ac:dyDescent="0.5">
      <c r="A9" s="91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EE2-50.6ng/L</v>
      </c>
      <c r="B9" s="92" t="s">
        <v>46</v>
      </c>
      <c r="C9" s="93" t="s">
        <v>33</v>
      </c>
      <c r="D9" s="94" t="s">
        <v>17</v>
      </c>
      <c r="E9" s="95" t="s">
        <v>18</v>
      </c>
      <c r="F9" s="70"/>
    </row>
    <row r="10" spans="1:9" s="96" customFormat="1" ht="39" customHeight="1" x14ac:dyDescent="0.5">
      <c r="A10" s="91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EE2-76ng/L</v>
      </c>
      <c r="B10" s="92" t="s">
        <v>46</v>
      </c>
      <c r="C10" s="93">
        <v>76</v>
      </c>
      <c r="D10" s="94" t="s">
        <v>17</v>
      </c>
      <c r="E10" s="95" t="s">
        <v>18</v>
      </c>
      <c r="F10" s="70"/>
    </row>
    <row r="11" spans="1:9" s="96" customFormat="1" ht="39" customHeight="1" x14ac:dyDescent="0.5">
      <c r="A11" s="91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EE2-114ng/L</v>
      </c>
      <c r="B11" s="92" t="s">
        <v>46</v>
      </c>
      <c r="C11" s="93">
        <v>114</v>
      </c>
      <c r="D11" s="94" t="s">
        <v>17</v>
      </c>
      <c r="E11" s="95" t="s">
        <v>18</v>
      </c>
      <c r="F11" s="70"/>
    </row>
    <row r="12" spans="1:9" s="96" customFormat="1" ht="39" customHeight="1" x14ac:dyDescent="0.5">
      <c r="A12" s="91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EE2-170.9ng/L</v>
      </c>
      <c r="B12" s="92" t="s">
        <v>46</v>
      </c>
      <c r="C12" s="93" t="s">
        <v>34</v>
      </c>
      <c r="D12" s="94" t="s">
        <v>17</v>
      </c>
      <c r="E12" s="95" t="s">
        <v>18</v>
      </c>
      <c r="F12" s="70"/>
    </row>
    <row r="13" spans="1:9" s="96" customFormat="1" ht="39" customHeight="1" x14ac:dyDescent="0.5">
      <c r="A13" s="91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EE2-488ng/L</v>
      </c>
      <c r="B13" s="92" t="s">
        <v>46</v>
      </c>
      <c r="C13" s="93">
        <v>488</v>
      </c>
      <c r="D13" s="94" t="s">
        <v>17</v>
      </c>
      <c r="E13" s="95" t="s">
        <v>18</v>
      </c>
      <c r="F13" s="70"/>
    </row>
    <row r="14" spans="1:9" s="96" customFormat="1" ht="39" customHeight="1" x14ac:dyDescent="0.5">
      <c r="A14" s="91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BPA-1mg/L</v>
      </c>
      <c r="B14" s="92" t="s">
        <v>30</v>
      </c>
      <c r="C14" s="93">
        <v>1</v>
      </c>
      <c r="D14" s="94" t="s">
        <v>21</v>
      </c>
      <c r="E14" s="95" t="s">
        <v>49</v>
      </c>
      <c r="F14" s="70"/>
    </row>
    <row r="15" spans="1:9" s="71" customFormat="1" ht="39" customHeight="1" x14ac:dyDescent="0.35">
      <c r="A15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BPA-2mg/L</v>
      </c>
      <c r="B15" s="92" t="s">
        <v>30</v>
      </c>
      <c r="C15" s="65">
        <v>2</v>
      </c>
      <c r="D15" s="94" t="s">
        <v>21</v>
      </c>
      <c r="E15" s="95" t="s">
        <v>49</v>
      </c>
      <c r="F15" s="70"/>
    </row>
    <row r="16" spans="1:9" s="71" customFormat="1" ht="39" customHeight="1" x14ac:dyDescent="0.35">
      <c r="A16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BPA-3mg/L</v>
      </c>
      <c r="B16" s="92" t="s">
        <v>30</v>
      </c>
      <c r="C16" s="65">
        <v>3</v>
      </c>
      <c r="D16" s="94" t="s">
        <v>21</v>
      </c>
      <c r="E16" s="95" t="s">
        <v>49</v>
      </c>
      <c r="F16" s="70"/>
    </row>
    <row r="17" spans="1:6" s="71" customFormat="1" ht="39" customHeight="1" x14ac:dyDescent="0.35">
      <c r="A17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BPA-4mg/L</v>
      </c>
      <c r="B17" s="92" t="s">
        <v>30</v>
      </c>
      <c r="C17" s="65">
        <v>4</v>
      </c>
      <c r="D17" s="94" t="s">
        <v>21</v>
      </c>
      <c r="E17" s="95" t="s">
        <v>49</v>
      </c>
      <c r="F17" s="70"/>
    </row>
    <row r="18" spans="1:6" s="71" customFormat="1" ht="39" customHeight="1" x14ac:dyDescent="0.35">
      <c r="A18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BPA-5mg/L</v>
      </c>
      <c r="B18" s="92" t="s">
        <v>30</v>
      </c>
      <c r="C18" s="65">
        <v>5</v>
      </c>
      <c r="D18" s="94" t="s">
        <v>21</v>
      </c>
      <c r="E18" s="95" t="s">
        <v>49</v>
      </c>
      <c r="F18" s="70"/>
    </row>
    <row r="19" spans="1:6" s="71" customFormat="1" ht="39" customHeight="1" x14ac:dyDescent="0.35">
      <c r="A19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19" s="92" t="s">
        <v>30</v>
      </c>
      <c r="C19" s="65"/>
      <c r="D19" s="65"/>
      <c r="E19" s="25"/>
      <c r="F19" s="70"/>
    </row>
    <row r="20" spans="1:6" s="71" customFormat="1" ht="39" customHeight="1" x14ac:dyDescent="0.35">
      <c r="A20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0" s="92" t="s">
        <v>30</v>
      </c>
      <c r="C20" s="65"/>
      <c r="D20" s="65"/>
      <c r="E20" s="61"/>
      <c r="F20" s="70"/>
    </row>
    <row r="21" spans="1:6" s="71" customFormat="1" ht="39" customHeight="1" x14ac:dyDescent="0.35">
      <c r="A21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1" s="92" t="s">
        <v>30</v>
      </c>
      <c r="C21" s="65"/>
      <c r="D21" s="65"/>
      <c r="E21" s="25"/>
      <c r="F21" s="70"/>
    </row>
    <row r="22" spans="1:6" s="71" customFormat="1" ht="39" customHeight="1" x14ac:dyDescent="0.35">
      <c r="A22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2" s="92" t="s">
        <v>30</v>
      </c>
      <c r="C22" s="65"/>
      <c r="D22" s="65"/>
      <c r="E22" s="61"/>
      <c r="F22" s="70"/>
    </row>
    <row r="23" spans="1:6" s="71" customFormat="1" ht="39" customHeight="1" x14ac:dyDescent="0.35">
      <c r="A23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3" s="92" t="s">
        <v>30</v>
      </c>
      <c r="C23" s="65"/>
      <c r="D23" s="65"/>
      <c r="E23" s="25"/>
      <c r="F23" s="70"/>
    </row>
    <row r="24" spans="1:6" s="71" customFormat="1" ht="39" customHeight="1" x14ac:dyDescent="0.35">
      <c r="A24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4" s="92" t="s">
        <v>30</v>
      </c>
      <c r="C24" s="65"/>
      <c r="D24" s="65"/>
      <c r="E24" s="61"/>
      <c r="F24" s="70"/>
    </row>
    <row r="25" spans="1:6" s="71" customFormat="1" ht="39" customHeight="1" x14ac:dyDescent="0.35">
      <c r="A25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5" s="92" t="s">
        <v>30</v>
      </c>
      <c r="C25" s="65"/>
      <c r="D25" s="65"/>
      <c r="E25" s="25"/>
      <c r="F25" s="70"/>
    </row>
    <row r="26" spans="1:6" s="71" customFormat="1" ht="39" customHeight="1" x14ac:dyDescent="0.35">
      <c r="A26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6" s="92" t="s">
        <v>30</v>
      </c>
      <c r="C26" s="65"/>
      <c r="D26" s="65"/>
      <c r="E26" s="61"/>
      <c r="F26" s="70"/>
    </row>
    <row r="27" spans="1:6" s="71" customFormat="1" ht="39" customHeight="1" x14ac:dyDescent="0.35">
      <c r="A27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7" s="92" t="s">
        <v>30</v>
      </c>
      <c r="C27" s="65"/>
      <c r="D27" s="65"/>
      <c r="E27" s="25"/>
      <c r="F27" s="70"/>
    </row>
    <row r="28" spans="1:6" s="71" customFormat="1" ht="39" customHeight="1" x14ac:dyDescent="0.35">
      <c r="A28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8" s="92" t="s">
        <v>30</v>
      </c>
      <c r="C28" s="65"/>
      <c r="D28" s="65"/>
      <c r="E28" s="61"/>
      <c r="F28" s="70"/>
    </row>
    <row r="29" spans="1:6" s="71" customFormat="1" ht="39" customHeight="1" x14ac:dyDescent="0.35">
      <c r="A29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9" s="92" t="s">
        <v>30</v>
      </c>
      <c r="C29" s="65"/>
      <c r="D29" s="74"/>
      <c r="E29" s="25"/>
      <c r="F29" s="70"/>
    </row>
    <row r="30" spans="1:6" s="71" customFormat="1" ht="39" customHeight="1" x14ac:dyDescent="0.35">
      <c r="A30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30" s="92" t="s">
        <v>30</v>
      </c>
      <c r="C30" s="65"/>
      <c r="D30" s="74"/>
      <c r="E30" s="61"/>
      <c r="F30" s="70"/>
    </row>
    <row r="31" spans="1:6" s="71" customFormat="1" ht="39" customHeight="1" x14ac:dyDescent="0.35">
      <c r="A31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31" s="92" t="s">
        <v>30</v>
      </c>
      <c r="C31" s="65"/>
      <c r="D31" s="74"/>
      <c r="E31" s="25"/>
      <c r="F31" s="70"/>
    </row>
    <row r="32" spans="1:6" s="71" customFormat="1" ht="39" customHeight="1" x14ac:dyDescent="0.35">
      <c r="A32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32" s="92" t="s">
        <v>30</v>
      </c>
      <c r="C32" s="65"/>
      <c r="D32" s="74"/>
      <c r="E32" s="61"/>
      <c r="F32" s="70"/>
    </row>
    <row r="33" spans="1:6" s="71" customFormat="1" ht="39" customHeight="1" x14ac:dyDescent="0.35">
      <c r="A33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33" s="92" t="s">
        <v>30</v>
      </c>
      <c r="C33" s="65"/>
      <c r="D33" s="74"/>
      <c r="E33" s="25"/>
      <c r="F33" s="70"/>
    </row>
    <row r="34" spans="1:6" s="71" customFormat="1" ht="39" customHeight="1" thickBot="1" x14ac:dyDescent="0.4">
      <c r="A34" s="57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34" s="92" t="s">
        <v>30</v>
      </c>
      <c r="C34" s="98"/>
      <c r="D34" s="75"/>
      <c r="E34" s="97"/>
      <c r="F34" s="70"/>
    </row>
    <row r="35" spans="1:6" s="71" customFormat="1" ht="39" customHeight="1" x14ac:dyDescent="0.35">
      <c r="A35" s="99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Testo -30µg/L</v>
      </c>
      <c r="B35" s="62" t="s">
        <v>46</v>
      </c>
      <c r="C35" s="66">
        <v>30</v>
      </c>
      <c r="D35" s="76" t="s">
        <v>19</v>
      </c>
      <c r="E35" s="88" t="s">
        <v>8</v>
      </c>
      <c r="F35" s="100"/>
    </row>
    <row r="36" spans="1:6" s="71" customFormat="1" ht="39" customHeight="1" x14ac:dyDescent="0.35">
      <c r="A36" s="101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Testo 30µg/L + EE2 -64ng/L</v>
      </c>
      <c r="B36" s="63" t="s">
        <v>46</v>
      </c>
      <c r="C36" s="67">
        <v>64</v>
      </c>
      <c r="D36" s="77" t="s">
        <v>17</v>
      </c>
      <c r="E36" s="89" t="s">
        <v>20</v>
      </c>
      <c r="F36" s="102"/>
    </row>
    <row r="37" spans="1:6" s="71" customFormat="1" ht="39" customHeight="1" thickBot="1" x14ac:dyDescent="0.4">
      <c r="A37" s="103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Testo 30µg/L + FAD-10mg/L</v>
      </c>
      <c r="B37" s="104" t="s">
        <v>46</v>
      </c>
      <c r="C37" s="105">
        <v>10</v>
      </c>
      <c r="D37" s="106" t="s">
        <v>21</v>
      </c>
      <c r="E37" s="107" t="s">
        <v>22</v>
      </c>
      <c r="F37" s="108"/>
    </row>
    <row r="38" spans="1:6" s="71" customFormat="1" ht="39" customHeight="1" x14ac:dyDescent="0.35">
      <c r="A38" s="3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BPA-1mg/L + Testostérone</v>
      </c>
      <c r="B38" s="112" t="str">
        <f>B14</f>
        <v>test chemical</v>
      </c>
      <c r="C38" s="112">
        <f t="shared" ref="C38:E38" si="0">C14</f>
        <v>1</v>
      </c>
      <c r="D38" s="112" t="str">
        <f t="shared" si="0"/>
        <v>mg/L</v>
      </c>
      <c r="E38" s="112" t="str">
        <f t="shared" si="0"/>
        <v>BPA</v>
      </c>
      <c r="F38" s="72" t="s">
        <v>13</v>
      </c>
    </row>
    <row r="39" spans="1:6" s="71" customFormat="1" ht="39" customHeight="1" x14ac:dyDescent="0.35">
      <c r="A39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BPA-2mg/L + Testostérone</v>
      </c>
      <c r="B39" s="114" t="str">
        <f t="shared" ref="B39:E39" si="1">B15</f>
        <v>test chemical</v>
      </c>
      <c r="C39" s="114">
        <f t="shared" si="1"/>
        <v>2</v>
      </c>
      <c r="D39" s="114" t="str">
        <f t="shared" si="1"/>
        <v>mg/L</v>
      </c>
      <c r="E39" s="114" t="str">
        <f t="shared" si="1"/>
        <v>BPA</v>
      </c>
      <c r="F39" s="73" t="s">
        <v>13</v>
      </c>
    </row>
    <row r="40" spans="1:6" s="71" customFormat="1" ht="39" customHeight="1" x14ac:dyDescent="0.35">
      <c r="A40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BPA-3mg/L + Testostérone</v>
      </c>
      <c r="B40" s="114" t="str">
        <f t="shared" ref="B40:E40" si="2">B16</f>
        <v>test chemical</v>
      </c>
      <c r="C40" s="114">
        <f t="shared" si="2"/>
        <v>3</v>
      </c>
      <c r="D40" s="114" t="str">
        <f t="shared" si="2"/>
        <v>mg/L</v>
      </c>
      <c r="E40" s="114" t="str">
        <f t="shared" si="2"/>
        <v>BPA</v>
      </c>
      <c r="F40" s="73" t="s">
        <v>13</v>
      </c>
    </row>
    <row r="41" spans="1:6" s="71" customFormat="1" ht="39" customHeight="1" x14ac:dyDescent="0.35">
      <c r="A41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BPA-4mg/L + Testostérone</v>
      </c>
      <c r="B41" s="114" t="str">
        <f t="shared" ref="B41:E41" si="3">B17</f>
        <v>test chemical</v>
      </c>
      <c r="C41" s="114">
        <f t="shared" si="3"/>
        <v>4</v>
      </c>
      <c r="D41" s="114" t="str">
        <f t="shared" si="3"/>
        <v>mg/L</v>
      </c>
      <c r="E41" s="114" t="str">
        <f t="shared" si="3"/>
        <v>BPA</v>
      </c>
      <c r="F41" s="73" t="s">
        <v>13</v>
      </c>
    </row>
    <row r="42" spans="1:6" s="71" customFormat="1" ht="39" customHeight="1" x14ac:dyDescent="0.35">
      <c r="A42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BPA-5mg/L + Testostérone</v>
      </c>
      <c r="B42" s="114" t="str">
        <f t="shared" ref="B42:E42" si="4">B18</f>
        <v>test chemical</v>
      </c>
      <c r="C42" s="114">
        <f t="shared" si="4"/>
        <v>5</v>
      </c>
      <c r="D42" s="114" t="str">
        <f t="shared" si="4"/>
        <v>mg/L</v>
      </c>
      <c r="E42" s="114" t="str">
        <f t="shared" si="4"/>
        <v>BPA</v>
      </c>
      <c r="F42" s="73" t="s">
        <v>13</v>
      </c>
    </row>
    <row r="43" spans="1:6" s="71" customFormat="1" ht="39" customHeight="1" x14ac:dyDescent="0.35">
      <c r="A43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3" s="114" t="str">
        <f t="shared" ref="B43:E43" si="5">B19</f>
        <v>test chemical</v>
      </c>
      <c r="C43" s="114">
        <f t="shared" si="5"/>
        <v>0</v>
      </c>
      <c r="D43" s="114">
        <f t="shared" si="5"/>
        <v>0</v>
      </c>
      <c r="E43" s="114">
        <f t="shared" si="5"/>
        <v>0</v>
      </c>
      <c r="F43" s="73" t="s">
        <v>13</v>
      </c>
    </row>
    <row r="44" spans="1:6" s="71" customFormat="1" ht="39" customHeight="1" x14ac:dyDescent="0.35">
      <c r="A44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4" s="114" t="str">
        <f t="shared" ref="B44:E44" si="6">B20</f>
        <v>test chemical</v>
      </c>
      <c r="C44" s="114">
        <f t="shared" si="6"/>
        <v>0</v>
      </c>
      <c r="D44" s="114">
        <f t="shared" si="6"/>
        <v>0</v>
      </c>
      <c r="E44" s="114">
        <f t="shared" si="6"/>
        <v>0</v>
      </c>
      <c r="F44" s="73" t="s">
        <v>13</v>
      </c>
    </row>
    <row r="45" spans="1:6" s="71" customFormat="1" ht="39" customHeight="1" x14ac:dyDescent="0.35">
      <c r="A45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5" s="114" t="str">
        <f t="shared" ref="B45:E45" si="7">B21</f>
        <v>test chemical</v>
      </c>
      <c r="C45" s="114">
        <f t="shared" si="7"/>
        <v>0</v>
      </c>
      <c r="D45" s="114">
        <f t="shared" si="7"/>
        <v>0</v>
      </c>
      <c r="E45" s="114">
        <f t="shared" si="7"/>
        <v>0</v>
      </c>
      <c r="F45" s="73" t="s">
        <v>13</v>
      </c>
    </row>
    <row r="46" spans="1:6" s="71" customFormat="1" ht="39" customHeight="1" x14ac:dyDescent="0.35">
      <c r="A46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6" s="114" t="str">
        <f t="shared" ref="B46:E46" si="8">B22</f>
        <v>test chemical</v>
      </c>
      <c r="C46" s="114">
        <f t="shared" si="8"/>
        <v>0</v>
      </c>
      <c r="D46" s="114">
        <f t="shared" si="8"/>
        <v>0</v>
      </c>
      <c r="E46" s="114">
        <f t="shared" si="8"/>
        <v>0</v>
      </c>
      <c r="F46" s="73" t="s">
        <v>13</v>
      </c>
    </row>
    <row r="47" spans="1:6" s="71" customFormat="1" ht="39" customHeight="1" x14ac:dyDescent="0.35">
      <c r="A47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7" s="114" t="str">
        <f t="shared" ref="B47:E47" si="9">B23</f>
        <v>test chemical</v>
      </c>
      <c r="C47" s="114">
        <f t="shared" si="9"/>
        <v>0</v>
      </c>
      <c r="D47" s="114">
        <f t="shared" si="9"/>
        <v>0</v>
      </c>
      <c r="E47" s="114">
        <f t="shared" si="9"/>
        <v>0</v>
      </c>
      <c r="F47" s="73" t="s">
        <v>13</v>
      </c>
    </row>
    <row r="48" spans="1:6" s="71" customFormat="1" ht="39" customHeight="1" x14ac:dyDescent="0.35">
      <c r="A48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8" s="114" t="str">
        <f t="shared" ref="B48:E48" si="10">B24</f>
        <v>test chemical</v>
      </c>
      <c r="C48" s="114">
        <f t="shared" si="10"/>
        <v>0</v>
      </c>
      <c r="D48" s="114">
        <f t="shared" si="10"/>
        <v>0</v>
      </c>
      <c r="E48" s="114">
        <f t="shared" si="10"/>
        <v>0</v>
      </c>
      <c r="F48" s="73" t="s">
        <v>13</v>
      </c>
    </row>
    <row r="49" spans="1:6" s="71" customFormat="1" ht="39" customHeight="1" x14ac:dyDescent="0.35">
      <c r="A49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9" s="114" t="str">
        <f t="shared" ref="B49:E49" si="11">B25</f>
        <v>test chemical</v>
      </c>
      <c r="C49" s="114">
        <f t="shared" si="11"/>
        <v>0</v>
      </c>
      <c r="D49" s="114">
        <f t="shared" si="11"/>
        <v>0</v>
      </c>
      <c r="E49" s="114">
        <f t="shared" si="11"/>
        <v>0</v>
      </c>
      <c r="F49" s="73" t="s">
        <v>13</v>
      </c>
    </row>
    <row r="50" spans="1:6" s="71" customFormat="1" ht="39" customHeight="1" x14ac:dyDescent="0.35">
      <c r="A50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0" s="114" t="str">
        <f t="shared" ref="B50:E50" si="12">B26</f>
        <v>test chemical</v>
      </c>
      <c r="C50" s="114">
        <f t="shared" si="12"/>
        <v>0</v>
      </c>
      <c r="D50" s="114">
        <f t="shared" si="12"/>
        <v>0</v>
      </c>
      <c r="E50" s="114">
        <f t="shared" si="12"/>
        <v>0</v>
      </c>
      <c r="F50" s="73" t="s">
        <v>13</v>
      </c>
    </row>
    <row r="51" spans="1:6" s="71" customFormat="1" ht="39" customHeight="1" x14ac:dyDescent="0.35">
      <c r="A51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1" s="114" t="str">
        <f t="shared" ref="B51:E51" si="13">B27</f>
        <v>test chemical</v>
      </c>
      <c r="C51" s="114">
        <f t="shared" si="13"/>
        <v>0</v>
      </c>
      <c r="D51" s="114">
        <f t="shared" si="13"/>
        <v>0</v>
      </c>
      <c r="E51" s="114">
        <f t="shared" si="13"/>
        <v>0</v>
      </c>
      <c r="F51" s="73" t="s">
        <v>13</v>
      </c>
    </row>
    <row r="52" spans="1:6" s="71" customFormat="1" ht="39" customHeight="1" x14ac:dyDescent="0.35">
      <c r="A52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2" s="114" t="str">
        <f t="shared" ref="B52:E52" si="14">B28</f>
        <v>test chemical</v>
      </c>
      <c r="C52" s="114">
        <f t="shared" si="14"/>
        <v>0</v>
      </c>
      <c r="D52" s="114">
        <f t="shared" si="14"/>
        <v>0</v>
      </c>
      <c r="E52" s="114">
        <f t="shared" si="14"/>
        <v>0</v>
      </c>
      <c r="F52" s="73" t="s">
        <v>13</v>
      </c>
    </row>
    <row r="53" spans="1:6" s="71" customFormat="1" ht="39" customHeight="1" x14ac:dyDescent="0.35">
      <c r="A53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3" s="114" t="str">
        <f t="shared" ref="B53:E53" si="15">B29</f>
        <v>test chemical</v>
      </c>
      <c r="C53" s="114">
        <f t="shared" si="15"/>
        <v>0</v>
      </c>
      <c r="D53" s="114">
        <f t="shared" si="15"/>
        <v>0</v>
      </c>
      <c r="E53" s="114">
        <f t="shared" si="15"/>
        <v>0</v>
      </c>
      <c r="F53" s="73" t="s">
        <v>13</v>
      </c>
    </row>
    <row r="54" spans="1:6" s="71" customFormat="1" ht="39" customHeight="1" x14ac:dyDescent="0.35">
      <c r="A54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4" s="114" t="str">
        <f t="shared" ref="B54:E54" si="16">B30</f>
        <v>test chemical</v>
      </c>
      <c r="C54" s="114">
        <f t="shared" si="16"/>
        <v>0</v>
      </c>
      <c r="D54" s="114">
        <f t="shared" si="16"/>
        <v>0</v>
      </c>
      <c r="E54" s="114">
        <f t="shared" si="16"/>
        <v>0</v>
      </c>
      <c r="F54" s="73" t="s">
        <v>13</v>
      </c>
    </row>
    <row r="55" spans="1:6" s="71" customFormat="1" ht="39" customHeight="1" x14ac:dyDescent="0.35">
      <c r="A55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5" s="114" t="str">
        <f t="shared" ref="B55:E55" si="17">B31</f>
        <v>test chemical</v>
      </c>
      <c r="C55" s="114">
        <f t="shared" si="17"/>
        <v>0</v>
      </c>
      <c r="D55" s="114">
        <f t="shared" si="17"/>
        <v>0</v>
      </c>
      <c r="E55" s="114">
        <f t="shared" si="17"/>
        <v>0</v>
      </c>
      <c r="F55" s="73" t="s">
        <v>13</v>
      </c>
    </row>
    <row r="56" spans="1:6" s="71" customFormat="1" ht="39" customHeight="1" x14ac:dyDescent="0.35">
      <c r="A56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6" s="114" t="str">
        <f t="shared" ref="B56:E56" si="18">B32</f>
        <v>test chemical</v>
      </c>
      <c r="C56" s="114">
        <f t="shared" si="18"/>
        <v>0</v>
      </c>
      <c r="D56" s="114">
        <f t="shared" si="18"/>
        <v>0</v>
      </c>
      <c r="E56" s="114">
        <f t="shared" si="18"/>
        <v>0</v>
      </c>
      <c r="F56" s="73" t="s">
        <v>13</v>
      </c>
    </row>
    <row r="57" spans="1:6" s="71" customFormat="1" ht="39" customHeight="1" x14ac:dyDescent="0.35">
      <c r="A57" s="64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7" s="113" t="str">
        <f t="shared" ref="B57:E57" si="19">B33</f>
        <v>test chemical</v>
      </c>
      <c r="C57" s="113">
        <f t="shared" si="19"/>
        <v>0</v>
      </c>
      <c r="D57" s="113">
        <f t="shared" si="19"/>
        <v>0</v>
      </c>
      <c r="E57" s="113">
        <f t="shared" si="19"/>
        <v>0</v>
      </c>
      <c r="F57" s="73" t="s">
        <v>13</v>
      </c>
    </row>
  </sheetData>
  <protectedRanges>
    <protectedRange sqref="C19:D37 A15:A51 C15:C18" name="Plage1_1"/>
  </protectedRanges>
  <mergeCells count="8">
    <mergeCell ref="A5:I5"/>
    <mergeCell ref="A1:I1"/>
    <mergeCell ref="C2:D2"/>
    <mergeCell ref="C3:D3"/>
    <mergeCell ref="C4:D4"/>
    <mergeCell ref="F4:I4"/>
    <mergeCell ref="F3:I3"/>
    <mergeCell ref="F2:I2"/>
  </mergeCells>
  <dataValidations count="1">
    <dataValidation type="custom" allowBlank="1" showInputMessage="1" showErrorMessage="1" sqref="E7:E37" xr:uid="{E0A8F951-ED76-4488-98E3-F13AD7875916}">
      <formula1>ISERROR(SEARCH("-",E7))=TRUE</formula1>
    </dataValidation>
  </dataValidations>
  <pageMargins left="0.7" right="0.7" top="0.75" bottom="0.75" header="0.3" footer="0.3"/>
  <pageSetup paperSize="9" scale="35" orientation="landscape" r:id="rId1"/>
  <headerFooter>
    <oddHeader>&amp;C&amp;"-,Gras"&amp;20Résultats&amp;R&amp;"-,Gras"&amp;20Page : &amp;P/&amp;P</oddHead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87A6D-69BE-4774-BD62-0BD2ECE449DC}">
  <dimension ref="A1:A2"/>
  <sheetViews>
    <sheetView workbookViewId="0">
      <selection activeCell="A2" sqref="A2"/>
    </sheetView>
  </sheetViews>
  <sheetFormatPr baseColWidth="10" defaultColWidth="10.90625" defaultRowHeight="14.5" x14ac:dyDescent="0.35"/>
  <sheetData>
    <row r="1" spans="1:1" x14ac:dyDescent="0.35">
      <c r="A1" t="s">
        <v>47</v>
      </c>
    </row>
    <row r="2" spans="1:1" x14ac:dyDescent="0.35">
      <c r="A2" t="s">
        <v>48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74"/>
  <sheetViews>
    <sheetView showGridLines="0" zoomScale="55" zoomScaleNormal="55" zoomScaleSheetLayoutView="40" zoomScalePageLayoutView="30" workbookViewId="0">
      <pane xSplit="1" topLeftCell="L1" activePane="topRight" state="frozen"/>
      <selection pane="topRight" activeCell="V5" sqref="V5:V12"/>
    </sheetView>
  </sheetViews>
  <sheetFormatPr baseColWidth="10" defaultColWidth="9.1796875" defaultRowHeight="14.5" x14ac:dyDescent="0.35"/>
  <cols>
    <col min="1" max="1" width="29.54296875" style="1" customWidth="1"/>
    <col min="2" max="2" width="14.81640625" style="1" customWidth="1"/>
    <col min="3" max="5" width="25.81640625" style="1" bestFit="1" customWidth="1"/>
    <col min="6" max="8" width="26.453125" style="1" bestFit="1" customWidth="1"/>
    <col min="9" max="9" width="26.453125" style="1" customWidth="1"/>
    <col min="10" max="10" width="25.81640625" style="1" bestFit="1" customWidth="1"/>
    <col min="11" max="11" width="26.453125" style="1" bestFit="1" customWidth="1"/>
    <col min="12" max="13" width="26.453125" style="1" customWidth="1"/>
    <col min="14" max="14" width="18.26953125" bestFit="1" customWidth="1"/>
    <col min="15" max="15" width="14.81640625" customWidth="1"/>
    <col min="16" max="16" width="17.7265625" customWidth="1"/>
    <col min="17" max="18" width="25.81640625" bestFit="1" customWidth="1"/>
    <col min="19" max="22" width="25.81640625" style="1" customWidth="1"/>
  </cols>
  <sheetData>
    <row r="1" spans="1:22" s="1" customFormat="1" ht="26.5" thickBot="1" x14ac:dyDescent="0.65">
      <c r="A1" s="134"/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</row>
    <row r="2" spans="1:22" ht="15" thickBot="1" x14ac:dyDescent="0.4">
      <c r="A2"/>
      <c r="B2"/>
      <c r="C2"/>
      <c r="D2"/>
      <c r="E2"/>
      <c r="F2"/>
      <c r="G2"/>
      <c r="H2"/>
      <c r="I2"/>
      <c r="J2"/>
      <c r="K2"/>
      <c r="L2"/>
      <c r="M2"/>
      <c r="S2"/>
      <c r="T2"/>
      <c r="U2"/>
      <c r="V2"/>
    </row>
    <row r="3" spans="1:22" ht="15" thickBot="1" x14ac:dyDescent="0.4">
      <c r="A3" s="35" t="s">
        <v>5</v>
      </c>
      <c r="B3" s="142" t="s">
        <v>42</v>
      </c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O3" s="142" t="s">
        <v>43</v>
      </c>
      <c r="P3" s="143"/>
      <c r="Q3" s="143"/>
      <c r="R3" s="143"/>
      <c r="S3" s="143"/>
      <c r="T3" s="143"/>
      <c r="U3" s="143"/>
      <c r="V3" s="143"/>
    </row>
    <row r="4" spans="1:22" x14ac:dyDescent="0.35">
      <c r="A4" s="19" t="s">
        <v>37</v>
      </c>
      <c r="B4" s="20" t="str">
        <f>'Front page'!A7</f>
        <v>Solvent control</v>
      </c>
      <c r="C4" s="20" t="str">
        <f>'Front page'!A8</f>
        <v>EE2-33.8ng/L</v>
      </c>
      <c r="D4" s="20" t="str">
        <f>'Front page'!A9</f>
        <v>EE2-50.6ng/L</v>
      </c>
      <c r="E4" s="20" t="str">
        <f>'Front page'!A10</f>
        <v>EE2-76ng/L</v>
      </c>
      <c r="F4" s="20" t="str">
        <f>'Front page'!A11</f>
        <v>EE2-114ng/L</v>
      </c>
      <c r="G4" s="20" t="str">
        <f>'Front page'!A12</f>
        <v>EE2-170.9ng/L</v>
      </c>
      <c r="H4" s="20" t="str">
        <f>'Front page'!A13</f>
        <v>EE2-488ng/L</v>
      </c>
      <c r="I4" s="20" t="str">
        <f>'Front page'!A14</f>
        <v>BPA-1mg/L</v>
      </c>
      <c r="J4" s="20" t="str">
        <f>'Front page'!A15</f>
        <v>BPA-2mg/L</v>
      </c>
      <c r="K4" s="20" t="str">
        <f>'Front page'!A16</f>
        <v>BPA-3mg/L</v>
      </c>
      <c r="L4" s="20" t="str">
        <f>'Front page'!A17</f>
        <v>BPA-4mg/L</v>
      </c>
      <c r="M4" s="20" t="str">
        <f>'Front page'!A18</f>
        <v>BPA-5mg/L</v>
      </c>
      <c r="N4" s="3"/>
      <c r="O4" s="21" t="str">
        <f>'Front page'!A35</f>
        <v>Testo -30µg/L</v>
      </c>
      <c r="P4" s="21" t="str">
        <f>'Front page'!A36</f>
        <v>Testo 30µg/L + EE2 -64ng/L</v>
      </c>
      <c r="Q4" s="21" t="str">
        <f>'Front page'!A37</f>
        <v>Testo 30µg/L + FAD-10mg/L</v>
      </c>
      <c r="R4" s="21" t="str">
        <f>'Front page'!A38</f>
        <v>BPA-1mg/L + Testostérone</v>
      </c>
      <c r="S4" s="21" t="str">
        <f>'Front page'!A39</f>
        <v>BPA-2mg/L + Testostérone</v>
      </c>
      <c r="T4" s="21" t="str">
        <f>'Front page'!A40</f>
        <v>BPA-3mg/L + Testostérone</v>
      </c>
      <c r="U4" s="21" t="str">
        <f>'Front page'!A41</f>
        <v>BPA-4mg/L + Testostérone</v>
      </c>
      <c r="V4" s="21" t="str">
        <f>'Front page'!A42</f>
        <v>BPA-5mg/L + Testostérone</v>
      </c>
    </row>
    <row r="5" spans="1:22" ht="16.5" x14ac:dyDescent="0.35">
      <c r="A5" s="138" t="s">
        <v>35</v>
      </c>
      <c r="B5" s="56">
        <v>222605</v>
      </c>
      <c r="C5" s="13">
        <v>368469</v>
      </c>
      <c r="D5" s="17">
        <v>918984</v>
      </c>
      <c r="E5" s="17">
        <v>1158111</v>
      </c>
      <c r="F5" s="17">
        <v>7010063</v>
      </c>
      <c r="G5" s="17">
        <v>7534801</v>
      </c>
      <c r="H5" s="17">
        <v>4753330</v>
      </c>
      <c r="I5" s="17">
        <v>66978</v>
      </c>
      <c r="J5" s="16">
        <v>282284</v>
      </c>
      <c r="K5" s="13">
        <v>1415318</v>
      </c>
      <c r="L5" s="13">
        <v>4501241</v>
      </c>
      <c r="M5" s="13">
        <v>1963839</v>
      </c>
      <c r="N5" s="3"/>
      <c r="O5" s="17">
        <v>949028</v>
      </c>
      <c r="P5" s="13">
        <v>6194930</v>
      </c>
      <c r="Q5" s="13">
        <v>43325</v>
      </c>
      <c r="R5" s="4">
        <v>249928</v>
      </c>
      <c r="S5" s="17">
        <v>2750562</v>
      </c>
      <c r="T5" s="17">
        <v>4596206</v>
      </c>
      <c r="U5" s="17">
        <v>1173484</v>
      </c>
      <c r="V5" s="17">
        <v>6487540</v>
      </c>
    </row>
    <row r="6" spans="1:22" ht="16.5" x14ac:dyDescent="0.35">
      <c r="A6" s="139"/>
      <c r="B6" s="56">
        <v>363833</v>
      </c>
      <c r="C6" s="13">
        <v>349607</v>
      </c>
      <c r="D6" s="17">
        <v>733772</v>
      </c>
      <c r="E6" s="17">
        <v>4704011</v>
      </c>
      <c r="F6" s="17">
        <v>4204199</v>
      </c>
      <c r="G6" s="17">
        <v>6671012</v>
      </c>
      <c r="H6" s="17">
        <v>6705672</v>
      </c>
      <c r="I6" s="17">
        <v>332229</v>
      </c>
      <c r="J6" s="16">
        <v>382172</v>
      </c>
      <c r="K6" s="13">
        <v>506252</v>
      </c>
      <c r="L6" s="13">
        <v>2294645</v>
      </c>
      <c r="M6" s="13">
        <v>5600661</v>
      </c>
      <c r="N6" s="3"/>
      <c r="O6" s="17">
        <v>1936445</v>
      </c>
      <c r="P6" s="56">
        <v>6492462</v>
      </c>
      <c r="Q6" s="13">
        <v>116986</v>
      </c>
      <c r="R6" s="4">
        <v>180652</v>
      </c>
      <c r="S6" s="17">
        <v>4323252</v>
      </c>
      <c r="T6" s="17">
        <v>268941</v>
      </c>
      <c r="U6" s="17">
        <v>2111671</v>
      </c>
      <c r="V6" s="17">
        <v>2097186</v>
      </c>
    </row>
    <row r="7" spans="1:22" ht="16.5" x14ac:dyDescent="0.35">
      <c r="A7" s="139"/>
      <c r="B7" s="56">
        <v>133670</v>
      </c>
      <c r="C7" s="56">
        <v>318952</v>
      </c>
      <c r="D7" s="56">
        <v>591331</v>
      </c>
      <c r="E7" s="56">
        <v>3322979</v>
      </c>
      <c r="F7" s="56">
        <v>1853987</v>
      </c>
      <c r="G7" s="56">
        <v>5553834</v>
      </c>
      <c r="H7" s="56">
        <v>6452982</v>
      </c>
      <c r="I7" s="56">
        <v>350692</v>
      </c>
      <c r="J7" s="56">
        <v>423739</v>
      </c>
      <c r="K7" s="56">
        <v>753523</v>
      </c>
      <c r="L7" s="56">
        <v>2236757</v>
      </c>
      <c r="M7" s="56">
        <v>7323612</v>
      </c>
      <c r="N7" s="3"/>
      <c r="O7" s="17">
        <v>860195</v>
      </c>
      <c r="P7" s="56">
        <v>4589469</v>
      </c>
      <c r="Q7" s="13">
        <v>77528</v>
      </c>
      <c r="R7" s="4">
        <v>2443719</v>
      </c>
      <c r="S7" s="17">
        <v>3526977</v>
      </c>
      <c r="T7" s="17">
        <v>3790459</v>
      </c>
      <c r="U7" s="17">
        <v>1510665</v>
      </c>
      <c r="V7" s="17">
        <v>2374884</v>
      </c>
    </row>
    <row r="8" spans="1:22" ht="16.5" x14ac:dyDescent="0.35">
      <c r="A8" s="139"/>
      <c r="B8" s="56">
        <v>186730</v>
      </c>
      <c r="C8" s="56">
        <v>629539</v>
      </c>
      <c r="D8" s="56">
        <v>511032</v>
      </c>
      <c r="E8" s="56">
        <v>2240740</v>
      </c>
      <c r="F8" s="56">
        <v>2055104</v>
      </c>
      <c r="G8" s="56">
        <v>7797872</v>
      </c>
      <c r="H8" s="56">
        <v>5257803</v>
      </c>
      <c r="I8" s="56">
        <v>25094</v>
      </c>
      <c r="J8" s="56">
        <v>64844</v>
      </c>
      <c r="K8" s="56">
        <v>388267</v>
      </c>
      <c r="L8" s="56">
        <v>9549</v>
      </c>
      <c r="M8" s="56">
        <v>3415226</v>
      </c>
      <c r="N8" s="3"/>
      <c r="O8" s="56">
        <v>507876</v>
      </c>
      <c r="P8" s="56">
        <v>3810216</v>
      </c>
      <c r="Q8" s="56">
        <v>32708</v>
      </c>
      <c r="R8" s="56">
        <v>505704</v>
      </c>
      <c r="S8" s="56">
        <v>1884982</v>
      </c>
      <c r="T8" s="56">
        <v>2240213</v>
      </c>
      <c r="U8" s="56">
        <v>691493</v>
      </c>
      <c r="V8" s="56">
        <v>606334</v>
      </c>
    </row>
    <row r="9" spans="1:22" ht="16.5" x14ac:dyDescent="0.35">
      <c r="A9" s="139"/>
      <c r="B9" s="56">
        <v>221315</v>
      </c>
      <c r="C9" s="56">
        <v>593125</v>
      </c>
      <c r="D9" s="56">
        <v>1838198</v>
      </c>
      <c r="E9" s="56">
        <v>3072023</v>
      </c>
      <c r="F9" s="56">
        <v>5139602</v>
      </c>
      <c r="G9" s="56">
        <v>10563051</v>
      </c>
      <c r="H9" s="56">
        <v>6049851</v>
      </c>
      <c r="I9" s="56">
        <v>110143</v>
      </c>
      <c r="J9" s="56">
        <v>74813</v>
      </c>
      <c r="K9" s="56">
        <v>1634422</v>
      </c>
      <c r="L9" s="56">
        <v>825922</v>
      </c>
      <c r="M9" s="56">
        <v>2985567</v>
      </c>
      <c r="N9" s="3"/>
      <c r="O9" s="56">
        <v>1308266</v>
      </c>
      <c r="P9" s="56">
        <v>5762071</v>
      </c>
      <c r="Q9" s="56">
        <v>108302</v>
      </c>
      <c r="R9" s="56">
        <v>3175984</v>
      </c>
      <c r="S9" s="56">
        <v>6604582</v>
      </c>
      <c r="T9" s="56">
        <v>6829784</v>
      </c>
      <c r="U9" s="56">
        <v>3043250</v>
      </c>
      <c r="V9" s="56">
        <v>3570988</v>
      </c>
    </row>
    <row r="10" spans="1:22" ht="16.5" x14ac:dyDescent="0.35">
      <c r="A10" s="139"/>
      <c r="B10" s="56">
        <v>288374</v>
      </c>
      <c r="C10" s="56">
        <v>215960</v>
      </c>
      <c r="D10" s="56">
        <v>555107</v>
      </c>
      <c r="E10" s="56">
        <v>3715607</v>
      </c>
      <c r="F10" s="56">
        <v>4322859</v>
      </c>
      <c r="G10" s="56">
        <v>6441218</v>
      </c>
      <c r="H10" s="56">
        <v>5869784</v>
      </c>
      <c r="I10" s="56">
        <v>202756</v>
      </c>
      <c r="J10" s="56">
        <v>20314</v>
      </c>
      <c r="K10" s="56">
        <v>214644</v>
      </c>
      <c r="L10" s="56">
        <v>1693597</v>
      </c>
      <c r="M10" s="56">
        <v>2077564</v>
      </c>
      <c r="N10" s="3"/>
      <c r="O10" s="56">
        <v>843067</v>
      </c>
      <c r="P10" s="13">
        <v>6937729</v>
      </c>
      <c r="Q10" s="56">
        <v>231497</v>
      </c>
      <c r="R10" s="56">
        <v>1381439</v>
      </c>
      <c r="S10" s="56">
        <v>732391</v>
      </c>
      <c r="T10" s="56">
        <v>3243506</v>
      </c>
      <c r="U10" s="56">
        <v>2952601</v>
      </c>
      <c r="V10" s="56">
        <v>4796955</v>
      </c>
    </row>
    <row r="11" spans="1:22" ht="16.5" x14ac:dyDescent="0.35">
      <c r="A11" s="139"/>
      <c r="B11" s="56">
        <v>47625</v>
      </c>
      <c r="C11" s="13">
        <v>503708</v>
      </c>
      <c r="D11" s="17">
        <v>1560404</v>
      </c>
      <c r="E11" s="17">
        <v>2010899</v>
      </c>
      <c r="F11" s="17">
        <v>8099620</v>
      </c>
      <c r="G11" s="17">
        <v>3737482</v>
      </c>
      <c r="H11" s="17">
        <v>6325128</v>
      </c>
      <c r="I11" s="17">
        <v>139028</v>
      </c>
      <c r="J11" s="16">
        <v>155160</v>
      </c>
      <c r="K11" s="13">
        <v>159770</v>
      </c>
      <c r="L11" s="13">
        <v>3724366</v>
      </c>
      <c r="M11" s="13">
        <v>3683146</v>
      </c>
      <c r="N11" s="3"/>
      <c r="O11" s="56">
        <v>62484</v>
      </c>
      <c r="P11" s="13">
        <v>4262190</v>
      </c>
      <c r="Q11" s="56">
        <v>58234</v>
      </c>
      <c r="R11" s="56">
        <v>790144</v>
      </c>
      <c r="S11" s="56">
        <v>4713267</v>
      </c>
      <c r="T11" s="56">
        <v>3783747</v>
      </c>
      <c r="U11" s="56">
        <v>2277988</v>
      </c>
      <c r="V11" s="56">
        <v>1714502</v>
      </c>
    </row>
    <row r="12" spans="1:22" ht="16.5" x14ac:dyDescent="0.35">
      <c r="A12" s="139"/>
      <c r="B12" s="56"/>
      <c r="C12" s="13"/>
      <c r="D12" s="17"/>
      <c r="E12" s="17"/>
      <c r="F12" s="17"/>
      <c r="G12" s="17"/>
      <c r="H12" s="17"/>
      <c r="I12" s="17"/>
      <c r="J12" s="16"/>
      <c r="K12" s="13"/>
      <c r="L12" s="13"/>
      <c r="M12" s="13"/>
      <c r="N12" s="3"/>
      <c r="O12" s="17">
        <v>383967</v>
      </c>
      <c r="Q12" s="13"/>
      <c r="R12" s="4">
        <v>1394166</v>
      </c>
      <c r="S12" s="17"/>
      <c r="T12" s="17">
        <v>4319337</v>
      </c>
      <c r="U12" s="17">
        <v>3611260</v>
      </c>
      <c r="V12" s="17">
        <v>2065763</v>
      </c>
    </row>
    <row r="13" spans="1:22" ht="16.5" x14ac:dyDescent="0.35">
      <c r="A13" s="139"/>
      <c r="B13" s="14"/>
      <c r="C13" s="13"/>
      <c r="D13" s="16"/>
      <c r="E13" s="16"/>
      <c r="F13" s="16"/>
      <c r="G13" s="16"/>
      <c r="H13" s="16"/>
      <c r="I13" s="17"/>
      <c r="J13" s="16"/>
      <c r="K13" s="13"/>
      <c r="L13" s="13"/>
      <c r="M13" s="13"/>
      <c r="N13" s="3"/>
      <c r="O13" s="17">
        <v>2156659</v>
      </c>
      <c r="Q13" s="13"/>
      <c r="R13" s="4"/>
      <c r="S13" s="17"/>
      <c r="T13" s="17"/>
      <c r="U13" s="17"/>
      <c r="V13" s="17"/>
    </row>
    <row r="14" spans="1:22" ht="16.5" x14ac:dyDescent="0.35">
      <c r="A14" s="139"/>
      <c r="B14" s="14"/>
      <c r="C14" s="16"/>
      <c r="D14" s="16"/>
      <c r="E14" s="16"/>
      <c r="F14" s="16"/>
      <c r="G14" s="16"/>
      <c r="H14" s="16"/>
      <c r="I14" s="17"/>
      <c r="J14" s="16"/>
      <c r="K14" s="13"/>
      <c r="L14" s="13"/>
      <c r="M14" s="13"/>
      <c r="N14" s="3"/>
      <c r="O14" s="17">
        <v>81945</v>
      </c>
      <c r="Q14" s="13"/>
      <c r="R14" s="4"/>
      <c r="S14" s="17"/>
      <c r="T14" s="17"/>
      <c r="U14" s="17"/>
      <c r="V14" s="17"/>
    </row>
    <row r="15" spans="1:22" ht="16.5" x14ac:dyDescent="0.35">
      <c r="A15" s="139"/>
      <c r="B15" s="14"/>
      <c r="C15" s="16"/>
      <c r="D15" s="16"/>
      <c r="E15" s="16"/>
      <c r="F15" s="16"/>
      <c r="G15" s="16"/>
      <c r="H15" s="16"/>
      <c r="I15" s="17"/>
      <c r="J15" s="16"/>
      <c r="K15" s="13"/>
      <c r="L15" s="13"/>
      <c r="M15" s="13"/>
      <c r="N15" s="3"/>
      <c r="O15" s="17">
        <v>1379026</v>
      </c>
      <c r="Q15" s="13"/>
      <c r="R15" s="4"/>
      <c r="S15" s="17"/>
      <c r="T15" s="17"/>
      <c r="U15" s="17"/>
      <c r="V15" s="17"/>
    </row>
    <row r="16" spans="1:22" ht="16.5" x14ac:dyDescent="0.35">
      <c r="A16" s="139"/>
      <c r="B16" s="14"/>
      <c r="C16" s="16"/>
      <c r="D16" s="16"/>
      <c r="E16" s="16"/>
      <c r="F16" s="16"/>
      <c r="G16" s="16"/>
      <c r="H16" s="16"/>
      <c r="I16" s="17"/>
      <c r="J16" s="16"/>
      <c r="K16" s="13"/>
      <c r="L16" s="13"/>
      <c r="M16" s="13"/>
      <c r="N16" s="3"/>
      <c r="O16" s="17">
        <v>2249219</v>
      </c>
      <c r="P16" s="13"/>
      <c r="Q16" s="13"/>
      <c r="R16" s="4"/>
      <c r="S16" s="17"/>
      <c r="T16" s="17"/>
      <c r="U16" s="17"/>
      <c r="V16" s="17"/>
    </row>
    <row r="17" spans="1:22" s="1" customFormat="1" ht="16.5" x14ac:dyDescent="0.35">
      <c r="A17" s="139"/>
      <c r="B17" s="14"/>
      <c r="C17" s="17"/>
      <c r="D17" s="17"/>
      <c r="E17" s="17"/>
      <c r="F17" s="17"/>
      <c r="G17" s="17"/>
      <c r="H17" s="17"/>
      <c r="I17" s="17"/>
      <c r="J17" s="17"/>
      <c r="K17" s="13"/>
      <c r="L17" s="13"/>
      <c r="M17" s="13"/>
      <c r="N17" s="3"/>
      <c r="O17" s="17">
        <v>1166966</v>
      </c>
      <c r="P17" s="13"/>
      <c r="Q17" s="13"/>
      <c r="R17" s="17"/>
      <c r="S17" s="17"/>
      <c r="T17" s="17"/>
      <c r="U17" s="17"/>
      <c r="V17" s="17"/>
    </row>
    <row r="18" spans="1:22" s="1" customFormat="1" ht="16.5" x14ac:dyDescent="0.35">
      <c r="A18" s="139"/>
      <c r="B18" s="14"/>
      <c r="C18" s="17"/>
      <c r="D18" s="17"/>
      <c r="E18" s="17"/>
      <c r="F18" s="17"/>
      <c r="G18" s="17"/>
      <c r="H18" s="17"/>
      <c r="I18" s="17"/>
      <c r="J18" s="17"/>
      <c r="K18" s="13"/>
      <c r="L18" s="13"/>
      <c r="M18" s="13"/>
      <c r="N18" s="3"/>
      <c r="O18" s="17">
        <v>2397788</v>
      </c>
      <c r="P18" s="13"/>
      <c r="Q18" s="13"/>
      <c r="R18" s="17"/>
      <c r="S18" s="17"/>
      <c r="T18" s="17"/>
      <c r="U18" s="17"/>
      <c r="V18" s="17"/>
    </row>
    <row r="19" spans="1:22" s="1" customFormat="1" ht="16.5" x14ac:dyDescent="0.35">
      <c r="A19" s="139"/>
      <c r="B19" s="14"/>
      <c r="C19" s="17"/>
      <c r="D19" s="17"/>
      <c r="E19" s="17"/>
      <c r="F19" s="17"/>
      <c r="G19" s="17"/>
      <c r="H19" s="17"/>
      <c r="I19" s="17"/>
      <c r="J19" s="17"/>
      <c r="K19" s="13"/>
      <c r="L19" s="13"/>
      <c r="M19" s="13"/>
      <c r="N19" s="3"/>
      <c r="O19" s="17"/>
      <c r="P19" s="13"/>
      <c r="Q19" s="13"/>
      <c r="R19" s="17"/>
      <c r="S19" s="17"/>
      <c r="T19" s="17"/>
      <c r="U19" s="17"/>
      <c r="V19" s="17"/>
    </row>
    <row r="20" spans="1:22" ht="16.5" x14ac:dyDescent="0.35">
      <c r="A20" s="139"/>
      <c r="B20" s="14"/>
      <c r="C20" s="16"/>
      <c r="D20" s="16"/>
      <c r="E20" s="16"/>
      <c r="F20" s="16"/>
      <c r="G20" s="16"/>
      <c r="H20" s="16"/>
      <c r="I20" s="17"/>
      <c r="J20" s="16"/>
      <c r="K20" s="13"/>
      <c r="L20" s="13"/>
      <c r="M20" s="13"/>
      <c r="N20" s="3"/>
      <c r="O20" s="17"/>
      <c r="P20" s="13"/>
      <c r="Q20" s="13"/>
      <c r="R20" s="4"/>
      <c r="S20" s="17"/>
      <c r="T20" s="17"/>
      <c r="U20" s="17"/>
      <c r="V20" s="17"/>
    </row>
    <row r="21" spans="1:22" s="1" customFormat="1" ht="16.5" x14ac:dyDescent="0.35">
      <c r="A21" s="49"/>
      <c r="B21" s="50"/>
      <c r="C21" s="7"/>
      <c r="D21" s="7"/>
      <c r="E21" s="7"/>
      <c r="F21" s="7"/>
      <c r="G21" s="7"/>
      <c r="H21" s="7"/>
      <c r="I21" s="7"/>
      <c r="J21" s="7"/>
      <c r="K21" s="18"/>
      <c r="L21" s="18"/>
      <c r="M21" s="18"/>
      <c r="N21" s="3"/>
      <c r="O21" s="7"/>
      <c r="P21" s="18"/>
      <c r="Q21" s="18"/>
      <c r="R21" s="7"/>
      <c r="S21" s="7"/>
      <c r="T21" s="7"/>
      <c r="U21" s="7"/>
      <c r="V21" s="7"/>
    </row>
    <row r="22" spans="1:22" s="52" customFormat="1" x14ac:dyDescent="0.35">
      <c r="A22" s="51" t="str">
        <f t="shared" ref="A22:M22" si="0">A4</f>
        <v>Group names</v>
      </c>
      <c r="B22" s="51" t="str">
        <f t="shared" si="0"/>
        <v>Solvent control</v>
      </c>
      <c r="C22" s="51" t="str">
        <f t="shared" si="0"/>
        <v>EE2-33.8ng/L</v>
      </c>
      <c r="D22" s="51" t="str">
        <f t="shared" si="0"/>
        <v>EE2-50.6ng/L</v>
      </c>
      <c r="E22" s="51" t="str">
        <f t="shared" si="0"/>
        <v>EE2-76ng/L</v>
      </c>
      <c r="F22" s="51" t="str">
        <f t="shared" si="0"/>
        <v>EE2-114ng/L</v>
      </c>
      <c r="G22" s="51" t="str">
        <f t="shared" si="0"/>
        <v>EE2-170.9ng/L</v>
      </c>
      <c r="H22" s="51" t="str">
        <f t="shared" si="0"/>
        <v>EE2-488ng/L</v>
      </c>
      <c r="I22" s="51" t="str">
        <f t="shared" si="0"/>
        <v>BPA-1mg/L</v>
      </c>
      <c r="J22" s="51" t="str">
        <f t="shared" si="0"/>
        <v>BPA-2mg/L</v>
      </c>
      <c r="K22" s="51" t="str">
        <f t="shared" si="0"/>
        <v>BPA-3mg/L</v>
      </c>
      <c r="L22" s="51" t="str">
        <f t="shared" si="0"/>
        <v>BPA-4mg/L</v>
      </c>
      <c r="M22" s="51" t="str">
        <f t="shared" si="0"/>
        <v>BPA-5mg/L</v>
      </c>
      <c r="N22" s="51" t="s">
        <v>12</v>
      </c>
      <c r="O22" s="51" t="str">
        <f t="shared" ref="O22:V22" si="1">O4</f>
        <v>Testo -30µg/L</v>
      </c>
      <c r="P22" s="51" t="str">
        <f t="shared" si="1"/>
        <v>Testo 30µg/L + EE2 -64ng/L</v>
      </c>
      <c r="Q22" s="51" t="str">
        <f t="shared" si="1"/>
        <v>Testo 30µg/L + FAD-10mg/L</v>
      </c>
      <c r="R22" s="51" t="str">
        <f t="shared" si="1"/>
        <v>BPA-1mg/L + Testostérone</v>
      </c>
      <c r="S22" s="51" t="str">
        <f t="shared" si="1"/>
        <v>BPA-2mg/L + Testostérone</v>
      </c>
      <c r="T22" s="51" t="str">
        <f t="shared" si="1"/>
        <v>BPA-3mg/L + Testostérone</v>
      </c>
      <c r="U22" s="51" t="str">
        <f t="shared" si="1"/>
        <v>BPA-4mg/L + Testostérone</v>
      </c>
      <c r="V22" s="51" t="str">
        <f t="shared" si="1"/>
        <v>BPA-5mg/L + Testostérone</v>
      </c>
    </row>
    <row r="23" spans="1:22" x14ac:dyDescent="0.35">
      <c r="A23" s="5" t="s">
        <v>0</v>
      </c>
      <c r="B23" s="5">
        <f>AVERAGE(B5:B20)</f>
        <v>209164.57142857142</v>
      </c>
      <c r="C23" s="5">
        <f>AVERAGE(C5:C20)</f>
        <v>425622.85714285716</v>
      </c>
      <c r="D23" s="5">
        <f>AVERAGE(D5:D20)</f>
        <v>958404</v>
      </c>
      <c r="E23" s="5">
        <f>AVERAGE(E5:E20)</f>
        <v>2889195.7142857141</v>
      </c>
      <c r="F23" s="5">
        <f t="shared" ref="F23:M23" si="2">AVERAGE(F5:F20)</f>
        <v>4669347.7142857146</v>
      </c>
      <c r="G23" s="5">
        <f t="shared" si="2"/>
        <v>6899895.7142857146</v>
      </c>
      <c r="H23" s="5">
        <f t="shared" si="2"/>
        <v>5916364.2857142854</v>
      </c>
      <c r="I23" s="5">
        <f t="shared" si="2"/>
        <v>175274.28571428571</v>
      </c>
      <c r="J23" s="5">
        <f t="shared" si="2"/>
        <v>200475.14285714287</v>
      </c>
      <c r="K23" s="5">
        <f t="shared" si="2"/>
        <v>724599.42857142852</v>
      </c>
      <c r="L23" s="5">
        <f t="shared" si="2"/>
        <v>2183725.2857142859</v>
      </c>
      <c r="M23" s="5">
        <f t="shared" si="2"/>
        <v>3864230.7142857141</v>
      </c>
      <c r="N23" s="5" t="s">
        <v>0</v>
      </c>
      <c r="O23" s="5">
        <f t="shared" ref="O23:V23" si="3">AVERAGE(O5:O20)</f>
        <v>1163066.5</v>
      </c>
      <c r="P23" s="5">
        <f t="shared" si="3"/>
        <v>5435581</v>
      </c>
      <c r="Q23" s="5">
        <f t="shared" si="3"/>
        <v>95511.428571428565</v>
      </c>
      <c r="R23" s="5">
        <f t="shared" si="3"/>
        <v>1265217</v>
      </c>
      <c r="S23" s="5">
        <f t="shared" si="3"/>
        <v>3505144.7142857141</v>
      </c>
      <c r="T23" s="5">
        <f t="shared" si="3"/>
        <v>3634024.125</v>
      </c>
      <c r="U23" s="5">
        <f t="shared" si="3"/>
        <v>2171551.5</v>
      </c>
      <c r="V23" s="5">
        <f t="shared" si="3"/>
        <v>2964269</v>
      </c>
    </row>
    <row r="24" spans="1:22" x14ac:dyDescent="0.35">
      <c r="A24" s="3" t="s">
        <v>1</v>
      </c>
      <c r="B24" s="3">
        <f>STDEV(B5:B20)</f>
        <v>102325.0603499409</v>
      </c>
      <c r="C24" s="3">
        <f>STDEV(C5:C20)</f>
        <v>152816.9984365053</v>
      </c>
      <c r="D24" s="3">
        <f>STDEV(D5:D20)</f>
        <v>530092.40046461078</v>
      </c>
      <c r="E24" s="3">
        <f>STDEV(E5:E20)</f>
        <v>1182275.9202440456</v>
      </c>
      <c r="F24" s="3">
        <f t="shared" ref="F24:M24" si="4">STDEV(F5:F20)</f>
        <v>2329656.5913206837</v>
      </c>
      <c r="G24" s="3">
        <f t="shared" si="4"/>
        <v>2109648.0124263004</v>
      </c>
      <c r="H24" s="3">
        <f t="shared" si="4"/>
        <v>693348.53620304575</v>
      </c>
      <c r="I24" s="3">
        <f t="shared" si="4"/>
        <v>126490.76564808236</v>
      </c>
      <c r="J24" s="3">
        <f t="shared" si="4"/>
        <v>162404.57071608602</v>
      </c>
      <c r="K24" s="3">
        <f t="shared" si="4"/>
        <v>583893.21997030044</v>
      </c>
      <c r="L24" s="3">
        <f t="shared" si="4"/>
        <v>1558335.9962221151</v>
      </c>
      <c r="M24" s="3">
        <f t="shared" si="4"/>
        <v>1949043.4603825293</v>
      </c>
      <c r="N24" s="3" t="s">
        <v>1</v>
      </c>
      <c r="O24" s="3">
        <f t="shared" ref="O24:V24" si="5">STDEV(O5:O20)</f>
        <v>785134.03397281351</v>
      </c>
      <c r="P24" s="3">
        <f t="shared" si="5"/>
        <v>1210455.5633187585</v>
      </c>
      <c r="Q24" s="3">
        <f t="shared" si="5"/>
        <v>67697.286902448177</v>
      </c>
      <c r="R24" s="3">
        <f t="shared" si="5"/>
        <v>1074355.6364778446</v>
      </c>
      <c r="S24" s="3">
        <f t="shared" si="5"/>
        <v>1941577.2187622541</v>
      </c>
      <c r="T24" s="3">
        <f t="shared" si="5"/>
        <v>1892625.3867344044</v>
      </c>
      <c r="U24" s="3">
        <f t="shared" si="5"/>
        <v>1005772.9385898759</v>
      </c>
      <c r="V24" s="3">
        <f t="shared" si="5"/>
        <v>1896183.3891365647</v>
      </c>
    </row>
    <row r="25" spans="1:22" ht="15" thickBot="1" x14ac:dyDescent="0.4"/>
    <row r="26" spans="1:22" ht="15" thickBot="1" x14ac:dyDescent="0.4">
      <c r="B26" s="142" t="s">
        <v>42</v>
      </c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N26" s="1"/>
      <c r="O26" s="142" t="s">
        <v>43</v>
      </c>
      <c r="P26" s="143"/>
      <c r="Q26" s="143"/>
      <c r="R26" s="143"/>
      <c r="S26" s="143"/>
      <c r="T26" s="143"/>
      <c r="U26" s="143"/>
      <c r="V26" s="143"/>
    </row>
    <row r="27" spans="1:22" s="1" customFormat="1" x14ac:dyDescent="0.35">
      <c r="A27" s="19" t="str">
        <f>A4</f>
        <v>Group names</v>
      </c>
      <c r="B27" s="20" t="str">
        <f t="shared" ref="B27:M27" si="6">B4</f>
        <v>Solvent control</v>
      </c>
      <c r="C27" s="20" t="str">
        <f t="shared" si="6"/>
        <v>EE2-33.8ng/L</v>
      </c>
      <c r="D27" s="20" t="str">
        <f t="shared" si="6"/>
        <v>EE2-50.6ng/L</v>
      </c>
      <c r="E27" s="20" t="str">
        <f t="shared" si="6"/>
        <v>EE2-76ng/L</v>
      </c>
      <c r="F27" s="20" t="str">
        <f t="shared" si="6"/>
        <v>EE2-114ng/L</v>
      </c>
      <c r="G27" s="20" t="str">
        <f t="shared" si="6"/>
        <v>EE2-170.9ng/L</v>
      </c>
      <c r="H27" s="20" t="str">
        <f t="shared" si="6"/>
        <v>EE2-488ng/L</v>
      </c>
      <c r="I27" s="20" t="str">
        <f t="shared" si="6"/>
        <v>BPA-1mg/L</v>
      </c>
      <c r="J27" s="20" t="str">
        <f t="shared" si="6"/>
        <v>BPA-2mg/L</v>
      </c>
      <c r="K27" s="20" t="str">
        <f t="shared" si="6"/>
        <v>BPA-3mg/L</v>
      </c>
      <c r="L27" s="20" t="str">
        <f t="shared" si="6"/>
        <v>BPA-4mg/L</v>
      </c>
      <c r="M27" s="20" t="str">
        <f t="shared" si="6"/>
        <v>BPA-5mg/L</v>
      </c>
      <c r="N27" s="3"/>
      <c r="O27" s="21" t="str">
        <f t="shared" ref="O27:V27" si="7">O4</f>
        <v>Testo -30µg/L</v>
      </c>
      <c r="P27" s="21" t="str">
        <f t="shared" si="7"/>
        <v>Testo 30µg/L + EE2 -64ng/L</v>
      </c>
      <c r="Q27" s="21" t="str">
        <f t="shared" si="7"/>
        <v>Testo 30µg/L + FAD-10mg/L</v>
      </c>
      <c r="R27" s="21" t="str">
        <f t="shared" si="7"/>
        <v>BPA-1mg/L + Testostérone</v>
      </c>
      <c r="S27" s="21" t="str">
        <f t="shared" si="7"/>
        <v>BPA-2mg/L + Testostérone</v>
      </c>
      <c r="T27" s="21" t="str">
        <f t="shared" si="7"/>
        <v>BPA-3mg/L + Testostérone</v>
      </c>
      <c r="U27" s="21" t="str">
        <f t="shared" si="7"/>
        <v>BPA-4mg/L + Testostérone</v>
      </c>
      <c r="V27" s="21" t="str">
        <f t="shared" si="7"/>
        <v>BPA-5mg/L + Testostérone</v>
      </c>
    </row>
    <row r="28" spans="1:22" x14ac:dyDescent="0.35">
      <c r="A28" s="140" t="s">
        <v>36</v>
      </c>
      <c r="B28" s="11">
        <f t="shared" ref="B28:E35" si="8">IF(B5="","",(B5/$O$23))</f>
        <v>0.19139490304294723</v>
      </c>
      <c r="C28" s="11">
        <f t="shared" si="8"/>
        <v>0.31680819626392814</v>
      </c>
      <c r="D28" s="11">
        <f>IF(D5="","",(D5/$O$23))</f>
        <v>0.79013882697163063</v>
      </c>
      <c r="E28" s="11">
        <f t="shared" si="8"/>
        <v>0.99573928060003447</v>
      </c>
      <c r="F28" s="11">
        <f t="shared" ref="F28:M28" si="9">IF(F5="","",(F5/$O$23))</f>
        <v>6.0272245826012529</v>
      </c>
      <c r="G28" s="11">
        <f t="shared" si="9"/>
        <v>6.4783922501421891</v>
      </c>
      <c r="H28" s="11">
        <f t="shared" si="9"/>
        <v>4.0868944295102647</v>
      </c>
      <c r="I28" s="11">
        <f t="shared" ref="I28:L35" si="10">IF(I5="","",(I5/$O$23))</f>
        <v>5.7587420839651043E-2</v>
      </c>
      <c r="J28" s="11">
        <f t="shared" si="10"/>
        <v>0.24270667240437241</v>
      </c>
      <c r="K28" s="11">
        <f t="shared" si="10"/>
        <v>1.2168848470831204</v>
      </c>
      <c r="L28" s="11">
        <f t="shared" si="10"/>
        <v>3.8701492992877018</v>
      </c>
      <c r="M28" s="11">
        <f t="shared" si="9"/>
        <v>1.6885010444372699</v>
      </c>
      <c r="N28" s="6"/>
      <c r="O28" s="11">
        <f t="shared" ref="O28:V37" si="11">IF(O5="","",(O5/$O$23))</f>
        <v>0.8159705399476298</v>
      </c>
      <c r="P28" s="11">
        <f t="shared" ref="P28" si="12">IF(P5="","",(P5/$O$23))</f>
        <v>5.3263764367729616</v>
      </c>
      <c r="Q28" s="11">
        <f t="shared" si="11"/>
        <v>3.7250664514883715E-2</v>
      </c>
      <c r="R28" s="11">
        <f t="shared" si="11"/>
        <v>0.21488711092615942</v>
      </c>
      <c r="S28" s="11">
        <f t="shared" si="11"/>
        <v>2.3649223840597249</v>
      </c>
      <c r="T28" s="11">
        <f t="shared" si="11"/>
        <v>3.9517998325977062</v>
      </c>
      <c r="U28" s="11">
        <f t="shared" si="11"/>
        <v>1.0089569255068391</v>
      </c>
      <c r="V28" s="11">
        <f t="shared" si="11"/>
        <v>5.5779613633442287</v>
      </c>
    </row>
    <row r="29" spans="1:22" x14ac:dyDescent="0.35">
      <c r="A29" s="141"/>
      <c r="B29" s="11">
        <f t="shared" si="8"/>
        <v>0.31282218170672099</v>
      </c>
      <c r="C29" s="11">
        <f t="shared" si="8"/>
        <v>0.30059072288643857</v>
      </c>
      <c r="D29" s="11">
        <f t="shared" si="8"/>
        <v>0.63089427818615706</v>
      </c>
      <c r="E29" s="11">
        <f t="shared" si="8"/>
        <v>4.0444901473819428</v>
      </c>
      <c r="F29" s="11">
        <f t="shared" ref="F29:M29" si="13">IF(F6="","",(F6/$O$23))</f>
        <v>3.6147537565564822</v>
      </c>
      <c r="G29" s="11">
        <f t="shared" si="13"/>
        <v>5.7357098669766522</v>
      </c>
      <c r="H29" s="11">
        <f t="shared" si="13"/>
        <v>5.7655103985885585</v>
      </c>
      <c r="I29" s="11">
        <f t="shared" si="10"/>
        <v>0.28564918686936647</v>
      </c>
      <c r="J29" s="11">
        <f t="shared" si="10"/>
        <v>0.32858998174223059</v>
      </c>
      <c r="K29" s="11">
        <f t="shared" si="10"/>
        <v>0.43527347748387563</v>
      </c>
      <c r="L29" s="11">
        <f t="shared" si="10"/>
        <v>1.9729267415061822</v>
      </c>
      <c r="M29" s="11">
        <f t="shared" si="13"/>
        <v>4.8154262890385029</v>
      </c>
      <c r="N29" s="6"/>
      <c r="O29" s="11">
        <f t="shared" si="11"/>
        <v>1.6649477910334447</v>
      </c>
      <c r="P29" s="11">
        <f t="shared" ref="P29" si="14">IF(P6="","",(P6/$O$23))</f>
        <v>5.5821932795760176</v>
      </c>
      <c r="Q29" s="11">
        <f t="shared" si="11"/>
        <v>0.10058410245673828</v>
      </c>
      <c r="R29" s="11">
        <f t="shared" si="11"/>
        <v>0.15532387872920422</v>
      </c>
      <c r="S29" s="11">
        <f t="shared" si="11"/>
        <v>3.7171150574795164</v>
      </c>
      <c r="T29" s="11">
        <f t="shared" si="11"/>
        <v>0.2312344135094597</v>
      </c>
      <c r="U29" s="11">
        <f t="shared" si="11"/>
        <v>1.8156064163141143</v>
      </c>
      <c r="V29" s="11">
        <f t="shared" si="11"/>
        <v>1.8031522703130045</v>
      </c>
    </row>
    <row r="30" spans="1:22" x14ac:dyDescent="0.35">
      <c r="A30" s="141"/>
      <c r="B30" s="11">
        <f t="shared" si="8"/>
        <v>0.11492894000472029</v>
      </c>
      <c r="C30" s="11">
        <f t="shared" si="8"/>
        <v>0.27423367451474184</v>
      </c>
      <c r="D30" s="11">
        <f t="shared" si="8"/>
        <v>0.50842406689557307</v>
      </c>
      <c r="E30" s="11">
        <f t="shared" si="8"/>
        <v>2.85708426818243</v>
      </c>
      <c r="F30" s="11">
        <f t="shared" ref="F30:M30" si="15">IF(F7="","",(F7/$O$23))</f>
        <v>1.5940507271080373</v>
      </c>
      <c r="G30" s="11">
        <f t="shared" si="15"/>
        <v>4.7751646187040899</v>
      </c>
      <c r="H30" s="11">
        <f t="shared" si="15"/>
        <v>5.5482485309309482</v>
      </c>
      <c r="I30" s="11">
        <f t="shared" si="10"/>
        <v>0.30152360161693248</v>
      </c>
      <c r="J30" s="11">
        <f t="shared" si="10"/>
        <v>0.36432912477489465</v>
      </c>
      <c r="K30" s="11">
        <f t="shared" si="10"/>
        <v>0.64787611026540615</v>
      </c>
      <c r="L30" s="11">
        <f t="shared" si="10"/>
        <v>1.9231548668971206</v>
      </c>
      <c r="M30" s="11">
        <f t="shared" si="15"/>
        <v>6.2968127789769541</v>
      </c>
      <c r="N30" s="6"/>
      <c r="O30" s="11">
        <f t="shared" si="11"/>
        <v>0.73959227610802991</v>
      </c>
      <c r="P30" s="11">
        <f t="shared" ref="P30" si="16">IF(P7="","",(P7/$O$23))</f>
        <v>3.9460073865079943</v>
      </c>
      <c r="Q30" s="11">
        <f t="shared" si="11"/>
        <v>6.6658269325098773E-2</v>
      </c>
      <c r="R30" s="11">
        <f t="shared" si="11"/>
        <v>2.1010999800957211</v>
      </c>
      <c r="S30" s="11">
        <f t="shared" si="11"/>
        <v>3.0324809458444553</v>
      </c>
      <c r="T30" s="11">
        <f t="shared" si="11"/>
        <v>3.2590217326352362</v>
      </c>
      <c r="U30" s="11">
        <f t="shared" si="11"/>
        <v>1.2988638224899436</v>
      </c>
      <c r="V30" s="11">
        <f t="shared" si="11"/>
        <v>2.0419159179634181</v>
      </c>
    </row>
    <row r="31" spans="1:22" x14ac:dyDescent="0.35">
      <c r="A31" s="141"/>
      <c r="B31" s="11">
        <f t="shared" si="8"/>
        <v>0.16054971921210009</v>
      </c>
      <c r="C31" s="11">
        <f t="shared" si="8"/>
        <v>0.54127515494599832</v>
      </c>
      <c r="D31" s="11">
        <f t="shared" si="8"/>
        <v>0.43938330267443865</v>
      </c>
      <c r="E31" s="11">
        <f t="shared" si="8"/>
        <v>1.9265794346239016</v>
      </c>
      <c r="F31" s="11">
        <f t="shared" ref="F31:M31" si="17">IF(F8="","",(F8/$O$23))</f>
        <v>1.7669703323068802</v>
      </c>
      <c r="G31" s="11">
        <f t="shared" si="17"/>
        <v>6.7045796607502668</v>
      </c>
      <c r="H31" s="11">
        <f t="shared" si="17"/>
        <v>4.520638329794556</v>
      </c>
      <c r="I31" s="11">
        <f t="shared" si="10"/>
        <v>2.1575722454391044E-2</v>
      </c>
      <c r="J31" s="11">
        <f t="shared" si="10"/>
        <v>5.5752616037002184E-2</v>
      </c>
      <c r="K31" s="11">
        <f t="shared" si="10"/>
        <v>0.33383043875823093</v>
      </c>
      <c r="L31" s="11">
        <f t="shared" si="10"/>
        <v>8.2101926244114165E-3</v>
      </c>
      <c r="M31" s="11">
        <f t="shared" si="17"/>
        <v>2.9363978757878417</v>
      </c>
      <c r="N31" s="6"/>
      <c r="O31" s="11">
        <f t="shared" si="11"/>
        <v>0.4366697862933891</v>
      </c>
      <c r="P31" s="11">
        <f t="shared" ref="P31" si="18">IF(P8="","",(P8/$O$23))</f>
        <v>3.2760087234908752</v>
      </c>
      <c r="Q31" s="11">
        <f t="shared" si="11"/>
        <v>2.8122209693082899E-2</v>
      </c>
      <c r="R31" s="11">
        <f t="shared" si="11"/>
        <v>0.4348023092402713</v>
      </c>
      <c r="S31" s="11">
        <f t="shared" si="11"/>
        <v>1.6207001061418242</v>
      </c>
      <c r="T31" s="11">
        <f t="shared" si="11"/>
        <v>1.9261263220976617</v>
      </c>
      <c r="U31" s="11">
        <f t="shared" si="11"/>
        <v>0.59454296035523335</v>
      </c>
      <c r="V31" s="11">
        <f t="shared" si="11"/>
        <v>0.52132358725833816</v>
      </c>
    </row>
    <row r="32" spans="1:22" x14ac:dyDescent="0.35">
      <c r="A32" s="141"/>
      <c r="B32" s="11">
        <f t="shared" si="8"/>
        <v>0.1902857661191342</v>
      </c>
      <c r="C32" s="11">
        <f t="shared" si="8"/>
        <v>0.50996654103613159</v>
      </c>
      <c r="D32" s="11">
        <f t="shared" si="8"/>
        <v>1.5804754070382045</v>
      </c>
      <c r="E32" s="11">
        <f t="shared" si="8"/>
        <v>2.6413132869014797</v>
      </c>
      <c r="F32" s="11">
        <f t="shared" ref="F32:M32" si="19">IF(F9="","",(F9/$O$23))</f>
        <v>4.4190095751188778</v>
      </c>
      <c r="G32" s="11">
        <f t="shared" si="19"/>
        <v>9.0820696838916781</v>
      </c>
      <c r="H32" s="11">
        <f t="shared" si="19"/>
        <v>5.2016380834629832</v>
      </c>
      <c r="I32" s="11">
        <f t="shared" si="10"/>
        <v>9.4700517984139337E-2</v>
      </c>
      <c r="J32" s="11">
        <f t="shared" si="10"/>
        <v>6.4323923008701572E-2</v>
      </c>
      <c r="K32" s="11">
        <f t="shared" si="10"/>
        <v>1.4052696041026029</v>
      </c>
      <c r="L32" s="11">
        <f t="shared" si="10"/>
        <v>0.71012448557326691</v>
      </c>
      <c r="M32" s="11">
        <f t="shared" si="19"/>
        <v>2.5669787583083168</v>
      </c>
      <c r="N32" s="6"/>
      <c r="O32" s="11">
        <f t="shared" si="11"/>
        <v>1.1248419587358074</v>
      </c>
      <c r="P32" s="11">
        <f t="shared" ref="P32" si="20">IF(P9="","",(P9/$O$23))</f>
        <v>4.9542059718855285</v>
      </c>
      <c r="Q32" s="11">
        <f t="shared" si="11"/>
        <v>9.3117633428527094E-2</v>
      </c>
      <c r="R32" s="11">
        <f t="shared" si="11"/>
        <v>2.7306985456119661</v>
      </c>
      <c r="S32" s="11">
        <f t="shared" si="11"/>
        <v>5.6785936143806053</v>
      </c>
      <c r="T32" s="11">
        <f t="shared" si="11"/>
        <v>5.8722214078042825</v>
      </c>
      <c r="U32" s="11">
        <f t="shared" si="11"/>
        <v>2.6165743747240593</v>
      </c>
      <c r="V32" s="11">
        <f t="shared" si="11"/>
        <v>3.0703214304599094</v>
      </c>
    </row>
    <row r="33" spans="1:22" x14ac:dyDescent="0.35">
      <c r="A33" s="141"/>
      <c r="B33" s="11">
        <f t="shared" si="8"/>
        <v>0.24794283044004792</v>
      </c>
      <c r="C33" s="11">
        <f t="shared" si="8"/>
        <v>0.18568155819121263</v>
      </c>
      <c r="D33" s="11">
        <f t="shared" si="8"/>
        <v>0.47727881423805085</v>
      </c>
      <c r="E33" s="11">
        <f t="shared" si="8"/>
        <v>3.1946642775800007</v>
      </c>
      <c r="F33" s="11">
        <f t="shared" ref="F33:M33" si="21">IF(F10="","",(F10/$O$23))</f>
        <v>3.7167771576259825</v>
      </c>
      <c r="G33" s="11">
        <f t="shared" si="21"/>
        <v>5.5381338900226256</v>
      </c>
      <c r="H33" s="11">
        <f t="shared" si="21"/>
        <v>5.0468171854317871</v>
      </c>
      <c r="I33" s="11">
        <f t="shared" si="10"/>
        <v>0.17432881094933092</v>
      </c>
      <c r="J33" s="11">
        <f t="shared" si="10"/>
        <v>1.7465897263827992E-2</v>
      </c>
      <c r="K33" s="11">
        <f t="shared" si="10"/>
        <v>0.18455006656971032</v>
      </c>
      <c r="L33" s="11">
        <f t="shared" si="10"/>
        <v>1.4561480362472825</v>
      </c>
      <c r="M33" s="11">
        <f t="shared" si="21"/>
        <v>1.7862813519261367</v>
      </c>
      <c r="N33" s="6"/>
      <c r="O33" s="11">
        <f t="shared" si="11"/>
        <v>0.72486568910720062</v>
      </c>
      <c r="P33" s="11">
        <f t="shared" ref="P33" si="22">IF(P10="","",(P10/$O$23))</f>
        <v>5.9650320940376149</v>
      </c>
      <c r="Q33" s="11">
        <f t="shared" si="11"/>
        <v>0.1990402096526725</v>
      </c>
      <c r="R33" s="11">
        <f t="shared" si="11"/>
        <v>1.187755816197956</v>
      </c>
      <c r="S33" s="11">
        <f t="shared" si="11"/>
        <v>0.6297068998204316</v>
      </c>
      <c r="T33" s="11">
        <f t="shared" si="11"/>
        <v>2.788753695510962</v>
      </c>
      <c r="U33" s="11">
        <f t="shared" si="11"/>
        <v>2.5386347212304714</v>
      </c>
      <c r="V33" s="11">
        <f t="shared" si="11"/>
        <v>4.1244030328446399</v>
      </c>
    </row>
    <row r="34" spans="1:22" x14ac:dyDescent="0.35">
      <c r="A34" s="141"/>
      <c r="B34" s="11">
        <f t="shared" si="8"/>
        <v>4.0947787594260515E-2</v>
      </c>
      <c r="C34" s="11">
        <f t="shared" si="8"/>
        <v>0.43308615629458846</v>
      </c>
      <c r="D34" s="11">
        <f t="shared" si="8"/>
        <v>1.3416292189655536</v>
      </c>
      <c r="E34" s="11">
        <f t="shared" si="8"/>
        <v>1.7289630472548216</v>
      </c>
      <c r="F34" s="11">
        <f t="shared" ref="F34:M34" si="23">IF(F11="","",(F11/$O$23))</f>
        <v>6.9640214037632413</v>
      </c>
      <c r="G34" s="11">
        <f t="shared" si="23"/>
        <v>3.2134723165012491</v>
      </c>
      <c r="H34" s="11">
        <f t="shared" si="23"/>
        <v>5.4383201648401016</v>
      </c>
      <c r="I34" s="11">
        <f t="shared" si="10"/>
        <v>0.11953572732083677</v>
      </c>
      <c r="J34" s="11">
        <f t="shared" si="10"/>
        <v>0.13340595744095457</v>
      </c>
      <c r="K34" s="11">
        <f t="shared" si="10"/>
        <v>0.13736961730047251</v>
      </c>
      <c r="L34" s="11">
        <f t="shared" si="10"/>
        <v>3.2021952313130848</v>
      </c>
      <c r="M34" s="11">
        <f t="shared" si="23"/>
        <v>3.1667544375149657</v>
      </c>
      <c r="N34" s="6"/>
      <c r="O34" s="11">
        <f t="shared" si="11"/>
        <v>5.3723497323669801E-2</v>
      </c>
      <c r="P34" s="11">
        <f t="shared" ref="P34" si="24">IF(P11="","",(P11/$O$23))</f>
        <v>3.6646141901602358</v>
      </c>
      <c r="Q34" s="11">
        <f t="shared" si="11"/>
        <v>5.0069364047541566E-2</v>
      </c>
      <c r="R34" s="11">
        <f t="shared" si="11"/>
        <v>0.6793627019607219</v>
      </c>
      <c r="S34" s="11">
        <f t="shared" si="11"/>
        <v>4.0524484197593171</v>
      </c>
      <c r="T34" s="11">
        <f t="shared" si="11"/>
        <v>3.2532507814471487</v>
      </c>
      <c r="U34" s="11">
        <f t="shared" si="11"/>
        <v>1.9586051184519544</v>
      </c>
      <c r="V34" s="11">
        <f t="shared" si="11"/>
        <v>1.4741220729855085</v>
      </c>
    </row>
    <row r="35" spans="1:22" x14ac:dyDescent="0.35">
      <c r="A35" s="141"/>
      <c r="B35" s="11" t="str">
        <f t="shared" si="8"/>
        <v/>
      </c>
      <c r="C35" s="11" t="str">
        <f t="shared" si="8"/>
        <v/>
      </c>
      <c r="D35" s="11" t="str">
        <f t="shared" si="8"/>
        <v/>
      </c>
      <c r="E35" s="11" t="str">
        <f t="shared" si="8"/>
        <v/>
      </c>
      <c r="F35" s="11" t="str">
        <f t="shared" ref="F35:M35" si="25">IF(F12="","",(F12/$O$23))</f>
        <v/>
      </c>
      <c r="G35" s="11" t="str">
        <f t="shared" si="25"/>
        <v/>
      </c>
      <c r="H35" s="11" t="str">
        <f t="shared" si="25"/>
        <v/>
      </c>
      <c r="I35" s="11" t="str">
        <f t="shared" si="10"/>
        <v/>
      </c>
      <c r="J35" s="11" t="str">
        <f t="shared" si="10"/>
        <v/>
      </c>
      <c r="K35" s="11" t="str">
        <f t="shared" si="10"/>
        <v/>
      </c>
      <c r="L35" s="11" t="str">
        <f t="shared" si="10"/>
        <v/>
      </c>
      <c r="M35" s="11" t="str">
        <f t="shared" si="25"/>
        <v/>
      </c>
      <c r="N35" s="6"/>
      <c r="O35" s="11">
        <f t="shared" si="11"/>
        <v>0.33013331567885412</v>
      </c>
      <c r="P35" s="11" t="str">
        <f t="shared" ref="P35" si="26">IF(P12="","",(P12/$O$23))</f>
        <v/>
      </c>
      <c r="Q35" s="11" t="str">
        <f t="shared" si="11"/>
        <v/>
      </c>
      <c r="R35" s="11">
        <f t="shared" si="11"/>
        <v>1.1986984407168464</v>
      </c>
      <c r="S35" s="11" t="str">
        <f t="shared" si="11"/>
        <v/>
      </c>
      <c r="T35" s="11">
        <f t="shared" si="11"/>
        <v>3.7137489558851535</v>
      </c>
      <c r="U35" s="11">
        <f t="shared" si="11"/>
        <v>3.1049471375884354</v>
      </c>
      <c r="V35" s="11">
        <f t="shared" si="11"/>
        <v>1.7761348985634098</v>
      </c>
    </row>
    <row r="36" spans="1:22" s="1" customFormat="1" x14ac:dyDescent="0.35">
      <c r="A36" s="141"/>
      <c r="B36" s="11" t="str">
        <f t="shared" ref="B36:M36" si="27">IF(B13="","",(B13/$O$23))</f>
        <v/>
      </c>
      <c r="C36" s="11" t="str">
        <f t="shared" si="27"/>
        <v/>
      </c>
      <c r="D36" s="11" t="str">
        <f t="shared" si="27"/>
        <v/>
      </c>
      <c r="E36" s="11" t="str">
        <f t="shared" si="27"/>
        <v/>
      </c>
      <c r="F36" s="11" t="str">
        <f t="shared" si="27"/>
        <v/>
      </c>
      <c r="G36" s="11" t="str">
        <f t="shared" si="27"/>
        <v/>
      </c>
      <c r="H36" s="11" t="str">
        <f t="shared" si="27"/>
        <v/>
      </c>
      <c r="I36" s="11" t="str">
        <f t="shared" si="27"/>
        <v/>
      </c>
      <c r="J36" s="11" t="str">
        <f t="shared" si="27"/>
        <v/>
      </c>
      <c r="K36" s="11" t="str">
        <f t="shared" si="27"/>
        <v/>
      </c>
      <c r="L36" s="11" t="str">
        <f t="shared" si="27"/>
        <v/>
      </c>
      <c r="M36" s="11" t="str">
        <f t="shared" si="27"/>
        <v/>
      </c>
      <c r="N36" s="6"/>
      <c r="O36" s="11">
        <f t="shared" si="11"/>
        <v>1.8542869216850455</v>
      </c>
      <c r="P36" s="11" t="str">
        <f t="shared" ref="P36" si="28">IF(P13="","",(P13/$O$23))</f>
        <v/>
      </c>
      <c r="Q36" s="11" t="str">
        <f t="shared" si="11"/>
        <v/>
      </c>
      <c r="R36" s="11" t="str">
        <f t="shared" si="11"/>
        <v/>
      </c>
      <c r="S36" s="11" t="str">
        <f t="shared" si="11"/>
        <v/>
      </c>
      <c r="T36" s="11" t="str">
        <f t="shared" si="11"/>
        <v/>
      </c>
      <c r="U36" s="11" t="str">
        <f t="shared" si="11"/>
        <v/>
      </c>
      <c r="V36" s="11" t="str">
        <f t="shared" si="11"/>
        <v/>
      </c>
    </row>
    <row r="37" spans="1:22" s="1" customFormat="1" x14ac:dyDescent="0.35">
      <c r="A37" s="141"/>
      <c r="B37" s="11" t="str">
        <f t="shared" ref="B37:M37" si="29">IF(B14="","",(B14/$O$23))</f>
        <v/>
      </c>
      <c r="C37" s="11" t="str">
        <f t="shared" si="29"/>
        <v/>
      </c>
      <c r="D37" s="11" t="str">
        <f t="shared" si="29"/>
        <v/>
      </c>
      <c r="E37" s="11" t="str">
        <f t="shared" si="29"/>
        <v/>
      </c>
      <c r="F37" s="11" t="str">
        <f t="shared" si="29"/>
        <v/>
      </c>
      <c r="G37" s="11" t="str">
        <f t="shared" si="29"/>
        <v/>
      </c>
      <c r="H37" s="11" t="str">
        <f t="shared" si="29"/>
        <v/>
      </c>
      <c r="I37" s="11" t="str">
        <f t="shared" si="29"/>
        <v/>
      </c>
      <c r="J37" s="11" t="str">
        <f t="shared" si="29"/>
        <v/>
      </c>
      <c r="K37" s="11" t="str">
        <f t="shared" si="29"/>
        <v/>
      </c>
      <c r="L37" s="11" t="str">
        <f t="shared" si="29"/>
        <v/>
      </c>
      <c r="M37" s="11" t="str">
        <f t="shared" si="29"/>
        <v/>
      </c>
      <c r="N37" s="6"/>
      <c r="O37" s="11">
        <f t="shared" si="11"/>
        <v>7.0455988544077225E-2</v>
      </c>
      <c r="P37" s="11" t="str">
        <f t="shared" ref="P37" si="30">IF(P14="","",(P14/$O$23))</f>
        <v/>
      </c>
      <c r="Q37" s="11" t="str">
        <f t="shared" si="11"/>
        <v/>
      </c>
      <c r="R37" s="11" t="str">
        <f t="shared" si="11"/>
        <v/>
      </c>
      <c r="S37" s="11" t="str">
        <f t="shared" si="11"/>
        <v/>
      </c>
      <c r="T37" s="11" t="str">
        <f t="shared" si="11"/>
        <v/>
      </c>
      <c r="U37" s="11" t="str">
        <f t="shared" si="11"/>
        <v/>
      </c>
      <c r="V37" s="11" t="str">
        <f t="shared" si="11"/>
        <v/>
      </c>
    </row>
    <row r="38" spans="1:22" s="1" customFormat="1" x14ac:dyDescent="0.35">
      <c r="A38" s="141"/>
      <c r="B38" s="11" t="str">
        <f t="shared" ref="B38:M38" si="31">IF(B15="","",(B15/$O$23))</f>
        <v/>
      </c>
      <c r="C38" s="11" t="str">
        <f t="shared" si="31"/>
        <v/>
      </c>
      <c r="D38" s="11" t="str">
        <f t="shared" si="31"/>
        <v/>
      </c>
      <c r="E38" s="11" t="str">
        <f t="shared" si="31"/>
        <v/>
      </c>
      <c r="F38" s="11" t="str">
        <f t="shared" si="31"/>
        <v/>
      </c>
      <c r="G38" s="11" t="str">
        <f t="shared" si="31"/>
        <v/>
      </c>
      <c r="H38" s="11" t="str">
        <f t="shared" si="31"/>
        <v/>
      </c>
      <c r="I38" s="11" t="str">
        <f t="shared" si="31"/>
        <v/>
      </c>
      <c r="J38" s="11" t="str">
        <f t="shared" si="31"/>
        <v/>
      </c>
      <c r="K38" s="11" t="str">
        <f t="shared" si="31"/>
        <v/>
      </c>
      <c r="L38" s="11" t="str">
        <f t="shared" si="31"/>
        <v/>
      </c>
      <c r="M38" s="11" t="str">
        <f t="shared" si="31"/>
        <v/>
      </c>
      <c r="N38" s="6"/>
      <c r="O38" s="11">
        <f t="shared" ref="O38:R38" si="32">IF(O15="","",(O15/$O$23))</f>
        <v>1.1856811282931801</v>
      </c>
      <c r="P38" s="11" t="str">
        <f t="shared" ref="P38" si="33">IF(P15="","",(P15/$O$23))</f>
        <v/>
      </c>
      <c r="Q38" s="11" t="str">
        <f t="shared" si="32"/>
        <v/>
      </c>
      <c r="R38" s="11" t="str">
        <f t="shared" si="32"/>
        <v/>
      </c>
      <c r="S38" s="11" t="str">
        <f t="shared" ref="S38:V43" si="34">IF(S15="","",(S15/$O$23))</f>
        <v/>
      </c>
      <c r="T38" s="11" t="str">
        <f t="shared" si="34"/>
        <v/>
      </c>
      <c r="U38" s="11" t="str">
        <f t="shared" si="34"/>
        <v/>
      </c>
      <c r="V38" s="11" t="str">
        <f t="shared" si="34"/>
        <v/>
      </c>
    </row>
    <row r="39" spans="1:22" s="1" customFormat="1" x14ac:dyDescent="0.35">
      <c r="A39" s="141"/>
      <c r="B39" s="11" t="str">
        <f t="shared" ref="B39:M39" si="35">IF(B16="","",(B16/$O$23))</f>
        <v/>
      </c>
      <c r="C39" s="11" t="str">
        <f t="shared" si="35"/>
        <v/>
      </c>
      <c r="D39" s="11" t="str">
        <f t="shared" si="35"/>
        <v/>
      </c>
      <c r="E39" s="11" t="str">
        <f t="shared" si="35"/>
        <v/>
      </c>
      <c r="F39" s="11" t="str">
        <f t="shared" si="35"/>
        <v/>
      </c>
      <c r="G39" s="11" t="str">
        <f t="shared" si="35"/>
        <v/>
      </c>
      <c r="H39" s="11" t="str">
        <f t="shared" si="35"/>
        <v/>
      </c>
      <c r="I39" s="11" t="str">
        <f t="shared" si="35"/>
        <v/>
      </c>
      <c r="J39" s="11" t="str">
        <f t="shared" si="35"/>
        <v/>
      </c>
      <c r="K39" s="11" t="str">
        <f t="shared" si="35"/>
        <v/>
      </c>
      <c r="L39" s="11" t="str">
        <f t="shared" si="35"/>
        <v/>
      </c>
      <c r="M39" s="11" t="str">
        <f t="shared" si="35"/>
        <v/>
      </c>
      <c r="N39" s="6"/>
      <c r="O39" s="11">
        <f t="shared" ref="O39:R39" si="36">IF(O16="","",(O16/$O$23))</f>
        <v>1.9338696454587936</v>
      </c>
      <c r="P39" s="11" t="str">
        <f t="shared" ref="P39" si="37">IF(P16="","",(P16/$O$23))</f>
        <v/>
      </c>
      <c r="Q39" s="11" t="str">
        <f t="shared" si="36"/>
        <v/>
      </c>
      <c r="R39" s="11" t="str">
        <f t="shared" si="36"/>
        <v/>
      </c>
      <c r="S39" s="11" t="str">
        <f t="shared" si="34"/>
        <v/>
      </c>
      <c r="T39" s="11" t="str">
        <f t="shared" si="34"/>
        <v/>
      </c>
      <c r="U39" s="11" t="str">
        <f t="shared" si="34"/>
        <v/>
      </c>
      <c r="V39" s="11" t="str">
        <f t="shared" si="34"/>
        <v/>
      </c>
    </row>
    <row r="40" spans="1:22" s="1" customFormat="1" x14ac:dyDescent="0.35">
      <c r="A40" s="141"/>
      <c r="B40" s="11" t="str">
        <f t="shared" ref="B40:M40" si="38">IF(B17="","",(B17/$O$23))</f>
        <v/>
      </c>
      <c r="C40" s="11" t="str">
        <f t="shared" si="38"/>
        <v/>
      </c>
      <c r="D40" s="11" t="str">
        <f t="shared" si="38"/>
        <v/>
      </c>
      <c r="E40" s="11" t="str">
        <f t="shared" si="38"/>
        <v/>
      </c>
      <c r="F40" s="11" t="str">
        <f t="shared" si="38"/>
        <v/>
      </c>
      <c r="G40" s="11" t="str">
        <f t="shared" si="38"/>
        <v/>
      </c>
      <c r="H40" s="11" t="str">
        <f t="shared" si="38"/>
        <v/>
      </c>
      <c r="I40" s="11" t="str">
        <f t="shared" si="38"/>
        <v/>
      </c>
      <c r="J40" s="11" t="str">
        <f t="shared" si="38"/>
        <v/>
      </c>
      <c r="K40" s="11" t="str">
        <f t="shared" si="38"/>
        <v/>
      </c>
      <c r="L40" s="11" t="str">
        <f t="shared" si="38"/>
        <v/>
      </c>
      <c r="M40" s="11" t="str">
        <f t="shared" si="38"/>
        <v/>
      </c>
      <c r="N40" s="6"/>
      <c r="O40" s="11">
        <f t="shared" ref="O40:R40" si="39">IF(O17="","",(O17/$O$23))</f>
        <v>1.0033527747553557</v>
      </c>
      <c r="P40" s="11" t="str">
        <f t="shared" ref="P40" si="40">IF(P17="","",(P17/$O$23))</f>
        <v/>
      </c>
      <c r="Q40" s="11" t="str">
        <f t="shared" si="39"/>
        <v/>
      </c>
      <c r="R40" s="11" t="str">
        <f t="shared" si="39"/>
        <v/>
      </c>
      <c r="S40" s="11" t="str">
        <f t="shared" si="34"/>
        <v/>
      </c>
      <c r="T40" s="11" t="str">
        <f t="shared" si="34"/>
        <v/>
      </c>
      <c r="U40" s="11" t="str">
        <f t="shared" si="34"/>
        <v/>
      </c>
      <c r="V40" s="11" t="str">
        <f t="shared" si="34"/>
        <v/>
      </c>
    </row>
    <row r="41" spans="1:22" s="1" customFormat="1" x14ac:dyDescent="0.35">
      <c r="A41" s="141"/>
      <c r="B41" s="11" t="str">
        <f t="shared" ref="B41:M41" si="41">IF(B18="","",(B18/$O$23))</f>
        <v/>
      </c>
      <c r="C41" s="11" t="str">
        <f t="shared" si="41"/>
        <v/>
      </c>
      <c r="D41" s="11" t="str">
        <f t="shared" si="41"/>
        <v/>
      </c>
      <c r="E41" s="11" t="str">
        <f t="shared" si="41"/>
        <v/>
      </c>
      <c r="F41" s="11" t="str">
        <f t="shared" si="41"/>
        <v/>
      </c>
      <c r="G41" s="11" t="str">
        <f t="shared" si="41"/>
        <v/>
      </c>
      <c r="H41" s="11" t="str">
        <f t="shared" si="41"/>
        <v/>
      </c>
      <c r="I41" s="11" t="str">
        <f t="shared" si="41"/>
        <v/>
      </c>
      <c r="J41" s="11" t="str">
        <f t="shared" si="41"/>
        <v/>
      </c>
      <c r="K41" s="11" t="str">
        <f t="shared" si="41"/>
        <v/>
      </c>
      <c r="L41" s="11" t="str">
        <f t="shared" si="41"/>
        <v/>
      </c>
      <c r="M41" s="11" t="str">
        <f t="shared" si="41"/>
        <v/>
      </c>
      <c r="N41" s="6"/>
      <c r="O41" s="11">
        <f t="shared" ref="O41:R41" si="42">IF(O18="","",(O18/$O$23))</f>
        <v>2.0616086870355219</v>
      </c>
      <c r="P41" s="11" t="str">
        <f t="shared" ref="P41" si="43">IF(P18="","",(P18/$O$23))</f>
        <v/>
      </c>
      <c r="Q41" s="11" t="str">
        <f t="shared" si="42"/>
        <v/>
      </c>
      <c r="R41" s="11" t="str">
        <f t="shared" si="42"/>
        <v/>
      </c>
      <c r="S41" s="11" t="str">
        <f t="shared" si="34"/>
        <v/>
      </c>
      <c r="T41" s="11" t="str">
        <f t="shared" si="34"/>
        <v/>
      </c>
      <c r="U41" s="11" t="str">
        <f t="shared" si="34"/>
        <v/>
      </c>
      <c r="V41" s="11" t="str">
        <f t="shared" si="34"/>
        <v/>
      </c>
    </row>
    <row r="42" spans="1:22" s="1" customFormat="1" x14ac:dyDescent="0.35">
      <c r="A42" s="141"/>
      <c r="B42" s="11" t="str">
        <f t="shared" ref="B42:M42" si="44">IF(B19="","",(B19/$O$23))</f>
        <v/>
      </c>
      <c r="C42" s="11" t="str">
        <f t="shared" si="44"/>
        <v/>
      </c>
      <c r="D42" s="11" t="str">
        <f t="shared" si="44"/>
        <v/>
      </c>
      <c r="E42" s="11" t="str">
        <f t="shared" si="44"/>
        <v/>
      </c>
      <c r="F42" s="11" t="str">
        <f t="shared" si="44"/>
        <v/>
      </c>
      <c r="G42" s="11" t="str">
        <f t="shared" si="44"/>
        <v/>
      </c>
      <c r="H42" s="11" t="str">
        <f t="shared" si="44"/>
        <v/>
      </c>
      <c r="I42" s="11" t="str">
        <f t="shared" si="44"/>
        <v/>
      </c>
      <c r="J42" s="11" t="str">
        <f t="shared" si="44"/>
        <v/>
      </c>
      <c r="K42" s="11" t="str">
        <f t="shared" si="44"/>
        <v/>
      </c>
      <c r="L42" s="11" t="str">
        <f t="shared" si="44"/>
        <v/>
      </c>
      <c r="M42" s="11" t="str">
        <f t="shared" si="44"/>
        <v/>
      </c>
      <c r="N42" s="6"/>
      <c r="O42" s="11" t="str">
        <f t="shared" ref="O42:R42" si="45">IF(O19="","",(O19/$O$23))</f>
        <v/>
      </c>
      <c r="P42" s="11" t="str">
        <f t="shared" ref="P42" si="46">IF(P19="","",(P19/$O$23))</f>
        <v/>
      </c>
      <c r="Q42" s="11" t="str">
        <f t="shared" si="45"/>
        <v/>
      </c>
      <c r="R42" s="11" t="str">
        <f t="shared" si="45"/>
        <v/>
      </c>
      <c r="S42" s="11" t="str">
        <f t="shared" si="34"/>
        <v/>
      </c>
      <c r="T42" s="11" t="str">
        <f t="shared" si="34"/>
        <v/>
      </c>
      <c r="U42" s="11" t="str">
        <f t="shared" si="34"/>
        <v/>
      </c>
      <c r="V42" s="11" t="str">
        <f t="shared" si="34"/>
        <v/>
      </c>
    </row>
    <row r="43" spans="1:22" s="1" customFormat="1" x14ac:dyDescent="0.35">
      <c r="A43" s="141"/>
      <c r="B43" s="11" t="str">
        <f t="shared" ref="B43:M43" si="47">IF(B20="","",(B20/$O$23))</f>
        <v/>
      </c>
      <c r="C43" s="11" t="str">
        <f t="shared" si="47"/>
        <v/>
      </c>
      <c r="D43" s="11" t="str">
        <f t="shared" si="47"/>
        <v/>
      </c>
      <c r="E43" s="11" t="str">
        <f t="shared" si="47"/>
        <v/>
      </c>
      <c r="F43" s="11" t="str">
        <f t="shared" si="47"/>
        <v/>
      </c>
      <c r="G43" s="11" t="str">
        <f t="shared" si="47"/>
        <v/>
      </c>
      <c r="H43" s="11" t="str">
        <f t="shared" si="47"/>
        <v/>
      </c>
      <c r="I43" s="11" t="str">
        <f t="shared" si="47"/>
        <v/>
      </c>
      <c r="J43" s="11" t="str">
        <f t="shared" si="47"/>
        <v/>
      </c>
      <c r="K43" s="11" t="str">
        <f t="shared" si="47"/>
        <v/>
      </c>
      <c r="L43" s="11" t="str">
        <f t="shared" si="47"/>
        <v/>
      </c>
      <c r="M43" s="11" t="str">
        <f t="shared" si="47"/>
        <v/>
      </c>
      <c r="N43" s="6"/>
      <c r="O43" s="11" t="str">
        <f t="shared" ref="O43:R43" si="48">IF(O20="","",(O20/$O$23))</f>
        <v/>
      </c>
      <c r="P43" s="11" t="str">
        <f t="shared" ref="P43" si="49">IF(P20="","",(P20/$O$23))</f>
        <v/>
      </c>
      <c r="Q43" s="11" t="str">
        <f t="shared" si="48"/>
        <v/>
      </c>
      <c r="R43" s="11" t="str">
        <f t="shared" si="48"/>
        <v/>
      </c>
      <c r="S43" s="11" t="str">
        <f t="shared" si="34"/>
        <v/>
      </c>
      <c r="T43" s="11" t="str">
        <f t="shared" si="34"/>
        <v/>
      </c>
      <c r="U43" s="11" t="str">
        <f t="shared" si="34"/>
        <v/>
      </c>
      <c r="V43" s="11" t="str">
        <f t="shared" si="34"/>
        <v/>
      </c>
    </row>
    <row r="44" spans="1:22" x14ac:dyDescent="0.35">
      <c r="A44" s="7"/>
      <c r="B44" s="3"/>
      <c r="C44" s="3"/>
      <c r="D44" s="3"/>
      <c r="E44" s="3"/>
      <c r="F44" s="3"/>
      <c r="G44" s="3"/>
      <c r="H44" s="3"/>
      <c r="I44" s="3"/>
      <c r="J44" s="3"/>
      <c r="N44" s="7"/>
      <c r="O44" s="3"/>
      <c r="P44" s="3"/>
      <c r="Q44" s="3"/>
      <c r="R44" s="3"/>
      <c r="S44" s="3"/>
      <c r="T44" s="3"/>
      <c r="U44" s="3"/>
      <c r="V44" s="3"/>
    </row>
    <row r="45" spans="1:22" s="52" customFormat="1" x14ac:dyDescent="0.35">
      <c r="A45" s="53" t="str">
        <f t="shared" ref="A45:M45" si="50">A4</f>
        <v>Group names</v>
      </c>
      <c r="B45" s="53" t="str">
        <f t="shared" si="50"/>
        <v>Solvent control</v>
      </c>
      <c r="C45" s="53" t="str">
        <f t="shared" si="50"/>
        <v>EE2-33.8ng/L</v>
      </c>
      <c r="D45" s="53" t="str">
        <f t="shared" si="50"/>
        <v>EE2-50.6ng/L</v>
      </c>
      <c r="E45" s="53" t="str">
        <f t="shared" si="50"/>
        <v>EE2-76ng/L</v>
      </c>
      <c r="F45" s="53" t="str">
        <f t="shared" si="50"/>
        <v>EE2-114ng/L</v>
      </c>
      <c r="G45" s="53" t="str">
        <f t="shared" si="50"/>
        <v>EE2-170.9ng/L</v>
      </c>
      <c r="H45" s="53" t="str">
        <f t="shared" si="50"/>
        <v>EE2-488ng/L</v>
      </c>
      <c r="I45" s="53" t="str">
        <f t="shared" si="50"/>
        <v>BPA-1mg/L</v>
      </c>
      <c r="J45" s="53" t="str">
        <f t="shared" si="50"/>
        <v>BPA-2mg/L</v>
      </c>
      <c r="K45" s="53" t="str">
        <f t="shared" si="50"/>
        <v>BPA-3mg/L</v>
      </c>
      <c r="L45" s="53" t="str">
        <f t="shared" si="50"/>
        <v>BPA-4mg/L</v>
      </c>
      <c r="M45" s="53" t="str">
        <f t="shared" si="50"/>
        <v>BPA-5mg/L</v>
      </c>
      <c r="N45" s="53" t="str">
        <f>N22</f>
        <v>Nom des groupes</v>
      </c>
      <c r="O45" s="53" t="str">
        <f t="shared" ref="O45:V45" si="51">O4</f>
        <v>Testo -30µg/L</v>
      </c>
      <c r="P45" s="53" t="str">
        <f t="shared" si="51"/>
        <v>Testo 30µg/L + EE2 -64ng/L</v>
      </c>
      <c r="Q45" s="53" t="str">
        <f t="shared" si="51"/>
        <v>Testo 30µg/L + FAD-10mg/L</v>
      </c>
      <c r="R45" s="53" t="str">
        <f t="shared" si="51"/>
        <v>BPA-1mg/L + Testostérone</v>
      </c>
      <c r="S45" s="53" t="str">
        <f t="shared" si="51"/>
        <v>BPA-2mg/L + Testostérone</v>
      </c>
      <c r="T45" s="53" t="str">
        <f t="shared" si="51"/>
        <v>BPA-3mg/L + Testostérone</v>
      </c>
      <c r="U45" s="53" t="str">
        <f t="shared" si="51"/>
        <v>BPA-4mg/L + Testostérone</v>
      </c>
      <c r="V45" s="53" t="str">
        <f t="shared" si="51"/>
        <v>BPA-5mg/L + Testostérone</v>
      </c>
    </row>
    <row r="46" spans="1:22" x14ac:dyDescent="0.35">
      <c r="A46" s="8" t="s">
        <v>0</v>
      </c>
      <c r="B46" s="10">
        <f t="shared" ref="B46:H46" si="52">AVERAGE(B28:B43)</f>
        <v>0.17983887544570448</v>
      </c>
      <c r="C46" s="10">
        <f t="shared" si="52"/>
        <v>0.36594885773329139</v>
      </c>
      <c r="D46" s="10">
        <f t="shared" si="52"/>
        <v>0.82403198785280107</v>
      </c>
      <c r="E46" s="10">
        <f t="shared" si="52"/>
        <v>2.4841191060749446</v>
      </c>
      <c r="F46" s="10">
        <f t="shared" si="52"/>
        <v>4.0146867907258219</v>
      </c>
      <c r="G46" s="10">
        <f t="shared" si="52"/>
        <v>5.9325031838555358</v>
      </c>
      <c r="H46" s="10">
        <f t="shared" si="52"/>
        <v>5.0868667317941716</v>
      </c>
      <c r="I46" s="10">
        <f>AVERAGE(I28:I43)</f>
        <v>0.15070014114780686</v>
      </c>
      <c r="J46" s="9">
        <f>AVERAGE(J28:J43)</f>
        <v>0.17236773895314056</v>
      </c>
      <c r="K46" s="9">
        <f>AVERAGE(K28:K43)</f>
        <v>0.62300773736620274</v>
      </c>
      <c r="L46" s="9">
        <f t="shared" ref="L46:M46" si="53">AVERAGE(L28:L43)</f>
        <v>1.8775584076355787</v>
      </c>
      <c r="M46" s="9">
        <f t="shared" si="53"/>
        <v>3.3224503622842838</v>
      </c>
      <c r="N46" s="8" t="s">
        <v>0</v>
      </c>
      <c r="O46" s="10">
        <f>AVERAGE(O28:O43)</f>
        <v>1</v>
      </c>
      <c r="P46" s="10">
        <f>AVERAGE(P28:P43)</f>
        <v>4.673491154633032</v>
      </c>
      <c r="Q46" s="10">
        <f>AVERAGE(Q28:Q43)</f>
        <v>8.2120350445506404E-2</v>
      </c>
      <c r="R46" s="10">
        <f>AVERAGE(R28:R43)</f>
        <v>1.0878285979348559</v>
      </c>
      <c r="S46" s="10">
        <f t="shared" ref="S46:V46" si="54">AVERAGE(S28:S43)</f>
        <v>3.013709632497982</v>
      </c>
      <c r="T46" s="10">
        <f t="shared" si="54"/>
        <v>3.1245196426859518</v>
      </c>
      <c r="U46" s="10">
        <f t="shared" si="54"/>
        <v>1.8670914345826313</v>
      </c>
      <c r="V46" s="10">
        <f t="shared" si="54"/>
        <v>2.5486668217165573</v>
      </c>
    </row>
    <row r="47" spans="1:22" x14ac:dyDescent="0.35">
      <c r="A47" s="8" t="s">
        <v>1</v>
      </c>
      <c r="B47" s="8">
        <f t="shared" ref="B47:K47" si="55">STDEV(B28:B43)</f>
        <v>8.7978684236834998E-2</v>
      </c>
      <c r="C47" s="8">
        <f t="shared" si="55"/>
        <v>0.13139145391644</v>
      </c>
      <c r="D47" s="8">
        <f t="shared" si="55"/>
        <v>0.45577135999068935</v>
      </c>
      <c r="E47" s="8">
        <f t="shared" si="55"/>
        <v>1.0165161839362116</v>
      </c>
      <c r="F47" s="8">
        <f t="shared" si="55"/>
        <v>2.0030295699520906</v>
      </c>
      <c r="G47" s="8">
        <f t="shared" si="55"/>
        <v>1.8138670595587627</v>
      </c>
      <c r="H47" s="8">
        <f t="shared" si="55"/>
        <v>0.59613834308102287</v>
      </c>
      <c r="I47" s="8">
        <f>STDEV(I28:I43)</f>
        <v>0.10875626255943435</v>
      </c>
      <c r="J47" s="8">
        <f t="shared" si="55"/>
        <v>0.13963481083505208</v>
      </c>
      <c r="K47" s="8">
        <f t="shared" si="55"/>
        <v>0.50202909289391484</v>
      </c>
      <c r="L47" s="8">
        <f t="shared" ref="L47:M47" si="56">STDEV(L28:L43)</f>
        <v>1.3398511574549821</v>
      </c>
      <c r="M47" s="8">
        <f t="shared" si="56"/>
        <v>1.6757798976950411</v>
      </c>
      <c r="N47" s="8" t="s">
        <v>1</v>
      </c>
      <c r="O47" s="8">
        <f>STDEV(O28:O43)</f>
        <v>0.67505515288490658</v>
      </c>
      <c r="P47" s="8">
        <f>STDEV(P28:P43)</f>
        <v>1.0407449301641518</v>
      </c>
      <c r="Q47" s="8">
        <f>STDEV(Q28:Q43)</f>
        <v>5.8205860887961411E-2</v>
      </c>
      <c r="R47" s="8">
        <f>STDEV(R28:R43)</f>
        <v>0.92372674862344029</v>
      </c>
      <c r="S47" s="8">
        <f t="shared" ref="S47:V47" si="57">STDEV(S28:S43)</f>
        <v>1.6693604525298031</v>
      </c>
      <c r="T47" s="8">
        <f t="shared" si="57"/>
        <v>1.6272718599791172</v>
      </c>
      <c r="U47" s="8">
        <f t="shared" si="57"/>
        <v>0.86475961485424624</v>
      </c>
      <c r="V47" s="8">
        <f t="shared" si="57"/>
        <v>1.6303310164436551</v>
      </c>
    </row>
    <row r="48" spans="1:22" x14ac:dyDescent="0.35">
      <c r="A48" s="8" t="s">
        <v>2</v>
      </c>
      <c r="B48" s="8">
        <f t="shared" ref="B48:K48" si="58" xml:space="preserve"> B47/SQRT(COUNT(B28:B43))</f>
        <v>3.3252817023620547E-2</v>
      </c>
      <c r="C48" s="8">
        <f t="shared" si="58"/>
        <v>4.9661301637443409E-2</v>
      </c>
      <c r="D48" s="8">
        <f t="shared" si="58"/>
        <v>0.17226538189157969</v>
      </c>
      <c r="E48" s="8">
        <f t="shared" si="58"/>
        <v>0.38420700376680089</v>
      </c>
      <c r="F48" s="8">
        <f t="shared" si="58"/>
        <v>0.75707401582884093</v>
      </c>
      <c r="G48" s="8">
        <f t="shared" si="58"/>
        <v>0.68557730727492427</v>
      </c>
      <c r="H48" s="8">
        <f t="shared" si="58"/>
        <v>0.2253191146832127</v>
      </c>
      <c r="I48" s="8">
        <f xml:space="preserve"> I47/SQRT(COUNT(I28:I43))</f>
        <v>4.110600346472975E-2</v>
      </c>
      <c r="J48" s="8">
        <f t="shared" si="58"/>
        <v>5.2776997691013593E-2</v>
      </c>
      <c r="K48" s="8">
        <f t="shared" si="58"/>
        <v>0.1897491615309489</v>
      </c>
      <c r="L48" s="8">
        <f t="shared" ref="L48:M48" si="59" xml:space="preserve"> L47/SQRT(COUNT(L28:L43))</f>
        <v>0.50641613663827545</v>
      </c>
      <c r="M48" s="8">
        <f t="shared" si="59"/>
        <v>0.63338526591176292</v>
      </c>
      <c r="N48" s="8" t="s">
        <v>2</v>
      </c>
      <c r="O48" s="8">
        <f xml:space="preserve"> O47/SQRT(COUNT(O28:O43))</f>
        <v>0.18041607851940164</v>
      </c>
      <c r="P48" s="8">
        <f xml:space="preserve"> P47/SQRT(COUNT(P28:P43))</f>
        <v>0.3933646090665186</v>
      </c>
      <c r="Q48" s="8">
        <f xml:space="preserve"> Q47/SQRT(COUNT(Q28:Q43))</f>
        <v>2.1999747536566725E-2</v>
      </c>
      <c r="R48" s="8">
        <f xml:space="preserve"> R47/SQRT(COUNT(R28:R43))</f>
        <v>0.32658672395751798</v>
      </c>
      <c r="S48" s="8">
        <f t="shared" ref="S48:V48" si="60" xml:space="preserve"> S47/SQRT(COUNT(S28:S43))</f>
        <v>0.63095894370287209</v>
      </c>
      <c r="T48" s="8">
        <f t="shared" si="60"/>
        <v>0.57532748351263985</v>
      </c>
      <c r="U48" s="8">
        <f t="shared" si="60"/>
        <v>0.30573869387985231</v>
      </c>
      <c r="V48" s="8">
        <f t="shared" si="60"/>
        <v>0.5764090586530326</v>
      </c>
    </row>
    <row r="49" spans="1:22" s="1" customFormat="1" ht="15" thickBot="1" x14ac:dyDescent="0.4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</row>
    <row r="50" spans="1:22" ht="26.5" thickBot="1" x14ac:dyDescent="0.65">
      <c r="A50" s="136"/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</row>
    <row r="51" spans="1:22" ht="15" thickBot="1" x14ac:dyDescent="0.4">
      <c r="A51"/>
      <c r="B51"/>
      <c r="C51"/>
      <c r="D51"/>
      <c r="E51"/>
      <c r="F51"/>
      <c r="G51"/>
      <c r="H51"/>
      <c r="I51"/>
      <c r="J51"/>
      <c r="K51"/>
      <c r="L51"/>
      <c r="M51"/>
      <c r="S51"/>
      <c r="T51"/>
      <c r="U51"/>
      <c r="V51"/>
    </row>
    <row r="52" spans="1:22" x14ac:dyDescent="0.35">
      <c r="A52" s="29" t="str">
        <f t="shared" ref="A52:H52" si="61">A27</f>
        <v>Group names</v>
      </c>
      <c r="B52" s="30" t="str">
        <f t="shared" si="61"/>
        <v>Solvent control</v>
      </c>
      <c r="C52" s="30" t="str">
        <f t="shared" si="61"/>
        <v>EE2-33.8ng/L</v>
      </c>
      <c r="D52" s="30" t="str">
        <f t="shared" si="61"/>
        <v>EE2-50.6ng/L</v>
      </c>
      <c r="E52" s="30" t="str">
        <f t="shared" si="61"/>
        <v>EE2-76ng/L</v>
      </c>
      <c r="F52" s="30" t="str">
        <f t="shared" si="61"/>
        <v>EE2-114ng/L</v>
      </c>
      <c r="G52" s="30" t="str">
        <f t="shared" si="61"/>
        <v>EE2-170.9ng/L</v>
      </c>
      <c r="H52" s="30" t="str">
        <f t="shared" si="61"/>
        <v>EE2-488ng/L</v>
      </c>
      <c r="I52" s="30" t="str">
        <f>I4</f>
        <v>BPA-1mg/L</v>
      </c>
      <c r="J52" s="30" t="str">
        <f>J4</f>
        <v>BPA-2mg/L</v>
      </c>
      <c r="K52" s="30" t="str">
        <f>K27</f>
        <v>BPA-3mg/L</v>
      </c>
      <c r="L52" s="30" t="str">
        <f t="shared" ref="L52:M52" si="62">L27</f>
        <v>BPA-4mg/L</v>
      </c>
      <c r="M52" s="30" t="str">
        <f t="shared" si="62"/>
        <v>BPA-5mg/L</v>
      </c>
      <c r="N52" s="31"/>
      <c r="O52" s="30" t="str">
        <f>O27</f>
        <v>Testo -30µg/L</v>
      </c>
      <c r="P52" s="30" t="str">
        <f>P27</f>
        <v>Testo 30µg/L + EE2 -64ng/L</v>
      </c>
      <c r="Q52" s="30" t="str">
        <f>Q27</f>
        <v>Testo 30µg/L + FAD-10mg/L</v>
      </c>
      <c r="R52" s="30" t="str">
        <f>R27</f>
        <v>BPA-1mg/L + Testostérone</v>
      </c>
      <c r="S52" s="30" t="str">
        <f t="shared" ref="S52:V52" si="63">S27</f>
        <v>BPA-2mg/L + Testostérone</v>
      </c>
      <c r="T52" s="30" t="str">
        <f t="shared" si="63"/>
        <v>BPA-3mg/L + Testostérone</v>
      </c>
      <c r="U52" s="30" t="str">
        <f t="shared" si="63"/>
        <v>BPA-4mg/L + Testostérone</v>
      </c>
      <c r="V52" s="30" t="str">
        <f t="shared" si="63"/>
        <v>BPA-5mg/L + Testostérone</v>
      </c>
    </row>
    <row r="53" spans="1:22" s="3" customFormat="1" x14ac:dyDescent="0.35">
      <c r="A53" s="45" t="s">
        <v>10</v>
      </c>
      <c r="B53" s="78">
        <f t="shared" ref="B53:M53" si="64">B46</f>
        <v>0.17983887544570448</v>
      </c>
      <c r="C53" s="78">
        <f t="shared" si="64"/>
        <v>0.36594885773329139</v>
      </c>
      <c r="D53" s="78">
        <f t="shared" si="64"/>
        <v>0.82403198785280107</v>
      </c>
      <c r="E53" s="78">
        <f t="shared" si="64"/>
        <v>2.4841191060749446</v>
      </c>
      <c r="F53" s="78">
        <f t="shared" si="64"/>
        <v>4.0146867907258219</v>
      </c>
      <c r="G53" s="78">
        <f t="shared" si="64"/>
        <v>5.9325031838555358</v>
      </c>
      <c r="H53" s="78">
        <f t="shared" si="64"/>
        <v>5.0868667317941716</v>
      </c>
      <c r="I53" s="78">
        <f t="shared" si="64"/>
        <v>0.15070014114780686</v>
      </c>
      <c r="J53" s="78">
        <f t="shared" si="64"/>
        <v>0.17236773895314056</v>
      </c>
      <c r="K53" s="78">
        <f t="shared" si="64"/>
        <v>0.62300773736620274</v>
      </c>
      <c r="L53" s="78">
        <f t="shared" si="64"/>
        <v>1.8775584076355787</v>
      </c>
      <c r="M53" s="78">
        <f t="shared" si="64"/>
        <v>3.3224503622842838</v>
      </c>
      <c r="N53" s="78"/>
      <c r="O53" s="78">
        <f t="shared" ref="O53:V53" si="65">O46</f>
        <v>1</v>
      </c>
      <c r="P53" s="78">
        <f t="shared" si="65"/>
        <v>4.673491154633032</v>
      </c>
      <c r="Q53" s="78">
        <f t="shared" si="65"/>
        <v>8.2120350445506404E-2</v>
      </c>
      <c r="R53" s="78">
        <f t="shared" si="65"/>
        <v>1.0878285979348559</v>
      </c>
      <c r="S53" s="78">
        <f t="shared" si="65"/>
        <v>3.013709632497982</v>
      </c>
      <c r="T53" s="78">
        <f t="shared" si="65"/>
        <v>3.1245196426859518</v>
      </c>
      <c r="U53" s="78">
        <f t="shared" si="65"/>
        <v>1.8670914345826313</v>
      </c>
      <c r="V53" s="78">
        <f t="shared" si="65"/>
        <v>2.5486668217165573</v>
      </c>
    </row>
    <row r="54" spans="1:22" s="3" customFormat="1" x14ac:dyDescent="0.35">
      <c r="A54" s="45" t="s">
        <v>2</v>
      </c>
      <c r="B54" s="78">
        <f t="shared" ref="B54:M54" si="66">B48</f>
        <v>3.3252817023620547E-2</v>
      </c>
      <c r="C54" s="78">
        <f t="shared" si="66"/>
        <v>4.9661301637443409E-2</v>
      </c>
      <c r="D54" s="78">
        <f t="shared" si="66"/>
        <v>0.17226538189157969</v>
      </c>
      <c r="E54" s="78">
        <f t="shared" si="66"/>
        <v>0.38420700376680089</v>
      </c>
      <c r="F54" s="78">
        <f t="shared" si="66"/>
        <v>0.75707401582884093</v>
      </c>
      <c r="G54" s="78">
        <f t="shared" si="66"/>
        <v>0.68557730727492427</v>
      </c>
      <c r="H54" s="78">
        <f t="shared" si="66"/>
        <v>0.2253191146832127</v>
      </c>
      <c r="I54" s="78">
        <f t="shared" si="66"/>
        <v>4.110600346472975E-2</v>
      </c>
      <c r="J54" s="78">
        <f t="shared" si="66"/>
        <v>5.2776997691013593E-2</v>
      </c>
      <c r="K54" s="78">
        <f t="shared" si="66"/>
        <v>0.1897491615309489</v>
      </c>
      <c r="L54" s="78">
        <f t="shared" si="66"/>
        <v>0.50641613663827545</v>
      </c>
      <c r="M54" s="78">
        <f t="shared" si="66"/>
        <v>0.63338526591176292</v>
      </c>
      <c r="N54" s="78"/>
      <c r="O54" s="78">
        <f t="shared" ref="O54:V54" si="67">O48</f>
        <v>0.18041607851940164</v>
      </c>
      <c r="P54" s="78">
        <f t="shared" si="67"/>
        <v>0.3933646090665186</v>
      </c>
      <c r="Q54" s="78">
        <f t="shared" si="67"/>
        <v>2.1999747536566725E-2</v>
      </c>
      <c r="R54" s="78">
        <f t="shared" si="67"/>
        <v>0.32658672395751798</v>
      </c>
      <c r="S54" s="78">
        <f t="shared" si="67"/>
        <v>0.63095894370287209</v>
      </c>
      <c r="T54" s="78">
        <f t="shared" si="67"/>
        <v>0.57532748351263985</v>
      </c>
      <c r="U54" s="78">
        <f t="shared" si="67"/>
        <v>0.30573869387985231</v>
      </c>
      <c r="V54" s="78">
        <f t="shared" si="67"/>
        <v>0.5764090586530326</v>
      </c>
    </row>
    <row r="55" spans="1:22" s="3" customFormat="1" x14ac:dyDescent="0.35">
      <c r="A55" s="45" t="s">
        <v>14</v>
      </c>
      <c r="B55" s="78">
        <f t="shared" ref="B55:M55" si="68">(B53*100/$B$53)-100</f>
        <v>0</v>
      </c>
      <c r="C55" s="78">
        <f t="shared" si="68"/>
        <v>103.48706964850641</v>
      </c>
      <c r="D55" s="78">
        <f t="shared" si="68"/>
        <v>358.20570541856301</v>
      </c>
      <c r="E55" s="78">
        <f t="shared" si="68"/>
        <v>1281.3026243176937</v>
      </c>
      <c r="F55" s="78">
        <f t="shared" si="68"/>
        <v>2132.3798348805312</v>
      </c>
      <c r="G55" s="78">
        <f t="shared" si="68"/>
        <v>3198.7879673695079</v>
      </c>
      <c r="H55" s="78">
        <f t="shared" si="68"/>
        <v>2728.5690283522472</v>
      </c>
      <c r="I55" s="78">
        <f t="shared" si="68"/>
        <v>-16.202689338265429</v>
      </c>
      <c r="J55" s="78">
        <f t="shared" si="68"/>
        <v>-4.1543500947989145</v>
      </c>
      <c r="K55" s="78">
        <f t="shared" si="68"/>
        <v>246.42550773416968</v>
      </c>
      <c r="L55" s="78">
        <f t="shared" si="68"/>
        <v>944.02254683939918</v>
      </c>
      <c r="M55" s="78">
        <f t="shared" si="68"/>
        <v>1747.4594850807837</v>
      </c>
      <c r="N55" s="78"/>
      <c r="O55" s="78">
        <f t="shared" ref="O55:V55" si="69">(O53*100/$O$53)-100</f>
        <v>0</v>
      </c>
      <c r="P55" s="78">
        <f t="shared" si="69"/>
        <v>367.34911546330318</v>
      </c>
      <c r="Q55" s="78">
        <f t="shared" si="69"/>
        <v>-91.787964955449354</v>
      </c>
      <c r="R55" s="78">
        <f t="shared" si="69"/>
        <v>8.782859793485585</v>
      </c>
      <c r="S55" s="78">
        <f t="shared" si="69"/>
        <v>201.37096324979819</v>
      </c>
      <c r="T55" s="78">
        <f t="shared" si="69"/>
        <v>212.45196426859519</v>
      </c>
      <c r="U55" s="78">
        <f t="shared" si="69"/>
        <v>86.709143458263128</v>
      </c>
      <c r="V55" s="78">
        <f t="shared" si="69"/>
        <v>154.86668217165573</v>
      </c>
    </row>
    <row r="56" spans="1:22" s="3" customFormat="1" x14ac:dyDescent="0.35">
      <c r="A56" s="45" t="s">
        <v>38</v>
      </c>
      <c r="B56" s="78">
        <f>[1]!SWTEST(B28:B43)</f>
        <v>0.98548533144581907</v>
      </c>
      <c r="C56" s="78">
        <f>[1]!SWTEST(C28:C43)</f>
        <v>0.62067337256650501</v>
      </c>
      <c r="D56" s="78">
        <f>[1]!SWTEST(D28:D43)</f>
        <v>6.837349975434226E-2</v>
      </c>
      <c r="E56" s="78">
        <f>[1]!SWTEST(E28:E43)</f>
        <v>0.98928739307615021</v>
      </c>
      <c r="F56" s="78">
        <f>[1]!SWTEST(F28:F43)</f>
        <v>0.61600400939260735</v>
      </c>
      <c r="G56" s="78">
        <f>[1]!SWTEST(G28:G43)</f>
        <v>0.89268361739096336</v>
      </c>
      <c r="H56" s="78">
        <f>[1]!SWTEST(H28:H43)</f>
        <v>0.60136726945234564</v>
      </c>
      <c r="I56" s="78">
        <f>[1]!SWTEST(I28:I43)</f>
        <v>0.42938795258412599</v>
      </c>
      <c r="J56" s="78">
        <f>[1]!SWTEST(J28:J43)</f>
        <v>0.31455513563728332</v>
      </c>
      <c r="K56" s="78">
        <f>[1]!SWTEST(K28:K43)</f>
        <v>0.18661968483722036</v>
      </c>
      <c r="L56" s="78">
        <f>[1]!SWTEST(L28:L43)</f>
        <v>0.90752004737614445</v>
      </c>
      <c r="M56" s="78">
        <f>[1]!SWTEST(M28:M43)</f>
        <v>0.27838233272427404</v>
      </c>
      <c r="N56" s="78"/>
      <c r="O56" s="78">
        <f>[1]!SWTEST(O28:O43)</f>
        <v>0.40435376237815779</v>
      </c>
      <c r="P56" s="78">
        <f>[1]!SWTEST(P28:P43)</f>
        <v>0.50669953242288879</v>
      </c>
      <c r="Q56" s="78">
        <f>[1]!SWTEST(Q28:Q43)</f>
        <v>0.13403733233912052</v>
      </c>
      <c r="R56" s="78">
        <f>[1]!SWTEST(R28:R43)</f>
        <v>0.28351227001948665</v>
      </c>
      <c r="S56" s="78">
        <f>[1]!SWTEST(S28:S43)</f>
        <v>0.99693693130386141</v>
      </c>
      <c r="T56" s="78">
        <f>[1]!SWTEST(T28:T43)</f>
        <v>0.80049991447881397</v>
      </c>
      <c r="U56" s="78">
        <f>[1]!SWTEST(U28:U43)</f>
        <v>0.89293421879546653</v>
      </c>
      <c r="V56" s="78">
        <f>[1]!SWTEST(V28:V43)</f>
        <v>0.43224849663018006</v>
      </c>
    </row>
    <row r="57" spans="1:22" s="3" customFormat="1" x14ac:dyDescent="0.35">
      <c r="A57" s="45" t="s">
        <v>39</v>
      </c>
      <c r="B57" s="78" t="str">
        <f t="shared" ref="B57:M57" si="70">IF(B56&gt;0.05,"Oui","Non")</f>
        <v>Oui</v>
      </c>
      <c r="C57" s="78" t="str">
        <f t="shared" si="70"/>
        <v>Oui</v>
      </c>
      <c r="D57" s="78" t="str">
        <f t="shared" si="70"/>
        <v>Oui</v>
      </c>
      <c r="E57" s="78" t="str">
        <f t="shared" si="70"/>
        <v>Oui</v>
      </c>
      <c r="F57" s="78" t="str">
        <f t="shared" si="70"/>
        <v>Oui</v>
      </c>
      <c r="G57" s="78" t="str">
        <f t="shared" si="70"/>
        <v>Oui</v>
      </c>
      <c r="H57" s="78" t="str">
        <f t="shared" si="70"/>
        <v>Oui</v>
      </c>
      <c r="I57" s="78" t="str">
        <f t="shared" si="70"/>
        <v>Oui</v>
      </c>
      <c r="J57" s="78" t="str">
        <f t="shared" si="70"/>
        <v>Oui</v>
      </c>
      <c r="K57" s="78" t="str">
        <f t="shared" si="70"/>
        <v>Oui</v>
      </c>
      <c r="L57" s="78" t="str">
        <f t="shared" si="70"/>
        <v>Oui</v>
      </c>
      <c r="M57" s="78" t="str">
        <f t="shared" si="70"/>
        <v>Oui</v>
      </c>
      <c r="N57" s="78"/>
      <c r="O57" s="78" t="str">
        <f t="shared" ref="O57:V57" si="71">IF(O56&gt;0.05,"Oui","Non")</f>
        <v>Oui</v>
      </c>
      <c r="P57" s="78" t="str">
        <f t="shared" si="71"/>
        <v>Oui</v>
      </c>
      <c r="Q57" s="78" t="str">
        <f t="shared" si="71"/>
        <v>Oui</v>
      </c>
      <c r="R57" s="78" t="str">
        <f t="shared" si="71"/>
        <v>Oui</v>
      </c>
      <c r="S57" s="78" t="str">
        <f t="shared" si="71"/>
        <v>Oui</v>
      </c>
      <c r="T57" s="78" t="str">
        <f t="shared" si="71"/>
        <v>Oui</v>
      </c>
      <c r="U57" s="78" t="str">
        <f t="shared" si="71"/>
        <v>Oui</v>
      </c>
      <c r="V57" s="78" t="str">
        <f t="shared" si="71"/>
        <v>Oui</v>
      </c>
    </row>
    <row r="58" spans="1:22" s="3" customFormat="1" x14ac:dyDescent="0.35">
      <c r="A58" s="45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80"/>
      <c r="O58" s="81"/>
      <c r="P58" s="78"/>
      <c r="Q58" s="78"/>
      <c r="R58" s="78"/>
      <c r="S58" s="78"/>
      <c r="T58" s="78"/>
      <c r="U58" s="78"/>
      <c r="V58" s="78"/>
    </row>
    <row r="59" spans="1:22" s="3" customFormat="1" x14ac:dyDescent="0.35">
      <c r="A59" s="45" t="s">
        <v>40</v>
      </c>
      <c r="B59" s="82"/>
      <c r="C59" s="82" t="str">
        <f t="shared" ref="C59:M59" si="72">IF($B57="Non",IF(C$57="Non","Mann Withney",IF(C$57="Oui","Mann Withney","")),IF($B$57="Oui",IF(C$57="Oui","T-Test Welch",IF(C$57="Non","Mann Withney",""))))</f>
        <v>T-Test Welch</v>
      </c>
      <c r="D59" s="82" t="str">
        <f t="shared" si="72"/>
        <v>T-Test Welch</v>
      </c>
      <c r="E59" s="82" t="str">
        <f t="shared" si="72"/>
        <v>T-Test Welch</v>
      </c>
      <c r="F59" s="82" t="str">
        <f t="shared" si="72"/>
        <v>T-Test Welch</v>
      </c>
      <c r="G59" s="82" t="str">
        <f t="shared" si="72"/>
        <v>T-Test Welch</v>
      </c>
      <c r="H59" s="82" t="str">
        <f t="shared" si="72"/>
        <v>T-Test Welch</v>
      </c>
      <c r="I59" s="82" t="str">
        <f t="shared" si="72"/>
        <v>T-Test Welch</v>
      </c>
      <c r="J59" s="82" t="str">
        <f t="shared" si="72"/>
        <v>T-Test Welch</v>
      </c>
      <c r="K59" s="82" t="str">
        <f t="shared" si="72"/>
        <v>T-Test Welch</v>
      </c>
      <c r="L59" s="82" t="str">
        <f t="shared" si="72"/>
        <v>T-Test Welch</v>
      </c>
      <c r="M59" s="82" t="str">
        <f t="shared" si="72"/>
        <v>T-Test Welch</v>
      </c>
      <c r="N59" s="82"/>
      <c r="O59" s="82" t="str">
        <f>IF($B57="Non",IF(O$57="Non","Mann Withney",IF(O$57="Oui","Mann Withney","")),IF($B$57="Oui",IF(O$57="Oui","T-Test Welch",IF(O$57="Non","Mann Withney",""))))</f>
        <v>T-Test Welch</v>
      </c>
      <c r="P59" s="82" t="str">
        <f t="shared" ref="P59:V59" si="73">IF($O57="Non",IF(P$57="Non","Mann Withney",IF(P$57="Oui","Mann Withney","")),IF($O$57="Oui",IF(P$57="Oui","T-Test Welch",IF(P$57="Non","Mann Withney",""))))</f>
        <v>T-Test Welch</v>
      </c>
      <c r="Q59" s="82" t="str">
        <f t="shared" si="73"/>
        <v>T-Test Welch</v>
      </c>
      <c r="R59" s="82" t="str">
        <f t="shared" si="73"/>
        <v>T-Test Welch</v>
      </c>
      <c r="S59" s="82" t="str">
        <f t="shared" si="73"/>
        <v>T-Test Welch</v>
      </c>
      <c r="T59" s="82" t="str">
        <f t="shared" si="73"/>
        <v>T-Test Welch</v>
      </c>
      <c r="U59" s="82" t="str">
        <f t="shared" si="73"/>
        <v>T-Test Welch</v>
      </c>
      <c r="V59" s="82" t="str">
        <f t="shared" si="73"/>
        <v>T-Test Welch</v>
      </c>
    </row>
    <row r="60" spans="1:22" s="3" customFormat="1" x14ac:dyDescent="0.35">
      <c r="A60" s="45" t="s">
        <v>41</v>
      </c>
      <c r="B60" s="83"/>
      <c r="C60" s="83">
        <f>IF(C59="Mann Withney",[1]!MTEST($B28:$B43,C28:C43,2), IF(C59="T-Test Welch",_xlfn.T.TEST($B28:$B43,C28:C43,2,3),""))</f>
        <v>1.0410149420569902E-2</v>
      </c>
      <c r="D60" s="83">
        <f>IF(D59="Mann Withney",[1]!MTEST($B28:$B43,D28:D43,2), IF(D59="T-Test Welch",_xlfn.T.TEST($B28:$B43,D28:D43,2,3),""))</f>
        <v>9.187451158370814E-3</v>
      </c>
      <c r="E60" s="83">
        <f>IF(E59="Mann Withney",[1]!MTEST($B28:$B43,E28:E43,2), IF(E59="T-Test Welch",_xlfn.T.TEST($B28:$B43,E28:E43,2,3),""))</f>
        <v>9.3371356295817007E-4</v>
      </c>
      <c r="F60" s="83">
        <f>IF(F59="Mann Withney",[1]!MTEST($B28:$B43,F28:F43,2), IF(F59="T-Test Welch",_xlfn.T.TEST($B28:$B43,F28:F43,2,3),""))</f>
        <v>2.2837204291373137E-3</v>
      </c>
      <c r="G60" s="83">
        <f>IF(G59="Mann Withney",[1]!MTEST($B28:$B43,G28:G43,2), IF(G59="T-Test Welch",_xlfn.T.TEST($B28:$B43,G28:G43,2,3),""))</f>
        <v>1.5316771815454853E-4</v>
      </c>
      <c r="H60" s="83">
        <f>IF(H59="Mann Withney",[1]!MTEST($B28:$B43,H28:H43,2), IF(H59="T-Test Welch",_xlfn.T.TEST($B28:$B43,H28:H43,2,3),""))</f>
        <v>4.1304382848396944E-7</v>
      </c>
      <c r="I60" s="83">
        <f>IF(I59="Mann Withney",[1]!MTEST($B28:$B43,I28:I43,2), IF(I59="T-Test Welch",_xlfn.T.TEST($B28:$B43,I28:I43,2,3),""))</f>
        <v>0.59210067550002088</v>
      </c>
      <c r="J60" s="83">
        <f>IF(J59="Mann Withney",[1]!MTEST($B28:$B43,J28:J43,2), IF(J59="T-Test Welch",_xlfn.T.TEST($B28:$B43,J28:J43,2,3),""))</f>
        <v>0.90701103059181987</v>
      </c>
      <c r="K60" s="83">
        <f>IF(K59="Mann Withney",[1]!MTEST($B28:$B43,K28:K43,2), IF(K59="T-Test Welch",_xlfn.T.TEST($B28:$B43,K28:K43,2,3),""))</f>
        <v>5.8577113363751571E-2</v>
      </c>
      <c r="L60" s="83">
        <f>IF(L59="Mann Withney",[1]!MTEST($B28:$B43,L28:L43,2), IF(L59="T-Test Welch",_xlfn.T.TEST($B28:$B43,L28:L43,2,3),""))</f>
        <v>1.5312435324725057E-2</v>
      </c>
      <c r="M60" s="83">
        <f>IF(M59="Mann Withney",[1]!MTEST($B28:$B43,M28:M43,2), IF(M59="T-Test Welch",_xlfn.T.TEST($B28:$B43,M28:M43,2,3),""))</f>
        <v>2.5258543766071792E-3</v>
      </c>
      <c r="N60" s="83"/>
      <c r="O60" s="83">
        <f>IF(O59="Mann Withney",[1]!MTEST($B28:$B43,O28:O43,2), IF(O59="T-Test Welch",_xlfn.T.TEST($B28:$B43,O28:O43,2,3),""))</f>
        <v>5.4049232586885344E-4</v>
      </c>
      <c r="P60" s="83">
        <f>IF(P59="Mann Withney",[1]!MTEST($O28:$O43,P28:P43,2), IF(P59="T-Test Welch",_xlfn.T.TEST($O28:$O43,P28:P43,2,3),""))</f>
        <v>1.8085021020156309E-5</v>
      </c>
      <c r="Q60" s="83">
        <f>IF(Q59="Mann Withney",[1]!MTEST($O28:$O43,Q28:Q43,2), IF(Q59="T-Test Welch",_xlfn.T.TEST($O28:$O43,Q28:Q43,2,3),""))</f>
        <v>2.0344512935928174E-4</v>
      </c>
      <c r="R60" s="83">
        <f>IF(R59="Mann Withney",[1]!MTEST($O28:$O43,R28:R43,2), IF(R59="T-Test Welch",_xlfn.T.TEST($O28:$O43,R28:R43,2,3),""))</f>
        <v>0.81809158051350994</v>
      </c>
      <c r="S60" s="83">
        <f>IF(S59="Mann Withney",[1]!MTEST($O28:$O43,S28:S43,2), IF(S59="T-Test Welch",_xlfn.T.TEST($O28:$O43,S28:S43,2,3),""))</f>
        <v>1.8106078132398402E-2</v>
      </c>
      <c r="T60" s="83">
        <f>IF(T59="Mann Withney",[1]!MTEST($O28:$O43,T28:T43,2), IF(T59="T-Test Welch",_xlfn.T.TEST($O28:$O43,T28:T43,2,3),""))</f>
        <v>7.2216783108877648E-3</v>
      </c>
      <c r="U60" s="83">
        <f>IF(U59="Mann Withney",[1]!MTEST($O28:$O43,U28:U43,2), IF(U59="T-Test Welch",_xlfn.T.TEST($O28:$O43,U28:U43,2,3),""))</f>
        <v>3.1100898295401656E-2</v>
      </c>
      <c r="V60" s="83">
        <f>IF(V59="Mann Withney",[1]!MTEST($O28:$O43,V28:V43,2), IF(V59="T-Test Welch",_xlfn.T.TEST($O28:$O43,V28:V43,2,3),""))</f>
        <v>3.217408396032926E-2</v>
      </c>
    </row>
    <row r="61" spans="1:22" s="3" customFormat="1" ht="15" thickBot="1" x14ac:dyDescent="0.4">
      <c r="A61" s="46" t="s">
        <v>15</v>
      </c>
      <c r="B61" s="79"/>
      <c r="C61" s="79" t="str">
        <f t="shared" ref="C61:M61" si="74">IF(C60&gt;0.05,"NS",IF(C60&gt;0.01,"*",IF(C60&gt;0.001,"**","***")))</f>
        <v>*</v>
      </c>
      <c r="D61" s="79" t="str">
        <f t="shared" si="74"/>
        <v>**</v>
      </c>
      <c r="E61" s="79" t="str">
        <f t="shared" si="74"/>
        <v>***</v>
      </c>
      <c r="F61" s="79" t="str">
        <f t="shared" si="74"/>
        <v>**</v>
      </c>
      <c r="G61" s="79" t="str">
        <f t="shared" si="74"/>
        <v>***</v>
      </c>
      <c r="H61" s="79" t="str">
        <f t="shared" si="74"/>
        <v>***</v>
      </c>
      <c r="I61" s="79" t="str">
        <f t="shared" si="74"/>
        <v>NS</v>
      </c>
      <c r="J61" s="79" t="str">
        <f t="shared" si="74"/>
        <v>NS</v>
      </c>
      <c r="K61" s="79" t="str">
        <f t="shared" si="74"/>
        <v>NS</v>
      </c>
      <c r="L61" s="79" t="str">
        <f t="shared" si="74"/>
        <v>*</v>
      </c>
      <c r="M61" s="79" t="str">
        <f t="shared" si="74"/>
        <v>**</v>
      </c>
      <c r="N61" s="79"/>
      <c r="O61" s="79" t="str">
        <f>IF(O60&gt;0.05,"NS",IF(O60&gt;0.01,"*",IF(O60&gt;0.001,"**","***")))</f>
        <v>***</v>
      </c>
      <c r="P61" s="79" t="str">
        <f>IF(P60&gt;0.05,"NS",IF(P60&gt;0.01,"*",IF(P60&gt;0.001,"**","***")))</f>
        <v>***</v>
      </c>
      <c r="Q61" s="79" t="str">
        <f t="shared" ref="Q61" si="75">IF(Q60&gt;0.05,"NS",IF(Q60&gt;0.01,"*",IF(Q60&gt;0.001,"**","***")))</f>
        <v>***</v>
      </c>
      <c r="R61" s="79" t="str">
        <f t="shared" ref="R61" si="76">IF(R60&gt;0.05,"NS",IF(R60&gt;0.01,"*",IF(R60&gt;0.001,"**","***")))</f>
        <v>NS</v>
      </c>
      <c r="S61" s="79" t="str">
        <f t="shared" ref="S61" si="77">IF(S60&gt;0.05,"NS",IF(S60&gt;0.01,"*",IF(S60&gt;0.001,"**","***")))</f>
        <v>*</v>
      </c>
      <c r="T61" s="79" t="str">
        <f t="shared" ref="T61" si="78">IF(T60&gt;0.05,"NS",IF(T60&gt;0.01,"*",IF(T60&gt;0.001,"**","***")))</f>
        <v>**</v>
      </c>
      <c r="U61" s="79" t="str">
        <f t="shared" ref="U61" si="79">IF(U60&gt;0.05,"NS",IF(U60&gt;0.01,"*",IF(U60&gt;0.001,"**","***")))</f>
        <v>*</v>
      </c>
      <c r="V61" s="79" t="str">
        <f t="shared" ref="V61" si="80">IF(V60&gt;0.05,"NS",IF(V60&gt;0.01,"*",IF(V60&gt;0.001,"**","***")))</f>
        <v>*</v>
      </c>
    </row>
    <row r="63" spans="1:22" x14ac:dyDescent="0.35">
      <c r="A63" s="2"/>
    </row>
    <row r="66" spans="1:22" ht="15" thickBot="1" x14ac:dyDescent="0.4"/>
    <row r="67" spans="1:22" s="1" customFormat="1" ht="26.5" thickBot="1" x14ac:dyDescent="0.65">
      <c r="A67" s="136"/>
      <c r="B67" s="137"/>
      <c r="C67" s="137"/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</row>
    <row r="68" spans="1:22" ht="16.5" x14ac:dyDescent="0.35">
      <c r="A68" s="12"/>
      <c r="B68" s="12"/>
      <c r="C68" s="12"/>
      <c r="D68" s="12"/>
      <c r="E68" s="12"/>
      <c r="F68" s="12"/>
      <c r="N68" s="12"/>
      <c r="O68" s="12"/>
      <c r="P68" s="12"/>
      <c r="Q68" s="12"/>
      <c r="R68" s="12"/>
      <c r="S68" s="12"/>
      <c r="T68" s="12"/>
      <c r="U68" s="12"/>
      <c r="V68" s="12"/>
    </row>
    <row r="69" spans="1:22" ht="16.5" x14ac:dyDescent="0.35">
      <c r="A69" s="12"/>
      <c r="B69" s="12"/>
      <c r="C69" s="12"/>
      <c r="D69" s="12"/>
      <c r="E69" s="12"/>
      <c r="F69" s="12"/>
      <c r="N69" s="12"/>
      <c r="O69" s="12"/>
      <c r="P69" s="12"/>
      <c r="Q69" s="12"/>
      <c r="R69" s="12"/>
      <c r="S69" s="12"/>
      <c r="T69" s="12"/>
      <c r="U69" s="12"/>
      <c r="V69" s="12"/>
    </row>
    <row r="70" spans="1:22" ht="16.5" x14ac:dyDescent="0.35">
      <c r="A70" s="12"/>
      <c r="B70" s="12"/>
      <c r="C70" s="12"/>
      <c r="D70" s="12"/>
      <c r="E70" s="12"/>
      <c r="F70" s="12"/>
      <c r="N70" s="12"/>
      <c r="O70" s="12"/>
      <c r="P70" s="12"/>
      <c r="Q70" s="12"/>
      <c r="R70" s="12"/>
      <c r="S70" s="12"/>
      <c r="T70" s="12"/>
      <c r="U70" s="12"/>
      <c r="V70" s="12"/>
    </row>
    <row r="71" spans="1:22" ht="16.5" x14ac:dyDescent="0.35">
      <c r="A71" s="12"/>
      <c r="B71" s="12"/>
      <c r="C71" s="12"/>
      <c r="D71" s="12"/>
      <c r="E71" s="12"/>
      <c r="F71" s="12"/>
      <c r="N71" s="12"/>
      <c r="O71" s="12"/>
      <c r="P71" s="12"/>
      <c r="Q71" s="12"/>
      <c r="R71" s="12"/>
      <c r="S71" s="12"/>
      <c r="T71" s="12"/>
      <c r="U71" s="12"/>
      <c r="V71" s="12"/>
    </row>
    <row r="72" spans="1:22" ht="16.5" x14ac:dyDescent="0.35">
      <c r="A72" s="12"/>
      <c r="B72" s="12"/>
      <c r="C72" s="12"/>
      <c r="D72" s="12"/>
      <c r="E72" s="12"/>
      <c r="F72" s="12"/>
      <c r="N72" s="12"/>
      <c r="O72" s="12"/>
      <c r="P72" s="12"/>
      <c r="Q72" s="12"/>
      <c r="R72" s="12"/>
      <c r="S72" s="12"/>
      <c r="T72" s="12"/>
      <c r="U72" s="12"/>
      <c r="V72" s="12"/>
    </row>
    <row r="73" spans="1:22" ht="16.5" x14ac:dyDescent="0.35">
      <c r="A73" s="12"/>
      <c r="B73" s="12"/>
      <c r="C73" s="12"/>
      <c r="D73" s="12"/>
      <c r="E73" s="12"/>
      <c r="F73" s="12"/>
      <c r="N73" s="12"/>
      <c r="O73" s="12"/>
      <c r="P73" s="12"/>
      <c r="Q73" s="12"/>
      <c r="R73" s="12"/>
      <c r="S73" s="12"/>
      <c r="T73" s="12"/>
      <c r="U73" s="12"/>
      <c r="V73" s="12"/>
    </row>
    <row r="74" spans="1:22" ht="16.5" x14ac:dyDescent="0.35">
      <c r="A74" s="12"/>
      <c r="B74" s="12"/>
      <c r="C74" s="12"/>
      <c r="D74" s="12"/>
      <c r="E74" s="12"/>
      <c r="F74" s="12"/>
      <c r="N74" s="12"/>
      <c r="O74" s="12"/>
      <c r="P74" s="12"/>
      <c r="Q74" s="12"/>
      <c r="R74" s="12"/>
      <c r="S74" s="12"/>
      <c r="T74" s="12"/>
      <c r="U74" s="12"/>
      <c r="V74" s="12"/>
    </row>
  </sheetData>
  <protectedRanges>
    <protectedRange sqref="O51:V51" name="Plage2"/>
    <protectedRange sqref="R12:V21 R5:V7" name="Plage1"/>
    <protectedRange sqref="B51:J51" name="Plage2_1"/>
    <protectedRange sqref="O5:O7 J5:J6 B13:J21 J11:J12 O12:O21" name="Plage1_1"/>
    <protectedRange sqref="B5:I6 B11:I12 B7:M10 P6:P9 O8:O11 Q8:V11" name="Plage1_1_1"/>
  </protectedRanges>
  <mergeCells count="9">
    <mergeCell ref="A1:V1"/>
    <mergeCell ref="A67:V67"/>
    <mergeCell ref="A50:V50"/>
    <mergeCell ref="A5:A20"/>
    <mergeCell ref="A28:A43"/>
    <mergeCell ref="B3:M3"/>
    <mergeCell ref="B26:M26"/>
    <mergeCell ref="O26:V26"/>
    <mergeCell ref="O3:V3"/>
  </mergeCells>
  <pageMargins left="0.7" right="0.7" top="0.75" bottom="0.75" header="0.3" footer="0.3"/>
  <pageSetup paperSize="9" scale="21" orientation="landscape" r:id="rId1"/>
  <headerFooter>
    <oddHeader>&amp;C&amp;"-,Gras"&amp;14Données brutes et normalisées R1&amp;R&amp;"-,Gras"&amp;14Page : &amp;P/&amp;P</oddHeader>
  </headerFooter>
  <colBreaks count="1" manualBreakCount="1">
    <brk id="1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74"/>
  <sheetViews>
    <sheetView showGridLines="0" zoomScale="70" zoomScaleNormal="70" zoomScaleSheetLayoutView="40" zoomScalePageLayoutView="30" workbookViewId="0">
      <selection activeCell="H13" sqref="B5:H13"/>
    </sheetView>
  </sheetViews>
  <sheetFormatPr baseColWidth="10" defaultColWidth="9.1796875" defaultRowHeight="14.5" x14ac:dyDescent="0.35"/>
  <cols>
    <col min="1" max="1" width="33.54296875" style="1" customWidth="1"/>
    <col min="2" max="2" width="14.81640625" style="1" customWidth="1"/>
    <col min="3" max="5" width="25.81640625" style="1" bestFit="1" customWidth="1"/>
    <col min="6" max="8" width="26.453125" style="1" bestFit="1" customWidth="1"/>
    <col min="9" max="9" width="26.453125" style="1" customWidth="1"/>
    <col min="10" max="10" width="25.81640625" style="1" bestFit="1" customWidth="1"/>
    <col min="11" max="11" width="26.453125" style="1" bestFit="1" customWidth="1"/>
    <col min="12" max="13" width="26.453125" style="1" customWidth="1"/>
    <col min="14" max="14" width="11.7265625" style="1" customWidth="1"/>
    <col min="15" max="15" width="14.81640625" style="1" customWidth="1"/>
    <col min="16" max="16" width="17.7265625" style="1" customWidth="1"/>
    <col min="17" max="18" width="25.81640625" style="1" bestFit="1" customWidth="1"/>
    <col min="19" max="22" width="25.81640625" style="1" customWidth="1"/>
    <col min="23" max="16384" width="9.1796875" style="1"/>
  </cols>
  <sheetData>
    <row r="1" spans="1:22" ht="26.5" thickBot="1" x14ac:dyDescent="0.65">
      <c r="A1" s="134"/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</row>
    <row r="2" spans="1:22" customFormat="1" ht="15" thickBot="1" x14ac:dyDescent="0.4"/>
    <row r="3" spans="1:22" ht="15" thickBot="1" x14ac:dyDescent="0.4">
      <c r="A3" s="84" t="s">
        <v>6</v>
      </c>
      <c r="B3" s="142" t="s">
        <v>42</v>
      </c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O3" s="142" t="s">
        <v>43</v>
      </c>
      <c r="P3" s="143"/>
      <c r="Q3" s="143"/>
      <c r="R3" s="143"/>
      <c r="S3" s="143"/>
      <c r="T3" s="143"/>
      <c r="U3" s="143"/>
      <c r="V3" s="143"/>
    </row>
    <row r="4" spans="1:22" x14ac:dyDescent="0.35">
      <c r="A4" s="19" t="s">
        <v>37</v>
      </c>
      <c r="B4" s="20" t="str">
        <f>'Front page'!A7</f>
        <v>Solvent control</v>
      </c>
      <c r="C4" s="20" t="str">
        <f>'Front page'!A8</f>
        <v>EE2-33.8ng/L</v>
      </c>
      <c r="D4" s="20" t="str">
        <f>'Front page'!A9</f>
        <v>EE2-50.6ng/L</v>
      </c>
      <c r="E4" s="20" t="str">
        <f>'Front page'!A10</f>
        <v>EE2-76ng/L</v>
      </c>
      <c r="F4" s="20" t="str">
        <f>'Front page'!A11</f>
        <v>EE2-114ng/L</v>
      </c>
      <c r="G4" s="20" t="str">
        <f>'Front page'!A12</f>
        <v>EE2-170.9ng/L</v>
      </c>
      <c r="H4" s="20" t="str">
        <f>'Front page'!A13</f>
        <v>EE2-488ng/L</v>
      </c>
      <c r="I4" s="20" t="str">
        <f>'Front page'!A14</f>
        <v>BPA-1mg/L</v>
      </c>
      <c r="J4" s="20" t="str">
        <f>'Front page'!A15</f>
        <v>BPA-2mg/L</v>
      </c>
      <c r="K4" s="20" t="str">
        <f>'Front page'!A16</f>
        <v>BPA-3mg/L</v>
      </c>
      <c r="L4" s="20" t="str">
        <f>'Front page'!A17</f>
        <v>BPA-4mg/L</v>
      </c>
      <c r="M4" s="20" t="str">
        <f>'Front page'!A18</f>
        <v>BPA-5mg/L</v>
      </c>
      <c r="N4" s="3"/>
      <c r="O4" s="21" t="str">
        <f>'Front page'!A35</f>
        <v>Testo -30µg/L</v>
      </c>
      <c r="P4" s="21" t="str">
        <f>'Front page'!A36</f>
        <v>Testo 30µg/L + EE2 -64ng/L</v>
      </c>
      <c r="Q4" s="21" t="str">
        <f>'Front page'!A37</f>
        <v>Testo 30µg/L + FAD-10mg/L</v>
      </c>
      <c r="R4" s="21" t="str">
        <f>'Front page'!A38</f>
        <v>BPA-1mg/L + Testostérone</v>
      </c>
      <c r="S4" s="21" t="str">
        <f>'Front page'!A39</f>
        <v>BPA-2mg/L + Testostérone</v>
      </c>
      <c r="T4" s="21" t="str">
        <f>'Front page'!A40</f>
        <v>BPA-3mg/L + Testostérone</v>
      </c>
      <c r="U4" s="21" t="str">
        <f>'Front page'!A41</f>
        <v>BPA-4mg/L + Testostérone</v>
      </c>
      <c r="V4" s="21" t="str">
        <f>'Front page'!A42</f>
        <v>BPA-5mg/L + Testostérone</v>
      </c>
    </row>
    <row r="5" spans="1:22" x14ac:dyDescent="0.35">
      <c r="A5" s="138" t="s">
        <v>35</v>
      </c>
      <c r="B5" s="17">
        <v>14159</v>
      </c>
      <c r="C5" s="17">
        <v>1000998</v>
      </c>
      <c r="D5" s="17">
        <v>604592</v>
      </c>
      <c r="E5" s="17">
        <v>604880</v>
      </c>
      <c r="F5" s="17">
        <v>4881547</v>
      </c>
      <c r="G5" s="17">
        <v>6616378</v>
      </c>
      <c r="H5" s="17">
        <v>6372864</v>
      </c>
      <c r="I5" s="17">
        <v>22255</v>
      </c>
      <c r="J5" s="17">
        <v>330634</v>
      </c>
      <c r="K5" s="13">
        <v>112774</v>
      </c>
      <c r="L5" s="13">
        <v>127937</v>
      </c>
      <c r="M5" s="13">
        <v>3507802</v>
      </c>
      <c r="N5" s="3"/>
      <c r="O5" s="17">
        <v>1122759</v>
      </c>
      <c r="P5" s="13">
        <v>8898570</v>
      </c>
      <c r="Q5" s="13">
        <v>75738</v>
      </c>
      <c r="R5" s="17">
        <v>2549754</v>
      </c>
      <c r="S5" s="17">
        <v>2732355</v>
      </c>
      <c r="T5" s="17">
        <v>7258804</v>
      </c>
      <c r="U5" s="17">
        <v>4914014</v>
      </c>
      <c r="V5" s="17">
        <v>7839765</v>
      </c>
    </row>
    <row r="6" spans="1:22" ht="16.5" x14ac:dyDescent="0.35">
      <c r="A6" s="139"/>
      <c r="B6" s="14">
        <v>28379</v>
      </c>
      <c r="C6" s="13">
        <v>72708</v>
      </c>
      <c r="D6" s="17">
        <v>1626818</v>
      </c>
      <c r="E6" s="17">
        <v>1117348</v>
      </c>
      <c r="F6" s="17">
        <v>1731234</v>
      </c>
      <c r="G6" s="17">
        <v>5547818</v>
      </c>
      <c r="H6" s="17">
        <v>8983010</v>
      </c>
      <c r="I6" s="17">
        <v>54887</v>
      </c>
      <c r="J6" s="17">
        <v>200790</v>
      </c>
      <c r="K6" s="13">
        <v>65221</v>
      </c>
      <c r="L6" s="13">
        <v>133525</v>
      </c>
      <c r="M6" s="13">
        <v>1629746</v>
      </c>
      <c r="N6" s="3"/>
      <c r="O6" s="17">
        <v>1139274</v>
      </c>
      <c r="P6" s="13">
        <v>3772461</v>
      </c>
      <c r="Q6" s="13">
        <v>84948</v>
      </c>
      <c r="R6" s="17">
        <v>1157480</v>
      </c>
      <c r="S6" s="17">
        <v>2517073</v>
      </c>
      <c r="T6" s="17">
        <v>3434137</v>
      </c>
      <c r="U6" s="17">
        <v>5039732</v>
      </c>
      <c r="V6" s="17">
        <v>8411325</v>
      </c>
    </row>
    <row r="7" spans="1:22" ht="16.5" x14ac:dyDescent="0.35">
      <c r="A7" s="139"/>
      <c r="B7" s="14">
        <v>121513</v>
      </c>
      <c r="C7" s="13">
        <v>93227</v>
      </c>
      <c r="D7" s="17">
        <v>192314</v>
      </c>
      <c r="E7" s="17">
        <v>1984922</v>
      </c>
      <c r="F7" s="17">
        <v>4593435</v>
      </c>
      <c r="G7" s="17">
        <v>4474566</v>
      </c>
      <c r="H7" s="17">
        <v>7216257</v>
      </c>
      <c r="I7" s="17">
        <v>220335</v>
      </c>
      <c r="J7" s="17">
        <v>73117</v>
      </c>
      <c r="K7" s="13">
        <v>207057</v>
      </c>
      <c r="L7" s="13">
        <v>921921</v>
      </c>
      <c r="M7" s="13">
        <v>501995</v>
      </c>
      <c r="N7" s="3"/>
      <c r="O7" s="17">
        <v>1978479</v>
      </c>
      <c r="P7" s="13">
        <v>3030272</v>
      </c>
      <c r="Q7" s="13">
        <v>79458</v>
      </c>
      <c r="R7" s="17">
        <v>15676</v>
      </c>
      <c r="S7" s="17">
        <v>1189142</v>
      </c>
      <c r="T7" s="17">
        <v>5132589</v>
      </c>
      <c r="U7" s="17">
        <v>3836848</v>
      </c>
      <c r="V7" s="17">
        <v>8623596</v>
      </c>
    </row>
    <row r="8" spans="1:22" ht="16.5" x14ac:dyDescent="0.35">
      <c r="A8" s="139"/>
      <c r="B8" s="14">
        <v>86474</v>
      </c>
      <c r="C8" s="13">
        <v>114241</v>
      </c>
      <c r="D8" s="17">
        <v>959452</v>
      </c>
      <c r="E8" s="17">
        <v>2160125</v>
      </c>
      <c r="F8" s="17">
        <v>7657514</v>
      </c>
      <c r="G8" s="17">
        <v>4844722</v>
      </c>
      <c r="H8" s="17">
        <v>5855810</v>
      </c>
      <c r="I8" s="17">
        <v>151881</v>
      </c>
      <c r="J8" s="17">
        <v>66284</v>
      </c>
      <c r="K8" s="13">
        <v>72661</v>
      </c>
      <c r="L8" s="13">
        <v>398271</v>
      </c>
      <c r="M8" s="13">
        <v>299894</v>
      </c>
      <c r="N8" s="3"/>
      <c r="O8" s="17">
        <v>394517</v>
      </c>
      <c r="P8" s="13">
        <v>6261709</v>
      </c>
      <c r="Q8" s="13">
        <v>223033</v>
      </c>
      <c r="R8" s="17">
        <v>2731641</v>
      </c>
      <c r="S8" s="17">
        <v>298139</v>
      </c>
      <c r="T8" s="17">
        <v>4661554</v>
      </c>
      <c r="U8" s="17">
        <v>4726560</v>
      </c>
      <c r="V8" s="17">
        <v>5114176</v>
      </c>
    </row>
    <row r="9" spans="1:22" ht="16.5" x14ac:dyDescent="0.35">
      <c r="A9" s="139"/>
      <c r="B9" s="14">
        <v>174073</v>
      </c>
      <c r="C9" s="13">
        <v>217315</v>
      </c>
      <c r="D9" s="17">
        <v>837303</v>
      </c>
      <c r="E9" s="17">
        <v>4753438</v>
      </c>
      <c r="F9" s="17">
        <v>1644986</v>
      </c>
      <c r="G9" s="17">
        <v>2741081</v>
      </c>
      <c r="H9" s="17">
        <v>5145738</v>
      </c>
      <c r="I9" s="17">
        <v>142840</v>
      </c>
      <c r="J9" s="17">
        <v>604464</v>
      </c>
      <c r="K9" s="13">
        <v>131265</v>
      </c>
      <c r="L9" s="13">
        <v>54516</v>
      </c>
      <c r="M9" s="13">
        <v>1398473</v>
      </c>
      <c r="N9" s="3"/>
      <c r="O9" s="17">
        <v>3776283</v>
      </c>
      <c r="P9" s="13">
        <v>3582444</v>
      </c>
      <c r="Q9" s="13">
        <v>19153</v>
      </c>
      <c r="R9" s="17">
        <v>457982</v>
      </c>
      <c r="S9" s="17">
        <v>2479461</v>
      </c>
      <c r="T9" s="17">
        <v>4402351</v>
      </c>
      <c r="U9" s="17">
        <v>4718432</v>
      </c>
      <c r="V9" s="17">
        <v>4847642</v>
      </c>
    </row>
    <row r="10" spans="1:22" ht="16.5" x14ac:dyDescent="0.35">
      <c r="A10" s="139"/>
      <c r="B10" s="14">
        <v>61514</v>
      </c>
      <c r="C10" s="13">
        <v>65767</v>
      </c>
      <c r="D10" s="17">
        <v>1788181</v>
      </c>
      <c r="E10" s="17">
        <v>3141552</v>
      </c>
      <c r="F10" s="17">
        <v>2674888</v>
      </c>
      <c r="G10" s="17">
        <v>3078429</v>
      </c>
      <c r="H10" s="17">
        <v>7205188</v>
      </c>
      <c r="I10" s="17">
        <v>314930</v>
      </c>
      <c r="J10" s="17">
        <v>40038</v>
      </c>
      <c r="K10" s="13">
        <v>1014563</v>
      </c>
      <c r="L10" s="13">
        <v>96669</v>
      </c>
      <c r="M10" s="13">
        <v>1037245</v>
      </c>
      <c r="N10" s="3"/>
      <c r="O10" s="17">
        <v>1178854</v>
      </c>
      <c r="P10" s="13">
        <v>3029666</v>
      </c>
      <c r="Q10" s="13">
        <v>247241</v>
      </c>
      <c r="R10" s="17">
        <v>1438408</v>
      </c>
      <c r="S10" s="17">
        <v>2318809</v>
      </c>
      <c r="T10" s="17">
        <v>7526193</v>
      </c>
      <c r="U10" s="17">
        <v>3757971</v>
      </c>
      <c r="V10" s="17">
        <v>8706403</v>
      </c>
    </row>
    <row r="11" spans="1:22" ht="16.5" x14ac:dyDescent="0.35">
      <c r="A11" s="139"/>
      <c r="B11" s="14">
        <v>72001</v>
      </c>
      <c r="C11" s="13">
        <v>199728</v>
      </c>
      <c r="D11" s="17">
        <v>1345193</v>
      </c>
      <c r="E11" s="17">
        <v>2348048</v>
      </c>
      <c r="F11" s="17">
        <v>4876029</v>
      </c>
      <c r="G11" s="17">
        <v>4634261</v>
      </c>
      <c r="H11" s="17">
        <v>3596537</v>
      </c>
      <c r="I11" s="17">
        <v>64149</v>
      </c>
      <c r="J11" s="17">
        <v>94345</v>
      </c>
      <c r="K11" s="13">
        <v>290817</v>
      </c>
      <c r="L11" s="13">
        <v>381061</v>
      </c>
      <c r="M11" s="13">
        <v>1495106</v>
      </c>
      <c r="N11" s="3"/>
      <c r="O11" s="17">
        <v>158801</v>
      </c>
      <c r="P11" s="13">
        <v>5111162</v>
      </c>
      <c r="Q11" s="13">
        <v>249971</v>
      </c>
      <c r="R11" s="17">
        <v>1074156</v>
      </c>
      <c r="S11" s="17">
        <v>2661982</v>
      </c>
      <c r="T11" s="17">
        <v>5038636</v>
      </c>
      <c r="U11" s="17">
        <v>6931512</v>
      </c>
      <c r="V11" s="17">
        <v>1612620</v>
      </c>
    </row>
    <row r="12" spans="1:22" ht="16.5" x14ac:dyDescent="0.35">
      <c r="A12" s="139"/>
      <c r="B12" s="14">
        <v>160380</v>
      </c>
      <c r="C12" s="13">
        <v>217854</v>
      </c>
      <c r="D12" s="17">
        <v>137764</v>
      </c>
      <c r="E12" s="17">
        <v>1802229</v>
      </c>
      <c r="F12" s="17">
        <v>3731776</v>
      </c>
      <c r="G12" s="17">
        <v>6124493</v>
      </c>
      <c r="H12" s="17">
        <v>10745023</v>
      </c>
      <c r="I12" s="17">
        <v>196706</v>
      </c>
      <c r="J12" s="17"/>
      <c r="K12" s="13">
        <v>289115</v>
      </c>
      <c r="L12" s="13">
        <v>150132</v>
      </c>
      <c r="M12" s="13">
        <v>2413851</v>
      </c>
      <c r="N12" s="3"/>
      <c r="O12" s="17">
        <v>763690</v>
      </c>
      <c r="P12" s="13"/>
      <c r="Q12" s="13">
        <v>13739</v>
      </c>
      <c r="R12" s="17">
        <v>1020006</v>
      </c>
      <c r="S12" s="17">
        <v>3560716</v>
      </c>
      <c r="T12" s="17">
        <v>513672</v>
      </c>
      <c r="U12" s="17">
        <v>5786584</v>
      </c>
      <c r="V12" s="17">
        <v>4763648</v>
      </c>
    </row>
    <row r="13" spans="1:22" ht="16.5" x14ac:dyDescent="0.35">
      <c r="A13" s="139"/>
      <c r="B13" s="14"/>
      <c r="C13" s="13"/>
      <c r="D13" s="17"/>
      <c r="E13" s="17"/>
      <c r="F13" s="17"/>
      <c r="G13" s="17"/>
      <c r="H13" s="17"/>
      <c r="I13" s="17"/>
      <c r="J13" s="17"/>
      <c r="K13" s="13"/>
      <c r="L13" s="13"/>
      <c r="M13" s="13"/>
      <c r="N13" s="3"/>
      <c r="O13" s="17">
        <v>1562924</v>
      </c>
      <c r="P13" s="13"/>
      <c r="Q13" s="13"/>
      <c r="R13" s="17"/>
      <c r="S13" s="17"/>
      <c r="T13" s="17"/>
      <c r="U13" s="17"/>
      <c r="V13" s="17"/>
    </row>
    <row r="14" spans="1:22" ht="16.5" x14ac:dyDescent="0.35">
      <c r="A14" s="139"/>
      <c r="B14" s="14"/>
      <c r="C14" s="17"/>
      <c r="D14" s="17"/>
      <c r="E14" s="17"/>
      <c r="F14" s="17"/>
      <c r="G14" s="17"/>
      <c r="H14" s="17"/>
      <c r="I14" s="17"/>
      <c r="J14" s="17"/>
      <c r="K14" s="13"/>
      <c r="L14" s="13"/>
      <c r="M14" s="13"/>
      <c r="N14" s="3"/>
      <c r="O14" s="17">
        <v>1498603</v>
      </c>
      <c r="P14" s="13"/>
      <c r="Q14" s="13"/>
      <c r="R14" s="17"/>
      <c r="S14" s="17"/>
      <c r="T14" s="17"/>
      <c r="U14" s="17"/>
      <c r="V14" s="17"/>
    </row>
    <row r="15" spans="1:22" ht="16.5" x14ac:dyDescent="0.35">
      <c r="A15" s="139"/>
      <c r="B15" s="14"/>
      <c r="C15" s="17"/>
      <c r="D15" s="17"/>
      <c r="E15" s="17"/>
      <c r="F15" s="17"/>
      <c r="G15" s="17"/>
      <c r="H15" s="17"/>
      <c r="I15" s="17"/>
      <c r="J15" s="17"/>
      <c r="K15" s="13"/>
      <c r="L15" s="13"/>
      <c r="M15" s="13"/>
      <c r="N15" s="3"/>
      <c r="O15" s="17">
        <v>1750872</v>
      </c>
      <c r="P15" s="13"/>
      <c r="Q15" s="13"/>
      <c r="R15" s="17"/>
      <c r="S15" s="17"/>
      <c r="T15" s="17"/>
      <c r="U15" s="17"/>
      <c r="V15" s="17"/>
    </row>
    <row r="16" spans="1:22" ht="16.5" x14ac:dyDescent="0.35">
      <c r="A16" s="139"/>
      <c r="B16" s="14"/>
      <c r="C16" s="17"/>
      <c r="D16" s="17"/>
      <c r="E16" s="17"/>
      <c r="F16" s="17"/>
      <c r="G16" s="17"/>
      <c r="H16" s="17"/>
      <c r="I16" s="17"/>
      <c r="J16" s="17"/>
      <c r="K16" s="13"/>
      <c r="L16" s="13"/>
      <c r="M16" s="13"/>
      <c r="N16" s="3"/>
      <c r="O16" s="17">
        <v>9901</v>
      </c>
      <c r="P16" s="13"/>
      <c r="Q16" s="13"/>
      <c r="R16" s="17"/>
      <c r="S16" s="17"/>
      <c r="T16" s="17"/>
      <c r="U16" s="17"/>
      <c r="V16" s="17"/>
    </row>
    <row r="17" spans="1:22" ht="16.5" x14ac:dyDescent="0.35">
      <c r="A17" s="139"/>
      <c r="B17" s="14"/>
      <c r="C17" s="17"/>
      <c r="D17" s="17"/>
      <c r="E17" s="17"/>
      <c r="F17" s="17"/>
      <c r="G17" s="17"/>
      <c r="H17" s="17"/>
      <c r="I17" s="17"/>
      <c r="J17" s="17"/>
      <c r="K17" s="13"/>
      <c r="L17" s="13"/>
      <c r="M17" s="13"/>
      <c r="N17" s="3"/>
      <c r="O17" s="17">
        <v>827890</v>
      </c>
      <c r="P17" s="13"/>
      <c r="Q17" s="13"/>
      <c r="R17" s="17"/>
      <c r="S17" s="17"/>
      <c r="T17" s="17"/>
      <c r="U17" s="17"/>
      <c r="V17" s="17"/>
    </row>
    <row r="18" spans="1:22" ht="16.5" x14ac:dyDescent="0.35">
      <c r="A18" s="139"/>
      <c r="B18" s="14"/>
      <c r="C18" s="17"/>
      <c r="D18" s="17"/>
      <c r="E18" s="17"/>
      <c r="F18" s="17"/>
      <c r="G18" s="17"/>
      <c r="H18" s="17"/>
      <c r="I18" s="17"/>
      <c r="J18" s="17"/>
      <c r="K18" s="13"/>
      <c r="L18" s="13"/>
      <c r="M18" s="13"/>
      <c r="N18" s="3"/>
      <c r="O18" s="17">
        <v>166340</v>
      </c>
      <c r="P18" s="13"/>
      <c r="Q18" s="13"/>
      <c r="R18" s="17"/>
      <c r="S18" s="17"/>
      <c r="T18" s="17"/>
      <c r="U18" s="17"/>
      <c r="V18" s="17"/>
    </row>
    <row r="19" spans="1:22" ht="16.5" x14ac:dyDescent="0.35">
      <c r="A19" s="139"/>
      <c r="B19" s="14"/>
      <c r="C19" s="17"/>
      <c r="D19" s="17"/>
      <c r="E19" s="17"/>
      <c r="F19" s="17"/>
      <c r="G19" s="17"/>
      <c r="H19" s="17"/>
      <c r="I19" s="17"/>
      <c r="J19" s="17"/>
      <c r="K19" s="13"/>
      <c r="L19" s="13"/>
      <c r="M19" s="13"/>
      <c r="N19" s="3"/>
      <c r="O19" s="17">
        <v>748759</v>
      </c>
      <c r="P19" s="13"/>
      <c r="Q19" s="13"/>
      <c r="R19" s="17"/>
      <c r="S19" s="17"/>
      <c r="T19" s="17"/>
      <c r="U19" s="17"/>
      <c r="V19" s="17"/>
    </row>
    <row r="20" spans="1:22" ht="16.5" x14ac:dyDescent="0.35">
      <c r="A20" s="139"/>
      <c r="B20" s="14"/>
      <c r="C20" s="17"/>
      <c r="D20" s="17"/>
      <c r="E20" s="17"/>
      <c r="F20" s="17"/>
      <c r="G20" s="17"/>
      <c r="H20" s="17"/>
      <c r="I20" s="17"/>
      <c r="J20" s="17"/>
      <c r="K20" s="13"/>
      <c r="L20" s="13"/>
      <c r="M20" s="13"/>
      <c r="N20" s="3"/>
      <c r="O20" s="17">
        <v>148954</v>
      </c>
      <c r="P20" s="13"/>
      <c r="Q20" s="13"/>
      <c r="R20" s="17"/>
      <c r="S20" s="17"/>
      <c r="T20" s="17"/>
      <c r="U20" s="17"/>
      <c r="V20" s="17"/>
    </row>
    <row r="21" spans="1:22" x14ac:dyDescent="0.35">
      <c r="A21" s="49"/>
      <c r="B21" s="7"/>
      <c r="C21" s="7"/>
      <c r="D21" s="7"/>
      <c r="E21" s="7"/>
      <c r="F21" s="7"/>
      <c r="G21" s="7"/>
      <c r="H21" s="7"/>
      <c r="I21" s="7"/>
      <c r="J21" s="7"/>
      <c r="N21" s="3"/>
      <c r="O21" s="7"/>
      <c r="R21" s="7"/>
      <c r="S21" s="7"/>
      <c r="T21" s="7"/>
      <c r="U21" s="7"/>
      <c r="V21" s="7"/>
    </row>
    <row r="22" spans="1:22" x14ac:dyDescent="0.35">
      <c r="A22" s="51" t="str">
        <f t="shared" ref="A22" si="0">A4</f>
        <v>Group names</v>
      </c>
      <c r="B22" s="3" t="str">
        <f t="shared" ref="B22:V22" si="1">B4</f>
        <v>Solvent control</v>
      </c>
      <c r="C22" s="3" t="str">
        <f t="shared" si="1"/>
        <v>EE2-33.8ng/L</v>
      </c>
      <c r="D22" s="3" t="str">
        <f t="shared" si="1"/>
        <v>EE2-50.6ng/L</v>
      </c>
      <c r="E22" s="3" t="str">
        <f t="shared" si="1"/>
        <v>EE2-76ng/L</v>
      </c>
      <c r="F22" s="3" t="str">
        <f t="shared" si="1"/>
        <v>EE2-114ng/L</v>
      </c>
      <c r="G22" s="3" t="str">
        <f t="shared" si="1"/>
        <v>EE2-170.9ng/L</v>
      </c>
      <c r="H22" s="3" t="str">
        <f t="shared" si="1"/>
        <v>EE2-488ng/L</v>
      </c>
      <c r="I22" s="3" t="str">
        <f t="shared" si="1"/>
        <v>BPA-1mg/L</v>
      </c>
      <c r="J22" s="3" t="str">
        <f t="shared" si="1"/>
        <v>BPA-2mg/L</v>
      </c>
      <c r="K22" s="3" t="str">
        <f t="shared" si="1"/>
        <v>BPA-3mg/L</v>
      </c>
      <c r="L22" s="3" t="str">
        <f t="shared" si="1"/>
        <v>BPA-4mg/L</v>
      </c>
      <c r="M22" s="3" t="str">
        <f t="shared" si="1"/>
        <v>BPA-5mg/L</v>
      </c>
      <c r="N22" s="3" t="s">
        <v>11</v>
      </c>
      <c r="O22" s="3" t="str">
        <f t="shared" si="1"/>
        <v>Testo -30µg/L</v>
      </c>
      <c r="P22" s="3" t="str">
        <f t="shared" si="1"/>
        <v>Testo 30µg/L + EE2 -64ng/L</v>
      </c>
      <c r="Q22" s="3" t="str">
        <f t="shared" si="1"/>
        <v>Testo 30µg/L + FAD-10mg/L</v>
      </c>
      <c r="R22" s="3" t="str">
        <f t="shared" si="1"/>
        <v>BPA-1mg/L + Testostérone</v>
      </c>
      <c r="S22" s="3" t="str">
        <f t="shared" si="1"/>
        <v>BPA-2mg/L + Testostérone</v>
      </c>
      <c r="T22" s="3" t="str">
        <f t="shared" si="1"/>
        <v>BPA-3mg/L + Testostérone</v>
      </c>
      <c r="U22" s="3" t="str">
        <f t="shared" si="1"/>
        <v>BPA-4mg/L + Testostérone</v>
      </c>
      <c r="V22" s="3" t="str">
        <f t="shared" si="1"/>
        <v>BPA-5mg/L + Testostérone</v>
      </c>
    </row>
    <row r="23" spans="1:22" x14ac:dyDescent="0.35">
      <c r="A23" s="5" t="s">
        <v>0</v>
      </c>
      <c r="B23" s="5">
        <f t="shared" ref="B23:J23" si="2">AVERAGE(B5:B20)</f>
        <v>89811.625</v>
      </c>
      <c r="C23" s="5">
        <f t="shared" si="2"/>
        <v>247729.75</v>
      </c>
      <c r="D23" s="5">
        <f t="shared" si="2"/>
        <v>936452.125</v>
      </c>
      <c r="E23" s="5">
        <f t="shared" si="2"/>
        <v>2239067.75</v>
      </c>
      <c r="F23" s="5">
        <f t="shared" si="2"/>
        <v>3973926.125</v>
      </c>
      <c r="G23" s="5">
        <f t="shared" si="2"/>
        <v>4757718.5</v>
      </c>
      <c r="H23" s="5">
        <f t="shared" si="2"/>
        <v>6890053.375</v>
      </c>
      <c r="I23" s="5">
        <f t="shared" si="2"/>
        <v>145997.875</v>
      </c>
      <c r="J23" s="5">
        <f t="shared" si="2"/>
        <v>201381.71428571429</v>
      </c>
      <c r="K23" s="5"/>
      <c r="L23" s="5">
        <f>AVERAGE(L5:L20)</f>
        <v>283004</v>
      </c>
      <c r="M23" s="5"/>
      <c r="N23" s="5" t="s">
        <v>0</v>
      </c>
      <c r="O23" s="5">
        <f>AVERAGE(O5:O20)</f>
        <v>1076681.25</v>
      </c>
      <c r="P23" s="5">
        <f>AVERAGE(P5:P20)</f>
        <v>4812326.2857142854</v>
      </c>
      <c r="Q23" s="5">
        <f>AVERAGE(Q5:Q20)</f>
        <v>124160.125</v>
      </c>
      <c r="R23" s="5">
        <f>AVERAGE(R5:R20)</f>
        <v>1305637.875</v>
      </c>
      <c r="S23" s="5">
        <f>AVERAGE(S5:S20)</f>
        <v>2219709.625</v>
      </c>
      <c r="T23" s="5">
        <f t="shared" ref="T23:V23" si="3">AVERAGE(T5:T20)</f>
        <v>4745992</v>
      </c>
      <c r="U23" s="5">
        <f t="shared" si="3"/>
        <v>4963956.625</v>
      </c>
      <c r="V23" s="5">
        <f t="shared" si="3"/>
        <v>6239896.875</v>
      </c>
    </row>
    <row r="24" spans="1:22" x14ac:dyDescent="0.35">
      <c r="A24" s="3" t="s">
        <v>1</v>
      </c>
      <c r="B24" s="3">
        <f t="shared" ref="B24:J24" si="4">STDEV(B5:B20)</f>
        <v>58200.703004928189</v>
      </c>
      <c r="C24" s="3">
        <f t="shared" si="4"/>
        <v>310981.91114401771</v>
      </c>
      <c r="D24" s="3">
        <f t="shared" si="4"/>
        <v>618898.92743563722</v>
      </c>
      <c r="E24" s="3">
        <f t="shared" si="4"/>
        <v>1272729.7538185676</v>
      </c>
      <c r="F24" s="3">
        <f t="shared" si="4"/>
        <v>1992483.8388117794</v>
      </c>
      <c r="G24" s="3">
        <f t="shared" si="4"/>
        <v>1359452.1808162287</v>
      </c>
      <c r="H24" s="3">
        <f t="shared" si="4"/>
        <v>2225630.1620902102</v>
      </c>
      <c r="I24" s="3">
        <f t="shared" si="4"/>
        <v>97828.346228684066</v>
      </c>
      <c r="J24" s="3">
        <f t="shared" si="4"/>
        <v>204684.19342384851</v>
      </c>
      <c r="K24" s="3"/>
      <c r="L24" s="3">
        <f>STDEV(L5:L20)</f>
        <v>288367.02855661471</v>
      </c>
      <c r="M24" s="3"/>
      <c r="N24" s="3" t="s">
        <v>1</v>
      </c>
      <c r="O24" s="3">
        <f>STDEV(O5:O20)</f>
        <v>944782.76821835258</v>
      </c>
      <c r="P24" s="3">
        <f>STDEV(P5:P20)</f>
        <v>2153869.6242571352</v>
      </c>
      <c r="Q24" s="3">
        <f>STDEV(Q5:Q20)</f>
        <v>99894.957353694423</v>
      </c>
      <c r="R24" s="3">
        <f>STDEV(R5:R20)</f>
        <v>936450.75035299978</v>
      </c>
      <c r="S24" s="3">
        <f>STDEV(S5:S20)</f>
        <v>1012558.8496675056</v>
      </c>
      <c r="T24" s="3">
        <f t="shared" ref="T24:V24" si="5">STDEV(T5:T20)</f>
        <v>2205109.4736361732</v>
      </c>
      <c r="U24" s="3">
        <f t="shared" si="5"/>
        <v>1028010.6172560306</v>
      </c>
      <c r="V24" s="3">
        <f t="shared" si="5"/>
        <v>2558933.2388667874</v>
      </c>
    </row>
    <row r="25" spans="1:22" ht="15" thickBot="1" x14ac:dyDescent="0.4"/>
    <row r="26" spans="1:22" ht="15" thickBot="1" x14ac:dyDescent="0.4">
      <c r="B26" s="142" t="s">
        <v>42</v>
      </c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O26" s="142" t="s">
        <v>43</v>
      </c>
      <c r="P26" s="143"/>
      <c r="Q26" s="143"/>
      <c r="R26" s="143"/>
      <c r="S26" s="143"/>
      <c r="T26" s="143"/>
      <c r="U26" s="143"/>
      <c r="V26" s="143"/>
    </row>
    <row r="27" spans="1:22" x14ac:dyDescent="0.35">
      <c r="A27" s="19" t="str">
        <f>A4</f>
        <v>Group names</v>
      </c>
      <c r="B27" s="20" t="str">
        <f>B4</f>
        <v>Solvent control</v>
      </c>
      <c r="C27" s="20" t="str">
        <f t="shared" ref="C27:M27" si="6">C4</f>
        <v>EE2-33.8ng/L</v>
      </c>
      <c r="D27" s="20" t="str">
        <f t="shared" si="6"/>
        <v>EE2-50.6ng/L</v>
      </c>
      <c r="E27" s="20" t="str">
        <f t="shared" si="6"/>
        <v>EE2-76ng/L</v>
      </c>
      <c r="F27" s="20" t="str">
        <f t="shared" si="6"/>
        <v>EE2-114ng/L</v>
      </c>
      <c r="G27" s="20" t="str">
        <f t="shared" si="6"/>
        <v>EE2-170.9ng/L</v>
      </c>
      <c r="H27" s="20" t="str">
        <f t="shared" si="6"/>
        <v>EE2-488ng/L</v>
      </c>
      <c r="I27" s="20" t="str">
        <f t="shared" si="6"/>
        <v>BPA-1mg/L</v>
      </c>
      <c r="J27" s="20" t="str">
        <f t="shared" si="6"/>
        <v>BPA-2mg/L</v>
      </c>
      <c r="K27" s="20" t="str">
        <f t="shared" si="6"/>
        <v>BPA-3mg/L</v>
      </c>
      <c r="L27" s="20" t="str">
        <f t="shared" si="6"/>
        <v>BPA-4mg/L</v>
      </c>
      <c r="M27" s="20" t="str">
        <f t="shared" si="6"/>
        <v>BPA-5mg/L</v>
      </c>
      <c r="N27" s="3"/>
      <c r="O27" s="21" t="str">
        <f>O4</f>
        <v>Testo -30µg/L</v>
      </c>
      <c r="P27" s="21" t="str">
        <f t="shared" ref="P27:R27" si="7">P4</f>
        <v>Testo 30µg/L + EE2 -64ng/L</v>
      </c>
      <c r="Q27" s="21" t="str">
        <f t="shared" si="7"/>
        <v>Testo 30µg/L + FAD-10mg/L</v>
      </c>
      <c r="R27" s="21" t="str">
        <f t="shared" si="7"/>
        <v>BPA-1mg/L + Testostérone</v>
      </c>
      <c r="S27" s="21" t="str">
        <f t="shared" ref="S27:V27" si="8">S4</f>
        <v>BPA-2mg/L + Testostérone</v>
      </c>
      <c r="T27" s="21" t="str">
        <f t="shared" si="8"/>
        <v>BPA-3mg/L + Testostérone</v>
      </c>
      <c r="U27" s="21" t="str">
        <f t="shared" si="8"/>
        <v>BPA-4mg/L + Testostérone</v>
      </c>
      <c r="V27" s="21" t="str">
        <f t="shared" si="8"/>
        <v>BPA-5mg/L + Testostérone</v>
      </c>
    </row>
    <row r="28" spans="1:22" ht="14.5" customHeight="1" x14ac:dyDescent="0.35">
      <c r="A28" s="140" t="s">
        <v>36</v>
      </c>
      <c r="B28" s="11">
        <f t="shared" ref="B28:M28" si="9">IF(B5="","",(B5/$O$23))</f>
        <v>1.3150595870411973E-2</v>
      </c>
      <c r="C28" s="11">
        <f t="shared" si="9"/>
        <v>0.92970691186458387</v>
      </c>
      <c r="D28" s="11">
        <f t="shared" si="9"/>
        <v>0.56153295137256265</v>
      </c>
      <c r="E28" s="11">
        <f t="shared" si="9"/>
        <v>0.56180044000952001</v>
      </c>
      <c r="F28" s="11">
        <f t="shared" si="9"/>
        <v>4.5338831710870791</v>
      </c>
      <c r="G28" s="11">
        <f t="shared" si="9"/>
        <v>6.1451594889388108</v>
      </c>
      <c r="H28" s="11">
        <f t="shared" si="9"/>
        <v>5.9189885585915052</v>
      </c>
      <c r="I28" s="11">
        <f t="shared" si="9"/>
        <v>2.0669998664878765E-2</v>
      </c>
      <c r="J28" s="11">
        <f t="shared" si="9"/>
        <v>0.30708624302689397</v>
      </c>
      <c r="K28" s="11">
        <f t="shared" si="9"/>
        <v>0.10474223452855708</v>
      </c>
      <c r="L28" s="11">
        <f t="shared" si="9"/>
        <v>0.11882532550836192</v>
      </c>
      <c r="M28" s="11">
        <f t="shared" si="9"/>
        <v>3.2579763045005197</v>
      </c>
      <c r="N28" s="6"/>
      <c r="O28" s="11">
        <f t="shared" ref="O28:S37" si="10">IF(O5="","",(O5/$O$23))</f>
        <v>1.0427960921581945</v>
      </c>
      <c r="P28" s="11">
        <f t="shared" si="10"/>
        <v>8.2648137505877433</v>
      </c>
      <c r="Q28" s="11">
        <f t="shared" si="10"/>
        <v>7.0343938839837694E-2</v>
      </c>
      <c r="R28" s="11">
        <f t="shared" si="10"/>
        <v>2.3681604931821743</v>
      </c>
      <c r="S28" s="11">
        <f t="shared" si="10"/>
        <v>2.5377566480330183</v>
      </c>
      <c r="T28" s="11">
        <f t="shared" ref="T28:V43" si="11">IF(T5="","",(T5/$O$23))</f>
        <v>6.7418319024316622</v>
      </c>
      <c r="U28" s="11">
        <f t="shared" si="11"/>
        <v>4.5640378710040697</v>
      </c>
      <c r="V28" s="11">
        <f t="shared" si="11"/>
        <v>7.2814168538738837</v>
      </c>
    </row>
    <row r="29" spans="1:22" x14ac:dyDescent="0.35">
      <c r="A29" s="141"/>
      <c r="B29" s="11">
        <f t="shared" ref="B29:M29" si="12">IF(B6="","",(B6/$O$23))</f>
        <v>2.6357847320179487E-2</v>
      </c>
      <c r="C29" s="11">
        <f t="shared" si="12"/>
        <v>6.7529735471849262E-2</v>
      </c>
      <c r="D29" s="11">
        <f t="shared" si="12"/>
        <v>1.5109560048528754</v>
      </c>
      <c r="E29" s="11">
        <f t="shared" si="12"/>
        <v>1.0377704636353611</v>
      </c>
      <c r="F29" s="11">
        <f t="shared" si="12"/>
        <v>1.6079354962297336</v>
      </c>
      <c r="G29" s="11">
        <f t="shared" si="12"/>
        <v>5.152702343428011</v>
      </c>
      <c r="H29" s="11">
        <f t="shared" si="12"/>
        <v>8.3432399328956457</v>
      </c>
      <c r="I29" s="11">
        <f t="shared" si="12"/>
        <v>5.0977947280125849E-2</v>
      </c>
      <c r="J29" s="11">
        <f t="shared" si="12"/>
        <v>0.18648973407867928</v>
      </c>
      <c r="K29" s="11">
        <f t="shared" si="12"/>
        <v>6.0575959690948457E-2</v>
      </c>
      <c r="L29" s="11">
        <f t="shared" si="12"/>
        <v>0.12401534808932542</v>
      </c>
      <c r="M29" s="11">
        <f t="shared" si="12"/>
        <v>1.5136754726619415</v>
      </c>
      <c r="N29" s="6"/>
      <c r="O29" s="11">
        <f t="shared" si="10"/>
        <v>1.0581348936837156</v>
      </c>
      <c r="P29" s="11">
        <f t="shared" si="10"/>
        <v>3.5037862877244308</v>
      </c>
      <c r="Q29" s="11">
        <f t="shared" si="10"/>
        <v>7.889800254253522E-2</v>
      </c>
      <c r="R29" s="11">
        <f t="shared" si="10"/>
        <v>1.0750442621713716</v>
      </c>
      <c r="S29" s="11">
        <f t="shared" si="10"/>
        <v>2.3378070343474451</v>
      </c>
      <c r="T29" s="11">
        <f t="shared" si="11"/>
        <v>3.1895577265787809</v>
      </c>
      <c r="U29" s="11">
        <f t="shared" si="11"/>
        <v>4.680802233715875</v>
      </c>
      <c r="V29" s="11">
        <f t="shared" si="11"/>
        <v>7.8122703446354249</v>
      </c>
    </row>
    <row r="30" spans="1:22" x14ac:dyDescent="0.35">
      <c r="A30" s="141"/>
      <c r="B30" s="11">
        <f t="shared" ref="B30:M30" si="13">IF(B7="","",(B7/$O$23))</f>
        <v>0.11285884285623066</v>
      </c>
      <c r="C30" s="11">
        <f t="shared" si="13"/>
        <v>8.6587372075068642E-2</v>
      </c>
      <c r="D30" s="11">
        <f t="shared" si="13"/>
        <v>0.17861739488822714</v>
      </c>
      <c r="E30" s="11">
        <f t="shared" si="13"/>
        <v>1.8435558341895524</v>
      </c>
      <c r="F30" s="11">
        <f t="shared" si="13"/>
        <v>4.2662905107709452</v>
      </c>
      <c r="G30" s="11">
        <f t="shared" si="13"/>
        <v>4.1558873622067809</v>
      </c>
      <c r="H30" s="11">
        <f t="shared" si="13"/>
        <v>6.7023151002211661</v>
      </c>
      <c r="I30" s="11">
        <f t="shared" si="13"/>
        <v>0.20464273897218885</v>
      </c>
      <c r="J30" s="11">
        <f t="shared" si="13"/>
        <v>6.7909606487528223E-2</v>
      </c>
      <c r="K30" s="11">
        <f t="shared" si="13"/>
        <v>0.19231039827246921</v>
      </c>
      <c r="L30" s="11">
        <f t="shared" si="13"/>
        <v>0.85626177664002234</v>
      </c>
      <c r="M30" s="11">
        <f t="shared" si="13"/>
        <v>0.46624291079648689</v>
      </c>
      <c r="N30" s="6"/>
      <c r="O30" s="11">
        <f t="shared" si="10"/>
        <v>1.8375717047176219</v>
      </c>
      <c r="P30" s="11">
        <f t="shared" si="10"/>
        <v>2.8144559961455631</v>
      </c>
      <c r="Q30" s="11">
        <f t="shared" si="10"/>
        <v>7.3799000400536371E-2</v>
      </c>
      <c r="R30" s="11">
        <f t="shared" si="10"/>
        <v>1.4559555114385061E-2</v>
      </c>
      <c r="S30" s="11">
        <f t="shared" si="10"/>
        <v>1.1044512941968665</v>
      </c>
      <c r="T30" s="11">
        <f t="shared" si="11"/>
        <v>4.7670459571948518</v>
      </c>
      <c r="U30" s="11">
        <f t="shared" si="11"/>
        <v>3.5635876449041906</v>
      </c>
      <c r="V30" s="11">
        <f t="shared" si="11"/>
        <v>8.0094234017728088</v>
      </c>
    </row>
    <row r="31" spans="1:22" x14ac:dyDescent="0.35">
      <c r="A31" s="141"/>
      <c r="B31" s="11">
        <f t="shared" ref="B31:M31" si="14">IF(B8="","",(B8/$O$23))</f>
        <v>8.0315320806413223E-2</v>
      </c>
      <c r="C31" s="11">
        <f t="shared" si="14"/>
        <v>0.10610475477305842</v>
      </c>
      <c r="D31" s="11">
        <f t="shared" si="14"/>
        <v>0.89111981842351207</v>
      </c>
      <c r="E31" s="11">
        <f t="shared" si="14"/>
        <v>2.0062808746785552</v>
      </c>
      <c r="F31" s="11">
        <f t="shared" si="14"/>
        <v>7.1121457720193417</v>
      </c>
      <c r="G31" s="11">
        <f t="shared" si="14"/>
        <v>4.4996808479761308</v>
      </c>
      <c r="H31" s="11">
        <f t="shared" si="14"/>
        <v>5.438759149934115</v>
      </c>
      <c r="I31" s="11">
        <f t="shared" si="14"/>
        <v>0.14106403357539662</v>
      </c>
      <c r="J31" s="11">
        <f t="shared" si="14"/>
        <v>6.1563252819718001E-2</v>
      </c>
      <c r="K31" s="11">
        <f t="shared" si="14"/>
        <v>6.7486082812345805E-2</v>
      </c>
      <c r="L31" s="11">
        <f t="shared" si="14"/>
        <v>0.36990613517231768</v>
      </c>
      <c r="M31" s="11">
        <f t="shared" si="14"/>
        <v>0.27853554615165815</v>
      </c>
      <c r="N31" s="6"/>
      <c r="O31" s="11">
        <f t="shared" si="10"/>
        <v>0.36641949509197824</v>
      </c>
      <c r="P31" s="11">
        <f t="shared" si="10"/>
        <v>5.8157500188658435</v>
      </c>
      <c r="Q31" s="11">
        <f t="shared" si="10"/>
        <v>0.20714858738368483</v>
      </c>
      <c r="R31" s="11">
        <f t="shared" si="10"/>
        <v>2.5370934991205614</v>
      </c>
      <c r="S31" s="11">
        <f t="shared" si="10"/>
        <v>0.27690553727019951</v>
      </c>
      <c r="T31" s="11">
        <f t="shared" si="11"/>
        <v>4.3295580748712768</v>
      </c>
      <c r="U31" s="11">
        <f t="shared" si="11"/>
        <v>4.3899343468644965</v>
      </c>
      <c r="V31" s="11">
        <f t="shared" si="11"/>
        <v>4.7499443312493836</v>
      </c>
    </row>
    <row r="32" spans="1:22" x14ac:dyDescent="0.35">
      <c r="A32" s="141"/>
      <c r="B32" s="11">
        <f t="shared" ref="B32:M32" si="15">IF(B9="","",(B9/$O$23))</f>
        <v>0.16167551910094097</v>
      </c>
      <c r="C32" s="11">
        <f t="shared" si="15"/>
        <v>0.20183782340409476</v>
      </c>
      <c r="D32" s="11">
        <f t="shared" si="15"/>
        <v>0.7776702714940007</v>
      </c>
      <c r="E32" s="11">
        <f t="shared" si="15"/>
        <v>4.4148980954205346</v>
      </c>
      <c r="F32" s="11">
        <f t="shared" si="15"/>
        <v>1.5278300797009328</v>
      </c>
      <c r="G32" s="11">
        <f t="shared" si="15"/>
        <v>2.545861182220829</v>
      </c>
      <c r="H32" s="11">
        <f t="shared" si="15"/>
        <v>4.7792584852759346</v>
      </c>
      <c r="I32" s="11">
        <f t="shared" si="15"/>
        <v>0.13266693369091362</v>
      </c>
      <c r="J32" s="11">
        <f t="shared" si="15"/>
        <v>0.56141406753391498</v>
      </c>
      <c r="K32" s="11">
        <f t="shared" si="15"/>
        <v>0.12191630531320202</v>
      </c>
      <c r="L32" s="11">
        <f t="shared" si="15"/>
        <v>5.0633369904045419E-2</v>
      </c>
      <c r="M32" s="11">
        <f t="shared" si="15"/>
        <v>1.2988737381653113</v>
      </c>
      <c r="N32" s="6"/>
      <c r="O32" s="11">
        <f t="shared" si="10"/>
        <v>3.5073360848440522</v>
      </c>
      <c r="P32" s="11">
        <f t="shared" si="10"/>
        <v>3.3273023004719362</v>
      </c>
      <c r="Q32" s="11">
        <f t="shared" si="10"/>
        <v>1.7788923137651E-2</v>
      </c>
      <c r="R32" s="11">
        <f t="shared" si="10"/>
        <v>0.4253645171214786</v>
      </c>
      <c r="S32" s="11">
        <f t="shared" si="10"/>
        <v>2.3028737613848111</v>
      </c>
      <c r="T32" s="11">
        <f t="shared" si="11"/>
        <v>4.0888155152697232</v>
      </c>
      <c r="U32" s="11">
        <f t="shared" si="11"/>
        <v>4.3823852231103677</v>
      </c>
      <c r="V32" s="11">
        <f t="shared" si="11"/>
        <v>4.5023928855452811</v>
      </c>
    </row>
    <row r="33" spans="1:22" x14ac:dyDescent="0.35">
      <c r="A33" s="141"/>
      <c r="B33" s="11">
        <f t="shared" ref="B33:M33" si="16">IF(B10="","",(B10/$O$23))</f>
        <v>5.7132972270112443E-2</v>
      </c>
      <c r="C33" s="11">
        <f t="shared" si="16"/>
        <v>6.1083073565180036E-2</v>
      </c>
      <c r="D33" s="11">
        <f t="shared" si="16"/>
        <v>1.6608267302880959</v>
      </c>
      <c r="E33" s="11">
        <f t="shared" si="16"/>
        <v>2.9178106333699039</v>
      </c>
      <c r="F33" s="11">
        <f t="shared" si="16"/>
        <v>2.4843824483801495</v>
      </c>
      <c r="G33" s="11">
        <f t="shared" si="16"/>
        <v>2.8591832540967905</v>
      </c>
      <c r="H33" s="11">
        <f t="shared" si="16"/>
        <v>6.6920344345181082</v>
      </c>
      <c r="I33" s="11">
        <f t="shared" si="16"/>
        <v>0.29250068207280472</v>
      </c>
      <c r="J33" s="11">
        <f t="shared" si="16"/>
        <v>3.7186493217003638E-2</v>
      </c>
      <c r="K33" s="11">
        <f t="shared" si="16"/>
        <v>0.94230581242127143</v>
      </c>
      <c r="L33" s="11">
        <f t="shared" si="16"/>
        <v>8.9784232798704358E-2</v>
      </c>
      <c r="M33" s="11">
        <f t="shared" si="16"/>
        <v>0.96337240014163894</v>
      </c>
      <c r="N33" s="6"/>
      <c r="O33" s="11">
        <f t="shared" si="10"/>
        <v>1.0948960056655579</v>
      </c>
      <c r="P33" s="11">
        <f t="shared" si="10"/>
        <v>2.8138931554719653</v>
      </c>
      <c r="Q33" s="11">
        <f t="shared" si="10"/>
        <v>0.2296324933679304</v>
      </c>
      <c r="R33" s="11">
        <f t="shared" si="10"/>
        <v>1.3359645670434031</v>
      </c>
      <c r="S33" s="11">
        <f t="shared" si="10"/>
        <v>2.1536633985220788</v>
      </c>
      <c r="T33" s="11">
        <f t="shared" si="11"/>
        <v>6.990177455026731</v>
      </c>
      <c r="U33" s="11">
        <f t="shared" si="11"/>
        <v>3.4903282656775159</v>
      </c>
      <c r="V33" s="11">
        <f t="shared" si="11"/>
        <v>8.0863328863579635</v>
      </c>
    </row>
    <row r="34" spans="1:22" x14ac:dyDescent="0.35">
      <c r="A34" s="141"/>
      <c r="B34" s="11">
        <f t="shared" ref="B34:M34" si="17">IF(B11="","",(B11/$O$23))</f>
        <v>6.6873088019318627E-2</v>
      </c>
      <c r="C34" s="11">
        <f t="shared" si="17"/>
        <v>0.18550336972989917</v>
      </c>
      <c r="D34" s="11">
        <f t="shared" si="17"/>
        <v>1.2493883403282076</v>
      </c>
      <c r="E34" s="11">
        <f t="shared" si="17"/>
        <v>2.1808199966331725</v>
      </c>
      <c r="F34" s="11">
        <f t="shared" si="17"/>
        <v>4.5287581631053762</v>
      </c>
      <c r="G34" s="11">
        <f t="shared" si="17"/>
        <v>4.3042088826196236</v>
      </c>
      <c r="H34" s="11">
        <f t="shared" si="17"/>
        <v>3.3403915968630455</v>
      </c>
      <c r="I34" s="11">
        <f t="shared" si="17"/>
        <v>5.9580307542274002E-2</v>
      </c>
      <c r="J34" s="11">
        <f t="shared" si="17"/>
        <v>8.7625748103257114E-2</v>
      </c>
      <c r="K34" s="11">
        <f t="shared" si="17"/>
        <v>0.27010501018755551</v>
      </c>
      <c r="L34" s="11">
        <f t="shared" si="17"/>
        <v>0.35392183155413914</v>
      </c>
      <c r="M34" s="11">
        <f t="shared" si="17"/>
        <v>1.388624534884396</v>
      </c>
      <c r="N34" s="6"/>
      <c r="O34" s="11">
        <f t="shared" si="10"/>
        <v>0.1474911911022877</v>
      </c>
      <c r="P34" s="11">
        <f t="shared" si="10"/>
        <v>4.7471449883612253</v>
      </c>
      <c r="Q34" s="11">
        <f t="shared" si="10"/>
        <v>0.2321680627390883</v>
      </c>
      <c r="R34" s="11">
        <f t="shared" si="10"/>
        <v>0.99765459833167891</v>
      </c>
      <c r="S34" s="11">
        <f t="shared" si="10"/>
        <v>2.4723956138365</v>
      </c>
      <c r="T34" s="11">
        <f t="shared" si="11"/>
        <v>4.6797842908474534</v>
      </c>
      <c r="U34" s="11">
        <f t="shared" si="11"/>
        <v>6.4378496421294606</v>
      </c>
      <c r="V34" s="11">
        <f t="shared" si="11"/>
        <v>1.4977691865628755</v>
      </c>
    </row>
    <row r="35" spans="1:22" x14ac:dyDescent="0.35">
      <c r="A35" s="141"/>
      <c r="B35" s="11">
        <f t="shared" ref="B35:M35" si="18">IF(B12="","",(B12/$O$23))</f>
        <v>0.14895773470560578</v>
      </c>
      <c r="C35" s="11">
        <f t="shared" si="18"/>
        <v>0.2023384358184003</v>
      </c>
      <c r="D35" s="11">
        <f t="shared" si="18"/>
        <v>0.12795244646454093</v>
      </c>
      <c r="E35" s="11">
        <f t="shared" si="18"/>
        <v>1.6738742315796806</v>
      </c>
      <c r="F35" s="11">
        <f t="shared" si="18"/>
        <v>3.4659988738542626</v>
      </c>
      <c r="G35" s="11">
        <f t="shared" si="18"/>
        <v>5.6883065438355134</v>
      </c>
      <c r="H35" s="11">
        <f t="shared" si="18"/>
        <v>9.9797623484202038</v>
      </c>
      <c r="I35" s="11">
        <f t="shared" si="18"/>
        <v>0.18269659660182622</v>
      </c>
      <c r="J35" s="11" t="str">
        <f t="shared" si="18"/>
        <v/>
      </c>
      <c r="K35" s="11">
        <f t="shared" si="18"/>
        <v>0.26852422664553693</v>
      </c>
      <c r="L35" s="11">
        <f t="shared" si="18"/>
        <v>0.13943959737387457</v>
      </c>
      <c r="M35" s="11">
        <f t="shared" si="18"/>
        <v>2.2419365062779724</v>
      </c>
      <c r="N35" s="6"/>
      <c r="O35" s="11">
        <f t="shared" si="10"/>
        <v>0.70929999013171263</v>
      </c>
      <c r="P35" s="11" t="str">
        <f t="shared" si="10"/>
        <v/>
      </c>
      <c r="Q35" s="11">
        <f t="shared" si="10"/>
        <v>1.2760508274849218E-2</v>
      </c>
      <c r="R35" s="11">
        <f t="shared" si="10"/>
        <v>0.94736116190376674</v>
      </c>
      <c r="S35" s="11">
        <f t="shared" si="10"/>
        <v>3.30712176886149</v>
      </c>
      <c r="T35" s="11">
        <f t="shared" si="11"/>
        <v>0.47708827473312088</v>
      </c>
      <c r="U35" s="11">
        <f t="shared" si="11"/>
        <v>5.3744634263854785</v>
      </c>
      <c r="V35" s="11">
        <f t="shared" si="11"/>
        <v>4.4243809391126669</v>
      </c>
    </row>
    <row r="36" spans="1:22" x14ac:dyDescent="0.35">
      <c r="A36" s="141"/>
      <c r="B36" s="11" t="str">
        <f t="shared" ref="B36:M36" si="19">IF(B13="","",(B13/$O$23))</f>
        <v/>
      </c>
      <c r="C36" s="11" t="str">
        <f t="shared" si="19"/>
        <v/>
      </c>
      <c r="D36" s="11" t="str">
        <f t="shared" si="19"/>
        <v/>
      </c>
      <c r="E36" s="11" t="str">
        <f t="shared" si="19"/>
        <v/>
      </c>
      <c r="F36" s="11" t="str">
        <f t="shared" si="19"/>
        <v/>
      </c>
      <c r="G36" s="11" t="str">
        <f t="shared" si="19"/>
        <v/>
      </c>
      <c r="H36" s="11" t="str">
        <f t="shared" si="19"/>
        <v/>
      </c>
      <c r="I36" s="11" t="str">
        <f t="shared" si="19"/>
        <v/>
      </c>
      <c r="J36" s="11" t="str">
        <f t="shared" si="19"/>
        <v/>
      </c>
      <c r="K36" s="11" t="str">
        <f t="shared" si="19"/>
        <v/>
      </c>
      <c r="L36" s="11" t="str">
        <f t="shared" si="19"/>
        <v/>
      </c>
      <c r="M36" s="11" t="str">
        <f t="shared" si="19"/>
        <v/>
      </c>
      <c r="N36" s="6"/>
      <c r="O36" s="11">
        <f t="shared" si="10"/>
        <v>1.4516125362079073</v>
      </c>
      <c r="P36" s="11" t="str">
        <f t="shared" si="10"/>
        <v/>
      </c>
      <c r="Q36" s="11" t="str">
        <f t="shared" si="10"/>
        <v/>
      </c>
      <c r="R36" s="11" t="str">
        <f t="shared" si="10"/>
        <v/>
      </c>
      <c r="S36" s="11" t="str">
        <f t="shared" si="10"/>
        <v/>
      </c>
      <c r="T36" s="11" t="str">
        <f t="shared" si="11"/>
        <v/>
      </c>
      <c r="U36" s="11" t="str">
        <f t="shared" si="11"/>
        <v/>
      </c>
      <c r="V36" s="11" t="str">
        <f t="shared" si="11"/>
        <v/>
      </c>
    </row>
    <row r="37" spans="1:22" x14ac:dyDescent="0.35">
      <c r="A37" s="141"/>
      <c r="B37" s="11" t="str">
        <f t="shared" ref="B37:M37" si="20">IF(B14="","",(B14/$O$23))</f>
        <v/>
      </c>
      <c r="C37" s="11" t="str">
        <f t="shared" si="20"/>
        <v/>
      </c>
      <c r="D37" s="11" t="str">
        <f t="shared" si="20"/>
        <v/>
      </c>
      <c r="E37" s="11" t="str">
        <f t="shared" si="20"/>
        <v/>
      </c>
      <c r="F37" s="11" t="str">
        <f t="shared" si="20"/>
        <v/>
      </c>
      <c r="G37" s="11" t="str">
        <f t="shared" si="20"/>
        <v/>
      </c>
      <c r="H37" s="11" t="str">
        <f t="shared" si="20"/>
        <v/>
      </c>
      <c r="I37" s="11" t="str">
        <f t="shared" si="20"/>
        <v/>
      </c>
      <c r="J37" s="11" t="str">
        <f t="shared" si="20"/>
        <v/>
      </c>
      <c r="K37" s="11" t="str">
        <f t="shared" si="20"/>
        <v/>
      </c>
      <c r="L37" s="11" t="str">
        <f t="shared" si="20"/>
        <v/>
      </c>
      <c r="M37" s="11" t="str">
        <f t="shared" si="20"/>
        <v/>
      </c>
      <c r="N37" s="6"/>
      <c r="O37" s="11">
        <f t="shared" si="10"/>
        <v>1.3918724785074506</v>
      </c>
      <c r="P37" s="11" t="str">
        <f t="shared" si="10"/>
        <v/>
      </c>
      <c r="Q37" s="11" t="str">
        <f t="shared" si="10"/>
        <v/>
      </c>
      <c r="R37" s="11" t="str">
        <f t="shared" si="10"/>
        <v/>
      </c>
      <c r="S37" s="11" t="str">
        <f t="shared" si="10"/>
        <v/>
      </c>
      <c r="T37" s="11" t="str">
        <f t="shared" si="11"/>
        <v/>
      </c>
      <c r="U37" s="11" t="str">
        <f t="shared" si="11"/>
        <v/>
      </c>
      <c r="V37" s="11" t="str">
        <f t="shared" si="11"/>
        <v/>
      </c>
    </row>
    <row r="38" spans="1:22" x14ac:dyDescent="0.35">
      <c r="A38" s="141"/>
      <c r="B38" s="11" t="str">
        <f t="shared" ref="B38:M38" si="21">IF(B15="","",(B15/$O$23))</f>
        <v/>
      </c>
      <c r="C38" s="11" t="str">
        <f t="shared" si="21"/>
        <v/>
      </c>
      <c r="D38" s="11" t="str">
        <f t="shared" si="21"/>
        <v/>
      </c>
      <c r="E38" s="11" t="str">
        <f t="shared" si="21"/>
        <v/>
      </c>
      <c r="F38" s="11" t="str">
        <f t="shared" si="21"/>
        <v/>
      </c>
      <c r="G38" s="11" t="str">
        <f t="shared" si="21"/>
        <v/>
      </c>
      <c r="H38" s="11" t="str">
        <f t="shared" si="21"/>
        <v/>
      </c>
      <c r="I38" s="11" t="str">
        <f t="shared" si="21"/>
        <v/>
      </c>
      <c r="J38" s="11" t="str">
        <f t="shared" si="21"/>
        <v/>
      </c>
      <c r="K38" s="11" t="str">
        <f t="shared" si="21"/>
        <v/>
      </c>
      <c r="L38" s="11" t="str">
        <f t="shared" si="21"/>
        <v/>
      </c>
      <c r="M38" s="11" t="str">
        <f t="shared" si="21"/>
        <v/>
      </c>
      <c r="N38" s="6"/>
      <c r="O38" s="11">
        <f t="shared" ref="O38:S43" si="22">IF(O15="","",(O15/$O$23))</f>
        <v>1.6261748776622609</v>
      </c>
      <c r="P38" s="11" t="str">
        <f t="shared" si="22"/>
        <v/>
      </c>
      <c r="Q38" s="11" t="str">
        <f t="shared" si="22"/>
        <v/>
      </c>
      <c r="R38" s="11" t="str">
        <f t="shared" si="22"/>
        <v/>
      </c>
      <c r="S38" s="11" t="str">
        <f t="shared" si="22"/>
        <v/>
      </c>
      <c r="T38" s="11" t="str">
        <f t="shared" si="11"/>
        <v/>
      </c>
      <c r="U38" s="11" t="str">
        <f t="shared" si="11"/>
        <v/>
      </c>
      <c r="V38" s="11" t="str">
        <f t="shared" si="11"/>
        <v/>
      </c>
    </row>
    <row r="39" spans="1:22" x14ac:dyDescent="0.35">
      <c r="A39" s="141"/>
      <c r="B39" s="11" t="str">
        <f t="shared" ref="B39:M39" si="23">IF(B16="","",(B16/$O$23))</f>
        <v/>
      </c>
      <c r="C39" s="11" t="str">
        <f t="shared" si="23"/>
        <v/>
      </c>
      <c r="D39" s="11" t="str">
        <f t="shared" si="23"/>
        <v/>
      </c>
      <c r="E39" s="11" t="str">
        <f t="shared" si="23"/>
        <v/>
      </c>
      <c r="F39" s="11" t="str">
        <f t="shared" si="23"/>
        <v/>
      </c>
      <c r="G39" s="11" t="str">
        <f t="shared" si="23"/>
        <v/>
      </c>
      <c r="H39" s="11" t="str">
        <f t="shared" si="23"/>
        <v/>
      </c>
      <c r="I39" s="11" t="str">
        <f t="shared" si="23"/>
        <v/>
      </c>
      <c r="J39" s="11" t="str">
        <f t="shared" si="23"/>
        <v/>
      </c>
      <c r="K39" s="11" t="str">
        <f t="shared" si="23"/>
        <v/>
      </c>
      <c r="L39" s="11" t="str">
        <f t="shared" si="23"/>
        <v/>
      </c>
      <c r="M39" s="11" t="str">
        <f t="shared" si="23"/>
        <v/>
      </c>
      <c r="N39" s="6"/>
      <c r="O39" s="11">
        <f t="shared" si="22"/>
        <v>9.1958506753971984E-3</v>
      </c>
      <c r="P39" s="11" t="str">
        <f t="shared" si="22"/>
        <v/>
      </c>
      <c r="Q39" s="11" t="str">
        <f t="shared" si="22"/>
        <v/>
      </c>
      <c r="R39" s="11" t="str">
        <f t="shared" si="22"/>
        <v/>
      </c>
      <c r="S39" s="11" t="str">
        <f t="shared" si="22"/>
        <v/>
      </c>
      <c r="T39" s="11" t="str">
        <f t="shared" si="11"/>
        <v/>
      </c>
      <c r="U39" s="11" t="str">
        <f t="shared" si="11"/>
        <v/>
      </c>
      <c r="V39" s="11" t="str">
        <f t="shared" si="11"/>
        <v/>
      </c>
    </row>
    <row r="40" spans="1:22" x14ac:dyDescent="0.35">
      <c r="A40" s="141"/>
      <c r="B40" s="11" t="str">
        <f t="shared" ref="B40:M40" si="24">IF(B17="","",(B17/$O$23))</f>
        <v/>
      </c>
      <c r="C40" s="11" t="str">
        <f t="shared" si="24"/>
        <v/>
      </c>
      <c r="D40" s="11" t="str">
        <f t="shared" si="24"/>
        <v/>
      </c>
      <c r="E40" s="11" t="str">
        <f t="shared" si="24"/>
        <v/>
      </c>
      <c r="F40" s="11" t="str">
        <f t="shared" si="24"/>
        <v/>
      </c>
      <c r="G40" s="11" t="str">
        <f t="shared" si="24"/>
        <v/>
      </c>
      <c r="H40" s="11" t="str">
        <f t="shared" si="24"/>
        <v/>
      </c>
      <c r="I40" s="11" t="str">
        <f t="shared" si="24"/>
        <v/>
      </c>
      <c r="J40" s="11" t="str">
        <f t="shared" si="24"/>
        <v/>
      </c>
      <c r="K40" s="11" t="str">
        <f t="shared" si="24"/>
        <v/>
      </c>
      <c r="L40" s="11" t="str">
        <f t="shared" si="24"/>
        <v/>
      </c>
      <c r="M40" s="11" t="str">
        <f t="shared" si="24"/>
        <v/>
      </c>
      <c r="N40" s="6"/>
      <c r="O40" s="11">
        <f t="shared" si="22"/>
        <v>0.76892766545344782</v>
      </c>
      <c r="P40" s="11" t="str">
        <f t="shared" si="22"/>
        <v/>
      </c>
      <c r="Q40" s="11" t="str">
        <f t="shared" si="22"/>
        <v/>
      </c>
      <c r="R40" s="11" t="str">
        <f t="shared" si="22"/>
        <v/>
      </c>
      <c r="S40" s="11" t="str">
        <f t="shared" si="22"/>
        <v/>
      </c>
      <c r="T40" s="11" t="str">
        <f t="shared" si="11"/>
        <v/>
      </c>
      <c r="U40" s="11" t="str">
        <f t="shared" si="11"/>
        <v/>
      </c>
      <c r="V40" s="11" t="str">
        <f t="shared" si="11"/>
        <v/>
      </c>
    </row>
    <row r="41" spans="1:22" x14ac:dyDescent="0.35">
      <c r="A41" s="141"/>
      <c r="B41" s="11" t="str">
        <f t="shared" ref="B41:M41" si="25">IF(B18="","",(B18/$O$23))</f>
        <v/>
      </c>
      <c r="C41" s="11" t="str">
        <f t="shared" si="25"/>
        <v/>
      </c>
      <c r="D41" s="11" t="str">
        <f t="shared" si="25"/>
        <v/>
      </c>
      <c r="E41" s="11" t="str">
        <f t="shared" si="25"/>
        <v/>
      </c>
      <c r="F41" s="11" t="str">
        <f t="shared" si="25"/>
        <v/>
      </c>
      <c r="G41" s="11" t="str">
        <f t="shared" si="25"/>
        <v/>
      </c>
      <c r="H41" s="11" t="str">
        <f t="shared" si="25"/>
        <v/>
      </c>
      <c r="I41" s="11" t="str">
        <f t="shared" si="25"/>
        <v/>
      </c>
      <c r="J41" s="11" t="str">
        <f t="shared" si="25"/>
        <v/>
      </c>
      <c r="K41" s="11" t="str">
        <f t="shared" si="25"/>
        <v/>
      </c>
      <c r="L41" s="11" t="str">
        <f t="shared" si="25"/>
        <v/>
      </c>
      <c r="M41" s="11" t="str">
        <f t="shared" si="25"/>
        <v/>
      </c>
      <c r="N41" s="6"/>
      <c r="O41" s="11">
        <f t="shared" si="22"/>
        <v>0.15449326344263914</v>
      </c>
      <c r="P41" s="11" t="str">
        <f t="shared" si="22"/>
        <v/>
      </c>
      <c r="Q41" s="11" t="str">
        <f t="shared" si="22"/>
        <v/>
      </c>
      <c r="R41" s="11" t="str">
        <f t="shared" si="22"/>
        <v/>
      </c>
      <c r="S41" s="11" t="str">
        <f t="shared" si="22"/>
        <v/>
      </c>
      <c r="T41" s="11" t="str">
        <f t="shared" si="11"/>
        <v/>
      </c>
      <c r="U41" s="11" t="str">
        <f t="shared" si="11"/>
        <v/>
      </c>
      <c r="V41" s="11" t="str">
        <f t="shared" si="11"/>
        <v/>
      </c>
    </row>
    <row r="42" spans="1:22" x14ac:dyDescent="0.35">
      <c r="A42" s="141"/>
      <c r="B42" s="11" t="str">
        <f t="shared" ref="B42:M42" si="26">IF(B19="","",(B19/$O$23))</f>
        <v/>
      </c>
      <c r="C42" s="11" t="str">
        <f t="shared" si="26"/>
        <v/>
      </c>
      <c r="D42" s="11" t="str">
        <f t="shared" si="26"/>
        <v/>
      </c>
      <c r="E42" s="11" t="str">
        <f t="shared" si="26"/>
        <v/>
      </c>
      <c r="F42" s="11" t="str">
        <f t="shared" si="26"/>
        <v/>
      </c>
      <c r="G42" s="11" t="str">
        <f t="shared" si="26"/>
        <v/>
      </c>
      <c r="H42" s="11" t="str">
        <f t="shared" si="26"/>
        <v/>
      </c>
      <c r="I42" s="11" t="str">
        <f t="shared" si="26"/>
        <v/>
      </c>
      <c r="J42" s="11" t="str">
        <f t="shared" si="26"/>
        <v/>
      </c>
      <c r="K42" s="11" t="str">
        <f t="shared" si="26"/>
        <v/>
      </c>
      <c r="L42" s="11" t="str">
        <f t="shared" si="26"/>
        <v/>
      </c>
      <c r="M42" s="11" t="str">
        <f t="shared" si="26"/>
        <v/>
      </c>
      <c r="N42" s="6"/>
      <c r="O42" s="11">
        <f t="shared" si="22"/>
        <v>0.69543237610945674</v>
      </c>
      <c r="P42" s="11" t="str">
        <f t="shared" si="22"/>
        <v/>
      </c>
      <c r="Q42" s="11" t="str">
        <f t="shared" si="22"/>
        <v/>
      </c>
      <c r="R42" s="11" t="str">
        <f t="shared" si="22"/>
        <v/>
      </c>
      <c r="S42" s="11" t="str">
        <f t="shared" si="22"/>
        <v/>
      </c>
      <c r="T42" s="11" t="str">
        <f t="shared" si="11"/>
        <v/>
      </c>
      <c r="U42" s="11" t="str">
        <f t="shared" si="11"/>
        <v/>
      </c>
      <c r="V42" s="11" t="str">
        <f t="shared" si="11"/>
        <v/>
      </c>
    </row>
    <row r="43" spans="1:22" x14ac:dyDescent="0.35">
      <c r="A43" s="141"/>
      <c r="B43" s="11" t="str">
        <f t="shared" ref="B43:M43" si="27">IF(B20="","",(B20/$O$23))</f>
        <v/>
      </c>
      <c r="C43" s="11" t="str">
        <f t="shared" si="27"/>
        <v/>
      </c>
      <c r="D43" s="11" t="str">
        <f t="shared" si="27"/>
        <v/>
      </c>
      <c r="E43" s="11" t="str">
        <f t="shared" si="27"/>
        <v/>
      </c>
      <c r="F43" s="11" t="str">
        <f t="shared" si="27"/>
        <v/>
      </c>
      <c r="G43" s="11" t="str">
        <f t="shared" si="27"/>
        <v/>
      </c>
      <c r="H43" s="11" t="str">
        <f t="shared" si="27"/>
        <v/>
      </c>
      <c r="I43" s="11" t="str">
        <f t="shared" si="27"/>
        <v/>
      </c>
      <c r="J43" s="11" t="str">
        <f t="shared" si="27"/>
        <v/>
      </c>
      <c r="K43" s="11" t="str">
        <f t="shared" si="27"/>
        <v/>
      </c>
      <c r="L43" s="11" t="str">
        <f t="shared" si="27"/>
        <v/>
      </c>
      <c r="M43" s="11" t="str">
        <f t="shared" si="27"/>
        <v/>
      </c>
      <c r="N43" s="6"/>
      <c r="O43" s="11">
        <f t="shared" si="22"/>
        <v>0.13834549454632</v>
      </c>
      <c r="P43" s="11" t="str">
        <f t="shared" si="22"/>
        <v/>
      </c>
      <c r="Q43" s="11" t="str">
        <f t="shared" si="22"/>
        <v/>
      </c>
      <c r="R43" s="11" t="str">
        <f t="shared" si="22"/>
        <v/>
      </c>
      <c r="S43" s="11" t="str">
        <f t="shared" si="22"/>
        <v/>
      </c>
      <c r="T43" s="11" t="str">
        <f t="shared" si="11"/>
        <v/>
      </c>
      <c r="U43" s="11" t="str">
        <f t="shared" si="11"/>
        <v/>
      </c>
      <c r="V43" s="11" t="str">
        <f t="shared" si="11"/>
        <v/>
      </c>
    </row>
    <row r="44" spans="1:22" x14ac:dyDescent="0.35">
      <c r="A44" s="7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7"/>
      <c r="O44" s="3"/>
      <c r="P44" s="3"/>
      <c r="Q44" s="3"/>
      <c r="R44" s="3"/>
      <c r="S44" s="3"/>
      <c r="T44" s="3"/>
      <c r="U44" s="3"/>
      <c r="V44" s="3"/>
    </row>
    <row r="45" spans="1:22" x14ac:dyDescent="0.35">
      <c r="A45" s="53" t="str">
        <f t="shared" ref="A45" si="28">A4</f>
        <v>Group names</v>
      </c>
      <c r="B45" s="7" t="str">
        <f t="shared" ref="B45:R45" si="29">B4</f>
        <v>Solvent control</v>
      </c>
      <c r="C45" s="7" t="str">
        <f t="shared" si="29"/>
        <v>EE2-33.8ng/L</v>
      </c>
      <c r="D45" s="7" t="str">
        <f t="shared" si="29"/>
        <v>EE2-50.6ng/L</v>
      </c>
      <c r="E45" s="7" t="str">
        <f t="shared" si="29"/>
        <v>EE2-76ng/L</v>
      </c>
      <c r="F45" s="7" t="str">
        <f t="shared" si="29"/>
        <v>EE2-114ng/L</v>
      </c>
      <c r="G45" s="7" t="str">
        <f t="shared" si="29"/>
        <v>EE2-170.9ng/L</v>
      </c>
      <c r="H45" s="7" t="str">
        <f t="shared" si="29"/>
        <v>EE2-488ng/L</v>
      </c>
      <c r="I45" s="7" t="str">
        <f t="shared" si="29"/>
        <v>BPA-1mg/L</v>
      </c>
      <c r="J45" s="7" t="str">
        <f t="shared" si="29"/>
        <v>BPA-2mg/L</v>
      </c>
      <c r="K45" s="7" t="str">
        <f t="shared" ref="K45:M45" si="30">K4</f>
        <v>BPA-3mg/L</v>
      </c>
      <c r="L45" s="7" t="str">
        <f t="shared" si="30"/>
        <v>BPA-4mg/L</v>
      </c>
      <c r="M45" s="7" t="str">
        <f t="shared" si="30"/>
        <v>BPA-5mg/L</v>
      </c>
      <c r="N45" s="7"/>
      <c r="O45" s="7" t="str">
        <f t="shared" si="29"/>
        <v>Testo -30µg/L</v>
      </c>
      <c r="P45" s="7" t="str">
        <f t="shared" si="29"/>
        <v>Testo 30µg/L + EE2 -64ng/L</v>
      </c>
      <c r="Q45" s="7" t="str">
        <f t="shared" si="29"/>
        <v>Testo 30µg/L + FAD-10mg/L</v>
      </c>
      <c r="R45" s="7" t="str">
        <f t="shared" si="29"/>
        <v>BPA-1mg/L + Testostérone</v>
      </c>
      <c r="S45" s="7" t="str">
        <f t="shared" ref="S45:V45" si="31">S4</f>
        <v>BPA-2mg/L + Testostérone</v>
      </c>
      <c r="T45" s="7" t="str">
        <f t="shared" si="31"/>
        <v>BPA-3mg/L + Testostérone</v>
      </c>
      <c r="U45" s="7" t="str">
        <f t="shared" si="31"/>
        <v>BPA-4mg/L + Testostérone</v>
      </c>
      <c r="V45" s="7" t="str">
        <f t="shared" si="31"/>
        <v>BPA-5mg/L + Testostérone</v>
      </c>
    </row>
    <row r="46" spans="1:22" x14ac:dyDescent="0.35">
      <c r="A46" s="8" t="s">
        <v>0</v>
      </c>
      <c r="B46" s="10">
        <f t="shared" ref="B46:H46" si="32">AVERAGE(B28:B43)</f>
        <v>8.3415240118651646E-2</v>
      </c>
      <c r="C46" s="10">
        <f t="shared" si="32"/>
        <v>0.23008643458776681</v>
      </c>
      <c r="D46" s="10">
        <f t="shared" si="32"/>
        <v>0.86975799476400284</v>
      </c>
      <c r="E46" s="10">
        <f t="shared" si="32"/>
        <v>2.0796013211895348</v>
      </c>
      <c r="F46" s="10">
        <f t="shared" si="32"/>
        <v>3.6909030643934777</v>
      </c>
      <c r="G46" s="10">
        <f t="shared" si="32"/>
        <v>4.4188737381653116</v>
      </c>
      <c r="H46" s="10">
        <f t="shared" si="32"/>
        <v>6.3993437008399647</v>
      </c>
      <c r="I46" s="10">
        <f>AVERAGE(I28:I43)</f>
        <v>0.13559990480005107</v>
      </c>
      <c r="J46" s="9">
        <f>AVERAGE(J28:J43)</f>
        <v>0.18703930646671357</v>
      </c>
      <c r="K46" s="9">
        <f t="shared" ref="K46:M46" si="33">AVERAGE(K28:K43)</f>
        <v>0.25349575373398581</v>
      </c>
      <c r="L46" s="9">
        <f t="shared" si="33"/>
        <v>0.26284845213009883</v>
      </c>
      <c r="M46" s="9">
        <f t="shared" si="33"/>
        <v>1.4261546766974904</v>
      </c>
      <c r="N46" s="8" t="s">
        <v>0</v>
      </c>
      <c r="O46" s="10">
        <f t="shared" ref="O46:R46" si="34">AVERAGE(O28:O43)</f>
        <v>1.0000000000000002</v>
      </c>
      <c r="P46" s="10">
        <f t="shared" si="34"/>
        <v>4.4695923568041014</v>
      </c>
      <c r="Q46" s="10">
        <f t="shared" si="34"/>
        <v>0.11531743958576413</v>
      </c>
      <c r="R46" s="10">
        <f t="shared" si="34"/>
        <v>1.2126503317486024</v>
      </c>
      <c r="S46" s="10">
        <f t="shared" ref="S46:V46" si="35">AVERAGE(S28:S43)</f>
        <v>2.0616218820565511</v>
      </c>
      <c r="T46" s="10">
        <f t="shared" si="35"/>
        <v>4.4079823996191996</v>
      </c>
      <c r="U46" s="10">
        <f t="shared" si="35"/>
        <v>4.6104235817239321</v>
      </c>
      <c r="V46" s="10">
        <f t="shared" si="35"/>
        <v>5.795491353638786</v>
      </c>
    </row>
    <row r="47" spans="1:22" x14ac:dyDescent="0.35">
      <c r="A47" s="8" t="s">
        <v>1</v>
      </c>
      <c r="B47" s="8">
        <f t="shared" ref="B47:J47" si="36">STDEV(B28:B43)</f>
        <v>5.4055648322034196E-2</v>
      </c>
      <c r="C47" s="8">
        <f t="shared" si="36"/>
        <v>0.28883377614685657</v>
      </c>
      <c r="D47" s="8">
        <f t="shared" si="36"/>
        <v>0.57482093928508304</v>
      </c>
      <c r="E47" s="8">
        <f t="shared" si="36"/>
        <v>1.1820859273053823</v>
      </c>
      <c r="F47" s="8">
        <f t="shared" si="36"/>
        <v>1.8505791187612664</v>
      </c>
      <c r="G47" s="8">
        <f t="shared" si="36"/>
        <v>1.2626319821360581</v>
      </c>
      <c r="H47" s="8">
        <f t="shared" si="36"/>
        <v>2.0671207584326501</v>
      </c>
      <c r="I47" s="8">
        <f t="shared" si="36"/>
        <v>9.0861010376733206E-2</v>
      </c>
      <c r="J47" s="8">
        <f t="shared" si="36"/>
        <v>0.19010658300573968</v>
      </c>
      <c r="K47" s="8">
        <f t="shared" ref="K47:M47" si="37">STDEV(K28:K43)</f>
        <v>0.29031093488642978</v>
      </c>
      <c r="L47" s="8">
        <f t="shared" si="37"/>
        <v>0.26782952573625179</v>
      </c>
      <c r="M47" s="8">
        <f t="shared" si="37"/>
        <v>0.96354753835939788</v>
      </c>
      <c r="N47" s="8" t="s">
        <v>1</v>
      </c>
      <c r="O47" s="8">
        <f t="shared" ref="O47:R47" si="38">STDEV(O28:O43)</f>
        <v>0.87749532948433195</v>
      </c>
      <c r="P47" s="8">
        <f t="shared" si="38"/>
        <v>2.0004710068621829</v>
      </c>
      <c r="Q47" s="8">
        <f t="shared" si="38"/>
        <v>9.2780437435586824E-2</v>
      </c>
      <c r="R47" s="8">
        <f t="shared" si="38"/>
        <v>0.86975671801937693</v>
      </c>
      <c r="S47" s="8">
        <f t="shared" ref="S47:V47" si="39">STDEV(S28:S43)</f>
        <v>0.94044439769663146</v>
      </c>
      <c r="T47" s="8">
        <f t="shared" si="39"/>
        <v>2.0480615536271052</v>
      </c>
      <c r="U47" s="8">
        <f t="shared" si="39"/>
        <v>0.95479569023425503</v>
      </c>
      <c r="V47" s="8">
        <f t="shared" si="39"/>
        <v>2.3766859865598913</v>
      </c>
    </row>
    <row r="48" spans="1:22" x14ac:dyDescent="0.35">
      <c r="A48" s="8" t="s">
        <v>2</v>
      </c>
      <c r="B48" s="8">
        <f t="shared" ref="B48:J48" si="40" xml:space="preserve"> B47/SQRT(COUNT(B28:B43))</f>
        <v>1.9111557744972796E-2</v>
      </c>
      <c r="C48" s="8">
        <f t="shared" si="40"/>
        <v>0.10211816087457977</v>
      </c>
      <c r="D48" s="8">
        <f t="shared" si="40"/>
        <v>0.20322989206825146</v>
      </c>
      <c r="E48" s="8">
        <f t="shared" si="40"/>
        <v>0.41793048757141199</v>
      </c>
      <c r="F48" s="8">
        <f t="shared" si="40"/>
        <v>0.65427852199915826</v>
      </c>
      <c r="G48" s="8">
        <f t="shared" si="40"/>
        <v>0.4464078183557092</v>
      </c>
      <c r="H48" s="8">
        <f t="shared" si="40"/>
        <v>0.73083755290960295</v>
      </c>
      <c r="I48" s="8">
        <f t="shared" si="40"/>
        <v>3.2124218291424651E-2</v>
      </c>
      <c r="J48" s="8">
        <f t="shared" si="40"/>
        <v>7.1853534461349303E-2</v>
      </c>
      <c r="K48" s="8">
        <f t="shared" ref="K48:M48" si="41" xml:space="preserve"> K47/SQRT(COUNT(K28:K43))</f>
        <v>0.10264041535540037</v>
      </c>
      <c r="L48" s="8">
        <f t="shared" si="41"/>
        <v>9.4692036925040288E-2</v>
      </c>
      <c r="M48" s="8">
        <f t="shared" si="41"/>
        <v>0.34066549918476763</v>
      </c>
      <c r="N48" s="8" t="s">
        <v>2</v>
      </c>
      <c r="O48" s="8">
        <f t="shared" ref="O48:R48" si="42" xml:space="preserve"> O47/SQRT(COUNT(O28:O43))</f>
        <v>0.21937383237108299</v>
      </c>
      <c r="P48" s="8">
        <f t="shared" si="42"/>
        <v>0.75610696987890313</v>
      </c>
      <c r="Q48" s="8">
        <f t="shared" si="42"/>
        <v>3.2802838236078824E-2</v>
      </c>
      <c r="R48" s="8">
        <f t="shared" si="42"/>
        <v>0.30750543664702862</v>
      </c>
      <c r="S48" s="8">
        <f t="shared" ref="S48:V48" si="43" xml:space="preserve"> S47/SQRT(COUNT(S28:S43))</f>
        <v>0.33249730547009321</v>
      </c>
      <c r="T48" s="8">
        <f t="shared" si="43"/>
        <v>0.72409910642859099</v>
      </c>
      <c r="U48" s="8">
        <f t="shared" si="43"/>
        <v>0.33757125360616597</v>
      </c>
      <c r="V48" s="8">
        <f t="shared" si="43"/>
        <v>0.84028538892376936</v>
      </c>
    </row>
    <row r="49" spans="1:22" ht="15" thickBot="1" x14ac:dyDescent="0.4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</row>
    <row r="50" spans="1:22" ht="26.5" thickBot="1" x14ac:dyDescent="0.65">
      <c r="A50" s="136"/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</row>
    <row r="51" spans="1:22" customFormat="1" ht="15" thickBot="1" x14ac:dyDescent="0.4"/>
    <row r="52" spans="1:22" x14ac:dyDescent="0.35">
      <c r="A52" s="29" t="str">
        <f t="shared" ref="A52" si="44">A27</f>
        <v>Group names</v>
      </c>
      <c r="B52" s="30" t="str">
        <f t="shared" ref="B52:H52" si="45">B27</f>
        <v>Solvent control</v>
      </c>
      <c r="C52" s="30" t="str">
        <f t="shared" si="45"/>
        <v>EE2-33.8ng/L</v>
      </c>
      <c r="D52" s="30" t="str">
        <f t="shared" si="45"/>
        <v>EE2-50.6ng/L</v>
      </c>
      <c r="E52" s="30" t="str">
        <f t="shared" si="45"/>
        <v>EE2-76ng/L</v>
      </c>
      <c r="F52" s="30" t="str">
        <f t="shared" si="45"/>
        <v>EE2-114ng/L</v>
      </c>
      <c r="G52" s="30" t="str">
        <f t="shared" si="45"/>
        <v>EE2-170.9ng/L</v>
      </c>
      <c r="H52" s="30" t="str">
        <f t="shared" si="45"/>
        <v>EE2-488ng/L</v>
      </c>
      <c r="I52" s="30" t="str">
        <f>I4</f>
        <v>BPA-1mg/L</v>
      </c>
      <c r="J52" s="30" t="str">
        <f>J4</f>
        <v>BPA-2mg/L</v>
      </c>
      <c r="K52" s="30" t="str">
        <f t="shared" ref="K52:M52" si="46">K4</f>
        <v>BPA-3mg/L</v>
      </c>
      <c r="L52" s="30" t="str">
        <f t="shared" si="46"/>
        <v>BPA-4mg/L</v>
      </c>
      <c r="M52" s="30" t="str">
        <f t="shared" si="46"/>
        <v>BPA-5mg/L</v>
      </c>
      <c r="N52" s="31"/>
      <c r="O52" s="30" t="str">
        <f>O27</f>
        <v>Testo -30µg/L</v>
      </c>
      <c r="P52" s="30" t="str">
        <f>P27</f>
        <v>Testo 30µg/L + EE2 -64ng/L</v>
      </c>
      <c r="Q52" s="30" t="str">
        <f>Q27</f>
        <v>Testo 30µg/L + FAD-10mg/L</v>
      </c>
      <c r="R52" s="30" t="str">
        <f>R27</f>
        <v>BPA-1mg/L + Testostérone</v>
      </c>
      <c r="S52" s="30" t="str">
        <f t="shared" ref="S52:V52" si="47">S27</f>
        <v>BPA-2mg/L + Testostérone</v>
      </c>
      <c r="T52" s="30" t="str">
        <f t="shared" si="47"/>
        <v>BPA-3mg/L + Testostérone</v>
      </c>
      <c r="U52" s="30" t="str">
        <f t="shared" si="47"/>
        <v>BPA-4mg/L + Testostérone</v>
      </c>
      <c r="V52" s="30" t="str">
        <f t="shared" si="47"/>
        <v>BPA-5mg/L + Testostérone</v>
      </c>
    </row>
    <row r="53" spans="1:22" s="3" customFormat="1" x14ac:dyDescent="0.35">
      <c r="A53" s="45" t="s">
        <v>10</v>
      </c>
      <c r="B53" s="78">
        <f t="shared" ref="B53" si="48">B46</f>
        <v>8.3415240118651646E-2</v>
      </c>
      <c r="C53" s="78">
        <f t="shared" ref="C53:V53" si="49">C46</f>
        <v>0.23008643458776681</v>
      </c>
      <c r="D53" s="78">
        <f t="shared" si="49"/>
        <v>0.86975799476400284</v>
      </c>
      <c r="E53" s="78">
        <f t="shared" si="49"/>
        <v>2.0796013211895348</v>
      </c>
      <c r="F53" s="78">
        <f t="shared" si="49"/>
        <v>3.6909030643934777</v>
      </c>
      <c r="G53" s="78">
        <f t="shared" si="49"/>
        <v>4.4188737381653116</v>
      </c>
      <c r="H53" s="78">
        <f t="shared" si="49"/>
        <v>6.3993437008399647</v>
      </c>
      <c r="I53" s="78">
        <f t="shared" si="49"/>
        <v>0.13559990480005107</v>
      </c>
      <c r="J53" s="78">
        <f t="shared" si="49"/>
        <v>0.18703930646671357</v>
      </c>
      <c r="K53" s="78">
        <f t="shared" si="49"/>
        <v>0.25349575373398581</v>
      </c>
      <c r="L53" s="78">
        <f t="shared" si="49"/>
        <v>0.26284845213009883</v>
      </c>
      <c r="M53" s="78">
        <f t="shared" si="49"/>
        <v>1.4261546766974904</v>
      </c>
      <c r="N53" s="78"/>
      <c r="O53" s="78">
        <f t="shared" si="49"/>
        <v>1.0000000000000002</v>
      </c>
      <c r="P53" s="78">
        <f t="shared" si="49"/>
        <v>4.4695923568041014</v>
      </c>
      <c r="Q53" s="78">
        <f t="shared" si="49"/>
        <v>0.11531743958576413</v>
      </c>
      <c r="R53" s="78">
        <f t="shared" si="49"/>
        <v>1.2126503317486024</v>
      </c>
      <c r="S53" s="78">
        <f t="shared" si="49"/>
        <v>2.0616218820565511</v>
      </c>
      <c r="T53" s="78">
        <f t="shared" si="49"/>
        <v>4.4079823996191996</v>
      </c>
      <c r="U53" s="78">
        <f t="shared" si="49"/>
        <v>4.6104235817239321</v>
      </c>
      <c r="V53" s="78">
        <f t="shared" si="49"/>
        <v>5.795491353638786</v>
      </c>
    </row>
    <row r="54" spans="1:22" s="3" customFormat="1" x14ac:dyDescent="0.35">
      <c r="A54" s="45" t="s">
        <v>2</v>
      </c>
      <c r="B54" s="78">
        <f t="shared" ref="B54" si="50">B48</f>
        <v>1.9111557744972796E-2</v>
      </c>
      <c r="C54" s="78">
        <f t="shared" ref="C54:V54" si="51">C48</f>
        <v>0.10211816087457977</v>
      </c>
      <c r="D54" s="78">
        <f t="shared" si="51"/>
        <v>0.20322989206825146</v>
      </c>
      <c r="E54" s="78">
        <f t="shared" si="51"/>
        <v>0.41793048757141199</v>
      </c>
      <c r="F54" s="78">
        <f t="shared" si="51"/>
        <v>0.65427852199915826</v>
      </c>
      <c r="G54" s="78">
        <f t="shared" si="51"/>
        <v>0.4464078183557092</v>
      </c>
      <c r="H54" s="78">
        <f t="shared" si="51"/>
        <v>0.73083755290960295</v>
      </c>
      <c r="I54" s="78">
        <f t="shared" si="51"/>
        <v>3.2124218291424651E-2</v>
      </c>
      <c r="J54" s="78">
        <f t="shared" si="51"/>
        <v>7.1853534461349303E-2</v>
      </c>
      <c r="K54" s="78">
        <f t="shared" si="51"/>
        <v>0.10264041535540037</v>
      </c>
      <c r="L54" s="78">
        <f t="shared" si="51"/>
        <v>9.4692036925040288E-2</v>
      </c>
      <c r="M54" s="78">
        <f t="shared" si="51"/>
        <v>0.34066549918476763</v>
      </c>
      <c r="N54" s="78"/>
      <c r="O54" s="78">
        <f t="shared" si="51"/>
        <v>0.21937383237108299</v>
      </c>
      <c r="P54" s="78">
        <f t="shared" si="51"/>
        <v>0.75610696987890313</v>
      </c>
      <c r="Q54" s="78">
        <f t="shared" si="51"/>
        <v>3.2802838236078824E-2</v>
      </c>
      <c r="R54" s="78">
        <f t="shared" si="51"/>
        <v>0.30750543664702862</v>
      </c>
      <c r="S54" s="78">
        <f t="shared" si="51"/>
        <v>0.33249730547009321</v>
      </c>
      <c r="T54" s="78">
        <f t="shared" si="51"/>
        <v>0.72409910642859099</v>
      </c>
      <c r="U54" s="78">
        <f t="shared" si="51"/>
        <v>0.33757125360616597</v>
      </c>
      <c r="V54" s="78">
        <f t="shared" si="51"/>
        <v>0.84028538892376936</v>
      </c>
    </row>
    <row r="55" spans="1:22" s="3" customFormat="1" x14ac:dyDescent="0.35">
      <c r="A55" s="45" t="s">
        <v>14</v>
      </c>
      <c r="B55" s="78">
        <f>(B53*100/$B53)-100</f>
        <v>0</v>
      </c>
      <c r="C55" s="78">
        <f t="shared" ref="C55:M55" si="52">(C53*100/$B53)-100</f>
        <v>175.83261075612427</v>
      </c>
      <c r="D55" s="78">
        <f t="shared" si="52"/>
        <v>942.68475823703216</v>
      </c>
      <c r="E55" s="78">
        <f t="shared" si="52"/>
        <v>2393.0711920645012</v>
      </c>
      <c r="F55" s="78">
        <f t="shared" si="52"/>
        <v>4324.7346877422606</v>
      </c>
      <c r="G55" s="78">
        <f t="shared" si="52"/>
        <v>5197.4417287294382</v>
      </c>
      <c r="H55" s="78">
        <f t="shared" si="52"/>
        <v>7571.672097014166</v>
      </c>
      <c r="I55" s="78">
        <f t="shared" si="52"/>
        <v>62.560108449212436</v>
      </c>
      <c r="J55" s="78">
        <f t="shared" si="52"/>
        <v>124.22677942383766</v>
      </c>
      <c r="K55" s="78">
        <f t="shared" si="52"/>
        <v>203.89621054067334</v>
      </c>
      <c r="L55" s="78">
        <f t="shared" si="52"/>
        <v>215.10842833541869</v>
      </c>
      <c r="M55" s="78">
        <f t="shared" si="52"/>
        <v>1609.7051745806848</v>
      </c>
      <c r="N55" s="78"/>
      <c r="O55" s="78">
        <f t="shared" ref="O55:V55" si="53">(O53*100/$O53)-100</f>
        <v>0</v>
      </c>
      <c r="P55" s="78">
        <f t="shared" si="53"/>
        <v>346.95923568041002</v>
      </c>
      <c r="Q55" s="78">
        <f t="shared" si="53"/>
        <v>-88.468256041423587</v>
      </c>
      <c r="R55" s="78">
        <f t="shared" si="53"/>
        <v>21.265033174860207</v>
      </c>
      <c r="S55" s="78">
        <f t="shared" si="53"/>
        <v>106.16218820565504</v>
      </c>
      <c r="T55" s="78">
        <f t="shared" si="53"/>
        <v>340.79823996191982</v>
      </c>
      <c r="U55" s="78">
        <f t="shared" si="53"/>
        <v>361.04235817239311</v>
      </c>
      <c r="V55" s="78">
        <f t="shared" si="53"/>
        <v>479.54913536387846</v>
      </c>
    </row>
    <row r="56" spans="1:22" s="3" customFormat="1" x14ac:dyDescent="0.35">
      <c r="A56" s="45" t="s">
        <v>38</v>
      </c>
      <c r="B56" s="78">
        <f>[1]!SWTEST(B28:B43)</f>
        <v>0.67911408966525844</v>
      </c>
      <c r="C56" s="78">
        <f>[1]!SWTEST(C28:C43)</f>
        <v>1.674190022098454E-4</v>
      </c>
      <c r="D56" s="78">
        <f>[1]!SWTEST(D28:D43)</f>
        <v>0.62696509590472937</v>
      </c>
      <c r="E56" s="78">
        <f>[1]!SWTEST(E28:E43)</f>
        <v>0.56164602355076609</v>
      </c>
      <c r="F56" s="78">
        <f>[1]!SWTEST(F28:F43)</f>
        <v>0.46680811542417544</v>
      </c>
      <c r="G56" s="78">
        <f>[1]!SWTEST(G28:G43)</f>
        <v>0.72430809612684377</v>
      </c>
      <c r="H56" s="78">
        <f>[1]!SWTEST(H28:H43)</f>
        <v>0.95405588601269542</v>
      </c>
      <c r="I56" s="78">
        <f>[1]!SWTEST(I28:I43)</f>
        <v>0.77641678299999262</v>
      </c>
      <c r="J56" s="78">
        <f>[1]!SWTEST(J28:J43)</f>
        <v>4.5812277951653435E-2</v>
      </c>
      <c r="K56" s="78">
        <f>[1]!SWTEST(K28:K43)</f>
        <v>1.1190997010611659E-3</v>
      </c>
      <c r="L56" s="78">
        <f>[1]!SWTEST(L28:L43)</f>
        <v>1.0757880557793587E-2</v>
      </c>
      <c r="M56" s="78">
        <f>[1]!SWTEST(M28:M43)</f>
        <v>0.5682218895711364</v>
      </c>
      <c r="N56" s="78"/>
      <c r="O56" s="78">
        <f>[1]!SWTEST(O28:O43)</f>
        <v>2.547923503711802E-2</v>
      </c>
      <c r="P56" s="78">
        <f>[1]!SWTEST(P28:P43)</f>
        <v>0.11228668185725088</v>
      </c>
      <c r="Q56" s="78">
        <f>[1]!SWTEST(Q28:Q43)</f>
        <v>6.3377693298680149E-2</v>
      </c>
      <c r="R56" s="78">
        <f>[1]!SWTEST(R28:R43)</f>
        <v>0.47196900191565194</v>
      </c>
      <c r="S56" s="78">
        <f>[1]!SWTEST(S28:S43)</f>
        <v>0.22383025603441509</v>
      </c>
      <c r="T56" s="78">
        <f>[1]!SWTEST(T28:T43)</f>
        <v>0.44604437050787071</v>
      </c>
      <c r="U56" s="78">
        <f>[1]!SWTEST(U28:U43)</f>
        <v>0.401633190881304</v>
      </c>
      <c r="V56" s="78">
        <f>[1]!SWTEST(V28:V43)</f>
        <v>0.12991353864090294</v>
      </c>
    </row>
    <row r="57" spans="1:22" s="3" customFormat="1" x14ac:dyDescent="0.35">
      <c r="A57" s="45" t="s">
        <v>39</v>
      </c>
      <c r="B57" s="78" t="str">
        <f>IF(B56&gt;0.05,"Oui","Non")</f>
        <v>Oui</v>
      </c>
      <c r="C57" s="78" t="str">
        <f t="shared" ref="C57:V57" si="54">IF(C56&gt;0.05,"Oui","Non")</f>
        <v>Non</v>
      </c>
      <c r="D57" s="78" t="str">
        <f t="shared" si="54"/>
        <v>Oui</v>
      </c>
      <c r="E57" s="78" t="str">
        <f t="shared" si="54"/>
        <v>Oui</v>
      </c>
      <c r="F57" s="78" t="str">
        <f t="shared" si="54"/>
        <v>Oui</v>
      </c>
      <c r="G57" s="78" t="str">
        <f t="shared" si="54"/>
        <v>Oui</v>
      </c>
      <c r="H57" s="78" t="str">
        <f t="shared" si="54"/>
        <v>Oui</v>
      </c>
      <c r="I57" s="78" t="str">
        <f t="shared" si="54"/>
        <v>Oui</v>
      </c>
      <c r="J57" s="78" t="str">
        <f t="shared" si="54"/>
        <v>Non</v>
      </c>
      <c r="K57" s="78" t="str">
        <f t="shared" si="54"/>
        <v>Non</v>
      </c>
      <c r="L57" s="78" t="str">
        <f t="shared" si="54"/>
        <v>Non</v>
      </c>
      <c r="M57" s="78" t="str">
        <f t="shared" si="54"/>
        <v>Oui</v>
      </c>
      <c r="N57" s="78"/>
      <c r="O57" s="78" t="str">
        <f t="shared" si="54"/>
        <v>Non</v>
      </c>
      <c r="P57" s="78" t="str">
        <f t="shared" si="54"/>
        <v>Oui</v>
      </c>
      <c r="Q57" s="78" t="str">
        <f t="shared" si="54"/>
        <v>Oui</v>
      </c>
      <c r="R57" s="78" t="str">
        <f t="shared" si="54"/>
        <v>Oui</v>
      </c>
      <c r="S57" s="78" t="str">
        <f t="shared" si="54"/>
        <v>Oui</v>
      </c>
      <c r="T57" s="78" t="str">
        <f t="shared" si="54"/>
        <v>Oui</v>
      </c>
      <c r="U57" s="78" t="str">
        <f t="shared" si="54"/>
        <v>Oui</v>
      </c>
      <c r="V57" s="78" t="str">
        <f t="shared" si="54"/>
        <v>Oui</v>
      </c>
    </row>
    <row r="58" spans="1:22" s="3" customFormat="1" x14ac:dyDescent="0.35">
      <c r="A58" s="45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80"/>
      <c r="O58" s="81"/>
      <c r="P58" s="78"/>
      <c r="Q58" s="78"/>
      <c r="R58" s="78"/>
      <c r="S58" s="78"/>
      <c r="T58" s="78"/>
      <c r="U58" s="78"/>
      <c r="V58" s="78"/>
    </row>
    <row r="59" spans="1:22" s="3" customFormat="1" x14ac:dyDescent="0.35">
      <c r="A59" s="45" t="s">
        <v>40</v>
      </c>
      <c r="B59" s="82"/>
      <c r="C59" s="82" t="str">
        <f t="shared" ref="C59:O59" si="55">IF($B57="Non",IF(C57="Non","MW",IF(C57="Oui","MW","")),IF($B57="Oui",IF(C57="Oui","T-Test Welch",IF(C57="Non","MW",""))))</f>
        <v>MW</v>
      </c>
      <c r="D59" s="82" t="str">
        <f t="shared" si="55"/>
        <v>T-Test Welch</v>
      </c>
      <c r="E59" s="82" t="str">
        <f t="shared" si="55"/>
        <v>T-Test Welch</v>
      </c>
      <c r="F59" s="82" t="str">
        <f t="shared" si="55"/>
        <v>T-Test Welch</v>
      </c>
      <c r="G59" s="82" t="str">
        <f t="shared" si="55"/>
        <v>T-Test Welch</v>
      </c>
      <c r="H59" s="82" t="str">
        <f t="shared" si="55"/>
        <v>T-Test Welch</v>
      </c>
      <c r="I59" s="82" t="str">
        <f t="shared" si="55"/>
        <v>T-Test Welch</v>
      </c>
      <c r="J59" s="82" t="str">
        <f t="shared" si="55"/>
        <v>MW</v>
      </c>
      <c r="K59" s="82" t="str">
        <f t="shared" si="55"/>
        <v>MW</v>
      </c>
      <c r="L59" s="82" t="str">
        <f t="shared" si="55"/>
        <v>MW</v>
      </c>
      <c r="M59" s="82" t="str">
        <f t="shared" si="55"/>
        <v>T-Test Welch</v>
      </c>
      <c r="N59" s="82"/>
      <c r="O59" s="82" t="str">
        <f t="shared" si="55"/>
        <v>MW</v>
      </c>
      <c r="P59" s="82" t="str">
        <f t="shared" ref="P59:V59" si="56">IF($O57="Non",IF(P57="Non","MW",IF(P57="Oui","MW","")),IF($O57="Oui",IF(P57="Oui","T-Test Welch",IF(P57="Non","MW",""))))</f>
        <v>MW</v>
      </c>
      <c r="Q59" s="82" t="str">
        <f t="shared" si="56"/>
        <v>MW</v>
      </c>
      <c r="R59" s="82" t="str">
        <f t="shared" si="56"/>
        <v>MW</v>
      </c>
      <c r="S59" s="82" t="str">
        <f t="shared" si="56"/>
        <v>MW</v>
      </c>
      <c r="T59" s="82" t="str">
        <f t="shared" si="56"/>
        <v>MW</v>
      </c>
      <c r="U59" s="82" t="str">
        <f t="shared" si="56"/>
        <v>MW</v>
      </c>
      <c r="V59" s="82" t="str">
        <f t="shared" si="56"/>
        <v>MW</v>
      </c>
    </row>
    <row r="60" spans="1:22" s="3" customFormat="1" x14ac:dyDescent="0.35">
      <c r="A60" s="45" t="s">
        <v>41</v>
      </c>
      <c r="B60" s="83"/>
      <c r="C60" s="83">
        <f>IF(C59="MW",[1]!MTEST($B28:$B43,C28:C43,2), IF(C59="T-Test Welch",_xlfn.T.TEST($B28:$B43,C28:C43,2,3),""))</f>
        <v>7.4203411329755165E-2</v>
      </c>
      <c r="D60" s="83">
        <f>IF(D59="MW",[1]!MTEST($B28:$B43,D28:D43,2), IF(D59="T-Test Welch",_xlfn.T.TEST($B28:$B43,D28:D43,2,3),""))</f>
        <v>6.0669453721406584E-3</v>
      </c>
      <c r="E60" s="83">
        <f>IF(E59="MW",[1]!MTEST($B28:$B43,E28:E43,2), IF(E59="T-Test Welch",_xlfn.T.TEST($B28:$B43,E28:E43,2,3),""))</f>
        <v>2.009346186216533E-3</v>
      </c>
      <c r="F60" s="83">
        <f>IF(F59="MW",[1]!MTEST($B28:$B43,F28:F43,2), IF(F59="T-Test Welch",_xlfn.T.TEST($B28:$B43,F28:F43,2,3),""))</f>
        <v>8.9055390047589338E-4</v>
      </c>
      <c r="G60" s="83">
        <f>IF(G59="MW",[1]!MTEST($B28:$B43,G28:G43,2), IF(G59="T-Test Welch",_xlfn.T.TEST($B28:$B43,G28:G43,2,3),""))</f>
        <v>2.5473821737644918E-5</v>
      </c>
      <c r="H60" s="83">
        <f>IF(H59="MW",[1]!MTEST($B28:$B43,H28:H43,2), IF(H59="T-Test Welch",_xlfn.T.TEST($B28:$B43,H28:H43,2,3),""))</f>
        <v>5.5182778310050979E-5</v>
      </c>
      <c r="I60" s="83">
        <f>IF(I59="MW",[1]!MTEST($B28:$B43,I28:I43,2), IF(I59="T-Test Welch",_xlfn.T.TEST($B28:$B43,I28:I43,2,3),""))</f>
        <v>0.18927392626547149</v>
      </c>
      <c r="J60" s="83">
        <f>IF(J59="MW",[1]!MTEST($B28:$B43,J28:J43,2), IF(J59="T-Test Welch",_xlfn.T.TEST($B28:$B43,J28:J43,2,3),""))</f>
        <v>0.24715997321190719</v>
      </c>
      <c r="K60" s="83">
        <f>IF(K59="MW",[1]!MTEST($B28:$B43,K28:K43,2), IF(K59="T-Test Welch",_xlfn.T.TEST($B28:$B43,K28:K43,2,3),""))</f>
        <v>5.8707408431204922E-2</v>
      </c>
      <c r="L60" s="83">
        <f>IF(L59="MW",[1]!MTEST($B28:$B43,L28:L43,2), IF(L59="T-Test Welch",_xlfn.T.TEST($B28:$B43,L28:L43,2,3),""))</f>
        <v>7.4203411329755165E-2</v>
      </c>
      <c r="M60" s="83">
        <f>IF(M59="MW",[1]!MTEST($B28:$B43,M28:M43,2), IF(M59="T-Test Welch",_xlfn.T.TEST($B28:$B43,M28:M43,2,3),""))</f>
        <v>5.5669854171663362E-3</v>
      </c>
      <c r="N60" s="83"/>
      <c r="O60" s="83">
        <f>IF(O59="MW",[1]!MTEST($B28:$B43,O28:O43,2), IF(O59="T-Test Welch",_xlfn.T.TEST($B28:$B43,O28:O43,2,3),""))</f>
        <v>1.7895728484755846E-3</v>
      </c>
      <c r="P60" s="83">
        <f>IF(P59="MW",[1]!MTEST($O28:$O43,P28:P43,2), IF(P59="T-Test Welch",_xlfn.T.TEST($O28:$O43,P28:P43,2,3),""))</f>
        <v>5.1200452218980175E-4</v>
      </c>
      <c r="Q60" s="83">
        <f>IF(Q59="MW",[1]!MTEST($O28:$O43,Q28:Q43,2), IF(Q59="T-Test Welch",_xlfn.T.TEST($O28:$O43,Q28:Q43,2,3),""))</f>
        <v>4.0001431806946375E-3</v>
      </c>
      <c r="R60" s="83">
        <f>IF(R59="MW",[1]!MTEST($O28:$O43,R28:R43,2), IF(R59="T-Test Welch",_xlfn.T.TEST($O28:$O43,R28:R43,2,3),""))</f>
        <v>0.58154100243149531</v>
      </c>
      <c r="S60" s="83">
        <f>IF(S59="MW",[1]!MTEST($O28:$O43,S28:S43,2), IF(S59="T-Test Welch",_xlfn.T.TEST($O28:$O43,S28:S43,2,3),""))</f>
        <v>1.2048283642041469E-2</v>
      </c>
      <c r="T60" s="83">
        <f>IF(T59="MW",[1]!MTEST($O28:$O43,T28:T43,2), IF(T59="T-Test Welch",_xlfn.T.TEST($O28:$O43,T28:T43,2,3),""))</f>
        <v>1.4508616333606117E-3</v>
      </c>
      <c r="U60" s="83">
        <f>IF(U59="MW",[1]!MTEST($O28:$O43,U28:U43,2), IF(U59="T-Test Welch",_xlfn.T.TEST($O28:$O43,U28:U43,2,3),""))</f>
        <v>1.1434374037588846E-4</v>
      </c>
      <c r="V60" s="83">
        <f>IF(V59="MW",[1]!MTEST($O28:$O43,V28:V43,2), IF(V59="T-Test Welch",_xlfn.T.TEST($O28:$O43,V28:V43,2,3),""))</f>
        <v>1.8736353316595178E-4</v>
      </c>
    </row>
    <row r="61" spans="1:22" s="3" customFormat="1" ht="15" thickBot="1" x14ac:dyDescent="0.4">
      <c r="A61" s="46" t="s">
        <v>15</v>
      </c>
      <c r="B61" s="79"/>
      <c r="C61" s="79" t="str">
        <f t="shared" ref="C61:O61" si="57">IF(C60&gt;0.05,"NS",IF(C60&gt;0.01,"*",IF(C60&gt;0.001,"**","***")))</f>
        <v>NS</v>
      </c>
      <c r="D61" s="79" t="str">
        <f t="shared" si="57"/>
        <v>**</v>
      </c>
      <c r="E61" s="79" t="str">
        <f t="shared" si="57"/>
        <v>**</v>
      </c>
      <c r="F61" s="79" t="str">
        <f t="shared" si="57"/>
        <v>***</v>
      </c>
      <c r="G61" s="79" t="str">
        <f t="shared" si="57"/>
        <v>***</v>
      </c>
      <c r="H61" s="79" t="str">
        <f t="shared" si="57"/>
        <v>***</v>
      </c>
      <c r="I61" s="79" t="str">
        <f t="shared" si="57"/>
        <v>NS</v>
      </c>
      <c r="J61" s="79" t="str">
        <f t="shared" si="57"/>
        <v>NS</v>
      </c>
      <c r="K61" s="79" t="str">
        <f t="shared" si="57"/>
        <v>NS</v>
      </c>
      <c r="L61" s="79" t="str">
        <f t="shared" si="57"/>
        <v>NS</v>
      </c>
      <c r="M61" s="79" t="str">
        <f t="shared" si="57"/>
        <v>**</v>
      </c>
      <c r="N61" s="79"/>
      <c r="O61" s="79" t="str">
        <f t="shared" si="57"/>
        <v>**</v>
      </c>
      <c r="P61" s="79" t="str">
        <f>IF(P60&gt;0.05,"NS",IF(P60&gt;0.01,"*",IF(P60&gt;0.001,"**","***")))</f>
        <v>***</v>
      </c>
      <c r="Q61" s="79" t="str">
        <f t="shared" ref="Q61:V61" si="58">IF(Q60&gt;0.05,"NS",IF(Q60&gt;0.01,"*",IF(Q60&gt;0.001,"**","***")))</f>
        <v>**</v>
      </c>
      <c r="R61" s="79" t="str">
        <f t="shared" si="58"/>
        <v>NS</v>
      </c>
      <c r="S61" s="79" t="str">
        <f t="shared" si="58"/>
        <v>*</v>
      </c>
      <c r="T61" s="79" t="str">
        <f t="shared" si="58"/>
        <v>**</v>
      </c>
      <c r="U61" s="79" t="str">
        <f t="shared" si="58"/>
        <v>***</v>
      </c>
      <c r="V61" s="79" t="str">
        <f t="shared" si="58"/>
        <v>***</v>
      </c>
    </row>
    <row r="63" spans="1:22" x14ac:dyDescent="0.35">
      <c r="A63" s="2"/>
    </row>
    <row r="66" spans="1:22" ht="15" thickBot="1" x14ac:dyDescent="0.4"/>
    <row r="67" spans="1:22" ht="26.5" thickBot="1" x14ac:dyDescent="0.65">
      <c r="A67" s="136"/>
      <c r="B67" s="137"/>
      <c r="C67" s="137"/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</row>
    <row r="68" spans="1:22" ht="16.5" x14ac:dyDescent="0.35">
      <c r="A68" s="12"/>
      <c r="B68" s="12"/>
      <c r="C68" s="12"/>
      <c r="D68" s="12"/>
      <c r="E68" s="12"/>
      <c r="F68" s="12"/>
      <c r="N68" s="12"/>
      <c r="O68" s="12"/>
      <c r="P68" s="12"/>
      <c r="Q68" s="12"/>
      <c r="R68" s="12"/>
      <c r="S68" s="12"/>
      <c r="T68" s="12"/>
      <c r="U68" s="12"/>
      <c r="V68" s="12"/>
    </row>
    <row r="69" spans="1:22" ht="16.5" x14ac:dyDescent="0.35">
      <c r="A69" s="12"/>
      <c r="B69" s="12"/>
      <c r="C69" s="12"/>
      <c r="D69" s="12"/>
      <c r="E69" s="12"/>
      <c r="F69" s="12"/>
      <c r="N69" s="12"/>
      <c r="O69" s="12"/>
      <c r="P69" s="12"/>
      <c r="Q69" s="12"/>
      <c r="R69" s="12"/>
      <c r="S69" s="12"/>
      <c r="T69" s="12"/>
      <c r="U69" s="12"/>
      <c r="V69" s="12"/>
    </row>
    <row r="70" spans="1:22" ht="16.5" x14ac:dyDescent="0.35">
      <c r="A70" s="12"/>
      <c r="B70" s="12"/>
      <c r="C70" s="12"/>
      <c r="D70" s="12"/>
      <c r="E70" s="12"/>
      <c r="F70" s="12"/>
      <c r="N70" s="12"/>
      <c r="O70" s="12"/>
      <c r="P70" s="12"/>
      <c r="Q70" s="12"/>
      <c r="R70" s="12"/>
      <c r="S70" s="12"/>
      <c r="T70" s="12"/>
      <c r="U70" s="12"/>
      <c r="V70" s="12"/>
    </row>
    <row r="71" spans="1:22" ht="16.5" x14ac:dyDescent="0.35">
      <c r="A71" s="12"/>
      <c r="B71" s="12"/>
      <c r="C71" s="12"/>
      <c r="D71" s="12"/>
      <c r="E71" s="12"/>
      <c r="F71" s="12"/>
      <c r="N71" s="12"/>
      <c r="O71" s="12"/>
      <c r="P71" s="12"/>
      <c r="Q71" s="12"/>
      <c r="R71" s="12"/>
      <c r="S71" s="12"/>
      <c r="T71" s="12"/>
      <c r="U71" s="12"/>
      <c r="V71" s="12"/>
    </row>
    <row r="72" spans="1:22" ht="16.5" x14ac:dyDescent="0.35">
      <c r="A72" s="12"/>
      <c r="B72" s="12"/>
      <c r="C72" s="12"/>
      <c r="D72" s="12"/>
      <c r="E72" s="12"/>
      <c r="F72" s="12"/>
      <c r="N72" s="12"/>
      <c r="O72" s="12"/>
      <c r="P72" s="12"/>
      <c r="Q72" s="12"/>
      <c r="R72" s="12"/>
      <c r="S72" s="12"/>
      <c r="T72" s="12"/>
      <c r="U72" s="12"/>
      <c r="V72" s="12"/>
    </row>
    <row r="73" spans="1:22" ht="16.5" x14ac:dyDescent="0.35">
      <c r="A73" s="12"/>
      <c r="B73" s="12"/>
      <c r="C73" s="12"/>
      <c r="D73" s="12"/>
      <c r="E73" s="12"/>
      <c r="F73" s="12"/>
      <c r="N73" s="12"/>
      <c r="O73" s="12"/>
      <c r="P73" s="12"/>
      <c r="Q73" s="12"/>
      <c r="R73" s="12"/>
      <c r="S73" s="12"/>
      <c r="T73" s="12"/>
      <c r="U73" s="12"/>
      <c r="V73" s="12"/>
    </row>
    <row r="74" spans="1:22" ht="16.5" x14ac:dyDescent="0.35">
      <c r="A74" s="12"/>
      <c r="B74" s="12"/>
      <c r="C74" s="12"/>
      <c r="D74" s="12"/>
      <c r="E74" s="12"/>
      <c r="F74" s="12"/>
      <c r="N74" s="12"/>
      <c r="O74" s="12"/>
      <c r="P74" s="12"/>
      <c r="Q74" s="12"/>
      <c r="R74" s="12"/>
      <c r="S74" s="12"/>
      <c r="T74" s="12"/>
      <c r="U74" s="12"/>
      <c r="V74" s="12"/>
    </row>
  </sheetData>
  <protectedRanges>
    <protectedRange sqref="O51:V51" name="Plage2"/>
    <protectedRange sqref="R5:V20" name="Plage1"/>
    <protectedRange sqref="B51:J51" name="Plage2_1"/>
    <protectedRange sqref="O5:O20 B5:J20" name="Plage1_1"/>
  </protectedRanges>
  <mergeCells count="9">
    <mergeCell ref="A1:V1"/>
    <mergeCell ref="A67:V67"/>
    <mergeCell ref="A5:A20"/>
    <mergeCell ref="B3:M3"/>
    <mergeCell ref="O3:V3"/>
    <mergeCell ref="B26:M26"/>
    <mergeCell ref="O26:V26"/>
    <mergeCell ref="A28:A43"/>
    <mergeCell ref="A50:V50"/>
  </mergeCells>
  <pageMargins left="0.7" right="0.7" top="0.75" bottom="0.75" header="0.3" footer="0.3"/>
  <pageSetup paperSize="9" scale="21" orientation="landscape" r:id="rId1"/>
  <headerFooter>
    <oddHeader>&amp;C&amp;"-,Gras"&amp;14Données brutes et normalisées R1&amp;R&amp;"-,Gras"&amp;14Page : &amp;P/&amp;P</oddHeader>
  </headerFooter>
  <colBreaks count="1" manualBreakCount="1">
    <brk id="1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74"/>
  <sheetViews>
    <sheetView showGridLines="0" zoomScale="70" zoomScaleNormal="70" zoomScaleSheetLayoutView="40" zoomScalePageLayoutView="30" workbookViewId="0">
      <selection activeCell="D5" sqref="D5"/>
    </sheetView>
  </sheetViews>
  <sheetFormatPr baseColWidth="10" defaultColWidth="9.1796875" defaultRowHeight="14.5" x14ac:dyDescent="0.35"/>
  <cols>
    <col min="1" max="1" width="33.54296875" style="1" customWidth="1"/>
    <col min="2" max="2" width="14.81640625" style="1" customWidth="1"/>
    <col min="3" max="5" width="25.81640625" style="1" bestFit="1" customWidth="1"/>
    <col min="6" max="8" width="26.453125" style="1" bestFit="1" customWidth="1"/>
    <col min="9" max="9" width="26.453125" style="1" customWidth="1"/>
    <col min="10" max="10" width="25.81640625" style="1" bestFit="1" customWidth="1"/>
    <col min="11" max="11" width="26.453125" style="1" bestFit="1" customWidth="1"/>
    <col min="12" max="13" width="26.453125" style="1" customWidth="1"/>
    <col min="14" max="14" width="11.7265625" style="1" customWidth="1"/>
    <col min="15" max="15" width="14.81640625" style="1" customWidth="1"/>
    <col min="16" max="16" width="17.7265625" style="1" customWidth="1"/>
    <col min="17" max="18" width="25.81640625" style="1" bestFit="1" customWidth="1"/>
    <col min="19" max="22" width="25.81640625" style="1" customWidth="1"/>
    <col min="23" max="16384" width="9.1796875" style="1"/>
  </cols>
  <sheetData>
    <row r="1" spans="1:22" ht="26.5" thickBot="1" x14ac:dyDescent="0.65">
      <c r="A1" s="134"/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</row>
    <row r="2" spans="1:22" ht="15" thickBot="1" x14ac:dyDescent="0.4"/>
    <row r="3" spans="1:22" ht="15" thickBot="1" x14ac:dyDescent="0.4">
      <c r="A3" s="84" t="s">
        <v>9</v>
      </c>
      <c r="B3" s="142" t="s">
        <v>42</v>
      </c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O3" s="142" t="s">
        <v>43</v>
      </c>
      <c r="P3" s="143"/>
      <c r="Q3" s="143"/>
      <c r="R3" s="143"/>
      <c r="S3" s="143"/>
      <c r="T3" s="143"/>
      <c r="U3" s="143"/>
      <c r="V3" s="143"/>
    </row>
    <row r="4" spans="1:22" x14ac:dyDescent="0.35">
      <c r="A4" s="19" t="s">
        <v>37</v>
      </c>
      <c r="B4" s="20" t="str">
        <f>'Front page'!A7</f>
        <v>Solvent control</v>
      </c>
      <c r="C4" s="20" t="str">
        <f>'Front page'!A8</f>
        <v>EE2-33.8ng/L</v>
      </c>
      <c r="D4" s="20" t="str">
        <f>'Front page'!A9</f>
        <v>EE2-50.6ng/L</v>
      </c>
      <c r="E4" s="20" t="str">
        <f>'Front page'!A10</f>
        <v>EE2-76ng/L</v>
      </c>
      <c r="F4" s="20" t="str">
        <f>'Front page'!A11</f>
        <v>EE2-114ng/L</v>
      </c>
      <c r="G4" s="20" t="str">
        <f>'Front page'!A12</f>
        <v>EE2-170.9ng/L</v>
      </c>
      <c r="H4" s="20" t="str">
        <f>'Front page'!A13</f>
        <v>EE2-488ng/L</v>
      </c>
      <c r="I4" s="20" t="str">
        <f>'Front page'!A14</f>
        <v>BPA-1mg/L</v>
      </c>
      <c r="J4" s="20" t="str">
        <f>'Front page'!A15</f>
        <v>BPA-2mg/L</v>
      </c>
      <c r="K4" s="20" t="str">
        <f>'Front page'!A16</f>
        <v>BPA-3mg/L</v>
      </c>
      <c r="L4" s="20" t="str">
        <f>'Front page'!A17</f>
        <v>BPA-4mg/L</v>
      </c>
      <c r="M4" s="20" t="str">
        <f>'Front page'!A18</f>
        <v>BPA-5mg/L</v>
      </c>
      <c r="N4" s="3"/>
      <c r="O4" s="21" t="str">
        <f>'Front page'!A35</f>
        <v>Testo -30µg/L</v>
      </c>
      <c r="P4" s="21" t="str">
        <f>'Front page'!A36</f>
        <v>Testo 30µg/L + EE2 -64ng/L</v>
      </c>
      <c r="Q4" s="21" t="str">
        <f>'Front page'!A37</f>
        <v>Testo 30µg/L + FAD-10mg/L</v>
      </c>
      <c r="R4" s="21" t="str">
        <f>'Front page'!A38</f>
        <v>BPA-1mg/L + Testostérone</v>
      </c>
      <c r="S4" s="21" t="str">
        <f>'Front page'!A39</f>
        <v>BPA-2mg/L + Testostérone</v>
      </c>
      <c r="T4" s="21" t="str">
        <f>'Front page'!A40</f>
        <v>BPA-3mg/L + Testostérone</v>
      </c>
      <c r="U4" s="21" t="str">
        <f>'Front page'!A41</f>
        <v>BPA-4mg/L + Testostérone</v>
      </c>
      <c r="V4" s="21" t="str">
        <f>'Front page'!A42</f>
        <v>BPA-5mg/L + Testostérone</v>
      </c>
    </row>
    <row r="5" spans="1:22" x14ac:dyDescent="0.35">
      <c r="A5" s="138" t="s">
        <v>35</v>
      </c>
      <c r="B5" s="17">
        <v>6911</v>
      </c>
      <c r="C5" s="17">
        <v>1648968</v>
      </c>
      <c r="D5" s="17">
        <v>445753</v>
      </c>
      <c r="E5" s="17">
        <v>5489152</v>
      </c>
      <c r="F5" s="17">
        <v>2827971</v>
      </c>
      <c r="G5" s="17">
        <v>4484880</v>
      </c>
      <c r="H5" s="17">
        <v>10694984</v>
      </c>
      <c r="I5" s="17">
        <v>128236</v>
      </c>
      <c r="J5" s="17">
        <v>86855</v>
      </c>
      <c r="K5" s="13">
        <v>327970</v>
      </c>
      <c r="L5" s="13">
        <v>257519</v>
      </c>
      <c r="M5" s="13">
        <v>5101983</v>
      </c>
      <c r="N5" s="3"/>
      <c r="O5" s="17">
        <v>218391</v>
      </c>
      <c r="P5" s="13">
        <v>6590587</v>
      </c>
      <c r="Q5" s="13">
        <v>39988</v>
      </c>
      <c r="R5" s="17">
        <v>3998668</v>
      </c>
      <c r="S5" s="17">
        <v>4690088</v>
      </c>
      <c r="T5" s="17">
        <v>5361478</v>
      </c>
      <c r="U5" s="17">
        <v>6085711</v>
      </c>
      <c r="V5" s="17">
        <v>10627363</v>
      </c>
    </row>
    <row r="6" spans="1:22" ht="16.5" x14ac:dyDescent="0.35">
      <c r="A6" s="139"/>
      <c r="B6" s="14">
        <v>216594</v>
      </c>
      <c r="C6" s="13">
        <v>152137</v>
      </c>
      <c r="D6" s="17">
        <v>394912</v>
      </c>
      <c r="E6" s="17">
        <v>1364361</v>
      </c>
      <c r="F6" s="17">
        <v>3963432</v>
      </c>
      <c r="G6" s="17">
        <v>2022658</v>
      </c>
      <c r="H6" s="17">
        <v>9111769</v>
      </c>
      <c r="I6" s="17">
        <v>331674</v>
      </c>
      <c r="J6" s="17">
        <v>180000</v>
      </c>
      <c r="K6" s="13">
        <v>56716</v>
      </c>
      <c r="L6" s="13">
        <v>3479593</v>
      </c>
      <c r="M6" s="13">
        <v>4428339</v>
      </c>
      <c r="N6" s="3"/>
      <c r="O6" s="17">
        <v>442182</v>
      </c>
      <c r="P6" s="13">
        <v>4992626</v>
      </c>
      <c r="Q6" s="13">
        <v>230269</v>
      </c>
      <c r="R6" s="17">
        <v>56335</v>
      </c>
      <c r="S6" s="17">
        <v>2390864</v>
      </c>
      <c r="T6" s="17">
        <v>4758370</v>
      </c>
      <c r="U6" s="17">
        <v>10555207</v>
      </c>
      <c r="V6" s="17">
        <v>7468181</v>
      </c>
    </row>
    <row r="7" spans="1:22" ht="16.5" x14ac:dyDescent="0.35">
      <c r="A7" s="139"/>
      <c r="B7" s="14">
        <v>406433</v>
      </c>
      <c r="C7" s="13">
        <v>260080</v>
      </c>
      <c r="D7" s="17">
        <v>2549385</v>
      </c>
      <c r="E7" s="17">
        <v>1375051</v>
      </c>
      <c r="F7" s="17">
        <v>6136127</v>
      </c>
      <c r="G7" s="17">
        <v>7239706</v>
      </c>
      <c r="H7" s="17">
        <v>8838133</v>
      </c>
      <c r="I7" s="17">
        <v>73917</v>
      </c>
      <c r="J7" s="17">
        <v>436004</v>
      </c>
      <c r="K7" s="13">
        <v>162338</v>
      </c>
      <c r="L7" s="13">
        <v>1780542</v>
      </c>
      <c r="M7" s="13">
        <v>1817260</v>
      </c>
      <c r="N7" s="3"/>
      <c r="O7" s="17">
        <v>77842</v>
      </c>
      <c r="P7" s="13">
        <v>8264893</v>
      </c>
      <c r="Q7" s="13">
        <v>93765</v>
      </c>
      <c r="R7" s="17">
        <v>2190803</v>
      </c>
      <c r="S7" s="17">
        <v>3743230</v>
      </c>
      <c r="T7" s="17">
        <v>2761463</v>
      </c>
      <c r="U7" s="17">
        <v>4829283</v>
      </c>
      <c r="V7" s="17">
        <v>11339443</v>
      </c>
    </row>
    <row r="8" spans="1:22" ht="16.5" x14ac:dyDescent="0.35">
      <c r="A8" s="139"/>
      <c r="B8" s="14">
        <v>132138</v>
      </c>
      <c r="C8" s="13">
        <v>643147</v>
      </c>
      <c r="D8" s="17">
        <v>768008</v>
      </c>
      <c r="E8" s="17">
        <v>3105217</v>
      </c>
      <c r="F8" s="17">
        <v>6144825</v>
      </c>
      <c r="G8" s="17">
        <v>3428228</v>
      </c>
      <c r="H8" s="17">
        <v>7245433</v>
      </c>
      <c r="I8" s="17">
        <v>124630</v>
      </c>
      <c r="J8" s="17">
        <v>349787</v>
      </c>
      <c r="K8" s="13">
        <v>1073116</v>
      </c>
      <c r="L8" s="13">
        <v>454414</v>
      </c>
      <c r="M8" s="13">
        <v>2131036</v>
      </c>
      <c r="N8" s="3"/>
      <c r="O8" s="17">
        <v>571078</v>
      </c>
      <c r="P8" s="13">
        <v>6090137</v>
      </c>
      <c r="Q8" s="13">
        <v>89197</v>
      </c>
      <c r="R8" s="17">
        <v>2908825</v>
      </c>
      <c r="S8" s="17">
        <v>3088549</v>
      </c>
      <c r="T8" s="17">
        <v>7366806</v>
      </c>
      <c r="U8" s="17">
        <v>6645220</v>
      </c>
      <c r="V8" s="17">
        <v>8794090</v>
      </c>
    </row>
    <row r="9" spans="1:22" ht="16.5" x14ac:dyDescent="0.35">
      <c r="A9" s="139"/>
      <c r="B9" s="14">
        <v>296339</v>
      </c>
      <c r="C9" s="13">
        <v>676651</v>
      </c>
      <c r="D9" s="17">
        <v>888575</v>
      </c>
      <c r="E9" s="17">
        <v>813487</v>
      </c>
      <c r="F9" s="17">
        <v>7017350</v>
      </c>
      <c r="G9" s="17">
        <v>1938409</v>
      </c>
      <c r="H9" s="17">
        <v>10500559</v>
      </c>
      <c r="I9" s="17">
        <v>82772</v>
      </c>
      <c r="J9" s="17">
        <v>811095</v>
      </c>
      <c r="K9" s="13">
        <v>173432</v>
      </c>
      <c r="L9" s="13">
        <v>187059</v>
      </c>
      <c r="M9" s="13">
        <v>1428169</v>
      </c>
      <c r="N9" s="3"/>
      <c r="O9" s="17">
        <v>1485296</v>
      </c>
      <c r="P9" s="13">
        <v>4215322</v>
      </c>
      <c r="Q9" s="13">
        <v>336938</v>
      </c>
      <c r="R9" s="17">
        <v>2201276</v>
      </c>
      <c r="S9" s="17">
        <v>4877423</v>
      </c>
      <c r="T9" s="17">
        <v>5123669</v>
      </c>
      <c r="U9" s="17">
        <v>5773419</v>
      </c>
      <c r="V9" s="17">
        <v>7906172</v>
      </c>
    </row>
    <row r="10" spans="1:22" ht="16.5" x14ac:dyDescent="0.35">
      <c r="A10" s="139"/>
      <c r="B10" s="14">
        <v>37232</v>
      </c>
      <c r="C10" s="13">
        <v>224754</v>
      </c>
      <c r="D10" s="17">
        <v>1573807</v>
      </c>
      <c r="E10" s="17">
        <v>1154569</v>
      </c>
      <c r="F10" s="17">
        <v>2747901</v>
      </c>
      <c r="G10" s="17">
        <v>3895996</v>
      </c>
      <c r="H10" s="17">
        <v>4556952</v>
      </c>
      <c r="I10" s="17">
        <v>284475</v>
      </c>
      <c r="J10" s="17">
        <v>102173</v>
      </c>
      <c r="K10" s="13">
        <v>476976</v>
      </c>
      <c r="L10" s="13">
        <v>136486</v>
      </c>
      <c r="M10" s="13">
        <v>1217189</v>
      </c>
      <c r="N10" s="3"/>
      <c r="O10" s="17">
        <v>553501</v>
      </c>
      <c r="P10" s="13">
        <v>2969960</v>
      </c>
      <c r="Q10" s="13">
        <v>66862</v>
      </c>
      <c r="R10" s="17">
        <v>3415238</v>
      </c>
      <c r="S10" s="17">
        <v>2254863</v>
      </c>
      <c r="T10" s="17">
        <v>2638681</v>
      </c>
      <c r="U10" s="17">
        <v>10482282</v>
      </c>
      <c r="V10" s="17">
        <v>4019764</v>
      </c>
    </row>
    <row r="11" spans="1:22" ht="16.5" x14ac:dyDescent="0.35">
      <c r="A11" s="139"/>
      <c r="B11" s="14">
        <v>148051</v>
      </c>
      <c r="C11" s="13">
        <v>309128</v>
      </c>
      <c r="D11" s="17">
        <v>2390513</v>
      </c>
      <c r="E11" s="17">
        <v>3504058</v>
      </c>
      <c r="F11" s="17">
        <v>5641961</v>
      </c>
      <c r="G11" s="17">
        <v>4625800</v>
      </c>
      <c r="H11" s="17">
        <v>7084399</v>
      </c>
      <c r="I11" s="17">
        <v>168423</v>
      </c>
      <c r="J11" s="17">
        <v>271209</v>
      </c>
      <c r="K11" s="13">
        <v>67930</v>
      </c>
      <c r="L11" s="13">
        <v>252776</v>
      </c>
      <c r="M11" s="13">
        <v>2649532</v>
      </c>
      <c r="N11" s="3"/>
      <c r="O11" s="17">
        <v>309432</v>
      </c>
      <c r="P11" s="13">
        <v>5311357</v>
      </c>
      <c r="Q11" s="13">
        <v>10368</v>
      </c>
      <c r="R11" s="17">
        <v>5547527</v>
      </c>
      <c r="S11" s="17">
        <v>5227086</v>
      </c>
      <c r="T11" s="17">
        <v>3570985</v>
      </c>
      <c r="U11" s="17">
        <v>9791627</v>
      </c>
      <c r="V11" s="17">
        <v>7138129</v>
      </c>
    </row>
    <row r="12" spans="1:22" ht="16.5" x14ac:dyDescent="0.35">
      <c r="A12" s="139"/>
      <c r="B12" s="14">
        <v>177380</v>
      </c>
      <c r="C12" s="13">
        <v>177232</v>
      </c>
      <c r="D12" s="17"/>
      <c r="E12" s="17">
        <v>2005353</v>
      </c>
      <c r="F12" s="17">
        <v>6816634</v>
      </c>
      <c r="G12" s="17">
        <v>6420797</v>
      </c>
      <c r="H12" s="17"/>
      <c r="I12" s="17"/>
      <c r="J12" s="17"/>
      <c r="K12" s="13">
        <v>12408</v>
      </c>
      <c r="L12" s="13"/>
      <c r="M12" s="13">
        <v>440929</v>
      </c>
      <c r="N12" s="3"/>
      <c r="O12" s="17">
        <v>112509</v>
      </c>
      <c r="P12" s="13">
        <v>6219389</v>
      </c>
      <c r="Q12" s="13">
        <v>346761</v>
      </c>
      <c r="R12" s="17">
        <v>3347550</v>
      </c>
      <c r="S12" s="17">
        <v>3784047</v>
      </c>
      <c r="T12" s="17"/>
      <c r="U12" s="17">
        <v>4913180</v>
      </c>
      <c r="V12" s="17">
        <v>4507671</v>
      </c>
    </row>
    <row r="13" spans="1:22" ht="16.5" x14ac:dyDescent="0.35">
      <c r="A13" s="139"/>
      <c r="B13" s="14"/>
      <c r="C13" s="13"/>
      <c r="D13" s="17"/>
      <c r="E13" s="17"/>
      <c r="F13" s="17"/>
      <c r="G13" s="17"/>
      <c r="H13" s="17"/>
      <c r="I13" s="17"/>
      <c r="J13" s="17"/>
      <c r="K13" s="13"/>
      <c r="L13" s="13"/>
      <c r="M13" s="13"/>
      <c r="N13" s="3"/>
      <c r="O13" s="17">
        <v>6590587</v>
      </c>
      <c r="P13" s="13">
        <v>7377760</v>
      </c>
      <c r="Q13" s="13"/>
      <c r="R13" s="17"/>
      <c r="S13" s="17"/>
      <c r="T13" s="17"/>
      <c r="U13" s="17"/>
      <c r="V13" s="17"/>
    </row>
    <row r="14" spans="1:22" ht="16.5" x14ac:dyDescent="0.35">
      <c r="A14" s="139"/>
      <c r="B14" s="14"/>
      <c r="C14" s="17"/>
      <c r="D14" s="17"/>
      <c r="E14" s="17"/>
      <c r="F14" s="17"/>
      <c r="G14" s="17"/>
      <c r="H14" s="17"/>
      <c r="I14" s="17"/>
      <c r="J14" s="17"/>
      <c r="K14" s="13"/>
      <c r="L14" s="13"/>
      <c r="M14" s="13"/>
      <c r="N14" s="3"/>
      <c r="O14" s="17">
        <v>4992626</v>
      </c>
      <c r="P14" s="13"/>
      <c r="Q14" s="13"/>
      <c r="R14" s="17"/>
      <c r="S14" s="17"/>
      <c r="T14" s="17"/>
      <c r="U14" s="17"/>
      <c r="V14" s="17"/>
    </row>
    <row r="15" spans="1:22" ht="16.5" x14ac:dyDescent="0.35">
      <c r="A15" s="139"/>
      <c r="B15" s="14"/>
      <c r="C15" s="17"/>
      <c r="D15" s="17"/>
      <c r="E15" s="17"/>
      <c r="F15" s="17"/>
      <c r="G15" s="17"/>
      <c r="H15" s="17"/>
      <c r="I15" s="17"/>
      <c r="J15" s="17"/>
      <c r="K15" s="13"/>
      <c r="L15" s="13"/>
      <c r="M15" s="13"/>
      <c r="N15" s="3"/>
      <c r="O15" s="17">
        <v>8264893</v>
      </c>
      <c r="P15" s="13"/>
      <c r="Q15" s="13"/>
      <c r="R15" s="17"/>
      <c r="S15" s="17"/>
      <c r="T15" s="17"/>
      <c r="U15" s="17"/>
      <c r="V15" s="17"/>
    </row>
    <row r="16" spans="1:22" ht="16.5" x14ac:dyDescent="0.35">
      <c r="A16" s="139"/>
      <c r="B16" s="14"/>
      <c r="C16" s="17"/>
      <c r="D16" s="17"/>
      <c r="E16" s="17"/>
      <c r="F16" s="17"/>
      <c r="G16" s="17"/>
      <c r="H16" s="17"/>
      <c r="I16" s="17"/>
      <c r="J16" s="17"/>
      <c r="K16" s="13"/>
      <c r="L16" s="13"/>
      <c r="M16" s="13"/>
      <c r="N16" s="3"/>
      <c r="O16" s="17">
        <v>6090137</v>
      </c>
      <c r="P16" s="13"/>
      <c r="Q16" s="13"/>
      <c r="R16" s="17"/>
      <c r="S16" s="17"/>
      <c r="T16" s="17"/>
      <c r="U16" s="17"/>
      <c r="V16" s="17"/>
    </row>
    <row r="17" spans="1:22" ht="16.5" x14ac:dyDescent="0.35">
      <c r="A17" s="139"/>
      <c r="B17" s="14"/>
      <c r="C17" s="17"/>
      <c r="D17" s="17"/>
      <c r="E17" s="17"/>
      <c r="F17" s="17"/>
      <c r="G17" s="17"/>
      <c r="H17" s="17"/>
      <c r="I17" s="17"/>
      <c r="J17" s="17"/>
      <c r="K17" s="13"/>
      <c r="L17" s="13"/>
      <c r="M17" s="13"/>
      <c r="N17" s="3"/>
      <c r="O17" s="17">
        <v>4215322</v>
      </c>
      <c r="P17" s="13"/>
      <c r="Q17" s="13"/>
      <c r="R17" s="17"/>
      <c r="S17" s="17"/>
      <c r="T17" s="17"/>
      <c r="U17" s="17"/>
      <c r="V17" s="17"/>
    </row>
    <row r="18" spans="1:22" ht="16.5" x14ac:dyDescent="0.35">
      <c r="A18" s="139"/>
      <c r="B18" s="14"/>
      <c r="C18" s="17"/>
      <c r="D18" s="17"/>
      <c r="E18" s="17"/>
      <c r="F18" s="17"/>
      <c r="G18" s="17"/>
      <c r="H18" s="17"/>
      <c r="I18" s="17"/>
      <c r="J18" s="17"/>
      <c r="K18" s="13"/>
      <c r="L18" s="13"/>
      <c r="M18" s="13"/>
      <c r="N18" s="3"/>
      <c r="O18" s="17">
        <v>2969960</v>
      </c>
      <c r="P18" s="13"/>
      <c r="Q18" s="13"/>
      <c r="R18" s="17"/>
      <c r="S18" s="17"/>
      <c r="T18" s="17"/>
      <c r="U18" s="17"/>
      <c r="V18" s="17"/>
    </row>
    <row r="19" spans="1:22" ht="16.5" x14ac:dyDescent="0.35">
      <c r="A19" s="139"/>
      <c r="B19" s="14"/>
      <c r="C19" s="17"/>
      <c r="D19" s="17"/>
      <c r="E19" s="17"/>
      <c r="F19" s="17"/>
      <c r="G19" s="17"/>
      <c r="H19" s="17"/>
      <c r="I19" s="17"/>
      <c r="J19" s="17"/>
      <c r="K19" s="13"/>
      <c r="L19" s="13"/>
      <c r="M19" s="13"/>
      <c r="N19" s="3"/>
      <c r="O19" s="17">
        <v>5311357</v>
      </c>
      <c r="P19" s="13"/>
      <c r="Q19" s="13"/>
      <c r="R19" s="17"/>
      <c r="S19" s="17"/>
      <c r="T19" s="17"/>
      <c r="U19" s="17"/>
      <c r="V19" s="17"/>
    </row>
    <row r="20" spans="1:22" ht="16.5" x14ac:dyDescent="0.35">
      <c r="A20" s="139"/>
      <c r="B20" s="14"/>
      <c r="C20" s="17"/>
      <c r="D20" s="17"/>
      <c r="E20" s="17"/>
      <c r="F20" s="17"/>
      <c r="G20" s="17"/>
      <c r="H20" s="17"/>
      <c r="I20" s="17"/>
      <c r="J20" s="17"/>
      <c r="K20" s="13"/>
      <c r="L20" s="13"/>
      <c r="M20" s="13"/>
      <c r="N20" s="3"/>
      <c r="O20" s="17">
        <v>6219389</v>
      </c>
      <c r="P20" s="13"/>
      <c r="Q20" s="13"/>
      <c r="R20" s="17"/>
      <c r="S20" s="17"/>
      <c r="T20" s="17"/>
      <c r="U20" s="17"/>
      <c r="V20" s="17"/>
    </row>
    <row r="21" spans="1:22" x14ac:dyDescent="0.35">
      <c r="A21" s="49"/>
      <c r="B21" s="7"/>
      <c r="C21" s="7"/>
      <c r="D21" s="7"/>
      <c r="E21" s="7"/>
      <c r="F21" s="7"/>
      <c r="G21" s="7"/>
      <c r="H21" s="7"/>
      <c r="I21" s="7"/>
      <c r="J21" s="7"/>
      <c r="N21" s="3"/>
      <c r="O21" s="7"/>
      <c r="R21" s="7"/>
      <c r="S21" s="7"/>
      <c r="T21" s="7"/>
      <c r="U21" s="7"/>
      <c r="V21" s="7"/>
    </row>
    <row r="22" spans="1:22" x14ac:dyDescent="0.35">
      <c r="A22" s="51" t="str">
        <f t="shared" ref="A22" si="0">A4</f>
        <v>Group names</v>
      </c>
      <c r="B22" s="3" t="str">
        <f t="shared" ref="B22:V22" si="1">B4</f>
        <v>Solvent control</v>
      </c>
      <c r="C22" s="3" t="str">
        <f t="shared" si="1"/>
        <v>EE2-33.8ng/L</v>
      </c>
      <c r="D22" s="3" t="str">
        <f t="shared" si="1"/>
        <v>EE2-50.6ng/L</v>
      </c>
      <c r="E22" s="3" t="str">
        <f t="shared" si="1"/>
        <v>EE2-76ng/L</v>
      </c>
      <c r="F22" s="3" t="str">
        <f t="shared" si="1"/>
        <v>EE2-114ng/L</v>
      </c>
      <c r="G22" s="3" t="str">
        <f t="shared" si="1"/>
        <v>EE2-170.9ng/L</v>
      </c>
      <c r="H22" s="3" t="str">
        <f t="shared" si="1"/>
        <v>EE2-488ng/L</v>
      </c>
      <c r="I22" s="3" t="str">
        <f t="shared" si="1"/>
        <v>BPA-1mg/L</v>
      </c>
      <c r="J22" s="3" t="str">
        <f t="shared" si="1"/>
        <v>BPA-2mg/L</v>
      </c>
      <c r="K22" s="3" t="str">
        <f t="shared" si="1"/>
        <v>BPA-3mg/L</v>
      </c>
      <c r="L22" s="3" t="str">
        <f t="shared" si="1"/>
        <v>BPA-4mg/L</v>
      </c>
      <c r="M22" s="3" t="str">
        <f t="shared" si="1"/>
        <v>BPA-5mg/L</v>
      </c>
      <c r="N22" s="3" t="s">
        <v>11</v>
      </c>
      <c r="O22" s="3" t="str">
        <f t="shared" si="1"/>
        <v>Testo -30µg/L</v>
      </c>
      <c r="P22" s="3" t="str">
        <f t="shared" si="1"/>
        <v>Testo 30µg/L + EE2 -64ng/L</v>
      </c>
      <c r="Q22" s="3" t="str">
        <f t="shared" si="1"/>
        <v>Testo 30µg/L + FAD-10mg/L</v>
      </c>
      <c r="R22" s="3" t="str">
        <f t="shared" si="1"/>
        <v>BPA-1mg/L + Testostérone</v>
      </c>
      <c r="S22" s="3" t="str">
        <f t="shared" si="1"/>
        <v>BPA-2mg/L + Testostérone</v>
      </c>
      <c r="T22" s="3" t="str">
        <f t="shared" si="1"/>
        <v>BPA-3mg/L + Testostérone</v>
      </c>
      <c r="U22" s="3" t="str">
        <f t="shared" si="1"/>
        <v>BPA-4mg/L + Testostérone</v>
      </c>
      <c r="V22" s="3" t="str">
        <f t="shared" si="1"/>
        <v>BPA-5mg/L + Testostérone</v>
      </c>
    </row>
    <row r="23" spans="1:22" x14ac:dyDescent="0.35">
      <c r="A23" s="5" t="s">
        <v>0</v>
      </c>
      <c r="B23" s="5">
        <f t="shared" ref="B23:J23" si="2">AVERAGE(B5:B20)</f>
        <v>177634.75</v>
      </c>
      <c r="C23" s="5">
        <f t="shared" si="2"/>
        <v>511512.125</v>
      </c>
      <c r="D23" s="5">
        <f t="shared" si="2"/>
        <v>1287279</v>
      </c>
      <c r="E23" s="5">
        <f t="shared" si="2"/>
        <v>2351406</v>
      </c>
      <c r="F23" s="5">
        <f t="shared" si="2"/>
        <v>5162025.125</v>
      </c>
      <c r="G23" s="5">
        <f t="shared" si="2"/>
        <v>4257059.25</v>
      </c>
      <c r="H23" s="5">
        <f t="shared" si="2"/>
        <v>8290318.4285714282</v>
      </c>
      <c r="I23" s="5">
        <f t="shared" si="2"/>
        <v>170589.57142857142</v>
      </c>
      <c r="J23" s="5">
        <f t="shared" si="2"/>
        <v>319589</v>
      </c>
      <c r="K23" s="5"/>
      <c r="L23" s="5">
        <f>AVERAGE(L5:L20)</f>
        <v>935484.14285714284</v>
      </c>
      <c r="M23" s="5"/>
      <c r="N23" s="5" t="s">
        <v>0</v>
      </c>
      <c r="O23" s="5">
        <f>AVERAGE(O5:O20)</f>
        <v>3026531.375</v>
      </c>
      <c r="P23" s="5">
        <f>AVERAGE(P5:P20)</f>
        <v>5781336.777777778</v>
      </c>
      <c r="Q23" s="5">
        <f>AVERAGE(Q5:Q20)</f>
        <v>151768.5</v>
      </c>
      <c r="R23" s="5">
        <f>AVERAGE(R5:R20)</f>
        <v>2958277.75</v>
      </c>
      <c r="S23" s="5">
        <f>AVERAGE(S5:S20)</f>
        <v>3757018.75</v>
      </c>
      <c r="T23" s="5">
        <f t="shared" ref="T23:V23" si="3">AVERAGE(T5:T20)</f>
        <v>4511636</v>
      </c>
      <c r="U23" s="5">
        <f t="shared" si="3"/>
        <v>7384491.125</v>
      </c>
      <c r="V23" s="5">
        <f t="shared" si="3"/>
        <v>7725101.625</v>
      </c>
    </row>
    <row r="24" spans="1:22" x14ac:dyDescent="0.35">
      <c r="A24" s="3" t="s">
        <v>1</v>
      </c>
      <c r="B24" s="3">
        <f t="shared" ref="B24:J24" si="4">STDEV(B5:B20)</f>
        <v>130800.78078376618</v>
      </c>
      <c r="C24" s="3">
        <f t="shared" si="4"/>
        <v>502238.67521199165</v>
      </c>
      <c r="D24" s="3">
        <f t="shared" si="4"/>
        <v>896774.51933749765</v>
      </c>
      <c r="E24" s="3">
        <f t="shared" si="4"/>
        <v>1585072.3674029163</v>
      </c>
      <c r="F24" s="3">
        <f t="shared" si="4"/>
        <v>1733596.5443858893</v>
      </c>
      <c r="G24" s="3">
        <f t="shared" si="4"/>
        <v>1888000.8535184776</v>
      </c>
      <c r="H24" s="3">
        <f t="shared" si="4"/>
        <v>2165121.7770602684</v>
      </c>
      <c r="I24" s="3">
        <f t="shared" si="4"/>
        <v>99905.286094475741</v>
      </c>
      <c r="J24" s="3">
        <f t="shared" si="4"/>
        <v>251430.26355830755</v>
      </c>
      <c r="K24" s="3"/>
      <c r="L24" s="3">
        <f>STDEV(L5:L20)</f>
        <v>1261104.4439473718</v>
      </c>
      <c r="M24" s="3"/>
      <c r="N24" s="3" t="s">
        <v>1</v>
      </c>
      <c r="O24" s="3">
        <f>STDEV(O5:O20)</f>
        <v>2873781.474298765</v>
      </c>
      <c r="P24" s="3">
        <f>STDEV(P5:P20)</f>
        <v>1614695.7614185235</v>
      </c>
      <c r="Q24" s="3">
        <f>STDEV(Q5:Q20)</f>
        <v>133870.8552694403</v>
      </c>
      <c r="R24" s="3">
        <f>STDEV(R5:R20)</f>
        <v>1591618.921806684</v>
      </c>
      <c r="S24" s="3">
        <f>STDEV(S5:S20)</f>
        <v>1124890.139971233</v>
      </c>
      <c r="T24" s="3">
        <f t="shared" ref="T24:V24" si="5">STDEV(T5:T20)</f>
        <v>1671604.9911917988</v>
      </c>
      <c r="U24" s="3">
        <f t="shared" si="5"/>
        <v>2475867.029254395</v>
      </c>
      <c r="V24" s="3">
        <f t="shared" si="5"/>
        <v>2595436.6299999882</v>
      </c>
    </row>
    <row r="25" spans="1:22" ht="15" thickBot="1" x14ac:dyDescent="0.4"/>
    <row r="26" spans="1:22" ht="15" thickBot="1" x14ac:dyDescent="0.4">
      <c r="B26" s="142" t="s">
        <v>42</v>
      </c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O26" s="142" t="s">
        <v>43</v>
      </c>
      <c r="P26" s="143"/>
      <c r="Q26" s="143"/>
      <c r="R26" s="143"/>
      <c r="S26" s="143"/>
      <c r="T26" s="143"/>
      <c r="U26" s="143"/>
      <c r="V26" s="143"/>
    </row>
    <row r="27" spans="1:22" x14ac:dyDescent="0.35">
      <c r="A27" s="19" t="str">
        <f>A4</f>
        <v>Group names</v>
      </c>
      <c r="B27" s="20" t="str">
        <f>B4</f>
        <v>Solvent control</v>
      </c>
      <c r="C27" s="20" t="str">
        <f t="shared" ref="C27:M27" si="6">C4</f>
        <v>EE2-33.8ng/L</v>
      </c>
      <c r="D27" s="20" t="str">
        <f t="shared" si="6"/>
        <v>EE2-50.6ng/L</v>
      </c>
      <c r="E27" s="20" t="str">
        <f t="shared" si="6"/>
        <v>EE2-76ng/L</v>
      </c>
      <c r="F27" s="20" t="str">
        <f t="shared" si="6"/>
        <v>EE2-114ng/L</v>
      </c>
      <c r="G27" s="20" t="str">
        <f t="shared" si="6"/>
        <v>EE2-170.9ng/L</v>
      </c>
      <c r="H27" s="20" t="str">
        <f t="shared" si="6"/>
        <v>EE2-488ng/L</v>
      </c>
      <c r="I27" s="20" t="str">
        <f t="shared" si="6"/>
        <v>BPA-1mg/L</v>
      </c>
      <c r="J27" s="20" t="str">
        <f t="shared" si="6"/>
        <v>BPA-2mg/L</v>
      </c>
      <c r="K27" s="20" t="str">
        <f t="shared" si="6"/>
        <v>BPA-3mg/L</v>
      </c>
      <c r="L27" s="20" t="str">
        <f t="shared" si="6"/>
        <v>BPA-4mg/L</v>
      </c>
      <c r="M27" s="20" t="str">
        <f t="shared" si="6"/>
        <v>BPA-5mg/L</v>
      </c>
      <c r="N27" s="3"/>
      <c r="O27" s="21" t="str">
        <f>O4</f>
        <v>Testo -30µg/L</v>
      </c>
      <c r="P27" s="21" t="str">
        <f t="shared" ref="P27:V27" si="7">P4</f>
        <v>Testo 30µg/L + EE2 -64ng/L</v>
      </c>
      <c r="Q27" s="21" t="str">
        <f t="shared" si="7"/>
        <v>Testo 30µg/L + FAD-10mg/L</v>
      </c>
      <c r="R27" s="21" t="str">
        <f t="shared" si="7"/>
        <v>BPA-1mg/L + Testostérone</v>
      </c>
      <c r="S27" s="21" t="str">
        <f t="shared" si="7"/>
        <v>BPA-2mg/L + Testostérone</v>
      </c>
      <c r="T27" s="21" t="str">
        <f t="shared" si="7"/>
        <v>BPA-3mg/L + Testostérone</v>
      </c>
      <c r="U27" s="21" t="str">
        <f t="shared" si="7"/>
        <v>BPA-4mg/L + Testostérone</v>
      </c>
      <c r="V27" s="21" t="str">
        <f t="shared" si="7"/>
        <v>BPA-5mg/L + Testostérone</v>
      </c>
    </row>
    <row r="28" spans="1:22" ht="14.5" customHeight="1" x14ac:dyDescent="0.35">
      <c r="A28" s="140" t="s">
        <v>36</v>
      </c>
      <c r="B28" s="11">
        <f t="shared" ref="B28:M28" si="8">IF(B5="","",(B5/$O$23))</f>
        <v>2.2834721150049204E-3</v>
      </c>
      <c r="C28" s="11">
        <f t="shared" si="8"/>
        <v>0.54483757003840738</v>
      </c>
      <c r="D28" s="11">
        <f t="shared" si="8"/>
        <v>0.1472818037447241</v>
      </c>
      <c r="E28" s="11">
        <f t="shared" si="8"/>
        <v>1.8136775469575299</v>
      </c>
      <c r="F28" s="11">
        <f t="shared" si="8"/>
        <v>0.93439341926531327</v>
      </c>
      <c r="G28" s="11">
        <f t="shared" si="8"/>
        <v>1.4818547850011963</v>
      </c>
      <c r="H28" s="11">
        <f t="shared" si="8"/>
        <v>3.5337429799484568</v>
      </c>
      <c r="I28" s="11">
        <f t="shared" si="8"/>
        <v>4.2370616428848352E-2</v>
      </c>
      <c r="J28" s="11">
        <f t="shared" si="8"/>
        <v>2.8697868694653794E-2</v>
      </c>
      <c r="K28" s="11">
        <f t="shared" si="8"/>
        <v>0.10836497606108578</v>
      </c>
      <c r="L28" s="11">
        <f t="shared" si="8"/>
        <v>8.5087173431334415E-2</v>
      </c>
      <c r="M28" s="11">
        <f t="shared" si="8"/>
        <v>1.6857525555967514</v>
      </c>
      <c r="N28" s="6"/>
      <c r="O28" s="11">
        <f t="shared" ref="O28:V37" si="9">IF(O5="","",(O5/$O$23))</f>
        <v>7.2158842232388887E-2</v>
      </c>
      <c r="P28" s="11">
        <f t="shared" si="9"/>
        <v>2.1776040567231854</v>
      </c>
      <c r="Q28" s="11">
        <f t="shared" si="9"/>
        <v>1.3212484869746311E-2</v>
      </c>
      <c r="R28" s="11">
        <f t="shared" si="9"/>
        <v>1.3212048726902756</v>
      </c>
      <c r="S28" s="11">
        <f t="shared" si="9"/>
        <v>1.5496578157892051</v>
      </c>
      <c r="T28" s="11">
        <f t="shared" si="9"/>
        <v>1.7714926216484375</v>
      </c>
      <c r="U28" s="11">
        <f t="shared" si="9"/>
        <v>2.0107873489333974</v>
      </c>
      <c r="V28" s="11">
        <f t="shared" si="9"/>
        <v>3.511400241142387</v>
      </c>
    </row>
    <row r="29" spans="1:22" x14ac:dyDescent="0.35">
      <c r="A29" s="141"/>
      <c r="B29" s="11">
        <f t="shared" ref="B29:M29" si="10">IF(B6="","",(B6/$O$23))</f>
        <v>7.1565093224913293E-2</v>
      </c>
      <c r="C29" s="11">
        <f t="shared" si="10"/>
        <v>5.0267775598394383E-2</v>
      </c>
      <c r="D29" s="11">
        <f t="shared" si="10"/>
        <v>0.13048336563172089</v>
      </c>
      <c r="E29" s="11">
        <f t="shared" si="10"/>
        <v>0.45080021679933846</v>
      </c>
      <c r="F29" s="11">
        <f t="shared" si="10"/>
        <v>1.3095625020573263</v>
      </c>
      <c r="G29" s="11">
        <f t="shared" si="10"/>
        <v>0.6683089482262512</v>
      </c>
      <c r="H29" s="11">
        <f t="shared" si="10"/>
        <v>3.0106309405102398</v>
      </c>
      <c r="I29" s="11">
        <f t="shared" si="10"/>
        <v>0.10958881931299985</v>
      </c>
      <c r="J29" s="11">
        <f t="shared" si="10"/>
        <v>5.9474024121094732E-2</v>
      </c>
      <c r="K29" s="11">
        <f t="shared" si="10"/>
        <v>1.8739604178066714E-2</v>
      </c>
      <c r="L29" s="11">
        <f t="shared" si="10"/>
        <v>1.1496966556310688</v>
      </c>
      <c r="M29" s="11">
        <f t="shared" si="10"/>
        <v>1.463173002791025</v>
      </c>
      <c r="N29" s="6"/>
      <c r="O29" s="11">
        <f t="shared" si="9"/>
        <v>0.14610190518841062</v>
      </c>
      <c r="P29" s="11">
        <f t="shared" si="9"/>
        <v>1.6496197730644706</v>
      </c>
      <c r="Q29" s="11">
        <f t="shared" si="9"/>
        <v>7.6083467001890906E-2</v>
      </c>
      <c r="R29" s="11">
        <f t="shared" si="9"/>
        <v>1.8613717493677063E-2</v>
      </c>
      <c r="S29" s="11">
        <f t="shared" si="9"/>
        <v>0.78996835114587238</v>
      </c>
      <c r="T29" s="11">
        <f t="shared" si="9"/>
        <v>1.5722189564282973</v>
      </c>
      <c r="U29" s="11">
        <f t="shared" si="9"/>
        <v>3.4875590873397107</v>
      </c>
      <c r="V29" s="11">
        <f t="shared" si="9"/>
        <v>2.467570982970563</v>
      </c>
    </row>
    <row r="30" spans="1:22" x14ac:dyDescent="0.35">
      <c r="A30" s="141"/>
      <c r="B30" s="11">
        <f t="shared" ref="B30:M30" si="11">IF(B7="","",(B7/$O$23))</f>
        <v>0.13429003358671607</v>
      </c>
      <c r="C30" s="11">
        <f t="shared" si="11"/>
        <v>8.5933356630079547E-2</v>
      </c>
      <c r="D30" s="11">
        <f t="shared" si="11"/>
        <v>0.84234547213309496</v>
      </c>
      <c r="E30" s="11">
        <f t="shared" si="11"/>
        <v>0.45433231300964128</v>
      </c>
      <c r="F30" s="11">
        <f t="shared" si="11"/>
        <v>2.0274453622672257</v>
      </c>
      <c r="G30" s="11">
        <f t="shared" si="11"/>
        <v>2.3920802737424123</v>
      </c>
      <c r="H30" s="11">
        <f t="shared" si="11"/>
        <v>2.9202185290413518</v>
      </c>
      <c r="I30" s="11">
        <f t="shared" si="11"/>
        <v>2.442300800532755E-2</v>
      </c>
      <c r="J30" s="11">
        <f t="shared" si="11"/>
        <v>0.1440606245160766</v>
      </c>
      <c r="K30" s="11">
        <f t="shared" si="11"/>
        <v>5.3638300709834871E-2</v>
      </c>
      <c r="L30" s="11">
        <f t="shared" si="11"/>
        <v>0.58831109920345692</v>
      </c>
      <c r="M30" s="11">
        <f t="shared" si="11"/>
        <v>0.60044313930167004</v>
      </c>
      <c r="N30" s="6"/>
      <c r="O30" s="11">
        <f t="shared" si="9"/>
        <v>2.5719872142412534E-2</v>
      </c>
      <c r="P30" s="11">
        <f t="shared" si="9"/>
        <v>2.7308135868903722</v>
      </c>
      <c r="Q30" s="11">
        <f t="shared" si="9"/>
        <v>3.0981010398413597E-2</v>
      </c>
      <c r="R30" s="11">
        <f t="shared" si="9"/>
        <v>0.72386594703648166</v>
      </c>
      <c r="S30" s="11">
        <f t="shared" si="9"/>
        <v>1.2368052850600302</v>
      </c>
      <c r="T30" s="11">
        <f t="shared" si="9"/>
        <v>0.91241842817505903</v>
      </c>
      <c r="U30" s="11">
        <f t="shared" si="9"/>
        <v>1.5956494090532929</v>
      </c>
      <c r="V30" s="11">
        <f t="shared" si="9"/>
        <v>3.7466794805654375</v>
      </c>
    </row>
    <row r="31" spans="1:22" x14ac:dyDescent="0.35">
      <c r="A31" s="141"/>
      <c r="B31" s="11">
        <f t="shared" ref="B31:M31" si="12">IF(B8="","",(B8/$O$23))</f>
        <v>4.3659881107295642E-2</v>
      </c>
      <c r="C31" s="11">
        <f t="shared" si="12"/>
        <v>0.21250300106338729</v>
      </c>
      <c r="D31" s="11">
        <f t="shared" si="12"/>
        <v>0.25375847953996511</v>
      </c>
      <c r="E31" s="11">
        <f t="shared" si="12"/>
        <v>1.0259986153290745</v>
      </c>
      <c r="F31" s="11">
        <f t="shared" si="12"/>
        <v>2.0303192792772551</v>
      </c>
      <c r="G31" s="11">
        <f t="shared" si="12"/>
        <v>1.1327250820256241</v>
      </c>
      <c r="H31" s="11">
        <f t="shared" si="12"/>
        <v>2.3939725389431987</v>
      </c>
      <c r="I31" s="11">
        <f t="shared" si="12"/>
        <v>4.117915347895576E-2</v>
      </c>
      <c r="J31" s="11">
        <f t="shared" si="12"/>
        <v>0.11557355819580757</v>
      </c>
      <c r="K31" s="11">
        <f t="shared" si="12"/>
        <v>0.3545695937151816</v>
      </c>
      <c r="L31" s="11">
        <f t="shared" si="12"/>
        <v>0.15014349553868411</v>
      </c>
      <c r="M31" s="11">
        <f t="shared" si="12"/>
        <v>0.70411825814956241</v>
      </c>
      <c r="N31" s="6"/>
      <c r="O31" s="11">
        <f t="shared" si="9"/>
        <v>0.18869059303903632</v>
      </c>
      <c r="P31" s="11">
        <f t="shared" si="9"/>
        <v>2.0122497491042859</v>
      </c>
      <c r="Q31" s="11">
        <f t="shared" si="9"/>
        <v>2.9471691830718259E-2</v>
      </c>
      <c r="R31" s="11">
        <f t="shared" si="9"/>
        <v>0.9611084900780188</v>
      </c>
      <c r="S31" s="11">
        <f t="shared" si="9"/>
        <v>1.0204913206954611</v>
      </c>
      <c r="T31" s="11">
        <f t="shared" si="9"/>
        <v>2.4340755429968075</v>
      </c>
      <c r="U31" s="11">
        <f t="shared" si="9"/>
        <v>2.195655414277673</v>
      </c>
      <c r="V31" s="11">
        <f t="shared" si="9"/>
        <v>2.9056662265726554</v>
      </c>
    </row>
    <row r="32" spans="1:22" x14ac:dyDescent="0.35">
      <c r="A32" s="141"/>
      <c r="B32" s="11">
        <f t="shared" ref="B32:M32" si="13">IF(B9="","",(B9/$O$23))</f>
        <v>9.7913737966783834E-2</v>
      </c>
      <c r="C32" s="11">
        <f t="shared" si="13"/>
        <v>0.22357309941979372</v>
      </c>
      <c r="D32" s="11">
        <f t="shared" si="13"/>
        <v>0.29359517213000974</v>
      </c>
      <c r="E32" s="11">
        <f t="shared" si="13"/>
        <v>0.26878525255664992</v>
      </c>
      <c r="F32" s="11">
        <f t="shared" si="13"/>
        <v>2.3186113509231339</v>
      </c>
      <c r="G32" s="11">
        <f t="shared" si="13"/>
        <v>0.64047213123637281</v>
      </c>
      <c r="H32" s="11">
        <f t="shared" si="13"/>
        <v>3.4695027736165462</v>
      </c>
      <c r="I32" s="11">
        <f t="shared" si="13"/>
        <v>2.7348799580840296E-2</v>
      </c>
      <c r="J32" s="11">
        <f t="shared" si="13"/>
        <v>0.26799490885832961</v>
      </c>
      <c r="K32" s="11">
        <f t="shared" si="13"/>
        <v>5.7303883063165008E-2</v>
      </c>
      <c r="L32" s="11">
        <f t="shared" si="13"/>
        <v>6.1806397100376997E-2</v>
      </c>
      <c r="M32" s="11">
        <f t="shared" si="13"/>
        <v>0.47188309752777635</v>
      </c>
      <c r="N32" s="6"/>
      <c r="O32" s="11">
        <f t="shared" si="9"/>
        <v>0.4907585007275862</v>
      </c>
      <c r="P32" s="11">
        <f t="shared" si="9"/>
        <v>1.392789790589896</v>
      </c>
      <c r="Q32" s="11">
        <f t="shared" si="9"/>
        <v>0.11132810410729675</v>
      </c>
      <c r="R32" s="11">
        <f t="shared" si="9"/>
        <v>0.72732634400659402</v>
      </c>
      <c r="S32" s="11">
        <f t="shared" si="9"/>
        <v>1.6115554063932345</v>
      </c>
      <c r="T32" s="11">
        <f t="shared" si="9"/>
        <v>1.6929178538583629</v>
      </c>
      <c r="U32" s="11">
        <f t="shared" si="9"/>
        <v>1.9076025603732589</v>
      </c>
      <c r="V32" s="11">
        <f t="shared" si="9"/>
        <v>2.6122881346306874</v>
      </c>
    </row>
    <row r="33" spans="1:22" x14ac:dyDescent="0.35">
      <c r="A33" s="141"/>
      <c r="B33" s="11">
        <f t="shared" ref="B33:M33" si="14">IF(B10="","",(B10/$O$23))</f>
        <v>1.2301871478203328E-2</v>
      </c>
      <c r="C33" s="11">
        <f t="shared" si="14"/>
        <v>7.4261248985069583E-2</v>
      </c>
      <c r="D33" s="11">
        <f t="shared" si="14"/>
        <v>0.52000353044415404</v>
      </c>
      <c r="E33" s="11">
        <f t="shared" si="14"/>
        <v>0.38148258086371234</v>
      </c>
      <c r="F33" s="11">
        <f t="shared" si="14"/>
        <v>0.90793739086877956</v>
      </c>
      <c r="G33" s="11">
        <f t="shared" si="14"/>
        <v>1.2872808893316032</v>
      </c>
      <c r="H33" s="11">
        <f t="shared" si="14"/>
        <v>1.5056681842592827</v>
      </c>
      <c r="I33" s="11">
        <f t="shared" si="14"/>
        <v>9.3993738954713468E-2</v>
      </c>
      <c r="J33" s="11">
        <f t="shared" si="14"/>
        <v>3.3759108147358954E-2</v>
      </c>
      <c r="K33" s="11">
        <f t="shared" si="14"/>
        <v>0.15759823405101822</v>
      </c>
      <c r="L33" s="11">
        <f t="shared" si="14"/>
        <v>4.5096509201065199E-2</v>
      </c>
      <c r="M33" s="11">
        <f t="shared" si="14"/>
        <v>0.40217293303295099</v>
      </c>
      <c r="N33" s="6"/>
      <c r="O33" s="11">
        <f t="shared" si="9"/>
        <v>0.18288295458361142</v>
      </c>
      <c r="P33" s="11">
        <f t="shared" si="9"/>
        <v>0.98130818154825838</v>
      </c>
      <c r="Q33" s="11">
        <f t="shared" si="9"/>
        <v>2.2091956671025755E-2</v>
      </c>
      <c r="R33" s="11">
        <f t="shared" si="9"/>
        <v>1.1284330399515519</v>
      </c>
      <c r="S33" s="11">
        <f t="shared" si="9"/>
        <v>0.74503209139868909</v>
      </c>
      <c r="T33" s="11">
        <f t="shared" si="9"/>
        <v>0.87184987467707975</v>
      </c>
      <c r="U33" s="11">
        <f t="shared" si="9"/>
        <v>3.4634638472895394</v>
      </c>
      <c r="V33" s="11">
        <f t="shared" si="9"/>
        <v>1.3281752283172681</v>
      </c>
    </row>
    <row r="34" spans="1:22" x14ac:dyDescent="0.35">
      <c r="A34" s="141"/>
      <c r="B34" s="11">
        <f t="shared" ref="B34:M34" si="15">IF(B11="","",(B11/$O$23))</f>
        <v>4.8917715250845532E-2</v>
      </c>
      <c r="C34" s="11">
        <f t="shared" si="15"/>
        <v>0.10213936738058763</v>
      </c>
      <c r="D34" s="11">
        <f t="shared" si="15"/>
        <v>0.78985237679883624</v>
      </c>
      <c r="E34" s="11">
        <f t="shared" si="15"/>
        <v>1.1577801667428609</v>
      </c>
      <c r="F34" s="11">
        <f t="shared" si="15"/>
        <v>1.8641673589126431</v>
      </c>
      <c r="G34" s="11">
        <f t="shared" si="15"/>
        <v>1.528416337663111</v>
      </c>
      <c r="H34" s="11">
        <f t="shared" si="15"/>
        <v>2.3407650944969967</v>
      </c>
      <c r="I34" s="11">
        <f t="shared" si="15"/>
        <v>5.5648853136372987E-2</v>
      </c>
      <c r="J34" s="11">
        <f t="shared" si="15"/>
        <v>8.9610503376988782E-2</v>
      </c>
      <c r="K34" s="11">
        <f t="shared" si="15"/>
        <v>2.2444835880810917E-2</v>
      </c>
      <c r="L34" s="11">
        <f t="shared" si="15"/>
        <v>8.3520032895743571E-2</v>
      </c>
      <c r="M34" s="11">
        <f t="shared" si="15"/>
        <v>0.87543516709784641</v>
      </c>
      <c r="N34" s="6"/>
      <c r="O34" s="11">
        <f t="shared" si="9"/>
        <v>0.10223981239910325</v>
      </c>
      <c r="P34" s="11">
        <f t="shared" si="9"/>
        <v>1.7549320796319186</v>
      </c>
      <c r="Q34" s="11">
        <f t="shared" si="9"/>
        <v>3.4257037893750566E-3</v>
      </c>
      <c r="R34" s="11">
        <f t="shared" si="9"/>
        <v>1.8329653033912461</v>
      </c>
      <c r="S34" s="11">
        <f t="shared" si="9"/>
        <v>1.7270879935946477</v>
      </c>
      <c r="T34" s="11">
        <f t="shared" si="9"/>
        <v>1.1798936001448193</v>
      </c>
      <c r="U34" s="11">
        <f t="shared" si="9"/>
        <v>3.2352636687931247</v>
      </c>
      <c r="V34" s="11">
        <f t="shared" si="9"/>
        <v>2.3585180906971432</v>
      </c>
    </row>
    <row r="35" spans="1:22" x14ac:dyDescent="0.35">
      <c r="A35" s="141"/>
      <c r="B35" s="11">
        <f t="shared" ref="B35:M35" si="16">IF(B12="","",(B12/$O$23))</f>
        <v>5.8608346658887686E-2</v>
      </c>
      <c r="C35" s="11">
        <f t="shared" si="16"/>
        <v>5.8559445794610337E-2</v>
      </c>
      <c r="D35" s="11" t="str">
        <f t="shared" si="16"/>
        <v/>
      </c>
      <c r="E35" s="11">
        <f t="shared" si="16"/>
        <v>0.66259118162949826</v>
      </c>
      <c r="F35" s="11">
        <f t="shared" si="16"/>
        <v>2.2522925274481915</v>
      </c>
      <c r="G35" s="11">
        <f t="shared" si="16"/>
        <v>2.1215035314147372</v>
      </c>
      <c r="H35" s="11" t="str">
        <f t="shared" si="16"/>
        <v/>
      </c>
      <c r="I35" s="11" t="str">
        <f t="shared" si="16"/>
        <v/>
      </c>
      <c r="J35" s="11" t="str">
        <f t="shared" si="16"/>
        <v/>
      </c>
      <c r="K35" s="11">
        <f t="shared" si="16"/>
        <v>4.0997427294141298E-3</v>
      </c>
      <c r="L35" s="11" t="str">
        <f t="shared" si="16"/>
        <v/>
      </c>
      <c r="M35" s="11">
        <f t="shared" si="16"/>
        <v>0.14568789989827877</v>
      </c>
      <c r="N35" s="6"/>
      <c r="O35" s="11">
        <f t="shared" si="9"/>
        <v>3.7174238776890259E-2</v>
      </c>
      <c r="P35" s="11">
        <f t="shared" si="9"/>
        <v>2.0549560633581736</v>
      </c>
      <c r="Q35" s="11">
        <f t="shared" si="9"/>
        <v>0.11457373376808294</v>
      </c>
      <c r="R35" s="11">
        <f t="shared" si="9"/>
        <v>1.1060681635920593</v>
      </c>
      <c r="S35" s="11">
        <f t="shared" si="9"/>
        <v>1.2502916808519786</v>
      </c>
      <c r="T35" s="11" t="str">
        <f t="shared" si="9"/>
        <v/>
      </c>
      <c r="U35" s="11">
        <f t="shared" si="9"/>
        <v>1.62336992128489</v>
      </c>
      <c r="V35" s="11">
        <f t="shared" si="9"/>
        <v>1.4893851876886623</v>
      </c>
    </row>
    <row r="36" spans="1:22" x14ac:dyDescent="0.35">
      <c r="A36" s="141"/>
      <c r="B36" s="11" t="str">
        <f t="shared" ref="B36:M36" si="17">IF(B13="","",(B13/$O$23))</f>
        <v/>
      </c>
      <c r="C36" s="11" t="str">
        <f t="shared" si="17"/>
        <v/>
      </c>
      <c r="D36" s="11" t="str">
        <f t="shared" si="17"/>
        <v/>
      </c>
      <c r="E36" s="11" t="str">
        <f t="shared" si="17"/>
        <v/>
      </c>
      <c r="F36" s="11" t="str">
        <f t="shared" si="17"/>
        <v/>
      </c>
      <c r="G36" s="11" t="str">
        <f t="shared" si="17"/>
        <v/>
      </c>
      <c r="H36" s="11" t="str">
        <f t="shared" si="17"/>
        <v/>
      </c>
      <c r="I36" s="11" t="str">
        <f t="shared" si="17"/>
        <v/>
      </c>
      <c r="J36" s="11" t="str">
        <f t="shared" si="17"/>
        <v/>
      </c>
      <c r="K36" s="11" t="str">
        <f t="shared" si="17"/>
        <v/>
      </c>
      <c r="L36" s="11" t="str">
        <f t="shared" si="17"/>
        <v/>
      </c>
      <c r="M36" s="11" t="str">
        <f t="shared" si="17"/>
        <v/>
      </c>
      <c r="N36" s="6"/>
      <c r="O36" s="11">
        <f t="shared" si="9"/>
        <v>2.1776040567231854</v>
      </c>
      <c r="P36" s="11">
        <f t="shared" si="9"/>
        <v>2.4376948677758215</v>
      </c>
      <c r="Q36" s="11" t="str">
        <f t="shared" si="9"/>
        <v/>
      </c>
      <c r="R36" s="11" t="str">
        <f t="shared" si="9"/>
        <v/>
      </c>
      <c r="S36" s="11" t="str">
        <f t="shared" si="9"/>
        <v/>
      </c>
      <c r="T36" s="11" t="str">
        <f t="shared" si="9"/>
        <v/>
      </c>
      <c r="U36" s="11" t="str">
        <f t="shared" si="9"/>
        <v/>
      </c>
      <c r="V36" s="11" t="str">
        <f t="shared" si="9"/>
        <v/>
      </c>
    </row>
    <row r="37" spans="1:22" x14ac:dyDescent="0.35">
      <c r="A37" s="141"/>
      <c r="B37" s="11" t="str">
        <f t="shared" ref="B37:M37" si="18">IF(B14="","",(B14/$O$23))</f>
        <v/>
      </c>
      <c r="C37" s="11" t="str">
        <f t="shared" si="18"/>
        <v/>
      </c>
      <c r="D37" s="11" t="str">
        <f t="shared" si="18"/>
        <v/>
      </c>
      <c r="E37" s="11" t="str">
        <f t="shared" si="18"/>
        <v/>
      </c>
      <c r="F37" s="11" t="str">
        <f t="shared" si="18"/>
        <v/>
      </c>
      <c r="G37" s="11" t="str">
        <f t="shared" si="18"/>
        <v/>
      </c>
      <c r="H37" s="11" t="str">
        <f t="shared" si="18"/>
        <v/>
      </c>
      <c r="I37" s="11" t="str">
        <f t="shared" si="18"/>
        <v/>
      </c>
      <c r="J37" s="11" t="str">
        <f t="shared" si="18"/>
        <v/>
      </c>
      <c r="K37" s="11" t="str">
        <f t="shared" si="18"/>
        <v/>
      </c>
      <c r="L37" s="11" t="str">
        <f t="shared" si="18"/>
        <v/>
      </c>
      <c r="M37" s="11" t="str">
        <f t="shared" si="18"/>
        <v/>
      </c>
      <c r="N37" s="6"/>
      <c r="O37" s="11">
        <f t="shared" si="9"/>
        <v>1.6496197730644706</v>
      </c>
      <c r="P37" s="11" t="str">
        <f t="shared" si="9"/>
        <v/>
      </c>
      <c r="Q37" s="11" t="str">
        <f t="shared" si="9"/>
        <v/>
      </c>
      <c r="R37" s="11" t="str">
        <f t="shared" si="9"/>
        <v/>
      </c>
      <c r="S37" s="11" t="str">
        <f t="shared" si="9"/>
        <v/>
      </c>
      <c r="T37" s="11" t="str">
        <f t="shared" si="9"/>
        <v/>
      </c>
      <c r="U37" s="11" t="str">
        <f t="shared" si="9"/>
        <v/>
      </c>
      <c r="V37" s="11" t="str">
        <f t="shared" si="9"/>
        <v/>
      </c>
    </row>
    <row r="38" spans="1:22" x14ac:dyDescent="0.35">
      <c r="A38" s="141"/>
      <c r="B38" s="11" t="str">
        <f t="shared" ref="B38:M38" si="19">IF(B15="","",(B15/$O$23))</f>
        <v/>
      </c>
      <c r="C38" s="11" t="str">
        <f t="shared" si="19"/>
        <v/>
      </c>
      <c r="D38" s="11" t="str">
        <f t="shared" si="19"/>
        <v/>
      </c>
      <c r="E38" s="11" t="str">
        <f t="shared" si="19"/>
        <v/>
      </c>
      <c r="F38" s="11" t="str">
        <f t="shared" si="19"/>
        <v/>
      </c>
      <c r="G38" s="11" t="str">
        <f t="shared" si="19"/>
        <v/>
      </c>
      <c r="H38" s="11" t="str">
        <f t="shared" si="19"/>
        <v/>
      </c>
      <c r="I38" s="11" t="str">
        <f t="shared" si="19"/>
        <v/>
      </c>
      <c r="J38" s="11" t="str">
        <f t="shared" si="19"/>
        <v/>
      </c>
      <c r="K38" s="11" t="str">
        <f t="shared" si="19"/>
        <v/>
      </c>
      <c r="L38" s="11" t="str">
        <f t="shared" si="19"/>
        <v/>
      </c>
      <c r="M38" s="11" t="str">
        <f t="shared" si="19"/>
        <v/>
      </c>
      <c r="N38" s="6"/>
      <c r="O38" s="11">
        <f t="shared" ref="O38:V43" si="20">IF(O15="","",(O15/$O$23))</f>
        <v>2.7308135868903722</v>
      </c>
      <c r="P38" s="11" t="str">
        <f t="shared" si="20"/>
        <v/>
      </c>
      <c r="Q38" s="11" t="str">
        <f t="shared" si="20"/>
        <v/>
      </c>
      <c r="R38" s="11" t="str">
        <f t="shared" si="20"/>
        <v/>
      </c>
      <c r="S38" s="11" t="str">
        <f t="shared" si="20"/>
        <v/>
      </c>
      <c r="T38" s="11" t="str">
        <f t="shared" si="20"/>
        <v/>
      </c>
      <c r="U38" s="11" t="str">
        <f t="shared" si="20"/>
        <v/>
      </c>
      <c r="V38" s="11" t="str">
        <f t="shared" si="20"/>
        <v/>
      </c>
    </row>
    <row r="39" spans="1:22" x14ac:dyDescent="0.35">
      <c r="A39" s="141"/>
      <c r="B39" s="11" t="str">
        <f t="shared" ref="B39:M39" si="21">IF(B16="","",(B16/$O$23))</f>
        <v/>
      </c>
      <c r="C39" s="11" t="str">
        <f t="shared" si="21"/>
        <v/>
      </c>
      <c r="D39" s="11" t="str">
        <f t="shared" si="21"/>
        <v/>
      </c>
      <c r="E39" s="11" t="str">
        <f t="shared" si="21"/>
        <v/>
      </c>
      <c r="F39" s="11" t="str">
        <f t="shared" si="21"/>
        <v/>
      </c>
      <c r="G39" s="11" t="str">
        <f t="shared" si="21"/>
        <v/>
      </c>
      <c r="H39" s="11" t="str">
        <f t="shared" si="21"/>
        <v/>
      </c>
      <c r="I39" s="11" t="str">
        <f t="shared" si="21"/>
        <v/>
      </c>
      <c r="J39" s="11" t="str">
        <f t="shared" si="21"/>
        <v/>
      </c>
      <c r="K39" s="11" t="str">
        <f t="shared" si="21"/>
        <v/>
      </c>
      <c r="L39" s="11" t="str">
        <f t="shared" si="21"/>
        <v/>
      </c>
      <c r="M39" s="11" t="str">
        <f t="shared" si="21"/>
        <v/>
      </c>
      <c r="N39" s="6"/>
      <c r="O39" s="11">
        <f t="shared" si="20"/>
        <v>2.0122497491042859</v>
      </c>
      <c r="P39" s="11" t="str">
        <f t="shared" si="20"/>
        <v/>
      </c>
      <c r="Q39" s="11" t="str">
        <f t="shared" si="20"/>
        <v/>
      </c>
      <c r="R39" s="11" t="str">
        <f t="shared" si="20"/>
        <v/>
      </c>
      <c r="S39" s="11" t="str">
        <f t="shared" si="20"/>
        <v/>
      </c>
      <c r="T39" s="11" t="str">
        <f t="shared" si="20"/>
        <v/>
      </c>
      <c r="U39" s="11" t="str">
        <f t="shared" si="20"/>
        <v/>
      </c>
      <c r="V39" s="11" t="str">
        <f t="shared" si="20"/>
        <v/>
      </c>
    </row>
    <row r="40" spans="1:22" x14ac:dyDescent="0.35">
      <c r="A40" s="141"/>
      <c r="B40" s="11" t="str">
        <f t="shared" ref="B40:M40" si="22">IF(B17="","",(B17/$O$23))</f>
        <v/>
      </c>
      <c r="C40" s="11" t="str">
        <f t="shared" si="22"/>
        <v/>
      </c>
      <c r="D40" s="11" t="str">
        <f t="shared" si="22"/>
        <v/>
      </c>
      <c r="E40" s="11" t="str">
        <f t="shared" si="22"/>
        <v/>
      </c>
      <c r="F40" s="11" t="str">
        <f t="shared" si="22"/>
        <v/>
      </c>
      <c r="G40" s="11" t="str">
        <f t="shared" si="22"/>
        <v/>
      </c>
      <c r="H40" s="11" t="str">
        <f t="shared" si="22"/>
        <v/>
      </c>
      <c r="I40" s="11" t="str">
        <f t="shared" si="22"/>
        <v/>
      </c>
      <c r="J40" s="11" t="str">
        <f t="shared" si="22"/>
        <v/>
      </c>
      <c r="K40" s="11" t="str">
        <f t="shared" si="22"/>
        <v/>
      </c>
      <c r="L40" s="11" t="str">
        <f t="shared" si="22"/>
        <v/>
      </c>
      <c r="M40" s="11" t="str">
        <f t="shared" si="22"/>
        <v/>
      </c>
      <c r="N40" s="6"/>
      <c r="O40" s="11">
        <f t="shared" si="20"/>
        <v>1.392789790589896</v>
      </c>
      <c r="P40" s="11" t="str">
        <f t="shared" si="20"/>
        <v/>
      </c>
      <c r="Q40" s="11" t="str">
        <f t="shared" si="20"/>
        <v/>
      </c>
      <c r="R40" s="11" t="str">
        <f t="shared" si="20"/>
        <v/>
      </c>
      <c r="S40" s="11" t="str">
        <f t="shared" si="20"/>
        <v/>
      </c>
      <c r="T40" s="11" t="str">
        <f t="shared" si="20"/>
        <v/>
      </c>
      <c r="U40" s="11" t="str">
        <f t="shared" si="20"/>
        <v/>
      </c>
      <c r="V40" s="11" t="str">
        <f t="shared" si="20"/>
        <v/>
      </c>
    </row>
    <row r="41" spans="1:22" x14ac:dyDescent="0.35">
      <c r="A41" s="141"/>
      <c r="B41" s="11" t="str">
        <f t="shared" ref="B41:M41" si="23">IF(B18="","",(B18/$O$23))</f>
        <v/>
      </c>
      <c r="C41" s="11" t="str">
        <f t="shared" si="23"/>
        <v/>
      </c>
      <c r="D41" s="11" t="str">
        <f t="shared" si="23"/>
        <v/>
      </c>
      <c r="E41" s="11" t="str">
        <f t="shared" si="23"/>
        <v/>
      </c>
      <c r="F41" s="11" t="str">
        <f t="shared" si="23"/>
        <v/>
      </c>
      <c r="G41" s="11" t="str">
        <f t="shared" si="23"/>
        <v/>
      </c>
      <c r="H41" s="11" t="str">
        <f t="shared" si="23"/>
        <v/>
      </c>
      <c r="I41" s="11" t="str">
        <f t="shared" si="23"/>
        <v/>
      </c>
      <c r="J41" s="11" t="str">
        <f t="shared" si="23"/>
        <v/>
      </c>
      <c r="K41" s="11" t="str">
        <f t="shared" si="23"/>
        <v/>
      </c>
      <c r="L41" s="11" t="str">
        <f t="shared" si="23"/>
        <v/>
      </c>
      <c r="M41" s="11" t="str">
        <f t="shared" si="23"/>
        <v/>
      </c>
      <c r="N41" s="6"/>
      <c r="O41" s="11">
        <f t="shared" si="20"/>
        <v>0.98130818154825838</v>
      </c>
      <c r="P41" s="11" t="str">
        <f t="shared" si="20"/>
        <v/>
      </c>
      <c r="Q41" s="11" t="str">
        <f t="shared" si="20"/>
        <v/>
      </c>
      <c r="R41" s="11" t="str">
        <f t="shared" si="20"/>
        <v/>
      </c>
      <c r="S41" s="11" t="str">
        <f t="shared" si="20"/>
        <v/>
      </c>
      <c r="T41" s="11" t="str">
        <f t="shared" si="20"/>
        <v/>
      </c>
      <c r="U41" s="11" t="str">
        <f t="shared" si="20"/>
        <v/>
      </c>
      <c r="V41" s="11" t="str">
        <f t="shared" si="20"/>
        <v/>
      </c>
    </row>
    <row r="42" spans="1:22" x14ac:dyDescent="0.35">
      <c r="A42" s="141"/>
      <c r="B42" s="11" t="str">
        <f t="shared" ref="B42:M42" si="24">IF(B19="","",(B19/$O$23))</f>
        <v/>
      </c>
      <c r="C42" s="11" t="str">
        <f t="shared" si="24"/>
        <v/>
      </c>
      <c r="D42" s="11" t="str">
        <f t="shared" si="24"/>
        <v/>
      </c>
      <c r="E42" s="11" t="str">
        <f t="shared" si="24"/>
        <v/>
      </c>
      <c r="F42" s="11" t="str">
        <f t="shared" si="24"/>
        <v/>
      </c>
      <c r="G42" s="11" t="str">
        <f t="shared" si="24"/>
        <v/>
      </c>
      <c r="H42" s="11" t="str">
        <f t="shared" si="24"/>
        <v/>
      </c>
      <c r="I42" s="11" t="str">
        <f t="shared" si="24"/>
        <v/>
      </c>
      <c r="J42" s="11" t="str">
        <f t="shared" si="24"/>
        <v/>
      </c>
      <c r="K42" s="11" t="str">
        <f t="shared" si="24"/>
        <v/>
      </c>
      <c r="L42" s="11" t="str">
        <f t="shared" si="24"/>
        <v/>
      </c>
      <c r="M42" s="11" t="str">
        <f t="shared" si="24"/>
        <v/>
      </c>
      <c r="N42" s="6"/>
      <c r="O42" s="11">
        <f t="shared" si="20"/>
        <v>1.7549320796319186</v>
      </c>
      <c r="P42" s="11" t="str">
        <f t="shared" si="20"/>
        <v/>
      </c>
      <c r="Q42" s="11" t="str">
        <f t="shared" si="20"/>
        <v/>
      </c>
      <c r="R42" s="11" t="str">
        <f t="shared" si="20"/>
        <v/>
      </c>
      <c r="S42" s="11" t="str">
        <f t="shared" si="20"/>
        <v/>
      </c>
      <c r="T42" s="11" t="str">
        <f t="shared" si="20"/>
        <v/>
      </c>
      <c r="U42" s="11" t="str">
        <f t="shared" si="20"/>
        <v/>
      </c>
      <c r="V42" s="11" t="str">
        <f t="shared" si="20"/>
        <v/>
      </c>
    </row>
    <row r="43" spans="1:22" x14ac:dyDescent="0.35">
      <c r="A43" s="141"/>
      <c r="B43" s="11" t="str">
        <f t="shared" ref="B43:M43" si="25">IF(B20="","",(B20/$O$23))</f>
        <v/>
      </c>
      <c r="C43" s="11" t="str">
        <f t="shared" si="25"/>
        <v/>
      </c>
      <c r="D43" s="11" t="str">
        <f t="shared" si="25"/>
        <v/>
      </c>
      <c r="E43" s="11" t="str">
        <f t="shared" si="25"/>
        <v/>
      </c>
      <c r="F43" s="11" t="str">
        <f t="shared" si="25"/>
        <v/>
      </c>
      <c r="G43" s="11" t="str">
        <f t="shared" si="25"/>
        <v/>
      </c>
      <c r="H43" s="11" t="str">
        <f t="shared" si="25"/>
        <v/>
      </c>
      <c r="I43" s="11" t="str">
        <f t="shared" si="25"/>
        <v/>
      </c>
      <c r="J43" s="11" t="str">
        <f t="shared" si="25"/>
        <v/>
      </c>
      <c r="K43" s="11" t="str">
        <f t="shared" si="25"/>
        <v/>
      </c>
      <c r="L43" s="11" t="str">
        <f t="shared" si="25"/>
        <v/>
      </c>
      <c r="M43" s="11" t="str">
        <f t="shared" si="25"/>
        <v/>
      </c>
      <c r="N43" s="6"/>
      <c r="O43" s="11">
        <f t="shared" si="20"/>
        <v>2.0549560633581736</v>
      </c>
      <c r="P43" s="11" t="str">
        <f t="shared" si="20"/>
        <v/>
      </c>
      <c r="Q43" s="11" t="str">
        <f t="shared" si="20"/>
        <v/>
      </c>
      <c r="R43" s="11" t="str">
        <f t="shared" si="20"/>
        <v/>
      </c>
      <c r="S43" s="11" t="str">
        <f t="shared" si="20"/>
        <v/>
      </c>
      <c r="T43" s="11" t="str">
        <f t="shared" si="20"/>
        <v/>
      </c>
      <c r="U43" s="11" t="str">
        <f t="shared" si="20"/>
        <v/>
      </c>
      <c r="V43" s="11" t="str">
        <f t="shared" si="20"/>
        <v/>
      </c>
    </row>
    <row r="44" spans="1:22" x14ac:dyDescent="0.35">
      <c r="A44" s="7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7"/>
      <c r="O44" s="3"/>
      <c r="P44" s="3"/>
      <c r="Q44" s="3"/>
      <c r="R44" s="3"/>
      <c r="S44" s="3"/>
      <c r="T44" s="3"/>
      <c r="U44" s="3"/>
      <c r="V44" s="3"/>
    </row>
    <row r="45" spans="1:22" x14ac:dyDescent="0.35">
      <c r="A45" s="53" t="str">
        <f t="shared" ref="A45" si="26">A4</f>
        <v>Group names</v>
      </c>
      <c r="B45" s="7" t="str">
        <f t="shared" ref="B45:V45" si="27">B4</f>
        <v>Solvent control</v>
      </c>
      <c r="C45" s="7" t="str">
        <f t="shared" si="27"/>
        <v>EE2-33.8ng/L</v>
      </c>
      <c r="D45" s="7" t="str">
        <f t="shared" si="27"/>
        <v>EE2-50.6ng/L</v>
      </c>
      <c r="E45" s="7" t="str">
        <f t="shared" si="27"/>
        <v>EE2-76ng/L</v>
      </c>
      <c r="F45" s="7" t="str">
        <f t="shared" si="27"/>
        <v>EE2-114ng/L</v>
      </c>
      <c r="G45" s="7" t="str">
        <f t="shared" si="27"/>
        <v>EE2-170.9ng/L</v>
      </c>
      <c r="H45" s="7" t="str">
        <f t="shared" si="27"/>
        <v>EE2-488ng/L</v>
      </c>
      <c r="I45" s="7" t="str">
        <f t="shared" si="27"/>
        <v>BPA-1mg/L</v>
      </c>
      <c r="J45" s="7" t="str">
        <f t="shared" si="27"/>
        <v>BPA-2mg/L</v>
      </c>
      <c r="K45" s="7" t="str">
        <f t="shared" si="27"/>
        <v>BPA-3mg/L</v>
      </c>
      <c r="L45" s="7" t="str">
        <f t="shared" si="27"/>
        <v>BPA-4mg/L</v>
      </c>
      <c r="M45" s="7" t="str">
        <f t="shared" si="27"/>
        <v>BPA-5mg/L</v>
      </c>
      <c r="N45" s="7"/>
      <c r="O45" s="7" t="str">
        <f t="shared" si="27"/>
        <v>Testo -30µg/L</v>
      </c>
      <c r="P45" s="7" t="str">
        <f t="shared" si="27"/>
        <v>Testo 30µg/L + EE2 -64ng/L</v>
      </c>
      <c r="Q45" s="7" t="str">
        <f t="shared" si="27"/>
        <v>Testo 30µg/L + FAD-10mg/L</v>
      </c>
      <c r="R45" s="7" t="str">
        <f t="shared" si="27"/>
        <v>BPA-1mg/L + Testostérone</v>
      </c>
      <c r="S45" s="7" t="str">
        <f t="shared" si="27"/>
        <v>BPA-2mg/L + Testostérone</v>
      </c>
      <c r="T45" s="7" t="str">
        <f t="shared" si="27"/>
        <v>BPA-3mg/L + Testostérone</v>
      </c>
      <c r="U45" s="7" t="str">
        <f t="shared" si="27"/>
        <v>BPA-4mg/L + Testostérone</v>
      </c>
      <c r="V45" s="7" t="str">
        <f t="shared" si="27"/>
        <v>BPA-5mg/L + Testostérone</v>
      </c>
    </row>
    <row r="46" spans="1:22" x14ac:dyDescent="0.35">
      <c r="A46" s="8" t="s">
        <v>0</v>
      </c>
      <c r="B46" s="10">
        <f t="shared" ref="B46:H46" si="28">AVERAGE(B28:B43)</f>
        <v>5.8692518923581287E-2</v>
      </c>
      <c r="C46" s="10">
        <f t="shared" si="28"/>
        <v>0.16900935811379122</v>
      </c>
      <c r="D46" s="10">
        <f t="shared" si="28"/>
        <v>0.42533145720321502</v>
      </c>
      <c r="E46" s="10">
        <f t="shared" si="28"/>
        <v>0.77693098423603824</v>
      </c>
      <c r="F46" s="10">
        <f t="shared" si="28"/>
        <v>1.7055911488774838</v>
      </c>
      <c r="G46" s="10">
        <f t="shared" si="28"/>
        <v>1.4065802473301634</v>
      </c>
      <c r="H46" s="10">
        <f t="shared" si="28"/>
        <v>2.739214434402296</v>
      </c>
      <c r="I46" s="10">
        <f>AVERAGE(I28:I43)</f>
        <v>5.6364712699722604E-2</v>
      </c>
      <c r="J46" s="9">
        <f>AVERAGE(J28:J43)</f>
        <v>0.10559579941575858</v>
      </c>
      <c r="K46" s="9">
        <f t="shared" ref="K46:M46" si="29">AVERAGE(K28:K43)</f>
        <v>9.7094896298572167E-2</v>
      </c>
      <c r="L46" s="9">
        <f t="shared" si="29"/>
        <v>0.30909448042881854</v>
      </c>
      <c r="M46" s="9">
        <f t="shared" si="29"/>
        <v>0.7935832566744826</v>
      </c>
      <c r="N46" s="8" t="s">
        <v>0</v>
      </c>
      <c r="O46" s="10">
        <f t="shared" ref="O46:V46" si="30">AVERAGE(O28:O43)</f>
        <v>1</v>
      </c>
      <c r="P46" s="10">
        <f t="shared" si="30"/>
        <v>1.9102186831873758</v>
      </c>
      <c r="Q46" s="10">
        <f t="shared" si="30"/>
        <v>5.0146019054568697E-2</v>
      </c>
      <c r="R46" s="10">
        <f t="shared" si="30"/>
        <v>0.9774482347799881</v>
      </c>
      <c r="S46" s="10">
        <f t="shared" si="30"/>
        <v>1.2413612431161398</v>
      </c>
      <c r="T46" s="10">
        <f t="shared" si="30"/>
        <v>1.4906952682755519</v>
      </c>
      <c r="U46" s="10">
        <f t="shared" si="30"/>
        <v>2.4399189071681109</v>
      </c>
      <c r="V46" s="10">
        <f t="shared" si="30"/>
        <v>2.5524604465731002</v>
      </c>
    </row>
    <row r="47" spans="1:22" x14ac:dyDescent="0.35">
      <c r="A47" s="8" t="s">
        <v>1</v>
      </c>
      <c r="B47" s="8">
        <f t="shared" ref="B47:M47" si="31">STDEV(B28:B43)</f>
        <v>4.3218048841065185E-2</v>
      </c>
      <c r="C47" s="8">
        <f t="shared" si="31"/>
        <v>0.16594530602280363</v>
      </c>
      <c r="D47" s="8">
        <f t="shared" si="31"/>
        <v>0.29630438552367483</v>
      </c>
      <c r="E47" s="8">
        <f t="shared" si="31"/>
        <v>0.52372573451445426</v>
      </c>
      <c r="F47" s="8">
        <f t="shared" si="31"/>
        <v>0.57279979276140358</v>
      </c>
      <c r="G47" s="8">
        <f t="shared" si="31"/>
        <v>0.62381671279336337</v>
      </c>
      <c r="H47" s="8">
        <f t="shared" si="31"/>
        <v>0.71538058218883394</v>
      </c>
      <c r="I47" s="8">
        <f t="shared" si="31"/>
        <v>3.300982997226512E-2</v>
      </c>
      <c r="J47" s="8">
        <f t="shared" si="31"/>
        <v>8.307538644244436E-2</v>
      </c>
      <c r="K47" s="8">
        <f t="shared" si="31"/>
        <v>0.11582805651500008</v>
      </c>
      <c r="L47" s="8">
        <f t="shared" si="31"/>
        <v>0.4166830895474764</v>
      </c>
      <c r="M47" s="8">
        <f t="shared" si="31"/>
        <v>0.53087323471589443</v>
      </c>
      <c r="N47" s="8" t="s">
        <v>1</v>
      </c>
      <c r="O47" s="8">
        <f t="shared" ref="O47:V47" si="32">STDEV(O28:O43)</f>
        <v>0.9495297151177774</v>
      </c>
      <c r="P47" s="8">
        <f t="shared" si="32"/>
        <v>0.53351363701574894</v>
      </c>
      <c r="Q47" s="8">
        <f t="shared" si="32"/>
        <v>4.4232435974479296E-2</v>
      </c>
      <c r="R47" s="8">
        <f t="shared" si="32"/>
        <v>0.52588878970623054</v>
      </c>
      <c r="S47" s="8">
        <f t="shared" si="32"/>
        <v>0.37167635176794833</v>
      </c>
      <c r="T47" s="8">
        <f t="shared" si="32"/>
        <v>0.55231708648379607</v>
      </c>
      <c r="U47" s="8">
        <f t="shared" si="32"/>
        <v>0.81805430788054989</v>
      </c>
      <c r="V47" s="8">
        <f t="shared" si="32"/>
        <v>0.85756144854106819</v>
      </c>
    </row>
    <row r="48" spans="1:22" x14ac:dyDescent="0.35">
      <c r="A48" s="8" t="s">
        <v>2</v>
      </c>
      <c r="B48" s="8">
        <f t="shared" ref="B48:M48" si="33" xml:space="preserve"> B47/SQRT(COUNT(B28:B43))</f>
        <v>1.52798877025843E-2</v>
      </c>
      <c r="C48" s="8">
        <f t="shared" si="33"/>
        <v>5.8670525597400637E-2</v>
      </c>
      <c r="D48" s="8">
        <f t="shared" si="33"/>
        <v>0.11199253092477865</v>
      </c>
      <c r="E48" s="8">
        <f t="shared" si="33"/>
        <v>0.18516500917853804</v>
      </c>
      <c r="F48" s="8">
        <f t="shared" si="33"/>
        <v>0.20251530886191876</v>
      </c>
      <c r="G48" s="8">
        <f t="shared" si="33"/>
        <v>0.22055251391684405</v>
      </c>
      <c r="H48" s="8">
        <f t="shared" si="33"/>
        <v>0.27038844474803675</v>
      </c>
      <c r="I48" s="8">
        <f t="shared" si="33"/>
        <v>1.247654298959138E-2</v>
      </c>
      <c r="J48" s="8">
        <f t="shared" si="33"/>
        <v>3.139954465675638E-2</v>
      </c>
      <c r="K48" s="8">
        <f t="shared" si="33"/>
        <v>4.0951402106707606E-2</v>
      </c>
      <c r="L48" s="8">
        <f t="shared" si="33"/>
        <v>0.15749140435266856</v>
      </c>
      <c r="M48" s="8">
        <f t="shared" si="33"/>
        <v>0.1876920321090233</v>
      </c>
      <c r="N48" s="8" t="s">
        <v>2</v>
      </c>
      <c r="O48" s="8">
        <f t="shared" ref="O48:V48" si="34" xml:space="preserve"> O47/SQRT(COUNT(O28:O43))</f>
        <v>0.23738242877944435</v>
      </c>
      <c r="P48" s="8">
        <f t="shared" si="34"/>
        <v>0.17783787900524964</v>
      </c>
      <c r="Q48" s="8">
        <f t="shared" si="34"/>
        <v>1.5638527712977052E-2</v>
      </c>
      <c r="R48" s="8">
        <f t="shared" si="34"/>
        <v>0.18592976467563091</v>
      </c>
      <c r="S48" s="8">
        <f t="shared" si="34"/>
        <v>0.13140743437089644</v>
      </c>
      <c r="T48" s="8">
        <f t="shared" si="34"/>
        <v>0.20875623652683975</v>
      </c>
      <c r="U48" s="8">
        <f t="shared" si="34"/>
        <v>0.28922587424060225</v>
      </c>
      <c r="V48" s="8">
        <f t="shared" si="34"/>
        <v>0.30319375777377389</v>
      </c>
    </row>
    <row r="49" spans="1:22" ht="15" thickBot="1" x14ac:dyDescent="0.4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</row>
    <row r="50" spans="1:22" ht="26.5" thickBot="1" x14ac:dyDescent="0.65">
      <c r="A50" s="136"/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</row>
    <row r="51" spans="1:22" ht="15" thickBot="1" x14ac:dyDescent="0.4"/>
    <row r="52" spans="1:22" x14ac:dyDescent="0.35">
      <c r="A52" s="29" t="str">
        <f t="shared" ref="A52" si="35">A27</f>
        <v>Group names</v>
      </c>
      <c r="B52" s="30" t="str">
        <f t="shared" ref="B52:H52" si="36">B27</f>
        <v>Solvent control</v>
      </c>
      <c r="C52" s="30" t="str">
        <f t="shared" si="36"/>
        <v>EE2-33.8ng/L</v>
      </c>
      <c r="D52" s="30" t="str">
        <f t="shared" si="36"/>
        <v>EE2-50.6ng/L</v>
      </c>
      <c r="E52" s="30" t="str">
        <f t="shared" si="36"/>
        <v>EE2-76ng/L</v>
      </c>
      <c r="F52" s="30" t="str">
        <f t="shared" si="36"/>
        <v>EE2-114ng/L</v>
      </c>
      <c r="G52" s="30" t="str">
        <f t="shared" si="36"/>
        <v>EE2-170.9ng/L</v>
      </c>
      <c r="H52" s="30" t="str">
        <f t="shared" si="36"/>
        <v>EE2-488ng/L</v>
      </c>
      <c r="I52" s="30" t="str">
        <f>I4</f>
        <v>BPA-1mg/L</v>
      </c>
      <c r="J52" s="30" t="str">
        <f>J4</f>
        <v>BPA-2mg/L</v>
      </c>
      <c r="K52" s="30" t="str">
        <f t="shared" ref="K52:M52" si="37">K4</f>
        <v>BPA-3mg/L</v>
      </c>
      <c r="L52" s="30" t="str">
        <f t="shared" si="37"/>
        <v>BPA-4mg/L</v>
      </c>
      <c r="M52" s="30" t="str">
        <f t="shared" si="37"/>
        <v>BPA-5mg/L</v>
      </c>
      <c r="N52" s="31"/>
      <c r="O52" s="30" t="str">
        <f>O27</f>
        <v>Testo -30µg/L</v>
      </c>
      <c r="P52" s="30" t="str">
        <f>P27</f>
        <v>Testo 30µg/L + EE2 -64ng/L</v>
      </c>
      <c r="Q52" s="30" t="str">
        <f>Q27</f>
        <v>Testo 30µg/L + FAD-10mg/L</v>
      </c>
      <c r="R52" s="30" t="str">
        <f>R27</f>
        <v>BPA-1mg/L + Testostérone</v>
      </c>
      <c r="S52" s="30" t="str">
        <f t="shared" ref="S52:V52" si="38">S27</f>
        <v>BPA-2mg/L + Testostérone</v>
      </c>
      <c r="T52" s="30" t="str">
        <f t="shared" si="38"/>
        <v>BPA-3mg/L + Testostérone</v>
      </c>
      <c r="U52" s="30" t="str">
        <f t="shared" si="38"/>
        <v>BPA-4mg/L + Testostérone</v>
      </c>
      <c r="V52" s="30" t="str">
        <f t="shared" si="38"/>
        <v>BPA-5mg/L + Testostérone</v>
      </c>
    </row>
    <row r="53" spans="1:22" s="3" customFormat="1" x14ac:dyDescent="0.35">
      <c r="A53" s="45" t="s">
        <v>10</v>
      </c>
      <c r="B53" s="78">
        <f t="shared" ref="B53:V53" si="39">B46</f>
        <v>5.8692518923581287E-2</v>
      </c>
      <c r="C53" s="78">
        <f t="shared" si="39"/>
        <v>0.16900935811379122</v>
      </c>
      <c r="D53" s="78">
        <f t="shared" si="39"/>
        <v>0.42533145720321502</v>
      </c>
      <c r="E53" s="78">
        <f t="shared" si="39"/>
        <v>0.77693098423603824</v>
      </c>
      <c r="F53" s="78">
        <f t="shared" si="39"/>
        <v>1.7055911488774838</v>
      </c>
      <c r="G53" s="78">
        <f t="shared" si="39"/>
        <v>1.4065802473301634</v>
      </c>
      <c r="H53" s="78">
        <f t="shared" si="39"/>
        <v>2.739214434402296</v>
      </c>
      <c r="I53" s="78">
        <f t="shared" si="39"/>
        <v>5.6364712699722604E-2</v>
      </c>
      <c r="J53" s="78">
        <f t="shared" si="39"/>
        <v>0.10559579941575858</v>
      </c>
      <c r="K53" s="78">
        <f t="shared" si="39"/>
        <v>9.7094896298572167E-2</v>
      </c>
      <c r="L53" s="78">
        <f t="shared" si="39"/>
        <v>0.30909448042881854</v>
      </c>
      <c r="M53" s="78">
        <f t="shared" si="39"/>
        <v>0.7935832566744826</v>
      </c>
      <c r="N53" s="78"/>
      <c r="O53" s="78">
        <f t="shared" si="39"/>
        <v>1</v>
      </c>
      <c r="P53" s="78">
        <f t="shared" si="39"/>
        <v>1.9102186831873758</v>
      </c>
      <c r="Q53" s="78">
        <f t="shared" si="39"/>
        <v>5.0146019054568697E-2</v>
      </c>
      <c r="R53" s="78">
        <f t="shared" si="39"/>
        <v>0.9774482347799881</v>
      </c>
      <c r="S53" s="78">
        <f t="shared" si="39"/>
        <v>1.2413612431161398</v>
      </c>
      <c r="T53" s="78">
        <f t="shared" si="39"/>
        <v>1.4906952682755519</v>
      </c>
      <c r="U53" s="78">
        <f t="shared" si="39"/>
        <v>2.4399189071681109</v>
      </c>
      <c r="V53" s="78">
        <f t="shared" si="39"/>
        <v>2.5524604465731002</v>
      </c>
    </row>
    <row r="54" spans="1:22" s="3" customFormat="1" x14ac:dyDescent="0.35">
      <c r="A54" s="45" t="s">
        <v>2</v>
      </c>
      <c r="B54" s="78">
        <f t="shared" ref="B54:V54" si="40">B48</f>
        <v>1.52798877025843E-2</v>
      </c>
      <c r="C54" s="78">
        <f t="shared" si="40"/>
        <v>5.8670525597400637E-2</v>
      </c>
      <c r="D54" s="78">
        <f t="shared" si="40"/>
        <v>0.11199253092477865</v>
      </c>
      <c r="E54" s="78">
        <f t="shared" si="40"/>
        <v>0.18516500917853804</v>
      </c>
      <c r="F54" s="78">
        <f t="shared" si="40"/>
        <v>0.20251530886191876</v>
      </c>
      <c r="G54" s="78">
        <f t="shared" si="40"/>
        <v>0.22055251391684405</v>
      </c>
      <c r="H54" s="78">
        <f t="shared" si="40"/>
        <v>0.27038844474803675</v>
      </c>
      <c r="I54" s="78">
        <f t="shared" si="40"/>
        <v>1.247654298959138E-2</v>
      </c>
      <c r="J54" s="78">
        <f t="shared" si="40"/>
        <v>3.139954465675638E-2</v>
      </c>
      <c r="K54" s="78">
        <f t="shared" si="40"/>
        <v>4.0951402106707606E-2</v>
      </c>
      <c r="L54" s="78">
        <f t="shared" si="40"/>
        <v>0.15749140435266856</v>
      </c>
      <c r="M54" s="78">
        <f t="shared" si="40"/>
        <v>0.1876920321090233</v>
      </c>
      <c r="N54" s="78"/>
      <c r="O54" s="78">
        <f t="shared" si="40"/>
        <v>0.23738242877944435</v>
      </c>
      <c r="P54" s="78">
        <f t="shared" si="40"/>
        <v>0.17783787900524964</v>
      </c>
      <c r="Q54" s="78">
        <f t="shared" si="40"/>
        <v>1.5638527712977052E-2</v>
      </c>
      <c r="R54" s="78">
        <f t="shared" si="40"/>
        <v>0.18592976467563091</v>
      </c>
      <c r="S54" s="78">
        <f t="shared" si="40"/>
        <v>0.13140743437089644</v>
      </c>
      <c r="T54" s="78">
        <f t="shared" si="40"/>
        <v>0.20875623652683975</v>
      </c>
      <c r="U54" s="78">
        <f t="shared" si="40"/>
        <v>0.28922587424060225</v>
      </c>
      <c r="V54" s="78">
        <f t="shared" si="40"/>
        <v>0.30319375777377389</v>
      </c>
    </row>
    <row r="55" spans="1:22" s="3" customFormat="1" x14ac:dyDescent="0.35">
      <c r="A55" s="45" t="s">
        <v>14</v>
      </c>
      <c r="B55" s="78">
        <f>(B53*100/$B53)-100</f>
        <v>0</v>
      </c>
      <c r="C55" s="78">
        <f t="shared" ref="C55:M55" si="41">(C53*100/$B53)-100</f>
        <v>187.95724091147702</v>
      </c>
      <c r="D55" s="78">
        <f t="shared" si="41"/>
        <v>624.67746316528724</v>
      </c>
      <c r="E55" s="78">
        <f t="shared" si="41"/>
        <v>1223.7308578417233</v>
      </c>
      <c r="F55" s="78">
        <f t="shared" si="41"/>
        <v>2805.9770821869033</v>
      </c>
      <c r="G55" s="78">
        <f t="shared" si="41"/>
        <v>2296.5239064991501</v>
      </c>
      <c r="H55" s="78">
        <f t="shared" si="41"/>
        <v>4567.058910810767</v>
      </c>
      <c r="I55" s="78">
        <f t="shared" si="41"/>
        <v>-3.9661038008771214</v>
      </c>
      <c r="J55" s="78">
        <f t="shared" si="41"/>
        <v>79.913558580176471</v>
      </c>
      <c r="K55" s="78">
        <f t="shared" si="41"/>
        <v>65.429765290856693</v>
      </c>
      <c r="L55" s="78">
        <f t="shared" si="41"/>
        <v>426.63352348408341</v>
      </c>
      <c r="M55" s="78">
        <f t="shared" si="41"/>
        <v>1252.1029106072995</v>
      </c>
      <c r="N55" s="78"/>
      <c r="O55" s="78">
        <f t="shared" ref="O55:V55" si="42">(O53*100/$O53)-100</f>
        <v>0</v>
      </c>
      <c r="P55" s="78">
        <f t="shared" si="42"/>
        <v>91.021868318737575</v>
      </c>
      <c r="Q55" s="78">
        <f t="shared" si="42"/>
        <v>-94.985398094543129</v>
      </c>
      <c r="R55" s="78">
        <f t="shared" si="42"/>
        <v>-2.255176522001193</v>
      </c>
      <c r="S55" s="78">
        <f t="shared" si="42"/>
        <v>24.136124311613983</v>
      </c>
      <c r="T55" s="78">
        <f t="shared" si="42"/>
        <v>49.069526827555194</v>
      </c>
      <c r="U55" s="78">
        <f t="shared" si="42"/>
        <v>143.9918907168111</v>
      </c>
      <c r="V55" s="78">
        <f t="shared" si="42"/>
        <v>155.24604465731002</v>
      </c>
    </row>
    <row r="56" spans="1:22" s="3" customFormat="1" x14ac:dyDescent="0.35">
      <c r="A56" s="45" t="s">
        <v>38</v>
      </c>
      <c r="B56" s="78">
        <f>[1]!SWTEST(B28:B43)</f>
        <v>0.86514005106874259</v>
      </c>
      <c r="C56" s="78">
        <f>[1]!SWTEST(C28:C43)</f>
        <v>5.6543954704419974E-3</v>
      </c>
      <c r="D56" s="78">
        <f>[1]!SWTEST(D28:D43)</f>
        <v>0.17511244894591171</v>
      </c>
      <c r="E56" s="78">
        <f>[1]!SWTEST(E28:E43)</f>
        <v>0.15228458696710034</v>
      </c>
      <c r="F56" s="78">
        <f>[1]!SWTEST(F28:F43)</f>
        <v>0.12153070526035892</v>
      </c>
      <c r="G56" s="78">
        <f>[1]!SWTEST(G28:G43)</f>
        <v>0.60617145213605239</v>
      </c>
      <c r="H56" s="78">
        <f>[1]!SWTEST(H28:H43)</f>
        <v>0.57829903721797016</v>
      </c>
      <c r="I56" s="78">
        <f>[1]!SWTEST(I28:I43)</f>
        <v>0.17599745088660845</v>
      </c>
      <c r="J56" s="78">
        <f>[1]!SWTEST(J28:J43)</f>
        <v>0.20889373077353213</v>
      </c>
      <c r="K56" s="78">
        <f>[1]!SWTEST(K28:K43)</f>
        <v>1.8933820016861169E-2</v>
      </c>
      <c r="L56" s="78">
        <f>[1]!SWTEST(L28:L43)</f>
        <v>4.24393943433099E-3</v>
      </c>
      <c r="M56" s="78">
        <f>[1]!SWTEST(M28:M43)</f>
        <v>0.39489897739107449</v>
      </c>
      <c r="N56" s="78"/>
      <c r="O56" s="78">
        <f>[1]!SWTEST(O28:O43)</f>
        <v>1.7044794189731149E-2</v>
      </c>
      <c r="P56" s="78">
        <f>[1]!SWTEST(P28:P43)</f>
        <v>0.99682604878936987</v>
      </c>
      <c r="Q56" s="78">
        <f>[1]!SWTEST(Q28:Q43)</f>
        <v>9.2873931114765496E-2</v>
      </c>
      <c r="R56" s="78">
        <f>[1]!SWTEST(R28:R43)</f>
        <v>0.83517823945803682</v>
      </c>
      <c r="S56" s="78">
        <f>[1]!SWTEST(S28:S43)</f>
        <v>0.50150171608258032</v>
      </c>
      <c r="T56" s="78">
        <f>[1]!SWTEST(T28:T43)</f>
        <v>0.56883524437396071</v>
      </c>
      <c r="U56" s="78">
        <f>[1]!SWTEST(U28:U43)</f>
        <v>5.6839479242878799E-2</v>
      </c>
      <c r="V56" s="78">
        <f>[1]!SWTEST(V28:V43)</f>
        <v>0.67186514656022911</v>
      </c>
    </row>
    <row r="57" spans="1:22" s="3" customFormat="1" x14ac:dyDescent="0.35">
      <c r="A57" s="45" t="s">
        <v>39</v>
      </c>
      <c r="B57" s="78" t="str">
        <f>IF(B56&gt;0.05,"Oui","Non")</f>
        <v>Oui</v>
      </c>
      <c r="C57" s="78" t="str">
        <f t="shared" ref="C57:V57" si="43">IF(C56&gt;0.05,"Oui","Non")</f>
        <v>Non</v>
      </c>
      <c r="D57" s="78" t="str">
        <f t="shared" si="43"/>
        <v>Oui</v>
      </c>
      <c r="E57" s="78" t="str">
        <f t="shared" si="43"/>
        <v>Oui</v>
      </c>
      <c r="F57" s="78" t="str">
        <f t="shared" si="43"/>
        <v>Oui</v>
      </c>
      <c r="G57" s="78" t="str">
        <f t="shared" si="43"/>
        <v>Oui</v>
      </c>
      <c r="H57" s="78" t="str">
        <f t="shared" si="43"/>
        <v>Oui</v>
      </c>
      <c r="I57" s="78" t="str">
        <f t="shared" si="43"/>
        <v>Oui</v>
      </c>
      <c r="J57" s="78" t="str">
        <f t="shared" si="43"/>
        <v>Oui</v>
      </c>
      <c r="K57" s="78" t="str">
        <f t="shared" si="43"/>
        <v>Non</v>
      </c>
      <c r="L57" s="78" t="str">
        <f t="shared" si="43"/>
        <v>Non</v>
      </c>
      <c r="M57" s="78" t="str">
        <f t="shared" si="43"/>
        <v>Oui</v>
      </c>
      <c r="N57" s="78"/>
      <c r="O57" s="78" t="str">
        <f t="shared" si="43"/>
        <v>Non</v>
      </c>
      <c r="P57" s="78" t="str">
        <f t="shared" si="43"/>
        <v>Oui</v>
      </c>
      <c r="Q57" s="78" t="str">
        <f t="shared" si="43"/>
        <v>Oui</v>
      </c>
      <c r="R57" s="78" t="str">
        <f t="shared" si="43"/>
        <v>Oui</v>
      </c>
      <c r="S57" s="78" t="str">
        <f t="shared" si="43"/>
        <v>Oui</v>
      </c>
      <c r="T57" s="78" t="str">
        <f t="shared" si="43"/>
        <v>Oui</v>
      </c>
      <c r="U57" s="78" t="str">
        <f t="shared" si="43"/>
        <v>Oui</v>
      </c>
      <c r="V57" s="78" t="str">
        <f t="shared" si="43"/>
        <v>Oui</v>
      </c>
    </row>
    <row r="58" spans="1:22" s="3" customFormat="1" x14ac:dyDescent="0.35">
      <c r="A58" s="45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80"/>
      <c r="O58" s="81"/>
      <c r="P58" s="78"/>
      <c r="Q58" s="78"/>
      <c r="R58" s="78"/>
      <c r="S58" s="78"/>
      <c r="T58" s="78"/>
      <c r="U58" s="78"/>
      <c r="V58" s="78"/>
    </row>
    <row r="59" spans="1:22" s="3" customFormat="1" x14ac:dyDescent="0.35">
      <c r="A59" s="45" t="s">
        <v>40</v>
      </c>
      <c r="B59" s="82"/>
      <c r="C59" s="82" t="str">
        <f t="shared" ref="C59:O59" si="44">IF($B57="Non",IF(C57="Non","MW",IF(C57="Oui","MW","")),IF($B57="Oui",IF(C57="Oui","T-Test Welch",IF(C57="Non","MW",""))))</f>
        <v>MW</v>
      </c>
      <c r="D59" s="82" t="str">
        <f t="shared" si="44"/>
        <v>T-Test Welch</v>
      </c>
      <c r="E59" s="82" t="str">
        <f t="shared" si="44"/>
        <v>T-Test Welch</v>
      </c>
      <c r="F59" s="82" t="str">
        <f t="shared" si="44"/>
        <v>T-Test Welch</v>
      </c>
      <c r="G59" s="82" t="str">
        <f t="shared" si="44"/>
        <v>T-Test Welch</v>
      </c>
      <c r="H59" s="82" t="str">
        <f t="shared" si="44"/>
        <v>T-Test Welch</v>
      </c>
      <c r="I59" s="82" t="str">
        <f t="shared" si="44"/>
        <v>T-Test Welch</v>
      </c>
      <c r="J59" s="82" t="str">
        <f t="shared" si="44"/>
        <v>T-Test Welch</v>
      </c>
      <c r="K59" s="82" t="str">
        <f t="shared" si="44"/>
        <v>MW</v>
      </c>
      <c r="L59" s="82" t="str">
        <f t="shared" si="44"/>
        <v>MW</v>
      </c>
      <c r="M59" s="82" t="str">
        <f t="shared" si="44"/>
        <v>T-Test Welch</v>
      </c>
      <c r="N59" s="82"/>
      <c r="O59" s="82" t="str">
        <f t="shared" si="44"/>
        <v>MW</v>
      </c>
      <c r="P59" s="82" t="str">
        <f t="shared" ref="P59:V59" si="45">IF($O57="Non",IF(P57="Non","MW",IF(P57="Oui","MW","")),IF($O57="Oui",IF(P57="Oui","T-Test Welch",IF(P57="Non","MW",""))))</f>
        <v>MW</v>
      </c>
      <c r="Q59" s="82" t="str">
        <f t="shared" si="45"/>
        <v>MW</v>
      </c>
      <c r="R59" s="82" t="str">
        <f t="shared" si="45"/>
        <v>MW</v>
      </c>
      <c r="S59" s="82" t="str">
        <f t="shared" si="45"/>
        <v>MW</v>
      </c>
      <c r="T59" s="82" t="str">
        <f t="shared" si="45"/>
        <v>MW</v>
      </c>
      <c r="U59" s="82" t="str">
        <f t="shared" si="45"/>
        <v>MW</v>
      </c>
      <c r="V59" s="82" t="str">
        <f t="shared" si="45"/>
        <v>MW</v>
      </c>
    </row>
    <row r="60" spans="1:22" s="3" customFormat="1" x14ac:dyDescent="0.35">
      <c r="A60" s="45" t="s">
        <v>41</v>
      </c>
      <c r="B60" s="83"/>
      <c r="C60" s="83">
        <f>IF(C59="MW",[1]!MTEST($B28:$B43,C28:C43,2), IF(C59="T-Test Welch",_xlfn.T.TEST($B28:$B43,C28:C43,2,3),""))</f>
        <v>4.599936687503714E-2</v>
      </c>
      <c r="D60" s="83">
        <f>IF(D59="MW",[1]!MTEST($B28:$B43,D28:D43,2), IF(D59="T-Test Welch",_xlfn.T.TEST($B28:$B43,D28:D43,2,3),""))</f>
        <v>1.6715832603500246E-2</v>
      </c>
      <c r="E60" s="83">
        <f>IF(E59="MW",[1]!MTEST($B28:$B43,E28:E43,2), IF(E59="T-Test Welch",_xlfn.T.TEST($B28:$B43,E28:E43,2,3),""))</f>
        <v>6.0065051946290634E-3</v>
      </c>
      <c r="F60" s="83">
        <f>IF(F59="MW",[1]!MTEST($B28:$B43,F28:F43,2), IF(F59="T-Test Welch",_xlfn.T.TEST($B28:$B43,F28:F43,2,3),""))</f>
        <v>7.8571904873455019E-5</v>
      </c>
      <c r="G60" s="83">
        <f>IF(G59="MW",[1]!MTEST($B28:$B43,G28:G43,2), IF(G59="T-Test Welch",_xlfn.T.TEST($B28:$B43,G28:G43,2,3),""))</f>
        <v>4.7463170085825337E-4</v>
      </c>
      <c r="H60" s="83">
        <f>IF(H59="MW",[1]!MTEST($B28:$B43,H28:H43,2), IF(H59="T-Test Welch",_xlfn.T.TEST($B28:$B43,H28:H43,2,3),""))</f>
        <v>5.9045221611455947E-5</v>
      </c>
      <c r="I60" s="83">
        <f>IF(I59="MW",[1]!MTEST($B28:$B43,I28:I43,2), IF(I59="T-Test Welch",_xlfn.T.TEST($B28:$B43,I28:I43,2,3),""))</f>
        <v>0.90789592671494601</v>
      </c>
      <c r="J60" s="83">
        <f>IF(J59="MW",[1]!MTEST($B28:$B43,J28:J43,2), IF(J59="T-Test Welch",_xlfn.T.TEST($B28:$B43,J28:J43,2,3),""))</f>
        <v>0.21298853560921832</v>
      </c>
      <c r="K60" s="83">
        <f>IF(K59="MW",[1]!MTEST($B28:$B43,K28:K43,2), IF(K59="T-Test Welch",_xlfn.T.TEST($B28:$B43,K28:K43,2,3),""))</f>
        <v>0.67442407223529366</v>
      </c>
      <c r="L60" s="83">
        <f>IF(L59="MW",[1]!MTEST($B28:$B43,L28:L43,2), IF(L59="T-Test Welch",_xlfn.T.TEST($B28:$B43,L28:L43,2,3),""))</f>
        <v>6.4077506451059474E-2</v>
      </c>
      <c r="M60" s="83">
        <f>IF(M59="MW",[1]!MTEST($B28:$B43,M28:M43,2), IF(M59="T-Test Welch",_xlfn.T.TEST($B28:$B43,M28:M43,2,3),""))</f>
        <v>5.7299850324523298E-3</v>
      </c>
      <c r="N60" s="83"/>
      <c r="O60" s="83">
        <f>IF(O59="MW",[1]!MTEST($B28:$B43,O28:O43,2), IF(O59="T-Test Welch",_xlfn.T.TEST($B28:$B43,O28:O43,2,3),""))</f>
        <v>2.6942620192960121E-3</v>
      </c>
      <c r="P60" s="83">
        <f>IF(P59="MW",[1]!MTEST($O28:$O43,P28:P43,2), IF(P59="T-Test Welch",_xlfn.T.TEST($O28:$O43,P28:P43,2,3),""))</f>
        <v>2.7248440892305936E-2</v>
      </c>
      <c r="Q60" s="83">
        <f>IF(Q59="MW",[1]!MTEST($O28:$O43,Q28:Q43,2), IF(Q59="T-Test Welch",_xlfn.T.TEST($O28:$O43,Q28:Q43,2,3),""))</f>
        <v>1.7895728484755846E-3</v>
      </c>
      <c r="R60" s="83">
        <f>IF(R59="MW",[1]!MTEST($O28:$O43,R28:R43,2), IF(R59="T-Test Welch",_xlfn.T.TEST($O28:$O43,R28:R43,2,3),""))</f>
        <v>0.95117026929693571</v>
      </c>
      <c r="S60" s="83">
        <f>IF(S59="MW",[1]!MTEST($O28:$O43,S28:S43,2), IF(S59="T-Test Welch",_xlfn.T.TEST($O28:$O43,S28:S43,2,3),""))</f>
        <v>0.54029137460741983</v>
      </c>
      <c r="T60" s="83">
        <f>IF(T59="MW",[1]!MTEST($O28:$O43,T28:T43,2), IF(T59="T-Test Welch",_xlfn.T.TEST($O28:$O43,T28:T43,2,3),""))</f>
        <v>0.25601504482980886</v>
      </c>
      <c r="U60" s="83">
        <f>IF(U59="MW",[1]!MTEST($O28:$O43,U28:U43,2), IF(U59="T-Test Welch",_xlfn.T.TEST($O28:$O43,U28:U43,2,3),""))</f>
        <v>8.4584156046332293E-3</v>
      </c>
      <c r="V60" s="83">
        <f>IF(V59="MW",[1]!MTEST($O28:$O43,V28:V43,2), IF(V59="T-Test Welch",_xlfn.T.TEST($O28:$O43,V28:V43,2,3),""))</f>
        <v>3.2886143038479698E-3</v>
      </c>
    </row>
    <row r="61" spans="1:22" s="3" customFormat="1" ht="15" thickBot="1" x14ac:dyDescent="0.4">
      <c r="A61" s="46" t="s">
        <v>15</v>
      </c>
      <c r="B61" s="79"/>
      <c r="C61" s="79" t="str">
        <f t="shared" ref="C61:O61" si="46">IF(C60&gt;0.05,"NS",IF(C60&gt;0.01,"*",IF(C60&gt;0.001,"**","***")))</f>
        <v>*</v>
      </c>
      <c r="D61" s="79" t="str">
        <f t="shared" si="46"/>
        <v>*</v>
      </c>
      <c r="E61" s="79" t="str">
        <f t="shared" si="46"/>
        <v>**</v>
      </c>
      <c r="F61" s="79" t="str">
        <f t="shared" si="46"/>
        <v>***</v>
      </c>
      <c r="G61" s="79" t="str">
        <f t="shared" si="46"/>
        <v>***</v>
      </c>
      <c r="H61" s="79" t="str">
        <f t="shared" si="46"/>
        <v>***</v>
      </c>
      <c r="I61" s="79" t="str">
        <f t="shared" si="46"/>
        <v>NS</v>
      </c>
      <c r="J61" s="79" t="str">
        <f t="shared" si="46"/>
        <v>NS</v>
      </c>
      <c r="K61" s="79" t="str">
        <f t="shared" si="46"/>
        <v>NS</v>
      </c>
      <c r="L61" s="79" t="str">
        <f t="shared" si="46"/>
        <v>NS</v>
      </c>
      <c r="M61" s="79" t="str">
        <f t="shared" si="46"/>
        <v>**</v>
      </c>
      <c r="N61" s="79"/>
      <c r="O61" s="79" t="str">
        <f t="shared" si="46"/>
        <v>**</v>
      </c>
      <c r="P61" s="79" t="str">
        <f>IF(P60&gt;0.05,"NS",IF(P60&gt;0.01,"*",IF(P60&gt;0.001,"**","***")))</f>
        <v>*</v>
      </c>
      <c r="Q61" s="79" t="str">
        <f t="shared" ref="Q61:V61" si="47">IF(Q60&gt;0.05,"NS",IF(Q60&gt;0.01,"*",IF(Q60&gt;0.001,"**","***")))</f>
        <v>**</v>
      </c>
      <c r="R61" s="79" t="str">
        <f t="shared" si="47"/>
        <v>NS</v>
      </c>
      <c r="S61" s="79" t="str">
        <f t="shared" si="47"/>
        <v>NS</v>
      </c>
      <c r="T61" s="79" t="str">
        <f t="shared" si="47"/>
        <v>NS</v>
      </c>
      <c r="U61" s="79" t="str">
        <f t="shared" si="47"/>
        <v>**</v>
      </c>
      <c r="V61" s="79" t="str">
        <f t="shared" si="47"/>
        <v>**</v>
      </c>
    </row>
    <row r="63" spans="1:22" x14ac:dyDescent="0.35">
      <c r="A63" s="2"/>
    </row>
    <row r="66" spans="1:22" ht="15" thickBot="1" x14ac:dyDescent="0.4"/>
    <row r="67" spans="1:22" ht="26.5" thickBot="1" x14ac:dyDescent="0.65">
      <c r="A67" s="136"/>
      <c r="B67" s="137"/>
      <c r="C67" s="137"/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</row>
    <row r="68" spans="1:22" ht="16.5" x14ac:dyDescent="0.35">
      <c r="A68" s="12"/>
      <c r="B68" s="12"/>
      <c r="C68" s="12"/>
      <c r="D68" s="12"/>
      <c r="E68" s="12"/>
      <c r="F68" s="12"/>
      <c r="N68" s="12"/>
      <c r="O68" s="12"/>
      <c r="P68" s="12"/>
      <c r="Q68" s="12"/>
      <c r="R68" s="12"/>
      <c r="S68" s="12"/>
      <c r="T68" s="12"/>
      <c r="U68" s="12"/>
      <c r="V68" s="12"/>
    </row>
    <row r="69" spans="1:22" ht="16.5" x14ac:dyDescent="0.35">
      <c r="A69" s="12"/>
      <c r="B69" s="12"/>
      <c r="C69" s="12"/>
      <c r="D69" s="12"/>
      <c r="E69" s="12"/>
      <c r="F69" s="12"/>
      <c r="N69" s="12"/>
      <c r="O69" s="12"/>
      <c r="P69" s="12"/>
      <c r="Q69" s="12"/>
      <c r="R69" s="12"/>
      <c r="S69" s="12"/>
      <c r="T69" s="12"/>
      <c r="U69" s="12"/>
      <c r="V69" s="12"/>
    </row>
    <row r="70" spans="1:22" ht="16.5" x14ac:dyDescent="0.35">
      <c r="A70" s="12"/>
      <c r="B70" s="12"/>
      <c r="C70" s="12"/>
      <c r="D70" s="12"/>
      <c r="E70" s="12"/>
      <c r="F70" s="12"/>
      <c r="N70" s="12"/>
      <c r="O70" s="12"/>
      <c r="P70" s="12"/>
      <c r="Q70" s="12"/>
      <c r="R70" s="12"/>
      <c r="S70" s="12"/>
      <c r="T70" s="12"/>
      <c r="U70" s="12"/>
      <c r="V70" s="12"/>
    </row>
    <row r="71" spans="1:22" ht="16.5" x14ac:dyDescent="0.35">
      <c r="A71" s="12"/>
      <c r="B71" s="12"/>
      <c r="C71" s="12"/>
      <c r="D71" s="12"/>
      <c r="E71" s="12"/>
      <c r="F71" s="12"/>
      <c r="N71" s="12"/>
      <c r="O71" s="12"/>
      <c r="P71" s="12"/>
      <c r="Q71" s="12"/>
      <c r="R71" s="12"/>
      <c r="S71" s="12"/>
      <c r="T71" s="12"/>
      <c r="U71" s="12"/>
      <c r="V71" s="12"/>
    </row>
    <row r="72" spans="1:22" ht="16.5" x14ac:dyDescent="0.35">
      <c r="A72" s="12"/>
      <c r="B72" s="12"/>
      <c r="C72" s="12"/>
      <c r="D72" s="12"/>
      <c r="E72" s="12"/>
      <c r="F72" s="12"/>
      <c r="N72" s="12"/>
      <c r="O72" s="12"/>
      <c r="P72" s="12"/>
      <c r="Q72" s="12"/>
      <c r="R72" s="12"/>
      <c r="S72" s="12"/>
      <c r="T72" s="12"/>
      <c r="U72" s="12"/>
      <c r="V72" s="12"/>
    </row>
    <row r="73" spans="1:22" ht="16.5" x14ac:dyDescent="0.35">
      <c r="A73" s="12"/>
      <c r="B73" s="12"/>
      <c r="C73" s="12"/>
      <c r="D73" s="12"/>
      <c r="E73" s="12"/>
      <c r="F73" s="12"/>
      <c r="N73" s="12"/>
      <c r="O73" s="12"/>
      <c r="P73" s="12"/>
      <c r="Q73" s="12"/>
      <c r="R73" s="12"/>
      <c r="S73" s="12"/>
      <c r="T73" s="12"/>
      <c r="U73" s="12"/>
      <c r="V73" s="12"/>
    </row>
    <row r="74" spans="1:22" ht="16.5" x14ac:dyDescent="0.35">
      <c r="A74" s="12"/>
      <c r="B74" s="12"/>
      <c r="C74" s="12"/>
      <c r="D74" s="12"/>
      <c r="E74" s="12"/>
      <c r="F74" s="12"/>
      <c r="N74" s="12"/>
      <c r="O74" s="12"/>
      <c r="P74" s="12"/>
      <c r="Q74" s="12"/>
      <c r="R74" s="12"/>
      <c r="S74" s="12"/>
      <c r="T74" s="12"/>
      <c r="U74" s="12"/>
      <c r="V74" s="12"/>
    </row>
  </sheetData>
  <protectedRanges>
    <protectedRange sqref="O51:V51" name="Plage2"/>
    <protectedRange sqref="R5:V20" name="Plage1"/>
    <protectedRange sqref="B51:J51" name="Plage2_1"/>
    <protectedRange sqref="O5:O20 B5:J20" name="Plage1_1"/>
  </protectedRanges>
  <mergeCells count="9">
    <mergeCell ref="A28:A43"/>
    <mergeCell ref="A50:V50"/>
    <mergeCell ref="A67:V67"/>
    <mergeCell ref="A1:V1"/>
    <mergeCell ref="B3:M3"/>
    <mergeCell ref="O3:V3"/>
    <mergeCell ref="A5:A20"/>
    <mergeCell ref="B26:M26"/>
    <mergeCell ref="O26:V26"/>
  </mergeCells>
  <pageMargins left="0.7" right="0.7" top="0.75" bottom="0.75" header="0.3" footer="0.3"/>
  <pageSetup paperSize="9" scale="21" orientation="landscape" r:id="rId1"/>
  <headerFooter>
    <oddHeader>&amp;C&amp;"-,Gras"&amp;14Données brutes et normalisées R1&amp;R&amp;"-,Gras"&amp;14Page : &amp;P/&amp;P</oddHeader>
  </headerFooter>
  <colBreaks count="1" manualBreakCount="1">
    <brk id="14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122"/>
  <sheetViews>
    <sheetView showGridLines="0" tabSelected="1" topLeftCell="F73" zoomScale="70" zoomScaleNormal="70" workbookViewId="0">
      <selection activeCell="B94" sqref="B94:W94"/>
    </sheetView>
  </sheetViews>
  <sheetFormatPr baseColWidth="10" defaultColWidth="10.90625" defaultRowHeight="14.5" x14ac:dyDescent="0.35"/>
  <cols>
    <col min="1" max="1" width="42.81640625" customWidth="1"/>
    <col min="2" max="2" width="14" bestFit="1" customWidth="1"/>
    <col min="3" max="13" width="22.7265625" bestFit="1" customWidth="1"/>
    <col min="14" max="14" width="8.453125" customWidth="1"/>
    <col min="15" max="15" width="22.7265625" customWidth="1"/>
    <col min="18" max="22" width="29.1796875" customWidth="1"/>
  </cols>
  <sheetData>
    <row r="1" spans="1:22" s="1" customFormat="1" ht="21.5" thickBot="1" x14ac:dyDescent="0.4">
      <c r="A1" s="22"/>
      <c r="B1" s="39"/>
      <c r="C1" s="23"/>
      <c r="D1" s="23"/>
      <c r="E1" s="23"/>
      <c r="F1" s="23"/>
      <c r="G1" s="23"/>
      <c r="H1" s="40"/>
      <c r="I1" s="39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</row>
    <row r="2" spans="1:22" ht="15" thickBot="1" x14ac:dyDescent="0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22" s="18" customFormat="1" ht="15" thickBot="1" x14ac:dyDescent="0.4">
      <c r="B3" s="142" t="s">
        <v>42</v>
      </c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55"/>
      <c r="O3" s="142" t="s">
        <v>43</v>
      </c>
      <c r="P3" s="143"/>
      <c r="Q3" s="143"/>
      <c r="R3" s="143"/>
      <c r="S3" s="143"/>
      <c r="T3" s="143"/>
      <c r="U3" s="143"/>
      <c r="V3" s="143"/>
    </row>
    <row r="4" spans="1:22" x14ac:dyDescent="0.35">
      <c r="A4" s="19"/>
      <c r="B4" s="20" t="str">
        <f>'R1'!B4</f>
        <v>Solvent control</v>
      </c>
      <c r="C4" s="20" t="str">
        <f>'R1'!C4</f>
        <v>EE2-33.8ng/L</v>
      </c>
      <c r="D4" s="20" t="str">
        <f>'R1'!D4</f>
        <v>EE2-50.6ng/L</v>
      </c>
      <c r="E4" s="20" t="str">
        <f>'R1'!E4</f>
        <v>EE2-76ng/L</v>
      </c>
      <c r="F4" s="20" t="str">
        <f>'R1'!F4</f>
        <v>EE2-114ng/L</v>
      </c>
      <c r="G4" s="20" t="str">
        <f>'R1'!G4</f>
        <v>EE2-170.9ng/L</v>
      </c>
      <c r="H4" s="20" t="str">
        <f>'R1'!H4</f>
        <v>EE2-488ng/L</v>
      </c>
      <c r="I4" s="20" t="str">
        <f>'R1'!I4</f>
        <v>BPA-1mg/L</v>
      </c>
      <c r="J4" s="20" t="str">
        <f>'R1'!J4</f>
        <v>BPA-2mg/L</v>
      </c>
      <c r="K4" s="20" t="str">
        <f>'R1'!K4</f>
        <v>BPA-3mg/L</v>
      </c>
      <c r="L4" s="20" t="str">
        <f>'R1'!L4</f>
        <v>BPA-4mg/L</v>
      </c>
      <c r="M4" s="20" t="str">
        <f>'R1'!M4</f>
        <v>BPA-5mg/L</v>
      </c>
      <c r="O4" s="20" t="str">
        <f>'R1'!O4</f>
        <v>Testo -30µg/L</v>
      </c>
      <c r="P4" s="20" t="str">
        <f>'R1'!P4</f>
        <v>Testo 30µg/L + EE2 -64ng/L</v>
      </c>
      <c r="Q4" s="20" t="str">
        <f>'R1'!Q4</f>
        <v>Testo 30µg/L + FAD-10mg/L</v>
      </c>
      <c r="R4" s="20" t="str">
        <f>'R1'!R4</f>
        <v>BPA-1mg/L + Testostérone</v>
      </c>
      <c r="S4" s="20" t="str">
        <f>'R1'!S4</f>
        <v>BPA-2mg/L + Testostérone</v>
      </c>
      <c r="T4" s="20" t="str">
        <f>'R1'!T4</f>
        <v>BPA-3mg/L + Testostérone</v>
      </c>
      <c r="U4" s="20" t="str">
        <f>'R1'!U4</f>
        <v>BPA-4mg/L + Testostérone</v>
      </c>
      <c r="V4" s="20" t="str">
        <f>'R1'!V4</f>
        <v>BPA-5mg/L + Testostérone</v>
      </c>
    </row>
    <row r="5" spans="1:22" s="1" customFormat="1" x14ac:dyDescent="0.35">
      <c r="A5" s="19"/>
      <c r="B5" s="20"/>
      <c r="C5" s="115"/>
      <c r="D5" s="20"/>
      <c r="E5" s="20"/>
      <c r="F5" s="20"/>
      <c r="G5" s="20"/>
      <c r="H5" s="20"/>
      <c r="I5" s="20"/>
      <c r="J5" s="20"/>
      <c r="K5" s="20"/>
      <c r="L5" s="20"/>
      <c r="M5" s="20"/>
      <c r="O5" s="20"/>
      <c r="P5" s="20"/>
      <c r="Q5" s="20"/>
      <c r="R5" s="20"/>
      <c r="S5" s="20"/>
      <c r="T5" s="20"/>
      <c r="U5" s="20"/>
      <c r="V5" s="20"/>
    </row>
    <row r="6" spans="1:22" s="1" customFormat="1" x14ac:dyDescent="0.35">
      <c r="A6" s="54" t="s">
        <v>3</v>
      </c>
      <c r="B6" s="37">
        <f>'R1'!B28</f>
        <v>0.19139490304294723</v>
      </c>
      <c r="C6" s="37">
        <f>'R1'!C28</f>
        <v>0.31680819626392814</v>
      </c>
      <c r="D6" s="37">
        <f>'R1'!D28</f>
        <v>0.79013882697163063</v>
      </c>
      <c r="E6" s="37">
        <f>'R1'!E28</f>
        <v>0.99573928060003447</v>
      </c>
      <c r="F6" s="37">
        <f>'R1'!F28</f>
        <v>6.0272245826012529</v>
      </c>
      <c r="G6" s="37">
        <f>'R1'!G28</f>
        <v>6.4783922501421891</v>
      </c>
      <c r="H6" s="37">
        <f>'R1'!H28</f>
        <v>4.0868944295102647</v>
      </c>
      <c r="I6" s="37">
        <f>'R1'!I28</f>
        <v>5.7587420839651043E-2</v>
      </c>
      <c r="J6" s="37">
        <f>'R1'!J28</f>
        <v>0.24270667240437241</v>
      </c>
      <c r="K6" s="37">
        <f>'R1'!K28</f>
        <v>1.2168848470831204</v>
      </c>
      <c r="L6" s="37">
        <f>'R1'!L28</f>
        <v>3.8701492992877018</v>
      </c>
      <c r="M6" s="37">
        <f>'R1'!M28</f>
        <v>1.6885010444372699</v>
      </c>
      <c r="N6"/>
      <c r="O6" s="37">
        <f>'R1'!O28</f>
        <v>0.8159705399476298</v>
      </c>
      <c r="P6" s="37">
        <f>'R1'!P28</f>
        <v>5.3263764367729616</v>
      </c>
      <c r="Q6" s="37">
        <f>'R1'!Q28</f>
        <v>3.7250664514883715E-2</v>
      </c>
      <c r="R6" s="37">
        <f>'R1'!R28</f>
        <v>0.21488711092615942</v>
      </c>
      <c r="S6" s="37">
        <f>'R1'!S28</f>
        <v>2.3649223840597249</v>
      </c>
      <c r="T6" s="37">
        <f>'R1'!T28</f>
        <v>3.9517998325977062</v>
      </c>
      <c r="U6" s="37">
        <f>'R1'!U28</f>
        <v>1.0089569255068391</v>
      </c>
      <c r="V6" s="37">
        <f>'R1'!V28</f>
        <v>5.5779613633442287</v>
      </c>
    </row>
    <row r="7" spans="1:22" s="1" customFormat="1" x14ac:dyDescent="0.35">
      <c r="A7" s="144"/>
      <c r="B7" s="37">
        <f>'R1'!B29</f>
        <v>0.31282218170672099</v>
      </c>
      <c r="C7" s="37">
        <f>'R1'!C29</f>
        <v>0.30059072288643857</v>
      </c>
      <c r="D7" s="37">
        <f>'R1'!D29</f>
        <v>0.63089427818615706</v>
      </c>
      <c r="E7" s="37">
        <f>'R1'!E29</f>
        <v>4.0444901473819428</v>
      </c>
      <c r="F7" s="37">
        <f>'R1'!F29</f>
        <v>3.6147537565564822</v>
      </c>
      <c r="G7" s="37">
        <f>'R1'!G29</f>
        <v>5.7357098669766522</v>
      </c>
      <c r="H7" s="37">
        <f>'R1'!H29</f>
        <v>5.7655103985885585</v>
      </c>
      <c r="I7" s="37">
        <f>'R1'!I29</f>
        <v>0.28564918686936647</v>
      </c>
      <c r="J7" s="37">
        <f>'R1'!J29</f>
        <v>0.32858998174223059</v>
      </c>
      <c r="K7" s="37">
        <f>'R1'!K29</f>
        <v>0.43527347748387563</v>
      </c>
      <c r="L7" s="37">
        <f>'R1'!L29</f>
        <v>1.9729267415061822</v>
      </c>
      <c r="M7" s="37">
        <f>'R1'!M29</f>
        <v>4.8154262890385029</v>
      </c>
      <c r="N7"/>
      <c r="O7" s="37">
        <f>'R1'!O29</f>
        <v>1.6649477910334447</v>
      </c>
      <c r="P7" s="37">
        <f>'R1'!P29</f>
        <v>5.5821932795760176</v>
      </c>
      <c r="Q7" s="37">
        <f>'R1'!Q29</f>
        <v>0.10058410245673828</v>
      </c>
      <c r="R7" s="37">
        <f>'R1'!R29</f>
        <v>0.15532387872920422</v>
      </c>
      <c r="S7" s="37">
        <f>'R1'!S29</f>
        <v>3.7171150574795164</v>
      </c>
      <c r="T7" s="37">
        <f>'R1'!T29</f>
        <v>0.2312344135094597</v>
      </c>
      <c r="U7" s="37">
        <f>'R1'!U29</f>
        <v>1.8156064163141143</v>
      </c>
      <c r="V7" s="37">
        <f>'R1'!V29</f>
        <v>1.8031522703130045</v>
      </c>
    </row>
    <row r="8" spans="1:22" s="1" customFormat="1" x14ac:dyDescent="0.35">
      <c r="A8" s="145"/>
      <c r="B8" s="37">
        <f>'R1'!B30</f>
        <v>0.11492894000472029</v>
      </c>
      <c r="C8" s="37">
        <f>'R1'!C30</f>
        <v>0.27423367451474184</v>
      </c>
      <c r="D8" s="37">
        <f>'R1'!D30</f>
        <v>0.50842406689557307</v>
      </c>
      <c r="E8" s="37">
        <f>'R1'!E30</f>
        <v>2.85708426818243</v>
      </c>
      <c r="F8" s="37">
        <f>'R1'!F30</f>
        <v>1.5940507271080373</v>
      </c>
      <c r="G8" s="37">
        <f>'R1'!G30</f>
        <v>4.7751646187040899</v>
      </c>
      <c r="H8" s="37">
        <f>'R1'!H30</f>
        <v>5.5482485309309482</v>
      </c>
      <c r="I8" s="37">
        <f>'R1'!I30</f>
        <v>0.30152360161693248</v>
      </c>
      <c r="J8" s="37">
        <f>'R1'!J30</f>
        <v>0.36432912477489465</v>
      </c>
      <c r="K8" s="37">
        <f>'R1'!K30</f>
        <v>0.64787611026540615</v>
      </c>
      <c r="L8" s="37">
        <f>'R1'!L30</f>
        <v>1.9231548668971206</v>
      </c>
      <c r="M8" s="37">
        <f>'R1'!M30</f>
        <v>6.2968127789769541</v>
      </c>
      <c r="N8"/>
      <c r="O8" s="37">
        <f>'R1'!O30</f>
        <v>0.73959227610802991</v>
      </c>
      <c r="P8" s="37">
        <f>'R1'!P30</f>
        <v>3.9460073865079943</v>
      </c>
      <c r="Q8" s="37">
        <f>'R1'!Q30</f>
        <v>6.6658269325098773E-2</v>
      </c>
      <c r="R8" s="37">
        <f>'R1'!R30</f>
        <v>2.1010999800957211</v>
      </c>
      <c r="S8" s="37">
        <f>'R1'!S30</f>
        <v>3.0324809458444553</v>
      </c>
      <c r="T8" s="37">
        <f>'R1'!T30</f>
        <v>3.2590217326352362</v>
      </c>
      <c r="U8" s="37">
        <f>'R1'!U30</f>
        <v>1.2988638224899436</v>
      </c>
      <c r="V8" s="37">
        <f>'R1'!V30</f>
        <v>2.0419159179634181</v>
      </c>
    </row>
    <row r="9" spans="1:22" s="1" customFormat="1" x14ac:dyDescent="0.35">
      <c r="A9" s="145"/>
      <c r="B9" s="37">
        <f>'R1'!B31</f>
        <v>0.16054971921210009</v>
      </c>
      <c r="C9" s="37">
        <f>'R1'!C31</f>
        <v>0.54127515494599832</v>
      </c>
      <c r="D9" s="37">
        <f>'R1'!D31</f>
        <v>0.43938330267443865</v>
      </c>
      <c r="E9" s="37">
        <f>'R1'!E31</f>
        <v>1.9265794346239016</v>
      </c>
      <c r="F9" s="37">
        <f>'R1'!F31</f>
        <v>1.7669703323068802</v>
      </c>
      <c r="G9" s="37">
        <f>'R1'!G31</f>
        <v>6.7045796607502668</v>
      </c>
      <c r="H9" s="37">
        <f>'R1'!H31</f>
        <v>4.520638329794556</v>
      </c>
      <c r="I9" s="37">
        <f>'R1'!I31</f>
        <v>2.1575722454391044E-2</v>
      </c>
      <c r="J9" s="37">
        <f>'R1'!J31</f>
        <v>5.5752616037002184E-2</v>
      </c>
      <c r="K9" s="37">
        <f>'R1'!K31</f>
        <v>0.33383043875823093</v>
      </c>
      <c r="L9" s="37">
        <f>'R1'!L31</f>
        <v>8.2101926244114165E-3</v>
      </c>
      <c r="M9" s="37">
        <f>'R1'!M31</f>
        <v>2.9363978757878417</v>
      </c>
      <c r="N9"/>
      <c r="O9" s="37">
        <f>'R1'!O31</f>
        <v>0.4366697862933891</v>
      </c>
      <c r="P9" s="37">
        <f>'R1'!P31</f>
        <v>3.2760087234908752</v>
      </c>
      <c r="Q9" s="37">
        <f>'R1'!Q31</f>
        <v>2.8122209693082899E-2</v>
      </c>
      <c r="R9" s="37">
        <f>'R1'!R31</f>
        <v>0.4348023092402713</v>
      </c>
      <c r="S9" s="37">
        <f>'R1'!S31</f>
        <v>1.6207001061418242</v>
      </c>
      <c r="T9" s="37">
        <f>'R1'!T31</f>
        <v>1.9261263220976617</v>
      </c>
      <c r="U9" s="37">
        <f>'R1'!U31</f>
        <v>0.59454296035523335</v>
      </c>
      <c r="V9" s="37">
        <f>'R1'!V31</f>
        <v>0.52132358725833816</v>
      </c>
    </row>
    <row r="10" spans="1:22" s="1" customFormat="1" x14ac:dyDescent="0.35">
      <c r="A10" s="145"/>
      <c r="B10" s="37">
        <f>'R1'!B32</f>
        <v>0.1902857661191342</v>
      </c>
      <c r="C10" s="37">
        <f>'R1'!C32</f>
        <v>0.50996654103613159</v>
      </c>
      <c r="D10" s="37">
        <f>'R1'!D32</f>
        <v>1.5804754070382045</v>
      </c>
      <c r="E10" s="37">
        <f>'R1'!E32</f>
        <v>2.6413132869014797</v>
      </c>
      <c r="F10" s="37">
        <f>'R1'!F32</f>
        <v>4.4190095751188778</v>
      </c>
      <c r="G10" s="37">
        <f>'R1'!G32</f>
        <v>9.0820696838916781</v>
      </c>
      <c r="H10" s="37">
        <f>'R1'!H32</f>
        <v>5.2016380834629832</v>
      </c>
      <c r="I10" s="37">
        <f>'R1'!I32</f>
        <v>9.4700517984139337E-2</v>
      </c>
      <c r="J10" s="37">
        <f>'R1'!J32</f>
        <v>6.4323923008701572E-2</v>
      </c>
      <c r="K10" s="37">
        <f>'R1'!K32</f>
        <v>1.4052696041026029</v>
      </c>
      <c r="L10" s="37">
        <f>'R1'!L32</f>
        <v>0.71012448557326691</v>
      </c>
      <c r="M10" s="37">
        <f>'R1'!M32</f>
        <v>2.5669787583083168</v>
      </c>
      <c r="N10"/>
      <c r="O10" s="37">
        <f>'R1'!O32</f>
        <v>1.1248419587358074</v>
      </c>
      <c r="P10" s="37">
        <f>'R1'!P32</f>
        <v>4.9542059718855285</v>
      </c>
      <c r="Q10" s="37">
        <f>'R1'!Q32</f>
        <v>9.3117633428527094E-2</v>
      </c>
      <c r="R10" s="37">
        <f>'R1'!R32</f>
        <v>2.7306985456119661</v>
      </c>
      <c r="S10" s="37">
        <f>'R1'!S32</f>
        <v>5.6785936143806053</v>
      </c>
      <c r="T10" s="37">
        <f>'R1'!T32</f>
        <v>5.8722214078042825</v>
      </c>
      <c r="U10" s="37">
        <f>'R1'!U32</f>
        <v>2.6165743747240593</v>
      </c>
      <c r="V10" s="37">
        <f>'R1'!V32</f>
        <v>3.0703214304599094</v>
      </c>
    </row>
    <row r="11" spans="1:22" s="1" customFormat="1" x14ac:dyDescent="0.35">
      <c r="A11" s="145"/>
      <c r="B11" s="37">
        <f>'R1'!B33</f>
        <v>0.24794283044004792</v>
      </c>
      <c r="C11" s="37">
        <f>'R1'!C33</f>
        <v>0.18568155819121263</v>
      </c>
      <c r="D11" s="37">
        <f>'R1'!D33</f>
        <v>0.47727881423805085</v>
      </c>
      <c r="E11" s="37">
        <f>'R1'!E33</f>
        <v>3.1946642775800007</v>
      </c>
      <c r="F11" s="37">
        <f>'R1'!F33</f>
        <v>3.7167771576259825</v>
      </c>
      <c r="G11" s="37">
        <f>'R1'!G33</f>
        <v>5.5381338900226256</v>
      </c>
      <c r="H11" s="37">
        <f>'R1'!H33</f>
        <v>5.0468171854317871</v>
      </c>
      <c r="I11" s="37">
        <f>'R1'!I33</f>
        <v>0.17432881094933092</v>
      </c>
      <c r="J11" s="37">
        <f>'R1'!J33</f>
        <v>1.7465897263827992E-2</v>
      </c>
      <c r="K11" s="37">
        <f>'R1'!K33</f>
        <v>0.18455006656971032</v>
      </c>
      <c r="L11" s="37">
        <f>'R1'!L33</f>
        <v>1.4561480362472825</v>
      </c>
      <c r="M11" s="37">
        <f>'R1'!M33</f>
        <v>1.7862813519261367</v>
      </c>
      <c r="N11"/>
      <c r="O11" s="37">
        <f>'R1'!O33</f>
        <v>0.72486568910720062</v>
      </c>
      <c r="P11" s="37">
        <f>'R1'!P33</f>
        <v>5.9650320940376149</v>
      </c>
      <c r="Q11" s="37">
        <f>'R1'!Q33</f>
        <v>0.1990402096526725</v>
      </c>
      <c r="R11" s="37">
        <f>'R1'!R33</f>
        <v>1.187755816197956</v>
      </c>
      <c r="S11" s="37">
        <f>'R1'!S33</f>
        <v>0.6297068998204316</v>
      </c>
      <c r="T11" s="37">
        <f>'R1'!T33</f>
        <v>2.788753695510962</v>
      </c>
      <c r="U11" s="37">
        <f>'R1'!U33</f>
        <v>2.5386347212304714</v>
      </c>
      <c r="V11" s="37">
        <f>'R1'!V33</f>
        <v>4.1244030328446399</v>
      </c>
    </row>
    <row r="12" spans="1:22" s="1" customFormat="1" x14ac:dyDescent="0.35">
      <c r="A12" s="145"/>
      <c r="B12" s="37">
        <f>'R1'!B34</f>
        <v>4.0947787594260515E-2</v>
      </c>
      <c r="C12" s="37">
        <f>'R1'!C34</f>
        <v>0.43308615629458846</v>
      </c>
      <c r="D12" s="37">
        <f>'R1'!D34</f>
        <v>1.3416292189655536</v>
      </c>
      <c r="E12" s="37">
        <f>'R1'!E34</f>
        <v>1.7289630472548216</v>
      </c>
      <c r="F12" s="37">
        <f>'R1'!F34</f>
        <v>6.9640214037632413</v>
      </c>
      <c r="G12" s="37">
        <f>'R1'!G34</f>
        <v>3.2134723165012491</v>
      </c>
      <c r="H12" s="37">
        <f>'R1'!H34</f>
        <v>5.4383201648401016</v>
      </c>
      <c r="I12" s="37">
        <f>'R1'!I34</f>
        <v>0.11953572732083677</v>
      </c>
      <c r="J12" s="37">
        <f>'R1'!J34</f>
        <v>0.13340595744095457</v>
      </c>
      <c r="K12" s="37">
        <f>'R1'!K34</f>
        <v>0.13736961730047251</v>
      </c>
      <c r="L12" s="37">
        <f>'R1'!L34</f>
        <v>3.2021952313130848</v>
      </c>
      <c r="M12" s="37">
        <f>'R1'!M34</f>
        <v>3.1667544375149657</v>
      </c>
      <c r="N12"/>
      <c r="O12" s="37">
        <f>'R1'!O34</f>
        <v>5.3723497323669801E-2</v>
      </c>
      <c r="P12" s="37">
        <f>'R1'!P34</f>
        <v>3.6646141901602358</v>
      </c>
      <c r="Q12" s="37">
        <f>'R1'!Q34</f>
        <v>5.0069364047541566E-2</v>
      </c>
      <c r="R12" s="37">
        <f>'R1'!R34</f>
        <v>0.6793627019607219</v>
      </c>
      <c r="S12" s="37">
        <f>'R1'!S34</f>
        <v>4.0524484197593171</v>
      </c>
      <c r="T12" s="37">
        <f>'R1'!T34</f>
        <v>3.2532507814471487</v>
      </c>
      <c r="U12" s="37">
        <f>'R1'!U34</f>
        <v>1.9586051184519544</v>
      </c>
      <c r="V12" s="37">
        <f>'R1'!V34</f>
        <v>1.4741220729855085</v>
      </c>
    </row>
    <row r="13" spans="1:22" s="1" customFormat="1" x14ac:dyDescent="0.35">
      <c r="A13" s="145"/>
      <c r="B13" s="37" t="str">
        <f>'R1'!B35</f>
        <v/>
      </c>
      <c r="C13" s="37" t="str">
        <f>'R1'!C35</f>
        <v/>
      </c>
      <c r="D13" s="37" t="str">
        <f>'R1'!D35</f>
        <v/>
      </c>
      <c r="E13" s="37" t="str">
        <f>'R1'!E35</f>
        <v/>
      </c>
      <c r="F13" s="37" t="str">
        <f>'R1'!F35</f>
        <v/>
      </c>
      <c r="G13" s="37" t="str">
        <f>'R1'!G35</f>
        <v/>
      </c>
      <c r="H13" s="37" t="str">
        <f>'R1'!H35</f>
        <v/>
      </c>
      <c r="I13" s="37" t="str">
        <f>'R1'!I35</f>
        <v/>
      </c>
      <c r="J13" s="37" t="str">
        <f>'R1'!J35</f>
        <v/>
      </c>
      <c r="K13" s="37" t="str">
        <f>'R1'!K35</f>
        <v/>
      </c>
      <c r="L13" s="37" t="str">
        <f>'R1'!L35</f>
        <v/>
      </c>
      <c r="M13" s="37" t="str">
        <f>'R1'!M35</f>
        <v/>
      </c>
      <c r="N13"/>
      <c r="O13" s="37">
        <f>'R1'!O35</f>
        <v>0.33013331567885412</v>
      </c>
      <c r="P13" s="37" t="str">
        <f>'R1'!P35</f>
        <v/>
      </c>
      <c r="Q13" s="37" t="str">
        <f>'R1'!Q35</f>
        <v/>
      </c>
      <c r="R13" s="37">
        <f>'R1'!R35</f>
        <v>1.1986984407168464</v>
      </c>
      <c r="S13" s="37" t="str">
        <f>'R1'!S35</f>
        <v/>
      </c>
      <c r="T13" s="37">
        <f>'R1'!T35</f>
        <v>3.7137489558851535</v>
      </c>
      <c r="U13" s="37">
        <f>'R1'!U35</f>
        <v>3.1049471375884354</v>
      </c>
      <c r="V13" s="37">
        <f>'R1'!V35</f>
        <v>1.7761348985634098</v>
      </c>
    </row>
    <row r="14" spans="1:22" s="1" customFormat="1" x14ac:dyDescent="0.35">
      <c r="A14" s="145"/>
      <c r="B14" s="37" t="str">
        <f>'R1'!B36</f>
        <v/>
      </c>
      <c r="C14" s="37" t="str">
        <f>'R1'!C36</f>
        <v/>
      </c>
      <c r="D14" s="37" t="str">
        <f>'R1'!D36</f>
        <v/>
      </c>
      <c r="E14" s="37" t="str">
        <f>'R1'!E36</f>
        <v/>
      </c>
      <c r="F14" s="37" t="str">
        <f>'R1'!F36</f>
        <v/>
      </c>
      <c r="G14" s="37" t="str">
        <f>'R1'!G36</f>
        <v/>
      </c>
      <c r="H14" s="37" t="str">
        <f>'R1'!H36</f>
        <v/>
      </c>
      <c r="I14" s="37" t="str">
        <f>'R1'!I36</f>
        <v/>
      </c>
      <c r="J14" s="37" t="str">
        <f>'R1'!J36</f>
        <v/>
      </c>
      <c r="K14" s="37" t="str">
        <f>'R1'!K36</f>
        <v/>
      </c>
      <c r="L14" s="37" t="str">
        <f>'R1'!L36</f>
        <v/>
      </c>
      <c r="M14" s="37" t="str">
        <f>'R1'!M36</f>
        <v/>
      </c>
      <c r="N14"/>
      <c r="O14" s="37">
        <f>'R1'!O36</f>
        <v>1.8542869216850455</v>
      </c>
      <c r="P14" s="37" t="str">
        <f>'R1'!P36</f>
        <v/>
      </c>
      <c r="Q14" s="37" t="str">
        <f>'R1'!Q36</f>
        <v/>
      </c>
      <c r="R14" s="37" t="str">
        <f>'R1'!R36</f>
        <v/>
      </c>
      <c r="S14" s="37" t="str">
        <f>'R1'!S36</f>
        <v/>
      </c>
      <c r="T14" s="37" t="str">
        <f>'R1'!T36</f>
        <v/>
      </c>
      <c r="U14" s="37" t="str">
        <f>'R1'!U36</f>
        <v/>
      </c>
      <c r="V14" s="37" t="str">
        <f>'R1'!V36</f>
        <v/>
      </c>
    </row>
    <row r="15" spans="1:22" s="1" customFormat="1" x14ac:dyDescent="0.35">
      <c r="A15" s="145"/>
      <c r="B15" s="37" t="str">
        <f>'R1'!B37</f>
        <v/>
      </c>
      <c r="C15" s="37" t="str">
        <f>'R1'!C37</f>
        <v/>
      </c>
      <c r="D15" s="37" t="str">
        <f>'R1'!D37</f>
        <v/>
      </c>
      <c r="E15" s="37" t="str">
        <f>'R1'!E37</f>
        <v/>
      </c>
      <c r="F15" s="37" t="str">
        <f>'R1'!F37</f>
        <v/>
      </c>
      <c r="G15" s="37" t="str">
        <f>'R1'!G37</f>
        <v/>
      </c>
      <c r="H15" s="37" t="str">
        <f>'R1'!H37</f>
        <v/>
      </c>
      <c r="I15" s="37" t="str">
        <f>'R1'!I37</f>
        <v/>
      </c>
      <c r="J15" s="37" t="str">
        <f>'R1'!J37</f>
        <v/>
      </c>
      <c r="K15" s="37" t="str">
        <f>'R1'!K37</f>
        <v/>
      </c>
      <c r="L15" s="37" t="str">
        <f>'R1'!L37</f>
        <v/>
      </c>
      <c r="M15" s="37" t="str">
        <f>'R1'!M37</f>
        <v/>
      </c>
      <c r="N15"/>
      <c r="O15" s="37">
        <f>'R1'!O37</f>
        <v>7.0455988544077225E-2</v>
      </c>
      <c r="P15" s="37" t="str">
        <f>'R1'!P37</f>
        <v/>
      </c>
      <c r="Q15" s="37" t="str">
        <f>'R1'!Q37</f>
        <v/>
      </c>
      <c r="R15" s="37" t="str">
        <f>'R1'!R37</f>
        <v/>
      </c>
      <c r="S15" s="37" t="str">
        <f>'R1'!S37</f>
        <v/>
      </c>
      <c r="T15" s="37" t="str">
        <f>'R1'!T37</f>
        <v/>
      </c>
      <c r="U15" s="37" t="str">
        <f>'R1'!U37</f>
        <v/>
      </c>
      <c r="V15" s="37" t="str">
        <f>'R1'!V37</f>
        <v/>
      </c>
    </row>
    <row r="16" spans="1:22" s="1" customFormat="1" x14ac:dyDescent="0.35">
      <c r="A16" s="145"/>
      <c r="B16" s="37" t="str">
        <f>'R1'!B38</f>
        <v/>
      </c>
      <c r="C16" s="37" t="str">
        <f>'R1'!C38</f>
        <v/>
      </c>
      <c r="D16" s="37" t="str">
        <f>'R1'!D38</f>
        <v/>
      </c>
      <c r="E16" s="37" t="str">
        <f>'R1'!E38</f>
        <v/>
      </c>
      <c r="F16" s="37" t="str">
        <f>'R1'!F38</f>
        <v/>
      </c>
      <c r="G16" s="37" t="str">
        <f>'R1'!G38</f>
        <v/>
      </c>
      <c r="H16" s="37" t="str">
        <f>'R1'!H38</f>
        <v/>
      </c>
      <c r="I16" s="37" t="str">
        <f>'R1'!I38</f>
        <v/>
      </c>
      <c r="J16" s="37" t="str">
        <f>'R1'!J38</f>
        <v/>
      </c>
      <c r="K16" s="37" t="str">
        <f>'R1'!K38</f>
        <v/>
      </c>
      <c r="L16" s="37" t="str">
        <f>'R1'!L38</f>
        <v/>
      </c>
      <c r="M16" s="37" t="str">
        <f>'R1'!M38</f>
        <v/>
      </c>
      <c r="N16"/>
      <c r="O16" s="37">
        <f>'R1'!O38</f>
        <v>1.1856811282931801</v>
      </c>
      <c r="P16" s="37" t="str">
        <f>'R1'!P38</f>
        <v/>
      </c>
      <c r="Q16" s="37" t="str">
        <f>'R1'!Q38</f>
        <v/>
      </c>
      <c r="R16" s="37" t="str">
        <f>'R1'!R38</f>
        <v/>
      </c>
      <c r="S16" s="37" t="str">
        <f>'R1'!S38</f>
        <v/>
      </c>
      <c r="T16" s="37" t="str">
        <f>'R1'!T38</f>
        <v/>
      </c>
      <c r="U16" s="37" t="str">
        <f>'R1'!U38</f>
        <v/>
      </c>
      <c r="V16" s="37" t="str">
        <f>'R1'!V38</f>
        <v/>
      </c>
    </row>
    <row r="17" spans="1:22" s="1" customFormat="1" x14ac:dyDescent="0.35">
      <c r="A17" s="145"/>
      <c r="B17" s="37" t="str">
        <f>'R1'!B39</f>
        <v/>
      </c>
      <c r="C17" s="37" t="str">
        <f>'R1'!C39</f>
        <v/>
      </c>
      <c r="D17" s="37" t="str">
        <f>'R1'!D39</f>
        <v/>
      </c>
      <c r="E17" s="37" t="str">
        <f>'R1'!E39</f>
        <v/>
      </c>
      <c r="F17" s="37" t="str">
        <f>'R1'!F39</f>
        <v/>
      </c>
      <c r="G17" s="37" t="str">
        <f>'R1'!G39</f>
        <v/>
      </c>
      <c r="H17" s="37" t="str">
        <f>'R1'!H39</f>
        <v/>
      </c>
      <c r="I17" s="37" t="str">
        <f>'R1'!I39</f>
        <v/>
      </c>
      <c r="J17" s="37" t="str">
        <f>'R1'!J39</f>
        <v/>
      </c>
      <c r="K17" s="37" t="str">
        <f>'R1'!K39</f>
        <v/>
      </c>
      <c r="L17" s="37" t="str">
        <f>'R1'!L39</f>
        <v/>
      </c>
      <c r="M17" s="37" t="str">
        <f>'R1'!M39</f>
        <v/>
      </c>
      <c r="N17"/>
      <c r="O17" s="37">
        <f>'R1'!O39</f>
        <v>1.9338696454587936</v>
      </c>
      <c r="P17" s="37" t="str">
        <f>'R1'!P39</f>
        <v/>
      </c>
      <c r="Q17" s="37" t="str">
        <f>'R1'!Q39</f>
        <v/>
      </c>
      <c r="R17" s="37" t="str">
        <f>'R1'!R39</f>
        <v/>
      </c>
      <c r="S17" s="37" t="str">
        <f>'R1'!S39</f>
        <v/>
      </c>
      <c r="T17" s="37" t="str">
        <f>'R1'!T39</f>
        <v/>
      </c>
      <c r="U17" s="37" t="str">
        <f>'R1'!U39</f>
        <v/>
      </c>
      <c r="V17" s="37" t="str">
        <f>'R1'!V39</f>
        <v/>
      </c>
    </row>
    <row r="18" spans="1:22" s="1" customFormat="1" x14ac:dyDescent="0.35">
      <c r="A18" s="145"/>
      <c r="B18" s="37" t="str">
        <f>'R1'!B40</f>
        <v/>
      </c>
      <c r="C18" s="37" t="str">
        <f>'R1'!C40</f>
        <v/>
      </c>
      <c r="D18" s="37" t="str">
        <f>'R1'!D40</f>
        <v/>
      </c>
      <c r="E18" s="37" t="str">
        <f>'R1'!E40</f>
        <v/>
      </c>
      <c r="F18" s="37" t="str">
        <f>'R1'!F40</f>
        <v/>
      </c>
      <c r="G18" s="37" t="str">
        <f>'R1'!G40</f>
        <v/>
      </c>
      <c r="H18" s="37" t="str">
        <f>'R1'!H40</f>
        <v/>
      </c>
      <c r="I18" s="37" t="str">
        <f>'R1'!I40</f>
        <v/>
      </c>
      <c r="J18" s="37" t="str">
        <f>'R1'!J40</f>
        <v/>
      </c>
      <c r="K18" s="37" t="str">
        <f>'R1'!K40</f>
        <v/>
      </c>
      <c r="L18" s="37" t="str">
        <f>'R1'!L40</f>
        <v/>
      </c>
      <c r="M18" s="37" t="str">
        <f>'R1'!M40</f>
        <v/>
      </c>
      <c r="N18"/>
      <c r="O18" s="37">
        <f>'R1'!O40</f>
        <v>1.0033527747553557</v>
      </c>
      <c r="P18" s="37" t="str">
        <f>'R1'!P40</f>
        <v/>
      </c>
      <c r="Q18" s="37" t="str">
        <f>'R1'!Q40</f>
        <v/>
      </c>
      <c r="R18" s="37" t="str">
        <f>'R1'!R40</f>
        <v/>
      </c>
      <c r="S18" s="37" t="str">
        <f>'R1'!S40</f>
        <v/>
      </c>
      <c r="T18" s="37" t="str">
        <f>'R1'!T40</f>
        <v/>
      </c>
      <c r="U18" s="37" t="str">
        <f>'R1'!U40</f>
        <v/>
      </c>
      <c r="V18" s="37" t="str">
        <f>'R1'!V40</f>
        <v/>
      </c>
    </row>
    <row r="19" spans="1:22" s="1" customFormat="1" x14ac:dyDescent="0.35">
      <c r="A19" s="145"/>
      <c r="B19" s="37" t="str">
        <f>'R1'!B41</f>
        <v/>
      </c>
      <c r="C19" s="37" t="str">
        <f>'R1'!C41</f>
        <v/>
      </c>
      <c r="D19" s="37" t="str">
        <f>'R1'!D41</f>
        <v/>
      </c>
      <c r="E19" s="37" t="str">
        <f>'R1'!E41</f>
        <v/>
      </c>
      <c r="F19" s="37" t="str">
        <f>'R1'!F41</f>
        <v/>
      </c>
      <c r="G19" s="37" t="str">
        <f>'R1'!G41</f>
        <v/>
      </c>
      <c r="H19" s="37" t="str">
        <f>'R1'!H41</f>
        <v/>
      </c>
      <c r="I19" s="37" t="str">
        <f>'R1'!I41</f>
        <v/>
      </c>
      <c r="J19" s="37" t="str">
        <f>'R1'!J41</f>
        <v/>
      </c>
      <c r="K19" s="37" t="str">
        <f>'R1'!K41</f>
        <v/>
      </c>
      <c r="L19" s="37" t="str">
        <f>'R1'!L41</f>
        <v/>
      </c>
      <c r="M19" s="37" t="str">
        <f>'R1'!M41</f>
        <v/>
      </c>
      <c r="N19"/>
      <c r="O19" s="37">
        <f>'R1'!O41</f>
        <v>2.0616086870355219</v>
      </c>
      <c r="P19" s="37" t="str">
        <f>'R1'!P41</f>
        <v/>
      </c>
      <c r="Q19" s="37" t="str">
        <f>'R1'!Q41</f>
        <v/>
      </c>
      <c r="R19" s="37" t="str">
        <f>'R1'!R41</f>
        <v/>
      </c>
      <c r="S19" s="37" t="str">
        <f>'R1'!S41</f>
        <v/>
      </c>
      <c r="T19" s="37" t="str">
        <f>'R1'!T41</f>
        <v/>
      </c>
      <c r="U19" s="37" t="str">
        <f>'R1'!U41</f>
        <v/>
      </c>
      <c r="V19" s="37" t="str">
        <f>'R1'!V41</f>
        <v/>
      </c>
    </row>
    <row r="20" spans="1:22" s="1" customFormat="1" x14ac:dyDescent="0.35">
      <c r="A20" s="145"/>
      <c r="B20" s="37" t="str">
        <f>'R1'!B42</f>
        <v/>
      </c>
      <c r="C20" s="37" t="str">
        <f>'R1'!C42</f>
        <v/>
      </c>
      <c r="D20" s="37" t="str">
        <f>'R1'!D42</f>
        <v/>
      </c>
      <c r="E20" s="37" t="str">
        <f>'R1'!E42</f>
        <v/>
      </c>
      <c r="F20" s="37" t="str">
        <f>'R1'!F42</f>
        <v/>
      </c>
      <c r="G20" s="37" t="str">
        <f>'R1'!G42</f>
        <v/>
      </c>
      <c r="H20" s="37" t="str">
        <f>'R1'!H42</f>
        <v/>
      </c>
      <c r="I20" s="37" t="str">
        <f>'R1'!I42</f>
        <v/>
      </c>
      <c r="J20" s="37" t="str">
        <f>'R1'!J42</f>
        <v/>
      </c>
      <c r="K20" s="37" t="str">
        <f>'R1'!K42</f>
        <v/>
      </c>
      <c r="L20" s="37" t="str">
        <f>'R1'!L42</f>
        <v/>
      </c>
      <c r="M20" s="37" t="str">
        <f>'R1'!M42</f>
        <v/>
      </c>
      <c r="N20"/>
      <c r="O20" s="37" t="str">
        <f>'R1'!O42</f>
        <v/>
      </c>
      <c r="P20" s="37" t="str">
        <f>'R1'!P42</f>
        <v/>
      </c>
      <c r="Q20" s="37" t="str">
        <f>'R1'!Q42</f>
        <v/>
      </c>
      <c r="R20" s="37" t="str">
        <f>'R1'!R42</f>
        <v/>
      </c>
      <c r="S20" s="37" t="str">
        <f>'R1'!S42</f>
        <v/>
      </c>
      <c r="T20" s="37" t="str">
        <f>'R1'!T42</f>
        <v/>
      </c>
      <c r="U20" s="37" t="str">
        <f>'R1'!U42</f>
        <v/>
      </c>
      <c r="V20" s="37" t="str">
        <f>'R1'!V42</f>
        <v/>
      </c>
    </row>
    <row r="21" spans="1:22" s="1" customFormat="1" x14ac:dyDescent="0.35">
      <c r="A21" s="146"/>
      <c r="B21" s="37" t="str">
        <f>'R1'!B43</f>
        <v/>
      </c>
      <c r="C21" s="37" t="str">
        <f>'R1'!C43</f>
        <v/>
      </c>
      <c r="D21" s="37" t="str">
        <f>'R1'!D43</f>
        <v/>
      </c>
      <c r="E21" s="37" t="str">
        <f>'R1'!E43</f>
        <v/>
      </c>
      <c r="F21" s="37" t="str">
        <f>'R1'!F43</f>
        <v/>
      </c>
      <c r="G21" s="37" t="str">
        <f>'R1'!G43</f>
        <v/>
      </c>
      <c r="H21" s="37" t="str">
        <f>'R1'!H43</f>
        <v/>
      </c>
      <c r="I21" s="37" t="str">
        <f>'R1'!I43</f>
        <v/>
      </c>
      <c r="J21" s="37" t="str">
        <f>'R1'!J43</f>
        <v/>
      </c>
      <c r="K21" s="37" t="str">
        <f>'R1'!K43</f>
        <v/>
      </c>
      <c r="L21" s="37" t="str">
        <f>'R1'!L43</f>
        <v/>
      </c>
      <c r="M21" s="37" t="str">
        <f>'R1'!M43</f>
        <v/>
      </c>
      <c r="N21"/>
      <c r="O21" s="37" t="str">
        <f>'R1'!O43</f>
        <v/>
      </c>
      <c r="P21" s="37" t="str">
        <f>'R1'!P43</f>
        <v/>
      </c>
      <c r="Q21" s="37" t="str">
        <f>'R1'!Q43</f>
        <v/>
      </c>
      <c r="R21" s="37" t="str">
        <f>'R1'!R43</f>
        <v/>
      </c>
      <c r="S21" s="37" t="str">
        <f>'R1'!S43</f>
        <v/>
      </c>
      <c r="T21" s="37" t="str">
        <f>'R1'!T43</f>
        <v/>
      </c>
      <c r="U21" s="37" t="str">
        <f>'R1'!U43</f>
        <v/>
      </c>
      <c r="V21" s="37" t="str">
        <f>'R1'!V43</f>
        <v/>
      </c>
    </row>
    <row r="22" spans="1:22" x14ac:dyDescent="0.35">
      <c r="A22" s="24" t="s">
        <v>4</v>
      </c>
      <c r="B22" s="38">
        <f>'R2'!B28</f>
        <v>1.3150595870411973E-2</v>
      </c>
      <c r="C22" s="38">
        <f>'R2'!C28</f>
        <v>0.92970691186458387</v>
      </c>
      <c r="D22" s="38">
        <f>'R2'!D28</f>
        <v>0.56153295137256265</v>
      </c>
      <c r="E22" s="38">
        <f>'R2'!E28</f>
        <v>0.56180044000952001</v>
      </c>
      <c r="F22" s="38">
        <f>'R2'!F28</f>
        <v>4.5338831710870791</v>
      </c>
      <c r="G22" s="38">
        <f>'R2'!G28</f>
        <v>6.1451594889388108</v>
      </c>
      <c r="H22" s="38">
        <f>'R2'!H28</f>
        <v>5.9189885585915052</v>
      </c>
      <c r="I22" s="38">
        <f>'R2'!I28</f>
        <v>2.0669998664878765E-2</v>
      </c>
      <c r="J22" s="38">
        <f>'R2'!J28</f>
        <v>0.30708624302689397</v>
      </c>
      <c r="K22" s="38">
        <f>'R2'!K28</f>
        <v>0.10474223452855708</v>
      </c>
      <c r="L22" s="38">
        <f>'R2'!L28</f>
        <v>0.11882532550836192</v>
      </c>
      <c r="M22" s="38">
        <f>'R2'!M28</f>
        <v>3.2579763045005197</v>
      </c>
      <c r="O22" s="38">
        <f>'R2'!O28</f>
        <v>1.0427960921581945</v>
      </c>
      <c r="P22" s="38">
        <f>'R2'!P28</f>
        <v>8.2648137505877433</v>
      </c>
      <c r="Q22" s="38">
        <f>'R2'!Q28</f>
        <v>7.0343938839837694E-2</v>
      </c>
      <c r="R22" s="38">
        <f>'R2'!R28</f>
        <v>2.3681604931821743</v>
      </c>
      <c r="S22" s="38">
        <f>'R2'!S28</f>
        <v>2.5377566480330183</v>
      </c>
      <c r="T22" s="38">
        <f>'R2'!T28</f>
        <v>6.7418319024316622</v>
      </c>
      <c r="U22" s="38">
        <f>'R2'!U28</f>
        <v>4.5640378710040697</v>
      </c>
      <c r="V22" s="38">
        <f>'R2'!V28</f>
        <v>7.2814168538738837</v>
      </c>
    </row>
    <row r="23" spans="1:22" x14ac:dyDescent="0.35">
      <c r="A23" s="144"/>
      <c r="B23" s="38">
        <f>'R2'!B29</f>
        <v>2.6357847320179487E-2</v>
      </c>
      <c r="C23" s="38">
        <f>'R2'!C29</f>
        <v>6.7529735471849262E-2</v>
      </c>
      <c r="D23" s="38">
        <f>'R2'!D29</f>
        <v>1.5109560048528754</v>
      </c>
      <c r="E23" s="38">
        <f>'R2'!E29</f>
        <v>1.0377704636353611</v>
      </c>
      <c r="F23" s="38">
        <f>'R2'!F29</f>
        <v>1.6079354962297336</v>
      </c>
      <c r="G23" s="38">
        <f>'R2'!G29</f>
        <v>5.152702343428011</v>
      </c>
      <c r="H23" s="38">
        <f>'R2'!H29</f>
        <v>8.3432399328956457</v>
      </c>
      <c r="I23" s="38">
        <f>'R2'!I29</f>
        <v>5.0977947280125849E-2</v>
      </c>
      <c r="J23" s="38">
        <f>'R2'!J29</f>
        <v>0.18648973407867928</v>
      </c>
      <c r="K23" s="38">
        <f>'R2'!K29</f>
        <v>6.0575959690948457E-2</v>
      </c>
      <c r="L23" s="38">
        <f>'R2'!L29</f>
        <v>0.12401534808932542</v>
      </c>
      <c r="M23" s="38">
        <f>'R2'!M29</f>
        <v>1.5136754726619415</v>
      </c>
      <c r="O23" s="38">
        <f>'R2'!O29</f>
        <v>1.0581348936837156</v>
      </c>
      <c r="P23" s="38">
        <f>'R2'!P29</f>
        <v>3.5037862877244308</v>
      </c>
      <c r="Q23" s="38">
        <f>'R2'!Q29</f>
        <v>7.889800254253522E-2</v>
      </c>
      <c r="R23" s="38">
        <f>'R2'!R29</f>
        <v>1.0750442621713716</v>
      </c>
      <c r="S23" s="38">
        <f>'R2'!S29</f>
        <v>2.3378070343474451</v>
      </c>
      <c r="T23" s="38">
        <f>'R2'!T29</f>
        <v>3.1895577265787809</v>
      </c>
      <c r="U23" s="38">
        <f>'R2'!U29</f>
        <v>4.680802233715875</v>
      </c>
      <c r="V23" s="38">
        <f>'R2'!V29</f>
        <v>7.8122703446354249</v>
      </c>
    </row>
    <row r="24" spans="1:22" x14ac:dyDescent="0.35">
      <c r="A24" s="145"/>
      <c r="B24" s="38">
        <f>'R2'!B30</f>
        <v>0.11285884285623066</v>
      </c>
      <c r="C24" s="38">
        <f>'R2'!C30</f>
        <v>8.6587372075068642E-2</v>
      </c>
      <c r="D24" s="38">
        <f>'R2'!D30</f>
        <v>0.17861739488822714</v>
      </c>
      <c r="E24" s="38">
        <f>'R2'!E30</f>
        <v>1.8435558341895524</v>
      </c>
      <c r="F24" s="38">
        <f>'R2'!F30</f>
        <v>4.2662905107709452</v>
      </c>
      <c r="G24" s="38">
        <f>'R2'!G30</f>
        <v>4.1558873622067809</v>
      </c>
      <c r="H24" s="38">
        <f>'R2'!H30</f>
        <v>6.7023151002211661</v>
      </c>
      <c r="I24" s="38">
        <f>'R2'!I30</f>
        <v>0.20464273897218885</v>
      </c>
      <c r="J24" s="38">
        <f>'R2'!J30</f>
        <v>6.7909606487528223E-2</v>
      </c>
      <c r="K24" s="38">
        <f>'R2'!K30</f>
        <v>0.19231039827246921</v>
      </c>
      <c r="L24" s="38">
        <f>'R2'!L30</f>
        <v>0.85626177664002234</v>
      </c>
      <c r="M24" s="38">
        <f>'R2'!M30</f>
        <v>0.46624291079648689</v>
      </c>
      <c r="O24" s="38">
        <f>'R2'!O30</f>
        <v>1.8375717047176219</v>
      </c>
      <c r="P24" s="38">
        <f>'R2'!P30</f>
        <v>2.8144559961455631</v>
      </c>
      <c r="Q24" s="38">
        <f>'R2'!Q30</f>
        <v>7.3799000400536371E-2</v>
      </c>
      <c r="R24" s="38">
        <f>'R2'!R30</f>
        <v>1.4559555114385061E-2</v>
      </c>
      <c r="S24" s="38">
        <f>'R2'!S30</f>
        <v>1.1044512941968665</v>
      </c>
      <c r="T24" s="38">
        <f>'R2'!T30</f>
        <v>4.7670459571948518</v>
      </c>
      <c r="U24" s="38">
        <f>'R2'!U30</f>
        <v>3.5635876449041906</v>
      </c>
      <c r="V24" s="38">
        <f>'R2'!V30</f>
        <v>8.0094234017728088</v>
      </c>
    </row>
    <row r="25" spans="1:22" x14ac:dyDescent="0.35">
      <c r="A25" s="145"/>
      <c r="B25" s="38">
        <f>'R2'!B31</f>
        <v>8.0315320806413223E-2</v>
      </c>
      <c r="C25" s="38">
        <f>'R2'!C31</f>
        <v>0.10610475477305842</v>
      </c>
      <c r="D25" s="38">
        <f>'R2'!D31</f>
        <v>0.89111981842351207</v>
      </c>
      <c r="E25" s="38">
        <f>'R2'!E31</f>
        <v>2.0062808746785552</v>
      </c>
      <c r="F25" s="38">
        <f>'R2'!F31</f>
        <v>7.1121457720193417</v>
      </c>
      <c r="G25" s="38">
        <f>'R2'!G31</f>
        <v>4.4996808479761308</v>
      </c>
      <c r="H25" s="38">
        <f>'R2'!H31</f>
        <v>5.438759149934115</v>
      </c>
      <c r="I25" s="38">
        <f>'R2'!I31</f>
        <v>0.14106403357539662</v>
      </c>
      <c r="J25" s="38">
        <f>'R2'!J31</f>
        <v>6.1563252819718001E-2</v>
      </c>
      <c r="K25" s="38">
        <f>'R2'!K31</f>
        <v>6.7486082812345805E-2</v>
      </c>
      <c r="L25" s="38">
        <f>'R2'!L31</f>
        <v>0.36990613517231768</v>
      </c>
      <c r="M25" s="38">
        <f>'R2'!M31</f>
        <v>0.27853554615165815</v>
      </c>
      <c r="O25" s="38">
        <f>'R2'!O31</f>
        <v>0.36641949509197824</v>
      </c>
      <c r="P25" s="38">
        <f>'R2'!P31</f>
        <v>5.8157500188658435</v>
      </c>
      <c r="Q25" s="38">
        <f>'R2'!Q31</f>
        <v>0.20714858738368483</v>
      </c>
      <c r="R25" s="38">
        <f>'R2'!R31</f>
        <v>2.5370934991205614</v>
      </c>
      <c r="S25" s="38">
        <f>'R2'!S31</f>
        <v>0.27690553727019951</v>
      </c>
      <c r="T25" s="38">
        <f>'R2'!T31</f>
        <v>4.3295580748712768</v>
      </c>
      <c r="U25" s="38">
        <f>'R2'!U31</f>
        <v>4.3899343468644965</v>
      </c>
      <c r="V25" s="38">
        <f>'R2'!V31</f>
        <v>4.7499443312493836</v>
      </c>
    </row>
    <row r="26" spans="1:22" x14ac:dyDescent="0.35">
      <c r="A26" s="145"/>
      <c r="B26" s="38">
        <f>'R2'!B32</f>
        <v>0.16167551910094097</v>
      </c>
      <c r="C26" s="38">
        <f>'R2'!C32</f>
        <v>0.20183782340409476</v>
      </c>
      <c r="D26" s="38">
        <f>'R2'!D32</f>
        <v>0.7776702714940007</v>
      </c>
      <c r="E26" s="38">
        <f>'R2'!E32</f>
        <v>4.4148980954205346</v>
      </c>
      <c r="F26" s="38">
        <f>'R2'!F32</f>
        <v>1.5278300797009328</v>
      </c>
      <c r="G26" s="38">
        <f>'R2'!G32</f>
        <v>2.545861182220829</v>
      </c>
      <c r="H26" s="38">
        <f>'R2'!H32</f>
        <v>4.7792584852759346</v>
      </c>
      <c r="I26" s="38">
        <f>'R2'!I32</f>
        <v>0.13266693369091362</v>
      </c>
      <c r="J26" s="38">
        <f>'R2'!J32</f>
        <v>0.56141406753391498</v>
      </c>
      <c r="K26" s="38">
        <f>'R2'!K32</f>
        <v>0.12191630531320202</v>
      </c>
      <c r="L26" s="38">
        <f>'R2'!L32</f>
        <v>5.0633369904045419E-2</v>
      </c>
      <c r="M26" s="38">
        <f>'R2'!M32</f>
        <v>1.2988737381653113</v>
      </c>
      <c r="O26" s="38">
        <f>'R2'!O32</f>
        <v>3.5073360848440522</v>
      </c>
      <c r="P26" s="38">
        <f>'R2'!P32</f>
        <v>3.3273023004719362</v>
      </c>
      <c r="Q26" s="38">
        <f>'R2'!Q32</f>
        <v>1.7788923137651E-2</v>
      </c>
      <c r="R26" s="38">
        <f>'R2'!R32</f>
        <v>0.4253645171214786</v>
      </c>
      <c r="S26" s="38">
        <f>'R2'!S32</f>
        <v>2.3028737613848111</v>
      </c>
      <c r="T26" s="38">
        <f>'R2'!T32</f>
        <v>4.0888155152697232</v>
      </c>
      <c r="U26" s="38">
        <f>'R2'!U32</f>
        <v>4.3823852231103677</v>
      </c>
      <c r="V26" s="38">
        <f>'R2'!V32</f>
        <v>4.5023928855452811</v>
      </c>
    </row>
    <row r="27" spans="1:22" x14ac:dyDescent="0.35">
      <c r="A27" s="145"/>
      <c r="B27" s="38">
        <f>'R2'!B33</f>
        <v>5.7132972270112443E-2</v>
      </c>
      <c r="C27" s="38">
        <f>'R2'!C33</f>
        <v>6.1083073565180036E-2</v>
      </c>
      <c r="D27" s="38">
        <f>'R2'!D33</f>
        <v>1.6608267302880959</v>
      </c>
      <c r="E27" s="38">
        <f>'R2'!E33</f>
        <v>2.9178106333699039</v>
      </c>
      <c r="F27" s="38">
        <f>'R2'!F33</f>
        <v>2.4843824483801495</v>
      </c>
      <c r="G27" s="38">
        <f>'R2'!G33</f>
        <v>2.8591832540967905</v>
      </c>
      <c r="H27" s="38">
        <f>'R2'!H33</f>
        <v>6.6920344345181082</v>
      </c>
      <c r="I27" s="38">
        <f>'R2'!I33</f>
        <v>0.29250068207280472</v>
      </c>
      <c r="J27" s="38">
        <f>'R2'!J33</f>
        <v>3.7186493217003638E-2</v>
      </c>
      <c r="K27" s="38">
        <f>'R2'!K33</f>
        <v>0.94230581242127143</v>
      </c>
      <c r="L27" s="38">
        <f>'R2'!L33</f>
        <v>8.9784232798704358E-2</v>
      </c>
      <c r="M27" s="38">
        <f>'R2'!M33</f>
        <v>0.96337240014163894</v>
      </c>
      <c r="O27" s="38">
        <f>'R2'!O33</f>
        <v>1.0948960056655579</v>
      </c>
      <c r="P27" s="38">
        <f>'R2'!P33</f>
        <v>2.8138931554719653</v>
      </c>
      <c r="Q27" s="38">
        <f>'R2'!Q33</f>
        <v>0.2296324933679304</v>
      </c>
      <c r="R27" s="38">
        <f>'R2'!R33</f>
        <v>1.3359645670434031</v>
      </c>
      <c r="S27" s="38">
        <f>'R2'!S33</f>
        <v>2.1536633985220788</v>
      </c>
      <c r="T27" s="38">
        <f>'R2'!T33</f>
        <v>6.990177455026731</v>
      </c>
      <c r="U27" s="38">
        <f>'R2'!U33</f>
        <v>3.4903282656775159</v>
      </c>
      <c r="V27" s="38">
        <f>'R2'!V33</f>
        <v>8.0863328863579635</v>
      </c>
    </row>
    <row r="28" spans="1:22" x14ac:dyDescent="0.35">
      <c r="A28" s="145"/>
      <c r="B28" s="38">
        <f>'R2'!B34</f>
        <v>6.6873088019318627E-2</v>
      </c>
      <c r="C28" s="38">
        <f>'R2'!C34</f>
        <v>0.18550336972989917</v>
      </c>
      <c r="D28" s="38">
        <f>'R2'!D34</f>
        <v>1.2493883403282076</v>
      </c>
      <c r="E28" s="38">
        <f>'R2'!E34</f>
        <v>2.1808199966331725</v>
      </c>
      <c r="F28" s="38">
        <f>'R2'!F34</f>
        <v>4.5287581631053762</v>
      </c>
      <c r="G28" s="38">
        <f>'R2'!G34</f>
        <v>4.3042088826196236</v>
      </c>
      <c r="H28" s="38">
        <f>'R2'!H34</f>
        <v>3.3403915968630455</v>
      </c>
      <c r="I28" s="38">
        <f>'R2'!I34</f>
        <v>5.9580307542274002E-2</v>
      </c>
      <c r="J28" s="38">
        <f>'R2'!J34</f>
        <v>8.7625748103257114E-2</v>
      </c>
      <c r="K28" s="38">
        <f>'R2'!K34</f>
        <v>0.27010501018755551</v>
      </c>
      <c r="L28" s="38">
        <f>'R2'!L34</f>
        <v>0.35392183155413914</v>
      </c>
      <c r="M28" s="38">
        <f>'R2'!M34</f>
        <v>1.388624534884396</v>
      </c>
      <c r="O28" s="38">
        <f>'R2'!O34</f>
        <v>0.1474911911022877</v>
      </c>
      <c r="P28" s="38">
        <f>'R2'!P34</f>
        <v>4.7471449883612253</v>
      </c>
      <c r="Q28" s="38">
        <f>'R2'!Q34</f>
        <v>0.2321680627390883</v>
      </c>
      <c r="R28" s="38">
        <f>'R2'!R34</f>
        <v>0.99765459833167891</v>
      </c>
      <c r="S28" s="38">
        <f>'R2'!S34</f>
        <v>2.4723956138365</v>
      </c>
      <c r="T28" s="38">
        <f>'R2'!T34</f>
        <v>4.6797842908474534</v>
      </c>
      <c r="U28" s="38">
        <f>'R2'!U34</f>
        <v>6.4378496421294606</v>
      </c>
      <c r="V28" s="38">
        <f>'R2'!V34</f>
        <v>1.4977691865628755</v>
      </c>
    </row>
    <row r="29" spans="1:22" x14ac:dyDescent="0.35">
      <c r="A29" s="145"/>
      <c r="B29" s="38">
        <f>'R2'!B35</f>
        <v>0.14895773470560578</v>
      </c>
      <c r="C29" s="38">
        <f>'R2'!C35</f>
        <v>0.2023384358184003</v>
      </c>
      <c r="D29" s="38">
        <f>'R2'!D35</f>
        <v>0.12795244646454093</v>
      </c>
      <c r="E29" s="38">
        <f>'R2'!E35</f>
        <v>1.6738742315796806</v>
      </c>
      <c r="F29" s="38">
        <f>'R2'!F35</f>
        <v>3.4659988738542626</v>
      </c>
      <c r="G29" s="38">
        <f>'R2'!G35</f>
        <v>5.6883065438355134</v>
      </c>
      <c r="H29" s="38">
        <f>'R2'!H35</f>
        <v>9.9797623484202038</v>
      </c>
      <c r="I29" s="38">
        <f>'R2'!I35</f>
        <v>0.18269659660182622</v>
      </c>
      <c r="J29" s="38" t="str">
        <f>'R2'!J35</f>
        <v/>
      </c>
      <c r="K29" s="38">
        <f>'R2'!K35</f>
        <v>0.26852422664553693</v>
      </c>
      <c r="L29" s="38">
        <f>'R2'!L35</f>
        <v>0.13943959737387457</v>
      </c>
      <c r="M29" s="38">
        <f>'R2'!M35</f>
        <v>2.2419365062779724</v>
      </c>
      <c r="O29" s="38">
        <f>'R2'!O35</f>
        <v>0.70929999013171263</v>
      </c>
      <c r="P29" s="38" t="str">
        <f>'R2'!P35</f>
        <v/>
      </c>
      <c r="Q29" s="38">
        <f>'R2'!Q35</f>
        <v>1.2760508274849218E-2</v>
      </c>
      <c r="R29" s="38">
        <f>'R2'!R35</f>
        <v>0.94736116190376674</v>
      </c>
      <c r="S29" s="38">
        <f>'R2'!S35</f>
        <v>3.30712176886149</v>
      </c>
      <c r="T29" s="38">
        <f>'R2'!T35</f>
        <v>0.47708827473312088</v>
      </c>
      <c r="U29" s="38">
        <f>'R2'!U35</f>
        <v>5.3744634263854785</v>
      </c>
      <c r="V29" s="38">
        <f>'R2'!V35</f>
        <v>4.4243809391126669</v>
      </c>
    </row>
    <row r="30" spans="1:22" x14ac:dyDescent="0.35">
      <c r="A30" s="145"/>
      <c r="B30" s="38" t="str">
        <f>'R2'!B36</f>
        <v/>
      </c>
      <c r="C30" s="38" t="str">
        <f>'R2'!C36</f>
        <v/>
      </c>
      <c r="D30" s="38" t="str">
        <f>'R2'!D36</f>
        <v/>
      </c>
      <c r="E30" s="38" t="str">
        <f>'R2'!E36</f>
        <v/>
      </c>
      <c r="F30" s="38" t="str">
        <f>'R2'!F36</f>
        <v/>
      </c>
      <c r="G30" s="38" t="str">
        <f>'R2'!G36</f>
        <v/>
      </c>
      <c r="H30" s="38" t="str">
        <f>'R2'!H36</f>
        <v/>
      </c>
      <c r="I30" s="38" t="str">
        <f>'R2'!I36</f>
        <v/>
      </c>
      <c r="J30" s="38" t="str">
        <f>'R2'!J36</f>
        <v/>
      </c>
      <c r="K30" s="38" t="str">
        <f>'R2'!K36</f>
        <v/>
      </c>
      <c r="L30" s="38" t="str">
        <f>'R2'!L36</f>
        <v/>
      </c>
      <c r="M30" s="38" t="str">
        <f>'R2'!M36</f>
        <v/>
      </c>
      <c r="O30" s="38">
        <f>'R2'!O36</f>
        <v>1.4516125362079073</v>
      </c>
      <c r="P30" s="38" t="str">
        <f>'R2'!P36</f>
        <v/>
      </c>
      <c r="Q30" s="38" t="str">
        <f>'R2'!Q36</f>
        <v/>
      </c>
      <c r="R30" s="38" t="str">
        <f>'R2'!R36</f>
        <v/>
      </c>
      <c r="S30" s="38" t="str">
        <f>'R2'!S36</f>
        <v/>
      </c>
      <c r="T30" s="38" t="str">
        <f>'R2'!T36</f>
        <v/>
      </c>
      <c r="U30" s="38" t="str">
        <f>'R2'!U36</f>
        <v/>
      </c>
      <c r="V30" s="38" t="str">
        <f>'R2'!V36</f>
        <v/>
      </c>
    </row>
    <row r="31" spans="1:22" s="1" customFormat="1" x14ac:dyDescent="0.35">
      <c r="A31" s="145"/>
      <c r="B31" s="38" t="str">
        <f>'R2'!B37</f>
        <v/>
      </c>
      <c r="C31" s="38" t="str">
        <f>'R2'!C37</f>
        <v/>
      </c>
      <c r="D31" s="38" t="str">
        <f>'R2'!D37</f>
        <v/>
      </c>
      <c r="E31" s="38" t="str">
        <f>'R2'!E37</f>
        <v/>
      </c>
      <c r="F31" s="38" t="str">
        <f>'R2'!F37</f>
        <v/>
      </c>
      <c r="G31" s="38" t="str">
        <f>'R2'!G37</f>
        <v/>
      </c>
      <c r="H31" s="38" t="str">
        <f>'R2'!H37</f>
        <v/>
      </c>
      <c r="I31" s="38" t="str">
        <f>'R2'!I37</f>
        <v/>
      </c>
      <c r="J31" s="38" t="str">
        <f>'R2'!J37</f>
        <v/>
      </c>
      <c r="K31" s="38" t="str">
        <f>'R2'!K37</f>
        <v/>
      </c>
      <c r="L31" s="38" t="str">
        <f>'R2'!L37</f>
        <v/>
      </c>
      <c r="M31" s="38" t="str">
        <f>'R2'!M37</f>
        <v/>
      </c>
      <c r="N31"/>
      <c r="O31" s="38">
        <f>'R2'!O37</f>
        <v>1.3918724785074506</v>
      </c>
      <c r="P31" s="38" t="str">
        <f>'R2'!P37</f>
        <v/>
      </c>
      <c r="Q31" s="38" t="str">
        <f>'R2'!Q37</f>
        <v/>
      </c>
      <c r="R31" s="38" t="str">
        <f>'R2'!R37</f>
        <v/>
      </c>
      <c r="S31" s="38" t="str">
        <f>'R2'!S37</f>
        <v/>
      </c>
      <c r="T31" s="38" t="str">
        <f>'R2'!T37</f>
        <v/>
      </c>
      <c r="U31" s="38" t="str">
        <f>'R2'!U37</f>
        <v/>
      </c>
      <c r="V31" s="38" t="str">
        <f>'R2'!V37</f>
        <v/>
      </c>
    </row>
    <row r="32" spans="1:22" s="1" customFormat="1" x14ac:dyDescent="0.35">
      <c r="A32" s="145"/>
      <c r="B32" s="38" t="str">
        <f>'R2'!B38</f>
        <v/>
      </c>
      <c r="C32" s="38" t="str">
        <f>'R2'!C38</f>
        <v/>
      </c>
      <c r="D32" s="38" t="str">
        <f>'R2'!D38</f>
        <v/>
      </c>
      <c r="E32" s="38" t="str">
        <f>'R2'!E38</f>
        <v/>
      </c>
      <c r="F32" s="38" t="str">
        <f>'R2'!F38</f>
        <v/>
      </c>
      <c r="G32" s="38" t="str">
        <f>'R2'!G38</f>
        <v/>
      </c>
      <c r="H32" s="38" t="str">
        <f>'R2'!H38</f>
        <v/>
      </c>
      <c r="I32" s="38" t="str">
        <f>'R2'!I38</f>
        <v/>
      </c>
      <c r="J32" s="38" t="str">
        <f>'R2'!J38</f>
        <v/>
      </c>
      <c r="K32" s="38" t="str">
        <f>'R2'!K38</f>
        <v/>
      </c>
      <c r="L32" s="38" t="str">
        <f>'R2'!L38</f>
        <v/>
      </c>
      <c r="M32" s="38" t="str">
        <f>'R2'!M38</f>
        <v/>
      </c>
      <c r="N32"/>
      <c r="O32" s="38">
        <f>'R2'!O38</f>
        <v>1.6261748776622609</v>
      </c>
      <c r="P32" s="38" t="str">
        <f>'R2'!P38</f>
        <v/>
      </c>
      <c r="Q32" s="38" t="str">
        <f>'R2'!Q38</f>
        <v/>
      </c>
      <c r="R32" s="38" t="str">
        <f>'R2'!R38</f>
        <v/>
      </c>
      <c r="S32" s="38" t="str">
        <f>'R2'!S38</f>
        <v/>
      </c>
      <c r="T32" s="38" t="str">
        <f>'R2'!T38</f>
        <v/>
      </c>
      <c r="U32" s="38" t="str">
        <f>'R2'!U38</f>
        <v/>
      </c>
      <c r="V32" s="38" t="str">
        <f>'R2'!V38</f>
        <v/>
      </c>
    </row>
    <row r="33" spans="1:22" s="1" customFormat="1" x14ac:dyDescent="0.35">
      <c r="A33" s="145"/>
      <c r="B33" s="38" t="str">
        <f>'R2'!B39</f>
        <v/>
      </c>
      <c r="C33" s="38" t="str">
        <f>'R2'!C39</f>
        <v/>
      </c>
      <c r="D33" s="38" t="str">
        <f>'R2'!D39</f>
        <v/>
      </c>
      <c r="E33" s="38" t="str">
        <f>'R2'!E39</f>
        <v/>
      </c>
      <c r="F33" s="38" t="str">
        <f>'R2'!F39</f>
        <v/>
      </c>
      <c r="G33" s="38" t="str">
        <f>'R2'!G39</f>
        <v/>
      </c>
      <c r="H33" s="38" t="str">
        <f>'R2'!H39</f>
        <v/>
      </c>
      <c r="I33" s="38" t="str">
        <f>'R2'!I39</f>
        <v/>
      </c>
      <c r="J33" s="38" t="str">
        <f>'R2'!J39</f>
        <v/>
      </c>
      <c r="K33" s="38" t="str">
        <f>'R2'!K39</f>
        <v/>
      </c>
      <c r="L33" s="38" t="str">
        <f>'R2'!L39</f>
        <v/>
      </c>
      <c r="M33" s="38" t="str">
        <f>'R2'!M39</f>
        <v/>
      </c>
      <c r="N33"/>
      <c r="O33" s="38">
        <f>'R2'!O39</f>
        <v>9.1958506753971984E-3</v>
      </c>
      <c r="P33" s="38" t="str">
        <f>'R2'!P39</f>
        <v/>
      </c>
      <c r="Q33" s="38" t="str">
        <f>'R2'!Q39</f>
        <v/>
      </c>
      <c r="R33" s="38" t="str">
        <f>'R2'!R39</f>
        <v/>
      </c>
      <c r="S33" s="38" t="str">
        <f>'R2'!S39</f>
        <v/>
      </c>
      <c r="T33" s="38" t="str">
        <f>'R2'!T39</f>
        <v/>
      </c>
      <c r="U33" s="38" t="str">
        <f>'R2'!U39</f>
        <v/>
      </c>
      <c r="V33" s="38" t="str">
        <f>'R2'!V39</f>
        <v/>
      </c>
    </row>
    <row r="34" spans="1:22" s="1" customFormat="1" x14ac:dyDescent="0.35">
      <c r="A34" s="145"/>
      <c r="B34" s="38" t="str">
        <f>'R2'!B40</f>
        <v/>
      </c>
      <c r="C34" s="38" t="str">
        <f>'R2'!C40</f>
        <v/>
      </c>
      <c r="D34" s="38" t="str">
        <f>'R2'!D40</f>
        <v/>
      </c>
      <c r="E34" s="38" t="str">
        <f>'R2'!E40</f>
        <v/>
      </c>
      <c r="F34" s="38" t="str">
        <f>'R2'!F40</f>
        <v/>
      </c>
      <c r="G34" s="38" t="str">
        <f>'R2'!G40</f>
        <v/>
      </c>
      <c r="H34" s="38" t="str">
        <f>'R2'!H40</f>
        <v/>
      </c>
      <c r="I34" s="38" t="str">
        <f>'R2'!I40</f>
        <v/>
      </c>
      <c r="J34" s="38" t="str">
        <f>'R2'!J40</f>
        <v/>
      </c>
      <c r="K34" s="38" t="str">
        <f>'R2'!K40</f>
        <v/>
      </c>
      <c r="L34" s="38" t="str">
        <f>'R2'!L40</f>
        <v/>
      </c>
      <c r="M34" s="38" t="str">
        <f>'R2'!M40</f>
        <v/>
      </c>
      <c r="N34"/>
      <c r="O34" s="38">
        <f>'R2'!O40</f>
        <v>0.76892766545344782</v>
      </c>
      <c r="P34" s="38" t="str">
        <f>'R2'!P40</f>
        <v/>
      </c>
      <c r="Q34" s="38" t="str">
        <f>'R2'!Q40</f>
        <v/>
      </c>
      <c r="R34" s="38" t="str">
        <f>'R2'!R40</f>
        <v/>
      </c>
      <c r="S34" s="38" t="str">
        <f>'R2'!S40</f>
        <v/>
      </c>
      <c r="T34" s="38" t="str">
        <f>'R2'!T40</f>
        <v/>
      </c>
      <c r="U34" s="38" t="str">
        <f>'R2'!U40</f>
        <v/>
      </c>
      <c r="V34" s="38" t="str">
        <f>'R2'!V40</f>
        <v/>
      </c>
    </row>
    <row r="35" spans="1:22" s="1" customFormat="1" x14ac:dyDescent="0.35">
      <c r="A35" s="145"/>
      <c r="B35" s="38" t="str">
        <f>'R2'!B41</f>
        <v/>
      </c>
      <c r="C35" s="38" t="str">
        <f>'R2'!C41</f>
        <v/>
      </c>
      <c r="D35" s="38" t="str">
        <f>'R2'!D41</f>
        <v/>
      </c>
      <c r="E35" s="38" t="str">
        <f>'R2'!E41</f>
        <v/>
      </c>
      <c r="F35" s="38" t="str">
        <f>'R2'!F41</f>
        <v/>
      </c>
      <c r="G35" s="38" t="str">
        <f>'R2'!G41</f>
        <v/>
      </c>
      <c r="H35" s="38" t="str">
        <f>'R2'!H41</f>
        <v/>
      </c>
      <c r="I35" s="38" t="str">
        <f>'R2'!I41</f>
        <v/>
      </c>
      <c r="J35" s="38" t="str">
        <f>'R2'!J41</f>
        <v/>
      </c>
      <c r="K35" s="38" t="str">
        <f>'R2'!K41</f>
        <v/>
      </c>
      <c r="L35" s="38" t="str">
        <f>'R2'!L41</f>
        <v/>
      </c>
      <c r="M35" s="38" t="str">
        <f>'R2'!M41</f>
        <v/>
      </c>
      <c r="N35"/>
      <c r="O35" s="38">
        <f>'R2'!O41</f>
        <v>0.15449326344263914</v>
      </c>
      <c r="P35" s="38" t="str">
        <f>'R2'!P41</f>
        <v/>
      </c>
      <c r="Q35" s="38" t="str">
        <f>'R2'!Q41</f>
        <v/>
      </c>
      <c r="R35" s="38" t="str">
        <f>'R2'!R41</f>
        <v/>
      </c>
      <c r="S35" s="38" t="str">
        <f>'R2'!S41</f>
        <v/>
      </c>
      <c r="T35" s="38" t="str">
        <f>'R2'!T41</f>
        <v/>
      </c>
      <c r="U35" s="38" t="str">
        <f>'R2'!U41</f>
        <v/>
      </c>
      <c r="V35" s="38" t="str">
        <f>'R2'!V41</f>
        <v/>
      </c>
    </row>
    <row r="36" spans="1:22" x14ac:dyDescent="0.35">
      <c r="A36" s="145"/>
      <c r="B36" s="38" t="str">
        <f>'R2'!B42</f>
        <v/>
      </c>
      <c r="C36" s="38" t="str">
        <f>'R2'!C42</f>
        <v/>
      </c>
      <c r="D36" s="38" t="str">
        <f>'R2'!D42</f>
        <v/>
      </c>
      <c r="E36" s="38" t="str">
        <f>'R2'!E42</f>
        <v/>
      </c>
      <c r="F36" s="38" t="str">
        <f>'R2'!F42</f>
        <v/>
      </c>
      <c r="G36" s="38" t="str">
        <f>'R2'!G42</f>
        <v/>
      </c>
      <c r="H36" s="38" t="str">
        <f>'R2'!H42</f>
        <v/>
      </c>
      <c r="I36" s="38" t="str">
        <f>'R2'!I42</f>
        <v/>
      </c>
      <c r="J36" s="38" t="str">
        <f>'R2'!J42</f>
        <v/>
      </c>
      <c r="K36" s="38" t="str">
        <f>'R2'!K42</f>
        <v/>
      </c>
      <c r="L36" s="38" t="str">
        <f>'R2'!L42</f>
        <v/>
      </c>
      <c r="M36" s="38" t="str">
        <f>'R2'!M42</f>
        <v/>
      </c>
      <c r="O36" s="38">
        <f>'R2'!O42</f>
        <v>0.69543237610945674</v>
      </c>
      <c r="P36" s="38" t="str">
        <f>'R2'!P42</f>
        <v/>
      </c>
      <c r="Q36" s="38" t="str">
        <f>'R2'!Q42</f>
        <v/>
      </c>
      <c r="R36" s="38" t="str">
        <f>'R2'!R42</f>
        <v/>
      </c>
      <c r="S36" s="38" t="str">
        <f>'R2'!S42</f>
        <v/>
      </c>
      <c r="T36" s="38" t="str">
        <f>'R2'!T42</f>
        <v/>
      </c>
      <c r="U36" s="38" t="str">
        <f>'R2'!U42</f>
        <v/>
      </c>
      <c r="V36" s="38" t="str">
        <f>'R2'!V42</f>
        <v/>
      </c>
    </row>
    <row r="37" spans="1:22" x14ac:dyDescent="0.35">
      <c r="A37" s="146"/>
      <c r="B37" s="38" t="str">
        <f>'R2'!B43</f>
        <v/>
      </c>
      <c r="C37" s="38" t="str">
        <f>'R2'!C43</f>
        <v/>
      </c>
      <c r="D37" s="38" t="str">
        <f>'R2'!D43</f>
        <v/>
      </c>
      <c r="E37" s="38" t="str">
        <f>'R2'!E43</f>
        <v/>
      </c>
      <c r="F37" s="38" t="str">
        <f>'R2'!F43</f>
        <v/>
      </c>
      <c r="G37" s="38" t="str">
        <f>'R2'!G43</f>
        <v/>
      </c>
      <c r="H37" s="38" t="str">
        <f>'R2'!H43</f>
        <v/>
      </c>
      <c r="I37" s="38" t="str">
        <f>'R2'!I43</f>
        <v/>
      </c>
      <c r="J37" s="38" t="str">
        <f>'R2'!J43</f>
        <v/>
      </c>
      <c r="K37" s="38" t="str">
        <f>'R2'!K43</f>
        <v/>
      </c>
      <c r="L37" s="38" t="str">
        <f>'R2'!L43</f>
        <v/>
      </c>
      <c r="M37" s="38" t="str">
        <f>'R2'!M43</f>
        <v/>
      </c>
      <c r="O37" s="38">
        <f>'R2'!O43</f>
        <v>0.13834549454632</v>
      </c>
      <c r="P37" s="38" t="str">
        <f>'R2'!P43</f>
        <v/>
      </c>
      <c r="Q37" s="38" t="str">
        <f>'R2'!Q43</f>
        <v/>
      </c>
      <c r="R37" s="38" t="str">
        <f>'R2'!R43</f>
        <v/>
      </c>
      <c r="S37" s="38" t="str">
        <f>'R2'!S43</f>
        <v/>
      </c>
      <c r="T37" s="38" t="str">
        <f>'R2'!T43</f>
        <v/>
      </c>
      <c r="U37" s="38" t="str">
        <f>'R2'!U43</f>
        <v/>
      </c>
      <c r="V37" s="38" t="str">
        <f>'R2'!V43</f>
        <v/>
      </c>
    </row>
    <row r="38" spans="1:22" s="1" customFormat="1" x14ac:dyDescent="0.35">
      <c r="A38" s="85" t="s">
        <v>16</v>
      </c>
      <c r="B38" s="86">
        <f>'R3'!B28</f>
        <v>2.2834721150049204E-3</v>
      </c>
      <c r="C38" s="86">
        <f>'R3'!C28</f>
        <v>0.54483757003840738</v>
      </c>
      <c r="D38" s="86">
        <f>'R3'!D28</f>
        <v>0.1472818037447241</v>
      </c>
      <c r="E38" s="86">
        <f>'R3'!E28</f>
        <v>1.8136775469575299</v>
      </c>
      <c r="F38" s="86">
        <f>'R3'!F28</f>
        <v>0.93439341926531327</v>
      </c>
      <c r="G38" s="86">
        <f>'R3'!G28</f>
        <v>1.4818547850011963</v>
      </c>
      <c r="H38" s="86">
        <f>'R3'!H28</f>
        <v>3.5337429799484568</v>
      </c>
      <c r="I38" s="86">
        <f>'R3'!I28</f>
        <v>4.2370616428848352E-2</v>
      </c>
      <c r="J38" s="86">
        <f>'R3'!J28</f>
        <v>2.8697868694653794E-2</v>
      </c>
      <c r="K38" s="86">
        <f>'R3'!K28</f>
        <v>0.10836497606108578</v>
      </c>
      <c r="L38" s="86">
        <f>'R3'!L28</f>
        <v>8.5087173431334415E-2</v>
      </c>
      <c r="M38" s="86">
        <f>'R3'!M28</f>
        <v>1.6857525555967514</v>
      </c>
      <c r="N38"/>
      <c r="O38" s="86">
        <f>'R3'!O28</f>
        <v>7.2158842232388887E-2</v>
      </c>
      <c r="P38" s="86">
        <f>'R3'!P28</f>
        <v>2.1776040567231854</v>
      </c>
      <c r="Q38" s="86">
        <f>'R3'!Q28</f>
        <v>1.3212484869746311E-2</v>
      </c>
      <c r="R38" s="86">
        <f>'R3'!R28</f>
        <v>1.3212048726902756</v>
      </c>
      <c r="S38" s="86">
        <f>'R3'!S28</f>
        <v>1.5496578157892051</v>
      </c>
      <c r="T38" s="86">
        <f>'R3'!T28</f>
        <v>1.7714926216484375</v>
      </c>
      <c r="U38" s="86">
        <f>'R3'!U28</f>
        <v>2.0107873489333974</v>
      </c>
      <c r="V38" s="86">
        <f>'R3'!V28</f>
        <v>3.511400241142387</v>
      </c>
    </row>
    <row r="39" spans="1:22" s="1" customFormat="1" x14ac:dyDescent="0.35">
      <c r="A39" s="144"/>
      <c r="B39" s="86">
        <f>'R3'!B29</f>
        <v>7.1565093224913293E-2</v>
      </c>
      <c r="C39" s="86">
        <f>'R3'!C29</f>
        <v>5.0267775598394383E-2</v>
      </c>
      <c r="D39" s="86">
        <f>'R3'!D29</f>
        <v>0.13048336563172089</v>
      </c>
      <c r="E39" s="86">
        <f>'R3'!E29</f>
        <v>0.45080021679933846</v>
      </c>
      <c r="F39" s="86">
        <f>'R3'!F29</f>
        <v>1.3095625020573263</v>
      </c>
      <c r="G39" s="86">
        <f>'R3'!G29</f>
        <v>0.6683089482262512</v>
      </c>
      <c r="H39" s="86">
        <f>'R3'!H29</f>
        <v>3.0106309405102398</v>
      </c>
      <c r="I39" s="86">
        <f>'R3'!I29</f>
        <v>0.10958881931299985</v>
      </c>
      <c r="J39" s="86">
        <f>'R3'!J29</f>
        <v>5.9474024121094732E-2</v>
      </c>
      <c r="K39" s="86">
        <f>'R3'!K29</f>
        <v>1.8739604178066714E-2</v>
      </c>
      <c r="L39" s="86">
        <f>'R3'!L29</f>
        <v>1.1496966556310688</v>
      </c>
      <c r="M39" s="86">
        <f>'R3'!M29</f>
        <v>1.463173002791025</v>
      </c>
      <c r="N39"/>
      <c r="O39" s="86">
        <f>'R3'!O29</f>
        <v>0.14610190518841062</v>
      </c>
      <c r="P39" s="86">
        <f>'R3'!P29</f>
        <v>1.6496197730644706</v>
      </c>
      <c r="Q39" s="86">
        <f>'R3'!Q29</f>
        <v>7.6083467001890906E-2</v>
      </c>
      <c r="R39" s="86">
        <f>'R3'!R29</f>
        <v>1.8613717493677063E-2</v>
      </c>
      <c r="S39" s="86">
        <f>'R3'!S29</f>
        <v>0.78996835114587238</v>
      </c>
      <c r="T39" s="86">
        <f>'R3'!T29</f>
        <v>1.5722189564282973</v>
      </c>
      <c r="U39" s="86">
        <f>'R3'!U29</f>
        <v>3.4875590873397107</v>
      </c>
      <c r="V39" s="86">
        <f>'R3'!V29</f>
        <v>2.467570982970563</v>
      </c>
    </row>
    <row r="40" spans="1:22" s="1" customFormat="1" x14ac:dyDescent="0.35">
      <c r="A40" s="145"/>
      <c r="B40" s="86">
        <f>'R3'!B30</f>
        <v>0.13429003358671607</v>
      </c>
      <c r="C40" s="86">
        <f>'R3'!C30</f>
        <v>8.5933356630079547E-2</v>
      </c>
      <c r="D40" s="86">
        <f>'R3'!D30</f>
        <v>0.84234547213309496</v>
      </c>
      <c r="E40" s="86">
        <f>'R3'!E30</f>
        <v>0.45433231300964128</v>
      </c>
      <c r="F40" s="86">
        <f>'R3'!F30</f>
        <v>2.0274453622672257</v>
      </c>
      <c r="G40" s="86">
        <f>'R3'!G30</f>
        <v>2.3920802737424123</v>
      </c>
      <c r="H40" s="86">
        <f>'R3'!H30</f>
        <v>2.9202185290413518</v>
      </c>
      <c r="I40" s="86">
        <f>'R3'!I30</f>
        <v>2.442300800532755E-2</v>
      </c>
      <c r="J40" s="86">
        <f>'R3'!J30</f>
        <v>0.1440606245160766</v>
      </c>
      <c r="K40" s="86">
        <f>'R3'!K30</f>
        <v>5.3638300709834871E-2</v>
      </c>
      <c r="L40" s="86">
        <f>'R3'!L30</f>
        <v>0.58831109920345692</v>
      </c>
      <c r="M40" s="86">
        <f>'R3'!M30</f>
        <v>0.60044313930167004</v>
      </c>
      <c r="N40"/>
      <c r="O40" s="86">
        <f>'R3'!O30</f>
        <v>2.5719872142412534E-2</v>
      </c>
      <c r="P40" s="86">
        <f>'R3'!P30</f>
        <v>2.7308135868903722</v>
      </c>
      <c r="Q40" s="86">
        <f>'R3'!Q30</f>
        <v>3.0981010398413597E-2</v>
      </c>
      <c r="R40" s="86">
        <f>'R3'!R30</f>
        <v>0.72386594703648166</v>
      </c>
      <c r="S40" s="86">
        <f>'R3'!S30</f>
        <v>1.2368052850600302</v>
      </c>
      <c r="T40" s="86">
        <f>'R3'!T30</f>
        <v>0.91241842817505903</v>
      </c>
      <c r="U40" s="86">
        <f>'R3'!U30</f>
        <v>1.5956494090532929</v>
      </c>
      <c r="V40" s="86">
        <f>'R3'!V30</f>
        <v>3.7466794805654375</v>
      </c>
    </row>
    <row r="41" spans="1:22" s="1" customFormat="1" x14ac:dyDescent="0.35">
      <c r="A41" s="145"/>
      <c r="B41" s="86">
        <f>'R3'!B31</f>
        <v>4.3659881107295642E-2</v>
      </c>
      <c r="C41" s="86">
        <f>'R3'!C31</f>
        <v>0.21250300106338729</v>
      </c>
      <c r="D41" s="86">
        <f>'R3'!D31</f>
        <v>0.25375847953996511</v>
      </c>
      <c r="E41" s="86">
        <f>'R3'!E31</f>
        <v>1.0259986153290745</v>
      </c>
      <c r="F41" s="86">
        <f>'R3'!F31</f>
        <v>2.0303192792772551</v>
      </c>
      <c r="G41" s="86">
        <f>'R3'!G31</f>
        <v>1.1327250820256241</v>
      </c>
      <c r="H41" s="86">
        <f>'R3'!H31</f>
        <v>2.3939725389431987</v>
      </c>
      <c r="I41" s="86">
        <f>'R3'!I31</f>
        <v>4.117915347895576E-2</v>
      </c>
      <c r="J41" s="86">
        <f>'R3'!J31</f>
        <v>0.11557355819580757</v>
      </c>
      <c r="K41" s="86">
        <f>'R3'!K31</f>
        <v>0.3545695937151816</v>
      </c>
      <c r="L41" s="86">
        <f>'R3'!L31</f>
        <v>0.15014349553868411</v>
      </c>
      <c r="M41" s="86">
        <f>'R3'!M31</f>
        <v>0.70411825814956241</v>
      </c>
      <c r="N41"/>
      <c r="O41" s="86">
        <f>'R3'!O31</f>
        <v>0.18869059303903632</v>
      </c>
      <c r="P41" s="86">
        <f>'R3'!P31</f>
        <v>2.0122497491042859</v>
      </c>
      <c r="Q41" s="86">
        <f>'R3'!Q31</f>
        <v>2.9471691830718259E-2</v>
      </c>
      <c r="R41" s="86">
        <f>'R3'!R31</f>
        <v>0.9611084900780188</v>
      </c>
      <c r="S41" s="86">
        <f>'R3'!S31</f>
        <v>1.0204913206954611</v>
      </c>
      <c r="T41" s="86">
        <f>'R3'!T31</f>
        <v>2.4340755429968075</v>
      </c>
      <c r="U41" s="86">
        <f>'R3'!U31</f>
        <v>2.195655414277673</v>
      </c>
      <c r="V41" s="86">
        <f>'R3'!V31</f>
        <v>2.9056662265726554</v>
      </c>
    </row>
    <row r="42" spans="1:22" s="1" customFormat="1" x14ac:dyDescent="0.35">
      <c r="A42" s="145"/>
      <c r="B42" s="86">
        <f>'R3'!B32</f>
        <v>9.7913737966783834E-2</v>
      </c>
      <c r="C42" s="86">
        <f>'R3'!C32</f>
        <v>0.22357309941979372</v>
      </c>
      <c r="D42" s="86">
        <f>'R3'!D32</f>
        <v>0.29359517213000974</v>
      </c>
      <c r="E42" s="86">
        <f>'R3'!E32</f>
        <v>0.26878525255664992</v>
      </c>
      <c r="F42" s="86">
        <f>'R3'!F32</f>
        <v>2.3186113509231339</v>
      </c>
      <c r="G42" s="86">
        <f>'R3'!G32</f>
        <v>0.64047213123637281</v>
      </c>
      <c r="H42" s="86">
        <f>'R3'!H32</f>
        <v>3.4695027736165462</v>
      </c>
      <c r="I42" s="86">
        <f>'R3'!I32</f>
        <v>2.7348799580840296E-2</v>
      </c>
      <c r="J42" s="86">
        <f>'R3'!J32</f>
        <v>0.26799490885832961</v>
      </c>
      <c r="K42" s="86">
        <f>'R3'!K32</f>
        <v>5.7303883063165008E-2</v>
      </c>
      <c r="L42" s="86">
        <f>'R3'!L32</f>
        <v>6.1806397100376997E-2</v>
      </c>
      <c r="M42" s="86">
        <f>'R3'!M32</f>
        <v>0.47188309752777635</v>
      </c>
      <c r="N42"/>
      <c r="O42" s="86">
        <f>'R3'!O32</f>
        <v>0.4907585007275862</v>
      </c>
      <c r="P42" s="86">
        <f>'R3'!P32</f>
        <v>1.392789790589896</v>
      </c>
      <c r="Q42" s="86">
        <f>'R3'!Q32</f>
        <v>0.11132810410729675</v>
      </c>
      <c r="R42" s="86">
        <f>'R3'!R32</f>
        <v>0.72732634400659402</v>
      </c>
      <c r="S42" s="86">
        <f>'R3'!S32</f>
        <v>1.6115554063932345</v>
      </c>
      <c r="T42" s="86">
        <f>'R3'!T32</f>
        <v>1.6929178538583629</v>
      </c>
      <c r="U42" s="86">
        <f>'R3'!U32</f>
        <v>1.9076025603732589</v>
      </c>
      <c r="V42" s="86">
        <f>'R3'!V32</f>
        <v>2.6122881346306874</v>
      </c>
    </row>
    <row r="43" spans="1:22" s="1" customFormat="1" x14ac:dyDescent="0.35">
      <c r="A43" s="145"/>
      <c r="B43" s="86">
        <f>'R3'!B33</f>
        <v>1.2301871478203328E-2</v>
      </c>
      <c r="C43" s="86">
        <f>'R3'!C33</f>
        <v>7.4261248985069583E-2</v>
      </c>
      <c r="D43" s="86">
        <f>'R3'!D33</f>
        <v>0.52000353044415404</v>
      </c>
      <c r="E43" s="86">
        <f>'R3'!E33</f>
        <v>0.38148258086371234</v>
      </c>
      <c r="F43" s="86">
        <f>'R3'!F33</f>
        <v>0.90793739086877956</v>
      </c>
      <c r="G43" s="86">
        <f>'R3'!G33</f>
        <v>1.2872808893316032</v>
      </c>
      <c r="H43" s="86">
        <f>'R3'!H33</f>
        <v>1.5056681842592827</v>
      </c>
      <c r="I43" s="86">
        <f>'R3'!I33</f>
        <v>9.3993738954713468E-2</v>
      </c>
      <c r="J43" s="86">
        <f>'R3'!J33</f>
        <v>3.3759108147358954E-2</v>
      </c>
      <c r="K43" s="86">
        <f>'R3'!K33</f>
        <v>0.15759823405101822</v>
      </c>
      <c r="L43" s="86">
        <f>'R3'!L33</f>
        <v>4.5096509201065199E-2</v>
      </c>
      <c r="M43" s="86">
        <f>'R3'!M33</f>
        <v>0.40217293303295099</v>
      </c>
      <c r="N43"/>
      <c r="O43" s="86">
        <f>'R3'!O33</f>
        <v>0.18288295458361142</v>
      </c>
      <c r="P43" s="86">
        <f>'R3'!P33</f>
        <v>0.98130818154825838</v>
      </c>
      <c r="Q43" s="86">
        <f>'R3'!Q33</f>
        <v>2.2091956671025755E-2</v>
      </c>
      <c r="R43" s="86">
        <f>'R3'!R33</f>
        <v>1.1284330399515519</v>
      </c>
      <c r="S43" s="86">
        <f>'R3'!S33</f>
        <v>0.74503209139868909</v>
      </c>
      <c r="T43" s="86">
        <f>'R3'!T33</f>
        <v>0.87184987467707975</v>
      </c>
      <c r="U43" s="86">
        <f>'R3'!U33</f>
        <v>3.4634638472895394</v>
      </c>
      <c r="V43" s="86">
        <f>'R3'!V33</f>
        <v>1.3281752283172681</v>
      </c>
    </row>
    <row r="44" spans="1:22" s="1" customFormat="1" x14ac:dyDescent="0.35">
      <c r="A44" s="145"/>
      <c r="B44" s="86">
        <f>'R3'!B34</f>
        <v>4.8917715250845532E-2</v>
      </c>
      <c r="C44" s="86">
        <f>'R3'!C34</f>
        <v>0.10213936738058763</v>
      </c>
      <c r="D44" s="86">
        <f>'R3'!D34</f>
        <v>0.78985237679883624</v>
      </c>
      <c r="E44" s="86">
        <f>'R3'!E34</f>
        <v>1.1577801667428609</v>
      </c>
      <c r="F44" s="86">
        <f>'R3'!F34</f>
        <v>1.8641673589126431</v>
      </c>
      <c r="G44" s="86">
        <f>'R3'!G34</f>
        <v>1.528416337663111</v>
      </c>
      <c r="H44" s="86">
        <f>'R3'!H34</f>
        <v>2.3407650944969967</v>
      </c>
      <c r="I44" s="86">
        <f>'R3'!I34</f>
        <v>5.5648853136372987E-2</v>
      </c>
      <c r="J44" s="86">
        <f>'R3'!J34</f>
        <v>8.9610503376988782E-2</v>
      </c>
      <c r="K44" s="86">
        <f>'R3'!K34</f>
        <v>2.2444835880810917E-2</v>
      </c>
      <c r="L44" s="86">
        <f>'R3'!L34</f>
        <v>8.3520032895743571E-2</v>
      </c>
      <c r="M44" s="86">
        <f>'R3'!M34</f>
        <v>0.87543516709784641</v>
      </c>
      <c r="N44"/>
      <c r="O44" s="86">
        <f>'R3'!O34</f>
        <v>0.10223981239910325</v>
      </c>
      <c r="P44" s="86">
        <f>'R3'!P34</f>
        <v>1.7549320796319186</v>
      </c>
      <c r="Q44" s="86">
        <f>'R3'!Q34</f>
        <v>3.4257037893750566E-3</v>
      </c>
      <c r="R44" s="86">
        <f>'R3'!R34</f>
        <v>1.8329653033912461</v>
      </c>
      <c r="S44" s="86">
        <f>'R3'!S34</f>
        <v>1.7270879935946477</v>
      </c>
      <c r="T44" s="86">
        <f>'R3'!T34</f>
        <v>1.1798936001448193</v>
      </c>
      <c r="U44" s="86">
        <f>'R3'!U34</f>
        <v>3.2352636687931247</v>
      </c>
      <c r="V44" s="86">
        <f>'R3'!V34</f>
        <v>2.3585180906971432</v>
      </c>
    </row>
    <row r="45" spans="1:22" s="1" customFormat="1" x14ac:dyDescent="0.35">
      <c r="A45" s="145"/>
      <c r="B45" s="86">
        <f>'R3'!B35</f>
        <v>5.8608346658887686E-2</v>
      </c>
      <c r="C45" s="86">
        <f>'R3'!C35</f>
        <v>5.8559445794610337E-2</v>
      </c>
      <c r="D45" s="86" t="str">
        <f>'R3'!D35</f>
        <v/>
      </c>
      <c r="E45" s="86">
        <f>'R3'!E35</f>
        <v>0.66259118162949826</v>
      </c>
      <c r="F45" s="86">
        <f>'R3'!F35</f>
        <v>2.2522925274481915</v>
      </c>
      <c r="G45" s="86">
        <f>'R3'!G35</f>
        <v>2.1215035314147372</v>
      </c>
      <c r="H45" s="86" t="str">
        <f>'R3'!H35</f>
        <v/>
      </c>
      <c r="I45" s="86" t="str">
        <f>'R3'!I35</f>
        <v/>
      </c>
      <c r="J45" s="86" t="str">
        <f>'R3'!J35</f>
        <v/>
      </c>
      <c r="K45" s="86">
        <f>'R3'!K35</f>
        <v>4.0997427294141298E-3</v>
      </c>
      <c r="L45" s="86" t="str">
        <f>'R3'!L35</f>
        <v/>
      </c>
      <c r="M45" s="86">
        <f>'R3'!M35</f>
        <v>0.14568789989827877</v>
      </c>
      <c r="N45"/>
      <c r="O45" s="86">
        <f>'R3'!O35</f>
        <v>3.7174238776890259E-2</v>
      </c>
      <c r="P45" s="86">
        <f>'R3'!P35</f>
        <v>2.0549560633581736</v>
      </c>
      <c r="Q45" s="86">
        <f>'R3'!Q35</f>
        <v>0.11457373376808294</v>
      </c>
      <c r="R45" s="86">
        <f>'R3'!R35</f>
        <v>1.1060681635920593</v>
      </c>
      <c r="S45" s="86">
        <f>'R3'!S35</f>
        <v>1.2502916808519786</v>
      </c>
      <c r="T45" s="86" t="str">
        <f>'R3'!T35</f>
        <v/>
      </c>
      <c r="U45" s="86">
        <f>'R3'!U35</f>
        <v>1.62336992128489</v>
      </c>
      <c r="V45" s="86">
        <f>'R3'!V35</f>
        <v>1.4893851876886623</v>
      </c>
    </row>
    <row r="46" spans="1:22" s="1" customFormat="1" x14ac:dyDescent="0.35">
      <c r="A46" s="145"/>
      <c r="B46" s="86" t="str">
        <f>'R3'!B36</f>
        <v/>
      </c>
      <c r="C46" s="86" t="str">
        <f>'R3'!C36</f>
        <v/>
      </c>
      <c r="D46" s="86" t="str">
        <f>'R3'!D36</f>
        <v/>
      </c>
      <c r="E46" s="86" t="str">
        <f>'R3'!E36</f>
        <v/>
      </c>
      <c r="F46" s="86" t="str">
        <f>'R3'!F36</f>
        <v/>
      </c>
      <c r="G46" s="86" t="str">
        <f>'R3'!G36</f>
        <v/>
      </c>
      <c r="H46" s="86" t="str">
        <f>'R3'!H36</f>
        <v/>
      </c>
      <c r="I46" s="86" t="str">
        <f>'R3'!I36</f>
        <v/>
      </c>
      <c r="J46" s="86" t="str">
        <f>'R3'!J36</f>
        <v/>
      </c>
      <c r="K46" s="86" t="str">
        <f>'R3'!K36</f>
        <v/>
      </c>
      <c r="L46" s="86" t="str">
        <f>'R3'!L36</f>
        <v/>
      </c>
      <c r="M46" s="86" t="str">
        <f>'R3'!M36</f>
        <v/>
      </c>
      <c r="N46"/>
      <c r="O46" s="86">
        <f>'R3'!O36</f>
        <v>2.1776040567231854</v>
      </c>
      <c r="P46" s="86">
        <f>'R3'!P36</f>
        <v>2.4376948677758215</v>
      </c>
      <c r="Q46" s="86" t="str">
        <f>'R3'!Q36</f>
        <v/>
      </c>
      <c r="R46" s="86" t="str">
        <f>'R3'!R36</f>
        <v/>
      </c>
      <c r="S46" s="86" t="str">
        <f>'R3'!S36</f>
        <v/>
      </c>
      <c r="T46" s="86" t="str">
        <f>'R3'!T36</f>
        <v/>
      </c>
      <c r="U46" s="86" t="str">
        <f>'R3'!U36</f>
        <v/>
      </c>
      <c r="V46" s="86" t="str">
        <f>'R3'!V36</f>
        <v/>
      </c>
    </row>
    <row r="47" spans="1:22" s="1" customFormat="1" x14ac:dyDescent="0.35">
      <c r="A47" s="145"/>
      <c r="B47" s="86" t="str">
        <f>'R3'!B37</f>
        <v/>
      </c>
      <c r="C47" s="86" t="str">
        <f>'R3'!C37</f>
        <v/>
      </c>
      <c r="D47" s="86" t="str">
        <f>'R3'!D37</f>
        <v/>
      </c>
      <c r="E47" s="86" t="str">
        <f>'R3'!E37</f>
        <v/>
      </c>
      <c r="F47" s="86" t="str">
        <f>'R3'!F37</f>
        <v/>
      </c>
      <c r="G47" s="86" t="str">
        <f>'R3'!G37</f>
        <v/>
      </c>
      <c r="H47" s="86" t="str">
        <f>'R3'!H37</f>
        <v/>
      </c>
      <c r="I47" s="86" t="str">
        <f>'R3'!I37</f>
        <v/>
      </c>
      <c r="J47" s="86" t="str">
        <f>'R3'!J37</f>
        <v/>
      </c>
      <c r="K47" s="86" t="str">
        <f>'R3'!K37</f>
        <v/>
      </c>
      <c r="L47" s="86" t="str">
        <f>'R3'!L37</f>
        <v/>
      </c>
      <c r="M47" s="86" t="str">
        <f>'R3'!M37</f>
        <v/>
      </c>
      <c r="N47"/>
      <c r="O47" s="86">
        <f>'R3'!O37</f>
        <v>1.6496197730644706</v>
      </c>
      <c r="P47" s="86" t="str">
        <f>'R3'!P37</f>
        <v/>
      </c>
      <c r="Q47" s="86" t="str">
        <f>'R3'!Q37</f>
        <v/>
      </c>
      <c r="R47" s="86" t="str">
        <f>'R3'!R37</f>
        <v/>
      </c>
      <c r="S47" s="86" t="str">
        <f>'R3'!S37</f>
        <v/>
      </c>
      <c r="T47" s="86" t="str">
        <f>'R3'!T37</f>
        <v/>
      </c>
      <c r="U47" s="86" t="str">
        <f>'R3'!U37</f>
        <v/>
      </c>
      <c r="V47" s="86" t="str">
        <f>'R3'!V37</f>
        <v/>
      </c>
    </row>
    <row r="48" spans="1:22" s="1" customFormat="1" x14ac:dyDescent="0.35">
      <c r="A48" s="145"/>
      <c r="B48" s="86" t="str">
        <f>'R3'!B38</f>
        <v/>
      </c>
      <c r="C48" s="86" t="str">
        <f>'R3'!C38</f>
        <v/>
      </c>
      <c r="D48" s="86" t="str">
        <f>'R3'!D38</f>
        <v/>
      </c>
      <c r="E48" s="86" t="str">
        <f>'R3'!E38</f>
        <v/>
      </c>
      <c r="F48" s="86" t="str">
        <f>'R3'!F38</f>
        <v/>
      </c>
      <c r="G48" s="86" t="str">
        <f>'R3'!G38</f>
        <v/>
      </c>
      <c r="H48" s="86" t="str">
        <f>'R3'!H38</f>
        <v/>
      </c>
      <c r="I48" s="86" t="str">
        <f>'R3'!I38</f>
        <v/>
      </c>
      <c r="J48" s="86" t="str">
        <f>'R3'!J38</f>
        <v/>
      </c>
      <c r="K48" s="86" t="str">
        <f>'R3'!K38</f>
        <v/>
      </c>
      <c r="L48" s="86" t="str">
        <f>'R3'!L38</f>
        <v/>
      </c>
      <c r="M48" s="86" t="str">
        <f>'R3'!M38</f>
        <v/>
      </c>
      <c r="N48"/>
      <c r="O48" s="86">
        <f>'R3'!O38</f>
        <v>2.7308135868903722</v>
      </c>
      <c r="P48" s="86" t="str">
        <f>'R3'!P38</f>
        <v/>
      </c>
      <c r="Q48" s="86" t="str">
        <f>'R3'!Q38</f>
        <v/>
      </c>
      <c r="R48" s="86" t="str">
        <f>'R3'!R38</f>
        <v/>
      </c>
      <c r="S48" s="86" t="str">
        <f>'R3'!S38</f>
        <v/>
      </c>
      <c r="T48" s="86" t="str">
        <f>'R3'!T38</f>
        <v/>
      </c>
      <c r="U48" s="86" t="str">
        <f>'R3'!U38</f>
        <v/>
      </c>
      <c r="V48" s="86" t="str">
        <f>'R3'!V38</f>
        <v/>
      </c>
    </row>
    <row r="49" spans="1:24" s="1" customFormat="1" x14ac:dyDescent="0.35">
      <c r="A49" s="145"/>
      <c r="B49" s="86" t="str">
        <f>'R3'!B39</f>
        <v/>
      </c>
      <c r="C49" s="86" t="str">
        <f>'R3'!C39</f>
        <v/>
      </c>
      <c r="D49" s="86" t="str">
        <f>'R3'!D39</f>
        <v/>
      </c>
      <c r="E49" s="86" t="str">
        <f>'R3'!E39</f>
        <v/>
      </c>
      <c r="F49" s="86" t="str">
        <f>'R3'!F39</f>
        <v/>
      </c>
      <c r="G49" s="86" t="str">
        <f>'R3'!G39</f>
        <v/>
      </c>
      <c r="H49" s="86" t="str">
        <f>'R3'!H39</f>
        <v/>
      </c>
      <c r="I49" s="86" t="str">
        <f>'R3'!I39</f>
        <v/>
      </c>
      <c r="J49" s="86" t="str">
        <f>'R3'!J39</f>
        <v/>
      </c>
      <c r="K49" s="86" t="str">
        <f>'R3'!K39</f>
        <v/>
      </c>
      <c r="L49" s="86" t="str">
        <f>'R3'!L39</f>
        <v/>
      </c>
      <c r="M49" s="86" t="str">
        <f>'R3'!M39</f>
        <v/>
      </c>
      <c r="N49"/>
      <c r="O49" s="86">
        <f>'R3'!O39</f>
        <v>2.0122497491042859</v>
      </c>
      <c r="P49" s="86" t="str">
        <f>'R3'!P39</f>
        <v/>
      </c>
      <c r="Q49" s="86" t="str">
        <f>'R3'!Q39</f>
        <v/>
      </c>
      <c r="R49" s="86" t="str">
        <f>'R3'!R39</f>
        <v/>
      </c>
      <c r="S49" s="86" t="str">
        <f>'R3'!S39</f>
        <v/>
      </c>
      <c r="T49" s="86" t="str">
        <f>'R3'!T39</f>
        <v/>
      </c>
      <c r="U49" s="86" t="str">
        <f>'R3'!U39</f>
        <v/>
      </c>
      <c r="V49" s="86" t="str">
        <f>'R3'!V39</f>
        <v/>
      </c>
    </row>
    <row r="50" spans="1:24" s="1" customFormat="1" x14ac:dyDescent="0.35">
      <c r="A50" s="145"/>
      <c r="B50" s="86" t="str">
        <f>'R3'!B40</f>
        <v/>
      </c>
      <c r="C50" s="86" t="str">
        <f>'R3'!C40</f>
        <v/>
      </c>
      <c r="D50" s="86" t="str">
        <f>'R3'!D40</f>
        <v/>
      </c>
      <c r="E50" s="86" t="str">
        <f>'R3'!E40</f>
        <v/>
      </c>
      <c r="F50" s="86" t="str">
        <f>'R3'!F40</f>
        <v/>
      </c>
      <c r="G50" s="86" t="str">
        <f>'R3'!G40</f>
        <v/>
      </c>
      <c r="H50" s="86" t="str">
        <f>'R3'!H40</f>
        <v/>
      </c>
      <c r="I50" s="86" t="str">
        <f>'R3'!I40</f>
        <v/>
      </c>
      <c r="J50" s="86" t="str">
        <f>'R3'!J40</f>
        <v/>
      </c>
      <c r="K50" s="86" t="str">
        <f>'R3'!K40</f>
        <v/>
      </c>
      <c r="L50" s="86" t="str">
        <f>'R3'!L40</f>
        <v/>
      </c>
      <c r="M50" s="86" t="str">
        <f>'R3'!M40</f>
        <v/>
      </c>
      <c r="N50"/>
      <c r="O50" s="86">
        <f>'R3'!O40</f>
        <v>1.392789790589896</v>
      </c>
      <c r="P50" s="86" t="str">
        <f>'R3'!P40</f>
        <v/>
      </c>
      <c r="Q50" s="86" t="str">
        <f>'R3'!Q40</f>
        <v/>
      </c>
      <c r="R50" s="86" t="str">
        <f>'R3'!R40</f>
        <v/>
      </c>
      <c r="S50" s="86" t="str">
        <f>'R3'!S40</f>
        <v/>
      </c>
      <c r="T50" s="86" t="str">
        <f>'R3'!T40</f>
        <v/>
      </c>
      <c r="U50" s="86" t="str">
        <f>'R3'!U40</f>
        <v/>
      </c>
      <c r="V50" s="86" t="str">
        <f>'R3'!V40</f>
        <v/>
      </c>
    </row>
    <row r="51" spans="1:24" s="1" customFormat="1" x14ac:dyDescent="0.35">
      <c r="A51" s="145"/>
      <c r="B51" s="86" t="str">
        <f>'R3'!B41</f>
        <v/>
      </c>
      <c r="C51" s="86" t="str">
        <f>'R3'!C41</f>
        <v/>
      </c>
      <c r="D51" s="86" t="str">
        <f>'R3'!D41</f>
        <v/>
      </c>
      <c r="E51" s="86" t="str">
        <f>'R3'!E41</f>
        <v/>
      </c>
      <c r="F51" s="86" t="str">
        <f>'R3'!F41</f>
        <v/>
      </c>
      <c r="G51" s="86" t="str">
        <f>'R3'!G41</f>
        <v/>
      </c>
      <c r="H51" s="86" t="str">
        <f>'R3'!H41</f>
        <v/>
      </c>
      <c r="I51" s="86" t="str">
        <f>'R3'!I41</f>
        <v/>
      </c>
      <c r="J51" s="86" t="str">
        <f>'R3'!J41</f>
        <v/>
      </c>
      <c r="K51" s="86" t="str">
        <f>'R3'!K41</f>
        <v/>
      </c>
      <c r="L51" s="86" t="str">
        <f>'R3'!L41</f>
        <v/>
      </c>
      <c r="M51" s="86" t="str">
        <f>'R3'!M41</f>
        <v/>
      </c>
      <c r="N51"/>
      <c r="O51" s="86">
        <f>'R3'!O41</f>
        <v>0.98130818154825838</v>
      </c>
      <c r="P51" s="86" t="str">
        <f>'R3'!P41</f>
        <v/>
      </c>
      <c r="Q51" s="86" t="str">
        <f>'R3'!Q41</f>
        <v/>
      </c>
      <c r="R51" s="86" t="str">
        <f>'R3'!R41</f>
        <v/>
      </c>
      <c r="S51" s="86" t="str">
        <f>'R3'!S41</f>
        <v/>
      </c>
      <c r="T51" s="86" t="str">
        <f>'R3'!T41</f>
        <v/>
      </c>
      <c r="U51" s="86" t="str">
        <f>'R3'!U41</f>
        <v/>
      </c>
      <c r="V51" s="86" t="str">
        <f>'R3'!V41</f>
        <v/>
      </c>
    </row>
    <row r="52" spans="1:24" s="1" customFormat="1" x14ac:dyDescent="0.35">
      <c r="A52" s="145"/>
      <c r="B52" s="86" t="str">
        <f>'R3'!B42</f>
        <v/>
      </c>
      <c r="C52" s="86" t="str">
        <f>'R3'!C42</f>
        <v/>
      </c>
      <c r="D52" s="86" t="str">
        <f>'R3'!D42</f>
        <v/>
      </c>
      <c r="E52" s="86" t="str">
        <f>'R3'!E42</f>
        <v/>
      </c>
      <c r="F52" s="86" t="str">
        <f>'R3'!F42</f>
        <v/>
      </c>
      <c r="G52" s="86" t="str">
        <f>'R3'!G42</f>
        <v/>
      </c>
      <c r="H52" s="86" t="str">
        <f>'R3'!H42</f>
        <v/>
      </c>
      <c r="I52" s="86" t="str">
        <f>'R3'!I42</f>
        <v/>
      </c>
      <c r="J52" s="86" t="str">
        <f>'R3'!J42</f>
        <v/>
      </c>
      <c r="K52" s="86" t="str">
        <f>'R3'!K42</f>
        <v/>
      </c>
      <c r="L52" s="86" t="str">
        <f>'R3'!L42</f>
        <v/>
      </c>
      <c r="M52" s="86" t="str">
        <f>'R3'!M42</f>
        <v/>
      </c>
      <c r="N52"/>
      <c r="O52" s="86">
        <f>'R3'!O42</f>
        <v>1.7549320796319186</v>
      </c>
      <c r="P52" s="86" t="str">
        <f>'R3'!P42</f>
        <v/>
      </c>
      <c r="Q52" s="86" t="str">
        <f>'R3'!Q42</f>
        <v/>
      </c>
      <c r="R52" s="86" t="str">
        <f>'R3'!R42</f>
        <v/>
      </c>
      <c r="S52" s="86" t="str">
        <f>'R3'!S42</f>
        <v/>
      </c>
      <c r="T52" s="86" t="str">
        <f>'R3'!T42</f>
        <v/>
      </c>
      <c r="U52" s="86" t="str">
        <f>'R3'!U42</f>
        <v/>
      </c>
      <c r="V52" s="86" t="str">
        <f>'R3'!V42</f>
        <v/>
      </c>
    </row>
    <row r="53" spans="1:24" s="1" customFormat="1" x14ac:dyDescent="0.35">
      <c r="A53" s="146"/>
      <c r="B53" s="86" t="str">
        <f>'R3'!B43</f>
        <v/>
      </c>
      <c r="C53" s="86" t="str">
        <f>'R3'!C43</f>
        <v/>
      </c>
      <c r="D53" s="86" t="str">
        <f>'R3'!D43</f>
        <v/>
      </c>
      <c r="E53" s="86" t="str">
        <f>'R3'!E43</f>
        <v/>
      </c>
      <c r="F53" s="86" t="str">
        <f>'R3'!F43</f>
        <v/>
      </c>
      <c r="G53" s="86" t="str">
        <f>'R3'!G43</f>
        <v/>
      </c>
      <c r="H53" s="86" t="str">
        <f>'R3'!H43</f>
        <v/>
      </c>
      <c r="I53" s="86" t="str">
        <f>'R3'!I43</f>
        <v/>
      </c>
      <c r="J53" s="86" t="str">
        <f>'R3'!J43</f>
        <v/>
      </c>
      <c r="K53" s="86" t="str">
        <f>'R3'!K43</f>
        <v/>
      </c>
      <c r="L53" s="86" t="str">
        <f>'R3'!L43</f>
        <v/>
      </c>
      <c r="M53" s="86" t="str">
        <f>'R3'!M43</f>
        <v/>
      </c>
      <c r="N53"/>
      <c r="O53" s="86">
        <f>'R3'!O43</f>
        <v>2.0549560633581736</v>
      </c>
      <c r="P53" s="86" t="str">
        <f>'R3'!P43</f>
        <v/>
      </c>
      <c r="Q53" s="86" t="str">
        <f>'R3'!Q43</f>
        <v/>
      </c>
      <c r="R53" s="86" t="str">
        <f>'R3'!R43</f>
        <v/>
      </c>
      <c r="S53" s="86" t="str">
        <f>'R3'!S43</f>
        <v/>
      </c>
      <c r="T53" s="86" t="str">
        <f>'R3'!T43</f>
        <v/>
      </c>
      <c r="U53" s="86" t="str">
        <f>'R3'!U43</f>
        <v/>
      </c>
      <c r="V53" s="86" t="str">
        <f>'R3'!V43</f>
        <v/>
      </c>
    </row>
    <row r="54" spans="1:24" s="44" customFormat="1" x14ac:dyDescent="0.35">
      <c r="A54" s="42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/>
      <c r="O54" s="43"/>
      <c r="P54" s="43"/>
      <c r="Q54" s="43"/>
      <c r="R54" s="43"/>
      <c r="S54" s="43"/>
      <c r="T54" s="43"/>
      <c r="U54" s="43"/>
      <c r="V54" s="43"/>
    </row>
    <row r="55" spans="1:24" s="26" customFormat="1" x14ac:dyDescent="0.35">
      <c r="A55" s="26" t="s">
        <v>37</v>
      </c>
      <c r="B55" s="15" t="str">
        <f t="shared" ref="B55:M55" si="0">B4</f>
        <v>Solvent control</v>
      </c>
      <c r="C55" s="15" t="str">
        <f t="shared" si="0"/>
        <v>EE2-33.8ng/L</v>
      </c>
      <c r="D55" s="15" t="str">
        <f t="shared" si="0"/>
        <v>EE2-50.6ng/L</v>
      </c>
      <c r="E55" s="15" t="str">
        <f t="shared" si="0"/>
        <v>EE2-76ng/L</v>
      </c>
      <c r="F55" s="15" t="str">
        <f t="shared" si="0"/>
        <v>EE2-114ng/L</v>
      </c>
      <c r="G55" s="15" t="str">
        <f t="shared" si="0"/>
        <v>EE2-170.9ng/L</v>
      </c>
      <c r="H55" s="15" t="str">
        <f t="shared" si="0"/>
        <v>EE2-488ng/L</v>
      </c>
      <c r="I55" s="15" t="str">
        <f t="shared" si="0"/>
        <v>BPA-1mg/L</v>
      </c>
      <c r="J55" s="15" t="str">
        <f t="shared" si="0"/>
        <v>BPA-2mg/L</v>
      </c>
      <c r="K55" s="15" t="str">
        <f t="shared" si="0"/>
        <v>BPA-3mg/L</v>
      </c>
      <c r="L55" s="15" t="str">
        <f t="shared" si="0"/>
        <v>BPA-4mg/L</v>
      </c>
      <c r="M55" s="15" t="str">
        <f t="shared" si="0"/>
        <v>BPA-5mg/L</v>
      </c>
      <c r="O55" s="15" t="str">
        <f t="shared" ref="O55:V55" si="1">O4</f>
        <v>Testo -30µg/L</v>
      </c>
      <c r="P55" s="15" t="str">
        <f t="shared" si="1"/>
        <v>Testo 30µg/L + EE2 -64ng/L</v>
      </c>
      <c r="Q55" s="15" t="str">
        <f t="shared" si="1"/>
        <v>Testo 30µg/L + FAD-10mg/L</v>
      </c>
      <c r="R55" s="15" t="str">
        <f t="shared" si="1"/>
        <v>BPA-1mg/L + Testostérone</v>
      </c>
      <c r="S55" s="15" t="str">
        <f t="shared" si="1"/>
        <v>BPA-2mg/L + Testostérone</v>
      </c>
      <c r="T55" s="15" t="str">
        <f t="shared" si="1"/>
        <v>BPA-3mg/L + Testostérone</v>
      </c>
      <c r="U55" s="15" t="str">
        <f t="shared" si="1"/>
        <v>BPA-4mg/L + Testostérone</v>
      </c>
      <c r="V55" s="15" t="str">
        <f t="shared" si="1"/>
        <v>BPA-5mg/L + Testostérone</v>
      </c>
    </row>
    <row r="56" spans="1:24" x14ac:dyDescent="0.35">
      <c r="A56" t="s">
        <v>10</v>
      </c>
      <c r="B56" s="9">
        <f t="shared" ref="B56:V56" si="2">AVERAGE(B6:B53)</f>
        <v>0.10416235654164323</v>
      </c>
      <c r="C56" s="9">
        <f t="shared" si="2"/>
        <v>0.25019166720632624</v>
      </c>
      <c r="D56" s="9">
        <f t="shared" si="2"/>
        <v>0.71380036697746052</v>
      </c>
      <c r="E56" s="9">
        <f t="shared" si="2"/>
        <v>1.749612703736052</v>
      </c>
      <c r="F56" s="9">
        <f t="shared" si="2"/>
        <v>3.0989026626629759</v>
      </c>
      <c r="G56" s="9">
        <f t="shared" si="2"/>
        <v>3.8317893117805455</v>
      </c>
      <c r="H56" s="9">
        <f t="shared" si="2"/>
        <v>4.8171508077315908</v>
      </c>
      <c r="I56" s="9">
        <f t="shared" si="2"/>
        <v>0.11519332796968705</v>
      </c>
      <c r="J56" s="9">
        <f t="shared" si="2"/>
        <v>0.15500094827853761</v>
      </c>
      <c r="K56" s="9">
        <f t="shared" si="2"/>
        <v>0.31155562442712537</v>
      </c>
      <c r="L56" s="9">
        <f t="shared" si="2"/>
        <v>0.7913344469768897</v>
      </c>
      <c r="M56" s="9">
        <f t="shared" si="2"/>
        <v>1.7832633044767729</v>
      </c>
      <c r="N56" s="9"/>
      <c r="O56" s="9">
        <f t="shared" si="2"/>
        <v>1.0000000000000002</v>
      </c>
      <c r="P56" s="9">
        <f t="shared" si="2"/>
        <v>3.5301544664672311</v>
      </c>
      <c r="Q56" s="9">
        <f t="shared" si="2"/>
        <v>8.2545657488748148E-2</v>
      </c>
      <c r="R56" s="9">
        <f t="shared" si="2"/>
        <v>1.0926423881544822</v>
      </c>
      <c r="S56" s="9">
        <f t="shared" si="2"/>
        <v>2.0660796708203222</v>
      </c>
      <c r="T56" s="9">
        <f t="shared" si="2"/>
        <v>3.0736905746247865</v>
      </c>
      <c r="U56" s="9">
        <f t="shared" si="2"/>
        <v>2.9724779744915577</v>
      </c>
      <c r="V56" s="9">
        <f t="shared" si="2"/>
        <v>3.6322062073094803</v>
      </c>
    </row>
    <row r="57" spans="1:24" x14ac:dyDescent="0.35">
      <c r="A57" t="s">
        <v>1</v>
      </c>
      <c r="B57" s="3">
        <f>STDEV(B6:B53)</f>
        <v>7.9784460689521386E-2</v>
      </c>
      <c r="C57" s="3">
        <f t="shared" ref="C57:V57" si="3">STDEV(C6:C53)</f>
        <v>0.21638331313059914</v>
      </c>
      <c r="D57" s="3">
        <f t="shared" si="3"/>
        <v>0.4854166704439411</v>
      </c>
      <c r="E57" s="3">
        <f t="shared" si="3"/>
        <v>1.170036066095886</v>
      </c>
      <c r="F57" s="3">
        <f t="shared" si="3"/>
        <v>1.8407858879435539</v>
      </c>
      <c r="G57" s="3">
        <f t="shared" si="3"/>
        <v>2.2796115937019823</v>
      </c>
      <c r="H57" s="3">
        <f t="shared" si="3"/>
        <v>2.0221918563952133</v>
      </c>
      <c r="I57" s="3">
        <f t="shared" si="3"/>
        <v>9.0416419940220621E-2</v>
      </c>
      <c r="J57" s="3">
        <f t="shared" si="3"/>
        <v>0.14170779664946123</v>
      </c>
      <c r="K57" s="3">
        <f t="shared" si="3"/>
        <v>0.38553428419297797</v>
      </c>
      <c r="L57" s="3">
        <f t="shared" si="3"/>
        <v>1.0787234261317407</v>
      </c>
      <c r="M57" s="3">
        <f t="shared" si="3"/>
        <v>1.5189829774631169</v>
      </c>
      <c r="N57" s="3"/>
      <c r="O57" s="3">
        <f t="shared" si="3"/>
        <v>0.82996872725624771</v>
      </c>
      <c r="P57" s="3">
        <f t="shared" si="3"/>
        <v>1.8057152167053336</v>
      </c>
      <c r="Q57" s="3">
        <f t="shared" si="3"/>
        <v>7.1118222819306978E-2</v>
      </c>
      <c r="R57" s="3">
        <f t="shared" si="3"/>
        <v>0.76401986922705567</v>
      </c>
      <c r="S57" s="3">
        <f t="shared" si="3"/>
        <v>1.2721867254504089</v>
      </c>
      <c r="T57" s="3">
        <f t="shared" si="3"/>
        <v>1.9251065961859486</v>
      </c>
      <c r="U57" s="3">
        <f t="shared" si="3"/>
        <v>1.471578758339662</v>
      </c>
      <c r="V57" s="3">
        <f t="shared" si="3"/>
        <v>2.2789383401401015</v>
      </c>
      <c r="W57" s="3"/>
      <c r="X57" s="3"/>
    </row>
    <row r="58" spans="1:24" x14ac:dyDescent="0.35">
      <c r="A58" t="s">
        <v>2</v>
      </c>
      <c r="B58" s="3">
        <f xml:space="preserve"> B57/SQRT(COUNT(B6:B53))</f>
        <v>1.6636210071535269E-2</v>
      </c>
      <c r="C58" s="3">
        <f t="shared" ref="C58:V58" si="4" xml:space="preserve"> C57/SQRT(COUNT(C6:C53))</f>
        <v>4.5119039749155418E-2</v>
      </c>
      <c r="D58" s="3">
        <f t="shared" si="4"/>
        <v>0.10349118186960352</v>
      </c>
      <c r="E58" s="3">
        <f t="shared" si="4"/>
        <v>0.24396938474762847</v>
      </c>
      <c r="F58" s="3">
        <f t="shared" si="4"/>
        <v>0.38383039082908227</v>
      </c>
      <c r="G58" s="3">
        <f t="shared" si="4"/>
        <v>0.47533187573848329</v>
      </c>
      <c r="H58" s="3">
        <f t="shared" si="4"/>
        <v>0.43113275239194115</v>
      </c>
      <c r="I58" s="3">
        <f t="shared" si="4"/>
        <v>1.9276845501564735E-2</v>
      </c>
      <c r="J58" s="3">
        <f t="shared" si="4"/>
        <v>3.092317641483646E-2</v>
      </c>
      <c r="K58" s="3">
        <f t="shared" si="4"/>
        <v>8.0389455367412543E-2</v>
      </c>
      <c r="L58" s="3">
        <f t="shared" si="4"/>
        <v>0.22998460720086553</v>
      </c>
      <c r="M58" s="3">
        <f t="shared" si="4"/>
        <v>0.31672984550839267</v>
      </c>
      <c r="N58" s="3"/>
      <c r="O58" s="3">
        <f t="shared" si="4"/>
        <v>0.12237221269405145</v>
      </c>
      <c r="P58" s="3">
        <f t="shared" si="4"/>
        <v>0.37651765036525647</v>
      </c>
      <c r="Q58" s="3">
        <f t="shared" si="4"/>
        <v>1.4829174559948279E-2</v>
      </c>
      <c r="R58" s="3">
        <f t="shared" si="4"/>
        <v>0.15595490274618484</v>
      </c>
      <c r="S58" s="3">
        <f t="shared" si="4"/>
        <v>0.26526926962848069</v>
      </c>
      <c r="T58" s="3">
        <f t="shared" si="4"/>
        <v>0.40141247390112272</v>
      </c>
      <c r="U58" s="3">
        <f t="shared" si="4"/>
        <v>0.30038475618755062</v>
      </c>
      <c r="V58" s="3">
        <f t="shared" si="4"/>
        <v>0.46518634071737508</v>
      </c>
      <c r="W58" s="3"/>
      <c r="X58" s="3"/>
    </row>
    <row r="59" spans="1:24" s="1" customFormat="1" ht="15" thickBot="1" x14ac:dyDescent="0.4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spans="1:24" s="32" customFormat="1" ht="26.5" thickBot="1" x14ac:dyDescent="0.4">
      <c r="A60" s="147"/>
      <c r="B60" s="148"/>
      <c r="C60" s="148"/>
      <c r="D60" s="148"/>
      <c r="E60" s="148"/>
      <c r="F60" s="148"/>
      <c r="G60" s="148"/>
      <c r="H60" s="148"/>
      <c r="I60" s="148"/>
      <c r="J60" s="148"/>
      <c r="K60" s="148"/>
      <c r="L60" s="148"/>
      <c r="M60" s="148"/>
      <c r="N60" s="148"/>
      <c r="O60" s="148"/>
      <c r="P60" s="148"/>
      <c r="Q60" s="148"/>
      <c r="R60" s="148"/>
      <c r="S60" s="148"/>
      <c r="T60" s="148"/>
      <c r="U60" s="148"/>
      <c r="V60" s="148"/>
    </row>
    <row r="61" spans="1:24" s="1" customFormat="1" x14ac:dyDescent="0.35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spans="1:24" s="1" customFormat="1" x14ac:dyDescent="0.35">
      <c r="A62" s="1" t="s">
        <v>37</v>
      </c>
      <c r="B62" s="3" t="str">
        <f t="shared" ref="B62" si="5">B4</f>
        <v>Solvent control</v>
      </c>
      <c r="C62" s="3" t="str">
        <f t="shared" ref="C62:V62" si="6">C4</f>
        <v>EE2-33.8ng/L</v>
      </c>
      <c r="D62" s="3" t="str">
        <f t="shared" si="6"/>
        <v>EE2-50.6ng/L</v>
      </c>
      <c r="E62" s="3" t="str">
        <f t="shared" si="6"/>
        <v>EE2-76ng/L</v>
      </c>
      <c r="F62" s="3" t="str">
        <f t="shared" si="6"/>
        <v>EE2-114ng/L</v>
      </c>
      <c r="G62" s="3" t="str">
        <f t="shared" si="6"/>
        <v>EE2-170.9ng/L</v>
      </c>
      <c r="H62" s="3" t="str">
        <f t="shared" si="6"/>
        <v>EE2-488ng/L</v>
      </c>
      <c r="I62" s="3" t="str">
        <f t="shared" si="6"/>
        <v>BPA-1mg/L</v>
      </c>
      <c r="J62" s="3" t="str">
        <f t="shared" si="6"/>
        <v>BPA-2mg/L</v>
      </c>
      <c r="K62" s="3" t="str">
        <f t="shared" si="6"/>
        <v>BPA-3mg/L</v>
      </c>
      <c r="L62" s="3" t="str">
        <f t="shared" si="6"/>
        <v>BPA-4mg/L</v>
      </c>
      <c r="M62" s="3" t="str">
        <f t="shared" si="6"/>
        <v>BPA-5mg/L</v>
      </c>
      <c r="N62" s="3"/>
      <c r="O62" s="3" t="str">
        <f t="shared" si="6"/>
        <v>Testo -30µg/L</v>
      </c>
      <c r="P62" s="3" t="str">
        <f t="shared" si="6"/>
        <v>Testo 30µg/L + EE2 -64ng/L</v>
      </c>
      <c r="Q62" s="3" t="str">
        <f t="shared" si="6"/>
        <v>Testo 30µg/L + FAD-10mg/L</v>
      </c>
      <c r="R62" s="3" t="str">
        <f t="shared" si="6"/>
        <v>BPA-1mg/L + Testostérone</v>
      </c>
      <c r="S62" s="3" t="str">
        <f t="shared" si="6"/>
        <v>BPA-2mg/L + Testostérone</v>
      </c>
      <c r="T62" s="3" t="str">
        <f t="shared" si="6"/>
        <v>BPA-3mg/L + Testostérone</v>
      </c>
      <c r="U62" s="3" t="str">
        <f t="shared" si="6"/>
        <v>BPA-4mg/L + Testostérone</v>
      </c>
      <c r="V62" s="3" t="str">
        <f t="shared" si="6"/>
        <v>BPA-5mg/L + Testostérone</v>
      </c>
    </row>
    <row r="63" spans="1:24" s="1" customFormat="1" x14ac:dyDescent="0.35">
      <c r="A63" s="1" t="s">
        <v>44</v>
      </c>
      <c r="B63" s="3">
        <f>COUNT(B6:B53)</f>
        <v>23</v>
      </c>
      <c r="C63" s="3">
        <f t="shared" ref="C63:V63" si="7">COUNT(C6:C53)</f>
        <v>23</v>
      </c>
      <c r="D63" s="3">
        <f t="shared" si="7"/>
        <v>22</v>
      </c>
      <c r="E63" s="3">
        <f t="shared" si="7"/>
        <v>23</v>
      </c>
      <c r="F63" s="3">
        <f t="shared" si="7"/>
        <v>23</v>
      </c>
      <c r="G63" s="3">
        <f t="shared" si="7"/>
        <v>23</v>
      </c>
      <c r="H63" s="3">
        <f t="shared" si="7"/>
        <v>22</v>
      </c>
      <c r="I63" s="3">
        <f t="shared" si="7"/>
        <v>22</v>
      </c>
      <c r="J63" s="3">
        <f t="shared" si="7"/>
        <v>21</v>
      </c>
      <c r="K63" s="3">
        <f t="shared" si="7"/>
        <v>23</v>
      </c>
      <c r="L63" s="3">
        <f t="shared" si="7"/>
        <v>22</v>
      </c>
      <c r="M63" s="3">
        <f t="shared" si="7"/>
        <v>23</v>
      </c>
      <c r="N63" s="3"/>
      <c r="O63" s="3">
        <f t="shared" si="7"/>
        <v>46</v>
      </c>
      <c r="P63" s="3">
        <f t="shared" si="7"/>
        <v>23</v>
      </c>
      <c r="Q63" s="3">
        <f t="shared" si="7"/>
        <v>23</v>
      </c>
      <c r="R63" s="3">
        <f t="shared" si="7"/>
        <v>24</v>
      </c>
      <c r="S63" s="3">
        <f t="shared" si="7"/>
        <v>23</v>
      </c>
      <c r="T63" s="3">
        <f t="shared" si="7"/>
        <v>23</v>
      </c>
      <c r="U63" s="3">
        <f t="shared" si="7"/>
        <v>24</v>
      </c>
      <c r="V63" s="3">
        <f t="shared" si="7"/>
        <v>24</v>
      </c>
    </row>
    <row r="64" spans="1:24" s="1" customFormat="1" ht="15" thickBot="1" x14ac:dyDescent="0.4">
      <c r="B64" s="3" t="str">
        <f>IF(B63&gt;=21,"OK","ATTENTION")</f>
        <v>OK</v>
      </c>
      <c r="C64" s="3" t="str">
        <f t="shared" ref="C64:V64" si="8">IF(C63&gt;=21,"OK","ATTENTION")</f>
        <v>OK</v>
      </c>
      <c r="D64" s="3" t="str">
        <f t="shared" si="8"/>
        <v>OK</v>
      </c>
      <c r="E64" s="3" t="str">
        <f t="shared" si="8"/>
        <v>OK</v>
      </c>
      <c r="F64" s="3" t="str">
        <f t="shared" si="8"/>
        <v>OK</v>
      </c>
      <c r="G64" s="3" t="str">
        <f t="shared" si="8"/>
        <v>OK</v>
      </c>
      <c r="H64" s="3" t="str">
        <f t="shared" si="8"/>
        <v>OK</v>
      </c>
      <c r="I64" s="3" t="str">
        <f t="shared" si="8"/>
        <v>OK</v>
      </c>
      <c r="J64" s="3" t="str">
        <f t="shared" si="8"/>
        <v>OK</v>
      </c>
      <c r="K64" s="3" t="str">
        <f t="shared" si="8"/>
        <v>OK</v>
      </c>
      <c r="L64" s="3" t="str">
        <f t="shared" si="8"/>
        <v>OK</v>
      </c>
      <c r="M64" s="3" t="str">
        <f t="shared" si="8"/>
        <v>OK</v>
      </c>
      <c r="N64" s="3"/>
      <c r="O64" s="3" t="str">
        <f>IF(O63&gt;=41,"OK","ATTENTION")</f>
        <v>OK</v>
      </c>
      <c r="P64" s="3" t="str">
        <f t="shared" si="8"/>
        <v>OK</v>
      </c>
      <c r="Q64" s="3" t="str">
        <f t="shared" si="8"/>
        <v>OK</v>
      </c>
      <c r="R64" s="3" t="str">
        <f t="shared" si="8"/>
        <v>OK</v>
      </c>
      <c r="S64" s="3" t="str">
        <f t="shared" si="8"/>
        <v>OK</v>
      </c>
      <c r="T64" s="3" t="str">
        <f t="shared" si="8"/>
        <v>OK</v>
      </c>
      <c r="U64" s="3" t="str">
        <f t="shared" si="8"/>
        <v>OK</v>
      </c>
      <c r="V64" s="3" t="str">
        <f t="shared" si="8"/>
        <v>OK</v>
      </c>
    </row>
    <row r="65" spans="1:22" s="32" customFormat="1" ht="26.5" thickBot="1" x14ac:dyDescent="0.4">
      <c r="A65" s="147"/>
      <c r="B65" s="148"/>
      <c r="C65" s="148"/>
      <c r="D65" s="148"/>
      <c r="E65" s="148"/>
      <c r="F65" s="148"/>
      <c r="G65" s="148"/>
      <c r="H65" s="148"/>
      <c r="I65" s="148"/>
      <c r="J65" s="148"/>
      <c r="K65" s="148"/>
      <c r="L65" s="148"/>
      <c r="M65" s="148"/>
      <c r="N65" s="148"/>
      <c r="O65" s="148"/>
      <c r="P65" s="148"/>
      <c r="Q65" s="148"/>
      <c r="R65" s="148"/>
      <c r="S65" s="148"/>
      <c r="T65" s="148"/>
      <c r="U65" s="148"/>
      <c r="V65" s="148"/>
    </row>
    <row r="66" spans="1:22" s="1" customFormat="1" x14ac:dyDescent="0.35"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spans="1:22" s="1" customFormat="1" x14ac:dyDescent="0.3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1:22" s="1" customFormat="1" x14ac:dyDescent="0.3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spans="1:22" s="1" customFormat="1" ht="15" thickBot="1" x14ac:dyDescent="0.4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spans="1:22" s="32" customFormat="1" ht="26.5" thickBot="1" x14ac:dyDescent="0.4">
      <c r="A70" s="147"/>
      <c r="B70" s="148"/>
      <c r="C70" s="148"/>
      <c r="D70" s="148"/>
      <c r="E70" s="148"/>
      <c r="F70" s="148"/>
      <c r="G70" s="148"/>
      <c r="H70" s="148"/>
      <c r="I70" s="148"/>
      <c r="J70" s="148"/>
      <c r="K70" s="148"/>
      <c r="L70" s="148"/>
      <c r="M70" s="148"/>
      <c r="N70" s="148"/>
      <c r="O70" s="148"/>
      <c r="P70" s="148"/>
      <c r="Q70" s="148"/>
      <c r="R70" s="148"/>
      <c r="S70" s="148"/>
      <c r="T70" s="148"/>
      <c r="U70" s="148"/>
      <c r="V70" s="148"/>
    </row>
    <row r="71" spans="1:22" ht="15" thickBot="1" x14ac:dyDescent="0.4"/>
    <row r="72" spans="1:22" s="32" customFormat="1" ht="26.5" thickBot="1" x14ac:dyDescent="0.4">
      <c r="A72" s="147"/>
      <c r="B72" s="148"/>
      <c r="C72" s="148"/>
      <c r="D72" s="148"/>
      <c r="E72" s="148"/>
      <c r="F72" s="148"/>
      <c r="G72" s="148"/>
      <c r="H72" s="148"/>
      <c r="I72" s="148"/>
      <c r="J72" s="148"/>
      <c r="K72" s="148"/>
      <c r="L72" s="148"/>
      <c r="M72" s="148"/>
      <c r="N72" s="148"/>
      <c r="O72" s="148"/>
      <c r="P72" s="148"/>
      <c r="Q72" s="148"/>
      <c r="R72" s="148"/>
      <c r="S72" s="148"/>
      <c r="T72" s="148"/>
      <c r="U72" s="148"/>
      <c r="V72" s="148"/>
    </row>
    <row r="73" spans="1:22" ht="15" thickBot="1" x14ac:dyDescent="0.4">
      <c r="J73" s="3">
        <v>1</v>
      </c>
      <c r="K73" s="3">
        <v>2</v>
      </c>
      <c r="L73" s="3">
        <v>3</v>
      </c>
      <c r="M73" s="3">
        <v>4</v>
      </c>
      <c r="R73" s="3">
        <v>1</v>
      </c>
      <c r="S73" s="3">
        <v>2</v>
      </c>
      <c r="T73" s="3">
        <v>3</v>
      </c>
      <c r="U73" s="3">
        <v>4</v>
      </c>
      <c r="V73" s="3">
        <v>5</v>
      </c>
    </row>
    <row r="74" spans="1:22" s="1" customFormat="1" x14ac:dyDescent="0.35">
      <c r="A74" s="29" t="s">
        <v>45</v>
      </c>
      <c r="B74" s="30" t="str">
        <f t="shared" ref="B74:M74" si="9">B4</f>
        <v>Solvent control</v>
      </c>
      <c r="C74" s="30" t="str">
        <f t="shared" si="9"/>
        <v>EE2-33.8ng/L</v>
      </c>
      <c r="D74" s="30" t="str">
        <f t="shared" si="9"/>
        <v>EE2-50.6ng/L</v>
      </c>
      <c r="E74" s="30" t="str">
        <f t="shared" si="9"/>
        <v>EE2-76ng/L</v>
      </c>
      <c r="F74" s="30" t="str">
        <f t="shared" si="9"/>
        <v>EE2-114ng/L</v>
      </c>
      <c r="G74" s="30" t="str">
        <f t="shared" si="9"/>
        <v>EE2-170.9ng/L</v>
      </c>
      <c r="H74" s="30" t="str">
        <f t="shared" si="9"/>
        <v>EE2-488ng/L</v>
      </c>
      <c r="I74" s="30" t="str">
        <f t="shared" si="9"/>
        <v>BPA-1mg/L</v>
      </c>
      <c r="J74" s="30" t="str">
        <f t="shared" si="9"/>
        <v>BPA-2mg/L</v>
      </c>
      <c r="K74" s="30" t="str">
        <f t="shared" si="9"/>
        <v>BPA-3mg/L</v>
      </c>
      <c r="L74" s="30" t="str">
        <f t="shared" si="9"/>
        <v>BPA-4mg/L</v>
      </c>
      <c r="M74" s="30" t="str">
        <f t="shared" si="9"/>
        <v>BPA-5mg/L</v>
      </c>
      <c r="N74" s="30"/>
      <c r="O74" s="30" t="str">
        <f t="shared" ref="O74:V74" si="10">O4</f>
        <v>Testo -30µg/L</v>
      </c>
      <c r="P74" s="30" t="str">
        <f t="shared" si="10"/>
        <v>Testo 30µg/L + EE2 -64ng/L</v>
      </c>
      <c r="Q74" s="30" t="str">
        <f t="shared" si="10"/>
        <v>Testo 30µg/L + FAD-10mg/L</v>
      </c>
      <c r="R74" s="30" t="str">
        <f t="shared" si="10"/>
        <v>BPA-1mg/L + Testostérone</v>
      </c>
      <c r="S74" s="30" t="str">
        <f t="shared" si="10"/>
        <v>BPA-2mg/L + Testostérone</v>
      </c>
      <c r="T74" s="30" t="str">
        <f t="shared" si="10"/>
        <v>BPA-3mg/L + Testostérone</v>
      </c>
      <c r="U74" s="30" t="str">
        <f t="shared" si="10"/>
        <v>BPA-4mg/L + Testostérone</v>
      </c>
      <c r="V74" s="30" t="str">
        <f t="shared" si="10"/>
        <v>BPA-5mg/L + Testostérone</v>
      </c>
    </row>
    <row r="75" spans="1:22" s="3" customFormat="1" x14ac:dyDescent="0.35">
      <c r="A75" s="45" t="s">
        <v>10</v>
      </c>
      <c r="B75" s="78">
        <f>B56</f>
        <v>0.10416235654164323</v>
      </c>
      <c r="C75" s="78">
        <f t="shared" ref="C75:V75" si="11">C56</f>
        <v>0.25019166720632624</v>
      </c>
      <c r="D75" s="78">
        <f t="shared" si="11"/>
        <v>0.71380036697746052</v>
      </c>
      <c r="E75" s="78">
        <f t="shared" si="11"/>
        <v>1.749612703736052</v>
      </c>
      <c r="F75" s="78">
        <f t="shared" si="11"/>
        <v>3.0989026626629759</v>
      </c>
      <c r="G75" s="78">
        <f t="shared" si="11"/>
        <v>3.8317893117805455</v>
      </c>
      <c r="H75" s="78">
        <f t="shared" si="11"/>
        <v>4.8171508077315908</v>
      </c>
      <c r="I75" s="78">
        <f t="shared" si="11"/>
        <v>0.11519332796968705</v>
      </c>
      <c r="J75" s="78">
        <f t="shared" si="11"/>
        <v>0.15500094827853761</v>
      </c>
      <c r="K75" s="78">
        <f t="shared" si="11"/>
        <v>0.31155562442712537</v>
      </c>
      <c r="L75" s="78">
        <f t="shared" si="11"/>
        <v>0.7913344469768897</v>
      </c>
      <c r="M75" s="78">
        <f t="shared" si="11"/>
        <v>1.7832633044767729</v>
      </c>
      <c r="N75" s="78"/>
      <c r="O75" s="78">
        <f t="shared" si="11"/>
        <v>1.0000000000000002</v>
      </c>
      <c r="P75" s="78">
        <f t="shared" si="11"/>
        <v>3.5301544664672311</v>
      </c>
      <c r="Q75" s="78">
        <f t="shared" si="11"/>
        <v>8.2545657488748148E-2</v>
      </c>
      <c r="R75" s="78">
        <f t="shared" si="11"/>
        <v>1.0926423881544822</v>
      </c>
      <c r="S75" s="78">
        <f t="shared" si="11"/>
        <v>2.0660796708203222</v>
      </c>
      <c r="T75" s="78">
        <f t="shared" si="11"/>
        <v>3.0736905746247865</v>
      </c>
      <c r="U75" s="78">
        <f t="shared" si="11"/>
        <v>2.9724779744915577</v>
      </c>
      <c r="V75" s="78">
        <f t="shared" si="11"/>
        <v>3.6322062073094803</v>
      </c>
    </row>
    <row r="76" spans="1:22" s="3" customFormat="1" x14ac:dyDescent="0.35">
      <c r="A76" s="45" t="s">
        <v>2</v>
      </c>
      <c r="B76" s="78">
        <f>B58</f>
        <v>1.6636210071535269E-2</v>
      </c>
      <c r="C76" s="78">
        <f t="shared" ref="C76:V76" si="12">C58</f>
        <v>4.5119039749155418E-2</v>
      </c>
      <c r="D76" s="78">
        <f t="shared" si="12"/>
        <v>0.10349118186960352</v>
      </c>
      <c r="E76" s="78">
        <f t="shared" si="12"/>
        <v>0.24396938474762847</v>
      </c>
      <c r="F76" s="78">
        <f t="shared" si="12"/>
        <v>0.38383039082908227</v>
      </c>
      <c r="G76" s="78">
        <f t="shared" si="12"/>
        <v>0.47533187573848329</v>
      </c>
      <c r="H76" s="78">
        <f t="shared" si="12"/>
        <v>0.43113275239194115</v>
      </c>
      <c r="I76" s="78">
        <f t="shared" si="12"/>
        <v>1.9276845501564735E-2</v>
      </c>
      <c r="J76" s="78">
        <f t="shared" si="12"/>
        <v>3.092317641483646E-2</v>
      </c>
      <c r="K76" s="78">
        <f t="shared" si="12"/>
        <v>8.0389455367412543E-2</v>
      </c>
      <c r="L76" s="78">
        <f t="shared" si="12"/>
        <v>0.22998460720086553</v>
      </c>
      <c r="M76" s="78">
        <f t="shared" si="12"/>
        <v>0.31672984550839267</v>
      </c>
      <c r="N76" s="78"/>
      <c r="O76" s="78">
        <f t="shared" si="12"/>
        <v>0.12237221269405145</v>
      </c>
      <c r="P76" s="78">
        <f t="shared" si="12"/>
        <v>0.37651765036525647</v>
      </c>
      <c r="Q76" s="78">
        <f t="shared" si="12"/>
        <v>1.4829174559948279E-2</v>
      </c>
      <c r="R76" s="78">
        <f t="shared" si="12"/>
        <v>0.15595490274618484</v>
      </c>
      <c r="S76" s="78">
        <f t="shared" si="12"/>
        <v>0.26526926962848069</v>
      </c>
      <c r="T76" s="78">
        <f t="shared" si="12"/>
        <v>0.40141247390112272</v>
      </c>
      <c r="U76" s="78">
        <f t="shared" si="12"/>
        <v>0.30038475618755062</v>
      </c>
      <c r="V76" s="78">
        <f t="shared" si="12"/>
        <v>0.46518634071737508</v>
      </c>
    </row>
    <row r="77" spans="1:22" s="3" customFormat="1" x14ac:dyDescent="0.35">
      <c r="A77" s="45" t="s">
        <v>14</v>
      </c>
      <c r="B77" s="78">
        <f>(B75*100/$B$75)-100</f>
        <v>0</v>
      </c>
      <c r="C77" s="78">
        <f t="shared" ref="C77:M77" si="13">(C75*100/$B$75)-100</f>
        <v>140.19393907078296</v>
      </c>
      <c r="D77" s="78">
        <f t="shared" si="13"/>
        <v>585.27670712988254</v>
      </c>
      <c r="E77" s="78">
        <f t="shared" si="13"/>
        <v>1579.6976967745268</v>
      </c>
      <c r="F77" s="78">
        <f t="shared" si="13"/>
        <v>2875.0696562093053</v>
      </c>
      <c r="G77" s="78">
        <f t="shared" si="13"/>
        <v>3578.6699523725047</v>
      </c>
      <c r="H77" s="78">
        <f t="shared" si="13"/>
        <v>4524.6561307450211</v>
      </c>
      <c r="I77" s="78">
        <f t="shared" si="13"/>
        <v>10.590170762538122</v>
      </c>
      <c r="J77" s="78">
        <f t="shared" si="13"/>
        <v>48.807067567225744</v>
      </c>
      <c r="K77" s="78">
        <f t="shared" si="13"/>
        <v>199.10577560960621</v>
      </c>
      <c r="L77" s="78">
        <f t="shared" si="13"/>
        <v>659.71250387420037</v>
      </c>
      <c r="M77" s="78">
        <f t="shared" si="13"/>
        <v>1612.0036102138679</v>
      </c>
      <c r="N77" s="78"/>
      <c r="O77" s="78">
        <f>(O75*100/$O$75)-100</f>
        <v>0</v>
      </c>
      <c r="P77" s="78">
        <f t="shared" ref="P77:V77" si="14">(P75*100/$O$75)-100</f>
        <v>253.01544664672303</v>
      </c>
      <c r="Q77" s="78">
        <f t="shared" si="14"/>
        <v>-91.745434251125189</v>
      </c>
      <c r="R77" s="78">
        <f t="shared" si="14"/>
        <v>9.2642388154481949</v>
      </c>
      <c r="S77" s="78">
        <f t="shared" si="14"/>
        <v>106.60796708203216</v>
      </c>
      <c r="T77" s="78">
        <f t="shared" si="14"/>
        <v>207.36905746247857</v>
      </c>
      <c r="U77" s="78">
        <f t="shared" si="14"/>
        <v>197.24779744915571</v>
      </c>
      <c r="V77" s="78">
        <f t="shared" si="14"/>
        <v>263.22062073094799</v>
      </c>
    </row>
    <row r="78" spans="1:22" s="3" customFormat="1" x14ac:dyDescent="0.35">
      <c r="A78" s="45" t="s">
        <v>38</v>
      </c>
      <c r="B78" s="78">
        <f>[1]!DPTEST(B6:B53)</f>
        <v>9.5261507665774459E-2</v>
      </c>
      <c r="C78" s="78">
        <f>[1]!DPTEST(C6:C53)</f>
        <v>6.3234295646763528E-4</v>
      </c>
      <c r="D78" s="78">
        <f>[1]!DPTEST(D6:D53)</f>
        <v>0.31902934145413409</v>
      </c>
      <c r="E78" s="78">
        <f>[1]!DPTEST(E6:E53)</f>
        <v>0.31015750755994642</v>
      </c>
      <c r="F78" s="78">
        <f>[1]!DPTEST(F6:F53)</f>
        <v>0.17679114213899272</v>
      </c>
      <c r="G78" s="78">
        <f>[1]!DPTEST(G6:G53)</f>
        <v>0.65069871424609427</v>
      </c>
      <c r="H78" s="78">
        <f>[1]!DPTEST(H6:H53)</f>
        <v>0.21547310885563631</v>
      </c>
      <c r="I78" s="78">
        <f>[1]!DPTEST(I6:I53)</f>
        <v>0.15586879444372292</v>
      </c>
      <c r="J78" s="78">
        <f>[1]!DPTEST(J6:J53)</f>
        <v>6.7549705198719501E-3</v>
      </c>
      <c r="K78" s="78">
        <f>[1]!DPTEST(K6:K53)</f>
        <v>3.4897763683483518E-4</v>
      </c>
      <c r="L78" s="78">
        <f>[1]!DPTEST(L6:L53)</f>
        <v>7.7895247008230584E-4</v>
      </c>
      <c r="M78" s="78">
        <f>[1]!DPTEST(M6:M53)</f>
        <v>1.8214054911317445E-3</v>
      </c>
      <c r="N78" s="78"/>
      <c r="O78" s="78">
        <f>[1]!DPTEST(O6:O53)</f>
        <v>7.9471746741125782E-2</v>
      </c>
      <c r="P78" s="78">
        <f>[1]!DPTEST(P6:P53)</f>
        <v>0.15737448272425458</v>
      </c>
      <c r="Q78" s="78">
        <f>[1]!DPTEST(Q6:Q53)</f>
        <v>8.4193361385720644E-2</v>
      </c>
      <c r="R78" s="78">
        <f>[1]!DPTEST(R6:R53)</f>
        <v>0.36087813168190563</v>
      </c>
      <c r="S78" s="78">
        <f>[1]!DPTEST(S6:S53)</f>
        <v>2.5764536811074157E-2</v>
      </c>
      <c r="T78" s="78">
        <f>[1]!DPTEST(T6:T53)</f>
        <v>0.54860299368610899</v>
      </c>
      <c r="U78" s="78">
        <f>[1]!DPTEST(U6:U53)</f>
        <v>0.52567129241161259</v>
      </c>
      <c r="V78" s="78">
        <f>[1]!DPTEST(V6:V53)</f>
        <v>0.20064508920369051</v>
      </c>
    </row>
    <row r="79" spans="1:22" s="3" customFormat="1" x14ac:dyDescent="0.35">
      <c r="A79" s="45" t="s">
        <v>39</v>
      </c>
      <c r="B79" s="78" t="str">
        <f>IF(B78&gt;0.05,"Oui","Non")</f>
        <v>Oui</v>
      </c>
      <c r="C79" s="78" t="str">
        <f t="shared" ref="C79:V79" si="15">IF(C78&gt;0.05,"Oui","Non")</f>
        <v>Non</v>
      </c>
      <c r="D79" s="78" t="str">
        <f t="shared" si="15"/>
        <v>Oui</v>
      </c>
      <c r="E79" s="78" t="str">
        <f t="shared" si="15"/>
        <v>Oui</v>
      </c>
      <c r="F79" s="78" t="str">
        <f t="shared" si="15"/>
        <v>Oui</v>
      </c>
      <c r="G79" s="78" t="str">
        <f t="shared" si="15"/>
        <v>Oui</v>
      </c>
      <c r="H79" s="78" t="str">
        <f t="shared" si="15"/>
        <v>Oui</v>
      </c>
      <c r="I79" s="78" t="str">
        <f t="shared" si="15"/>
        <v>Oui</v>
      </c>
      <c r="J79" s="78" t="str">
        <f t="shared" si="15"/>
        <v>Non</v>
      </c>
      <c r="K79" s="78" t="str">
        <f t="shared" si="15"/>
        <v>Non</v>
      </c>
      <c r="L79" s="78" t="str">
        <f t="shared" si="15"/>
        <v>Non</v>
      </c>
      <c r="M79" s="78" t="str">
        <f t="shared" si="15"/>
        <v>Non</v>
      </c>
      <c r="N79" s="78"/>
      <c r="O79" s="78" t="str">
        <f t="shared" si="15"/>
        <v>Oui</v>
      </c>
      <c r="P79" s="78" t="str">
        <f t="shared" si="15"/>
        <v>Oui</v>
      </c>
      <c r="Q79" s="78" t="str">
        <f t="shared" si="15"/>
        <v>Oui</v>
      </c>
      <c r="R79" s="78" t="str">
        <f t="shared" si="15"/>
        <v>Oui</v>
      </c>
      <c r="S79" s="78" t="str">
        <f t="shared" si="15"/>
        <v>Non</v>
      </c>
      <c r="T79" s="78" t="str">
        <f t="shared" si="15"/>
        <v>Oui</v>
      </c>
      <c r="U79" s="78" t="str">
        <f t="shared" si="15"/>
        <v>Oui</v>
      </c>
      <c r="V79" s="78" t="str">
        <f t="shared" si="15"/>
        <v>Oui</v>
      </c>
    </row>
    <row r="80" spans="1:22" s="3" customFormat="1" x14ac:dyDescent="0.35">
      <c r="A80" s="45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</row>
    <row r="81" spans="1:23" s="3" customFormat="1" x14ac:dyDescent="0.35">
      <c r="A81" s="45" t="s">
        <v>40</v>
      </c>
      <c r="B81" s="78"/>
      <c r="C81" s="78" t="s">
        <v>55</v>
      </c>
      <c r="D81" s="78" t="s">
        <v>55</v>
      </c>
      <c r="E81" s="78" t="s">
        <v>55</v>
      </c>
      <c r="F81" s="78" t="s">
        <v>55</v>
      </c>
      <c r="G81" s="78" t="s">
        <v>55</v>
      </c>
      <c r="H81" s="78" t="s">
        <v>55</v>
      </c>
      <c r="I81" s="78" t="s">
        <v>55</v>
      </c>
      <c r="J81" s="78" t="s">
        <v>55</v>
      </c>
      <c r="K81" s="78" t="s">
        <v>55</v>
      </c>
      <c r="L81" s="78" t="s">
        <v>55</v>
      </c>
      <c r="M81" s="78" t="s">
        <v>55</v>
      </c>
      <c r="N81" s="78"/>
      <c r="O81" s="78" t="str">
        <f>IF($B79="Non",IF(O79="Non","Mann Withney",IF(O79="Oui","Mann Withney","")),IF($B79="Oui",IF(O79="Oui","T-Test Welch",IF(O79="Non","Mann Withney",""))))</f>
        <v>T-Test Welch</v>
      </c>
      <c r="P81" s="78" t="str">
        <f t="shared" ref="P81:Q81" si="16">IF($O79="Non",IF(P79="Non","Mann Withney",IF(P$79="Oui","Mann Withney","")),IF($O79="Oui",IF(P79="Oui","T-Test Welch",IF(P79="Non","Mann Withney",""))))</f>
        <v>T-Test Welch</v>
      </c>
      <c r="Q81" s="78" t="str">
        <f t="shared" si="16"/>
        <v>T-Test Welch</v>
      </c>
      <c r="R81" s="78" t="s">
        <v>55</v>
      </c>
      <c r="S81" s="78" t="s">
        <v>55</v>
      </c>
      <c r="T81" s="78" t="s">
        <v>55</v>
      </c>
      <c r="U81" s="78" t="s">
        <v>55</v>
      </c>
      <c r="V81" s="78" t="s">
        <v>55</v>
      </c>
    </row>
    <row r="82" spans="1:23" s="3" customFormat="1" x14ac:dyDescent="0.35">
      <c r="A82" s="45" t="s">
        <v>41</v>
      </c>
      <c r="B82" s="78"/>
      <c r="C82" s="78" t="s">
        <v>51</v>
      </c>
      <c r="D82" s="78">
        <v>0.02</v>
      </c>
      <c r="E82" s="78" t="s">
        <v>54</v>
      </c>
      <c r="F82" s="78" t="s">
        <v>54</v>
      </c>
      <c r="G82" s="78" t="s">
        <v>54</v>
      </c>
      <c r="H82" s="78" t="s">
        <v>54</v>
      </c>
      <c r="I82" s="78" t="s">
        <v>51</v>
      </c>
      <c r="J82" s="78" t="s">
        <v>51</v>
      </c>
      <c r="K82" s="78">
        <v>0.34</v>
      </c>
      <c r="L82" s="78">
        <v>0.02</v>
      </c>
      <c r="M82" s="78" t="s">
        <v>54</v>
      </c>
      <c r="N82" s="78"/>
      <c r="O82" s="78">
        <f>IF(O81="Mann Withney",[1]!MTEST($B6:$B37,O6:O53,2), IF(O81="T-Test Welch",_xlfn.T.TEST($B6:$B37,O6:O53,2,3),""))</f>
        <v>7.250940054946678E-9</v>
      </c>
      <c r="P82" s="78">
        <f>IF(P81="Mann Withney",[1]!MTEST($O6:$O53,P6:P53,2), IF(P81="T-Test Welch",_xlfn.T.TEST($O6:$O53,P6:P53,2,3),""))</f>
        <v>7.9423673398503548E-7</v>
      </c>
      <c r="Q82" s="78">
        <f>IF(Q81="Mann Withney",[1]!MTEST($O6:$O53,Q6:Q53,2), IF(Q81="T-Test Welch",_xlfn.T.TEST($O6:$O53,Q6:Q53,2,3),""))</f>
        <v>1.9058331071064071E-9</v>
      </c>
      <c r="R82" s="78" t="s">
        <v>51</v>
      </c>
      <c r="S82" s="78">
        <v>8.0000000000000002E-3</v>
      </c>
      <c r="T82" s="78" t="s">
        <v>54</v>
      </c>
      <c r="U82" s="78" t="s">
        <v>54</v>
      </c>
      <c r="V82" s="78" t="s">
        <v>54</v>
      </c>
    </row>
    <row r="83" spans="1:23" s="3" customFormat="1" ht="15" thickBot="1" x14ac:dyDescent="0.4">
      <c r="A83" s="46" t="s">
        <v>15</v>
      </c>
      <c r="B83" s="79"/>
      <c r="C83" s="79" t="s">
        <v>50</v>
      </c>
      <c r="D83" s="79" t="s">
        <v>52</v>
      </c>
      <c r="E83" s="79" t="s">
        <v>53</v>
      </c>
      <c r="F83" s="79" t="s">
        <v>53</v>
      </c>
      <c r="G83" s="79" t="s">
        <v>53</v>
      </c>
      <c r="H83" s="79" t="s">
        <v>53</v>
      </c>
      <c r="I83" s="79" t="s">
        <v>50</v>
      </c>
      <c r="J83" s="79" t="s">
        <v>50</v>
      </c>
      <c r="K83" s="79" t="s">
        <v>50</v>
      </c>
      <c r="L83" s="79" t="s">
        <v>52</v>
      </c>
      <c r="M83" s="79" t="s">
        <v>53</v>
      </c>
      <c r="N83" s="79"/>
      <c r="O83" s="79" t="str">
        <f t="shared" ref="O83" si="17">IF(O82&gt;0.05,"NS",IF(O82&gt;0.01,"*",IF(O82&gt;0.001,"**","***")))</f>
        <v>***</v>
      </c>
      <c r="P83" s="79" t="str">
        <f t="shared" ref="P83" si="18">IF(P82&gt;0.05,"NS",IF(P82&gt;0.01,"*",IF(P82&gt;0.001,"**","***")))</f>
        <v>***</v>
      </c>
      <c r="Q83" s="79" t="str">
        <f t="shared" ref="Q83" si="19">IF(Q82&gt;0.05,"NS",IF(Q82&gt;0.01,"*",IF(Q82&gt;0.001,"**","***")))</f>
        <v>***</v>
      </c>
      <c r="R83" s="79" t="s">
        <v>50</v>
      </c>
      <c r="S83" s="79" t="s">
        <v>56</v>
      </c>
      <c r="T83" s="79" t="s">
        <v>53</v>
      </c>
      <c r="U83" s="79" t="s">
        <v>53</v>
      </c>
      <c r="V83" s="79" t="s">
        <v>53</v>
      </c>
    </row>
    <row r="84" spans="1:23" s="1" customFormat="1" x14ac:dyDescent="0.35"/>
    <row r="85" spans="1:23" s="1" customFormat="1" x14ac:dyDescent="0.35">
      <c r="A85" s="2"/>
    </row>
    <row r="86" spans="1:23" x14ac:dyDescent="0.35">
      <c r="A86" s="1"/>
      <c r="B86" s="1"/>
    </row>
    <row r="87" spans="1:23" x14ac:dyDescent="0.35">
      <c r="A87" s="1"/>
      <c r="B87" s="1"/>
    </row>
    <row r="88" spans="1:23" ht="15" thickBot="1" x14ac:dyDescent="0.4"/>
    <row r="89" spans="1:23" s="32" customFormat="1" ht="26.5" thickBot="1" x14ac:dyDescent="0.4">
      <c r="A89" s="33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</row>
    <row r="90" spans="1:23" ht="15" thickBot="1" x14ac:dyDescent="0.4"/>
    <row r="91" spans="1:23" s="32" customFormat="1" ht="26.5" thickBot="1" x14ac:dyDescent="0.4">
      <c r="A91" s="33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</row>
    <row r="92" spans="1:23" ht="15" thickBot="1" x14ac:dyDescent="0.4"/>
    <row r="93" spans="1:23" s="32" customFormat="1" ht="26.5" thickBot="1" x14ac:dyDescent="0.4">
      <c r="A93" s="147"/>
      <c r="B93" s="148"/>
      <c r="C93" s="148"/>
      <c r="D93" s="148"/>
      <c r="E93" s="148"/>
      <c r="F93" s="148"/>
      <c r="G93" s="148"/>
      <c r="H93" s="148"/>
      <c r="I93" s="148"/>
      <c r="J93" s="148"/>
      <c r="K93" s="148"/>
      <c r="L93" s="148"/>
      <c r="M93" s="148"/>
      <c r="N93" s="148"/>
      <c r="O93" s="148"/>
      <c r="P93" s="148"/>
      <c r="Q93" s="148"/>
      <c r="R93" s="148"/>
      <c r="S93" s="148"/>
      <c r="T93" s="148"/>
      <c r="U93" s="148"/>
      <c r="V93" s="148"/>
    </row>
    <row r="94" spans="1:23" x14ac:dyDescent="0.35">
      <c r="B94" s="1">
        <f t="shared" ref="B94:V94" si="20">B75/$B$75</f>
        <v>1</v>
      </c>
      <c r="C94" s="1">
        <f t="shared" si="20"/>
        <v>2.4019393907078297</v>
      </c>
      <c r="D94" s="1">
        <f t="shared" si="20"/>
        <v>6.8527670712988256</v>
      </c>
      <c r="E94" s="1">
        <f t="shared" si="20"/>
        <v>16.79697696774527</v>
      </c>
      <c r="F94" s="1">
        <f t="shared" si="20"/>
        <v>29.750696562093051</v>
      </c>
      <c r="G94" s="1">
        <f t="shared" si="20"/>
        <v>36.786699523725048</v>
      </c>
      <c r="H94" s="1">
        <f>H75/$B$75</f>
        <v>46.246561307450207</v>
      </c>
      <c r="I94" s="1">
        <f t="shared" si="20"/>
        <v>1.1059017076253812</v>
      </c>
      <c r="J94" s="1">
        <f t="shared" si="20"/>
        <v>1.4880706756722573</v>
      </c>
      <c r="K94" s="1">
        <f t="shared" si="20"/>
        <v>2.9910577560960623</v>
      </c>
      <c r="L94" s="1">
        <f t="shared" si="20"/>
        <v>7.5971250387420035</v>
      </c>
      <c r="M94" s="1">
        <f t="shared" si="20"/>
        <v>17.120036102138677</v>
      </c>
      <c r="N94" s="1">
        <f t="shared" si="20"/>
        <v>0</v>
      </c>
      <c r="O94" s="1">
        <f t="shared" si="20"/>
        <v>9.6003972375587399</v>
      </c>
      <c r="P94" s="1">
        <f t="shared" si="20"/>
        <v>33.890885188027646</v>
      </c>
      <c r="Q94" s="1">
        <f t="shared" si="20"/>
        <v>0.79247110212744754</v>
      </c>
      <c r="R94" s="1">
        <f t="shared" si="20"/>
        <v>10.489800964877874</v>
      </c>
      <c r="S94" s="1">
        <f t="shared" si="20"/>
        <v>19.835185564319687</v>
      </c>
      <c r="T94" s="1">
        <f t="shared" si="20"/>
        <v>29.508650501738131</v>
      </c>
      <c r="U94" s="1">
        <f t="shared" si="20"/>
        <v>28.536969335012945</v>
      </c>
      <c r="V94" s="1">
        <f t="shared" si="20"/>
        <v>34.870622438897634</v>
      </c>
      <c r="W94" s="1"/>
    </row>
    <row r="100" spans="3:16" x14ac:dyDescent="0.35"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3:16" x14ac:dyDescent="0.35">
      <c r="C101" s="1"/>
      <c r="D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3:16" x14ac:dyDescent="0.35">
      <c r="C102" s="1"/>
      <c r="D102" s="1"/>
      <c r="F102" s="1"/>
      <c r="G102" s="1"/>
      <c r="H102" s="1"/>
      <c r="I102" s="1"/>
      <c r="J102" s="1"/>
    </row>
    <row r="103" spans="3:16" x14ac:dyDescent="0.35">
      <c r="D103" s="1"/>
      <c r="E103" s="1"/>
      <c r="F103" s="1"/>
      <c r="G103" s="1"/>
      <c r="H103" s="1"/>
      <c r="I103" s="1"/>
      <c r="J103" s="1"/>
    </row>
    <row r="104" spans="3:16" x14ac:dyDescent="0.35">
      <c r="D104" s="1"/>
      <c r="E104" s="1"/>
    </row>
    <row r="105" spans="3:16" x14ac:dyDescent="0.35">
      <c r="D105" s="1"/>
      <c r="E105" s="1"/>
    </row>
    <row r="106" spans="3:16" x14ac:dyDescent="0.35">
      <c r="D106" s="1"/>
      <c r="E106" s="1"/>
      <c r="F106" s="1"/>
      <c r="G106" s="1"/>
      <c r="H106" s="1"/>
      <c r="I106" s="1"/>
    </row>
    <row r="107" spans="3:16" x14ac:dyDescent="0.35">
      <c r="D107" s="1"/>
      <c r="E107" s="1"/>
      <c r="F107" s="1"/>
      <c r="G107" s="1"/>
      <c r="H107" s="1"/>
      <c r="I107" s="1"/>
    </row>
    <row r="108" spans="3:16" x14ac:dyDescent="0.35">
      <c r="C108" s="1"/>
      <c r="D108" s="1"/>
    </row>
    <row r="109" spans="3:16" x14ac:dyDescent="0.35">
      <c r="C109" s="1"/>
      <c r="D109" s="1"/>
    </row>
    <row r="110" spans="3:16" x14ac:dyDescent="0.35">
      <c r="C110" s="1"/>
      <c r="D110" s="1"/>
    </row>
    <row r="111" spans="3:16" x14ac:dyDescent="0.35">
      <c r="C111" s="1"/>
      <c r="D111" s="1"/>
    </row>
    <row r="118" spans="3:4" x14ac:dyDescent="0.35">
      <c r="C118" s="1"/>
      <c r="D118" s="1"/>
    </row>
    <row r="119" spans="3:4" x14ac:dyDescent="0.35">
      <c r="C119" s="1"/>
      <c r="D119" s="1"/>
    </row>
    <row r="120" spans="3:4" x14ac:dyDescent="0.35">
      <c r="C120" s="1"/>
      <c r="D120" s="1"/>
    </row>
    <row r="121" spans="3:4" x14ac:dyDescent="0.35">
      <c r="C121" s="1"/>
      <c r="D121" s="1"/>
    </row>
    <row r="122" spans="3:4" x14ac:dyDescent="0.35">
      <c r="C122" s="1"/>
      <c r="D122" s="1"/>
    </row>
  </sheetData>
  <mergeCells count="10">
    <mergeCell ref="A7:A21"/>
    <mergeCell ref="A23:A37"/>
    <mergeCell ref="A93:V93"/>
    <mergeCell ref="O3:V3"/>
    <mergeCell ref="B3:M3"/>
    <mergeCell ref="A60:V60"/>
    <mergeCell ref="A72:V72"/>
    <mergeCell ref="A70:V70"/>
    <mergeCell ref="A65:V65"/>
    <mergeCell ref="A39:A53"/>
  </mergeCells>
  <pageMargins left="0.7" right="0.7" top="0.75" bottom="0.75" header="0.3" footer="0.3"/>
  <pageSetup paperSize="9" orientation="portrait" r:id="rId1"/>
  <headerFooter>
    <oddHeader>&amp;C&amp;"-,Gras"&amp;14Données poolées normalisées&amp;R&amp;"-,Gras"&amp;14Page : &amp;P/&amp;P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C436BD700BD428C1C0C71E54D8B5E" ma:contentTypeVersion="18" ma:contentTypeDescription="Create a new document." ma:contentTypeScope="" ma:versionID="782111b43a65dadfbc410eb6ccb7aa06">
  <xsd:schema xmlns:xsd="http://www.w3.org/2001/XMLSchema" xmlns:xs="http://www.w3.org/2001/XMLSchema" xmlns:p="http://schemas.microsoft.com/office/2006/metadata/properties" xmlns:ns2="cc801401-75a6-4297-ad63-d4d786ff6e7c" xmlns:ns3="508cc0b8-c8e1-4e41-95d2-be8416ed53ba" targetNamespace="http://schemas.microsoft.com/office/2006/metadata/properties" ma:root="true" ma:fieldsID="7f493af8791a6264672b29a70f2a6765" ns2:_="" ns3:_="">
    <xsd:import namespace="cc801401-75a6-4297-ad63-d4d786ff6e7c"/>
    <xsd:import namespace="508cc0b8-c8e1-4e41-95d2-be8416ed53b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801401-75a6-4297-ad63-d4d786ff6e7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0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1" nillable="true" ma:displayName="Last Shared By Time" ma:description="" ma:internalName="LastSharedByTime" ma:readOnly="true">
      <xsd:simpleType>
        <xsd:restriction base="dms:DateTime"/>
      </xsd:simpleType>
    </xsd:element>
    <xsd:element name="TaxCatchAll" ma:index="25" nillable="true" ma:displayName="Taxonomy Catch All Column" ma:hidden="true" ma:list="2e281972-ae1b-43a4-854f-cb1565a95e46" ma:internalName="TaxCatchAll" ma:showField="CatchAllData" ma:web="cc801401-75a6-4297-ad63-d4d786ff6e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8cc0b8-c8e1-4e41-95d2-be8416ed53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5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OCR" ma:index="17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4f2cd92-8d93-4e4c-83d3-86703d9155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FA3976-643F-432E-8C8F-F11AC61E5122}"/>
</file>

<file path=customXml/itemProps2.xml><?xml version="1.0" encoding="utf-8"?>
<ds:datastoreItem xmlns:ds="http://schemas.openxmlformats.org/officeDocument/2006/customXml" ds:itemID="{F96C4367-E4A5-4ED0-9617-6D790F7E0F70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6" baseType="variant">
      <vt:variant>
        <vt:lpstr>Feuilles de calcul</vt:lpstr>
      </vt:variant>
      <vt:variant>
        <vt:i4>6</vt:i4>
      </vt:variant>
      <vt:variant>
        <vt:lpstr>Graphiques</vt:lpstr>
      </vt:variant>
      <vt:variant>
        <vt:i4>4</vt:i4>
      </vt:variant>
      <vt:variant>
        <vt:lpstr>Plages nommées</vt:lpstr>
      </vt:variant>
      <vt:variant>
        <vt:i4>1</vt:i4>
      </vt:variant>
    </vt:vector>
  </HeadingPairs>
  <TitlesOfParts>
    <vt:vector size="11" baseType="lpstr">
      <vt:lpstr>Front page</vt:lpstr>
      <vt:lpstr>Comments R1</vt:lpstr>
      <vt:lpstr>R1</vt:lpstr>
      <vt:lpstr>R2</vt:lpstr>
      <vt:lpstr>R3</vt:lpstr>
      <vt:lpstr>pooled normalised values</vt:lpstr>
      <vt:lpstr>Graph R1</vt:lpstr>
      <vt:lpstr>Graph R2</vt:lpstr>
      <vt:lpstr>Graph R3</vt:lpstr>
      <vt:lpstr>pooled normalised graphe</vt:lpstr>
      <vt:lpstr>'Front page'!Zone_d_impression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2022-10-05T15:03:17Z</dcterms:modified>
</cp:coreProperties>
</file>