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 hidePivotFieldList="1" defaultThemeVersion="124226"/>
  <xr:revisionPtr revIDLastSave="0" documentId="13_ncr:1_{2ACCC19E-15D4-4E79-9416-4622E21979F3}" xr6:coauthVersionLast="47" xr6:coauthVersionMax="47" xr10:uidLastSave="{00000000-0000-0000-0000-000000000000}"/>
  <bookViews>
    <workbookView xWindow="-110" yWindow="-110" windowWidth="19420" windowHeight="10420" firstSheet="6" activeTab="8" xr2:uid="{00000000-000D-0000-FFFF-FFFF00000000}"/>
  </bookViews>
  <sheets>
    <sheet name="Front page" sheetId="10" r:id="rId1"/>
    <sheet name="Comments R1" sheetId="35" r:id="rId2"/>
    <sheet name="R1" sheetId="1" r:id="rId3"/>
    <sheet name="Graph R1" sheetId="8" r:id="rId4"/>
    <sheet name="R2" sheetId="33" r:id="rId5"/>
    <sheet name="Graph R2" sheetId="34" r:id="rId6"/>
    <sheet name="R3" sheetId="23" r:id="rId7"/>
    <sheet name="Graph R3" sheetId="19" r:id="rId8"/>
    <sheet name="pooled normalised values" sheetId="4" r:id="rId9"/>
    <sheet name="pooled normalised graphe" sheetId="5" r:id="rId10"/>
  </sheets>
  <externalReferences>
    <externalReference r:id="rId11"/>
  </externalReferences>
  <definedNames>
    <definedName name="_xlnm.Print_Area" localSheetId="0">'Front page'!$A$1:$I$51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4" i="4" l="1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F35" i="23" l="1"/>
  <c r="F34" i="23"/>
  <c r="F33" i="23"/>
  <c r="F32" i="23"/>
  <c r="F31" i="23"/>
  <c r="F30" i="23"/>
  <c r="F29" i="23"/>
  <c r="F28" i="23"/>
  <c r="P43" i="1"/>
  <c r="P42" i="1"/>
  <c r="P41" i="1"/>
  <c r="P40" i="1"/>
  <c r="P39" i="1"/>
  <c r="P38" i="1"/>
  <c r="P37" i="1"/>
  <c r="A7" i="10"/>
  <c r="Q36" i="1"/>
  <c r="R36" i="1"/>
  <c r="S36" i="1"/>
  <c r="T36" i="1"/>
  <c r="U36" i="1"/>
  <c r="V36" i="1"/>
  <c r="B36" i="1"/>
  <c r="C36" i="1"/>
  <c r="D36" i="1"/>
  <c r="E36" i="1"/>
  <c r="F36" i="1"/>
  <c r="G36" i="1"/>
  <c r="H36" i="1"/>
  <c r="I36" i="1"/>
  <c r="J36" i="1"/>
  <c r="K36" i="1"/>
  <c r="L36" i="1"/>
  <c r="M36" i="1"/>
  <c r="A45" i="33"/>
  <c r="A27" i="33"/>
  <c r="A52" i="33" s="1"/>
  <c r="A22" i="33"/>
  <c r="A45" i="23"/>
  <c r="A27" i="23"/>
  <c r="A52" i="23" s="1"/>
  <c r="A22" i="23"/>
  <c r="A27" i="1"/>
  <c r="A45" i="1"/>
  <c r="B39" i="10"/>
  <c r="C39" i="10"/>
  <c r="D39" i="10"/>
  <c r="E39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B44" i="10"/>
  <c r="C44" i="10"/>
  <c r="D44" i="10"/>
  <c r="E44" i="10"/>
  <c r="B45" i="10"/>
  <c r="C45" i="10"/>
  <c r="D45" i="10"/>
  <c r="E45" i="10"/>
  <c r="B46" i="10"/>
  <c r="C46" i="10"/>
  <c r="D46" i="10"/>
  <c r="E46" i="10"/>
  <c r="B47" i="10"/>
  <c r="C47" i="10"/>
  <c r="D47" i="10"/>
  <c r="E47" i="10"/>
  <c r="B48" i="10"/>
  <c r="C48" i="10"/>
  <c r="D48" i="10"/>
  <c r="E48" i="10"/>
  <c r="B49" i="10"/>
  <c r="C49" i="10"/>
  <c r="D49" i="10"/>
  <c r="E49" i="10"/>
  <c r="B50" i="10"/>
  <c r="C50" i="10"/>
  <c r="D50" i="10"/>
  <c r="E50" i="10"/>
  <c r="B51" i="10"/>
  <c r="C51" i="10"/>
  <c r="D51" i="10"/>
  <c r="E51" i="10"/>
  <c r="B52" i="10"/>
  <c r="C52" i="10"/>
  <c r="D52" i="10"/>
  <c r="E52" i="10"/>
  <c r="B53" i="10"/>
  <c r="C53" i="10"/>
  <c r="D53" i="10"/>
  <c r="E53" i="10"/>
  <c r="B54" i="10"/>
  <c r="C54" i="10"/>
  <c r="D54" i="10"/>
  <c r="E54" i="10"/>
  <c r="B55" i="10"/>
  <c r="C55" i="10"/>
  <c r="D55" i="10"/>
  <c r="E55" i="10"/>
  <c r="B56" i="10"/>
  <c r="C56" i="10"/>
  <c r="D56" i="10"/>
  <c r="E56" i="10"/>
  <c r="B57" i="10"/>
  <c r="C57" i="10"/>
  <c r="D57" i="10"/>
  <c r="E57" i="10"/>
  <c r="C38" i="10"/>
  <c r="D38" i="10"/>
  <c r="E38" i="10"/>
  <c r="B38" i="10"/>
  <c r="A8" i="10" l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B4" i="33" l="1"/>
  <c r="B4" i="23" l="1"/>
  <c r="B4" i="1"/>
  <c r="H4" i="33" l="1"/>
  <c r="H4" i="23"/>
  <c r="H4" i="1"/>
  <c r="G4" i="33"/>
  <c r="G4" i="23"/>
  <c r="G4" i="1"/>
  <c r="C4" i="33"/>
  <c r="C4" i="23"/>
  <c r="C4" i="1"/>
  <c r="D4" i="33"/>
  <c r="D4" i="23"/>
  <c r="D4" i="1"/>
  <c r="F4" i="33" l="1"/>
  <c r="F4" i="23"/>
  <c r="F4" i="1"/>
  <c r="E4" i="33"/>
  <c r="E4" i="23"/>
  <c r="E4" i="1"/>
  <c r="I4" i="33"/>
  <c r="I4" i="23"/>
  <c r="I4" i="1"/>
  <c r="V43" i="33" l="1"/>
  <c r="V53" i="4" s="1"/>
  <c r="U43" i="33"/>
  <c r="U53" i="4" s="1"/>
  <c r="T43" i="33"/>
  <c r="T53" i="4" s="1"/>
  <c r="S43" i="33"/>
  <c r="S53" i="4" s="1"/>
  <c r="R43" i="33"/>
  <c r="R53" i="4" s="1"/>
  <c r="Q43" i="33"/>
  <c r="Q53" i="4" s="1"/>
  <c r="P43" i="33"/>
  <c r="P53" i="4" s="1"/>
  <c r="M43" i="33"/>
  <c r="M53" i="4" s="1"/>
  <c r="L43" i="33"/>
  <c r="L53" i="4" s="1"/>
  <c r="K43" i="33"/>
  <c r="K53" i="4" s="1"/>
  <c r="J43" i="33"/>
  <c r="J53" i="4" s="1"/>
  <c r="I43" i="33"/>
  <c r="I53" i="4" s="1"/>
  <c r="H43" i="33"/>
  <c r="H53" i="4" s="1"/>
  <c r="G43" i="33"/>
  <c r="G53" i="4" s="1"/>
  <c r="F43" i="33"/>
  <c r="F53" i="4" s="1"/>
  <c r="E43" i="33"/>
  <c r="E53" i="4" s="1"/>
  <c r="D43" i="33"/>
  <c r="D53" i="4" s="1"/>
  <c r="C43" i="33"/>
  <c r="C53" i="4" s="1"/>
  <c r="B43" i="33"/>
  <c r="B53" i="4" s="1"/>
  <c r="V42" i="33"/>
  <c r="V52" i="4" s="1"/>
  <c r="U42" i="33"/>
  <c r="U52" i="4" s="1"/>
  <c r="T42" i="33"/>
  <c r="T52" i="4" s="1"/>
  <c r="S42" i="33"/>
  <c r="S52" i="4" s="1"/>
  <c r="R42" i="33"/>
  <c r="R52" i="4" s="1"/>
  <c r="Q42" i="33"/>
  <c r="Q52" i="4" s="1"/>
  <c r="P42" i="33"/>
  <c r="P52" i="4" s="1"/>
  <c r="M42" i="33"/>
  <c r="M52" i="4" s="1"/>
  <c r="L42" i="33"/>
  <c r="L52" i="4" s="1"/>
  <c r="K42" i="33"/>
  <c r="K52" i="4" s="1"/>
  <c r="J42" i="33"/>
  <c r="J52" i="4" s="1"/>
  <c r="I42" i="33"/>
  <c r="I52" i="4" s="1"/>
  <c r="H42" i="33"/>
  <c r="H52" i="4" s="1"/>
  <c r="G42" i="33"/>
  <c r="G52" i="4" s="1"/>
  <c r="F42" i="33"/>
  <c r="F52" i="4" s="1"/>
  <c r="E42" i="33"/>
  <c r="E52" i="4" s="1"/>
  <c r="D42" i="33"/>
  <c r="D52" i="4" s="1"/>
  <c r="C42" i="33"/>
  <c r="C52" i="4" s="1"/>
  <c r="B42" i="33"/>
  <c r="B52" i="4" s="1"/>
  <c r="V41" i="33"/>
  <c r="V51" i="4" s="1"/>
  <c r="U41" i="33"/>
  <c r="U51" i="4" s="1"/>
  <c r="T41" i="33"/>
  <c r="T51" i="4" s="1"/>
  <c r="S41" i="33"/>
  <c r="S51" i="4" s="1"/>
  <c r="R41" i="33"/>
  <c r="R51" i="4" s="1"/>
  <c r="Q41" i="33"/>
  <c r="Q51" i="4" s="1"/>
  <c r="P41" i="33"/>
  <c r="P51" i="4" s="1"/>
  <c r="M41" i="33"/>
  <c r="M51" i="4" s="1"/>
  <c r="L41" i="33"/>
  <c r="L51" i="4" s="1"/>
  <c r="K41" i="33"/>
  <c r="K51" i="4" s="1"/>
  <c r="J41" i="33"/>
  <c r="J51" i="4" s="1"/>
  <c r="I41" i="33"/>
  <c r="I51" i="4" s="1"/>
  <c r="H41" i="33"/>
  <c r="H51" i="4" s="1"/>
  <c r="G41" i="33"/>
  <c r="G51" i="4" s="1"/>
  <c r="F41" i="33"/>
  <c r="F51" i="4" s="1"/>
  <c r="E41" i="33"/>
  <c r="E51" i="4" s="1"/>
  <c r="D41" i="33"/>
  <c r="D51" i="4" s="1"/>
  <c r="C41" i="33"/>
  <c r="C51" i="4" s="1"/>
  <c r="B41" i="33"/>
  <c r="B51" i="4" s="1"/>
  <c r="V40" i="33"/>
  <c r="V50" i="4" s="1"/>
  <c r="U40" i="33"/>
  <c r="U50" i="4" s="1"/>
  <c r="T40" i="33"/>
  <c r="T50" i="4" s="1"/>
  <c r="S40" i="33"/>
  <c r="S50" i="4" s="1"/>
  <c r="R40" i="33"/>
  <c r="R50" i="4" s="1"/>
  <c r="Q40" i="33"/>
  <c r="Q50" i="4" s="1"/>
  <c r="P40" i="33"/>
  <c r="P50" i="4" s="1"/>
  <c r="M40" i="33"/>
  <c r="M50" i="4" s="1"/>
  <c r="L40" i="33"/>
  <c r="L50" i="4" s="1"/>
  <c r="K40" i="33"/>
  <c r="K50" i="4" s="1"/>
  <c r="J40" i="33"/>
  <c r="J50" i="4" s="1"/>
  <c r="I40" i="33"/>
  <c r="I50" i="4" s="1"/>
  <c r="H40" i="33"/>
  <c r="H50" i="4" s="1"/>
  <c r="G40" i="33"/>
  <c r="G50" i="4" s="1"/>
  <c r="F40" i="33"/>
  <c r="F50" i="4" s="1"/>
  <c r="E40" i="33"/>
  <c r="E50" i="4" s="1"/>
  <c r="D40" i="33"/>
  <c r="D50" i="4" s="1"/>
  <c r="C40" i="33"/>
  <c r="C50" i="4" s="1"/>
  <c r="B40" i="33"/>
  <c r="B50" i="4" s="1"/>
  <c r="V39" i="33"/>
  <c r="V49" i="4" s="1"/>
  <c r="U39" i="33"/>
  <c r="U49" i="4" s="1"/>
  <c r="T39" i="33"/>
  <c r="T49" i="4" s="1"/>
  <c r="S39" i="33"/>
  <c r="S49" i="4" s="1"/>
  <c r="R39" i="33"/>
  <c r="R49" i="4" s="1"/>
  <c r="Q39" i="33"/>
  <c r="Q49" i="4" s="1"/>
  <c r="P39" i="33"/>
  <c r="P49" i="4" s="1"/>
  <c r="M39" i="33"/>
  <c r="M49" i="4" s="1"/>
  <c r="L39" i="33"/>
  <c r="L49" i="4" s="1"/>
  <c r="K39" i="33"/>
  <c r="K49" i="4" s="1"/>
  <c r="J39" i="33"/>
  <c r="J49" i="4" s="1"/>
  <c r="I39" i="33"/>
  <c r="I49" i="4" s="1"/>
  <c r="H39" i="33"/>
  <c r="H49" i="4" s="1"/>
  <c r="G39" i="33"/>
  <c r="G49" i="4" s="1"/>
  <c r="F39" i="33"/>
  <c r="F49" i="4" s="1"/>
  <c r="E39" i="33"/>
  <c r="E49" i="4" s="1"/>
  <c r="D39" i="33"/>
  <c r="D49" i="4" s="1"/>
  <c r="C39" i="33"/>
  <c r="C49" i="4" s="1"/>
  <c r="B39" i="33"/>
  <c r="B49" i="4" s="1"/>
  <c r="V38" i="33"/>
  <c r="V48" i="4" s="1"/>
  <c r="U38" i="33"/>
  <c r="U48" i="4" s="1"/>
  <c r="T38" i="33"/>
  <c r="T48" i="4" s="1"/>
  <c r="S38" i="33"/>
  <c r="S48" i="4" s="1"/>
  <c r="R38" i="33"/>
  <c r="R48" i="4" s="1"/>
  <c r="Q38" i="33"/>
  <c r="Q48" i="4" s="1"/>
  <c r="P38" i="33"/>
  <c r="P48" i="4" s="1"/>
  <c r="M38" i="33"/>
  <c r="M48" i="4" s="1"/>
  <c r="L38" i="33"/>
  <c r="L48" i="4" s="1"/>
  <c r="K38" i="33"/>
  <c r="K48" i="4" s="1"/>
  <c r="J38" i="33"/>
  <c r="J48" i="4" s="1"/>
  <c r="I38" i="33"/>
  <c r="I48" i="4" s="1"/>
  <c r="H38" i="33"/>
  <c r="H48" i="4" s="1"/>
  <c r="G38" i="33"/>
  <c r="G48" i="4" s="1"/>
  <c r="F38" i="33"/>
  <c r="F48" i="4" s="1"/>
  <c r="E38" i="33"/>
  <c r="E48" i="4" s="1"/>
  <c r="D38" i="33"/>
  <c r="D48" i="4" s="1"/>
  <c r="C38" i="33"/>
  <c r="C48" i="4" s="1"/>
  <c r="B38" i="33"/>
  <c r="B48" i="4" s="1"/>
  <c r="V37" i="33"/>
  <c r="V47" i="4" s="1"/>
  <c r="U37" i="33"/>
  <c r="U47" i="4" s="1"/>
  <c r="T37" i="33"/>
  <c r="T47" i="4" s="1"/>
  <c r="S37" i="33"/>
  <c r="S47" i="4" s="1"/>
  <c r="R37" i="33"/>
  <c r="R47" i="4" s="1"/>
  <c r="Q37" i="33"/>
  <c r="Q47" i="4" s="1"/>
  <c r="P37" i="33"/>
  <c r="P47" i="4" s="1"/>
  <c r="M37" i="33"/>
  <c r="M47" i="4" s="1"/>
  <c r="L37" i="33"/>
  <c r="L47" i="4" s="1"/>
  <c r="K37" i="33"/>
  <c r="K47" i="4" s="1"/>
  <c r="J37" i="33"/>
  <c r="J47" i="4" s="1"/>
  <c r="I37" i="33"/>
  <c r="I47" i="4" s="1"/>
  <c r="H37" i="33"/>
  <c r="H47" i="4" s="1"/>
  <c r="G37" i="33"/>
  <c r="G47" i="4" s="1"/>
  <c r="F37" i="33"/>
  <c r="F47" i="4" s="1"/>
  <c r="E37" i="33"/>
  <c r="E47" i="4" s="1"/>
  <c r="D37" i="33"/>
  <c r="D47" i="4" s="1"/>
  <c r="C37" i="33"/>
  <c r="C47" i="4" s="1"/>
  <c r="B37" i="33"/>
  <c r="B47" i="4" s="1"/>
  <c r="V36" i="33"/>
  <c r="V46" i="4" s="1"/>
  <c r="U36" i="33"/>
  <c r="U46" i="4" s="1"/>
  <c r="T36" i="33"/>
  <c r="T46" i="4" s="1"/>
  <c r="S36" i="33"/>
  <c r="S46" i="4" s="1"/>
  <c r="R36" i="33"/>
  <c r="R46" i="4" s="1"/>
  <c r="Q36" i="33"/>
  <c r="Q46" i="4" s="1"/>
  <c r="P36" i="33"/>
  <c r="P46" i="4" s="1"/>
  <c r="M36" i="33"/>
  <c r="M46" i="4" s="1"/>
  <c r="L36" i="33"/>
  <c r="L46" i="4" s="1"/>
  <c r="K36" i="33"/>
  <c r="K46" i="4" s="1"/>
  <c r="J36" i="33"/>
  <c r="J46" i="4" s="1"/>
  <c r="I36" i="33"/>
  <c r="I46" i="4" s="1"/>
  <c r="H36" i="33"/>
  <c r="H46" i="4" s="1"/>
  <c r="G36" i="33"/>
  <c r="G46" i="4" s="1"/>
  <c r="F36" i="33"/>
  <c r="F46" i="4" s="1"/>
  <c r="D36" i="33"/>
  <c r="D46" i="4" s="1"/>
  <c r="C36" i="33"/>
  <c r="C46" i="4" s="1"/>
  <c r="B36" i="33"/>
  <c r="B46" i="4" s="1"/>
  <c r="V35" i="33"/>
  <c r="V45" i="4" s="1"/>
  <c r="U35" i="33"/>
  <c r="U45" i="4" s="1"/>
  <c r="T35" i="33"/>
  <c r="T45" i="4" s="1"/>
  <c r="S35" i="33"/>
  <c r="S45" i="4" s="1"/>
  <c r="R35" i="33"/>
  <c r="R45" i="4" s="1"/>
  <c r="Q35" i="33"/>
  <c r="Q45" i="4" s="1"/>
  <c r="P35" i="33"/>
  <c r="P45" i="4" s="1"/>
  <c r="V30" i="33"/>
  <c r="V40" i="4" s="1"/>
  <c r="U30" i="33"/>
  <c r="U40" i="4" s="1"/>
  <c r="T30" i="33"/>
  <c r="T40" i="4" s="1"/>
  <c r="S30" i="33"/>
  <c r="S40" i="4" s="1"/>
  <c r="R30" i="33"/>
  <c r="R40" i="4" s="1"/>
  <c r="Q30" i="33"/>
  <c r="Q40" i="4" s="1"/>
  <c r="P30" i="33"/>
  <c r="P40" i="4" s="1"/>
  <c r="V29" i="33"/>
  <c r="V39" i="4" s="1"/>
  <c r="U29" i="33"/>
  <c r="U39" i="4" s="1"/>
  <c r="T29" i="33"/>
  <c r="T39" i="4" s="1"/>
  <c r="S29" i="33"/>
  <c r="S39" i="4" s="1"/>
  <c r="R29" i="33"/>
  <c r="R39" i="4" s="1"/>
  <c r="Q29" i="33"/>
  <c r="Q39" i="4" s="1"/>
  <c r="P29" i="33"/>
  <c r="P39" i="4" s="1"/>
  <c r="V28" i="33"/>
  <c r="U28" i="33"/>
  <c r="T28" i="33"/>
  <c r="S28" i="33"/>
  <c r="R28" i="33"/>
  <c r="Q28" i="33"/>
  <c r="P28" i="33"/>
  <c r="V24" i="33"/>
  <c r="U24" i="33"/>
  <c r="T24" i="33"/>
  <c r="S24" i="33"/>
  <c r="R24" i="33"/>
  <c r="Q24" i="33"/>
  <c r="P24" i="33"/>
  <c r="O24" i="33"/>
  <c r="L24" i="33"/>
  <c r="J24" i="33"/>
  <c r="I24" i="33"/>
  <c r="H24" i="33"/>
  <c r="G24" i="33"/>
  <c r="F24" i="33"/>
  <c r="E24" i="33"/>
  <c r="D24" i="33"/>
  <c r="C24" i="33"/>
  <c r="B24" i="33"/>
  <c r="V23" i="33"/>
  <c r="U23" i="33"/>
  <c r="T23" i="33"/>
  <c r="S23" i="33"/>
  <c r="R23" i="33"/>
  <c r="Q23" i="33"/>
  <c r="P23" i="33"/>
  <c r="O23" i="33"/>
  <c r="V34" i="33" s="1"/>
  <c r="V44" i="4" s="1"/>
  <c r="L23" i="33"/>
  <c r="J23" i="33"/>
  <c r="I23" i="33"/>
  <c r="H23" i="33"/>
  <c r="G23" i="33"/>
  <c r="F23" i="33"/>
  <c r="E23" i="33"/>
  <c r="D23" i="33"/>
  <c r="C23" i="33"/>
  <c r="B23" i="33"/>
  <c r="H22" i="33"/>
  <c r="G45" i="33"/>
  <c r="F27" i="33"/>
  <c r="F52" i="33" s="1"/>
  <c r="E45" i="33"/>
  <c r="D22" i="33"/>
  <c r="C45" i="33"/>
  <c r="B45" i="33"/>
  <c r="E36" i="33" l="1"/>
  <c r="E46" i="4" s="1"/>
  <c r="O37" i="33"/>
  <c r="O47" i="4" s="1"/>
  <c r="O41" i="33"/>
  <c r="O51" i="4" s="1"/>
  <c r="O43" i="33"/>
  <c r="O53" i="4" s="1"/>
  <c r="O36" i="33"/>
  <c r="O46" i="4" s="1"/>
  <c r="O38" i="33"/>
  <c r="O48" i="4" s="1"/>
  <c r="O40" i="33"/>
  <c r="O50" i="4" s="1"/>
  <c r="O42" i="33"/>
  <c r="O52" i="4" s="1"/>
  <c r="O39" i="33"/>
  <c r="O49" i="4" s="1"/>
  <c r="I28" i="33"/>
  <c r="I38" i="4" s="1"/>
  <c r="B28" i="33"/>
  <c r="B38" i="4" s="1"/>
  <c r="J28" i="33"/>
  <c r="J38" i="4" s="1"/>
  <c r="F29" i="33"/>
  <c r="F39" i="4" s="1"/>
  <c r="O29" i="33"/>
  <c r="O39" i="4" s="1"/>
  <c r="O30" i="33"/>
  <c r="O40" i="4" s="1"/>
  <c r="B34" i="33"/>
  <c r="B44" i="4" s="1"/>
  <c r="J34" i="33"/>
  <c r="J44" i="4" s="1"/>
  <c r="F35" i="33"/>
  <c r="F45" i="4" s="1"/>
  <c r="O35" i="33"/>
  <c r="O45" i="4" s="1"/>
  <c r="G29" i="33"/>
  <c r="G39" i="4" s="1"/>
  <c r="C34" i="33"/>
  <c r="C44" i="4" s="1"/>
  <c r="K34" i="33"/>
  <c r="K44" i="4" s="1"/>
  <c r="G35" i="33"/>
  <c r="G45" i="4" s="1"/>
  <c r="C28" i="33"/>
  <c r="C38" i="4" s="1"/>
  <c r="D28" i="33"/>
  <c r="D38" i="4" s="1"/>
  <c r="L28" i="33"/>
  <c r="H29" i="33"/>
  <c r="H39" i="4" s="1"/>
  <c r="D34" i="33"/>
  <c r="D44" i="4" s="1"/>
  <c r="L34" i="33"/>
  <c r="L44" i="4" s="1"/>
  <c r="H35" i="33"/>
  <c r="H45" i="4" s="1"/>
  <c r="E28" i="33"/>
  <c r="M28" i="33"/>
  <c r="M38" i="4" s="1"/>
  <c r="I29" i="33"/>
  <c r="I39" i="4" s="1"/>
  <c r="E34" i="33"/>
  <c r="E44" i="4" s="1"/>
  <c r="M34" i="33"/>
  <c r="M44" i="4" s="1"/>
  <c r="I35" i="33"/>
  <c r="I45" i="4" s="1"/>
  <c r="K28" i="33"/>
  <c r="F28" i="33"/>
  <c r="O28" i="33"/>
  <c r="B29" i="33"/>
  <c r="B39" i="4" s="1"/>
  <c r="J29" i="33"/>
  <c r="J39" i="4" s="1"/>
  <c r="F34" i="33"/>
  <c r="F44" i="4" s="1"/>
  <c r="B35" i="33"/>
  <c r="B45" i="4" s="1"/>
  <c r="J35" i="33"/>
  <c r="J45" i="4" s="1"/>
  <c r="G28" i="33"/>
  <c r="G38" i="4" s="1"/>
  <c r="C29" i="33"/>
  <c r="C39" i="4" s="1"/>
  <c r="K29" i="33"/>
  <c r="K39" i="4" s="1"/>
  <c r="G34" i="33"/>
  <c r="G44" i="4" s="1"/>
  <c r="C35" i="33"/>
  <c r="C45" i="4" s="1"/>
  <c r="K35" i="33"/>
  <c r="K45" i="4" s="1"/>
  <c r="H28" i="33"/>
  <c r="H38" i="4" s="1"/>
  <c r="D29" i="33"/>
  <c r="D39" i="4" s="1"/>
  <c r="L29" i="33"/>
  <c r="L39" i="4" s="1"/>
  <c r="H34" i="33"/>
  <c r="H44" i="4" s="1"/>
  <c r="D35" i="33"/>
  <c r="D45" i="4" s="1"/>
  <c r="L35" i="33"/>
  <c r="L45" i="4" s="1"/>
  <c r="E29" i="33"/>
  <c r="E39" i="4" s="1"/>
  <c r="M29" i="33"/>
  <c r="M39" i="4" s="1"/>
  <c r="I34" i="33"/>
  <c r="I44" i="4" s="1"/>
  <c r="E35" i="33"/>
  <c r="E45" i="4" s="1"/>
  <c r="M35" i="33"/>
  <c r="M45" i="4" s="1"/>
  <c r="L32" i="33"/>
  <c r="L42" i="4" s="1"/>
  <c r="M33" i="33"/>
  <c r="M43" i="4" s="1"/>
  <c r="F30" i="33"/>
  <c r="P31" i="33"/>
  <c r="Q32" i="33"/>
  <c r="Q42" i="4" s="1"/>
  <c r="R33" i="33"/>
  <c r="R43" i="4" s="1"/>
  <c r="B30" i="33"/>
  <c r="V33" i="33"/>
  <c r="V43" i="4" s="1"/>
  <c r="O34" i="33"/>
  <c r="O44" i="4" s="1"/>
  <c r="K31" i="33"/>
  <c r="K41" i="4" s="1"/>
  <c r="J30" i="33"/>
  <c r="C31" i="33"/>
  <c r="C41" i="4" s="1"/>
  <c r="T31" i="33"/>
  <c r="D32" i="33"/>
  <c r="D42" i="4" s="1"/>
  <c r="U32" i="33"/>
  <c r="U42" i="4" s="1"/>
  <c r="E33" i="33"/>
  <c r="E43" i="4" s="1"/>
  <c r="G31" i="33"/>
  <c r="G41" i="4" s="1"/>
  <c r="H32" i="33"/>
  <c r="H42" i="4" s="1"/>
  <c r="I33" i="33"/>
  <c r="I43" i="4" s="1"/>
  <c r="S34" i="33"/>
  <c r="S44" i="4" s="1"/>
  <c r="C30" i="33"/>
  <c r="G30" i="33"/>
  <c r="K30" i="33"/>
  <c r="D31" i="33"/>
  <c r="D41" i="4" s="1"/>
  <c r="H31" i="33"/>
  <c r="H41" i="4" s="1"/>
  <c r="L31" i="33"/>
  <c r="L41" i="4" s="1"/>
  <c r="Q31" i="33"/>
  <c r="U31" i="33"/>
  <c r="I32" i="33"/>
  <c r="I42" i="4" s="1"/>
  <c r="M32" i="33"/>
  <c r="M42" i="4" s="1"/>
  <c r="V32" i="33"/>
  <c r="V42" i="4" s="1"/>
  <c r="B33" i="33"/>
  <c r="B43" i="4" s="1"/>
  <c r="E32" i="33"/>
  <c r="E42" i="4" s="1"/>
  <c r="R32" i="33"/>
  <c r="R42" i="4" s="1"/>
  <c r="F33" i="33"/>
  <c r="F43" i="4" s="1"/>
  <c r="J33" i="33"/>
  <c r="J43" i="4" s="1"/>
  <c r="O33" i="33"/>
  <c r="O43" i="4" s="1"/>
  <c r="S33" i="33"/>
  <c r="S43" i="4" s="1"/>
  <c r="P34" i="33"/>
  <c r="P44" i="4" s="1"/>
  <c r="T34" i="33"/>
  <c r="T44" i="4" s="1"/>
  <c r="D30" i="33"/>
  <c r="H30" i="33"/>
  <c r="L30" i="33"/>
  <c r="E31" i="33"/>
  <c r="E41" i="4" s="1"/>
  <c r="I31" i="33"/>
  <c r="I41" i="4" s="1"/>
  <c r="M31" i="33"/>
  <c r="M41" i="4" s="1"/>
  <c r="R31" i="33"/>
  <c r="V31" i="33"/>
  <c r="B32" i="33"/>
  <c r="B42" i="4" s="1"/>
  <c r="F32" i="33"/>
  <c r="F42" i="4" s="1"/>
  <c r="J32" i="33"/>
  <c r="J42" i="4" s="1"/>
  <c r="O32" i="33"/>
  <c r="O42" i="4" s="1"/>
  <c r="S32" i="33"/>
  <c r="S42" i="4" s="1"/>
  <c r="C33" i="33"/>
  <c r="C43" i="4" s="1"/>
  <c r="G33" i="33"/>
  <c r="G43" i="4" s="1"/>
  <c r="K33" i="33"/>
  <c r="K43" i="4" s="1"/>
  <c r="P33" i="33"/>
  <c r="P43" i="4" s="1"/>
  <c r="T33" i="33"/>
  <c r="T43" i="4" s="1"/>
  <c r="Q34" i="33"/>
  <c r="Q44" i="4" s="1"/>
  <c r="U34" i="33"/>
  <c r="U44" i="4" s="1"/>
  <c r="E30" i="33"/>
  <c r="I30" i="33"/>
  <c r="M30" i="33"/>
  <c r="B31" i="33"/>
  <c r="B41" i="4" s="1"/>
  <c r="F31" i="33"/>
  <c r="F41" i="4" s="1"/>
  <c r="J31" i="33"/>
  <c r="J41" i="4" s="1"/>
  <c r="O31" i="33"/>
  <c r="S31" i="33"/>
  <c r="C32" i="33"/>
  <c r="C42" i="4" s="1"/>
  <c r="G32" i="33"/>
  <c r="G42" i="4" s="1"/>
  <c r="K32" i="33"/>
  <c r="K42" i="4" s="1"/>
  <c r="P32" i="33"/>
  <c r="P42" i="4" s="1"/>
  <c r="T32" i="33"/>
  <c r="T42" i="4" s="1"/>
  <c r="D33" i="33"/>
  <c r="D43" i="4" s="1"/>
  <c r="H33" i="33"/>
  <c r="H43" i="4" s="1"/>
  <c r="L33" i="33"/>
  <c r="L43" i="4" s="1"/>
  <c r="Q33" i="33"/>
  <c r="Q43" i="4" s="1"/>
  <c r="U33" i="33"/>
  <c r="U43" i="4" s="1"/>
  <c r="R34" i="33"/>
  <c r="R44" i="4" s="1"/>
  <c r="U38" i="4"/>
  <c r="V38" i="4"/>
  <c r="E38" i="4"/>
  <c r="R38" i="4"/>
  <c r="B22" i="33"/>
  <c r="E22" i="33"/>
  <c r="I45" i="33"/>
  <c r="I52" i="33"/>
  <c r="I27" i="33"/>
  <c r="K38" i="4"/>
  <c r="P38" i="4"/>
  <c r="T38" i="4"/>
  <c r="B27" i="33"/>
  <c r="B52" i="33" s="1"/>
  <c r="Q38" i="4"/>
  <c r="D27" i="33"/>
  <c r="D52" i="33" s="1"/>
  <c r="I22" i="33"/>
  <c r="E27" i="33"/>
  <c r="E52" i="33" s="1"/>
  <c r="F38" i="4"/>
  <c r="O38" i="4"/>
  <c r="S38" i="4"/>
  <c r="D45" i="33"/>
  <c r="F22" i="33"/>
  <c r="F45" i="33"/>
  <c r="G22" i="33"/>
  <c r="G27" i="33"/>
  <c r="G52" i="33" s="1"/>
  <c r="C22" i="33"/>
  <c r="C27" i="33"/>
  <c r="C52" i="33" s="1"/>
  <c r="H27" i="33"/>
  <c r="H52" i="33" s="1"/>
  <c r="H45" i="33"/>
  <c r="Q56" i="33"/>
  <c r="C56" i="33"/>
  <c r="I56" i="33"/>
  <c r="H56" i="33"/>
  <c r="G56" i="33"/>
  <c r="R56" i="33"/>
  <c r="M56" i="33"/>
  <c r="O56" i="33"/>
  <c r="P56" i="33"/>
  <c r="L56" i="33"/>
  <c r="V56" i="33"/>
  <c r="U56" i="33"/>
  <c r="F56" i="33"/>
  <c r="T56" i="33"/>
  <c r="B56" i="33"/>
  <c r="K56" i="33"/>
  <c r="S56" i="33"/>
  <c r="D56" i="33"/>
  <c r="J56" i="33"/>
  <c r="E56" i="33"/>
  <c r="L47" i="33" l="1"/>
  <c r="S47" i="33"/>
  <c r="S48" i="33" s="1"/>
  <c r="S54" i="33" s="1"/>
  <c r="L38" i="4"/>
  <c r="K47" i="33"/>
  <c r="K48" i="33" s="1"/>
  <c r="K54" i="33" s="1"/>
  <c r="I47" i="33"/>
  <c r="I48" i="33" s="1"/>
  <c r="I54" i="33" s="1"/>
  <c r="R47" i="33"/>
  <c r="R48" i="33" s="1"/>
  <c r="R54" i="33" s="1"/>
  <c r="Q46" i="33"/>
  <c r="Q53" i="33" s="1"/>
  <c r="H46" i="33"/>
  <c r="H53" i="33" s="1"/>
  <c r="D46" i="33"/>
  <c r="D53" i="33" s="1"/>
  <c r="G47" i="33"/>
  <c r="G48" i="33" s="1"/>
  <c r="G54" i="33" s="1"/>
  <c r="E46" i="33"/>
  <c r="E53" i="33" s="1"/>
  <c r="C47" i="33"/>
  <c r="C48" i="33" s="1"/>
  <c r="C54" i="33" s="1"/>
  <c r="R46" i="33"/>
  <c r="R53" i="33" s="1"/>
  <c r="I46" i="33"/>
  <c r="I53" i="33" s="1"/>
  <c r="H47" i="33"/>
  <c r="H48" i="33" s="1"/>
  <c r="H54" i="33" s="1"/>
  <c r="G46" i="33"/>
  <c r="G53" i="33" s="1"/>
  <c r="S57" i="33"/>
  <c r="V57" i="33"/>
  <c r="U57" i="33"/>
  <c r="P57" i="33"/>
  <c r="O57" i="33"/>
  <c r="M57" i="33"/>
  <c r="R57" i="33"/>
  <c r="K57" i="33"/>
  <c r="J57" i="33"/>
  <c r="F57" i="33"/>
  <c r="I57" i="33"/>
  <c r="H57" i="33"/>
  <c r="G57" i="33"/>
  <c r="L57" i="33"/>
  <c r="Q57" i="33"/>
  <c r="B57" i="33"/>
  <c r="F59" i="33" s="1"/>
  <c r="E57" i="33"/>
  <c r="D57" i="33"/>
  <c r="C57" i="33"/>
  <c r="T57" i="33"/>
  <c r="S41" i="4"/>
  <c r="V41" i="4"/>
  <c r="U41" i="4"/>
  <c r="P41" i="4"/>
  <c r="L48" i="33"/>
  <c r="L54" i="33" s="1"/>
  <c r="O41" i="4"/>
  <c r="M40" i="4"/>
  <c r="R41" i="4"/>
  <c r="K40" i="4"/>
  <c r="J40" i="4"/>
  <c r="F40" i="4"/>
  <c r="O47" i="33"/>
  <c r="O48" i="33" s="1"/>
  <c r="O54" i="33" s="1"/>
  <c r="I40" i="4"/>
  <c r="H40" i="4"/>
  <c r="G40" i="4"/>
  <c r="L40" i="4"/>
  <c r="Q41" i="4"/>
  <c r="B40" i="4"/>
  <c r="M46" i="33"/>
  <c r="M53" i="33" s="1"/>
  <c r="V46" i="33"/>
  <c r="V53" i="33" s="1"/>
  <c r="M47" i="33"/>
  <c r="M48" i="33" s="1"/>
  <c r="M54" i="33" s="1"/>
  <c r="B46" i="33"/>
  <c r="B53" i="33" s="1"/>
  <c r="U46" i="33"/>
  <c r="U53" i="33" s="1"/>
  <c r="Q47" i="33"/>
  <c r="Q48" i="33" s="1"/>
  <c r="Q54" i="33" s="1"/>
  <c r="F46" i="33"/>
  <c r="F53" i="33" s="1"/>
  <c r="E40" i="4"/>
  <c r="D40" i="4"/>
  <c r="C40" i="4"/>
  <c r="T41" i="4"/>
  <c r="V47" i="33"/>
  <c r="V48" i="33" s="1"/>
  <c r="V54" i="33" s="1"/>
  <c r="E47" i="33"/>
  <c r="E48" i="33" s="1"/>
  <c r="E54" i="33" s="1"/>
  <c r="U47" i="33"/>
  <c r="U48" i="33" s="1"/>
  <c r="U54" i="33" s="1"/>
  <c r="D47" i="33"/>
  <c r="D48" i="33" s="1"/>
  <c r="D54" i="33" s="1"/>
  <c r="S46" i="33"/>
  <c r="S53" i="33" s="1"/>
  <c r="J47" i="33"/>
  <c r="J48" i="33" s="1"/>
  <c r="J54" i="33" s="1"/>
  <c r="P47" i="33"/>
  <c r="P48" i="33" s="1"/>
  <c r="P54" i="33" s="1"/>
  <c r="J46" i="33"/>
  <c r="J53" i="33" s="1"/>
  <c r="B47" i="33"/>
  <c r="B48" i="33" s="1"/>
  <c r="B54" i="33" s="1"/>
  <c r="O46" i="33"/>
  <c r="O53" i="33" s="1"/>
  <c r="O55" i="33" s="1"/>
  <c r="T47" i="33"/>
  <c r="T48" i="33" s="1"/>
  <c r="T54" i="33" s="1"/>
  <c r="C46" i="33"/>
  <c r="C53" i="33" s="1"/>
  <c r="F47" i="33"/>
  <c r="F48" i="33" s="1"/>
  <c r="F54" i="33" s="1"/>
  <c r="T46" i="33"/>
  <c r="T53" i="33" s="1"/>
  <c r="P46" i="33"/>
  <c r="P53" i="33" s="1"/>
  <c r="L46" i="33"/>
  <c r="L53" i="33" s="1"/>
  <c r="K46" i="33"/>
  <c r="K53" i="33" s="1"/>
  <c r="P59" i="33" l="1"/>
  <c r="P55" i="33"/>
  <c r="M55" i="33"/>
  <c r="J59" i="33"/>
  <c r="J60" i="33" s="1"/>
  <c r="J61" i="33" s="1"/>
  <c r="R59" i="33"/>
  <c r="R60" i="33" s="1"/>
  <c r="R61" i="33" s="1"/>
  <c r="Q59" i="33"/>
  <c r="Q60" i="33" s="1"/>
  <c r="Q61" i="33" s="1"/>
  <c r="T59" i="33"/>
  <c r="V59" i="33"/>
  <c r="V60" i="33" s="1"/>
  <c r="V61" i="33" s="1"/>
  <c r="U59" i="33"/>
  <c r="S59" i="33"/>
  <c r="S60" i="33" s="1"/>
  <c r="S61" i="33" s="1"/>
  <c r="E59" i="33"/>
  <c r="E60" i="33" s="1"/>
  <c r="E61" i="33" s="1"/>
  <c r="S55" i="33"/>
  <c r="H59" i="33"/>
  <c r="H60" i="33" s="1"/>
  <c r="H61" i="33" s="1"/>
  <c r="L59" i="33"/>
  <c r="D59" i="33"/>
  <c r="D60" i="33" s="1"/>
  <c r="D61" i="33" s="1"/>
  <c r="O59" i="33"/>
  <c r="O60" i="33" s="1"/>
  <c r="O61" i="33" s="1"/>
  <c r="C59" i="33"/>
  <c r="C60" i="33" s="1"/>
  <c r="C61" i="33" s="1"/>
  <c r="G59" i="33"/>
  <c r="G60" i="33" s="1"/>
  <c r="G61" i="33" s="1"/>
  <c r="I59" i="33"/>
  <c r="I60" i="33" s="1"/>
  <c r="I61" i="33" s="1"/>
  <c r="K59" i="33"/>
  <c r="M59" i="33"/>
  <c r="F60" i="33"/>
  <c r="F61" i="33" s="1"/>
  <c r="P60" i="33"/>
  <c r="P61" i="33" s="1"/>
  <c r="T55" i="33"/>
  <c r="R55" i="33"/>
  <c r="Q55" i="33"/>
  <c r="U55" i="33"/>
  <c r="V55" i="33"/>
  <c r="D55" i="33"/>
  <c r="B55" i="33"/>
  <c r="K55" i="33"/>
  <c r="L55" i="33"/>
  <c r="G55" i="33"/>
  <c r="F55" i="33"/>
  <c r="C55" i="33"/>
  <c r="J55" i="33"/>
  <c r="H55" i="33"/>
  <c r="I55" i="33"/>
  <c r="E55" i="33"/>
  <c r="U60" i="33"/>
  <c r="T60" i="33"/>
  <c r="M60" i="33"/>
  <c r="L60" i="33"/>
  <c r="K60" i="33"/>
  <c r="M61" i="33" l="1"/>
  <c r="U61" i="33"/>
  <c r="K61" i="33"/>
  <c r="T61" i="33"/>
  <c r="L61" i="33"/>
  <c r="M4" i="33"/>
  <c r="L4" i="33" l="1"/>
  <c r="L22" i="33" s="1"/>
  <c r="K4" i="33"/>
  <c r="K22" i="33" s="1"/>
  <c r="J4" i="33"/>
  <c r="J52" i="33" s="1"/>
  <c r="M45" i="33"/>
  <c r="M52" i="33"/>
  <c r="M27" i="33"/>
  <c r="M22" i="33"/>
  <c r="K45" i="33" l="1"/>
  <c r="K52" i="33"/>
  <c r="K27" i="33"/>
  <c r="O4" i="33"/>
  <c r="O4" i="23"/>
  <c r="O4" i="1"/>
  <c r="Q4" i="1"/>
  <c r="Q4" i="33"/>
  <c r="Q4" i="23"/>
  <c r="P4" i="33"/>
  <c r="P4" i="23"/>
  <c r="P4" i="1"/>
  <c r="J22" i="33"/>
  <c r="L52" i="33"/>
  <c r="J45" i="33"/>
  <c r="L27" i="33"/>
  <c r="J27" i="33"/>
  <c r="L45" i="33"/>
  <c r="Q22" i="33" l="1"/>
  <c r="Q45" i="33"/>
  <c r="Q27" i="33"/>
  <c r="Q52" i="33" s="1"/>
  <c r="O27" i="33"/>
  <c r="O52" i="33" s="1"/>
  <c r="O22" i="33"/>
  <c r="O45" i="33"/>
  <c r="P22" i="33"/>
  <c r="P45" i="33"/>
  <c r="P27" i="33"/>
  <c r="P52" i="33" s="1"/>
  <c r="P22" i="1" l="1"/>
  <c r="Q45" i="1"/>
  <c r="P28" i="23"/>
  <c r="Q28" i="23"/>
  <c r="R28" i="23"/>
  <c r="S28" i="23"/>
  <c r="S22" i="4" s="1"/>
  <c r="T28" i="23"/>
  <c r="T22" i="4" s="1"/>
  <c r="U28" i="23"/>
  <c r="V28" i="23"/>
  <c r="P29" i="23"/>
  <c r="Q29" i="23"/>
  <c r="Q23" i="4" s="1"/>
  <c r="R29" i="23"/>
  <c r="R23" i="4" s="1"/>
  <c r="S29" i="23"/>
  <c r="S23" i="4" s="1"/>
  <c r="T29" i="23"/>
  <c r="T23" i="4" s="1"/>
  <c r="U29" i="23"/>
  <c r="U23" i="4" s="1"/>
  <c r="V29" i="23"/>
  <c r="V23" i="4" s="1"/>
  <c r="P30" i="23"/>
  <c r="P24" i="4" s="1"/>
  <c r="Q30" i="23"/>
  <c r="Q24" i="4" s="1"/>
  <c r="R30" i="23"/>
  <c r="R24" i="4" s="1"/>
  <c r="S30" i="23"/>
  <c r="S24" i="4" s="1"/>
  <c r="T30" i="23"/>
  <c r="T24" i="4" s="1"/>
  <c r="U30" i="23"/>
  <c r="U24" i="4" s="1"/>
  <c r="V30" i="23"/>
  <c r="V24" i="4" s="1"/>
  <c r="P31" i="23"/>
  <c r="P25" i="4" s="1"/>
  <c r="Q31" i="23"/>
  <c r="Q25" i="4" s="1"/>
  <c r="R31" i="23"/>
  <c r="R25" i="4" s="1"/>
  <c r="S31" i="23"/>
  <c r="S25" i="4" s="1"/>
  <c r="T31" i="23"/>
  <c r="T25" i="4" s="1"/>
  <c r="U31" i="23"/>
  <c r="U25" i="4" s="1"/>
  <c r="V31" i="23"/>
  <c r="V25" i="4" s="1"/>
  <c r="P32" i="23"/>
  <c r="P26" i="4" s="1"/>
  <c r="Q32" i="23"/>
  <c r="Q26" i="4" s="1"/>
  <c r="R32" i="23"/>
  <c r="R26" i="4" s="1"/>
  <c r="S32" i="23"/>
  <c r="S26" i="4" s="1"/>
  <c r="T32" i="23"/>
  <c r="T26" i="4" s="1"/>
  <c r="U32" i="23"/>
  <c r="U26" i="4" s="1"/>
  <c r="V32" i="23"/>
  <c r="V26" i="4" s="1"/>
  <c r="P37" i="23"/>
  <c r="P31" i="4" s="1"/>
  <c r="Q37" i="23"/>
  <c r="Q31" i="4" s="1"/>
  <c r="R37" i="23"/>
  <c r="R31" i="4" s="1"/>
  <c r="S37" i="23"/>
  <c r="S31" i="4" s="1"/>
  <c r="T37" i="23"/>
  <c r="T31" i="4" s="1"/>
  <c r="U37" i="23"/>
  <c r="U31" i="4" s="1"/>
  <c r="V37" i="23"/>
  <c r="V31" i="4" s="1"/>
  <c r="P38" i="23"/>
  <c r="P32" i="4" s="1"/>
  <c r="Q38" i="23"/>
  <c r="Q32" i="4" s="1"/>
  <c r="R38" i="23"/>
  <c r="R32" i="4" s="1"/>
  <c r="S38" i="23"/>
  <c r="S32" i="4" s="1"/>
  <c r="T38" i="23"/>
  <c r="T32" i="4" s="1"/>
  <c r="U38" i="23"/>
  <c r="U32" i="4" s="1"/>
  <c r="V38" i="23"/>
  <c r="V32" i="4" s="1"/>
  <c r="P39" i="23"/>
  <c r="P33" i="4" s="1"/>
  <c r="Q39" i="23"/>
  <c r="Q33" i="4" s="1"/>
  <c r="R39" i="23"/>
  <c r="R33" i="4" s="1"/>
  <c r="S39" i="23"/>
  <c r="S33" i="4" s="1"/>
  <c r="T39" i="23"/>
  <c r="T33" i="4" s="1"/>
  <c r="U39" i="23"/>
  <c r="U33" i="4" s="1"/>
  <c r="V39" i="23"/>
  <c r="P40" i="23"/>
  <c r="P34" i="4" s="1"/>
  <c r="Q40" i="23"/>
  <c r="Q34" i="4" s="1"/>
  <c r="R40" i="23"/>
  <c r="R34" i="4" s="1"/>
  <c r="S40" i="23"/>
  <c r="S34" i="4" s="1"/>
  <c r="T40" i="23"/>
  <c r="T34" i="4" s="1"/>
  <c r="U40" i="23"/>
  <c r="U34" i="4" s="1"/>
  <c r="V40" i="23"/>
  <c r="V34" i="4" s="1"/>
  <c r="P41" i="23"/>
  <c r="P35" i="4" s="1"/>
  <c r="Q41" i="23"/>
  <c r="Q35" i="4" s="1"/>
  <c r="R41" i="23"/>
  <c r="R35" i="4" s="1"/>
  <c r="S41" i="23"/>
  <c r="S35" i="4" s="1"/>
  <c r="T41" i="23"/>
  <c r="T35" i="4" s="1"/>
  <c r="U41" i="23"/>
  <c r="U35" i="4" s="1"/>
  <c r="V41" i="23"/>
  <c r="V35" i="4" s="1"/>
  <c r="P42" i="23"/>
  <c r="P36" i="4" s="1"/>
  <c r="Q42" i="23"/>
  <c r="Q36" i="4" s="1"/>
  <c r="R42" i="23"/>
  <c r="R36" i="4" s="1"/>
  <c r="S42" i="23"/>
  <c r="S36" i="4" s="1"/>
  <c r="T42" i="23"/>
  <c r="T36" i="4" s="1"/>
  <c r="U42" i="23"/>
  <c r="U36" i="4" s="1"/>
  <c r="V42" i="23"/>
  <c r="V36" i="4" s="1"/>
  <c r="P43" i="23"/>
  <c r="Q43" i="23"/>
  <c r="Q37" i="4" s="1"/>
  <c r="R43" i="23"/>
  <c r="S43" i="23"/>
  <c r="T43" i="23"/>
  <c r="U43" i="23"/>
  <c r="U37" i="4" s="1"/>
  <c r="V43" i="23"/>
  <c r="O39" i="23"/>
  <c r="O33" i="4" s="1"/>
  <c r="K36" i="23"/>
  <c r="K30" i="4" s="1"/>
  <c r="L36" i="23"/>
  <c r="L30" i="4" s="1"/>
  <c r="M36" i="23"/>
  <c r="M30" i="4" s="1"/>
  <c r="K37" i="23"/>
  <c r="K31" i="4" s="1"/>
  <c r="L37" i="23"/>
  <c r="L31" i="4" s="1"/>
  <c r="M37" i="23"/>
  <c r="M31" i="4" s="1"/>
  <c r="K38" i="23"/>
  <c r="K32" i="4" s="1"/>
  <c r="L38" i="23"/>
  <c r="L32" i="4" s="1"/>
  <c r="M38" i="23"/>
  <c r="M32" i="4" s="1"/>
  <c r="K39" i="23"/>
  <c r="K33" i="4" s="1"/>
  <c r="L39" i="23"/>
  <c r="L33" i="4" s="1"/>
  <c r="M39" i="23"/>
  <c r="M33" i="4" s="1"/>
  <c r="K40" i="23"/>
  <c r="K34" i="4" s="1"/>
  <c r="L40" i="23"/>
  <c r="L34" i="4" s="1"/>
  <c r="M40" i="23"/>
  <c r="M34" i="4" s="1"/>
  <c r="K41" i="23"/>
  <c r="K35" i="4" s="1"/>
  <c r="L41" i="23"/>
  <c r="L35" i="4" s="1"/>
  <c r="M41" i="23"/>
  <c r="M35" i="4" s="1"/>
  <c r="K42" i="23"/>
  <c r="K36" i="4" s="1"/>
  <c r="L42" i="23"/>
  <c r="L36" i="4" s="1"/>
  <c r="M42" i="23"/>
  <c r="M36" i="4" s="1"/>
  <c r="K43" i="23"/>
  <c r="L43" i="23"/>
  <c r="M43" i="23"/>
  <c r="S14" i="4"/>
  <c r="T14" i="4"/>
  <c r="U14" i="4"/>
  <c r="V14" i="4"/>
  <c r="S37" i="1"/>
  <c r="S15" i="4" s="1"/>
  <c r="T37" i="1"/>
  <c r="T15" i="4" s="1"/>
  <c r="U37" i="1"/>
  <c r="U15" i="4" s="1"/>
  <c r="V37" i="1"/>
  <c r="V15" i="4" s="1"/>
  <c r="S38" i="1"/>
  <c r="S16" i="4" s="1"/>
  <c r="T38" i="1"/>
  <c r="T16" i="4" s="1"/>
  <c r="U38" i="1"/>
  <c r="U16" i="4" s="1"/>
  <c r="V38" i="1"/>
  <c r="V16" i="4" s="1"/>
  <c r="S39" i="1"/>
  <c r="S17" i="4" s="1"/>
  <c r="T39" i="1"/>
  <c r="T17" i="4" s="1"/>
  <c r="U39" i="1"/>
  <c r="U17" i="4" s="1"/>
  <c r="V39" i="1"/>
  <c r="V17" i="4" s="1"/>
  <c r="S40" i="1"/>
  <c r="S18" i="4" s="1"/>
  <c r="T40" i="1"/>
  <c r="T18" i="4" s="1"/>
  <c r="U40" i="1"/>
  <c r="U18" i="4" s="1"/>
  <c r="V40" i="1"/>
  <c r="V18" i="4" s="1"/>
  <c r="S41" i="1"/>
  <c r="S19" i="4" s="1"/>
  <c r="T41" i="1"/>
  <c r="T19" i="4" s="1"/>
  <c r="U41" i="1"/>
  <c r="U19" i="4" s="1"/>
  <c r="V41" i="1"/>
  <c r="V19" i="4" s="1"/>
  <c r="S42" i="1"/>
  <c r="S20" i="4" s="1"/>
  <c r="T42" i="1"/>
  <c r="T20" i="4" s="1"/>
  <c r="U42" i="1"/>
  <c r="U20" i="4" s="1"/>
  <c r="V42" i="1"/>
  <c r="V20" i="4" s="1"/>
  <c r="S43" i="1"/>
  <c r="S21" i="4" s="1"/>
  <c r="T43" i="1"/>
  <c r="U43" i="1"/>
  <c r="V43" i="1"/>
  <c r="K14" i="4"/>
  <c r="L14" i="4"/>
  <c r="M14" i="4"/>
  <c r="K37" i="1"/>
  <c r="K15" i="4" s="1"/>
  <c r="L37" i="1"/>
  <c r="L15" i="4" s="1"/>
  <c r="M37" i="1"/>
  <c r="M15" i="4" s="1"/>
  <c r="K38" i="1"/>
  <c r="K16" i="4" s="1"/>
  <c r="L38" i="1"/>
  <c r="L16" i="4" s="1"/>
  <c r="M38" i="1"/>
  <c r="M16" i="4" s="1"/>
  <c r="K39" i="1"/>
  <c r="K17" i="4" s="1"/>
  <c r="L39" i="1"/>
  <c r="L17" i="4" s="1"/>
  <c r="M39" i="1"/>
  <c r="M17" i="4" s="1"/>
  <c r="K40" i="1"/>
  <c r="K18" i="4" s="1"/>
  <c r="L40" i="1"/>
  <c r="L18" i="4" s="1"/>
  <c r="M40" i="1"/>
  <c r="M18" i="4" s="1"/>
  <c r="K41" i="1"/>
  <c r="K19" i="4" s="1"/>
  <c r="L41" i="1"/>
  <c r="L19" i="4" s="1"/>
  <c r="M41" i="1"/>
  <c r="M19" i="4" s="1"/>
  <c r="K42" i="1"/>
  <c r="K20" i="4" s="1"/>
  <c r="L42" i="1"/>
  <c r="L20" i="4" s="1"/>
  <c r="M42" i="1"/>
  <c r="M20" i="4" s="1"/>
  <c r="K43" i="1"/>
  <c r="L43" i="1"/>
  <c r="M43" i="1"/>
  <c r="N45" i="1"/>
  <c r="A22" i="1"/>
  <c r="I43" i="23"/>
  <c r="H43" i="23"/>
  <c r="G43" i="23"/>
  <c r="F43" i="23"/>
  <c r="E43" i="23"/>
  <c r="D43" i="23"/>
  <c r="C43" i="23"/>
  <c r="B43" i="23"/>
  <c r="I42" i="23"/>
  <c r="I36" i="4" s="1"/>
  <c r="H42" i="23"/>
  <c r="H36" i="4" s="1"/>
  <c r="G42" i="23"/>
  <c r="G36" i="4" s="1"/>
  <c r="F42" i="23"/>
  <c r="F36" i="4" s="1"/>
  <c r="E42" i="23"/>
  <c r="E36" i="4" s="1"/>
  <c r="D42" i="23"/>
  <c r="D36" i="4" s="1"/>
  <c r="C42" i="23"/>
  <c r="C36" i="4" s="1"/>
  <c r="B42" i="23"/>
  <c r="B36" i="4" s="1"/>
  <c r="I41" i="23"/>
  <c r="I35" i="4" s="1"/>
  <c r="H41" i="23"/>
  <c r="H35" i="4" s="1"/>
  <c r="G41" i="23"/>
  <c r="G35" i="4" s="1"/>
  <c r="F41" i="23"/>
  <c r="F35" i="4" s="1"/>
  <c r="E41" i="23"/>
  <c r="E35" i="4" s="1"/>
  <c r="D41" i="23"/>
  <c r="D35" i="4" s="1"/>
  <c r="C41" i="23"/>
  <c r="C35" i="4" s="1"/>
  <c r="B41" i="23"/>
  <c r="B35" i="4" s="1"/>
  <c r="I40" i="23"/>
  <c r="I34" i="4" s="1"/>
  <c r="H40" i="23"/>
  <c r="H34" i="4" s="1"/>
  <c r="G40" i="23"/>
  <c r="G34" i="4" s="1"/>
  <c r="F40" i="23"/>
  <c r="F34" i="4" s="1"/>
  <c r="E40" i="23"/>
  <c r="E34" i="4" s="1"/>
  <c r="D40" i="23"/>
  <c r="D34" i="4" s="1"/>
  <c r="C40" i="23"/>
  <c r="C34" i="4" s="1"/>
  <c r="B40" i="23"/>
  <c r="B34" i="4" s="1"/>
  <c r="V33" i="4"/>
  <c r="I39" i="23"/>
  <c r="I33" i="4" s="1"/>
  <c r="H39" i="23"/>
  <c r="H33" i="4" s="1"/>
  <c r="G39" i="23"/>
  <c r="G33" i="4" s="1"/>
  <c r="F39" i="23"/>
  <c r="F33" i="4" s="1"/>
  <c r="E39" i="23"/>
  <c r="E33" i="4" s="1"/>
  <c r="D39" i="23"/>
  <c r="D33" i="4" s="1"/>
  <c r="C39" i="23"/>
  <c r="C33" i="4" s="1"/>
  <c r="B39" i="23"/>
  <c r="B33" i="4" s="1"/>
  <c r="I38" i="23"/>
  <c r="I32" i="4" s="1"/>
  <c r="H38" i="23"/>
  <c r="H32" i="4" s="1"/>
  <c r="G38" i="23"/>
  <c r="G32" i="4" s="1"/>
  <c r="F38" i="23"/>
  <c r="F32" i="4" s="1"/>
  <c r="E38" i="23"/>
  <c r="E32" i="4" s="1"/>
  <c r="D38" i="23"/>
  <c r="D32" i="4" s="1"/>
  <c r="C38" i="23"/>
  <c r="C32" i="4" s="1"/>
  <c r="I37" i="23"/>
  <c r="I31" i="4" s="1"/>
  <c r="H37" i="23"/>
  <c r="H31" i="4" s="1"/>
  <c r="G37" i="23"/>
  <c r="G31" i="4" s="1"/>
  <c r="F37" i="23"/>
  <c r="F31" i="4" s="1"/>
  <c r="E37" i="23"/>
  <c r="E31" i="4" s="1"/>
  <c r="D37" i="23"/>
  <c r="D31" i="4" s="1"/>
  <c r="C37" i="23"/>
  <c r="C31" i="4" s="1"/>
  <c r="B37" i="23"/>
  <c r="B31" i="4" s="1"/>
  <c r="I36" i="23"/>
  <c r="I30" i="4" s="1"/>
  <c r="H36" i="23"/>
  <c r="H30" i="4" s="1"/>
  <c r="G36" i="23"/>
  <c r="G30" i="4" s="1"/>
  <c r="F36" i="23"/>
  <c r="F30" i="4" s="1"/>
  <c r="E36" i="23"/>
  <c r="E30" i="4" s="1"/>
  <c r="D36" i="23"/>
  <c r="D30" i="4" s="1"/>
  <c r="C36" i="23"/>
  <c r="C30" i="4" s="1"/>
  <c r="B36" i="23"/>
  <c r="B30" i="4" s="1"/>
  <c r="V24" i="23"/>
  <c r="U24" i="23"/>
  <c r="T24" i="23"/>
  <c r="S24" i="23"/>
  <c r="R24" i="23"/>
  <c r="Q24" i="23"/>
  <c r="P24" i="23"/>
  <c r="O24" i="23"/>
  <c r="L24" i="23"/>
  <c r="J24" i="23"/>
  <c r="I24" i="23"/>
  <c r="H24" i="23"/>
  <c r="G24" i="23"/>
  <c r="F24" i="23"/>
  <c r="E24" i="23"/>
  <c r="D24" i="23"/>
  <c r="C24" i="23"/>
  <c r="B24" i="23"/>
  <c r="V23" i="23"/>
  <c r="U23" i="23"/>
  <c r="T23" i="23"/>
  <c r="S23" i="23"/>
  <c r="R23" i="23"/>
  <c r="Q23" i="23"/>
  <c r="P23" i="23"/>
  <c r="O23" i="23"/>
  <c r="B32" i="23" s="1"/>
  <c r="B26" i="4" s="1"/>
  <c r="L23" i="23"/>
  <c r="J23" i="23"/>
  <c r="I23" i="23"/>
  <c r="H23" i="23"/>
  <c r="G23" i="23"/>
  <c r="F23" i="23"/>
  <c r="E23" i="23"/>
  <c r="D23" i="23"/>
  <c r="C23" i="23"/>
  <c r="B23" i="23"/>
  <c r="Q45" i="23"/>
  <c r="P45" i="23"/>
  <c r="O45" i="23"/>
  <c r="I22" i="23"/>
  <c r="H27" i="23"/>
  <c r="H52" i="23" s="1"/>
  <c r="G45" i="23"/>
  <c r="F27" i="23"/>
  <c r="F52" i="23" s="1"/>
  <c r="E45" i="23"/>
  <c r="C45" i="23"/>
  <c r="B45" i="23"/>
  <c r="J40" i="23"/>
  <c r="J34" i="4" s="1"/>
  <c r="J36" i="23"/>
  <c r="J30" i="4" s="1"/>
  <c r="J42" i="23"/>
  <c r="J36" i="4" s="1"/>
  <c r="J38" i="23"/>
  <c r="J32" i="4" s="1"/>
  <c r="J41" i="23"/>
  <c r="J35" i="4" s="1"/>
  <c r="J37" i="23"/>
  <c r="J31" i="4" s="1"/>
  <c r="J43" i="23"/>
  <c r="J39" i="23"/>
  <c r="J33" i="4" s="1"/>
  <c r="P22" i="23"/>
  <c r="S23" i="1"/>
  <c r="T23" i="1"/>
  <c r="U23" i="1"/>
  <c r="V23" i="1"/>
  <c r="S24" i="1"/>
  <c r="T24" i="1"/>
  <c r="U24" i="1"/>
  <c r="V24" i="1"/>
  <c r="L23" i="1"/>
  <c r="M23" i="1"/>
  <c r="L24" i="1"/>
  <c r="M24" i="1"/>
  <c r="I23" i="1"/>
  <c r="I24" i="1"/>
  <c r="C14" i="4"/>
  <c r="D14" i="4"/>
  <c r="E14" i="4"/>
  <c r="F14" i="4"/>
  <c r="G14" i="4"/>
  <c r="H14" i="4"/>
  <c r="I14" i="4"/>
  <c r="J14" i="4"/>
  <c r="C37" i="1"/>
  <c r="C15" i="4" s="1"/>
  <c r="D37" i="1"/>
  <c r="D15" i="4" s="1"/>
  <c r="E37" i="1"/>
  <c r="E15" i="4" s="1"/>
  <c r="F37" i="1"/>
  <c r="F15" i="4" s="1"/>
  <c r="G37" i="1"/>
  <c r="G15" i="4" s="1"/>
  <c r="H37" i="1"/>
  <c r="H15" i="4" s="1"/>
  <c r="I37" i="1"/>
  <c r="I15" i="4" s="1"/>
  <c r="J37" i="1"/>
  <c r="J15" i="4" s="1"/>
  <c r="C38" i="1"/>
  <c r="C16" i="4" s="1"/>
  <c r="D38" i="1"/>
  <c r="D16" i="4" s="1"/>
  <c r="E38" i="1"/>
  <c r="E16" i="4" s="1"/>
  <c r="F38" i="1"/>
  <c r="F16" i="4" s="1"/>
  <c r="G38" i="1"/>
  <c r="G16" i="4" s="1"/>
  <c r="H38" i="1"/>
  <c r="H16" i="4" s="1"/>
  <c r="I38" i="1"/>
  <c r="I16" i="4" s="1"/>
  <c r="J38" i="1"/>
  <c r="J16" i="4" s="1"/>
  <c r="C39" i="1"/>
  <c r="C17" i="4" s="1"/>
  <c r="D39" i="1"/>
  <c r="E39" i="1"/>
  <c r="E17" i="4" s="1"/>
  <c r="F39" i="1"/>
  <c r="F17" i="4" s="1"/>
  <c r="G39" i="1"/>
  <c r="G17" i="4" s="1"/>
  <c r="H39" i="1"/>
  <c r="H17" i="4" s="1"/>
  <c r="I39" i="1"/>
  <c r="I17" i="4" s="1"/>
  <c r="J39" i="1"/>
  <c r="J17" i="4" s="1"/>
  <c r="C40" i="1"/>
  <c r="C18" i="4" s="1"/>
  <c r="D40" i="1"/>
  <c r="D18" i="4" s="1"/>
  <c r="E40" i="1"/>
  <c r="E18" i="4" s="1"/>
  <c r="F40" i="1"/>
  <c r="F18" i="4" s="1"/>
  <c r="G40" i="1"/>
  <c r="G18" i="4" s="1"/>
  <c r="H40" i="1"/>
  <c r="H18" i="4" s="1"/>
  <c r="I40" i="1"/>
  <c r="I18" i="4" s="1"/>
  <c r="J40" i="1"/>
  <c r="J18" i="4" s="1"/>
  <c r="C41" i="1"/>
  <c r="C19" i="4" s="1"/>
  <c r="D41" i="1"/>
  <c r="D19" i="4" s="1"/>
  <c r="E41" i="1"/>
  <c r="E19" i="4" s="1"/>
  <c r="F41" i="1"/>
  <c r="F19" i="4" s="1"/>
  <c r="G41" i="1"/>
  <c r="G19" i="4" s="1"/>
  <c r="H41" i="1"/>
  <c r="H19" i="4" s="1"/>
  <c r="I41" i="1"/>
  <c r="I19" i="4" s="1"/>
  <c r="J41" i="1"/>
  <c r="J19" i="4" s="1"/>
  <c r="C42" i="1"/>
  <c r="C20" i="4" s="1"/>
  <c r="D42" i="1"/>
  <c r="D20" i="4" s="1"/>
  <c r="E42" i="1"/>
  <c r="E20" i="4" s="1"/>
  <c r="F42" i="1"/>
  <c r="F20" i="4" s="1"/>
  <c r="G42" i="1"/>
  <c r="G20" i="4" s="1"/>
  <c r="H42" i="1"/>
  <c r="H20" i="4" s="1"/>
  <c r="I42" i="1"/>
  <c r="I20" i="4" s="1"/>
  <c r="J42" i="1"/>
  <c r="J20" i="4" s="1"/>
  <c r="C43" i="1"/>
  <c r="D43" i="1"/>
  <c r="E43" i="1"/>
  <c r="F43" i="1"/>
  <c r="G43" i="1"/>
  <c r="H43" i="1"/>
  <c r="I43" i="1"/>
  <c r="J43" i="1"/>
  <c r="I45" i="1"/>
  <c r="Q14" i="4"/>
  <c r="R14" i="4"/>
  <c r="Q37" i="1"/>
  <c r="Q15" i="4" s="1"/>
  <c r="Q38" i="1"/>
  <c r="Q16" i="4" s="1"/>
  <c r="P17" i="4"/>
  <c r="Q39" i="1"/>
  <c r="Q17" i="4" s="1"/>
  <c r="R39" i="1"/>
  <c r="R17" i="4" s="1"/>
  <c r="P18" i="4"/>
  <c r="Q40" i="1"/>
  <c r="Q18" i="4" s="1"/>
  <c r="R40" i="1"/>
  <c r="R18" i="4" s="1"/>
  <c r="P19" i="4"/>
  <c r="Q41" i="1"/>
  <c r="Q19" i="4" s="1"/>
  <c r="P20" i="4"/>
  <c r="Q42" i="1"/>
  <c r="Q20" i="4" s="1"/>
  <c r="Q43" i="1"/>
  <c r="R43" i="1"/>
  <c r="B14" i="4"/>
  <c r="B37" i="1"/>
  <c r="B15" i="4" s="1"/>
  <c r="B38" i="1"/>
  <c r="B16" i="4" s="1"/>
  <c r="B39" i="1"/>
  <c r="B17" i="4" s="1"/>
  <c r="B40" i="1"/>
  <c r="B18" i="4" s="1"/>
  <c r="B41" i="1"/>
  <c r="B19" i="4" s="1"/>
  <c r="B42" i="1"/>
  <c r="B20" i="4" s="1"/>
  <c r="B43" i="1"/>
  <c r="B23" i="1"/>
  <c r="B4" i="4"/>
  <c r="B62" i="4" s="1"/>
  <c r="A52" i="1"/>
  <c r="O22" i="1"/>
  <c r="Q24" i="1"/>
  <c r="P24" i="1"/>
  <c r="O24" i="1"/>
  <c r="Q23" i="1"/>
  <c r="P23" i="1"/>
  <c r="O23" i="1"/>
  <c r="H27" i="1"/>
  <c r="H52" i="1" s="1"/>
  <c r="G27" i="1"/>
  <c r="G52" i="1" s="1"/>
  <c r="F27" i="1"/>
  <c r="F52" i="1" s="1"/>
  <c r="E4" i="4"/>
  <c r="D22" i="1"/>
  <c r="C45" i="1"/>
  <c r="Q27" i="1"/>
  <c r="Q52" i="1" s="1"/>
  <c r="K24" i="1"/>
  <c r="J24" i="1"/>
  <c r="H24" i="1"/>
  <c r="G24" i="1"/>
  <c r="F24" i="1"/>
  <c r="E24" i="1"/>
  <c r="D24" i="1"/>
  <c r="C24" i="1"/>
  <c r="B24" i="1"/>
  <c r="K23" i="1"/>
  <c r="J23" i="1"/>
  <c r="H23" i="1"/>
  <c r="G23" i="1"/>
  <c r="F23" i="1"/>
  <c r="E23" i="1"/>
  <c r="D23" i="1"/>
  <c r="C23" i="1"/>
  <c r="R24" i="1"/>
  <c r="R23" i="1"/>
  <c r="K4" i="1"/>
  <c r="K4" i="4" s="1"/>
  <c r="K62" i="4" s="1"/>
  <c r="L4" i="1"/>
  <c r="L4" i="4" s="1"/>
  <c r="K4" i="23"/>
  <c r="K52" i="23" s="1"/>
  <c r="L4" i="23"/>
  <c r="L27" i="23" s="1"/>
  <c r="V56" i="1"/>
  <c r="T56" i="1"/>
  <c r="U56" i="1"/>
  <c r="S56" i="1"/>
  <c r="O40" i="23" l="1"/>
  <c r="O34" i="4" s="1"/>
  <c r="P35" i="1"/>
  <c r="P34" i="1"/>
  <c r="P33" i="1"/>
  <c r="P32" i="1"/>
  <c r="P30" i="1"/>
  <c r="P8" i="4" s="1"/>
  <c r="P31" i="1"/>
  <c r="P29" i="1"/>
  <c r="P36" i="1"/>
  <c r="P28" i="1"/>
  <c r="V28" i="1"/>
  <c r="P16" i="4"/>
  <c r="O43" i="23"/>
  <c r="O42" i="23"/>
  <c r="O36" i="4" s="1"/>
  <c r="O41" i="23"/>
  <c r="O35" i="4" s="1"/>
  <c r="C28" i="23"/>
  <c r="C22" i="4" s="1"/>
  <c r="I31" i="23"/>
  <c r="I25" i="4" s="1"/>
  <c r="H31" i="23"/>
  <c r="H25" i="4" s="1"/>
  <c r="H30" i="23"/>
  <c r="H24" i="4" s="1"/>
  <c r="F23" i="4"/>
  <c r="K31" i="23"/>
  <c r="K25" i="4" s="1"/>
  <c r="L28" i="23"/>
  <c r="L22" i="4" s="1"/>
  <c r="K29" i="23"/>
  <c r="K23" i="4" s="1"/>
  <c r="G28" i="23"/>
  <c r="G22" i="4" s="1"/>
  <c r="H28" i="23"/>
  <c r="H22" i="4" s="1"/>
  <c r="G30" i="23"/>
  <c r="G24" i="4" s="1"/>
  <c r="C31" i="23"/>
  <c r="C25" i="4" s="1"/>
  <c r="E30" i="23"/>
  <c r="E24" i="4" s="1"/>
  <c r="M30" i="23"/>
  <c r="M24" i="4" s="1"/>
  <c r="K28" i="23"/>
  <c r="K22" i="4" s="1"/>
  <c r="L31" i="23"/>
  <c r="L25" i="4" s="1"/>
  <c r="G29" i="23"/>
  <c r="G23" i="4" s="1"/>
  <c r="G31" i="23"/>
  <c r="G25" i="4" s="1"/>
  <c r="L30" i="23"/>
  <c r="L24" i="4" s="1"/>
  <c r="E31" i="23"/>
  <c r="E25" i="4" s="1"/>
  <c r="D31" i="23"/>
  <c r="D25" i="4" s="1"/>
  <c r="M28" i="23"/>
  <c r="M22" i="4" s="1"/>
  <c r="E28" i="23"/>
  <c r="E22" i="4" s="1"/>
  <c r="J31" i="23"/>
  <c r="J25" i="4" s="1"/>
  <c r="C29" i="23"/>
  <c r="C23" i="4" s="1"/>
  <c r="J28" i="23"/>
  <c r="J22" i="4" s="1"/>
  <c r="K30" i="23"/>
  <c r="K24" i="4" s="1"/>
  <c r="I30" i="23"/>
  <c r="I24" i="4" s="1"/>
  <c r="I34" i="23"/>
  <c r="I28" i="4" s="1"/>
  <c r="F25" i="4"/>
  <c r="F22" i="4"/>
  <c r="I28" i="23"/>
  <c r="I22" i="4" s="1"/>
  <c r="I32" i="23"/>
  <c r="I26" i="4" s="1"/>
  <c r="F24" i="4"/>
  <c r="E29" i="23"/>
  <c r="E23" i="4" s="1"/>
  <c r="M29" i="23"/>
  <c r="M23" i="4" s="1"/>
  <c r="H29" i="23"/>
  <c r="H23" i="4" s="1"/>
  <c r="M31" i="23"/>
  <c r="M25" i="4" s="1"/>
  <c r="D30" i="23"/>
  <c r="D24" i="4" s="1"/>
  <c r="O29" i="23"/>
  <c r="O23" i="4" s="1"/>
  <c r="C30" i="23"/>
  <c r="C24" i="4" s="1"/>
  <c r="D28" i="23"/>
  <c r="D29" i="23"/>
  <c r="D23" i="4" s="1"/>
  <c r="J30" i="23"/>
  <c r="J24" i="4" s="1"/>
  <c r="I29" i="23"/>
  <c r="I23" i="4" s="1"/>
  <c r="J29" i="23"/>
  <c r="J23" i="4" s="1"/>
  <c r="L29" i="23"/>
  <c r="L23" i="4" s="1"/>
  <c r="V30" i="1"/>
  <c r="V8" i="4" s="1"/>
  <c r="U30" i="1"/>
  <c r="U8" i="4" s="1"/>
  <c r="T30" i="1"/>
  <c r="T8" i="4" s="1"/>
  <c r="S30" i="1"/>
  <c r="S8" i="4" s="1"/>
  <c r="V29" i="1"/>
  <c r="V7" i="4" s="1"/>
  <c r="U29" i="1"/>
  <c r="U7" i="4" s="1"/>
  <c r="O38" i="1"/>
  <c r="O16" i="4" s="1"/>
  <c r="T29" i="1"/>
  <c r="T7" i="4" s="1"/>
  <c r="S29" i="1"/>
  <c r="S7" i="4" s="1"/>
  <c r="Q28" i="1"/>
  <c r="T33" i="1"/>
  <c r="T11" i="4" s="1"/>
  <c r="Q31" i="1"/>
  <c r="Q9" i="4" s="1"/>
  <c r="U33" i="1"/>
  <c r="U11" i="4" s="1"/>
  <c r="S35" i="1"/>
  <c r="S13" i="4" s="1"/>
  <c r="R31" i="1"/>
  <c r="V33" i="1"/>
  <c r="V11" i="4" s="1"/>
  <c r="U32" i="1"/>
  <c r="U10" i="4" s="1"/>
  <c r="V35" i="1"/>
  <c r="V13" i="4" s="1"/>
  <c r="S31" i="1"/>
  <c r="S9" i="4" s="1"/>
  <c r="Q34" i="1"/>
  <c r="Q12" i="4" s="1"/>
  <c r="T31" i="1"/>
  <c r="T9" i="4" s="1"/>
  <c r="R34" i="1"/>
  <c r="S33" i="1"/>
  <c r="U31" i="1"/>
  <c r="U9" i="4" s="1"/>
  <c r="S34" i="1"/>
  <c r="S12" i="4" s="1"/>
  <c r="T35" i="1"/>
  <c r="T13" i="4" s="1"/>
  <c r="V31" i="1"/>
  <c r="V9" i="4" s="1"/>
  <c r="T34" i="1"/>
  <c r="T12" i="4" s="1"/>
  <c r="U34" i="1"/>
  <c r="V32" i="1"/>
  <c r="V10" i="4" s="1"/>
  <c r="Q32" i="1"/>
  <c r="U35" i="1"/>
  <c r="U13" i="4" s="1"/>
  <c r="R32" i="1"/>
  <c r="V34" i="1"/>
  <c r="V12" i="4" s="1"/>
  <c r="Q33" i="1"/>
  <c r="Q11" i="4" s="1"/>
  <c r="S32" i="1"/>
  <c r="S10" i="4" s="1"/>
  <c r="Q35" i="1"/>
  <c r="Q13" i="4" s="1"/>
  <c r="T32" i="1"/>
  <c r="T10" i="4" s="1"/>
  <c r="R35" i="1"/>
  <c r="R33" i="1"/>
  <c r="R11" i="4" s="1"/>
  <c r="U28" i="1"/>
  <c r="U6" i="4" s="1"/>
  <c r="T28" i="1"/>
  <c r="T6" i="4" s="1"/>
  <c r="S28" i="1"/>
  <c r="S6" i="4" s="1"/>
  <c r="M29" i="1"/>
  <c r="M7" i="4" s="1"/>
  <c r="P11" i="4"/>
  <c r="O36" i="1"/>
  <c r="P12" i="4"/>
  <c r="O41" i="1"/>
  <c r="O19" i="4" s="1"/>
  <c r="P6" i="4"/>
  <c r="O40" i="1"/>
  <c r="O18" i="4" s="1"/>
  <c r="O42" i="1"/>
  <c r="O20" i="4" s="1"/>
  <c r="O43" i="1"/>
  <c r="O21" i="4" s="1"/>
  <c r="O39" i="1"/>
  <c r="O17" i="4" s="1"/>
  <c r="E29" i="1"/>
  <c r="E7" i="4" s="1"/>
  <c r="G29" i="1"/>
  <c r="G7" i="4" s="1"/>
  <c r="F29" i="1"/>
  <c r="F7" i="4" s="1"/>
  <c r="M35" i="1"/>
  <c r="M13" i="4" s="1"/>
  <c r="O31" i="1"/>
  <c r="O9" i="4" s="1"/>
  <c r="O33" i="1"/>
  <c r="O11" i="4" s="1"/>
  <c r="O35" i="1"/>
  <c r="O13" i="4" s="1"/>
  <c r="B34" i="1"/>
  <c r="B12" i="4" s="1"/>
  <c r="O34" i="1"/>
  <c r="D35" i="1"/>
  <c r="D13" i="4" s="1"/>
  <c r="C34" i="1"/>
  <c r="C12" i="4" s="1"/>
  <c r="B35" i="1"/>
  <c r="B13" i="4" s="1"/>
  <c r="D34" i="1"/>
  <c r="D12" i="4" s="1"/>
  <c r="E34" i="1"/>
  <c r="F34" i="1"/>
  <c r="F12" i="4" s="1"/>
  <c r="G35" i="1"/>
  <c r="G13" i="4" s="1"/>
  <c r="G34" i="1"/>
  <c r="G12" i="4" s="1"/>
  <c r="C35" i="1"/>
  <c r="C13" i="4" s="1"/>
  <c r="E35" i="1"/>
  <c r="E13" i="4" s="1"/>
  <c r="H35" i="1"/>
  <c r="H13" i="4" s="1"/>
  <c r="H34" i="1"/>
  <c r="H12" i="4" s="1"/>
  <c r="M34" i="1"/>
  <c r="M12" i="4" s="1"/>
  <c r="O32" i="1"/>
  <c r="O10" i="4" s="1"/>
  <c r="F35" i="1"/>
  <c r="F13" i="4" s="1"/>
  <c r="M28" i="1"/>
  <c r="M6" i="4" s="1"/>
  <c r="K35" i="1"/>
  <c r="K13" i="4" s="1"/>
  <c r="J34" i="1"/>
  <c r="J12" i="4" s="1"/>
  <c r="L34" i="1"/>
  <c r="L12" i="4" s="1"/>
  <c r="I35" i="1"/>
  <c r="K34" i="1"/>
  <c r="K12" i="4" s="1"/>
  <c r="I34" i="1"/>
  <c r="I12" i="4" s="1"/>
  <c r="J35" i="1"/>
  <c r="J13" i="4" s="1"/>
  <c r="L35" i="1"/>
  <c r="L13" i="4" s="1"/>
  <c r="I29" i="1"/>
  <c r="I7" i="4" s="1"/>
  <c r="J29" i="1"/>
  <c r="J7" i="4" s="1"/>
  <c r="J28" i="1"/>
  <c r="J6" i="4" s="1"/>
  <c r="L29" i="1"/>
  <c r="L7" i="4" s="1"/>
  <c r="K29" i="1"/>
  <c r="K7" i="4" s="1"/>
  <c r="L28" i="1"/>
  <c r="L6" i="4" s="1"/>
  <c r="K28" i="1"/>
  <c r="K6" i="4" s="1"/>
  <c r="C34" i="23"/>
  <c r="C28" i="4" s="1"/>
  <c r="C33" i="23"/>
  <c r="C27" i="4" s="1"/>
  <c r="U22" i="4"/>
  <c r="C29" i="1"/>
  <c r="C7" i="4" s="1"/>
  <c r="B30" i="1"/>
  <c r="F30" i="1"/>
  <c r="F8" i="4" s="1"/>
  <c r="J30" i="1"/>
  <c r="J8" i="4" s="1"/>
  <c r="B31" i="1"/>
  <c r="B9" i="4" s="1"/>
  <c r="F31" i="1"/>
  <c r="J31" i="1"/>
  <c r="J9" i="4" s="1"/>
  <c r="B32" i="1"/>
  <c r="F32" i="1"/>
  <c r="F10" i="4" s="1"/>
  <c r="J32" i="1"/>
  <c r="J10" i="4" s="1"/>
  <c r="B33" i="1"/>
  <c r="B11" i="4" s="1"/>
  <c r="F33" i="1"/>
  <c r="F11" i="4" s="1"/>
  <c r="J33" i="1"/>
  <c r="J11" i="4" s="1"/>
  <c r="C30" i="1"/>
  <c r="C8" i="4" s="1"/>
  <c r="G30" i="1"/>
  <c r="G8" i="4" s="1"/>
  <c r="K30" i="1"/>
  <c r="K8" i="4" s="1"/>
  <c r="C31" i="1"/>
  <c r="C9" i="4" s="1"/>
  <c r="G31" i="1"/>
  <c r="G9" i="4" s="1"/>
  <c r="K31" i="1"/>
  <c r="K9" i="4" s="1"/>
  <c r="C32" i="1"/>
  <c r="G32" i="1"/>
  <c r="G10" i="4" s="1"/>
  <c r="K32" i="1"/>
  <c r="K10" i="4" s="1"/>
  <c r="C33" i="1"/>
  <c r="C11" i="4" s="1"/>
  <c r="G33" i="1"/>
  <c r="K33" i="1"/>
  <c r="K11" i="4" s="1"/>
  <c r="H30" i="1"/>
  <c r="H8" i="4" s="1"/>
  <c r="L30" i="1"/>
  <c r="L8" i="4" s="1"/>
  <c r="D31" i="1"/>
  <c r="D9" i="4" s="1"/>
  <c r="L31" i="1"/>
  <c r="L9" i="4" s="1"/>
  <c r="D32" i="1"/>
  <c r="L32" i="1"/>
  <c r="L10" i="4" s="1"/>
  <c r="D33" i="1"/>
  <c r="D11" i="4" s="1"/>
  <c r="L33" i="1"/>
  <c r="L11" i="4" s="1"/>
  <c r="D30" i="1"/>
  <c r="H31" i="1"/>
  <c r="H9" i="4" s="1"/>
  <c r="H32" i="1"/>
  <c r="H10" i="4" s="1"/>
  <c r="H33" i="1"/>
  <c r="H11" i="4" s="1"/>
  <c r="E30" i="1"/>
  <c r="E8" i="4" s="1"/>
  <c r="I30" i="1"/>
  <c r="I8" i="4" s="1"/>
  <c r="M30" i="1"/>
  <c r="M8" i="4" s="1"/>
  <c r="E31" i="1"/>
  <c r="E9" i="4" s="1"/>
  <c r="I31" i="1"/>
  <c r="I9" i="4" s="1"/>
  <c r="M31" i="1"/>
  <c r="M9" i="4" s="1"/>
  <c r="E32" i="1"/>
  <c r="E10" i="4" s="1"/>
  <c r="I32" i="1"/>
  <c r="I10" i="4" s="1"/>
  <c r="M32" i="1"/>
  <c r="M10" i="4" s="1"/>
  <c r="E33" i="1"/>
  <c r="E11" i="4" s="1"/>
  <c r="I33" i="1"/>
  <c r="I11" i="4" s="1"/>
  <c r="M33" i="1"/>
  <c r="M11" i="4" s="1"/>
  <c r="F27" i="4"/>
  <c r="E35" i="23"/>
  <c r="E29" i="4" s="1"/>
  <c r="H34" i="23"/>
  <c r="H28" i="4" s="1"/>
  <c r="M33" i="23"/>
  <c r="M27" i="4" s="1"/>
  <c r="L35" i="23"/>
  <c r="L29" i="4" s="1"/>
  <c r="M32" i="23"/>
  <c r="O36" i="23"/>
  <c r="O30" i="4" s="1"/>
  <c r="S36" i="23"/>
  <c r="S30" i="4" s="1"/>
  <c r="S34" i="23"/>
  <c r="S28" i="4" s="1"/>
  <c r="U33" i="23"/>
  <c r="J33" i="23"/>
  <c r="J27" i="4" s="1"/>
  <c r="I35" i="23"/>
  <c r="I29" i="4" s="1"/>
  <c r="D33" i="23"/>
  <c r="D27" i="4" s="1"/>
  <c r="G34" i="23"/>
  <c r="G28" i="4" s="1"/>
  <c r="H35" i="23"/>
  <c r="H29" i="4" s="1"/>
  <c r="F28" i="4"/>
  <c r="E33" i="23"/>
  <c r="E27" i="4" s="1"/>
  <c r="C35" i="23"/>
  <c r="C29" i="4" s="1"/>
  <c r="K35" i="23"/>
  <c r="K29" i="4" s="1"/>
  <c r="L32" i="23"/>
  <c r="V36" i="23"/>
  <c r="V30" i="4" s="1"/>
  <c r="R36" i="23"/>
  <c r="R30" i="4" s="1"/>
  <c r="T35" i="23"/>
  <c r="T29" i="4" s="1"/>
  <c r="P35" i="23"/>
  <c r="P29" i="4" s="1"/>
  <c r="V34" i="23"/>
  <c r="V28" i="4" s="1"/>
  <c r="T33" i="23"/>
  <c r="T27" i="4" s="1"/>
  <c r="D35" i="23"/>
  <c r="D29" i="4" s="1"/>
  <c r="D32" i="23"/>
  <c r="H33" i="23"/>
  <c r="H27" i="4" s="1"/>
  <c r="F29" i="4"/>
  <c r="C32" i="23"/>
  <c r="J34" i="23"/>
  <c r="J28" i="4" s="1"/>
  <c r="I33" i="23"/>
  <c r="G35" i="23"/>
  <c r="G29" i="4" s="1"/>
  <c r="M34" i="23"/>
  <c r="M28" i="4" s="1"/>
  <c r="L33" i="23"/>
  <c r="L27" i="4" s="1"/>
  <c r="K32" i="23"/>
  <c r="O33" i="23"/>
  <c r="O27" i="4" s="1"/>
  <c r="U36" i="23"/>
  <c r="U30" i="4" s="1"/>
  <c r="Q36" i="23"/>
  <c r="Q30" i="4" s="1"/>
  <c r="S35" i="23"/>
  <c r="S29" i="4" s="1"/>
  <c r="U34" i="23"/>
  <c r="U28" i="4" s="1"/>
  <c r="Q34" i="23"/>
  <c r="Q28" i="4" s="1"/>
  <c r="S33" i="23"/>
  <c r="K34" i="23"/>
  <c r="K28" i="4" s="1"/>
  <c r="U35" i="23"/>
  <c r="U29" i="4" s="1"/>
  <c r="Q35" i="23"/>
  <c r="Q29" i="4" s="1"/>
  <c r="Q33" i="23"/>
  <c r="O35" i="23"/>
  <c r="O29" i="4" s="1"/>
  <c r="R34" i="23"/>
  <c r="R28" i="4" s="1"/>
  <c r="P33" i="23"/>
  <c r="G32" i="23"/>
  <c r="G33" i="23"/>
  <c r="G27" i="4" s="1"/>
  <c r="E32" i="23"/>
  <c r="J35" i="23"/>
  <c r="J29" i="4" s="1"/>
  <c r="E34" i="23"/>
  <c r="E28" i="4" s="1"/>
  <c r="H32" i="23"/>
  <c r="J32" i="23"/>
  <c r="D34" i="23"/>
  <c r="D28" i="4" s="1"/>
  <c r="M35" i="23"/>
  <c r="M29" i="4" s="1"/>
  <c r="L34" i="23"/>
  <c r="L28" i="4" s="1"/>
  <c r="K33" i="23"/>
  <c r="K27" i="4" s="1"/>
  <c r="T36" i="23"/>
  <c r="T30" i="4" s="1"/>
  <c r="P36" i="23"/>
  <c r="P30" i="4" s="1"/>
  <c r="V35" i="23"/>
  <c r="V29" i="4" s="1"/>
  <c r="R35" i="23"/>
  <c r="R29" i="4" s="1"/>
  <c r="T34" i="23"/>
  <c r="T28" i="4" s="1"/>
  <c r="P34" i="23"/>
  <c r="P28" i="4" s="1"/>
  <c r="V33" i="23"/>
  <c r="R33" i="23"/>
  <c r="U12" i="4"/>
  <c r="S11" i="4"/>
  <c r="D22" i="4"/>
  <c r="Q22" i="4"/>
  <c r="P22" i="4"/>
  <c r="Q6" i="4"/>
  <c r="T4" i="33"/>
  <c r="T22" i="33" s="1"/>
  <c r="Q22" i="1"/>
  <c r="R13" i="4"/>
  <c r="H29" i="1"/>
  <c r="E28" i="1"/>
  <c r="F28" i="1"/>
  <c r="R41" i="1"/>
  <c r="R19" i="4" s="1"/>
  <c r="R37" i="1"/>
  <c r="R15" i="4" s="1"/>
  <c r="Q29" i="1"/>
  <c r="O37" i="1"/>
  <c r="O15" i="4" s="1"/>
  <c r="I28" i="1"/>
  <c r="H28" i="1"/>
  <c r="G28" i="1"/>
  <c r="R42" i="1"/>
  <c r="R20" i="4" s="1"/>
  <c r="R38" i="1"/>
  <c r="R16" i="4" s="1"/>
  <c r="R12" i="4"/>
  <c r="L74" i="4"/>
  <c r="L62" i="4"/>
  <c r="E55" i="4"/>
  <c r="E62" i="4"/>
  <c r="P21" i="4"/>
  <c r="I52" i="23"/>
  <c r="R4" i="33"/>
  <c r="V37" i="4"/>
  <c r="R37" i="4"/>
  <c r="K37" i="4"/>
  <c r="I45" i="23"/>
  <c r="U4" i="33"/>
  <c r="R21" i="4"/>
  <c r="Q21" i="4"/>
  <c r="S4" i="33"/>
  <c r="C27" i="23"/>
  <c r="C52" i="23" s="1"/>
  <c r="I27" i="23"/>
  <c r="V21" i="4"/>
  <c r="T21" i="4"/>
  <c r="B21" i="4"/>
  <c r="O37" i="23"/>
  <c r="O31" i="4" s="1"/>
  <c r="O34" i="23"/>
  <c r="O28" i="4" s="1"/>
  <c r="O38" i="23"/>
  <c r="T37" i="4"/>
  <c r="B38" i="23"/>
  <c r="F37" i="4"/>
  <c r="L37" i="4"/>
  <c r="P37" i="4"/>
  <c r="S37" i="4"/>
  <c r="J37" i="4"/>
  <c r="H37" i="4"/>
  <c r="M37" i="4"/>
  <c r="O37" i="4"/>
  <c r="Q4" i="4"/>
  <c r="Q62" i="4" s="1"/>
  <c r="P27" i="23"/>
  <c r="P52" i="23" s="1"/>
  <c r="J4" i="1"/>
  <c r="J4" i="4" s="1"/>
  <c r="J4" i="23"/>
  <c r="J45" i="23" s="1"/>
  <c r="M4" i="23"/>
  <c r="M27" i="23" s="1"/>
  <c r="M4" i="1"/>
  <c r="M4" i="4" s="1"/>
  <c r="L45" i="1"/>
  <c r="L27" i="1"/>
  <c r="L52" i="1" s="1"/>
  <c r="O32" i="23"/>
  <c r="O31" i="23"/>
  <c r="O25" i="4" s="1"/>
  <c r="O30" i="23"/>
  <c r="O24" i="4" s="1"/>
  <c r="B33" i="23"/>
  <c r="B27" i="4" s="1"/>
  <c r="B28" i="23"/>
  <c r="B30" i="23"/>
  <c r="B24" i="4" s="1"/>
  <c r="B34" i="23"/>
  <c r="B28" i="4" s="1"/>
  <c r="B35" i="23"/>
  <c r="O28" i="23"/>
  <c r="B31" i="23"/>
  <c r="B25" i="4" s="1"/>
  <c r="B29" i="23"/>
  <c r="B23" i="4" s="1"/>
  <c r="P10" i="4"/>
  <c r="D4" i="4"/>
  <c r="P23" i="4"/>
  <c r="O29" i="1"/>
  <c r="O7" i="4" s="1"/>
  <c r="B27" i="23"/>
  <c r="B52" i="23" s="1"/>
  <c r="K45" i="23"/>
  <c r="E27" i="23"/>
  <c r="E52" i="23" s="1"/>
  <c r="Q30" i="1"/>
  <c r="Q8" i="4" s="1"/>
  <c r="B29" i="1"/>
  <c r="B7" i="4" s="1"/>
  <c r="P13" i="4"/>
  <c r="P9" i="4"/>
  <c r="H22" i="23"/>
  <c r="F22" i="23"/>
  <c r="H45" i="23"/>
  <c r="R9" i="4"/>
  <c r="R22" i="4"/>
  <c r="V22" i="4"/>
  <c r="V57" i="1"/>
  <c r="U57" i="1"/>
  <c r="T57" i="1"/>
  <c r="S57" i="1"/>
  <c r="J21" i="4"/>
  <c r="E37" i="4"/>
  <c r="M21" i="4"/>
  <c r="R28" i="1"/>
  <c r="R30" i="1"/>
  <c r="R8" i="4" s="1"/>
  <c r="L21" i="4"/>
  <c r="U21" i="4"/>
  <c r="R29" i="1"/>
  <c r="R7" i="4" s="1"/>
  <c r="D21" i="4"/>
  <c r="C37" i="4"/>
  <c r="I37" i="4"/>
  <c r="K21" i="4"/>
  <c r="P14" i="4"/>
  <c r="C21" i="4"/>
  <c r="B37" i="4"/>
  <c r="D37" i="4"/>
  <c r="G37" i="4"/>
  <c r="O12" i="4"/>
  <c r="O30" i="1"/>
  <c r="O8" i="4" s="1"/>
  <c r="D28" i="1"/>
  <c r="B28" i="1"/>
  <c r="B8" i="4"/>
  <c r="C28" i="1"/>
  <c r="O28" i="1"/>
  <c r="D29" i="1"/>
  <c r="D7" i="4" s="1"/>
  <c r="V6" i="4"/>
  <c r="G21" i="4"/>
  <c r="I21" i="4"/>
  <c r="F21" i="4"/>
  <c r="H21" i="4"/>
  <c r="E21" i="4"/>
  <c r="L52" i="23"/>
  <c r="D17" i="4"/>
  <c r="C4" i="4"/>
  <c r="G27" i="23"/>
  <c r="G52" i="23" s="1"/>
  <c r="K27" i="23"/>
  <c r="L22" i="1"/>
  <c r="D27" i="1"/>
  <c r="D52" i="1" s="1"/>
  <c r="D45" i="1"/>
  <c r="D22" i="23"/>
  <c r="D45" i="23"/>
  <c r="D27" i="23"/>
  <c r="D52" i="23" s="1"/>
  <c r="F45" i="23"/>
  <c r="E22" i="23"/>
  <c r="G22" i="23"/>
  <c r="K22" i="23"/>
  <c r="L45" i="23"/>
  <c r="O22" i="23"/>
  <c r="Q22" i="23"/>
  <c r="B22" i="23"/>
  <c r="C22" i="23"/>
  <c r="L22" i="23"/>
  <c r="Q27" i="23"/>
  <c r="Q52" i="23" s="1"/>
  <c r="O27" i="23"/>
  <c r="O52" i="23" s="1"/>
  <c r="E45" i="1"/>
  <c r="B27" i="1"/>
  <c r="B52" i="1" s="1"/>
  <c r="K27" i="1"/>
  <c r="K52" i="1" s="1"/>
  <c r="F4" i="4"/>
  <c r="G22" i="1"/>
  <c r="F45" i="1"/>
  <c r="C22" i="1"/>
  <c r="B22" i="1"/>
  <c r="G45" i="1"/>
  <c r="E27" i="1"/>
  <c r="E52" i="1" s="1"/>
  <c r="E22" i="1"/>
  <c r="I22" i="1"/>
  <c r="I27" i="1"/>
  <c r="P27" i="1"/>
  <c r="P52" i="1" s="1"/>
  <c r="H4" i="4"/>
  <c r="F22" i="1"/>
  <c r="I4" i="4"/>
  <c r="G4" i="4"/>
  <c r="C27" i="1"/>
  <c r="C52" i="1" s="1"/>
  <c r="B45" i="1"/>
  <c r="K74" i="4"/>
  <c r="K22" i="1"/>
  <c r="H22" i="1"/>
  <c r="O4" i="4"/>
  <c r="H45" i="1"/>
  <c r="O45" i="1"/>
  <c r="P4" i="4"/>
  <c r="K45" i="1"/>
  <c r="P45" i="1"/>
  <c r="O27" i="1"/>
  <c r="O52" i="1" s="1"/>
  <c r="I52" i="1"/>
  <c r="K55" i="4"/>
  <c r="B55" i="4"/>
  <c r="L55" i="4"/>
  <c r="E74" i="4"/>
  <c r="B74" i="4"/>
  <c r="E56" i="23"/>
  <c r="C56" i="1"/>
  <c r="O56" i="23"/>
  <c r="L56" i="1"/>
  <c r="E56" i="1"/>
  <c r="V56" i="23"/>
  <c r="H56" i="23"/>
  <c r="J56" i="1"/>
  <c r="M56" i="23"/>
  <c r="M56" i="1"/>
  <c r="D56" i="23"/>
  <c r="K56" i="23"/>
  <c r="J56" i="23"/>
  <c r="R56" i="23"/>
  <c r="H56" i="1"/>
  <c r="S56" i="23"/>
  <c r="R56" i="1"/>
  <c r="G56" i="23"/>
  <c r="B56" i="23"/>
  <c r="O56" i="1"/>
  <c r="G56" i="1"/>
  <c r="Q56" i="1"/>
  <c r="K56" i="1"/>
  <c r="L56" i="23"/>
  <c r="I56" i="23"/>
  <c r="F56" i="1"/>
  <c r="P56" i="1"/>
  <c r="U56" i="23"/>
  <c r="Q56" i="23"/>
  <c r="B56" i="1"/>
  <c r="D56" i="1"/>
  <c r="C56" i="23"/>
  <c r="F56" i="23"/>
  <c r="T56" i="23"/>
  <c r="T78" i="4"/>
  <c r="I56" i="1"/>
  <c r="P56" i="23"/>
  <c r="M46" i="23" l="1"/>
  <c r="M53" i="23" s="1"/>
  <c r="S47" i="1"/>
  <c r="S48" i="1" s="1"/>
  <c r="S54" i="1" s="1"/>
  <c r="E47" i="23"/>
  <c r="E48" i="23" s="1"/>
  <c r="E54" i="23" s="1"/>
  <c r="S46" i="23"/>
  <c r="S53" i="23" s="1"/>
  <c r="P47" i="23"/>
  <c r="P48" i="23" s="1"/>
  <c r="P54" i="23" s="1"/>
  <c r="V57" i="23"/>
  <c r="I57" i="23"/>
  <c r="T57" i="23"/>
  <c r="U57" i="23"/>
  <c r="M57" i="23"/>
  <c r="G57" i="23"/>
  <c r="Q57" i="23"/>
  <c r="S57" i="23"/>
  <c r="F57" i="23"/>
  <c r="P57" i="23"/>
  <c r="D57" i="23"/>
  <c r="L57" i="23"/>
  <c r="H57" i="23"/>
  <c r="K57" i="23"/>
  <c r="R57" i="23"/>
  <c r="J57" i="23"/>
  <c r="E57" i="23"/>
  <c r="C57" i="23"/>
  <c r="V27" i="4"/>
  <c r="V56" i="4" s="1"/>
  <c r="V75" i="4" s="1"/>
  <c r="I27" i="4"/>
  <c r="U27" i="4"/>
  <c r="U63" i="4" s="1"/>
  <c r="U64" i="4" s="1"/>
  <c r="M26" i="4"/>
  <c r="M63" i="4" s="1"/>
  <c r="M64" i="4" s="1"/>
  <c r="G26" i="4"/>
  <c r="Q27" i="4"/>
  <c r="S27" i="4"/>
  <c r="S63" i="4" s="1"/>
  <c r="S64" i="4" s="1"/>
  <c r="F26" i="4"/>
  <c r="P27" i="4"/>
  <c r="D26" i="4"/>
  <c r="L26" i="4"/>
  <c r="L56" i="4" s="1"/>
  <c r="L75" i="4" s="1"/>
  <c r="H26" i="4"/>
  <c r="K26" i="4"/>
  <c r="V46" i="23"/>
  <c r="V53" i="23" s="1"/>
  <c r="V47" i="23"/>
  <c r="V48" i="23" s="1"/>
  <c r="V54" i="23" s="1"/>
  <c r="R27" i="4"/>
  <c r="J26" i="4"/>
  <c r="J63" i="4" s="1"/>
  <c r="J64" i="4" s="1"/>
  <c r="E26" i="4"/>
  <c r="C26" i="4"/>
  <c r="M57" i="1"/>
  <c r="K57" i="1"/>
  <c r="J57" i="1"/>
  <c r="L57" i="1"/>
  <c r="E46" i="23"/>
  <c r="E53" i="23" s="1"/>
  <c r="F46" i="23"/>
  <c r="F53" i="23" s="1"/>
  <c r="K46" i="23"/>
  <c r="K53" i="23" s="1"/>
  <c r="G46" i="23"/>
  <c r="G53" i="23" s="1"/>
  <c r="M47" i="23"/>
  <c r="M48" i="23" s="1"/>
  <c r="M54" i="23" s="1"/>
  <c r="I46" i="23"/>
  <c r="I53" i="23" s="1"/>
  <c r="Q47" i="23"/>
  <c r="Q48" i="23" s="1"/>
  <c r="Q54" i="23" s="1"/>
  <c r="Q46" i="23"/>
  <c r="Q53" i="23" s="1"/>
  <c r="F47" i="23"/>
  <c r="F48" i="23" s="1"/>
  <c r="F54" i="23" s="1"/>
  <c r="S47" i="23"/>
  <c r="S48" i="23" s="1"/>
  <c r="S54" i="23" s="1"/>
  <c r="I47" i="23"/>
  <c r="I48" i="23" s="1"/>
  <c r="I54" i="23" s="1"/>
  <c r="T47" i="23"/>
  <c r="T48" i="23" s="1"/>
  <c r="T54" i="23" s="1"/>
  <c r="D46" i="23"/>
  <c r="D53" i="23" s="1"/>
  <c r="L46" i="23"/>
  <c r="L53" i="23" s="1"/>
  <c r="P46" i="23"/>
  <c r="P53" i="23" s="1"/>
  <c r="C46" i="23"/>
  <c r="C53" i="23" s="1"/>
  <c r="U47" i="23"/>
  <c r="U48" i="23" s="1"/>
  <c r="U54" i="23" s="1"/>
  <c r="H46" i="23"/>
  <c r="H53" i="23" s="1"/>
  <c r="U46" i="23"/>
  <c r="U53" i="23" s="1"/>
  <c r="H47" i="23"/>
  <c r="H48" i="23" s="1"/>
  <c r="H54" i="23" s="1"/>
  <c r="D47" i="23"/>
  <c r="D48" i="23" s="1"/>
  <c r="D54" i="23" s="1"/>
  <c r="R47" i="23"/>
  <c r="R48" i="23" s="1"/>
  <c r="R54" i="23" s="1"/>
  <c r="J47" i="23"/>
  <c r="J48" i="23" s="1"/>
  <c r="J54" i="23" s="1"/>
  <c r="T46" i="23"/>
  <c r="T53" i="23" s="1"/>
  <c r="L47" i="23"/>
  <c r="L48" i="23" s="1"/>
  <c r="L54" i="23" s="1"/>
  <c r="J46" i="23"/>
  <c r="J53" i="23" s="1"/>
  <c r="C47" i="23"/>
  <c r="C48" i="23" s="1"/>
  <c r="C54" i="23" s="1"/>
  <c r="K47" i="23"/>
  <c r="K48" i="23" s="1"/>
  <c r="K54" i="23" s="1"/>
  <c r="G47" i="23"/>
  <c r="G48" i="23" s="1"/>
  <c r="G54" i="23" s="1"/>
  <c r="R46" i="23"/>
  <c r="R53" i="23" s="1"/>
  <c r="L47" i="1"/>
  <c r="L48" i="1" s="1"/>
  <c r="L54" i="1" s="1"/>
  <c r="U47" i="1"/>
  <c r="U48" i="1" s="1"/>
  <c r="U54" i="1" s="1"/>
  <c r="V46" i="1"/>
  <c r="V53" i="1" s="1"/>
  <c r="S46" i="1"/>
  <c r="S53" i="1" s="1"/>
  <c r="T46" i="1"/>
  <c r="T53" i="1" s="1"/>
  <c r="U46" i="1"/>
  <c r="U53" i="1" s="1"/>
  <c r="M47" i="1"/>
  <c r="M48" i="1" s="1"/>
  <c r="M54" i="1" s="1"/>
  <c r="J46" i="1"/>
  <c r="J53" i="1" s="1"/>
  <c r="K47" i="1"/>
  <c r="K48" i="1" s="1"/>
  <c r="K54" i="1" s="1"/>
  <c r="V47" i="1"/>
  <c r="V48" i="1" s="1"/>
  <c r="V54" i="1" s="1"/>
  <c r="M46" i="1"/>
  <c r="M53" i="1" s="1"/>
  <c r="F46" i="1"/>
  <c r="F53" i="1" s="1"/>
  <c r="L46" i="1"/>
  <c r="L53" i="1" s="1"/>
  <c r="J47" i="1"/>
  <c r="J48" i="1" s="1"/>
  <c r="J54" i="1" s="1"/>
  <c r="T47" i="1"/>
  <c r="T48" i="1" s="1"/>
  <c r="T54" i="1" s="1"/>
  <c r="K46" i="1"/>
  <c r="K53" i="1" s="1"/>
  <c r="B22" i="4"/>
  <c r="D6" i="4"/>
  <c r="R6" i="4"/>
  <c r="I6" i="4"/>
  <c r="P7" i="4"/>
  <c r="E6" i="4"/>
  <c r="O6" i="4"/>
  <c r="B6" i="4"/>
  <c r="C6" i="4"/>
  <c r="H6" i="4"/>
  <c r="F6" i="4"/>
  <c r="P47" i="1"/>
  <c r="P48" i="1" s="1"/>
  <c r="P54" i="1" s="1"/>
  <c r="G6" i="4"/>
  <c r="Q7" i="4"/>
  <c r="K63" i="4"/>
  <c r="K64" i="4" s="1"/>
  <c r="T63" i="4"/>
  <c r="T64" i="4" s="1"/>
  <c r="T27" i="33"/>
  <c r="T52" i="33" s="1"/>
  <c r="T45" i="33"/>
  <c r="I47" i="1"/>
  <c r="I48" i="1" s="1"/>
  <c r="I54" i="1" s="1"/>
  <c r="F47" i="1"/>
  <c r="F48" i="1" s="1"/>
  <c r="F54" i="1" s="1"/>
  <c r="G47" i="1"/>
  <c r="G48" i="1" s="1"/>
  <c r="G54" i="1" s="1"/>
  <c r="E47" i="1"/>
  <c r="E48" i="1" s="1"/>
  <c r="E54" i="1" s="1"/>
  <c r="Q46" i="1"/>
  <c r="Q53" i="1" s="1"/>
  <c r="E46" i="1"/>
  <c r="E53" i="1" s="1"/>
  <c r="Q47" i="1"/>
  <c r="Q48" i="1" s="1"/>
  <c r="Q54" i="1" s="1"/>
  <c r="I46" i="1"/>
  <c r="I53" i="1" s="1"/>
  <c r="Q74" i="4"/>
  <c r="M57" i="4"/>
  <c r="M58" i="4" s="1"/>
  <c r="M76" i="4" s="1"/>
  <c r="T57" i="4"/>
  <c r="T58" i="4" s="1"/>
  <c r="T76" i="4" s="1"/>
  <c r="H57" i="1"/>
  <c r="G57" i="1"/>
  <c r="F57" i="1"/>
  <c r="I57" i="1"/>
  <c r="E57" i="1"/>
  <c r="H7" i="4"/>
  <c r="G46" i="1"/>
  <c r="G53" i="1" s="1"/>
  <c r="H46" i="1"/>
  <c r="H53" i="1" s="1"/>
  <c r="H47" i="1"/>
  <c r="H48" i="1" s="1"/>
  <c r="H54" i="1" s="1"/>
  <c r="G11" i="4"/>
  <c r="F9" i="4"/>
  <c r="I13" i="4"/>
  <c r="E12" i="4"/>
  <c r="I55" i="4"/>
  <c r="I62" i="4"/>
  <c r="K57" i="4"/>
  <c r="K58" i="4" s="1"/>
  <c r="K76" i="4" s="1"/>
  <c r="O55" i="4"/>
  <c r="O62" i="4"/>
  <c r="F55" i="4"/>
  <c r="F62" i="4"/>
  <c r="M55" i="4"/>
  <c r="M62" i="4"/>
  <c r="J55" i="4"/>
  <c r="J62" i="4"/>
  <c r="K56" i="4"/>
  <c r="K75" i="4" s="1"/>
  <c r="P55" i="4"/>
  <c r="P62" i="4"/>
  <c r="G55" i="4"/>
  <c r="G62" i="4"/>
  <c r="H74" i="4"/>
  <c r="H62" i="4"/>
  <c r="U22" i="33"/>
  <c r="U45" i="33"/>
  <c r="U27" i="33"/>
  <c r="U52" i="33" s="1"/>
  <c r="R45" i="33"/>
  <c r="R27" i="33"/>
  <c r="R52" i="33" s="1"/>
  <c r="R22" i="33"/>
  <c r="M56" i="4"/>
  <c r="M75" i="4" s="1"/>
  <c r="T56" i="4"/>
  <c r="T75" i="4" s="1"/>
  <c r="C74" i="4"/>
  <c r="C62" i="4"/>
  <c r="D55" i="4"/>
  <c r="D62" i="4"/>
  <c r="S27" i="33"/>
  <c r="S52" i="33" s="1"/>
  <c r="S22" i="33"/>
  <c r="S45" i="33"/>
  <c r="V4" i="33"/>
  <c r="Q55" i="4"/>
  <c r="V4" i="1"/>
  <c r="V45" i="1" s="1"/>
  <c r="O32" i="4"/>
  <c r="Q10" i="4"/>
  <c r="B32" i="4"/>
  <c r="H55" i="4"/>
  <c r="R10" i="4"/>
  <c r="O14" i="4"/>
  <c r="P15" i="4"/>
  <c r="V4" i="23"/>
  <c r="V45" i="23" s="1"/>
  <c r="B10" i="4"/>
  <c r="T79" i="4"/>
  <c r="O26" i="4"/>
  <c r="P46" i="1"/>
  <c r="P53" i="1" s="1"/>
  <c r="U4" i="1"/>
  <c r="U22" i="1" s="1"/>
  <c r="M74" i="4"/>
  <c r="M27" i="1"/>
  <c r="M52" i="1" s="1"/>
  <c r="M22" i="1"/>
  <c r="J52" i="1"/>
  <c r="J74" i="4"/>
  <c r="J27" i="1"/>
  <c r="J45" i="1"/>
  <c r="S4" i="1"/>
  <c r="S4" i="23"/>
  <c r="C55" i="4"/>
  <c r="U4" i="23"/>
  <c r="U22" i="23" s="1"/>
  <c r="J22" i="23"/>
  <c r="J52" i="23"/>
  <c r="J22" i="1"/>
  <c r="J27" i="23"/>
  <c r="R4" i="1"/>
  <c r="R22" i="1" s="1"/>
  <c r="R4" i="23"/>
  <c r="R22" i="23" s="1"/>
  <c r="M52" i="23"/>
  <c r="M22" i="23"/>
  <c r="M45" i="23"/>
  <c r="M45" i="1"/>
  <c r="B46" i="23"/>
  <c r="B53" i="23" s="1"/>
  <c r="B55" i="23" s="1"/>
  <c r="O46" i="23"/>
  <c r="O53" i="23" s="1"/>
  <c r="O55" i="23" s="1"/>
  <c r="O47" i="23"/>
  <c r="O48" i="23" s="1"/>
  <c r="O54" i="23" s="1"/>
  <c r="B47" i="23"/>
  <c r="B48" i="23" s="1"/>
  <c r="B54" i="23" s="1"/>
  <c r="B57" i="23"/>
  <c r="O57" i="23"/>
  <c r="B29" i="4"/>
  <c r="O22" i="4"/>
  <c r="R47" i="1"/>
  <c r="R48" i="1" s="1"/>
  <c r="R54" i="1" s="1"/>
  <c r="Q57" i="1"/>
  <c r="D74" i="4"/>
  <c r="R46" i="1"/>
  <c r="R53" i="1" s="1"/>
  <c r="C47" i="1"/>
  <c r="C48" i="1" s="1"/>
  <c r="C54" i="1" s="1"/>
  <c r="G74" i="4"/>
  <c r="D57" i="1"/>
  <c r="R57" i="1"/>
  <c r="P57" i="1"/>
  <c r="O57" i="1"/>
  <c r="C57" i="1"/>
  <c r="D10" i="4"/>
  <c r="C10" i="4"/>
  <c r="B57" i="1"/>
  <c r="C46" i="1"/>
  <c r="C53" i="1" s="1"/>
  <c r="B46" i="1"/>
  <c r="B53" i="1" s="1"/>
  <c r="B47" i="1"/>
  <c r="B48" i="1" s="1"/>
  <c r="B54" i="1" s="1"/>
  <c r="D46" i="1"/>
  <c r="D53" i="1" s="1"/>
  <c r="O47" i="1"/>
  <c r="O48" i="1" s="1"/>
  <c r="O54" i="1" s="1"/>
  <c r="O46" i="1"/>
  <c r="O53" i="1" s="1"/>
  <c r="O55" i="1" s="1"/>
  <c r="D47" i="1"/>
  <c r="D48" i="1" s="1"/>
  <c r="D54" i="1" s="1"/>
  <c r="D8" i="4"/>
  <c r="T4" i="1"/>
  <c r="T4" i="23"/>
  <c r="F74" i="4"/>
  <c r="I74" i="4"/>
  <c r="O74" i="4"/>
  <c r="P74" i="4"/>
  <c r="U78" i="4"/>
  <c r="M78" i="4"/>
  <c r="G78" i="4"/>
  <c r="R78" i="4"/>
  <c r="D78" i="4"/>
  <c r="S78" i="4"/>
  <c r="E78" i="4"/>
  <c r="B78" i="4"/>
  <c r="Q78" i="4"/>
  <c r="C78" i="4"/>
  <c r="P78" i="4"/>
  <c r="I78" i="4"/>
  <c r="J78" i="4"/>
  <c r="H78" i="4"/>
  <c r="V78" i="4"/>
  <c r="L78" i="4"/>
  <c r="F78" i="4"/>
  <c r="K78" i="4"/>
  <c r="O78" i="4"/>
  <c r="J57" i="4" l="1"/>
  <c r="J56" i="4"/>
  <c r="J75" i="4" s="1"/>
  <c r="V57" i="4"/>
  <c r="V58" i="4" s="1"/>
  <c r="V76" i="4" s="1"/>
  <c r="S57" i="4"/>
  <c r="S58" i="4" s="1"/>
  <c r="S76" i="4" s="1"/>
  <c r="S56" i="4"/>
  <c r="S75" i="4" s="1"/>
  <c r="U56" i="4"/>
  <c r="U75" i="4" s="1"/>
  <c r="U57" i="4"/>
  <c r="U58" i="4" s="1"/>
  <c r="U76" i="4" s="1"/>
  <c r="V63" i="4"/>
  <c r="V64" i="4" s="1"/>
  <c r="J58" i="4"/>
  <c r="J76" i="4" s="1"/>
  <c r="L57" i="4"/>
  <c r="L58" i="4" s="1"/>
  <c r="L76" i="4" s="1"/>
  <c r="L63" i="4"/>
  <c r="L64" i="4" s="1"/>
  <c r="J79" i="4"/>
  <c r="K79" i="4"/>
  <c r="V79" i="4"/>
  <c r="M79" i="4"/>
  <c r="L79" i="4"/>
  <c r="S79" i="4"/>
  <c r="U79" i="4"/>
  <c r="C63" i="4"/>
  <c r="C64" i="4" s="1"/>
  <c r="R63" i="4"/>
  <c r="R64" i="4" s="1"/>
  <c r="I57" i="4"/>
  <c r="I58" i="4" s="1"/>
  <c r="I76" i="4" s="1"/>
  <c r="F55" i="23"/>
  <c r="C55" i="23"/>
  <c r="I63" i="4"/>
  <c r="I64" i="4" s="1"/>
  <c r="H56" i="4"/>
  <c r="H75" i="4" s="1"/>
  <c r="F63" i="4"/>
  <c r="F64" i="4" s="1"/>
  <c r="G55" i="1"/>
  <c r="V4" i="4"/>
  <c r="V55" i="4" s="1"/>
  <c r="Q55" i="23"/>
  <c r="U55" i="23"/>
  <c r="T55" i="23"/>
  <c r="R55" i="23"/>
  <c r="S55" i="23"/>
  <c r="V55" i="23"/>
  <c r="P55" i="23"/>
  <c r="S55" i="1"/>
  <c r="U55" i="1"/>
  <c r="R55" i="1"/>
  <c r="T55" i="1"/>
  <c r="P55" i="1"/>
  <c r="Q55" i="1"/>
  <c r="V55" i="1"/>
  <c r="D63" i="4"/>
  <c r="D64" i="4" s="1"/>
  <c r="B63" i="4"/>
  <c r="B64" i="4" s="1"/>
  <c r="O63" i="4"/>
  <c r="O64" i="4" s="1"/>
  <c r="G56" i="4"/>
  <c r="G75" i="4" s="1"/>
  <c r="H57" i="4"/>
  <c r="H58" i="4" s="1"/>
  <c r="H76" i="4" s="1"/>
  <c r="H63" i="4"/>
  <c r="H64" i="4" s="1"/>
  <c r="P63" i="4"/>
  <c r="P64" i="4" s="1"/>
  <c r="G63" i="4"/>
  <c r="G64" i="4" s="1"/>
  <c r="E63" i="4"/>
  <c r="E64" i="4" s="1"/>
  <c r="Q63" i="4"/>
  <c r="Q64" i="4" s="1"/>
  <c r="V27" i="23"/>
  <c r="V52" i="23" s="1"/>
  <c r="I56" i="4"/>
  <c r="I75" i="4" s="1"/>
  <c r="U45" i="1"/>
  <c r="V22" i="1"/>
  <c r="V22" i="23"/>
  <c r="V27" i="1"/>
  <c r="V52" i="1" s="1"/>
  <c r="G57" i="4"/>
  <c r="G58" i="4" s="1"/>
  <c r="G76" i="4" s="1"/>
  <c r="F57" i="4"/>
  <c r="F58" i="4" s="1"/>
  <c r="F76" i="4" s="1"/>
  <c r="B56" i="4"/>
  <c r="E79" i="4"/>
  <c r="G79" i="4"/>
  <c r="I79" i="4"/>
  <c r="H79" i="4"/>
  <c r="F79" i="4"/>
  <c r="E57" i="4"/>
  <c r="E58" i="4" s="1"/>
  <c r="E76" i="4" s="1"/>
  <c r="E56" i="4"/>
  <c r="E75" i="4" s="1"/>
  <c r="F56" i="4"/>
  <c r="F75" i="4" s="1"/>
  <c r="P57" i="4"/>
  <c r="P58" i="4" s="1"/>
  <c r="P76" i="4" s="1"/>
  <c r="R56" i="4"/>
  <c r="R75" i="4" s="1"/>
  <c r="D56" i="4"/>
  <c r="D75" i="4" s="1"/>
  <c r="B57" i="4"/>
  <c r="B58" i="4" s="1"/>
  <c r="B76" i="4" s="1"/>
  <c r="V45" i="33"/>
  <c r="V27" i="33"/>
  <c r="V52" i="33" s="1"/>
  <c r="V22" i="33"/>
  <c r="D57" i="4"/>
  <c r="D58" i="4" s="1"/>
  <c r="D76" i="4" s="1"/>
  <c r="O57" i="4"/>
  <c r="O58" i="4" s="1"/>
  <c r="O76" i="4" s="1"/>
  <c r="C57" i="4"/>
  <c r="C58" i="4" s="1"/>
  <c r="C76" i="4" s="1"/>
  <c r="Q56" i="4"/>
  <c r="Q75" i="4" s="1"/>
  <c r="O56" i="4"/>
  <c r="O75" i="4" s="1"/>
  <c r="T77" i="4" s="1"/>
  <c r="C56" i="4"/>
  <c r="C75" i="4" s="1"/>
  <c r="P56" i="4"/>
  <c r="R57" i="4"/>
  <c r="R58" i="4" s="1"/>
  <c r="R76" i="4" s="1"/>
  <c r="Q57" i="4"/>
  <c r="Q58" i="4" s="1"/>
  <c r="Q76" i="4" s="1"/>
  <c r="Q79" i="4"/>
  <c r="P79" i="4"/>
  <c r="R79" i="4"/>
  <c r="U4" i="4"/>
  <c r="U27" i="1"/>
  <c r="U52" i="1" s="1"/>
  <c r="C79" i="4"/>
  <c r="D79" i="4"/>
  <c r="L55" i="23"/>
  <c r="D55" i="23"/>
  <c r="H55" i="23"/>
  <c r="K55" i="23"/>
  <c r="J55" i="23"/>
  <c r="M55" i="23"/>
  <c r="G55" i="23"/>
  <c r="E55" i="23"/>
  <c r="I55" i="23"/>
  <c r="R59" i="23"/>
  <c r="O79" i="4"/>
  <c r="B79" i="4"/>
  <c r="L59" i="23"/>
  <c r="F59" i="23"/>
  <c r="Q59" i="23"/>
  <c r="V59" i="23"/>
  <c r="P59" i="23"/>
  <c r="T59" i="23"/>
  <c r="U59" i="23"/>
  <c r="S59" i="23"/>
  <c r="R45" i="23"/>
  <c r="S4" i="4"/>
  <c r="S62" i="4" s="1"/>
  <c r="S45" i="1"/>
  <c r="S27" i="1"/>
  <c r="S52" i="1" s="1"/>
  <c r="S22" i="1"/>
  <c r="U27" i="23"/>
  <c r="U52" i="23" s="1"/>
  <c r="U45" i="23"/>
  <c r="S45" i="23"/>
  <c r="S27" i="23"/>
  <c r="S52" i="23" s="1"/>
  <c r="S22" i="23"/>
  <c r="R45" i="1"/>
  <c r="R4" i="4"/>
  <c r="R62" i="4" s="1"/>
  <c r="R27" i="1"/>
  <c r="R52" i="1" s="1"/>
  <c r="R27" i="23"/>
  <c r="R52" i="23" s="1"/>
  <c r="C59" i="23"/>
  <c r="E59" i="23"/>
  <c r="J59" i="23"/>
  <c r="K59" i="23"/>
  <c r="D59" i="23"/>
  <c r="I59" i="23"/>
  <c r="O59" i="23"/>
  <c r="G59" i="23"/>
  <c r="H59" i="23"/>
  <c r="M59" i="23"/>
  <c r="C55" i="1"/>
  <c r="H55" i="1"/>
  <c r="F55" i="1"/>
  <c r="I55" i="1"/>
  <c r="L55" i="1"/>
  <c r="J55" i="1"/>
  <c r="D55" i="1"/>
  <c r="K55" i="1"/>
  <c r="E55" i="1"/>
  <c r="O59" i="1"/>
  <c r="J59" i="1"/>
  <c r="F59" i="1"/>
  <c r="F60" i="1" s="1"/>
  <c r="M59" i="1"/>
  <c r="M60" i="1" s="1"/>
  <c r="I59" i="1"/>
  <c r="I60" i="1" s="1"/>
  <c r="E59" i="1"/>
  <c r="E60" i="1" s="1"/>
  <c r="L59" i="1"/>
  <c r="L60" i="1" s="1"/>
  <c r="H59" i="1"/>
  <c r="H60" i="1" s="1"/>
  <c r="D59" i="1"/>
  <c r="D60" i="1" s="1"/>
  <c r="K59" i="1"/>
  <c r="K60" i="1" s="1"/>
  <c r="C59" i="1"/>
  <c r="G59" i="1"/>
  <c r="G60" i="1" s="1"/>
  <c r="M55" i="1"/>
  <c r="T59" i="1"/>
  <c r="P59" i="1"/>
  <c r="S59" i="1"/>
  <c r="V59" i="1"/>
  <c r="R59" i="1"/>
  <c r="U59" i="1"/>
  <c r="Q59" i="1"/>
  <c r="B55" i="1"/>
  <c r="T27" i="23"/>
  <c r="T52" i="23" s="1"/>
  <c r="T45" i="23"/>
  <c r="T22" i="23"/>
  <c r="T27" i="1"/>
  <c r="T52" i="1" s="1"/>
  <c r="T45" i="1"/>
  <c r="T4" i="4"/>
  <c r="T62" i="4" s="1"/>
  <c r="T22" i="1"/>
  <c r="C60" i="23"/>
  <c r="F60" i="23"/>
  <c r="J60" i="1"/>
  <c r="U60" i="23"/>
  <c r="D60" i="23"/>
  <c r="G60" i="23"/>
  <c r="J60" i="23"/>
  <c r="I60" i="23"/>
  <c r="R60" i="23"/>
  <c r="V60" i="23"/>
  <c r="H60" i="23"/>
  <c r="P60" i="23"/>
  <c r="S60" i="23"/>
  <c r="M60" i="23"/>
  <c r="S60" i="1"/>
  <c r="L60" i="23"/>
  <c r="R60" i="1"/>
  <c r="V60" i="1"/>
  <c r="E60" i="23"/>
  <c r="Q60" i="23"/>
  <c r="O60" i="23"/>
  <c r="O60" i="1"/>
  <c r="T60" i="1"/>
  <c r="Q60" i="1"/>
  <c r="U60" i="1"/>
  <c r="T60" i="23"/>
  <c r="K60" i="23"/>
  <c r="C60" i="1"/>
  <c r="P60" i="1"/>
  <c r="V74" i="4" l="1"/>
  <c r="V62" i="4"/>
  <c r="P75" i="4"/>
  <c r="P77" i="4" s="1"/>
  <c r="O81" i="4"/>
  <c r="U74" i="4"/>
  <c r="U62" i="4"/>
  <c r="R61" i="23"/>
  <c r="U55" i="4"/>
  <c r="V77" i="4"/>
  <c r="U77" i="4"/>
  <c r="O77" i="4"/>
  <c r="S77" i="4"/>
  <c r="Q77" i="4"/>
  <c r="R77" i="4"/>
  <c r="P81" i="4"/>
  <c r="P82" i="4" s="1"/>
  <c r="Q81" i="4"/>
  <c r="B75" i="4"/>
  <c r="M61" i="23"/>
  <c r="I61" i="23"/>
  <c r="E61" i="23"/>
  <c r="D61" i="23"/>
  <c r="C61" i="23"/>
  <c r="Q61" i="23"/>
  <c r="U61" i="23"/>
  <c r="P61" i="23"/>
  <c r="F61" i="23"/>
  <c r="H61" i="23"/>
  <c r="K61" i="23"/>
  <c r="G61" i="23"/>
  <c r="J61" i="23"/>
  <c r="S61" i="23"/>
  <c r="T61" i="23"/>
  <c r="V61" i="23"/>
  <c r="L61" i="23"/>
  <c r="D61" i="1"/>
  <c r="U61" i="1"/>
  <c r="S61" i="1"/>
  <c r="G61" i="1"/>
  <c r="M61" i="1"/>
  <c r="L61" i="1"/>
  <c r="T61" i="1"/>
  <c r="E61" i="1"/>
  <c r="F61" i="1"/>
  <c r="K61" i="1"/>
  <c r="I61" i="1"/>
  <c r="J61" i="1"/>
  <c r="V61" i="1"/>
  <c r="H61" i="1"/>
  <c r="S55" i="4"/>
  <c r="S74" i="4"/>
  <c r="R55" i="4"/>
  <c r="R74" i="4"/>
  <c r="O61" i="1"/>
  <c r="Q61" i="1"/>
  <c r="P61" i="1"/>
  <c r="C61" i="1"/>
  <c r="R61" i="1"/>
  <c r="T55" i="4"/>
  <c r="T74" i="4"/>
  <c r="O82" i="4"/>
  <c r="Q82" i="4"/>
  <c r="K77" i="4" l="1"/>
  <c r="J77" i="4"/>
  <c r="G77" i="4"/>
  <c r="F77" i="4"/>
  <c r="L77" i="4"/>
  <c r="B77" i="4"/>
  <c r="M77" i="4"/>
  <c r="I77" i="4"/>
  <c r="H77" i="4"/>
  <c r="D77" i="4"/>
  <c r="C77" i="4"/>
  <c r="E77" i="4"/>
  <c r="P83" i="4"/>
  <c r="Q83" i="4"/>
  <c r="O83" i="4"/>
  <c r="O6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6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  <comment ref="A69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</commentList>
</comments>
</file>

<file path=xl/sharedStrings.xml><?xml version="1.0" encoding="utf-8"?>
<sst xmlns="http://schemas.openxmlformats.org/spreadsheetml/2006/main" count="244" uniqueCount="56">
  <si>
    <t>mean</t>
  </si>
  <si>
    <t>SD</t>
  </si>
  <si>
    <t>SEM</t>
  </si>
  <si>
    <t>Rep1</t>
  </si>
  <si>
    <t>Rep2</t>
  </si>
  <si>
    <t>R1</t>
  </si>
  <si>
    <t>R2</t>
  </si>
  <si>
    <t>Concentration</t>
  </si>
  <si>
    <t xml:space="preserve">Testo </t>
  </si>
  <si>
    <t>R3</t>
  </si>
  <si>
    <t>Mean</t>
  </si>
  <si>
    <t>Noms des groupes</t>
  </si>
  <si>
    <t>Nom des groupes</t>
  </si>
  <si>
    <t xml:space="preserve"> + Testostérone</t>
  </si>
  <si>
    <t>% induction</t>
  </si>
  <si>
    <t>Annotation</t>
  </si>
  <si>
    <t>Rep3</t>
  </si>
  <si>
    <t>ng/L</t>
  </si>
  <si>
    <t>EE2</t>
  </si>
  <si>
    <t>µg/L</t>
  </si>
  <si>
    <t xml:space="preserve">Testo 30µg/L + EE2 </t>
  </si>
  <si>
    <t>mg/L</t>
  </si>
  <si>
    <t>Testo 30µg/L + FAD</t>
  </si>
  <si>
    <t>Date performed :</t>
  </si>
  <si>
    <t>Experiment number :</t>
  </si>
  <si>
    <t>Do not fill in</t>
  </si>
  <si>
    <t>Do not fill in2</t>
  </si>
  <si>
    <t>Units</t>
  </si>
  <si>
    <t>Chemical name</t>
  </si>
  <si>
    <t>Do not fill in3</t>
  </si>
  <si>
    <t>test chemical</t>
  </si>
  <si>
    <t>Solvent control</t>
  </si>
  <si>
    <t>33.8</t>
  </si>
  <si>
    <t>50.6</t>
  </si>
  <si>
    <t>170.9</t>
  </si>
  <si>
    <t>Raw data</t>
  </si>
  <si>
    <t>Data normalised to the "Testo" group</t>
  </si>
  <si>
    <t>Group names</t>
  </si>
  <si>
    <t>Normality test : p value</t>
  </si>
  <si>
    <t>Normality test : normal distibution?</t>
  </si>
  <si>
    <t>Statistical test used</t>
  </si>
  <si>
    <t>Statistical test : p value</t>
  </si>
  <si>
    <t>Unspiked</t>
  </si>
  <si>
    <t>Testosterone spiked</t>
  </si>
  <si>
    <t>N</t>
  </si>
  <si>
    <t>Group Name</t>
  </si>
  <si>
    <t>Control</t>
  </si>
  <si>
    <t>T+EE2: 3 embryos died</t>
  </si>
  <si>
    <t xml:space="preserve"> -&gt; whole replicate invalid?</t>
  </si>
  <si>
    <t>Estradiol</t>
  </si>
  <si>
    <t>ns</t>
  </si>
  <si>
    <t>&gt;0,99</t>
  </si>
  <si>
    <t>***</t>
  </si>
  <si>
    <t>&lt;0,001</t>
  </si>
  <si>
    <t>**</t>
  </si>
  <si>
    <t>Kruskal-Wallis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</si>
</sst>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name val="Arial"/>
      <family val="2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</cellStyleXfs>
  <cellXfs count="149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8" borderId="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" fillId="4" borderId="3" xfId="0" applyFont="1" applyFill="1" applyBorder="1" applyAlignment="1">
      <alignment horizontal="center"/>
    </xf>
    <xf numFmtId="0" fontId="3" fillId="0" borderId="15" xfId="0" applyFont="1" applyBorder="1" applyAlignment="1">
      <alignment vertical="center"/>
    </xf>
    <xf numFmtId="0" fontId="0" fillId="0" borderId="0" xfId="0" applyFont="1"/>
    <xf numFmtId="0" fontId="3" fillId="0" borderId="9" xfId="0" applyNumberFormat="1" applyFont="1" applyBorder="1" applyAlignment="1">
      <alignment vertical="center"/>
    </xf>
    <xf numFmtId="0" fontId="0" fillId="0" borderId="0" xfId="0" applyNumberFormat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3" xfId="0" applyFill="1" applyBorder="1"/>
    <xf numFmtId="0" fontId="0" fillId="0" borderId="0" xfId="0" applyAlignment="1">
      <alignment vertical="center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13" borderId="26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49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/>
    <xf numFmtId="164" fontId="0" fillId="6" borderId="10" xfId="0" applyNumberFormat="1" applyFill="1" applyBorder="1" applyAlignment="1">
      <alignment horizontal="center"/>
    </xf>
    <xf numFmtId="164" fontId="0" fillId="6" borderId="18" xfId="0" applyNumberFormat="1" applyFill="1" applyBorder="1" applyAlignment="1">
      <alignment horizontal="center"/>
    </xf>
    <xf numFmtId="0" fontId="3" fillId="7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9" borderId="0" xfId="0" applyFont="1" applyFill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3" fillId="0" borderId="4" xfId="0" applyFont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2" fontId="3" fillId="7" borderId="2" xfId="0" applyNumberFormat="1" applyFont="1" applyFill="1" applyBorder="1" applyAlignment="1">
      <alignment horizontal="center" vertical="center" wrapText="1"/>
    </xf>
    <xf numFmtId="2" fontId="3" fillId="7" borderId="21" xfId="0" applyNumberFormat="1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3" fillId="13" borderId="15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13" borderId="9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13" borderId="23" xfId="0" applyFont="1" applyFill="1" applyBorder="1" applyAlignment="1">
      <alignment vertical="center"/>
    </xf>
    <xf numFmtId="0" fontId="3" fillId="13" borderId="0" xfId="0" applyFont="1" applyFill="1" applyBorder="1" applyAlignment="1">
      <alignment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13" borderId="26" xfId="0" applyNumberFormat="1" applyFont="1" applyFill="1" applyBorder="1" applyAlignment="1">
      <alignment horizontal="center" vertical="center"/>
    </xf>
    <xf numFmtId="0" fontId="3" fillId="13" borderId="3" xfId="0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4" borderId="3" xfId="0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NumberFormat="1" applyFont="1" applyFill="1" applyBorder="1" applyAlignment="1">
      <alignment vertical="center"/>
    </xf>
    <xf numFmtId="2" fontId="3" fillId="0" borderId="15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21" xfId="0" applyFont="1" applyBorder="1" applyAlignment="1">
      <alignment vertical="center"/>
    </xf>
    <xf numFmtId="0" fontId="3" fillId="0" borderId="22" xfId="0" applyNumberFormat="1" applyFont="1" applyBorder="1" applyAlignment="1">
      <alignment horizontal="center" vertical="center"/>
    </xf>
    <xf numFmtId="0" fontId="3" fillId="13" borderId="31" xfId="0" applyNumberFormat="1" applyFont="1" applyFill="1" applyBorder="1" applyAlignment="1">
      <alignment vertical="center"/>
    </xf>
    <xf numFmtId="0" fontId="3" fillId="13" borderId="29" xfId="0" applyFont="1" applyFill="1" applyBorder="1" applyAlignment="1">
      <alignment vertical="center"/>
    </xf>
    <xf numFmtId="0" fontId="3" fillId="13" borderId="32" xfId="0" applyNumberFormat="1" applyFont="1" applyFill="1" applyBorder="1" applyAlignment="1">
      <alignment vertical="center"/>
    </xf>
    <xf numFmtId="0" fontId="3" fillId="13" borderId="24" xfId="0" applyFont="1" applyFill="1" applyBorder="1" applyAlignment="1">
      <alignment vertical="center"/>
    </xf>
    <xf numFmtId="0" fontId="3" fillId="13" borderId="33" xfId="0" applyNumberFormat="1" applyFont="1" applyFill="1" applyBorder="1" applyAlignment="1">
      <alignment vertical="center"/>
    </xf>
    <xf numFmtId="0" fontId="3" fillId="13" borderId="34" xfId="0" applyFont="1" applyFill="1" applyBorder="1" applyAlignment="1">
      <alignment vertical="center"/>
    </xf>
    <xf numFmtId="0" fontId="3" fillId="13" borderId="11" xfId="0" applyNumberFormat="1" applyFont="1" applyFill="1" applyBorder="1" applyAlignment="1">
      <alignment horizontal="center" vertical="center"/>
    </xf>
    <xf numFmtId="0" fontId="3" fillId="13" borderId="35" xfId="0" applyNumberFormat="1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3" borderId="30" xfId="0" applyFont="1" applyFill="1" applyBorder="1" applyAlignment="1">
      <alignment vertical="center"/>
    </xf>
    <xf numFmtId="0" fontId="3" fillId="8" borderId="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13" borderId="39" xfId="0" applyNumberFormat="1" applyFont="1" applyFill="1" applyBorder="1" applyAlignment="1">
      <alignment vertical="center"/>
    </xf>
    <xf numFmtId="0" fontId="3" fillId="13" borderId="25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vertical="center"/>
    </xf>
    <xf numFmtId="0" fontId="10" fillId="8" borderId="12" xfId="0" applyFont="1" applyFill="1" applyBorder="1" applyAlignment="1">
      <alignment horizontal="left"/>
    </xf>
    <xf numFmtId="0" fontId="7" fillId="12" borderId="7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/>
    </xf>
    <xf numFmtId="164" fontId="7" fillId="11" borderId="7" xfId="0" applyNumberFormat="1" applyFont="1" applyFill="1" applyBorder="1" applyAlignment="1">
      <alignment horizontal="left"/>
    </xf>
    <xf numFmtId="164" fontId="7" fillId="11" borderId="6" xfId="0" applyNumberFormat="1" applyFont="1" applyFill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</cellXfs>
  <cellStyles count="7">
    <cellStyle name="Normal" xfId="0" builtinId="0"/>
    <cellStyle name="Normal 2" xfId="1" xr:uid="{00000000-0005-0000-0000-000001000000}"/>
    <cellStyle name="Normal 2 2" xfId="5" xr:uid="{00000000-0005-0000-0000-000002000000}"/>
    <cellStyle name="Normal 2 2 2" xfId="3" xr:uid="{00000000-0005-0000-0000-000003000000}"/>
    <cellStyle name="Normal 3" xfId="2" xr:uid="{00000000-0005-0000-0000-000004000000}"/>
    <cellStyle name="Normal 3 2" xfId="4" xr:uid="{00000000-0005-0000-0000-000005000000}"/>
    <cellStyle name="Normal 4" xfId="6" xr:uid="{00000000-0005-0000-0000-000006000000}"/>
  </cellStyles>
  <dxfs count="9"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#,000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5F5F5F"/>
      <color rgb="FFB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chartsheet" Target="chartsheets/sheet4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61954963560215E-2"/>
          <c:y val="0.14661966108751268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R1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1-9479-4293-B6F6-2F33FB06526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2-9479-4293-B6F6-2F33FB06526E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479-4293-B6F6-2F33FB06526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9479-4293-B6F6-2F33FB06526E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9479-4293-B6F6-2F33FB06526E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6-9479-4293-B6F6-2F33FB06526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9479-4293-B6F6-2F33FB06526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9479-4293-B6F6-2F33FB06526E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9479-4293-B6F6-2F33FB06526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9479-4293-B6F6-2F33FB0652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9479-4293-B6F6-2F33FB0652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9479-4293-B6F6-2F33FB0652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2-9479-4293-B6F6-2F33FB0652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9479-4293-B6F6-2F33FB0652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479-4293-B6F6-2F33FB0652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9479-4293-B6F6-2F33FB0652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9479-4293-B6F6-2F33FB0652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9479-4293-B6F6-2F33FB06526E}"/>
              </c:ext>
            </c:extLst>
          </c:dPt>
          <c:errBars>
            <c:errBarType val="plus"/>
            <c:errValType val="cust"/>
            <c:noEndCap val="0"/>
            <c:plus>
              <c:numRef>
                <c:f>'R1'!$B$54:$V$54</c:f>
                <c:numCache>
                  <c:formatCode>General</c:formatCode>
                  <c:ptCount val="21"/>
                  <c:pt idx="0">
                    <c:v>1.52798877025843E-2</c:v>
                  </c:pt>
                  <c:pt idx="1">
                    <c:v>5.8670525597400637E-2</c:v>
                  </c:pt>
                  <c:pt idx="2">
                    <c:v>0.11199253092477865</c:v>
                  </c:pt>
                  <c:pt idx="3">
                    <c:v>0.18516500917853804</c:v>
                  </c:pt>
                  <c:pt idx="4">
                    <c:v>0.20251530886191876</c:v>
                  </c:pt>
                  <c:pt idx="5">
                    <c:v>0.22055251391684405</c:v>
                  </c:pt>
                  <c:pt idx="6">
                    <c:v>0.27038844474803675</c:v>
                  </c:pt>
                  <c:pt idx="7">
                    <c:v>1.3917552551030842E-2</c:v>
                  </c:pt>
                  <c:pt idx="8">
                    <c:v>3.6841069486812851E-2</c:v>
                  </c:pt>
                  <c:pt idx="9">
                    <c:v>2.7327093852554173E-2</c:v>
                  </c:pt>
                  <c:pt idx="10">
                    <c:v>0.25013440507706947</c:v>
                  </c:pt>
                  <c:pt idx="11">
                    <c:v>0.34120284311373039</c:v>
                  </c:pt>
                  <c:pt idx="13">
                    <c:v>0.23738242877944435</c:v>
                  </c:pt>
                  <c:pt idx="14">
                    <c:v>0.17783787900524964</c:v>
                  </c:pt>
                  <c:pt idx="15">
                    <c:v>1.5638527712977052E-2</c:v>
                  </c:pt>
                  <c:pt idx="16">
                    <c:v>9.3342229835876853E-2</c:v>
                  </c:pt>
                  <c:pt idx="17">
                    <c:v>0.24807117000609125</c:v>
                  </c:pt>
                  <c:pt idx="18">
                    <c:v>0.26752054955827281</c:v>
                  </c:pt>
                  <c:pt idx="19">
                    <c:v>0.1893836870404568</c:v>
                  </c:pt>
                  <c:pt idx="20">
                    <c:v>0.2176376816560873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'R1'!$B$52:$V$52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Estradiol-34ng/L</c:v>
                </c:pt>
                <c:pt idx="8">
                  <c:v>Estradiol-68ng/L</c:v>
                </c:pt>
                <c:pt idx="9">
                  <c:v>Estradiol-135ng/L</c:v>
                </c:pt>
                <c:pt idx="10">
                  <c:v>Estradiol-270ng/L</c:v>
                </c:pt>
                <c:pt idx="11">
                  <c:v>Estradiol-540ng/L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Estradiol-34ng/L + Testostérone</c:v>
                </c:pt>
                <c:pt idx="17">
                  <c:v>Estradiol-68ng/L + Testostérone</c:v>
                </c:pt>
                <c:pt idx="18">
                  <c:v>Estradiol-135ng/L + Testostérone</c:v>
                </c:pt>
                <c:pt idx="19">
                  <c:v>Estradiol-270ng/L + Testostérone</c:v>
                </c:pt>
                <c:pt idx="20">
                  <c:v>Estradiol-540ng/L + Testostérone</c:v>
                </c:pt>
              </c:strCache>
            </c:strRef>
          </c:cat>
          <c:val>
            <c:numRef>
              <c:f>'R1'!$B$53:$V$53</c:f>
              <c:numCache>
                <c:formatCode>0.0000</c:formatCode>
                <c:ptCount val="21"/>
                <c:pt idx="0">
                  <c:v>5.8692518923581287E-2</c:v>
                </c:pt>
                <c:pt idx="1">
                  <c:v>0.16900935811379122</c:v>
                </c:pt>
                <c:pt idx="2">
                  <c:v>0.42533145720321502</c:v>
                </c:pt>
                <c:pt idx="3">
                  <c:v>0.77693098423603824</c:v>
                </c:pt>
                <c:pt idx="4">
                  <c:v>1.7055911488774838</c:v>
                </c:pt>
                <c:pt idx="5">
                  <c:v>1.4065802473301634</c:v>
                </c:pt>
                <c:pt idx="6">
                  <c:v>2.739214434402296</c:v>
                </c:pt>
                <c:pt idx="7">
                  <c:v>6.7416614836844371E-2</c:v>
                </c:pt>
                <c:pt idx="8">
                  <c:v>0.11803652621972241</c:v>
                </c:pt>
                <c:pt idx="9">
                  <c:v>0.13192651934758154</c:v>
                </c:pt>
                <c:pt idx="10">
                  <c:v>1.1863521015515186</c:v>
                </c:pt>
                <c:pt idx="11">
                  <c:v>2.6352433319809876</c:v>
                </c:pt>
                <c:pt idx="13">
                  <c:v>1</c:v>
                </c:pt>
                <c:pt idx="14">
                  <c:v>1.9102186831873758</c:v>
                </c:pt>
                <c:pt idx="15">
                  <c:v>5.0146019054568697E-2</c:v>
                </c:pt>
                <c:pt idx="16">
                  <c:v>0.47361880286691777</c:v>
                </c:pt>
                <c:pt idx="17">
                  <c:v>1.3470983346405916</c:v>
                </c:pt>
                <c:pt idx="18">
                  <c:v>1.5400948470259952</c:v>
                </c:pt>
                <c:pt idx="19">
                  <c:v>2.1721659832454239</c:v>
                </c:pt>
                <c:pt idx="20">
                  <c:v>2.7841538979585172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33F-93CE-959A7E857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7512"/>
        <c:axId val="324817904"/>
      </c:barChart>
      <c:catAx>
        <c:axId val="32481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7904"/>
        <c:crosses val="autoZero"/>
        <c:auto val="1"/>
        <c:lblAlgn val="ctr"/>
        <c:lblOffset val="100"/>
        <c:noMultiLvlLbl val="0"/>
      </c:catAx>
      <c:valAx>
        <c:axId val="324817904"/>
        <c:scaling>
          <c:orientation val="minMax"/>
          <c:max val="6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7512"/>
        <c:crosses val="autoZero"/>
        <c:crossBetween val="between"/>
        <c:majorUnit val="0.2"/>
        <c:minorUnit val="0.1"/>
      </c:valAx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D-EA59-4FF1-816E-B4B22253AA0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6-EA59-4FF1-816E-B4B22253AA0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5-EA59-4FF1-816E-B4B22253AA0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4-EA59-4FF1-816E-B4B22253AA0B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3-EA59-4FF1-816E-B4B22253AA0B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2-EA59-4FF1-816E-B4B22253AA0B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1-EA59-4FF1-816E-B4B22253AA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EA59-4FF1-816E-B4B22253AA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EA59-4FF1-816E-B4B22253AA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E-EA59-4FF1-816E-B4B22253AA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C-EA59-4FF1-816E-B4B22253AA0B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EA59-4FF1-816E-B4B22253AA0B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EA59-4FF1-816E-B4B22253AA0B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59-4FF1-816E-B4B22253AA0B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A-EA59-4FF1-816E-B4B22253AA0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59-4FF1-816E-B4B22253AA0B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'R2'!$B$54:$V$54</c:f>
                <c:numCache>
                  <c:formatCode>General</c:formatCode>
                  <c:ptCount val="21"/>
                  <c:pt idx="0">
                    <c:v>0.55445744110360429</c:v>
                  </c:pt>
                  <c:pt idx="1">
                    <c:v>0.38195518083939173</c:v>
                  </c:pt>
                  <c:pt idx="2">
                    <c:v>0.38513997999241401</c:v>
                  </c:pt>
                  <c:pt idx="3">
                    <c:v>0.39701823371994588</c:v>
                  </c:pt>
                  <c:pt idx="4">
                    <c:v>0.67431589338590903</c:v>
                  </c:pt>
                  <c:pt idx="5">
                    <c:v>0.82426015815336351</c:v>
                  </c:pt>
                  <c:pt idx="6">
                    <c:v>0.87937095246361008</c:v>
                  </c:pt>
                  <c:pt idx="7">
                    <c:v>1.1952331950619019E-2</c:v>
                  </c:pt>
                  <c:pt idx="8">
                    <c:v>2.7058462301623752E-2</c:v>
                  </c:pt>
                  <c:pt idx="9">
                    <c:v>3.1375263122699878E-2</c:v>
                  </c:pt>
                  <c:pt idx="10">
                    <c:v>2.3626243648441181E-2</c:v>
                  </c:pt>
                  <c:pt idx="11">
                    <c:v>7.2837394749151768E-2</c:v>
                  </c:pt>
                  <c:pt idx="13">
                    <c:v>0.15449608371086337</c:v>
                  </c:pt>
                  <c:pt idx="14">
                    <c:v>0.7100470314902142</c:v>
                  </c:pt>
                  <c:pt idx="15">
                    <c:v>3.6794457783691455E-2</c:v>
                  </c:pt>
                  <c:pt idx="16">
                    <c:v>0.36867528356408935</c:v>
                  </c:pt>
                  <c:pt idx="17">
                    <c:v>0.1503667035804597</c:v>
                  </c:pt>
                  <c:pt idx="18">
                    <c:v>0.31633545418231318</c:v>
                  </c:pt>
                  <c:pt idx="19">
                    <c:v>0.25704349186039238</c:v>
                  </c:pt>
                  <c:pt idx="20">
                    <c:v>0.18170207069046798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0.23738242877944435</c:v>
                  </c:pt>
                  <c:pt idx="2">
                    <c:v>0.17783787900524964</c:v>
                  </c:pt>
                  <c:pt idx="3">
                    <c:v>1.5638527712977052E-2</c:v>
                  </c:pt>
                  <c:pt idx="4">
                    <c:v>9.3342229835876853E-2</c:v>
                  </c:pt>
                  <c:pt idx="5">
                    <c:v>0.24807117000609125</c:v>
                  </c:pt>
                  <c:pt idx="6">
                    <c:v>0.26752054955827281</c:v>
                  </c:pt>
                  <c:pt idx="7">
                    <c:v>0.1893836870404568</c:v>
                  </c:pt>
                  <c:pt idx="8">
                    <c:v>0.2176376816560873</c:v>
                  </c:pt>
                </c:numCache>
              </c:numRef>
            </c:minus>
          </c:errBars>
          <c:cat>
            <c:strRef>
              <c:f>'R2'!$B$52:$V$52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Estradiol-34ng/L</c:v>
                </c:pt>
                <c:pt idx="8">
                  <c:v>Estradiol-68ng/L</c:v>
                </c:pt>
                <c:pt idx="9">
                  <c:v>Estradiol-135ng/L</c:v>
                </c:pt>
                <c:pt idx="10">
                  <c:v>Estradiol-270ng/L</c:v>
                </c:pt>
                <c:pt idx="11">
                  <c:v>Estradiol-540ng/L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Estradiol-34ng/L + Testostérone</c:v>
                </c:pt>
                <c:pt idx="17">
                  <c:v>Estradiol-68ng/L + Testostérone</c:v>
                </c:pt>
                <c:pt idx="18">
                  <c:v>Estradiol-135ng/L + Testostérone</c:v>
                </c:pt>
                <c:pt idx="19">
                  <c:v>Estradiol-270ng/L + Testostérone</c:v>
                </c:pt>
                <c:pt idx="20">
                  <c:v>Estradiol-540ng/L + Testostérone</c:v>
                </c:pt>
              </c:strCache>
            </c:strRef>
          </c:cat>
          <c:val>
            <c:numRef>
              <c:f>'R2'!$B$53:$V$53</c:f>
              <c:numCache>
                <c:formatCode>0.0000</c:formatCode>
                <c:ptCount val="21"/>
                <c:pt idx="0">
                  <c:v>1.5607035064329202</c:v>
                </c:pt>
                <c:pt idx="1">
                  <c:v>1.2529963410735168</c:v>
                </c:pt>
                <c:pt idx="2">
                  <c:v>1.3696184971697236</c:v>
                </c:pt>
                <c:pt idx="3">
                  <c:v>4.4958595323009209</c:v>
                </c:pt>
                <c:pt idx="4">
                  <c:v>4.5290853604874082</c:v>
                </c:pt>
                <c:pt idx="5">
                  <c:v>4.8403480567579393</c:v>
                </c:pt>
                <c:pt idx="6">
                  <c:v>6.9319939217219853</c:v>
                </c:pt>
                <c:pt idx="7">
                  <c:v>5.1675509414142166E-2</c:v>
                </c:pt>
                <c:pt idx="8">
                  <c:v>9.6620571547242989E-2</c:v>
                </c:pt>
                <c:pt idx="9">
                  <c:v>0.11831151412288629</c:v>
                </c:pt>
                <c:pt idx="10">
                  <c:v>6.1287396380967883E-2</c:v>
                </c:pt>
                <c:pt idx="11">
                  <c:v>0.14460865850228175</c:v>
                </c:pt>
                <c:pt idx="13">
                  <c:v>1</c:v>
                </c:pt>
                <c:pt idx="14">
                  <c:v>5.4237787693321984</c:v>
                </c:pt>
                <c:pt idx="15">
                  <c:v>0.1191917591364683</c:v>
                </c:pt>
                <c:pt idx="16">
                  <c:v>1.1309005520971973</c:v>
                </c:pt>
                <c:pt idx="17">
                  <c:v>0.74387331120865463</c:v>
                </c:pt>
                <c:pt idx="18">
                  <c:v>0.80179300134513964</c:v>
                </c:pt>
                <c:pt idx="19">
                  <c:v>0.98986816941203104</c:v>
                </c:pt>
                <c:pt idx="20">
                  <c:v>1.0024251802532385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3488"/>
        <c:axId val="434373880"/>
      </c:barChart>
      <c:catAx>
        <c:axId val="43437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434373880"/>
        <c:crosses val="autoZero"/>
        <c:auto val="1"/>
        <c:lblAlgn val="ctr"/>
        <c:lblOffset val="100"/>
        <c:noMultiLvlLbl val="0"/>
      </c:catAx>
      <c:valAx>
        <c:axId val="434373880"/>
        <c:scaling>
          <c:orientation val="minMax"/>
          <c:max val="6.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3488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R3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7-20C9-4512-B8CA-3370C5107DC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9-20C9-4512-B8CA-3370C5107DC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A-20C9-4512-B8CA-3370C5107D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B-20C9-4512-B8CA-3370C5107DC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C-20C9-4512-B8CA-3370C5107DC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D-20C9-4512-B8CA-3370C5107DC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E-20C9-4512-B8CA-3370C5107DC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20C9-4512-B8CA-3370C5107DC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20C9-4512-B8CA-3370C5107DC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20C9-4512-B8CA-3370C5107D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8-20C9-4512-B8CA-3370C5107DCA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2-20C9-4512-B8CA-3370C5107D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20C9-4512-B8CA-3370C5107DCA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4-20C9-4512-B8CA-3370C5107DCA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20C9-4512-B8CA-3370C5107DCA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6-20C9-4512-B8CA-3370C5107DCA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'R3'!$B$54:$V$54</c:f>
                <c:numCache>
                  <c:formatCode>General</c:formatCode>
                  <c:ptCount val="21"/>
                  <c:pt idx="0">
                    <c:v>0.10730598891766258</c:v>
                  </c:pt>
                  <c:pt idx="1">
                    <c:v>0.24152972743747661</c:v>
                  </c:pt>
                  <c:pt idx="2">
                    <c:v>0.34338718553061659</c:v>
                  </c:pt>
                  <c:pt idx="3">
                    <c:v>0.33483750099788306</c:v>
                  </c:pt>
                  <c:pt idx="4">
                    <c:v>0.30295123956334175</c:v>
                  </c:pt>
                  <c:pt idx="5">
                    <c:v>0.30295123956334175</c:v>
                  </c:pt>
                  <c:pt idx="6">
                    <c:v>0.43954695297008406</c:v>
                  </c:pt>
                  <c:pt idx="7">
                    <c:v>3.097579176046673E-2</c:v>
                  </c:pt>
                  <c:pt idx="8">
                    <c:v>2.2216485708493616E-2</c:v>
                  </c:pt>
                  <c:pt idx="9">
                    <c:v>0.16753607312869351</c:v>
                  </c:pt>
                  <c:pt idx="10">
                    <c:v>0.45351502983013436</c:v>
                  </c:pt>
                  <c:pt idx="11">
                    <c:v>0.69299302345125813</c:v>
                  </c:pt>
                  <c:pt idx="13">
                    <c:v>0.27101105889147015</c:v>
                  </c:pt>
                  <c:pt idx="14">
                    <c:v>0.50344002959933165</c:v>
                  </c:pt>
                  <c:pt idx="15">
                    <c:v>3.8478656512800926E-3</c:v>
                  </c:pt>
                  <c:pt idx="16">
                    <c:v>0.20564843295000282</c:v>
                  </c:pt>
                  <c:pt idx="17">
                    <c:v>0.17821966273870204</c:v>
                  </c:pt>
                  <c:pt idx="18">
                    <c:v>0.54423564594505058</c:v>
                  </c:pt>
                  <c:pt idx="19">
                    <c:v>0.39741264549086008</c:v>
                  </c:pt>
                  <c:pt idx="20">
                    <c:v>0.30208852100274197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0.23738242877944435</c:v>
                  </c:pt>
                  <c:pt idx="2">
                    <c:v>0.17783787900524964</c:v>
                  </c:pt>
                  <c:pt idx="3">
                    <c:v>1.5638527712977052E-2</c:v>
                  </c:pt>
                  <c:pt idx="4">
                    <c:v>9.3342229835876853E-2</c:v>
                  </c:pt>
                  <c:pt idx="5">
                    <c:v>0.24807117000609125</c:v>
                  </c:pt>
                  <c:pt idx="6">
                    <c:v>0.26752054955827281</c:v>
                  </c:pt>
                  <c:pt idx="7">
                    <c:v>0.1893836870404568</c:v>
                  </c:pt>
                  <c:pt idx="8">
                    <c:v>0.2176376816560873</c:v>
                  </c:pt>
                </c:numCache>
              </c:numRef>
            </c:minus>
          </c:errBars>
          <c:cat>
            <c:strRef>
              <c:f>'R3'!$B$52:$V$52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Estradiol-34ng/L</c:v>
                </c:pt>
                <c:pt idx="8">
                  <c:v>Estradiol-68ng/L</c:v>
                </c:pt>
                <c:pt idx="9">
                  <c:v>Estradiol-135ng/L</c:v>
                </c:pt>
                <c:pt idx="10">
                  <c:v>Estradiol-270ng/L</c:v>
                </c:pt>
                <c:pt idx="11">
                  <c:v>Estradiol-540ng/L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Estradiol-34ng/L + Testostérone</c:v>
                </c:pt>
                <c:pt idx="17">
                  <c:v>Estradiol-68ng/L + Testostérone</c:v>
                </c:pt>
                <c:pt idx="18">
                  <c:v>Estradiol-135ng/L + Testostérone</c:v>
                </c:pt>
                <c:pt idx="19">
                  <c:v>Estradiol-270ng/L + Testostérone</c:v>
                </c:pt>
                <c:pt idx="20">
                  <c:v>Estradiol-540ng/L + Testostérone</c:v>
                </c:pt>
              </c:strCache>
            </c:strRef>
          </c:cat>
          <c:val>
            <c:numRef>
              <c:f>'R3'!$B$53:$V$53</c:f>
              <c:numCache>
                <c:formatCode>0.0000</c:formatCode>
                <c:ptCount val="21"/>
                <c:pt idx="0">
                  <c:v>0.2341720928700699</c:v>
                </c:pt>
                <c:pt idx="1">
                  <c:v>0.95234968675955245</c:v>
                </c:pt>
                <c:pt idx="2">
                  <c:v>1.6560717999877062</c:v>
                </c:pt>
                <c:pt idx="3">
                  <c:v>2.4461617784429577</c:v>
                </c:pt>
                <c:pt idx="4">
                  <c:v>3.4059357389770626</c:v>
                </c:pt>
                <c:pt idx="5">
                  <c:v>3.4059357389770626</c:v>
                </c:pt>
                <c:pt idx="6">
                  <c:v>4.3315070663731348</c:v>
                </c:pt>
                <c:pt idx="7">
                  <c:v>9.557629969613092E-2</c:v>
                </c:pt>
                <c:pt idx="8">
                  <c:v>7.4843140934882924E-2</c:v>
                </c:pt>
                <c:pt idx="9">
                  <c:v>0.51751030883319593</c:v>
                </c:pt>
                <c:pt idx="10">
                  <c:v>3.1099954984688387</c:v>
                </c:pt>
                <c:pt idx="11">
                  <c:v>3.2061770724610756</c:v>
                </c:pt>
                <c:pt idx="13">
                  <c:v>1.0000000000000002</c:v>
                </c:pt>
                <c:pt idx="14">
                  <c:v>3.3135358286277747</c:v>
                </c:pt>
                <c:pt idx="15">
                  <c:v>9.3955163945111247E-3</c:v>
                </c:pt>
                <c:pt idx="16">
                  <c:v>0.50049207606066626</c:v>
                </c:pt>
                <c:pt idx="17">
                  <c:v>0.68656717520183042</c:v>
                </c:pt>
                <c:pt idx="18">
                  <c:v>2.017248404912324</c:v>
                </c:pt>
                <c:pt idx="19">
                  <c:v>3.3879766755067302</c:v>
                </c:pt>
                <c:pt idx="20">
                  <c:v>3.7702691465607288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8296"/>
        <c:axId val="324818688"/>
      </c:barChart>
      <c:catAx>
        <c:axId val="32481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8688"/>
        <c:crosses val="autoZero"/>
        <c:auto val="1"/>
        <c:lblAlgn val="ctr"/>
        <c:lblOffset val="100"/>
        <c:noMultiLvlLbl val="0"/>
      </c:catAx>
      <c:valAx>
        <c:axId val="324818688"/>
        <c:scaling>
          <c:orientation val="minMax"/>
          <c:max val="6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8296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086563142153819E-2"/>
          <c:y val="0.10694631110669023"/>
          <c:w val="0.91688911122572669"/>
          <c:h val="0.69895377069250364"/>
        </c:manualLayout>
      </c:layout>
      <c:barChart>
        <c:barDir val="col"/>
        <c:grouping val="clustered"/>
        <c:varyColors val="0"/>
        <c:ser>
          <c:idx val="0"/>
          <c:order val="0"/>
          <c:tx>
            <c:v>Pool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2C-033C-4530-84A9-991A3866ABD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033C-4530-84A9-991A3866ABD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33C-4530-84A9-991A3866ABD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033C-4530-84A9-991A3866ABD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033C-4530-84A9-991A3866ABD4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033C-4530-84A9-991A3866ABD4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B-033C-4530-84A9-991A3866ABD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033C-4530-84A9-991A3866ABD4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033C-4530-84A9-991A3866ABD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033C-4530-84A9-991A3866ABD4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033C-4530-84A9-991A3866ABD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033C-4530-84A9-991A3866ABD4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033C-4530-84A9-991A3866ABD4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033C-4530-84A9-991A3866ABD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033C-4530-84A9-991A3866ABD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033C-4530-84A9-991A3866ABD4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033C-4530-84A9-991A3866ABD4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033C-4530-84A9-991A3866ABD4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033C-4530-84A9-991A3866ABD4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033C-4530-84A9-991A3866ABD4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033C-4530-84A9-991A3866ABD4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9-033C-4530-84A9-991A3866AB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B-033C-4530-84A9-991A3866AB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1B6DB22-776C-4092-B390-AB6C08F7201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033C-4530-84A9-991A3866AB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950A5D5-C3B0-4BE0-B895-B75CC941C25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3C-4530-84A9-991A3866AB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52E09A0-AAFC-4003-AF22-7C993823583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3C-4530-84A9-991A3866AB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A311234-1B4E-4FD6-A40C-D379B3A0AC8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3C-4530-84A9-991A3866AB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0F8AF77-D12B-413E-A861-712C6347B6C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3C-4530-84A9-991A3866AB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0ABDF05-CBC6-4F14-ADBB-0F12584FDC0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3C-4530-84A9-991A3866AB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D3A7D51-0E76-4EF7-A0E0-8FDFE506489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3C-4530-84A9-991A3866AB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F9AA714-740F-4ED9-B2C7-7E8CC67C449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3C-4530-84A9-991A3866ABD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F2B3740-A066-4F4C-B862-654E75B783F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3C-4530-84A9-991A3866ABD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F78005C-FC5D-4E54-83BB-40CF49BAC01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3C-4530-84A9-991A3866ABD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E9B6E55-9F23-4A38-9AF5-B03DEA9B10B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33C-4530-84A9-991A3866ABD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0EBE34B-85B6-4C93-AF0D-06844B79990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33C-4530-84A9-991A3866ABD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33C-4530-84A9-991A3866ABD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5B11E23-2A37-4DF9-A204-2F0C7EB8491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33C-4530-84A9-991A3866ABD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1CACAC2-4B21-4E64-AE4E-109F82E1E0B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33C-4530-84A9-991A3866ABD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8ADCFF3-18C1-4E65-95EB-CBD2884CCDB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33C-4530-84A9-991A3866ABD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7944E09-A57C-4771-8604-180FDDEC0AD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33C-4530-84A9-991A3866ABD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DE663D5-1791-4E1A-909D-9A073472F09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33C-4530-84A9-991A3866ABD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5D2439F-64F0-4A1F-A4E2-316D78D59A7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33C-4530-84A9-991A3866ABD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1B45ECA-2C98-4482-8F0C-5650082C6FD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33C-4530-84A9-991A3866ABD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A15EE3A-EF0C-4C52-B831-9A0124CABB4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33C-4530-84A9-991A3866ABD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033C-4530-84A9-991A3866A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'pooled normalised values'!$B$76:$V$76</c:f>
                <c:numCache>
                  <c:formatCode>General</c:formatCode>
                  <c:ptCount val="21"/>
                  <c:pt idx="0">
                    <c:v>0.21519710478529414</c:v>
                  </c:pt>
                  <c:pt idx="1">
                    <c:v>0.17362404356136707</c:v>
                  </c:pt>
                  <c:pt idx="2">
                    <c:v>0.20624647564670598</c:v>
                  </c:pt>
                  <c:pt idx="3">
                    <c:v>0.3619661410727425</c:v>
                  </c:pt>
                  <c:pt idx="4">
                    <c:v>0.32776987678163738</c:v>
                  </c:pt>
                  <c:pt idx="5">
                    <c:v>0.41156061878246741</c:v>
                  </c:pt>
                  <c:pt idx="6">
                    <c:v>0.49700080622143084</c:v>
                  </c:pt>
                  <c:pt idx="7">
                    <c:v>1.2075689133687978E-2</c:v>
                  </c:pt>
                  <c:pt idx="8">
                    <c:v>1.6600085203959801E-2</c:v>
                  </c:pt>
                  <c:pt idx="9">
                    <c:v>6.7172345847215278E-2</c:v>
                  </c:pt>
                  <c:pt idx="10">
                    <c:v>0.32097855763843497</c:v>
                  </c:pt>
                  <c:pt idx="11">
                    <c:v>0.3713382997246466</c:v>
                  </c:pt>
                  <c:pt idx="13">
                    <c:v>0.12664557630481144</c:v>
                  </c:pt>
                  <c:pt idx="14">
                    <c:v>0.39499224367668789</c:v>
                  </c:pt>
                  <c:pt idx="15">
                    <c:v>1.690678330140867E-2</c:v>
                  </c:pt>
                  <c:pt idx="16">
                    <c:v>0.15632580783075531</c:v>
                  </c:pt>
                  <c:pt idx="17">
                    <c:v>0.12506252573873444</c:v>
                  </c:pt>
                  <c:pt idx="18">
                    <c:v>0.23405581981389426</c:v>
                  </c:pt>
                  <c:pt idx="19">
                    <c:v>0.2608450544558541</c:v>
                  </c:pt>
                  <c:pt idx="20">
                    <c:v>0.27286603352563832</c:v>
                  </c:pt>
                </c:numCache>
              </c:numRef>
            </c:plus>
            <c:minus>
              <c:numRef>
                <c:f>'pooled normalised values'!$B$76:$V$76</c:f>
                <c:numCache>
                  <c:formatCode>General</c:formatCode>
                  <c:ptCount val="21"/>
                  <c:pt idx="0">
                    <c:v>0.21519710478529414</c:v>
                  </c:pt>
                  <c:pt idx="1">
                    <c:v>0.17362404356136707</c:v>
                  </c:pt>
                  <c:pt idx="2">
                    <c:v>0.20624647564670598</c:v>
                  </c:pt>
                  <c:pt idx="3">
                    <c:v>0.3619661410727425</c:v>
                  </c:pt>
                  <c:pt idx="4">
                    <c:v>0.32776987678163738</c:v>
                  </c:pt>
                  <c:pt idx="5">
                    <c:v>0.41156061878246741</c:v>
                  </c:pt>
                  <c:pt idx="6">
                    <c:v>0.49700080622143084</c:v>
                  </c:pt>
                  <c:pt idx="7">
                    <c:v>1.2075689133687978E-2</c:v>
                  </c:pt>
                  <c:pt idx="8">
                    <c:v>1.6600085203959801E-2</c:v>
                  </c:pt>
                  <c:pt idx="9">
                    <c:v>6.7172345847215278E-2</c:v>
                  </c:pt>
                  <c:pt idx="10">
                    <c:v>0.32097855763843497</c:v>
                  </c:pt>
                  <c:pt idx="11">
                    <c:v>0.3713382997246466</c:v>
                  </c:pt>
                  <c:pt idx="13">
                    <c:v>0.12664557630481144</c:v>
                  </c:pt>
                  <c:pt idx="14">
                    <c:v>0.39499224367668789</c:v>
                  </c:pt>
                  <c:pt idx="15">
                    <c:v>1.690678330140867E-2</c:v>
                  </c:pt>
                  <c:pt idx="16">
                    <c:v>0.15632580783075531</c:v>
                  </c:pt>
                  <c:pt idx="17">
                    <c:v>0.12506252573873444</c:v>
                  </c:pt>
                  <c:pt idx="18">
                    <c:v>0.23405581981389426</c:v>
                  </c:pt>
                  <c:pt idx="19">
                    <c:v>0.2608450544558541</c:v>
                  </c:pt>
                  <c:pt idx="20">
                    <c:v>0.27286603352563832</c:v>
                  </c:pt>
                </c:numCache>
              </c:numRef>
            </c:minus>
          </c:errBars>
          <c:cat>
            <c:strRef>
              <c:f>'pooled normalised values'!$B$74:$V$74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Estradiol-34ng/L</c:v>
                </c:pt>
                <c:pt idx="8">
                  <c:v>Estradiol-68ng/L</c:v>
                </c:pt>
                <c:pt idx="9">
                  <c:v>Estradiol-135ng/L</c:v>
                </c:pt>
                <c:pt idx="10">
                  <c:v>Estradiol-270ng/L</c:v>
                </c:pt>
                <c:pt idx="11">
                  <c:v>Estradiol-540ng/L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Estradiol-34ng/L + Testostérone</c:v>
                </c:pt>
                <c:pt idx="17">
                  <c:v>Estradiol-68ng/L + Testostérone</c:v>
                </c:pt>
                <c:pt idx="18">
                  <c:v>Estradiol-135ng/L + Testostérone</c:v>
                </c:pt>
                <c:pt idx="19">
                  <c:v>Estradiol-270ng/L + Testostérone</c:v>
                </c:pt>
                <c:pt idx="20">
                  <c:v>Estradiol-540ng/L + Testostérone</c:v>
                </c:pt>
              </c:strCache>
            </c:strRef>
          </c:cat>
          <c:val>
            <c:numRef>
              <c:f>'pooled normalised values'!$B$75:$V$75</c:f>
              <c:numCache>
                <c:formatCode>0.0000</c:formatCode>
                <c:ptCount val="21"/>
                <c:pt idx="0">
                  <c:v>0.57686267127737612</c:v>
                </c:pt>
                <c:pt idx="1">
                  <c:v>0.79145179531562027</c:v>
                </c:pt>
                <c:pt idx="2">
                  <c:v>1.18186272076878</c:v>
                </c:pt>
                <c:pt idx="3">
                  <c:v>2.64989911568561</c:v>
                </c:pt>
                <c:pt idx="4">
                  <c:v>3.0939421484436735</c:v>
                </c:pt>
                <c:pt idx="5">
                  <c:v>3.2176213476883895</c:v>
                </c:pt>
                <c:pt idx="6">
                  <c:v>4.7514134324163937</c:v>
                </c:pt>
                <c:pt idx="7">
                  <c:v>7.1556141315705812E-2</c:v>
                </c:pt>
                <c:pt idx="8">
                  <c:v>9.6500079567282751E-2</c:v>
                </c:pt>
                <c:pt idx="9">
                  <c:v>0.25591611410122117</c:v>
                </c:pt>
                <c:pt idx="10">
                  <c:v>1.4641186030286559</c:v>
                </c:pt>
                <c:pt idx="11">
                  <c:v>1.9953430209814484</c:v>
                </c:pt>
                <c:pt idx="13">
                  <c:v>1.0000000000000002</c:v>
                </c:pt>
                <c:pt idx="14">
                  <c:v>3.4770777215766904</c:v>
                </c:pt>
                <c:pt idx="15">
                  <c:v>6.4124402418219165E-2</c:v>
                </c:pt>
                <c:pt idx="16">
                  <c:v>0.70295015668415328</c:v>
                </c:pt>
                <c:pt idx="17">
                  <c:v>0.92584627368369199</c:v>
                </c:pt>
                <c:pt idx="18">
                  <c:v>1.4285148531024063</c:v>
                </c:pt>
                <c:pt idx="19">
                  <c:v>2.1833369427213953</c:v>
                </c:pt>
                <c:pt idx="20">
                  <c:v>2.5189494082574946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'pooled normalised values'!$B$83:$V$83</c15:f>
                <c15:dlblRangeCache>
                  <c:ptCount val="21"/>
                  <c:pt idx="1">
                    <c:v>ns</c:v>
                  </c:pt>
                  <c:pt idx="2">
                    <c:v>ns</c:v>
                  </c:pt>
                  <c:pt idx="3">
                    <c:v>***</c:v>
                  </c:pt>
                  <c:pt idx="4">
                    <c:v>***</c:v>
                  </c:pt>
                  <c:pt idx="5">
                    <c:v>***</c:v>
                  </c:pt>
                  <c:pt idx="6">
                    <c:v>***</c:v>
                  </c:pt>
                  <c:pt idx="7">
                    <c:v>ns</c:v>
                  </c:pt>
                  <c:pt idx="8">
                    <c:v>ns</c:v>
                  </c:pt>
                  <c:pt idx="9">
                    <c:v>ns</c:v>
                  </c:pt>
                  <c:pt idx="10">
                    <c:v>ns</c:v>
                  </c:pt>
                  <c:pt idx="11">
                    <c:v>**</c:v>
                  </c:pt>
                  <c:pt idx="13">
                    <c:v>***</c:v>
                  </c:pt>
                  <c:pt idx="14">
                    <c:v>***</c:v>
                  </c:pt>
                  <c:pt idx="15">
                    <c:v>***</c:v>
                  </c:pt>
                  <c:pt idx="16">
                    <c:v>ns</c:v>
                  </c:pt>
                  <c:pt idx="17">
                    <c:v>ns</c:v>
                  </c:pt>
                  <c:pt idx="18">
                    <c:v>ns</c:v>
                  </c:pt>
                  <c:pt idx="19">
                    <c:v>***</c:v>
                  </c:pt>
                  <c:pt idx="20">
                    <c:v>***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033C-4530-84A9-991A3866A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4272"/>
        <c:axId val="434374664"/>
      </c:barChart>
      <c:catAx>
        <c:axId val="434374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2700000"/>
          <a:lstStyle/>
          <a:p>
            <a:pPr>
              <a:defRPr lang="en-GB" sz="1000"/>
            </a:pPr>
            <a:endParaRPr lang="fr-FR"/>
          </a:p>
        </c:txPr>
        <c:crossAx val="434374664"/>
        <c:crosses val="autoZero"/>
        <c:auto val="1"/>
        <c:lblAlgn val="ctr"/>
        <c:lblOffset val="100"/>
        <c:noMultiLvlLbl val="0"/>
      </c:catAx>
      <c:valAx>
        <c:axId val="4343746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400"/>
                </a:pPr>
                <a:r>
                  <a:rPr lang="en-US" sz="1400"/>
                  <a:t>fluorescence totale (unités arbitraires)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4272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70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52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53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76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0.42494</cdr:x>
      <cdr:y>0.01696</cdr:y>
    </cdr:from>
    <cdr:to>
      <cdr:x>0.59244</cdr:x>
      <cdr:y>0.06852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946365" y="102453"/>
          <a:ext cx="1555576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7358" cy="607443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2021" y="90854"/>
          <a:ext cx="1695412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7358" cy="607443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0.06657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0830" y="90920"/>
          <a:ext cx="1694833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alStats\RealStats%202013%202016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Prime"/>
    </sheetNames>
    <definedNames>
      <definedName name="DPTEST"/>
      <definedName name="MTEST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groupe" displayName="liste_groupe" ref="A6:F57" totalsRowShown="0" headerRowDxfId="8" dataDxfId="7" tableBorderDxfId="6">
  <autoFilter ref="A6:F57" xr:uid="{00000000-0009-0000-0100-000001000000}"/>
  <tableColumns count="6">
    <tableColumn id="4" xr3:uid="{00000000-0010-0000-0000-000004000000}" name="Do not fill in" dataDxfId="5">
      <calculatedColumnFormula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calculatedColumnFormula>
    </tableColumn>
    <tableColumn id="1" xr3:uid="{00000000-0010-0000-0000-000001000000}" name="Do not fill in2" dataDxfId="4">
      <calculatedColumnFormula>A2</calculatedColumnFormula>
    </tableColumn>
    <tableColumn id="2" xr3:uid="{00000000-0010-0000-0000-000002000000}" name="Concentration" dataDxfId="3">
      <calculatedColumnFormula>B2</calculatedColumnFormula>
    </tableColumn>
    <tableColumn id="10" xr3:uid="{00000000-0010-0000-0000-00000A000000}" name="Units" dataDxfId="2"/>
    <tableColumn id="3" xr3:uid="{00000000-0010-0000-0000-000003000000}" name="Chemical name" dataDxfId="1">
      <calculatedColumnFormula>C2</calculatedColumnFormula>
    </tableColumn>
    <tableColumn id="9" xr3:uid="{00000000-0010-0000-0000-000009000000}" name="Do not fill in3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7"/>
  <sheetViews>
    <sheetView showGridLines="0" topLeftCell="A8" zoomScale="55" zoomScaleNormal="55" workbookViewId="0">
      <selection activeCell="D19" sqref="D19"/>
    </sheetView>
  </sheetViews>
  <sheetFormatPr baseColWidth="10" defaultColWidth="10.90625" defaultRowHeight="39" customHeight="1" x14ac:dyDescent="0.35"/>
  <cols>
    <col min="1" max="1" width="42" bestFit="1" customWidth="1"/>
    <col min="2" max="2" width="33.81640625" style="28" bestFit="1" customWidth="1"/>
    <col min="3" max="3" width="21.26953125" customWidth="1"/>
    <col min="4" max="4" width="30.453125" customWidth="1"/>
    <col min="5" max="5" width="62.26953125" style="90" bestFit="1" customWidth="1"/>
    <col min="6" max="6" width="56.7265625" bestFit="1" customWidth="1"/>
    <col min="7" max="7" width="19.453125" customWidth="1"/>
    <col min="8" max="8" width="15.26953125" customWidth="1"/>
    <col min="9" max="9" width="18" customWidth="1"/>
    <col min="10" max="10" width="19.54296875" bestFit="1" customWidth="1"/>
  </cols>
  <sheetData>
    <row r="1" spans="1:9" ht="39" customHeight="1" thickBot="1" x14ac:dyDescent="0.4">
      <c r="A1" s="116"/>
      <c r="B1" s="117"/>
      <c r="C1" s="117"/>
      <c r="D1" s="117"/>
      <c r="E1" s="117"/>
      <c r="F1" s="117"/>
      <c r="G1" s="117"/>
      <c r="H1" s="117"/>
      <c r="I1" s="118"/>
    </row>
    <row r="2" spans="1:9" ht="21.5" thickBot="1" x14ac:dyDescent="0.55000000000000004">
      <c r="A2" s="109" t="s">
        <v>5</v>
      </c>
      <c r="B2" s="27" t="s">
        <v>24</v>
      </c>
      <c r="C2" s="119"/>
      <c r="D2" s="120"/>
      <c r="E2" s="27" t="s">
        <v>23</v>
      </c>
      <c r="F2" s="131"/>
      <c r="G2" s="132"/>
      <c r="H2" s="132"/>
      <c r="I2" s="133"/>
    </row>
    <row r="3" spans="1:9" ht="21.5" thickBot="1" x14ac:dyDescent="0.55000000000000004">
      <c r="A3" s="110" t="s">
        <v>6</v>
      </c>
      <c r="B3" s="27" t="s">
        <v>24</v>
      </c>
      <c r="C3" s="121"/>
      <c r="D3" s="122"/>
      <c r="E3" s="27" t="s">
        <v>23</v>
      </c>
      <c r="F3" s="128"/>
      <c r="G3" s="129"/>
      <c r="H3" s="129"/>
      <c r="I3" s="130"/>
    </row>
    <row r="4" spans="1:9" ht="21.5" thickBot="1" x14ac:dyDescent="0.55000000000000004">
      <c r="A4" s="111" t="s">
        <v>9</v>
      </c>
      <c r="B4" s="27" t="s">
        <v>24</v>
      </c>
      <c r="C4" s="123"/>
      <c r="D4" s="124"/>
      <c r="E4" s="27" t="s">
        <v>23</v>
      </c>
      <c r="F4" s="125"/>
      <c r="G4" s="126"/>
      <c r="H4" s="126"/>
      <c r="I4" s="127"/>
    </row>
    <row r="5" spans="1:9" s="1" customFormat="1" ht="65.25" customHeight="1" thickBot="1" x14ac:dyDescent="0.4">
      <c r="A5" s="116"/>
      <c r="B5" s="117"/>
      <c r="C5" s="117"/>
      <c r="D5" s="117"/>
      <c r="E5" s="117"/>
      <c r="F5" s="117"/>
      <c r="G5" s="117"/>
      <c r="H5" s="117"/>
      <c r="I5" s="118"/>
    </row>
    <row r="6" spans="1:9" s="69" customFormat="1" ht="39" customHeight="1" x14ac:dyDescent="0.5">
      <c r="A6" s="59" t="s">
        <v>25</v>
      </c>
      <c r="B6" s="60" t="s">
        <v>26</v>
      </c>
      <c r="C6" s="47" t="s">
        <v>7</v>
      </c>
      <c r="D6" s="47" t="s">
        <v>27</v>
      </c>
      <c r="E6" s="87" t="s">
        <v>28</v>
      </c>
      <c r="F6" s="68" t="s">
        <v>29</v>
      </c>
    </row>
    <row r="7" spans="1:9" s="96" customFormat="1" ht="39" customHeight="1" x14ac:dyDescent="0.5">
      <c r="A7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Solvent control</v>
      </c>
      <c r="B7" s="92" t="s">
        <v>46</v>
      </c>
      <c r="C7" s="93"/>
      <c r="D7" s="94"/>
      <c r="E7" s="95" t="s">
        <v>31</v>
      </c>
      <c r="F7" s="70"/>
    </row>
    <row r="8" spans="1:9" s="96" customFormat="1" ht="39" customHeight="1" x14ac:dyDescent="0.5">
      <c r="A8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EE2-33.8ng/L</v>
      </c>
      <c r="B8" s="92" t="s">
        <v>46</v>
      </c>
      <c r="C8" s="93" t="s">
        <v>32</v>
      </c>
      <c r="D8" s="94" t="s">
        <v>17</v>
      </c>
      <c r="E8" s="95" t="s">
        <v>18</v>
      </c>
      <c r="F8" s="70"/>
    </row>
    <row r="9" spans="1:9" s="96" customFormat="1" ht="39" customHeight="1" x14ac:dyDescent="0.5">
      <c r="A9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EE2-50.6ng/L</v>
      </c>
      <c r="B9" s="92" t="s">
        <v>46</v>
      </c>
      <c r="C9" s="93" t="s">
        <v>33</v>
      </c>
      <c r="D9" s="94" t="s">
        <v>17</v>
      </c>
      <c r="E9" s="95" t="s">
        <v>18</v>
      </c>
      <c r="F9" s="70"/>
    </row>
    <row r="10" spans="1:9" s="96" customFormat="1" ht="39" customHeight="1" x14ac:dyDescent="0.5">
      <c r="A10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EE2-76ng/L</v>
      </c>
      <c r="B10" s="92" t="s">
        <v>46</v>
      </c>
      <c r="C10" s="93">
        <v>76</v>
      </c>
      <c r="D10" s="94" t="s">
        <v>17</v>
      </c>
      <c r="E10" s="95" t="s">
        <v>18</v>
      </c>
      <c r="F10" s="70"/>
    </row>
    <row r="11" spans="1:9" s="96" customFormat="1" ht="39" customHeight="1" x14ac:dyDescent="0.5">
      <c r="A11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EE2-114ng/L</v>
      </c>
      <c r="B11" s="92" t="s">
        <v>46</v>
      </c>
      <c r="C11" s="93">
        <v>114</v>
      </c>
      <c r="D11" s="94" t="s">
        <v>17</v>
      </c>
      <c r="E11" s="95" t="s">
        <v>18</v>
      </c>
      <c r="F11" s="70"/>
    </row>
    <row r="12" spans="1:9" s="96" customFormat="1" ht="39" customHeight="1" x14ac:dyDescent="0.5">
      <c r="A12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EE2-170.9ng/L</v>
      </c>
      <c r="B12" s="92" t="s">
        <v>46</v>
      </c>
      <c r="C12" s="93" t="s">
        <v>34</v>
      </c>
      <c r="D12" s="94" t="s">
        <v>17</v>
      </c>
      <c r="E12" s="95" t="s">
        <v>18</v>
      </c>
      <c r="F12" s="70"/>
    </row>
    <row r="13" spans="1:9" s="96" customFormat="1" ht="39" customHeight="1" x14ac:dyDescent="0.5">
      <c r="A13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EE2-488ng/L</v>
      </c>
      <c r="B13" s="92" t="s">
        <v>46</v>
      </c>
      <c r="C13" s="93">
        <v>488</v>
      </c>
      <c r="D13" s="94" t="s">
        <v>17</v>
      </c>
      <c r="E13" s="95" t="s">
        <v>18</v>
      </c>
      <c r="F13" s="70"/>
    </row>
    <row r="14" spans="1:9" s="96" customFormat="1" ht="39" customHeight="1" x14ac:dyDescent="0.5">
      <c r="A14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Estradiol-34ng/L</v>
      </c>
      <c r="B14" s="92" t="s">
        <v>30</v>
      </c>
      <c r="C14" s="93">
        <v>34</v>
      </c>
      <c r="D14" s="94" t="s">
        <v>17</v>
      </c>
      <c r="E14" s="95" t="s">
        <v>49</v>
      </c>
      <c r="F14" s="70"/>
    </row>
    <row r="15" spans="1:9" s="71" customFormat="1" ht="39" customHeight="1" x14ac:dyDescent="0.35">
      <c r="A1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Estradiol-68ng/L</v>
      </c>
      <c r="B15" s="92" t="s">
        <v>30</v>
      </c>
      <c r="C15" s="65">
        <v>68</v>
      </c>
      <c r="D15" s="94" t="s">
        <v>17</v>
      </c>
      <c r="E15" s="95" t="s">
        <v>49</v>
      </c>
      <c r="F15" s="70"/>
    </row>
    <row r="16" spans="1:9" s="71" customFormat="1" ht="39" customHeight="1" x14ac:dyDescent="0.35">
      <c r="A1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Estradiol-135ng/L</v>
      </c>
      <c r="B16" s="92" t="s">
        <v>30</v>
      </c>
      <c r="C16" s="65">
        <v>135</v>
      </c>
      <c r="D16" s="94" t="s">
        <v>17</v>
      </c>
      <c r="E16" s="95" t="s">
        <v>49</v>
      </c>
      <c r="F16" s="70"/>
    </row>
    <row r="17" spans="1:6" s="71" customFormat="1" ht="39" customHeight="1" x14ac:dyDescent="0.35">
      <c r="A1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Estradiol-270ng/L</v>
      </c>
      <c r="B17" s="92" t="s">
        <v>30</v>
      </c>
      <c r="C17" s="65">
        <v>270</v>
      </c>
      <c r="D17" s="94" t="s">
        <v>17</v>
      </c>
      <c r="E17" s="95" t="s">
        <v>49</v>
      </c>
      <c r="F17" s="70"/>
    </row>
    <row r="18" spans="1:6" s="71" customFormat="1" ht="39" customHeight="1" x14ac:dyDescent="0.35">
      <c r="A1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Estradiol-540ng/L</v>
      </c>
      <c r="B18" s="92" t="s">
        <v>30</v>
      </c>
      <c r="C18" s="65">
        <v>540</v>
      </c>
      <c r="D18" s="94" t="s">
        <v>17</v>
      </c>
      <c r="E18" s="95" t="s">
        <v>49</v>
      </c>
      <c r="F18" s="70"/>
    </row>
    <row r="19" spans="1:6" s="71" customFormat="1" ht="39" customHeight="1" x14ac:dyDescent="0.35">
      <c r="A1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9" s="92" t="s">
        <v>30</v>
      </c>
      <c r="C19" s="65"/>
      <c r="D19" s="65"/>
      <c r="E19" s="25"/>
      <c r="F19" s="70"/>
    </row>
    <row r="20" spans="1:6" s="71" customFormat="1" ht="39" customHeight="1" x14ac:dyDescent="0.35">
      <c r="A2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0" s="92" t="s">
        <v>30</v>
      </c>
      <c r="C20" s="65"/>
      <c r="D20" s="65"/>
      <c r="E20" s="61"/>
      <c r="F20" s="70"/>
    </row>
    <row r="21" spans="1:6" s="71" customFormat="1" ht="39" customHeight="1" x14ac:dyDescent="0.35">
      <c r="A2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1" s="92" t="s">
        <v>30</v>
      </c>
      <c r="C21" s="65"/>
      <c r="D21" s="65"/>
      <c r="E21" s="25"/>
      <c r="F21" s="70"/>
    </row>
    <row r="22" spans="1:6" s="71" customFormat="1" ht="39" customHeight="1" x14ac:dyDescent="0.35">
      <c r="A2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2" s="92" t="s">
        <v>30</v>
      </c>
      <c r="C22" s="65"/>
      <c r="D22" s="65"/>
      <c r="E22" s="61"/>
      <c r="F22" s="70"/>
    </row>
    <row r="23" spans="1:6" s="71" customFormat="1" ht="39" customHeight="1" x14ac:dyDescent="0.35">
      <c r="A2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3" s="92" t="s">
        <v>30</v>
      </c>
      <c r="C23" s="65"/>
      <c r="D23" s="65"/>
      <c r="E23" s="25"/>
      <c r="F23" s="70"/>
    </row>
    <row r="24" spans="1:6" s="71" customFormat="1" ht="39" customHeight="1" x14ac:dyDescent="0.35">
      <c r="A24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4" s="92" t="s">
        <v>30</v>
      </c>
      <c r="C24" s="65"/>
      <c r="D24" s="65"/>
      <c r="E24" s="61"/>
      <c r="F24" s="70"/>
    </row>
    <row r="25" spans="1:6" s="71" customFormat="1" ht="39" customHeight="1" x14ac:dyDescent="0.35">
      <c r="A2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5" s="92" t="s">
        <v>30</v>
      </c>
      <c r="C25" s="65"/>
      <c r="D25" s="65"/>
      <c r="E25" s="25"/>
      <c r="F25" s="70"/>
    </row>
    <row r="26" spans="1:6" s="71" customFormat="1" ht="39" customHeight="1" x14ac:dyDescent="0.35">
      <c r="A2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6" s="92" t="s">
        <v>30</v>
      </c>
      <c r="C26" s="65"/>
      <c r="D26" s="65"/>
      <c r="E26" s="61"/>
      <c r="F26" s="70"/>
    </row>
    <row r="27" spans="1:6" s="71" customFormat="1" ht="39" customHeight="1" x14ac:dyDescent="0.35">
      <c r="A2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7" s="92" t="s">
        <v>30</v>
      </c>
      <c r="C27" s="65"/>
      <c r="D27" s="65"/>
      <c r="E27" s="25"/>
      <c r="F27" s="70"/>
    </row>
    <row r="28" spans="1:6" s="71" customFormat="1" ht="39" customHeight="1" x14ac:dyDescent="0.35">
      <c r="A2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8" s="92" t="s">
        <v>30</v>
      </c>
      <c r="C28" s="65"/>
      <c r="D28" s="65"/>
      <c r="E28" s="61"/>
      <c r="F28" s="70"/>
    </row>
    <row r="29" spans="1:6" s="71" customFormat="1" ht="39" customHeight="1" x14ac:dyDescent="0.35">
      <c r="A2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9" s="92" t="s">
        <v>30</v>
      </c>
      <c r="C29" s="65"/>
      <c r="D29" s="74"/>
      <c r="E29" s="25"/>
      <c r="F29" s="70"/>
    </row>
    <row r="30" spans="1:6" s="71" customFormat="1" ht="39" customHeight="1" x14ac:dyDescent="0.35">
      <c r="A3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0" s="92" t="s">
        <v>30</v>
      </c>
      <c r="C30" s="65"/>
      <c r="D30" s="74"/>
      <c r="E30" s="61"/>
      <c r="F30" s="70"/>
    </row>
    <row r="31" spans="1:6" s="71" customFormat="1" ht="39" customHeight="1" x14ac:dyDescent="0.35">
      <c r="A3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1" s="92" t="s">
        <v>30</v>
      </c>
      <c r="C31" s="65"/>
      <c r="D31" s="74"/>
      <c r="E31" s="25"/>
      <c r="F31" s="70"/>
    </row>
    <row r="32" spans="1:6" s="71" customFormat="1" ht="39" customHeight="1" x14ac:dyDescent="0.35">
      <c r="A3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2" s="92" t="s">
        <v>30</v>
      </c>
      <c r="C32" s="65"/>
      <c r="D32" s="74"/>
      <c r="E32" s="61"/>
      <c r="F32" s="70"/>
    </row>
    <row r="33" spans="1:6" s="71" customFormat="1" ht="39" customHeight="1" x14ac:dyDescent="0.35">
      <c r="A3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3" s="92" t="s">
        <v>30</v>
      </c>
      <c r="C33" s="65"/>
      <c r="D33" s="74"/>
      <c r="E33" s="25"/>
      <c r="F33" s="70"/>
    </row>
    <row r="34" spans="1:6" s="71" customFormat="1" ht="39" customHeight="1" thickBot="1" x14ac:dyDescent="0.4">
      <c r="A34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4" s="92" t="s">
        <v>30</v>
      </c>
      <c r="C34" s="98"/>
      <c r="D34" s="75"/>
      <c r="E34" s="97"/>
      <c r="F34" s="70"/>
    </row>
    <row r="35" spans="1:6" s="71" customFormat="1" ht="39" customHeight="1" x14ac:dyDescent="0.35">
      <c r="A35" s="9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-30µg/L</v>
      </c>
      <c r="B35" s="62" t="s">
        <v>46</v>
      </c>
      <c r="C35" s="66">
        <v>30</v>
      </c>
      <c r="D35" s="76" t="s">
        <v>19</v>
      </c>
      <c r="E35" s="88" t="s">
        <v>8</v>
      </c>
      <c r="F35" s="100"/>
    </row>
    <row r="36" spans="1:6" s="71" customFormat="1" ht="39" customHeight="1" x14ac:dyDescent="0.35">
      <c r="A36" s="10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EE2 -64ng/L</v>
      </c>
      <c r="B36" s="63" t="s">
        <v>46</v>
      </c>
      <c r="C36" s="67">
        <v>64</v>
      </c>
      <c r="D36" s="77" t="s">
        <v>17</v>
      </c>
      <c r="E36" s="89" t="s">
        <v>20</v>
      </c>
      <c r="F36" s="102"/>
    </row>
    <row r="37" spans="1:6" s="71" customFormat="1" ht="39" customHeight="1" thickBot="1" x14ac:dyDescent="0.4">
      <c r="A37" s="103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FAD-10mg/L</v>
      </c>
      <c r="B37" s="104" t="s">
        <v>46</v>
      </c>
      <c r="C37" s="105">
        <v>10</v>
      </c>
      <c r="D37" s="106" t="s">
        <v>21</v>
      </c>
      <c r="E37" s="107" t="s">
        <v>22</v>
      </c>
      <c r="F37" s="108"/>
    </row>
    <row r="38" spans="1:6" s="71" customFormat="1" ht="39" customHeight="1" x14ac:dyDescent="0.35">
      <c r="A38" s="3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Estradiol-34ng/L + Testostérone</v>
      </c>
      <c r="B38" s="112" t="str">
        <f>B14</f>
        <v>test chemical</v>
      </c>
      <c r="C38" s="112">
        <f t="shared" ref="C38:E38" si="0">C14</f>
        <v>34</v>
      </c>
      <c r="D38" s="112" t="str">
        <f t="shared" si="0"/>
        <v>ng/L</v>
      </c>
      <c r="E38" s="112" t="str">
        <f t="shared" si="0"/>
        <v>Estradiol</v>
      </c>
      <c r="F38" s="72" t="s">
        <v>13</v>
      </c>
    </row>
    <row r="39" spans="1:6" s="71" customFormat="1" ht="39" customHeight="1" x14ac:dyDescent="0.35">
      <c r="A39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Estradiol-68ng/L + Testostérone</v>
      </c>
      <c r="B39" s="114" t="str">
        <f t="shared" ref="B39:E39" si="1">B15</f>
        <v>test chemical</v>
      </c>
      <c r="C39" s="114">
        <f t="shared" si="1"/>
        <v>68</v>
      </c>
      <c r="D39" s="114" t="str">
        <f t="shared" si="1"/>
        <v>ng/L</v>
      </c>
      <c r="E39" s="114" t="str">
        <f t="shared" si="1"/>
        <v>Estradiol</v>
      </c>
      <c r="F39" s="73" t="s">
        <v>13</v>
      </c>
    </row>
    <row r="40" spans="1:6" s="71" customFormat="1" ht="39" customHeight="1" x14ac:dyDescent="0.35">
      <c r="A40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Estradiol-135ng/L + Testostérone</v>
      </c>
      <c r="B40" s="114" t="str">
        <f t="shared" ref="B40:E40" si="2">B16</f>
        <v>test chemical</v>
      </c>
      <c r="C40" s="114">
        <f t="shared" si="2"/>
        <v>135</v>
      </c>
      <c r="D40" s="114" t="str">
        <f t="shared" si="2"/>
        <v>ng/L</v>
      </c>
      <c r="E40" s="114" t="str">
        <f t="shared" si="2"/>
        <v>Estradiol</v>
      </c>
      <c r="F40" s="73" t="s">
        <v>13</v>
      </c>
    </row>
    <row r="41" spans="1:6" s="71" customFormat="1" ht="39" customHeight="1" x14ac:dyDescent="0.35">
      <c r="A41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Estradiol-270ng/L + Testostérone</v>
      </c>
      <c r="B41" s="114" t="str">
        <f t="shared" ref="B41:E41" si="3">B17</f>
        <v>test chemical</v>
      </c>
      <c r="C41" s="114">
        <f t="shared" si="3"/>
        <v>270</v>
      </c>
      <c r="D41" s="114" t="str">
        <f t="shared" si="3"/>
        <v>ng/L</v>
      </c>
      <c r="E41" s="114" t="str">
        <f t="shared" si="3"/>
        <v>Estradiol</v>
      </c>
      <c r="F41" s="73" t="s">
        <v>13</v>
      </c>
    </row>
    <row r="42" spans="1:6" s="71" customFormat="1" ht="39" customHeight="1" x14ac:dyDescent="0.35">
      <c r="A42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Estradiol-540ng/L + Testostérone</v>
      </c>
      <c r="B42" s="114" t="str">
        <f t="shared" ref="B42:E42" si="4">B18</f>
        <v>test chemical</v>
      </c>
      <c r="C42" s="114">
        <f t="shared" si="4"/>
        <v>540</v>
      </c>
      <c r="D42" s="114" t="str">
        <f t="shared" si="4"/>
        <v>ng/L</v>
      </c>
      <c r="E42" s="114" t="str">
        <f t="shared" si="4"/>
        <v>Estradiol</v>
      </c>
      <c r="F42" s="73" t="s">
        <v>13</v>
      </c>
    </row>
    <row r="43" spans="1:6" s="71" customFormat="1" ht="39" customHeight="1" x14ac:dyDescent="0.35">
      <c r="A43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3" s="114" t="str">
        <f t="shared" ref="B43:E43" si="5">B19</f>
        <v>test chemical</v>
      </c>
      <c r="C43" s="114">
        <f t="shared" si="5"/>
        <v>0</v>
      </c>
      <c r="D43" s="114">
        <f t="shared" si="5"/>
        <v>0</v>
      </c>
      <c r="E43" s="114">
        <f t="shared" si="5"/>
        <v>0</v>
      </c>
      <c r="F43" s="73" t="s">
        <v>13</v>
      </c>
    </row>
    <row r="44" spans="1:6" s="71" customFormat="1" ht="39" customHeight="1" x14ac:dyDescent="0.35">
      <c r="A44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4" s="114" t="str">
        <f t="shared" ref="B44:E44" si="6">B20</f>
        <v>test chemical</v>
      </c>
      <c r="C44" s="114">
        <f t="shared" si="6"/>
        <v>0</v>
      </c>
      <c r="D44" s="114">
        <f t="shared" si="6"/>
        <v>0</v>
      </c>
      <c r="E44" s="114">
        <f t="shared" si="6"/>
        <v>0</v>
      </c>
      <c r="F44" s="73" t="s">
        <v>13</v>
      </c>
    </row>
    <row r="45" spans="1:6" s="71" customFormat="1" ht="39" customHeight="1" x14ac:dyDescent="0.35">
      <c r="A45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5" s="114" t="str">
        <f t="shared" ref="B45:E45" si="7">B21</f>
        <v>test chemical</v>
      </c>
      <c r="C45" s="114">
        <f t="shared" si="7"/>
        <v>0</v>
      </c>
      <c r="D45" s="114">
        <f t="shared" si="7"/>
        <v>0</v>
      </c>
      <c r="E45" s="114">
        <f t="shared" si="7"/>
        <v>0</v>
      </c>
      <c r="F45" s="73" t="s">
        <v>13</v>
      </c>
    </row>
    <row r="46" spans="1:6" s="71" customFormat="1" ht="39" customHeight="1" x14ac:dyDescent="0.35">
      <c r="A46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6" s="114" t="str">
        <f t="shared" ref="B46:E46" si="8">B22</f>
        <v>test chemical</v>
      </c>
      <c r="C46" s="114">
        <f t="shared" si="8"/>
        <v>0</v>
      </c>
      <c r="D46" s="114">
        <f t="shared" si="8"/>
        <v>0</v>
      </c>
      <c r="E46" s="114">
        <f t="shared" si="8"/>
        <v>0</v>
      </c>
      <c r="F46" s="73" t="s">
        <v>13</v>
      </c>
    </row>
    <row r="47" spans="1:6" s="71" customFormat="1" ht="39" customHeight="1" x14ac:dyDescent="0.35">
      <c r="A47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7" s="114" t="str">
        <f t="shared" ref="B47:E47" si="9">B23</f>
        <v>test chemical</v>
      </c>
      <c r="C47" s="114">
        <f t="shared" si="9"/>
        <v>0</v>
      </c>
      <c r="D47" s="114">
        <f t="shared" si="9"/>
        <v>0</v>
      </c>
      <c r="E47" s="114">
        <f t="shared" si="9"/>
        <v>0</v>
      </c>
      <c r="F47" s="73" t="s">
        <v>13</v>
      </c>
    </row>
    <row r="48" spans="1:6" s="71" customFormat="1" ht="39" customHeight="1" x14ac:dyDescent="0.35">
      <c r="A48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8" s="114" t="str">
        <f t="shared" ref="B48:E48" si="10">B24</f>
        <v>test chemical</v>
      </c>
      <c r="C48" s="114">
        <f t="shared" si="10"/>
        <v>0</v>
      </c>
      <c r="D48" s="114">
        <f t="shared" si="10"/>
        <v>0</v>
      </c>
      <c r="E48" s="114">
        <f t="shared" si="10"/>
        <v>0</v>
      </c>
      <c r="F48" s="73" t="s">
        <v>13</v>
      </c>
    </row>
    <row r="49" spans="1:6" s="71" customFormat="1" ht="39" customHeight="1" x14ac:dyDescent="0.35">
      <c r="A49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9" s="114" t="str">
        <f t="shared" ref="B49:E49" si="11">B25</f>
        <v>test chemical</v>
      </c>
      <c r="C49" s="114">
        <f t="shared" si="11"/>
        <v>0</v>
      </c>
      <c r="D49" s="114">
        <f t="shared" si="11"/>
        <v>0</v>
      </c>
      <c r="E49" s="114">
        <f t="shared" si="11"/>
        <v>0</v>
      </c>
      <c r="F49" s="73" t="s">
        <v>13</v>
      </c>
    </row>
    <row r="50" spans="1:6" s="71" customFormat="1" ht="39" customHeight="1" x14ac:dyDescent="0.35">
      <c r="A50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0" s="114" t="str">
        <f t="shared" ref="B50:E50" si="12">B26</f>
        <v>test chemical</v>
      </c>
      <c r="C50" s="114">
        <f t="shared" si="12"/>
        <v>0</v>
      </c>
      <c r="D50" s="114">
        <f t="shared" si="12"/>
        <v>0</v>
      </c>
      <c r="E50" s="114">
        <f t="shared" si="12"/>
        <v>0</v>
      </c>
      <c r="F50" s="73" t="s">
        <v>13</v>
      </c>
    </row>
    <row r="51" spans="1:6" s="71" customFormat="1" ht="39" customHeight="1" x14ac:dyDescent="0.35">
      <c r="A51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1" s="114" t="str">
        <f t="shared" ref="B51:E51" si="13">B27</f>
        <v>test chemical</v>
      </c>
      <c r="C51" s="114">
        <f t="shared" si="13"/>
        <v>0</v>
      </c>
      <c r="D51" s="114">
        <f t="shared" si="13"/>
        <v>0</v>
      </c>
      <c r="E51" s="114">
        <f t="shared" si="13"/>
        <v>0</v>
      </c>
      <c r="F51" s="73" t="s">
        <v>13</v>
      </c>
    </row>
    <row r="52" spans="1:6" s="71" customFormat="1" ht="39" customHeight="1" x14ac:dyDescent="0.35">
      <c r="A52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2" s="114" t="str">
        <f t="shared" ref="B52:E52" si="14">B28</f>
        <v>test chemical</v>
      </c>
      <c r="C52" s="114">
        <f t="shared" si="14"/>
        <v>0</v>
      </c>
      <c r="D52" s="114">
        <f t="shared" si="14"/>
        <v>0</v>
      </c>
      <c r="E52" s="114">
        <f t="shared" si="14"/>
        <v>0</v>
      </c>
      <c r="F52" s="73" t="s">
        <v>13</v>
      </c>
    </row>
    <row r="53" spans="1:6" s="71" customFormat="1" ht="39" customHeight="1" x14ac:dyDescent="0.35">
      <c r="A53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3" s="114" t="str">
        <f t="shared" ref="B53:E53" si="15">B29</f>
        <v>test chemical</v>
      </c>
      <c r="C53" s="114">
        <f t="shared" si="15"/>
        <v>0</v>
      </c>
      <c r="D53" s="114">
        <f t="shared" si="15"/>
        <v>0</v>
      </c>
      <c r="E53" s="114">
        <f t="shared" si="15"/>
        <v>0</v>
      </c>
      <c r="F53" s="73" t="s">
        <v>13</v>
      </c>
    </row>
    <row r="54" spans="1:6" s="71" customFormat="1" ht="39" customHeight="1" x14ac:dyDescent="0.35">
      <c r="A54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4" s="114" t="str">
        <f t="shared" ref="B54:E54" si="16">B30</f>
        <v>test chemical</v>
      </c>
      <c r="C54" s="114">
        <f t="shared" si="16"/>
        <v>0</v>
      </c>
      <c r="D54" s="114">
        <f t="shared" si="16"/>
        <v>0</v>
      </c>
      <c r="E54" s="114">
        <f t="shared" si="16"/>
        <v>0</v>
      </c>
      <c r="F54" s="73" t="s">
        <v>13</v>
      </c>
    </row>
    <row r="55" spans="1:6" s="71" customFormat="1" ht="39" customHeight="1" x14ac:dyDescent="0.35">
      <c r="A55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5" s="114" t="str">
        <f t="shared" ref="B55:E55" si="17">B31</f>
        <v>test chemical</v>
      </c>
      <c r="C55" s="114">
        <f t="shared" si="17"/>
        <v>0</v>
      </c>
      <c r="D55" s="114">
        <f t="shared" si="17"/>
        <v>0</v>
      </c>
      <c r="E55" s="114">
        <f t="shared" si="17"/>
        <v>0</v>
      </c>
      <c r="F55" s="73" t="s">
        <v>13</v>
      </c>
    </row>
    <row r="56" spans="1:6" s="71" customFormat="1" ht="39" customHeight="1" x14ac:dyDescent="0.35">
      <c r="A56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6" s="114" t="str">
        <f t="shared" ref="B56:E56" si="18">B32</f>
        <v>test chemical</v>
      </c>
      <c r="C56" s="114">
        <f t="shared" si="18"/>
        <v>0</v>
      </c>
      <c r="D56" s="114">
        <f t="shared" si="18"/>
        <v>0</v>
      </c>
      <c r="E56" s="114">
        <f t="shared" si="18"/>
        <v>0</v>
      </c>
      <c r="F56" s="73" t="s">
        <v>13</v>
      </c>
    </row>
    <row r="57" spans="1:6" s="71" customFormat="1" ht="39" customHeight="1" x14ac:dyDescent="0.35">
      <c r="A57" s="64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7" s="113" t="str">
        <f t="shared" ref="B57:E57" si="19">B33</f>
        <v>test chemical</v>
      </c>
      <c r="C57" s="113">
        <f t="shared" si="19"/>
        <v>0</v>
      </c>
      <c r="D57" s="113">
        <f t="shared" si="19"/>
        <v>0</v>
      </c>
      <c r="E57" s="113">
        <f t="shared" si="19"/>
        <v>0</v>
      </c>
      <c r="F57" s="73" t="s">
        <v>13</v>
      </c>
    </row>
  </sheetData>
  <protectedRanges>
    <protectedRange sqref="C19:D37 A15:A51 C15:C18" name="Plage1_1"/>
  </protectedRanges>
  <mergeCells count="8">
    <mergeCell ref="A5:I5"/>
    <mergeCell ref="A1:I1"/>
    <mergeCell ref="C2:D2"/>
    <mergeCell ref="C3:D3"/>
    <mergeCell ref="C4:D4"/>
    <mergeCell ref="F4:I4"/>
    <mergeCell ref="F3:I3"/>
    <mergeCell ref="F2:I2"/>
  </mergeCells>
  <dataValidations count="1">
    <dataValidation type="custom" allowBlank="1" showInputMessage="1" showErrorMessage="1" sqref="E7:E37" xr:uid="{E0A8F951-ED76-4488-98E3-F13AD7875916}">
      <formula1>ISERROR(SEARCH("-",E7))=TRUE</formula1>
    </dataValidation>
  </dataValidations>
  <pageMargins left="0.7" right="0.7" top="0.75" bottom="0.75" header="0.3" footer="0.3"/>
  <pageSetup paperSize="9" scale="35" orientation="landscape" r:id="rId1"/>
  <headerFooter>
    <oddHeader>&amp;C&amp;"-,Gras"&amp;20Résultats&amp;R&amp;"-,Gras"&amp;20Page : &amp;P/&amp;P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7A6D-69BE-4774-BD62-0BD2ECE449DC}">
  <dimension ref="A1:A2"/>
  <sheetViews>
    <sheetView workbookViewId="0">
      <selection activeCell="C7" sqref="A1:C7"/>
    </sheetView>
  </sheetViews>
  <sheetFormatPr baseColWidth="10" defaultColWidth="10.90625" defaultRowHeight="14.5" x14ac:dyDescent="0.35"/>
  <sheetData>
    <row r="1" spans="1:1" x14ac:dyDescent="0.35">
      <c r="A1" t="s">
        <v>47</v>
      </c>
    </row>
    <row r="2" spans="1:1" x14ac:dyDescent="0.35">
      <c r="A2" t="s">
        <v>48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4"/>
  <sheetViews>
    <sheetView showGridLines="0" zoomScale="55" zoomScaleNormal="55" zoomScaleSheetLayoutView="40" zoomScalePageLayoutView="30" workbookViewId="0">
      <pane xSplit="1" topLeftCell="O1" activePane="topRight" state="frozen"/>
      <selection pane="topRight" activeCell="V5" sqref="V5:V12"/>
    </sheetView>
  </sheetViews>
  <sheetFormatPr baseColWidth="10" defaultColWidth="9.1796875" defaultRowHeight="14.5" x14ac:dyDescent="0.35"/>
  <cols>
    <col min="1" max="1" width="29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8.26953125" bestFit="1" customWidth="1"/>
    <col min="15" max="15" width="14.81640625" customWidth="1"/>
    <col min="16" max="16" width="17.7265625" customWidth="1"/>
    <col min="17" max="18" width="25.81640625" bestFit="1" customWidth="1"/>
    <col min="19" max="22" width="25.81640625" style="1" customWidth="1"/>
  </cols>
  <sheetData>
    <row r="1" spans="1:22" s="1" customFormat="1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ht="15" thickBot="1" x14ac:dyDescent="0.4">
      <c r="A2"/>
      <c r="B2"/>
      <c r="C2"/>
      <c r="D2"/>
      <c r="E2"/>
      <c r="F2"/>
      <c r="G2"/>
      <c r="H2"/>
      <c r="I2"/>
      <c r="J2"/>
      <c r="K2"/>
      <c r="L2"/>
      <c r="M2"/>
      <c r="S2"/>
      <c r="T2"/>
      <c r="U2"/>
      <c r="V2"/>
    </row>
    <row r="3" spans="1:22" ht="15" thickBot="1" x14ac:dyDescent="0.4">
      <c r="A3" s="35" t="s">
        <v>5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Estradiol-34ng/L</v>
      </c>
      <c r="J4" s="20" t="str">
        <f>'Front page'!A15</f>
        <v>Estradiol-68ng/L</v>
      </c>
      <c r="K4" s="20" t="str">
        <f>'Front page'!A16</f>
        <v>Estradiol-135ng/L</v>
      </c>
      <c r="L4" s="20" t="str">
        <f>'Front page'!A17</f>
        <v>Estradiol-270ng/L</v>
      </c>
      <c r="M4" s="20" t="str">
        <f>'Front page'!A18</f>
        <v>Estradiol-540ng/L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Estradiol-34ng/L + Testostérone</v>
      </c>
      <c r="S4" s="21" t="str">
        <f>'Front page'!A39</f>
        <v>Estradiol-68ng/L + Testostérone</v>
      </c>
      <c r="T4" s="21" t="str">
        <f>'Front page'!A40</f>
        <v>Estradiol-135ng/L + Testostérone</v>
      </c>
      <c r="U4" s="21" t="str">
        <f>'Front page'!A41</f>
        <v>Estradiol-270ng/L + Testostérone</v>
      </c>
      <c r="V4" s="21" t="str">
        <f>'Front page'!A42</f>
        <v>Estradiol-540ng/L + Testostérone</v>
      </c>
    </row>
    <row r="5" spans="1:22" ht="16.5" x14ac:dyDescent="0.35">
      <c r="A5" s="138" t="s">
        <v>35</v>
      </c>
      <c r="B5" s="56">
        <v>6911</v>
      </c>
      <c r="C5" s="13">
        <v>1648968</v>
      </c>
      <c r="D5" s="17">
        <v>445753</v>
      </c>
      <c r="E5" s="17">
        <v>5489152</v>
      </c>
      <c r="F5" s="17">
        <v>2827971</v>
      </c>
      <c r="G5" s="17">
        <v>4484880</v>
      </c>
      <c r="H5" s="17">
        <v>10694984</v>
      </c>
      <c r="I5" s="17">
        <v>326286</v>
      </c>
      <c r="J5" s="16">
        <v>86070</v>
      </c>
      <c r="K5" s="13">
        <v>293340</v>
      </c>
      <c r="L5" s="13">
        <v>1468215</v>
      </c>
      <c r="M5" s="13">
        <v>5187233</v>
      </c>
      <c r="N5" s="3"/>
      <c r="O5" s="17">
        <v>218391</v>
      </c>
      <c r="P5" s="13">
        <v>6590587</v>
      </c>
      <c r="Q5" s="13">
        <v>39988</v>
      </c>
      <c r="R5" s="4">
        <v>1022438</v>
      </c>
      <c r="S5" s="17">
        <v>6150619</v>
      </c>
      <c r="T5" s="17">
        <v>3692782</v>
      </c>
      <c r="U5" s="17">
        <v>7089658</v>
      </c>
      <c r="V5" s="17">
        <v>10959159</v>
      </c>
    </row>
    <row r="6" spans="1:22" ht="16.5" x14ac:dyDescent="0.35">
      <c r="A6" s="139"/>
      <c r="B6" s="56">
        <v>216594</v>
      </c>
      <c r="C6" s="13">
        <v>152137</v>
      </c>
      <c r="D6" s="17">
        <v>394912</v>
      </c>
      <c r="E6" s="17">
        <v>1364361</v>
      </c>
      <c r="F6" s="17">
        <v>3963432</v>
      </c>
      <c r="G6" s="17">
        <v>2022658</v>
      </c>
      <c r="H6" s="17">
        <v>9111769</v>
      </c>
      <c r="I6" s="17">
        <v>170652</v>
      </c>
      <c r="J6" s="16">
        <v>216201</v>
      </c>
      <c r="K6" s="13">
        <v>123403</v>
      </c>
      <c r="L6" s="13">
        <v>7182876</v>
      </c>
      <c r="M6" s="13">
        <v>5983202</v>
      </c>
      <c r="N6" s="3"/>
      <c r="O6" s="17">
        <v>442182</v>
      </c>
      <c r="P6" s="56">
        <v>4992626</v>
      </c>
      <c r="Q6" s="13">
        <v>230269</v>
      </c>
      <c r="R6" s="4">
        <v>2638708</v>
      </c>
      <c r="S6" s="17">
        <v>3804789</v>
      </c>
      <c r="T6" s="17">
        <v>3738892</v>
      </c>
      <c r="U6" s="17">
        <v>4236794</v>
      </c>
      <c r="V6" s="17">
        <v>8385810</v>
      </c>
    </row>
    <row r="7" spans="1:22" ht="16.5" x14ac:dyDescent="0.35">
      <c r="A7" s="139"/>
      <c r="B7" s="56">
        <v>406433</v>
      </c>
      <c r="C7" s="56">
        <v>260080</v>
      </c>
      <c r="D7" s="56">
        <v>2549385</v>
      </c>
      <c r="E7" s="56">
        <v>1375051</v>
      </c>
      <c r="F7" s="56">
        <v>6136127</v>
      </c>
      <c r="G7" s="56">
        <v>7239706</v>
      </c>
      <c r="H7" s="56">
        <v>8838133</v>
      </c>
      <c r="I7" s="56">
        <v>344523</v>
      </c>
      <c r="J7" s="56">
        <v>283041</v>
      </c>
      <c r="K7" s="56">
        <v>297296</v>
      </c>
      <c r="L7" s="56">
        <v>1953100</v>
      </c>
      <c r="M7" s="56">
        <v>8549804</v>
      </c>
      <c r="N7" s="3"/>
      <c r="O7" s="17">
        <v>77842</v>
      </c>
      <c r="P7" s="56">
        <v>8264893</v>
      </c>
      <c r="Q7" s="13">
        <v>93765</v>
      </c>
      <c r="R7" s="4">
        <v>1770311</v>
      </c>
      <c r="S7" s="17">
        <v>243371</v>
      </c>
      <c r="T7" s="17">
        <v>8151440</v>
      </c>
      <c r="U7" s="17">
        <v>9795393</v>
      </c>
      <c r="V7" s="17">
        <v>6285410</v>
      </c>
    </row>
    <row r="8" spans="1:22" ht="16.5" x14ac:dyDescent="0.35">
      <c r="A8" s="139"/>
      <c r="B8" s="56">
        <v>132138</v>
      </c>
      <c r="C8" s="56">
        <v>643147</v>
      </c>
      <c r="D8" s="56">
        <v>768008</v>
      </c>
      <c r="E8" s="56">
        <v>3105217</v>
      </c>
      <c r="F8" s="56">
        <v>6144825</v>
      </c>
      <c r="G8" s="56">
        <v>3428228</v>
      </c>
      <c r="H8" s="56">
        <v>7245433</v>
      </c>
      <c r="I8" s="56">
        <v>198784</v>
      </c>
      <c r="J8" s="56">
        <v>1106596</v>
      </c>
      <c r="K8" s="56">
        <v>371746</v>
      </c>
      <c r="L8" s="56">
        <v>3129648</v>
      </c>
      <c r="M8" s="56">
        <v>5925976</v>
      </c>
      <c r="N8" s="3"/>
      <c r="O8" s="56">
        <v>571078</v>
      </c>
      <c r="P8" s="56">
        <v>6090137</v>
      </c>
      <c r="Q8" s="56">
        <v>89197</v>
      </c>
      <c r="R8" s="56">
        <v>1432295</v>
      </c>
      <c r="S8" s="56">
        <v>2632568</v>
      </c>
      <c r="T8" s="56">
        <v>4196712</v>
      </c>
      <c r="U8" s="56">
        <v>5865328</v>
      </c>
      <c r="V8" s="56">
        <v>7726822</v>
      </c>
    </row>
    <row r="9" spans="1:22" ht="16.5" x14ac:dyDescent="0.35">
      <c r="A9" s="139"/>
      <c r="B9" s="56">
        <v>296339</v>
      </c>
      <c r="C9" s="56">
        <v>676651</v>
      </c>
      <c r="D9" s="56">
        <v>888575</v>
      </c>
      <c r="E9" s="56">
        <v>813487</v>
      </c>
      <c r="F9" s="56">
        <v>7017350</v>
      </c>
      <c r="G9" s="56">
        <v>1938409</v>
      </c>
      <c r="H9" s="56">
        <v>10500559</v>
      </c>
      <c r="I9" s="56">
        <v>733</v>
      </c>
      <c r="J9" s="56">
        <v>275424</v>
      </c>
      <c r="K9" s="56">
        <v>236665</v>
      </c>
      <c r="L9" s="56">
        <v>3048331</v>
      </c>
      <c r="M9" s="56">
        <v>13021901</v>
      </c>
      <c r="N9" s="3"/>
      <c r="O9" s="56">
        <v>1485296</v>
      </c>
      <c r="P9" s="56">
        <v>4215322</v>
      </c>
      <c r="Q9" s="56">
        <v>336938</v>
      </c>
      <c r="R9" s="56">
        <v>766895</v>
      </c>
      <c r="S9" s="56">
        <v>5943167</v>
      </c>
      <c r="T9" s="56">
        <v>1788192</v>
      </c>
      <c r="U9" s="56">
        <v>7399370</v>
      </c>
      <c r="V9" s="56">
        <v>7744546</v>
      </c>
    </row>
    <row r="10" spans="1:22" ht="16.5" x14ac:dyDescent="0.35">
      <c r="A10" s="139"/>
      <c r="B10" s="56">
        <v>37232</v>
      </c>
      <c r="C10" s="56">
        <v>224754</v>
      </c>
      <c r="D10" s="56">
        <v>1573807</v>
      </c>
      <c r="E10" s="56">
        <v>1154569</v>
      </c>
      <c r="F10" s="56">
        <v>2747901</v>
      </c>
      <c r="G10" s="56">
        <v>3895996</v>
      </c>
      <c r="H10" s="56">
        <v>4556952</v>
      </c>
      <c r="I10" s="56">
        <v>136559</v>
      </c>
      <c r="J10" s="56">
        <v>223082</v>
      </c>
      <c r="K10" s="56">
        <v>865088</v>
      </c>
      <c r="L10" s="56">
        <v>5356626</v>
      </c>
      <c r="M10" s="56">
        <v>11047295</v>
      </c>
      <c r="N10" s="3"/>
      <c r="O10" s="56">
        <v>553501</v>
      </c>
      <c r="P10" s="13">
        <v>2969960</v>
      </c>
      <c r="Q10" s="56">
        <v>66862</v>
      </c>
      <c r="R10" s="56">
        <v>969886</v>
      </c>
      <c r="S10" s="56">
        <v>5857153</v>
      </c>
      <c r="T10" s="56">
        <v>6123108</v>
      </c>
      <c r="U10" s="56">
        <v>6412083</v>
      </c>
      <c r="V10" s="56">
        <v>9513210</v>
      </c>
    </row>
    <row r="11" spans="1:22" ht="16.5" x14ac:dyDescent="0.35">
      <c r="A11" s="139"/>
      <c r="B11" s="56">
        <v>148051</v>
      </c>
      <c r="C11" s="13">
        <v>309128</v>
      </c>
      <c r="D11" s="17">
        <v>2390513</v>
      </c>
      <c r="E11" s="17">
        <v>3504058</v>
      </c>
      <c r="F11" s="17">
        <v>5641961</v>
      </c>
      <c r="G11" s="17">
        <v>4625800</v>
      </c>
      <c r="H11" s="17">
        <v>7084399</v>
      </c>
      <c r="I11" s="17">
        <v>318377</v>
      </c>
      <c r="J11" s="16">
        <v>404306</v>
      </c>
      <c r="K11" s="13">
        <v>602058</v>
      </c>
      <c r="L11" s="13">
        <v>2994927</v>
      </c>
      <c r="M11" s="13">
        <v>5199680</v>
      </c>
      <c r="N11" s="3"/>
      <c r="O11" s="56">
        <v>309432</v>
      </c>
      <c r="P11" s="13">
        <v>5311357</v>
      </c>
      <c r="Q11" s="56">
        <v>10368</v>
      </c>
      <c r="R11" s="56"/>
      <c r="S11" s="56">
        <v>5360495</v>
      </c>
      <c r="T11" s="56">
        <v>2339816</v>
      </c>
      <c r="U11" s="56">
        <v>5609009</v>
      </c>
      <c r="V11" s="56">
        <v>6035722</v>
      </c>
    </row>
    <row r="12" spans="1:22" ht="16.5" x14ac:dyDescent="0.35">
      <c r="A12" s="139"/>
      <c r="B12" s="56">
        <v>177380</v>
      </c>
      <c r="C12" s="13">
        <v>177232</v>
      </c>
      <c r="D12" s="17"/>
      <c r="E12" s="17">
        <v>2005353</v>
      </c>
      <c r="F12" s="17">
        <v>6816634</v>
      </c>
      <c r="G12" s="17">
        <v>6420797</v>
      </c>
      <c r="H12" s="17"/>
      <c r="I12" s="17">
        <v>136394</v>
      </c>
      <c r="J12" s="16">
        <v>263210</v>
      </c>
      <c r="K12" s="13">
        <v>404642</v>
      </c>
      <c r="L12" s="13"/>
      <c r="M12" s="13">
        <v>8890082</v>
      </c>
      <c r="N12" s="3"/>
      <c r="O12" s="17">
        <v>112509</v>
      </c>
      <c r="P12">
        <v>6219389</v>
      </c>
      <c r="Q12" s="13">
        <v>346761</v>
      </c>
      <c r="R12" s="4"/>
      <c r="S12" s="17">
        <v>2624121</v>
      </c>
      <c r="T12" s="17">
        <v>7258221</v>
      </c>
      <c r="U12" s="17">
        <v>6185393</v>
      </c>
      <c r="V12" s="17">
        <v>10759954</v>
      </c>
    </row>
    <row r="13" spans="1:22" ht="16.5" x14ac:dyDescent="0.35">
      <c r="A13" s="139"/>
      <c r="B13" s="14"/>
      <c r="C13" s="13"/>
      <c r="D13" s="16"/>
      <c r="E13" s="16"/>
      <c r="F13" s="16"/>
      <c r="G13" s="16"/>
      <c r="H13" s="16"/>
      <c r="I13" s="17"/>
      <c r="J13" s="16"/>
      <c r="K13" s="13"/>
      <c r="L13" s="13"/>
      <c r="M13" s="13"/>
      <c r="N13" s="3"/>
      <c r="O13" s="17">
        <v>6590587</v>
      </c>
      <c r="P13">
        <v>7377760</v>
      </c>
      <c r="Q13" s="13"/>
      <c r="R13" s="4"/>
      <c r="S13" s="17"/>
      <c r="T13" s="17"/>
      <c r="U13" s="17"/>
      <c r="V13" s="17"/>
    </row>
    <row r="14" spans="1:22" ht="16.5" x14ac:dyDescent="0.35">
      <c r="A14" s="139"/>
      <c r="B14" s="14"/>
      <c r="C14" s="16"/>
      <c r="D14" s="16"/>
      <c r="E14" s="16"/>
      <c r="F14" s="16"/>
      <c r="G14" s="16"/>
      <c r="H14" s="16"/>
      <c r="I14" s="17"/>
      <c r="J14" s="16"/>
      <c r="K14" s="13"/>
      <c r="L14" s="13"/>
      <c r="M14" s="13"/>
      <c r="N14" s="3"/>
      <c r="O14" s="17">
        <v>4992626</v>
      </c>
      <c r="Q14" s="13"/>
      <c r="R14" s="4"/>
      <c r="S14" s="17"/>
      <c r="T14" s="17"/>
      <c r="U14" s="17"/>
      <c r="V14" s="17"/>
    </row>
    <row r="15" spans="1:22" ht="16.5" x14ac:dyDescent="0.35">
      <c r="A15" s="139"/>
      <c r="B15" s="14"/>
      <c r="C15" s="16"/>
      <c r="D15" s="16"/>
      <c r="E15" s="16"/>
      <c r="F15" s="16"/>
      <c r="G15" s="16"/>
      <c r="H15" s="16"/>
      <c r="I15" s="17"/>
      <c r="J15" s="16"/>
      <c r="K15" s="13"/>
      <c r="L15" s="13"/>
      <c r="M15" s="13"/>
      <c r="N15" s="3"/>
      <c r="O15" s="17">
        <v>8264893</v>
      </c>
      <c r="Q15" s="13"/>
      <c r="R15" s="4"/>
      <c r="S15" s="17"/>
      <c r="T15" s="17"/>
      <c r="U15" s="17"/>
      <c r="V15" s="17"/>
    </row>
    <row r="16" spans="1:22" ht="16.5" x14ac:dyDescent="0.35">
      <c r="A16" s="139"/>
      <c r="B16" s="14"/>
      <c r="C16" s="16"/>
      <c r="D16" s="16"/>
      <c r="E16" s="16"/>
      <c r="F16" s="16"/>
      <c r="G16" s="16"/>
      <c r="H16" s="16"/>
      <c r="I16" s="17"/>
      <c r="J16" s="16"/>
      <c r="K16" s="13"/>
      <c r="L16" s="13"/>
      <c r="M16" s="13"/>
      <c r="N16" s="3"/>
      <c r="O16" s="17">
        <v>6090137</v>
      </c>
      <c r="P16" s="13"/>
      <c r="Q16" s="13"/>
      <c r="R16" s="4"/>
      <c r="S16" s="17"/>
      <c r="T16" s="17"/>
      <c r="U16" s="17"/>
      <c r="V16" s="17"/>
    </row>
    <row r="17" spans="1:22" s="1" customFormat="1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4215322</v>
      </c>
      <c r="P17" s="13"/>
      <c r="Q17" s="13"/>
      <c r="R17" s="17"/>
      <c r="S17" s="17"/>
      <c r="T17" s="17"/>
      <c r="U17" s="17"/>
      <c r="V17" s="17"/>
    </row>
    <row r="18" spans="1:22" s="1" customFormat="1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2969960</v>
      </c>
      <c r="P18" s="13"/>
      <c r="Q18" s="13"/>
      <c r="R18" s="17"/>
      <c r="S18" s="17"/>
      <c r="T18" s="17"/>
      <c r="U18" s="17"/>
      <c r="V18" s="17"/>
    </row>
    <row r="19" spans="1:22" s="1" customFormat="1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5311357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6"/>
      <c r="D20" s="16"/>
      <c r="E20" s="16"/>
      <c r="F20" s="16"/>
      <c r="G20" s="16"/>
      <c r="H20" s="16"/>
      <c r="I20" s="17"/>
      <c r="J20" s="16"/>
      <c r="K20" s="13"/>
      <c r="L20" s="13"/>
      <c r="M20" s="13"/>
      <c r="N20" s="3"/>
      <c r="O20" s="17">
        <v>6219389</v>
      </c>
      <c r="P20" s="13"/>
      <c r="Q20" s="13"/>
      <c r="R20" s="4"/>
      <c r="S20" s="17"/>
      <c r="T20" s="17"/>
      <c r="U20" s="17"/>
      <c r="V20" s="17"/>
    </row>
    <row r="21" spans="1:22" s="1" customFormat="1" ht="16.5" x14ac:dyDescent="0.35">
      <c r="A21" s="49"/>
      <c r="B21" s="50"/>
      <c r="C21" s="7"/>
      <c r="D21" s="7"/>
      <c r="E21" s="7"/>
      <c r="F21" s="7"/>
      <c r="G21" s="7"/>
      <c r="H21" s="7"/>
      <c r="I21" s="7"/>
      <c r="J21" s="7"/>
      <c r="K21" s="18"/>
      <c r="L21" s="18"/>
      <c r="M21" s="18"/>
      <c r="N21" s="3"/>
      <c r="O21" s="7"/>
      <c r="P21" s="18"/>
      <c r="Q21" s="18"/>
      <c r="R21" s="7"/>
      <c r="S21" s="7"/>
      <c r="T21" s="7"/>
      <c r="U21" s="7"/>
      <c r="V21" s="7"/>
    </row>
    <row r="22" spans="1:22" s="52" customFormat="1" x14ac:dyDescent="0.35">
      <c r="A22" s="51" t="str">
        <f t="shared" ref="A22:M22" si="0">A4</f>
        <v>Group names</v>
      </c>
      <c r="B22" s="51" t="str">
        <f t="shared" si="0"/>
        <v>Solvent control</v>
      </c>
      <c r="C22" s="51" t="str">
        <f t="shared" si="0"/>
        <v>EE2-33.8ng/L</v>
      </c>
      <c r="D22" s="51" t="str">
        <f t="shared" si="0"/>
        <v>EE2-50.6ng/L</v>
      </c>
      <c r="E22" s="51" t="str">
        <f t="shared" si="0"/>
        <v>EE2-76ng/L</v>
      </c>
      <c r="F22" s="51" t="str">
        <f t="shared" si="0"/>
        <v>EE2-114ng/L</v>
      </c>
      <c r="G22" s="51" t="str">
        <f t="shared" si="0"/>
        <v>EE2-170.9ng/L</v>
      </c>
      <c r="H22" s="51" t="str">
        <f t="shared" si="0"/>
        <v>EE2-488ng/L</v>
      </c>
      <c r="I22" s="51" t="str">
        <f t="shared" si="0"/>
        <v>Estradiol-34ng/L</v>
      </c>
      <c r="J22" s="51" t="str">
        <f t="shared" si="0"/>
        <v>Estradiol-68ng/L</v>
      </c>
      <c r="K22" s="51" t="str">
        <f t="shared" si="0"/>
        <v>Estradiol-135ng/L</v>
      </c>
      <c r="L22" s="51" t="str">
        <f t="shared" si="0"/>
        <v>Estradiol-270ng/L</v>
      </c>
      <c r="M22" s="51" t="str">
        <f t="shared" si="0"/>
        <v>Estradiol-540ng/L</v>
      </c>
      <c r="N22" s="51" t="s">
        <v>12</v>
      </c>
      <c r="O22" s="51" t="str">
        <f t="shared" ref="O22:V22" si="1">O4</f>
        <v>Testo -30µg/L</v>
      </c>
      <c r="P22" s="51" t="str">
        <f t="shared" si="1"/>
        <v>Testo 30µg/L + EE2 -64ng/L</v>
      </c>
      <c r="Q22" s="51" t="str">
        <f t="shared" si="1"/>
        <v>Testo 30µg/L + FAD-10mg/L</v>
      </c>
      <c r="R22" s="51" t="str">
        <f t="shared" si="1"/>
        <v>Estradiol-34ng/L + Testostérone</v>
      </c>
      <c r="S22" s="51" t="str">
        <f t="shared" si="1"/>
        <v>Estradiol-68ng/L + Testostérone</v>
      </c>
      <c r="T22" s="51" t="str">
        <f t="shared" si="1"/>
        <v>Estradiol-135ng/L + Testostérone</v>
      </c>
      <c r="U22" s="51" t="str">
        <f t="shared" si="1"/>
        <v>Estradiol-270ng/L + Testostérone</v>
      </c>
      <c r="V22" s="51" t="str">
        <f t="shared" si="1"/>
        <v>Estradiol-540ng/L + Testostérone</v>
      </c>
    </row>
    <row r="23" spans="1:22" x14ac:dyDescent="0.35">
      <c r="A23" s="5" t="s">
        <v>0</v>
      </c>
      <c r="B23" s="5">
        <f>AVERAGE(B5:B20)</f>
        <v>177634.75</v>
      </c>
      <c r="C23" s="5">
        <f>AVERAGE(C5:C20)</f>
        <v>511512.125</v>
      </c>
      <c r="D23" s="5">
        <f>AVERAGE(D5:D20)</f>
        <v>1287279</v>
      </c>
      <c r="E23" s="5">
        <f>AVERAGE(E5:E20)</f>
        <v>2351406</v>
      </c>
      <c r="F23" s="5">
        <f t="shared" ref="F23:M23" si="2">AVERAGE(F5:F20)</f>
        <v>5162025.125</v>
      </c>
      <c r="G23" s="5">
        <f t="shared" si="2"/>
        <v>4257059.25</v>
      </c>
      <c r="H23" s="5">
        <f t="shared" si="2"/>
        <v>8290318.4285714282</v>
      </c>
      <c r="I23" s="5">
        <f t="shared" si="2"/>
        <v>204038.5</v>
      </c>
      <c r="J23" s="5">
        <f t="shared" si="2"/>
        <v>357241.25</v>
      </c>
      <c r="K23" s="5">
        <f t="shared" si="2"/>
        <v>399279.75</v>
      </c>
      <c r="L23" s="5">
        <f t="shared" si="2"/>
        <v>3590531.8571428573</v>
      </c>
      <c r="M23" s="5">
        <f t="shared" si="2"/>
        <v>7975646.625</v>
      </c>
      <c r="N23" s="5" t="s">
        <v>0</v>
      </c>
      <c r="O23" s="5">
        <f t="shared" ref="O23:V23" si="3">AVERAGE(O5:O20)</f>
        <v>3026531.375</v>
      </c>
      <c r="P23" s="5">
        <f t="shared" si="3"/>
        <v>5781336.777777778</v>
      </c>
      <c r="Q23" s="5">
        <f t="shared" si="3"/>
        <v>151768.5</v>
      </c>
      <c r="R23" s="5">
        <f t="shared" si="3"/>
        <v>1433422.1666666667</v>
      </c>
      <c r="S23" s="5">
        <f t="shared" si="3"/>
        <v>4077035.375</v>
      </c>
      <c r="T23" s="5">
        <f t="shared" si="3"/>
        <v>4661145.375</v>
      </c>
      <c r="U23" s="5">
        <f t="shared" si="3"/>
        <v>6574128.5</v>
      </c>
      <c r="V23" s="5">
        <f t="shared" si="3"/>
        <v>8426329.125</v>
      </c>
    </row>
    <row r="24" spans="1:22" x14ac:dyDescent="0.35">
      <c r="A24" s="3" t="s">
        <v>1</v>
      </c>
      <c r="B24" s="3">
        <f>STDEV(B5:B20)</f>
        <v>130800.78078376618</v>
      </c>
      <c r="C24" s="3">
        <f>STDEV(C5:C20)</f>
        <v>502238.67521199165</v>
      </c>
      <c r="D24" s="3">
        <f>STDEV(D5:D20)</f>
        <v>896774.51933749765</v>
      </c>
      <c r="E24" s="3">
        <f>STDEV(E5:E20)</f>
        <v>1585072.3674029163</v>
      </c>
      <c r="F24" s="3">
        <f t="shared" ref="F24:M24" si="4">STDEV(F5:F20)</f>
        <v>1733596.5443858893</v>
      </c>
      <c r="G24" s="3">
        <f t="shared" si="4"/>
        <v>1888000.8535184776</v>
      </c>
      <c r="H24" s="3">
        <f t="shared" si="4"/>
        <v>2165121.7770602684</v>
      </c>
      <c r="I24" s="3">
        <f t="shared" si="4"/>
        <v>119138.75125967321</v>
      </c>
      <c r="J24" s="3">
        <f t="shared" si="4"/>
        <v>315371.47049641545</v>
      </c>
      <c r="K24" s="3">
        <f t="shared" si="4"/>
        <v>233928.76191497152</v>
      </c>
      <c r="L24" s="3">
        <f t="shared" si="4"/>
        <v>2002938.5801935641</v>
      </c>
      <c r="M24" s="3">
        <f t="shared" si="4"/>
        <v>2920806.6939764596</v>
      </c>
      <c r="N24" s="3" t="s">
        <v>1</v>
      </c>
      <c r="O24" s="3">
        <f t="shared" ref="O24:V24" si="5">STDEV(O5:O20)</f>
        <v>2873781.474298765</v>
      </c>
      <c r="P24" s="3">
        <f t="shared" si="5"/>
        <v>1614695.7614185235</v>
      </c>
      <c r="Q24" s="3">
        <f t="shared" si="5"/>
        <v>133870.8552694403</v>
      </c>
      <c r="R24" s="3">
        <f t="shared" si="5"/>
        <v>691988.65937626956</v>
      </c>
      <c r="S24" s="3">
        <f t="shared" si="5"/>
        <v>2123569.4501374625</v>
      </c>
      <c r="T24" s="3">
        <f t="shared" si="5"/>
        <v>2290062.42971315</v>
      </c>
      <c r="U24" s="3">
        <f t="shared" si="5"/>
        <v>1621185.6143687821</v>
      </c>
      <c r="V24" s="3">
        <f t="shared" si="5"/>
        <v>1863048.9466077939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s="1" customFormat="1" x14ac:dyDescent="0.35">
      <c r="A27" s="19" t="str">
        <f>A4</f>
        <v>Group names</v>
      </c>
      <c r="B27" s="20" t="str">
        <f t="shared" ref="B27:M27" si="6">B4</f>
        <v>Solvent control</v>
      </c>
      <c r="C27" s="20" t="str">
        <f t="shared" si="6"/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Estradiol-34ng/L</v>
      </c>
      <c r="J27" s="20" t="str">
        <f t="shared" si="6"/>
        <v>Estradiol-68ng/L</v>
      </c>
      <c r="K27" s="20" t="str">
        <f t="shared" si="6"/>
        <v>Estradiol-135ng/L</v>
      </c>
      <c r="L27" s="20" t="str">
        <f t="shared" si="6"/>
        <v>Estradiol-270ng/L</v>
      </c>
      <c r="M27" s="20" t="str">
        <f t="shared" si="6"/>
        <v>Estradiol-540ng/L</v>
      </c>
      <c r="N27" s="3"/>
      <c r="O27" s="21" t="str">
        <f t="shared" ref="O27:V27" si="7">O4</f>
        <v>Testo -30µg/L</v>
      </c>
      <c r="P27" s="21" t="str">
        <f t="shared" si="7"/>
        <v>Testo 30µg/L + EE2 -64ng/L</v>
      </c>
      <c r="Q27" s="21" t="str">
        <f t="shared" si="7"/>
        <v>Testo 30µg/L + FAD-10mg/L</v>
      </c>
      <c r="R27" s="21" t="str">
        <f t="shared" si="7"/>
        <v>Estradiol-34ng/L + Testostérone</v>
      </c>
      <c r="S27" s="21" t="str">
        <f t="shared" si="7"/>
        <v>Estradiol-68ng/L + Testostérone</v>
      </c>
      <c r="T27" s="21" t="str">
        <f t="shared" si="7"/>
        <v>Estradiol-135ng/L + Testostérone</v>
      </c>
      <c r="U27" s="21" t="str">
        <f t="shared" si="7"/>
        <v>Estradiol-270ng/L + Testostérone</v>
      </c>
      <c r="V27" s="21" t="str">
        <f t="shared" si="7"/>
        <v>Estradiol-540ng/L + Testostérone</v>
      </c>
    </row>
    <row r="28" spans="1:22" x14ac:dyDescent="0.35">
      <c r="A28" s="140" t="s">
        <v>36</v>
      </c>
      <c r="B28" s="11">
        <f t="shared" ref="B28:E35" si="8">IF(B5="","",(B5/$O$23))</f>
        <v>2.2834721150049204E-3</v>
      </c>
      <c r="C28" s="11">
        <f t="shared" si="8"/>
        <v>0.54483757003840738</v>
      </c>
      <c r="D28" s="11">
        <f t="shared" si="8"/>
        <v>0.1472818037447241</v>
      </c>
      <c r="E28" s="11">
        <f t="shared" si="8"/>
        <v>1.8136775469575299</v>
      </c>
      <c r="F28" s="11">
        <f t="shared" ref="F28:M28" si="9">IF(F5="","",(F5/$O$23))</f>
        <v>0.93439341926531327</v>
      </c>
      <c r="G28" s="11">
        <f t="shared" si="9"/>
        <v>1.4818547850011963</v>
      </c>
      <c r="H28" s="11">
        <f t="shared" si="9"/>
        <v>3.5337429799484568</v>
      </c>
      <c r="I28" s="11">
        <f t="shared" ref="I28:L35" si="10">IF(I5="","",(I5/$O$23))</f>
        <v>0.10780856352430841</v>
      </c>
      <c r="J28" s="11">
        <f t="shared" si="10"/>
        <v>2.8438495867236797E-2</v>
      </c>
      <c r="K28" s="11">
        <f t="shared" si="10"/>
        <v>9.6922834642677383E-2</v>
      </c>
      <c r="L28" s="11">
        <f t="shared" si="10"/>
        <v>0.48511474624973944</v>
      </c>
      <c r="M28" s="11">
        <f t="shared" si="9"/>
        <v>1.7139201142429921</v>
      </c>
      <c r="N28" s="6"/>
      <c r="O28" s="11">
        <f t="shared" ref="O28:V37" si="11">IF(O5="","",(O5/$O$23))</f>
        <v>7.2158842232388887E-2</v>
      </c>
      <c r="P28" s="11">
        <f t="shared" ref="P28" si="12">IF(P5="","",(P5/$O$23))</f>
        <v>2.1776040567231854</v>
      </c>
      <c r="Q28" s="11">
        <f t="shared" si="11"/>
        <v>1.3212484869746311E-2</v>
      </c>
      <c r="R28" s="11">
        <f t="shared" si="11"/>
        <v>0.33782501263513254</v>
      </c>
      <c r="S28" s="11">
        <f t="shared" si="11"/>
        <v>2.0322336820314644</v>
      </c>
      <c r="T28" s="11">
        <f t="shared" si="11"/>
        <v>1.220136698566358</v>
      </c>
      <c r="U28" s="11">
        <f t="shared" si="11"/>
        <v>2.3425027272350678</v>
      </c>
      <c r="V28" s="11">
        <f t="shared" si="11"/>
        <v>3.6210293706272911</v>
      </c>
    </row>
    <row r="29" spans="1:22" x14ac:dyDescent="0.35">
      <c r="A29" s="141"/>
      <c r="B29" s="11">
        <f t="shared" si="8"/>
        <v>7.1565093224913293E-2</v>
      </c>
      <c r="C29" s="11">
        <f t="shared" si="8"/>
        <v>5.0267775598394383E-2</v>
      </c>
      <c r="D29" s="11">
        <f t="shared" si="8"/>
        <v>0.13048336563172089</v>
      </c>
      <c r="E29" s="11">
        <f t="shared" si="8"/>
        <v>0.45080021679933846</v>
      </c>
      <c r="F29" s="11">
        <f t="shared" ref="F29:M29" si="13">IF(F6="","",(F6/$O$23))</f>
        <v>1.3095625020573263</v>
      </c>
      <c r="G29" s="11">
        <f t="shared" si="13"/>
        <v>0.6683089482262512</v>
      </c>
      <c r="H29" s="11">
        <f t="shared" si="13"/>
        <v>3.0106309405102398</v>
      </c>
      <c r="I29" s="11">
        <f t="shared" si="10"/>
        <v>5.6385339801739209E-2</v>
      </c>
      <c r="J29" s="11">
        <f t="shared" si="10"/>
        <v>7.1435241605582234E-2</v>
      </c>
      <c r="K29" s="11">
        <f t="shared" si="10"/>
        <v>4.0773738881196959E-2</v>
      </c>
      <c r="L29" s="11">
        <f t="shared" si="10"/>
        <v>2.3733030026824022</v>
      </c>
      <c r="M29" s="11">
        <f t="shared" si="13"/>
        <v>1.976917222607679</v>
      </c>
      <c r="N29" s="6"/>
      <c r="O29" s="11">
        <f t="shared" si="11"/>
        <v>0.14610190518841062</v>
      </c>
      <c r="P29" s="11">
        <f t="shared" ref="P29" si="14">IF(P6="","",(P6/$O$23))</f>
        <v>1.6496197730644706</v>
      </c>
      <c r="Q29" s="11">
        <f t="shared" si="11"/>
        <v>7.6083467001890906E-2</v>
      </c>
      <c r="R29" s="11">
        <f t="shared" si="11"/>
        <v>0.87185879578069791</v>
      </c>
      <c r="S29" s="11">
        <f t="shared" si="11"/>
        <v>1.2571450708981995</v>
      </c>
      <c r="T29" s="11">
        <f t="shared" si="11"/>
        <v>1.2353719610787117</v>
      </c>
      <c r="U29" s="11">
        <f t="shared" si="11"/>
        <v>1.3998843808450523</v>
      </c>
      <c r="V29" s="11">
        <f t="shared" si="11"/>
        <v>2.7707659234162079</v>
      </c>
    </row>
    <row r="30" spans="1:22" x14ac:dyDescent="0.35">
      <c r="A30" s="141"/>
      <c r="B30" s="11">
        <f t="shared" si="8"/>
        <v>0.13429003358671607</v>
      </c>
      <c r="C30" s="11">
        <f t="shared" si="8"/>
        <v>8.5933356630079547E-2</v>
      </c>
      <c r="D30" s="11">
        <f t="shared" si="8"/>
        <v>0.84234547213309496</v>
      </c>
      <c r="E30" s="11">
        <f t="shared" si="8"/>
        <v>0.45433231300964128</v>
      </c>
      <c r="F30" s="11">
        <f t="shared" ref="F30:M30" si="15">IF(F7="","",(F7/$O$23))</f>
        <v>2.0274453622672257</v>
      </c>
      <c r="G30" s="11">
        <f t="shared" si="15"/>
        <v>2.3920802737424123</v>
      </c>
      <c r="H30" s="11">
        <f t="shared" si="15"/>
        <v>2.9202185290413518</v>
      </c>
      <c r="I30" s="11">
        <f t="shared" si="10"/>
        <v>0.11383427340151067</v>
      </c>
      <c r="J30" s="11">
        <f t="shared" si="10"/>
        <v>9.3519929229215412E-2</v>
      </c>
      <c r="K30" s="11">
        <f t="shared" si="10"/>
        <v>9.8229941528360995E-2</v>
      </c>
      <c r="L30" s="11">
        <f t="shared" si="10"/>
        <v>0.6453262028383896</v>
      </c>
      <c r="M30" s="11">
        <f t="shared" si="15"/>
        <v>2.8249513851479566</v>
      </c>
      <c r="N30" s="6"/>
      <c r="O30" s="11">
        <f t="shared" si="11"/>
        <v>2.5719872142412534E-2</v>
      </c>
      <c r="P30" s="11">
        <f t="shared" ref="P30" si="16">IF(P7="","",(P7/$O$23))</f>
        <v>2.7308135868903722</v>
      </c>
      <c r="Q30" s="11">
        <f t="shared" si="11"/>
        <v>3.0981010398413597E-2</v>
      </c>
      <c r="R30" s="11">
        <f t="shared" si="11"/>
        <v>0.58493066175466291</v>
      </c>
      <c r="S30" s="11">
        <f t="shared" si="11"/>
        <v>8.0412515135416363E-2</v>
      </c>
      <c r="T30" s="11">
        <f t="shared" si="11"/>
        <v>2.6933274398980913</v>
      </c>
      <c r="U30" s="11">
        <f t="shared" si="11"/>
        <v>3.2365079975422359</v>
      </c>
      <c r="V30" s="11">
        <f t="shared" si="11"/>
        <v>2.0767701441720559</v>
      </c>
    </row>
    <row r="31" spans="1:22" x14ac:dyDescent="0.35">
      <c r="A31" s="141"/>
      <c r="B31" s="11">
        <f t="shared" si="8"/>
        <v>4.3659881107295642E-2</v>
      </c>
      <c r="C31" s="11">
        <f t="shared" si="8"/>
        <v>0.21250300106338729</v>
      </c>
      <c r="D31" s="11">
        <f t="shared" si="8"/>
        <v>0.25375847953996511</v>
      </c>
      <c r="E31" s="11">
        <f t="shared" si="8"/>
        <v>1.0259986153290745</v>
      </c>
      <c r="F31" s="11">
        <f t="shared" ref="F31:M31" si="17">IF(F8="","",(F8/$O$23))</f>
        <v>2.0303192792772551</v>
      </c>
      <c r="G31" s="11">
        <f t="shared" si="17"/>
        <v>1.1327250820256241</v>
      </c>
      <c r="H31" s="11">
        <f t="shared" si="17"/>
        <v>2.3939725389431987</v>
      </c>
      <c r="I31" s="11">
        <f t="shared" si="10"/>
        <v>6.5680468949376083E-2</v>
      </c>
      <c r="J31" s="11">
        <f t="shared" si="10"/>
        <v>0.36563176220170523</v>
      </c>
      <c r="K31" s="11">
        <f t="shared" si="10"/>
        <v>0.122829058727336</v>
      </c>
      <c r="L31" s="11">
        <f t="shared" si="10"/>
        <v>1.0340708924585327</v>
      </c>
      <c r="M31" s="11">
        <f t="shared" si="17"/>
        <v>1.9580091086946025</v>
      </c>
      <c r="N31" s="6"/>
      <c r="O31" s="11">
        <f t="shared" si="11"/>
        <v>0.18869059303903632</v>
      </c>
      <c r="P31" s="11">
        <f t="shared" ref="P31" si="18">IF(P8="","",(P8/$O$23))</f>
        <v>2.0122497491042859</v>
      </c>
      <c r="Q31" s="11">
        <f t="shared" si="11"/>
        <v>2.9471691830718259E-2</v>
      </c>
      <c r="R31" s="11">
        <f t="shared" si="11"/>
        <v>0.47324637432512989</v>
      </c>
      <c r="S31" s="11">
        <f t="shared" si="11"/>
        <v>0.86983007073567842</v>
      </c>
      <c r="T31" s="11">
        <f t="shared" si="11"/>
        <v>1.386640837318265</v>
      </c>
      <c r="U31" s="11">
        <f t="shared" si="11"/>
        <v>1.9379703275007352</v>
      </c>
      <c r="V31" s="11">
        <f t="shared" si="11"/>
        <v>2.5530288778189192</v>
      </c>
    </row>
    <row r="32" spans="1:22" x14ac:dyDescent="0.35">
      <c r="A32" s="141"/>
      <c r="B32" s="11">
        <f t="shared" si="8"/>
        <v>9.7913737966783834E-2</v>
      </c>
      <c r="C32" s="11">
        <f t="shared" si="8"/>
        <v>0.22357309941979372</v>
      </c>
      <c r="D32" s="11">
        <f t="shared" si="8"/>
        <v>0.29359517213000974</v>
      </c>
      <c r="E32" s="11">
        <f t="shared" si="8"/>
        <v>0.26878525255664992</v>
      </c>
      <c r="F32" s="11">
        <f t="shared" ref="F32:M32" si="19">IF(F9="","",(F9/$O$23))</f>
        <v>2.3186113509231339</v>
      </c>
      <c r="G32" s="11">
        <f t="shared" si="19"/>
        <v>0.64047213123637281</v>
      </c>
      <c r="H32" s="11">
        <f t="shared" si="19"/>
        <v>3.4695027736165462</v>
      </c>
      <c r="I32" s="11">
        <f t="shared" si="10"/>
        <v>2.4219144267090243E-4</v>
      </c>
      <c r="J32" s="11">
        <f t="shared" si="10"/>
        <v>9.1003186775157743E-2</v>
      </c>
      <c r="K32" s="11">
        <f t="shared" si="10"/>
        <v>7.8196777325660466E-2</v>
      </c>
      <c r="L32" s="11">
        <f t="shared" si="10"/>
        <v>1.0072028412393379</v>
      </c>
      <c r="M32" s="11">
        <f t="shared" si="19"/>
        <v>4.3025825232028199</v>
      </c>
      <c r="N32" s="6"/>
      <c r="O32" s="11">
        <f t="shared" si="11"/>
        <v>0.4907585007275862</v>
      </c>
      <c r="P32" s="11">
        <f t="shared" ref="P32" si="20">IF(P9="","",(P9/$O$23))</f>
        <v>1.392789790589896</v>
      </c>
      <c r="Q32" s="11">
        <f t="shared" si="11"/>
        <v>0.11132810410729675</v>
      </c>
      <c r="R32" s="11">
        <f t="shared" si="11"/>
        <v>0.25339073182414967</v>
      </c>
      <c r="S32" s="11">
        <f t="shared" si="11"/>
        <v>1.9636892084094122</v>
      </c>
      <c r="T32" s="11">
        <f t="shared" si="11"/>
        <v>0.59083874522860347</v>
      </c>
      <c r="U32" s="11">
        <f t="shared" si="11"/>
        <v>2.4448350547828039</v>
      </c>
      <c r="V32" s="11">
        <f t="shared" si="11"/>
        <v>2.558885086727376</v>
      </c>
    </row>
    <row r="33" spans="1:22" x14ac:dyDescent="0.35">
      <c r="A33" s="141"/>
      <c r="B33" s="11">
        <f t="shared" si="8"/>
        <v>1.2301871478203328E-2</v>
      </c>
      <c r="C33" s="11">
        <f t="shared" si="8"/>
        <v>7.4261248985069583E-2</v>
      </c>
      <c r="D33" s="11">
        <f t="shared" si="8"/>
        <v>0.52000353044415404</v>
      </c>
      <c r="E33" s="11">
        <f t="shared" si="8"/>
        <v>0.38148258086371234</v>
      </c>
      <c r="F33" s="11">
        <f t="shared" ref="F33:M33" si="21">IF(F10="","",(F10/$O$23))</f>
        <v>0.90793739086877956</v>
      </c>
      <c r="G33" s="11">
        <f t="shared" si="21"/>
        <v>1.2872808893316032</v>
      </c>
      <c r="H33" s="11">
        <f t="shared" si="21"/>
        <v>1.5056681842592827</v>
      </c>
      <c r="I33" s="11">
        <f t="shared" si="10"/>
        <v>4.5120629221958752E-2</v>
      </c>
      <c r="J33" s="11">
        <f t="shared" si="10"/>
        <v>7.370880138323363E-2</v>
      </c>
      <c r="K33" s="11">
        <f t="shared" si="10"/>
        <v>0.28583480321594223</v>
      </c>
      <c r="L33" s="11">
        <f t="shared" si="10"/>
        <v>1.7698894662871287</v>
      </c>
      <c r="M33" s="11">
        <f t="shared" si="21"/>
        <v>3.65015049612694</v>
      </c>
      <c r="N33" s="6"/>
      <c r="O33" s="11">
        <f t="shared" si="11"/>
        <v>0.18288295458361142</v>
      </c>
      <c r="P33" s="11">
        <f t="shared" ref="P33" si="22">IF(P10="","",(P10/$O$23))</f>
        <v>0.98130818154825838</v>
      </c>
      <c r="Q33" s="11">
        <f t="shared" si="11"/>
        <v>2.2091956671025755E-2</v>
      </c>
      <c r="R33" s="11">
        <f t="shared" si="11"/>
        <v>0.32046124088173378</v>
      </c>
      <c r="S33" s="11">
        <f t="shared" si="11"/>
        <v>1.935269215571902</v>
      </c>
      <c r="T33" s="11">
        <f t="shared" si="11"/>
        <v>2.023143738267045</v>
      </c>
      <c r="U33" s="11">
        <f t="shared" si="11"/>
        <v>2.118624327824786</v>
      </c>
      <c r="V33" s="11">
        <f t="shared" si="11"/>
        <v>3.1432715611613311</v>
      </c>
    </row>
    <row r="34" spans="1:22" x14ac:dyDescent="0.35">
      <c r="A34" s="141"/>
      <c r="B34" s="11">
        <f t="shared" si="8"/>
        <v>4.8917715250845532E-2</v>
      </c>
      <c r="C34" s="11">
        <f t="shared" si="8"/>
        <v>0.10213936738058763</v>
      </c>
      <c r="D34" s="11">
        <f t="shared" si="8"/>
        <v>0.78985237679883624</v>
      </c>
      <c r="E34" s="11">
        <f t="shared" si="8"/>
        <v>1.1577801667428609</v>
      </c>
      <c r="F34" s="11">
        <f t="shared" ref="F34:M34" si="23">IF(F11="","",(F11/$O$23))</f>
        <v>1.8641673589126431</v>
      </c>
      <c r="G34" s="11">
        <f t="shared" si="23"/>
        <v>1.528416337663111</v>
      </c>
      <c r="H34" s="11">
        <f t="shared" si="23"/>
        <v>2.3407650944969967</v>
      </c>
      <c r="I34" s="11">
        <f t="shared" si="10"/>
        <v>0.10519534098667654</v>
      </c>
      <c r="J34" s="11">
        <f t="shared" si="10"/>
        <v>0.1335872488683518</v>
      </c>
      <c r="K34" s="11">
        <f t="shared" si="10"/>
        <v>0.19892673341276695</v>
      </c>
      <c r="L34" s="11">
        <f t="shared" si="10"/>
        <v>0.98955755910509935</v>
      </c>
      <c r="M34" s="11">
        <f t="shared" si="23"/>
        <v>1.7180327430109659</v>
      </c>
      <c r="N34" s="6"/>
      <c r="O34" s="11">
        <f t="shared" si="11"/>
        <v>0.10223981239910325</v>
      </c>
      <c r="P34" s="11">
        <f t="shared" ref="P34" si="24">IF(P11="","",(P11/$O$23))</f>
        <v>1.7549320796319186</v>
      </c>
      <c r="Q34" s="11">
        <f t="shared" si="11"/>
        <v>3.4257037893750566E-3</v>
      </c>
      <c r="R34" s="11" t="str">
        <f t="shared" si="11"/>
        <v/>
      </c>
      <c r="S34" s="11">
        <f t="shared" si="11"/>
        <v>1.7711678273944873</v>
      </c>
      <c r="T34" s="11">
        <f t="shared" si="11"/>
        <v>0.77310151790512993</v>
      </c>
      <c r="U34" s="11">
        <f t="shared" si="11"/>
        <v>1.8532796475635414</v>
      </c>
      <c r="V34" s="11">
        <f t="shared" si="11"/>
        <v>1.9942704212012341</v>
      </c>
    </row>
    <row r="35" spans="1:22" x14ac:dyDescent="0.35">
      <c r="A35" s="141"/>
      <c r="B35" s="11">
        <f t="shared" si="8"/>
        <v>5.8608346658887686E-2</v>
      </c>
      <c r="C35" s="11">
        <f t="shared" si="8"/>
        <v>5.8559445794610337E-2</v>
      </c>
      <c r="D35" s="11" t="str">
        <f t="shared" si="8"/>
        <v/>
      </c>
      <c r="E35" s="11">
        <f t="shared" si="8"/>
        <v>0.66259118162949826</v>
      </c>
      <c r="F35" s="11">
        <f t="shared" ref="F35:M35" si="25">IF(F12="","",(F12/$O$23))</f>
        <v>2.2522925274481915</v>
      </c>
      <c r="G35" s="11">
        <f t="shared" si="25"/>
        <v>2.1215035314147372</v>
      </c>
      <c r="H35" s="11" t="str">
        <f t="shared" si="25"/>
        <v/>
      </c>
      <c r="I35" s="11">
        <f t="shared" si="10"/>
        <v>4.5066111366514415E-2</v>
      </c>
      <c r="J35" s="11">
        <f t="shared" si="10"/>
        <v>8.6967543827296351E-2</v>
      </c>
      <c r="K35" s="11">
        <f t="shared" si="10"/>
        <v>0.1336982670467112</v>
      </c>
      <c r="L35" s="11" t="str">
        <f t="shared" si="10"/>
        <v/>
      </c>
      <c r="M35" s="11">
        <f t="shared" si="25"/>
        <v>2.9373830628139448</v>
      </c>
      <c r="N35" s="6"/>
      <c r="O35" s="11">
        <f t="shared" si="11"/>
        <v>3.7174238776890259E-2</v>
      </c>
      <c r="P35" s="11">
        <f t="shared" ref="P35" si="26">IF(P12="","",(P12/$O$23))</f>
        <v>2.0549560633581736</v>
      </c>
      <c r="Q35" s="11">
        <f t="shared" si="11"/>
        <v>0.11457373376808294</v>
      </c>
      <c r="R35" s="11" t="str">
        <f t="shared" si="11"/>
        <v/>
      </c>
      <c r="S35" s="11">
        <f t="shared" si="11"/>
        <v>0.86703908694817344</v>
      </c>
      <c r="T35" s="11">
        <f t="shared" si="11"/>
        <v>2.3981978379457574</v>
      </c>
      <c r="U35" s="11">
        <f t="shared" si="11"/>
        <v>2.0437234026691695</v>
      </c>
      <c r="V35" s="11">
        <f t="shared" si="11"/>
        <v>3.5552097985437205</v>
      </c>
    </row>
    <row r="36" spans="1:22" s="1" customFormat="1" x14ac:dyDescent="0.35">
      <c r="A36" s="141"/>
      <c r="B36" s="11" t="str">
        <f t="shared" ref="B36:M36" si="27">IF(B13="","",(B13/$O$23))</f>
        <v/>
      </c>
      <c r="C36" s="11" t="str">
        <f t="shared" si="27"/>
        <v/>
      </c>
      <c r="D36" s="11" t="str">
        <f t="shared" si="27"/>
        <v/>
      </c>
      <c r="E36" s="11" t="str">
        <f t="shared" si="27"/>
        <v/>
      </c>
      <c r="F36" s="11" t="str">
        <f t="shared" si="27"/>
        <v/>
      </c>
      <c r="G36" s="11" t="str">
        <f t="shared" si="27"/>
        <v/>
      </c>
      <c r="H36" s="11" t="str">
        <f t="shared" si="27"/>
        <v/>
      </c>
      <c r="I36" s="11" t="str">
        <f t="shared" si="27"/>
        <v/>
      </c>
      <c r="J36" s="11" t="str">
        <f t="shared" si="27"/>
        <v/>
      </c>
      <c r="K36" s="11" t="str">
        <f t="shared" si="27"/>
        <v/>
      </c>
      <c r="L36" s="11" t="str">
        <f t="shared" si="27"/>
        <v/>
      </c>
      <c r="M36" s="11" t="str">
        <f t="shared" si="27"/>
        <v/>
      </c>
      <c r="N36" s="6"/>
      <c r="O36" s="11">
        <f t="shared" si="11"/>
        <v>2.1776040567231854</v>
      </c>
      <c r="P36" s="11">
        <f t="shared" ref="P36" si="28">IF(P13="","",(P13/$O$23))</f>
        <v>2.4376948677758215</v>
      </c>
      <c r="Q36" s="11" t="str">
        <f t="shared" si="11"/>
        <v/>
      </c>
      <c r="R36" s="11" t="str">
        <f t="shared" si="11"/>
        <v/>
      </c>
      <c r="S36" s="11" t="str">
        <f t="shared" si="11"/>
        <v/>
      </c>
      <c r="T36" s="11" t="str">
        <f t="shared" si="11"/>
        <v/>
      </c>
      <c r="U36" s="11" t="str">
        <f t="shared" si="11"/>
        <v/>
      </c>
      <c r="V36" s="11" t="str">
        <f t="shared" si="11"/>
        <v/>
      </c>
    </row>
    <row r="37" spans="1:22" s="1" customFormat="1" x14ac:dyDescent="0.35">
      <c r="A37" s="141"/>
      <c r="B37" s="11" t="str">
        <f t="shared" ref="B37:M37" si="29">IF(B14="","",(B14/$O$23))</f>
        <v/>
      </c>
      <c r="C37" s="11" t="str">
        <f t="shared" si="29"/>
        <v/>
      </c>
      <c r="D37" s="11" t="str">
        <f t="shared" si="29"/>
        <v/>
      </c>
      <c r="E37" s="11" t="str">
        <f t="shared" si="29"/>
        <v/>
      </c>
      <c r="F37" s="11" t="str">
        <f t="shared" si="29"/>
        <v/>
      </c>
      <c r="G37" s="11" t="str">
        <f t="shared" si="29"/>
        <v/>
      </c>
      <c r="H37" s="11" t="str">
        <f t="shared" si="29"/>
        <v/>
      </c>
      <c r="I37" s="11" t="str">
        <f t="shared" si="29"/>
        <v/>
      </c>
      <c r="J37" s="11" t="str">
        <f t="shared" si="29"/>
        <v/>
      </c>
      <c r="K37" s="11" t="str">
        <f t="shared" si="29"/>
        <v/>
      </c>
      <c r="L37" s="11" t="str">
        <f t="shared" si="29"/>
        <v/>
      </c>
      <c r="M37" s="11" t="str">
        <f t="shared" si="29"/>
        <v/>
      </c>
      <c r="N37" s="6"/>
      <c r="O37" s="11">
        <f t="shared" si="11"/>
        <v>1.6496197730644706</v>
      </c>
      <c r="P37" s="11" t="str">
        <f t="shared" ref="P37" si="30">IF(P14="","",(P14/$O$23))</f>
        <v/>
      </c>
      <c r="Q37" s="11" t="str">
        <f t="shared" si="11"/>
        <v/>
      </c>
      <c r="R37" s="11" t="str">
        <f t="shared" si="11"/>
        <v/>
      </c>
      <c r="S37" s="11" t="str">
        <f t="shared" si="11"/>
        <v/>
      </c>
      <c r="T37" s="11" t="str">
        <f t="shared" si="11"/>
        <v/>
      </c>
      <c r="U37" s="11" t="str">
        <f t="shared" si="11"/>
        <v/>
      </c>
      <c r="V37" s="11" t="str">
        <f t="shared" si="11"/>
        <v/>
      </c>
    </row>
    <row r="38" spans="1:22" s="1" customFormat="1" x14ac:dyDescent="0.35">
      <c r="A38" s="141"/>
      <c r="B38" s="11" t="str">
        <f t="shared" ref="B38:M38" si="31">IF(B15="","",(B15/$O$23))</f>
        <v/>
      </c>
      <c r="C38" s="11" t="str">
        <f t="shared" si="31"/>
        <v/>
      </c>
      <c r="D38" s="11" t="str">
        <f t="shared" si="31"/>
        <v/>
      </c>
      <c r="E38" s="11" t="str">
        <f t="shared" si="31"/>
        <v/>
      </c>
      <c r="F38" s="11" t="str">
        <f t="shared" si="31"/>
        <v/>
      </c>
      <c r="G38" s="11" t="str">
        <f t="shared" si="31"/>
        <v/>
      </c>
      <c r="H38" s="11" t="str">
        <f t="shared" si="31"/>
        <v/>
      </c>
      <c r="I38" s="11" t="str">
        <f t="shared" si="31"/>
        <v/>
      </c>
      <c r="J38" s="11" t="str">
        <f t="shared" si="31"/>
        <v/>
      </c>
      <c r="K38" s="11" t="str">
        <f t="shared" si="31"/>
        <v/>
      </c>
      <c r="L38" s="11" t="str">
        <f t="shared" si="31"/>
        <v/>
      </c>
      <c r="M38" s="11" t="str">
        <f t="shared" si="31"/>
        <v/>
      </c>
      <c r="N38" s="6"/>
      <c r="O38" s="11">
        <f t="shared" ref="O38:R38" si="32">IF(O15="","",(O15/$O$23))</f>
        <v>2.7308135868903722</v>
      </c>
      <c r="P38" s="11" t="str">
        <f t="shared" ref="P38" si="33">IF(P15="","",(P15/$O$23))</f>
        <v/>
      </c>
      <c r="Q38" s="11" t="str">
        <f t="shared" si="32"/>
        <v/>
      </c>
      <c r="R38" s="11" t="str">
        <f t="shared" si="32"/>
        <v/>
      </c>
      <c r="S38" s="11" t="str">
        <f t="shared" ref="S38:V43" si="34">IF(S15="","",(S15/$O$23))</f>
        <v/>
      </c>
      <c r="T38" s="11" t="str">
        <f t="shared" si="34"/>
        <v/>
      </c>
      <c r="U38" s="11" t="str">
        <f t="shared" si="34"/>
        <v/>
      </c>
      <c r="V38" s="11" t="str">
        <f t="shared" si="34"/>
        <v/>
      </c>
    </row>
    <row r="39" spans="1:22" s="1" customFormat="1" x14ac:dyDescent="0.35">
      <c r="A39" s="141"/>
      <c r="B39" s="11" t="str">
        <f t="shared" ref="B39:M39" si="35">IF(B16="","",(B16/$O$23))</f>
        <v/>
      </c>
      <c r="C39" s="11" t="str">
        <f t="shared" si="35"/>
        <v/>
      </c>
      <c r="D39" s="11" t="str">
        <f t="shared" si="35"/>
        <v/>
      </c>
      <c r="E39" s="11" t="str">
        <f t="shared" si="35"/>
        <v/>
      </c>
      <c r="F39" s="11" t="str">
        <f t="shared" si="35"/>
        <v/>
      </c>
      <c r="G39" s="11" t="str">
        <f t="shared" si="35"/>
        <v/>
      </c>
      <c r="H39" s="11" t="str">
        <f t="shared" si="35"/>
        <v/>
      </c>
      <c r="I39" s="11" t="str">
        <f t="shared" si="35"/>
        <v/>
      </c>
      <c r="J39" s="11" t="str">
        <f t="shared" si="35"/>
        <v/>
      </c>
      <c r="K39" s="11" t="str">
        <f t="shared" si="35"/>
        <v/>
      </c>
      <c r="L39" s="11" t="str">
        <f t="shared" si="35"/>
        <v/>
      </c>
      <c r="M39" s="11" t="str">
        <f t="shared" si="35"/>
        <v/>
      </c>
      <c r="N39" s="6"/>
      <c r="O39" s="11">
        <f t="shared" ref="O39:R39" si="36">IF(O16="","",(O16/$O$23))</f>
        <v>2.0122497491042859</v>
      </c>
      <c r="P39" s="11" t="str">
        <f t="shared" ref="P39" si="37">IF(P16="","",(P16/$O$23))</f>
        <v/>
      </c>
      <c r="Q39" s="11" t="str">
        <f t="shared" si="36"/>
        <v/>
      </c>
      <c r="R39" s="11" t="str">
        <f t="shared" si="36"/>
        <v/>
      </c>
      <c r="S39" s="11" t="str">
        <f t="shared" si="34"/>
        <v/>
      </c>
      <c r="T39" s="11" t="str">
        <f t="shared" si="34"/>
        <v/>
      </c>
      <c r="U39" s="11" t="str">
        <f t="shared" si="34"/>
        <v/>
      </c>
      <c r="V39" s="11" t="str">
        <f t="shared" si="34"/>
        <v/>
      </c>
    </row>
    <row r="40" spans="1:22" s="1" customFormat="1" x14ac:dyDescent="0.35">
      <c r="A40" s="141"/>
      <c r="B40" s="11" t="str">
        <f t="shared" ref="B40:M40" si="38">IF(B17="","",(B17/$O$23))</f>
        <v/>
      </c>
      <c r="C40" s="11" t="str">
        <f t="shared" si="38"/>
        <v/>
      </c>
      <c r="D40" s="11" t="str">
        <f t="shared" si="38"/>
        <v/>
      </c>
      <c r="E40" s="11" t="str">
        <f t="shared" si="38"/>
        <v/>
      </c>
      <c r="F40" s="11" t="str">
        <f t="shared" si="38"/>
        <v/>
      </c>
      <c r="G40" s="11" t="str">
        <f t="shared" si="38"/>
        <v/>
      </c>
      <c r="H40" s="11" t="str">
        <f t="shared" si="38"/>
        <v/>
      </c>
      <c r="I40" s="11" t="str">
        <f t="shared" si="38"/>
        <v/>
      </c>
      <c r="J40" s="11" t="str">
        <f t="shared" si="38"/>
        <v/>
      </c>
      <c r="K40" s="11" t="str">
        <f t="shared" si="38"/>
        <v/>
      </c>
      <c r="L40" s="11" t="str">
        <f t="shared" si="38"/>
        <v/>
      </c>
      <c r="M40" s="11" t="str">
        <f t="shared" si="38"/>
        <v/>
      </c>
      <c r="N40" s="6"/>
      <c r="O40" s="11">
        <f t="shared" ref="O40:R40" si="39">IF(O17="","",(O17/$O$23))</f>
        <v>1.392789790589896</v>
      </c>
      <c r="P40" s="11" t="str">
        <f t="shared" ref="P40" si="40">IF(P17="","",(P17/$O$23))</f>
        <v/>
      </c>
      <c r="Q40" s="11" t="str">
        <f t="shared" si="39"/>
        <v/>
      </c>
      <c r="R40" s="11" t="str">
        <f t="shared" si="39"/>
        <v/>
      </c>
      <c r="S40" s="11" t="str">
        <f t="shared" si="34"/>
        <v/>
      </c>
      <c r="T40" s="11" t="str">
        <f t="shared" si="34"/>
        <v/>
      </c>
      <c r="U40" s="11" t="str">
        <f t="shared" si="34"/>
        <v/>
      </c>
      <c r="V40" s="11" t="str">
        <f t="shared" si="34"/>
        <v/>
      </c>
    </row>
    <row r="41" spans="1:22" s="1" customFormat="1" x14ac:dyDescent="0.35">
      <c r="A41" s="141"/>
      <c r="B41" s="11" t="str">
        <f t="shared" ref="B41:M41" si="41">IF(B18="","",(B18/$O$23))</f>
        <v/>
      </c>
      <c r="C41" s="11" t="str">
        <f t="shared" si="41"/>
        <v/>
      </c>
      <c r="D41" s="11" t="str">
        <f t="shared" si="41"/>
        <v/>
      </c>
      <c r="E41" s="11" t="str">
        <f t="shared" si="41"/>
        <v/>
      </c>
      <c r="F41" s="11" t="str">
        <f t="shared" si="41"/>
        <v/>
      </c>
      <c r="G41" s="11" t="str">
        <f t="shared" si="41"/>
        <v/>
      </c>
      <c r="H41" s="11" t="str">
        <f t="shared" si="41"/>
        <v/>
      </c>
      <c r="I41" s="11" t="str">
        <f t="shared" si="41"/>
        <v/>
      </c>
      <c r="J41" s="11" t="str">
        <f t="shared" si="41"/>
        <v/>
      </c>
      <c r="K41" s="11" t="str">
        <f t="shared" si="41"/>
        <v/>
      </c>
      <c r="L41" s="11" t="str">
        <f t="shared" si="41"/>
        <v/>
      </c>
      <c r="M41" s="11" t="str">
        <f t="shared" si="41"/>
        <v/>
      </c>
      <c r="N41" s="6"/>
      <c r="O41" s="11">
        <f t="shared" ref="O41:R41" si="42">IF(O18="","",(O18/$O$23))</f>
        <v>0.98130818154825838</v>
      </c>
      <c r="P41" s="11" t="str">
        <f t="shared" ref="P41" si="43">IF(P18="","",(P18/$O$23))</f>
        <v/>
      </c>
      <c r="Q41" s="11" t="str">
        <f t="shared" si="42"/>
        <v/>
      </c>
      <c r="R41" s="11" t="str">
        <f t="shared" si="42"/>
        <v/>
      </c>
      <c r="S41" s="11" t="str">
        <f t="shared" si="34"/>
        <v/>
      </c>
      <c r="T41" s="11" t="str">
        <f t="shared" si="34"/>
        <v/>
      </c>
      <c r="U41" s="11" t="str">
        <f t="shared" si="34"/>
        <v/>
      </c>
      <c r="V41" s="11" t="str">
        <f t="shared" si="34"/>
        <v/>
      </c>
    </row>
    <row r="42" spans="1:22" s="1" customFormat="1" x14ac:dyDescent="0.35">
      <c r="A42" s="141"/>
      <c r="B42" s="11" t="str">
        <f t="shared" ref="B42:M42" si="44">IF(B19="","",(B19/$O$23))</f>
        <v/>
      </c>
      <c r="C42" s="11" t="str">
        <f t="shared" si="44"/>
        <v/>
      </c>
      <c r="D42" s="11" t="str">
        <f t="shared" si="44"/>
        <v/>
      </c>
      <c r="E42" s="11" t="str">
        <f t="shared" si="44"/>
        <v/>
      </c>
      <c r="F42" s="11" t="str">
        <f t="shared" si="44"/>
        <v/>
      </c>
      <c r="G42" s="11" t="str">
        <f t="shared" si="44"/>
        <v/>
      </c>
      <c r="H42" s="11" t="str">
        <f t="shared" si="44"/>
        <v/>
      </c>
      <c r="I42" s="11" t="str">
        <f t="shared" si="44"/>
        <v/>
      </c>
      <c r="J42" s="11" t="str">
        <f t="shared" si="44"/>
        <v/>
      </c>
      <c r="K42" s="11" t="str">
        <f t="shared" si="44"/>
        <v/>
      </c>
      <c r="L42" s="11" t="str">
        <f t="shared" si="44"/>
        <v/>
      </c>
      <c r="M42" s="11" t="str">
        <f t="shared" si="44"/>
        <v/>
      </c>
      <c r="N42" s="6"/>
      <c r="O42" s="11">
        <f t="shared" ref="O42:R42" si="45">IF(O19="","",(O19/$O$23))</f>
        <v>1.7549320796319186</v>
      </c>
      <c r="P42" s="11" t="str">
        <f t="shared" ref="P42" si="46">IF(P19="","",(P19/$O$23))</f>
        <v/>
      </c>
      <c r="Q42" s="11" t="str">
        <f t="shared" si="45"/>
        <v/>
      </c>
      <c r="R42" s="11" t="str">
        <f t="shared" si="45"/>
        <v/>
      </c>
      <c r="S42" s="11" t="str">
        <f t="shared" si="34"/>
        <v/>
      </c>
      <c r="T42" s="11" t="str">
        <f t="shared" si="34"/>
        <v/>
      </c>
      <c r="U42" s="11" t="str">
        <f t="shared" si="34"/>
        <v/>
      </c>
      <c r="V42" s="11" t="str">
        <f t="shared" si="34"/>
        <v/>
      </c>
    </row>
    <row r="43" spans="1:22" s="1" customFormat="1" x14ac:dyDescent="0.35">
      <c r="A43" s="141"/>
      <c r="B43" s="11" t="str">
        <f t="shared" ref="B43:M43" si="47">IF(B20="","",(B20/$O$23))</f>
        <v/>
      </c>
      <c r="C43" s="11" t="str">
        <f t="shared" si="47"/>
        <v/>
      </c>
      <c r="D43" s="11" t="str">
        <f t="shared" si="47"/>
        <v/>
      </c>
      <c r="E43" s="11" t="str">
        <f t="shared" si="47"/>
        <v/>
      </c>
      <c r="F43" s="11" t="str">
        <f t="shared" si="47"/>
        <v/>
      </c>
      <c r="G43" s="11" t="str">
        <f t="shared" si="47"/>
        <v/>
      </c>
      <c r="H43" s="11" t="str">
        <f t="shared" si="47"/>
        <v/>
      </c>
      <c r="I43" s="11" t="str">
        <f t="shared" si="47"/>
        <v/>
      </c>
      <c r="J43" s="11" t="str">
        <f t="shared" si="47"/>
        <v/>
      </c>
      <c r="K43" s="11" t="str">
        <f t="shared" si="47"/>
        <v/>
      </c>
      <c r="L43" s="11" t="str">
        <f t="shared" si="47"/>
        <v/>
      </c>
      <c r="M43" s="11" t="str">
        <f t="shared" si="47"/>
        <v/>
      </c>
      <c r="N43" s="6"/>
      <c r="O43" s="11">
        <f t="shared" ref="O43:R43" si="48">IF(O20="","",(O20/$O$23))</f>
        <v>2.0549560633581736</v>
      </c>
      <c r="P43" s="11" t="str">
        <f t="shared" ref="P43" si="49">IF(P20="","",(P20/$O$23))</f>
        <v/>
      </c>
      <c r="Q43" s="11" t="str">
        <f t="shared" si="48"/>
        <v/>
      </c>
      <c r="R43" s="11" t="str">
        <f t="shared" si="48"/>
        <v/>
      </c>
      <c r="S43" s="11" t="str">
        <f t="shared" si="34"/>
        <v/>
      </c>
      <c r="T43" s="11" t="str">
        <f t="shared" si="34"/>
        <v/>
      </c>
      <c r="U43" s="11" t="str">
        <f t="shared" si="34"/>
        <v/>
      </c>
      <c r="V43" s="11" t="str">
        <f t="shared" si="34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N44" s="7"/>
      <c r="O44" s="3"/>
      <c r="P44" s="3"/>
      <c r="Q44" s="3"/>
      <c r="R44" s="3"/>
      <c r="S44" s="3"/>
      <c r="T44" s="3"/>
      <c r="U44" s="3"/>
      <c r="V44" s="3"/>
    </row>
    <row r="45" spans="1:22" s="52" customFormat="1" x14ac:dyDescent="0.35">
      <c r="A45" s="53" t="str">
        <f t="shared" ref="A45:M45" si="50">A4</f>
        <v>Group names</v>
      </c>
      <c r="B45" s="53" t="str">
        <f t="shared" si="50"/>
        <v>Solvent control</v>
      </c>
      <c r="C45" s="53" t="str">
        <f t="shared" si="50"/>
        <v>EE2-33.8ng/L</v>
      </c>
      <c r="D45" s="53" t="str">
        <f t="shared" si="50"/>
        <v>EE2-50.6ng/L</v>
      </c>
      <c r="E45" s="53" t="str">
        <f t="shared" si="50"/>
        <v>EE2-76ng/L</v>
      </c>
      <c r="F45" s="53" t="str">
        <f t="shared" si="50"/>
        <v>EE2-114ng/L</v>
      </c>
      <c r="G45" s="53" t="str">
        <f t="shared" si="50"/>
        <v>EE2-170.9ng/L</v>
      </c>
      <c r="H45" s="53" t="str">
        <f t="shared" si="50"/>
        <v>EE2-488ng/L</v>
      </c>
      <c r="I45" s="53" t="str">
        <f t="shared" si="50"/>
        <v>Estradiol-34ng/L</v>
      </c>
      <c r="J45" s="53" t="str">
        <f t="shared" si="50"/>
        <v>Estradiol-68ng/L</v>
      </c>
      <c r="K45" s="53" t="str">
        <f t="shared" si="50"/>
        <v>Estradiol-135ng/L</v>
      </c>
      <c r="L45" s="53" t="str">
        <f t="shared" si="50"/>
        <v>Estradiol-270ng/L</v>
      </c>
      <c r="M45" s="53" t="str">
        <f t="shared" si="50"/>
        <v>Estradiol-540ng/L</v>
      </c>
      <c r="N45" s="53" t="str">
        <f>N22</f>
        <v>Nom des groupes</v>
      </c>
      <c r="O45" s="53" t="str">
        <f t="shared" ref="O45:V45" si="51">O4</f>
        <v>Testo -30µg/L</v>
      </c>
      <c r="P45" s="53" t="str">
        <f t="shared" si="51"/>
        <v>Testo 30µg/L + EE2 -64ng/L</v>
      </c>
      <c r="Q45" s="53" t="str">
        <f t="shared" si="51"/>
        <v>Testo 30µg/L + FAD-10mg/L</v>
      </c>
      <c r="R45" s="53" t="str">
        <f t="shared" si="51"/>
        <v>Estradiol-34ng/L + Testostérone</v>
      </c>
      <c r="S45" s="53" t="str">
        <f t="shared" si="51"/>
        <v>Estradiol-68ng/L + Testostérone</v>
      </c>
      <c r="T45" s="53" t="str">
        <f t="shared" si="51"/>
        <v>Estradiol-135ng/L + Testostérone</v>
      </c>
      <c r="U45" s="53" t="str">
        <f t="shared" si="51"/>
        <v>Estradiol-270ng/L + Testostérone</v>
      </c>
      <c r="V45" s="53" t="str">
        <f t="shared" si="51"/>
        <v>Estradiol-540ng/L + Testostérone</v>
      </c>
    </row>
    <row r="46" spans="1:22" x14ac:dyDescent="0.35">
      <c r="A46" s="8" t="s">
        <v>0</v>
      </c>
      <c r="B46" s="10">
        <f t="shared" ref="B46:H46" si="52">AVERAGE(B28:B43)</f>
        <v>5.8692518923581287E-2</v>
      </c>
      <c r="C46" s="10">
        <f t="shared" si="52"/>
        <v>0.16900935811379122</v>
      </c>
      <c r="D46" s="10">
        <f t="shared" si="52"/>
        <v>0.42533145720321502</v>
      </c>
      <c r="E46" s="10">
        <f t="shared" si="52"/>
        <v>0.77693098423603824</v>
      </c>
      <c r="F46" s="10">
        <f t="shared" si="52"/>
        <v>1.7055911488774838</v>
      </c>
      <c r="G46" s="10">
        <f t="shared" si="52"/>
        <v>1.4065802473301634</v>
      </c>
      <c r="H46" s="10">
        <f t="shared" si="52"/>
        <v>2.739214434402296</v>
      </c>
      <c r="I46" s="10">
        <f>AVERAGE(I28:I43)</f>
        <v>6.7416614836844371E-2</v>
      </c>
      <c r="J46" s="9">
        <f>AVERAGE(J28:J43)</f>
        <v>0.11803652621972241</v>
      </c>
      <c r="K46" s="9">
        <f>AVERAGE(K28:K43)</f>
        <v>0.13192651934758154</v>
      </c>
      <c r="L46" s="9">
        <f t="shared" ref="L46:M46" si="53">AVERAGE(L28:L43)</f>
        <v>1.1863521015515186</v>
      </c>
      <c r="M46" s="9">
        <f t="shared" si="53"/>
        <v>2.6352433319809876</v>
      </c>
      <c r="N46" s="8" t="s">
        <v>0</v>
      </c>
      <c r="O46" s="10">
        <f>AVERAGE(O28:O43)</f>
        <v>1</v>
      </c>
      <c r="P46" s="10">
        <f>AVERAGE(P28:P43)</f>
        <v>1.9102186831873758</v>
      </c>
      <c r="Q46" s="10">
        <f>AVERAGE(Q28:Q43)</f>
        <v>5.0146019054568697E-2</v>
      </c>
      <c r="R46" s="10">
        <f>AVERAGE(R28:R43)</f>
        <v>0.47361880286691777</v>
      </c>
      <c r="S46" s="10">
        <f t="shared" ref="S46:V46" si="54">AVERAGE(S28:S43)</f>
        <v>1.3470983346405916</v>
      </c>
      <c r="T46" s="10">
        <f t="shared" si="54"/>
        <v>1.5400948470259952</v>
      </c>
      <c r="U46" s="10">
        <f t="shared" si="54"/>
        <v>2.1721659832454239</v>
      </c>
      <c r="V46" s="10">
        <f t="shared" si="54"/>
        <v>2.7841538979585172</v>
      </c>
    </row>
    <row r="47" spans="1:22" x14ac:dyDescent="0.35">
      <c r="A47" s="8" t="s">
        <v>1</v>
      </c>
      <c r="B47" s="8">
        <f t="shared" ref="B47:K47" si="55">STDEV(B28:B43)</f>
        <v>4.3218048841065185E-2</v>
      </c>
      <c r="C47" s="8">
        <f t="shared" si="55"/>
        <v>0.16594530602280363</v>
      </c>
      <c r="D47" s="8">
        <f t="shared" si="55"/>
        <v>0.29630438552367483</v>
      </c>
      <c r="E47" s="8">
        <f t="shared" si="55"/>
        <v>0.52372573451445426</v>
      </c>
      <c r="F47" s="8">
        <f t="shared" si="55"/>
        <v>0.57279979276140358</v>
      </c>
      <c r="G47" s="8">
        <f t="shared" si="55"/>
        <v>0.62381671279336337</v>
      </c>
      <c r="H47" s="8">
        <f t="shared" si="55"/>
        <v>0.71538058218883394</v>
      </c>
      <c r="I47" s="8">
        <f>STDEV(I28:I43)</f>
        <v>3.9364783145416173E-2</v>
      </c>
      <c r="J47" s="8">
        <f t="shared" si="55"/>
        <v>0.10420228024116068</v>
      </c>
      <c r="K47" s="8">
        <f t="shared" si="55"/>
        <v>7.7292693493049097E-2</v>
      </c>
      <c r="L47" s="8">
        <f t="shared" ref="L47:M47" si="56">STDEV(L28:L43)</f>
        <v>0.66179343017501802</v>
      </c>
      <c r="M47" s="8">
        <f t="shared" si="56"/>
        <v>0.96506737650339391</v>
      </c>
      <c r="N47" s="8" t="s">
        <v>1</v>
      </c>
      <c r="O47" s="8">
        <f>STDEV(O28:O43)</f>
        <v>0.9495297151177774</v>
      </c>
      <c r="P47" s="8">
        <f>STDEV(P28:P43)</f>
        <v>0.53351363701574894</v>
      </c>
      <c r="Q47" s="8">
        <f>STDEV(Q28:Q43)</f>
        <v>4.4232435974479296E-2</v>
      </c>
      <c r="R47" s="8">
        <f>STDEV(R28:R43)</f>
        <v>0.22864083455149026</v>
      </c>
      <c r="S47" s="8">
        <f t="shared" ref="S47:V47" si="57">STDEV(S28:S43)</f>
        <v>0.70165122611275199</v>
      </c>
      <c r="T47" s="8">
        <f t="shared" si="57"/>
        <v>0.75666237879762621</v>
      </c>
      <c r="U47" s="8">
        <f t="shared" si="57"/>
        <v>0.53565795740967159</v>
      </c>
      <c r="V47" s="8">
        <f t="shared" si="57"/>
        <v>0.61557232216295366</v>
      </c>
    </row>
    <row r="48" spans="1:22" x14ac:dyDescent="0.35">
      <c r="A48" s="8" t="s">
        <v>2</v>
      </c>
      <c r="B48" s="8">
        <f t="shared" ref="B48:K48" si="58" xml:space="preserve"> B47/SQRT(COUNT(B28:B43))</f>
        <v>1.52798877025843E-2</v>
      </c>
      <c r="C48" s="8">
        <f t="shared" si="58"/>
        <v>5.8670525597400637E-2</v>
      </c>
      <c r="D48" s="8">
        <f t="shared" si="58"/>
        <v>0.11199253092477865</v>
      </c>
      <c r="E48" s="8">
        <f t="shared" si="58"/>
        <v>0.18516500917853804</v>
      </c>
      <c r="F48" s="8">
        <f t="shared" si="58"/>
        <v>0.20251530886191876</v>
      </c>
      <c r="G48" s="8">
        <f t="shared" si="58"/>
        <v>0.22055251391684405</v>
      </c>
      <c r="H48" s="8">
        <f t="shared" si="58"/>
        <v>0.27038844474803675</v>
      </c>
      <c r="I48" s="8">
        <f xml:space="preserve"> I47/SQRT(COUNT(I28:I43))</f>
        <v>1.3917552551030842E-2</v>
      </c>
      <c r="J48" s="8">
        <f t="shared" si="58"/>
        <v>3.6841069486812851E-2</v>
      </c>
      <c r="K48" s="8">
        <f t="shared" si="58"/>
        <v>2.7327093852554173E-2</v>
      </c>
      <c r="L48" s="8">
        <f t="shared" ref="L48:M48" si="59" xml:space="preserve"> L47/SQRT(COUNT(L28:L43))</f>
        <v>0.25013440507706947</v>
      </c>
      <c r="M48" s="8">
        <f t="shared" si="59"/>
        <v>0.34120284311373039</v>
      </c>
      <c r="N48" s="8" t="s">
        <v>2</v>
      </c>
      <c r="O48" s="8">
        <f xml:space="preserve"> O47/SQRT(COUNT(O28:O43))</f>
        <v>0.23738242877944435</v>
      </c>
      <c r="P48" s="8">
        <f xml:space="preserve"> P47/SQRT(COUNT(P28:P43))</f>
        <v>0.17783787900524964</v>
      </c>
      <c r="Q48" s="8">
        <f xml:space="preserve"> Q47/SQRT(COUNT(Q28:Q43))</f>
        <v>1.5638527712977052E-2</v>
      </c>
      <c r="R48" s="8">
        <f xml:space="preserve"> R47/SQRT(COUNT(R28:R43))</f>
        <v>9.3342229835876853E-2</v>
      </c>
      <c r="S48" s="8">
        <f t="shared" ref="S48:V48" si="60" xml:space="preserve"> S47/SQRT(COUNT(S28:S43))</f>
        <v>0.24807117000609125</v>
      </c>
      <c r="T48" s="8">
        <f t="shared" si="60"/>
        <v>0.26752054955827281</v>
      </c>
      <c r="U48" s="8">
        <f t="shared" si="60"/>
        <v>0.1893836870404568</v>
      </c>
      <c r="V48" s="8">
        <f t="shared" si="60"/>
        <v>0.2176376816560873</v>
      </c>
    </row>
    <row r="49" spans="1:22" s="1" customFormat="1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ht="15" thickBot="1" x14ac:dyDescent="0.4">
      <c r="A51"/>
      <c r="B51"/>
      <c r="C51"/>
      <c r="D51"/>
      <c r="E51"/>
      <c r="F51"/>
      <c r="G51"/>
      <c r="H51"/>
      <c r="I51"/>
      <c r="J51"/>
      <c r="K51"/>
      <c r="L51"/>
      <c r="M51"/>
      <c r="S51"/>
      <c r="T51"/>
      <c r="U51"/>
      <c r="V51"/>
    </row>
    <row r="52" spans="1:22" x14ac:dyDescent="0.35">
      <c r="A52" s="29" t="str">
        <f t="shared" ref="A52:H52" si="61">A27</f>
        <v>Group names</v>
      </c>
      <c r="B52" s="30" t="str">
        <f t="shared" si="61"/>
        <v>Solvent control</v>
      </c>
      <c r="C52" s="30" t="str">
        <f t="shared" si="61"/>
        <v>EE2-33.8ng/L</v>
      </c>
      <c r="D52" s="30" t="str">
        <f t="shared" si="61"/>
        <v>EE2-50.6ng/L</v>
      </c>
      <c r="E52" s="30" t="str">
        <f t="shared" si="61"/>
        <v>EE2-76ng/L</v>
      </c>
      <c r="F52" s="30" t="str">
        <f t="shared" si="61"/>
        <v>EE2-114ng/L</v>
      </c>
      <c r="G52" s="30" t="str">
        <f t="shared" si="61"/>
        <v>EE2-170.9ng/L</v>
      </c>
      <c r="H52" s="30" t="str">
        <f t="shared" si="61"/>
        <v>EE2-488ng/L</v>
      </c>
      <c r="I52" s="30" t="str">
        <f>I4</f>
        <v>Estradiol-34ng/L</v>
      </c>
      <c r="J52" s="30" t="str">
        <f>J4</f>
        <v>Estradiol-68ng/L</v>
      </c>
      <c r="K52" s="30" t="str">
        <f>K27</f>
        <v>Estradiol-135ng/L</v>
      </c>
      <c r="L52" s="30" t="str">
        <f t="shared" ref="L52:M52" si="62">L27</f>
        <v>Estradiol-270ng/L</v>
      </c>
      <c r="M52" s="30" t="str">
        <f t="shared" si="62"/>
        <v>Estradiol-540ng/L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Estradiol-34ng/L + Testostérone</v>
      </c>
      <c r="S52" s="30" t="str">
        <f t="shared" ref="S52:V52" si="63">S27</f>
        <v>Estradiol-68ng/L + Testostérone</v>
      </c>
      <c r="T52" s="30" t="str">
        <f t="shared" si="63"/>
        <v>Estradiol-135ng/L + Testostérone</v>
      </c>
      <c r="U52" s="30" t="str">
        <f t="shared" si="63"/>
        <v>Estradiol-270ng/L + Testostérone</v>
      </c>
      <c r="V52" s="30" t="str">
        <f t="shared" si="63"/>
        <v>Estradiol-540ng/L + Testostérone</v>
      </c>
    </row>
    <row r="53" spans="1:22" s="3" customFormat="1" x14ac:dyDescent="0.35">
      <c r="A53" s="45" t="s">
        <v>10</v>
      </c>
      <c r="B53" s="78">
        <f t="shared" ref="B53:M53" si="64">B46</f>
        <v>5.8692518923581287E-2</v>
      </c>
      <c r="C53" s="78">
        <f t="shared" si="64"/>
        <v>0.16900935811379122</v>
      </c>
      <c r="D53" s="78">
        <f t="shared" si="64"/>
        <v>0.42533145720321502</v>
      </c>
      <c r="E53" s="78">
        <f t="shared" si="64"/>
        <v>0.77693098423603824</v>
      </c>
      <c r="F53" s="78">
        <f t="shared" si="64"/>
        <v>1.7055911488774838</v>
      </c>
      <c r="G53" s="78">
        <f t="shared" si="64"/>
        <v>1.4065802473301634</v>
      </c>
      <c r="H53" s="78">
        <f t="shared" si="64"/>
        <v>2.739214434402296</v>
      </c>
      <c r="I53" s="78">
        <f t="shared" si="64"/>
        <v>6.7416614836844371E-2</v>
      </c>
      <c r="J53" s="78">
        <f t="shared" si="64"/>
        <v>0.11803652621972241</v>
      </c>
      <c r="K53" s="78">
        <f t="shared" si="64"/>
        <v>0.13192651934758154</v>
      </c>
      <c r="L53" s="78">
        <f t="shared" si="64"/>
        <v>1.1863521015515186</v>
      </c>
      <c r="M53" s="78">
        <f t="shared" si="64"/>
        <v>2.6352433319809876</v>
      </c>
      <c r="N53" s="78"/>
      <c r="O53" s="78">
        <f t="shared" ref="O53:V53" si="65">O46</f>
        <v>1</v>
      </c>
      <c r="P53" s="78">
        <f t="shared" si="65"/>
        <v>1.9102186831873758</v>
      </c>
      <c r="Q53" s="78">
        <f t="shared" si="65"/>
        <v>5.0146019054568697E-2</v>
      </c>
      <c r="R53" s="78">
        <f t="shared" si="65"/>
        <v>0.47361880286691777</v>
      </c>
      <c r="S53" s="78">
        <f t="shared" si="65"/>
        <v>1.3470983346405916</v>
      </c>
      <c r="T53" s="78">
        <f t="shared" si="65"/>
        <v>1.5400948470259952</v>
      </c>
      <c r="U53" s="78">
        <f t="shared" si="65"/>
        <v>2.1721659832454239</v>
      </c>
      <c r="V53" s="78">
        <f t="shared" si="65"/>
        <v>2.7841538979585172</v>
      </c>
    </row>
    <row r="54" spans="1:22" s="3" customFormat="1" x14ac:dyDescent="0.35">
      <c r="A54" s="45" t="s">
        <v>2</v>
      </c>
      <c r="B54" s="78">
        <f t="shared" ref="B54:M54" si="66">B48</f>
        <v>1.52798877025843E-2</v>
      </c>
      <c r="C54" s="78">
        <f t="shared" si="66"/>
        <v>5.8670525597400637E-2</v>
      </c>
      <c r="D54" s="78">
        <f t="shared" si="66"/>
        <v>0.11199253092477865</v>
      </c>
      <c r="E54" s="78">
        <f t="shared" si="66"/>
        <v>0.18516500917853804</v>
      </c>
      <c r="F54" s="78">
        <f t="shared" si="66"/>
        <v>0.20251530886191876</v>
      </c>
      <c r="G54" s="78">
        <f t="shared" si="66"/>
        <v>0.22055251391684405</v>
      </c>
      <c r="H54" s="78">
        <f t="shared" si="66"/>
        <v>0.27038844474803675</v>
      </c>
      <c r="I54" s="78">
        <f t="shared" si="66"/>
        <v>1.3917552551030842E-2</v>
      </c>
      <c r="J54" s="78">
        <f t="shared" si="66"/>
        <v>3.6841069486812851E-2</v>
      </c>
      <c r="K54" s="78">
        <f t="shared" si="66"/>
        <v>2.7327093852554173E-2</v>
      </c>
      <c r="L54" s="78">
        <f t="shared" si="66"/>
        <v>0.25013440507706947</v>
      </c>
      <c r="M54" s="78">
        <f t="shared" si="66"/>
        <v>0.34120284311373039</v>
      </c>
      <c r="N54" s="78"/>
      <c r="O54" s="78">
        <f t="shared" ref="O54:V54" si="67">O48</f>
        <v>0.23738242877944435</v>
      </c>
      <c r="P54" s="78">
        <f t="shared" si="67"/>
        <v>0.17783787900524964</v>
      </c>
      <c r="Q54" s="78">
        <f t="shared" si="67"/>
        <v>1.5638527712977052E-2</v>
      </c>
      <c r="R54" s="78">
        <f t="shared" si="67"/>
        <v>9.3342229835876853E-2</v>
      </c>
      <c r="S54" s="78">
        <f t="shared" si="67"/>
        <v>0.24807117000609125</v>
      </c>
      <c r="T54" s="78">
        <f t="shared" si="67"/>
        <v>0.26752054955827281</v>
      </c>
      <c r="U54" s="78">
        <f t="shared" si="67"/>
        <v>0.1893836870404568</v>
      </c>
      <c r="V54" s="78">
        <f t="shared" si="67"/>
        <v>0.2176376816560873</v>
      </c>
    </row>
    <row r="55" spans="1:22" s="3" customFormat="1" x14ac:dyDescent="0.35">
      <c r="A55" s="45" t="s">
        <v>14</v>
      </c>
      <c r="B55" s="78">
        <f t="shared" ref="B55:M55" si="68">(B53*100/$B$53)-100</f>
        <v>0</v>
      </c>
      <c r="C55" s="78">
        <f t="shared" si="68"/>
        <v>187.95724091147702</v>
      </c>
      <c r="D55" s="78">
        <f t="shared" si="68"/>
        <v>624.67746316528724</v>
      </c>
      <c r="E55" s="78">
        <f t="shared" si="68"/>
        <v>1223.7308578417233</v>
      </c>
      <c r="F55" s="78">
        <f t="shared" si="68"/>
        <v>2805.9770821869033</v>
      </c>
      <c r="G55" s="78">
        <f t="shared" si="68"/>
        <v>2296.5239064991501</v>
      </c>
      <c r="H55" s="78">
        <f t="shared" si="68"/>
        <v>4567.058910810767</v>
      </c>
      <c r="I55" s="78">
        <f t="shared" si="68"/>
        <v>14.864067982193802</v>
      </c>
      <c r="J55" s="78">
        <f t="shared" si="68"/>
        <v>101.11000240662372</v>
      </c>
      <c r="K55" s="78">
        <f t="shared" si="68"/>
        <v>124.77569844864254</v>
      </c>
      <c r="L55" s="78">
        <f t="shared" si="68"/>
        <v>1921.3003689553184</v>
      </c>
      <c r="M55" s="78">
        <f t="shared" si="68"/>
        <v>4389.913502284885</v>
      </c>
      <c r="N55" s="78"/>
      <c r="O55" s="78">
        <f t="shared" ref="O55:V55" si="69">(O53*100/$O$53)-100</f>
        <v>0</v>
      </c>
      <c r="P55" s="78">
        <f t="shared" si="69"/>
        <v>91.021868318737575</v>
      </c>
      <c r="Q55" s="78">
        <f t="shared" si="69"/>
        <v>-94.985398094543129</v>
      </c>
      <c r="R55" s="78">
        <f t="shared" si="69"/>
        <v>-52.638119713308221</v>
      </c>
      <c r="S55" s="78">
        <f t="shared" si="69"/>
        <v>34.709833464059159</v>
      </c>
      <c r="T55" s="78">
        <f t="shared" si="69"/>
        <v>54.009484702599508</v>
      </c>
      <c r="U55" s="78">
        <f t="shared" si="69"/>
        <v>117.21659832454239</v>
      </c>
      <c r="V55" s="78">
        <f t="shared" si="69"/>
        <v>178.41538979585169</v>
      </c>
    </row>
    <row r="56" spans="1:22" s="3" customFormat="1" x14ac:dyDescent="0.35">
      <c r="A56" s="45" t="s">
        <v>38</v>
      </c>
      <c r="B56" s="78">
        <f>[1]!SWTEST(B28:B43)</f>
        <v>0.86514005106874259</v>
      </c>
      <c r="C56" s="78">
        <f>[1]!SWTEST(C28:C43)</f>
        <v>5.6543954704419974E-3</v>
      </c>
      <c r="D56" s="78">
        <f>[1]!SWTEST(D28:D43)</f>
        <v>0.17511244894591171</v>
      </c>
      <c r="E56" s="78">
        <f>[1]!SWTEST(E28:E43)</f>
        <v>0.15228458696710034</v>
      </c>
      <c r="F56" s="78">
        <f>[1]!SWTEST(F28:F43)</f>
        <v>0.12153070526035892</v>
      </c>
      <c r="G56" s="78">
        <f>[1]!SWTEST(G28:G43)</f>
        <v>0.60617145213605239</v>
      </c>
      <c r="H56" s="78">
        <f>[1]!SWTEST(H28:H43)</f>
        <v>0.57829903721797016</v>
      </c>
      <c r="I56" s="78">
        <f>[1]!SWTEST(I28:I43)</f>
        <v>0.39001291909604174</v>
      </c>
      <c r="J56" s="78">
        <f>[1]!SWTEST(J28:J43)</f>
        <v>1.3428248163258605E-3</v>
      </c>
      <c r="K56" s="78">
        <f>[1]!SWTEST(K28:K43)</f>
        <v>0.30546594068686983</v>
      </c>
      <c r="L56" s="78">
        <f>[1]!SWTEST(L28:L43)</f>
        <v>0.24181095661371954</v>
      </c>
      <c r="M56" s="78">
        <f>[1]!SWTEST(M28:M43)</f>
        <v>0.19325152004525425</v>
      </c>
      <c r="N56" s="78"/>
      <c r="O56" s="78">
        <f>[1]!SWTEST(O28:O43)</f>
        <v>1.7044794189731149E-2</v>
      </c>
      <c r="P56" s="78">
        <f>[1]!SWTEST(P28:P43)</f>
        <v>0.99682604878936987</v>
      </c>
      <c r="Q56" s="78">
        <f>[1]!SWTEST(Q28:Q43)</f>
        <v>9.2873931114765496E-2</v>
      </c>
      <c r="R56" s="78">
        <f>[1]!SWTEST(R28:R43)</f>
        <v>0.34888541172342691</v>
      </c>
      <c r="S56" s="78">
        <f>[1]!SWTEST(S28:S43)</f>
        <v>0.19685708239182653</v>
      </c>
      <c r="T56" s="78">
        <f>[1]!SWTEST(T28:T43)</f>
        <v>0.55834217808649611</v>
      </c>
      <c r="U56" s="78">
        <f>[1]!SWTEST(U28:U43)</f>
        <v>0.60308187866994678</v>
      </c>
      <c r="V56" s="78">
        <f>[1]!SWTEST(V28:V43)</f>
        <v>0.48056047242736077</v>
      </c>
    </row>
    <row r="57" spans="1:22" s="3" customFormat="1" x14ac:dyDescent="0.35">
      <c r="A57" s="45" t="s">
        <v>39</v>
      </c>
      <c r="B57" s="78" t="str">
        <f t="shared" ref="B57:M57" si="70">IF(B56&gt;0.05,"Oui","Non")</f>
        <v>Oui</v>
      </c>
      <c r="C57" s="78" t="str">
        <f t="shared" si="70"/>
        <v>Non</v>
      </c>
      <c r="D57" s="78" t="str">
        <f t="shared" si="70"/>
        <v>Oui</v>
      </c>
      <c r="E57" s="78" t="str">
        <f t="shared" si="70"/>
        <v>Oui</v>
      </c>
      <c r="F57" s="78" t="str">
        <f t="shared" si="70"/>
        <v>Oui</v>
      </c>
      <c r="G57" s="78" t="str">
        <f t="shared" si="70"/>
        <v>Oui</v>
      </c>
      <c r="H57" s="78" t="str">
        <f t="shared" si="70"/>
        <v>Oui</v>
      </c>
      <c r="I57" s="78" t="str">
        <f t="shared" si="70"/>
        <v>Oui</v>
      </c>
      <c r="J57" s="78" t="str">
        <f t="shared" si="70"/>
        <v>Non</v>
      </c>
      <c r="K57" s="78" t="str">
        <f t="shared" si="70"/>
        <v>Oui</v>
      </c>
      <c r="L57" s="78" t="str">
        <f t="shared" si="70"/>
        <v>Oui</v>
      </c>
      <c r="M57" s="78" t="str">
        <f t="shared" si="70"/>
        <v>Oui</v>
      </c>
      <c r="N57" s="78"/>
      <c r="O57" s="78" t="str">
        <f t="shared" ref="O57:V57" si="71">IF(O56&gt;0.05,"Oui","Non")</f>
        <v>Non</v>
      </c>
      <c r="P57" s="78" t="str">
        <f t="shared" si="71"/>
        <v>Oui</v>
      </c>
      <c r="Q57" s="78" t="str">
        <f t="shared" si="71"/>
        <v>Oui</v>
      </c>
      <c r="R57" s="78" t="str">
        <f t="shared" si="71"/>
        <v>Oui</v>
      </c>
      <c r="S57" s="78" t="str">
        <f t="shared" si="71"/>
        <v>Oui</v>
      </c>
      <c r="T57" s="78" t="str">
        <f t="shared" si="71"/>
        <v>Oui</v>
      </c>
      <c r="U57" s="78" t="str">
        <f t="shared" si="71"/>
        <v>Oui</v>
      </c>
      <c r="V57" s="78" t="str">
        <f t="shared" si="71"/>
        <v>Oui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str">
        <f t="shared" ref="C59:M59" si="72">IF($B57="Non",IF(C$57="Non","Mann Withney",IF(C$57="Oui","Mann Withney","")),IF($B$57="Oui",IF(C$57="Oui","T-Test Welch",IF(C$57="Non","Mann Withney",""))))</f>
        <v>Mann Withney</v>
      </c>
      <c r="D59" s="82" t="str">
        <f t="shared" si="72"/>
        <v>T-Test Welch</v>
      </c>
      <c r="E59" s="82" t="str">
        <f t="shared" si="72"/>
        <v>T-Test Welch</v>
      </c>
      <c r="F59" s="82" t="str">
        <f t="shared" si="72"/>
        <v>T-Test Welch</v>
      </c>
      <c r="G59" s="82" t="str">
        <f t="shared" si="72"/>
        <v>T-Test Welch</v>
      </c>
      <c r="H59" s="82" t="str">
        <f t="shared" si="72"/>
        <v>T-Test Welch</v>
      </c>
      <c r="I59" s="82" t="str">
        <f t="shared" si="72"/>
        <v>T-Test Welch</v>
      </c>
      <c r="J59" s="82" t="str">
        <f t="shared" si="72"/>
        <v>Mann Withney</v>
      </c>
      <c r="K59" s="82" t="str">
        <f t="shared" si="72"/>
        <v>T-Test Welch</v>
      </c>
      <c r="L59" s="82" t="str">
        <f t="shared" si="72"/>
        <v>T-Test Welch</v>
      </c>
      <c r="M59" s="82" t="str">
        <f t="shared" si="72"/>
        <v>T-Test Welch</v>
      </c>
      <c r="N59" s="82"/>
      <c r="O59" s="82" t="str">
        <f>IF($B57="Non",IF(O$57="Non","Mann Withney",IF(O$57="Oui","Mann Withney","")),IF($B$57="Oui",IF(O$57="Oui","T-Test Welch",IF(O$57="Non","Mann Withney",""))))</f>
        <v>Mann Withney</v>
      </c>
      <c r="P59" s="82" t="str">
        <f t="shared" ref="P59:V59" si="73">IF($O57="Non",IF(P$57="Non","Mann Withney",IF(P$57="Oui","Mann Withney","")),IF($O$57="Oui",IF(P$57="Oui","T-Test Welch",IF(P$57="Non","Mann Withney",""))))</f>
        <v>Mann Withney</v>
      </c>
      <c r="Q59" s="82" t="str">
        <f t="shared" si="73"/>
        <v>Mann Withney</v>
      </c>
      <c r="R59" s="82" t="str">
        <f t="shared" si="73"/>
        <v>Mann Withney</v>
      </c>
      <c r="S59" s="82" t="str">
        <f t="shared" si="73"/>
        <v>Mann Withney</v>
      </c>
      <c r="T59" s="82" t="str">
        <f t="shared" si="73"/>
        <v>Mann Withney</v>
      </c>
      <c r="U59" s="82" t="str">
        <f t="shared" si="73"/>
        <v>Mann Withney</v>
      </c>
      <c r="V59" s="82" t="str">
        <f t="shared" si="73"/>
        <v>Mann Withney</v>
      </c>
    </row>
    <row r="60" spans="1:22" s="3" customFormat="1" x14ac:dyDescent="0.35">
      <c r="A60" s="45" t="s">
        <v>41</v>
      </c>
      <c r="B60" s="83"/>
      <c r="C60" s="83">
        <f>IF(C59="Mann Withney",[1]!MTEST($B28:$B43,C28:C43,2), IF(C59="T-Test Welch",_xlfn.T.TEST($B28:$B43,C28:C43,2,3),""))</f>
        <v>4.599936687503714E-2</v>
      </c>
      <c r="D60" s="83">
        <f>IF(D59="Mann Withney",[1]!MTEST($B28:$B43,D28:D43,2), IF(D59="T-Test Welch",_xlfn.T.TEST($B28:$B43,D28:D43,2,3),""))</f>
        <v>1.6715832603500246E-2</v>
      </c>
      <c r="E60" s="83">
        <f>IF(E59="Mann Withney",[1]!MTEST($B28:$B43,E28:E43,2), IF(E59="T-Test Welch",_xlfn.T.TEST($B28:$B43,E28:E43,2,3),""))</f>
        <v>6.0065051946290634E-3</v>
      </c>
      <c r="F60" s="83">
        <f>IF(F59="Mann Withney",[1]!MTEST($B28:$B43,F28:F43,2), IF(F59="T-Test Welch",_xlfn.T.TEST($B28:$B43,F28:F43,2,3),""))</f>
        <v>7.8571904873455019E-5</v>
      </c>
      <c r="G60" s="83">
        <f>IF(G59="Mann Withney",[1]!MTEST($B28:$B43,G28:G43,2), IF(G59="T-Test Welch",_xlfn.T.TEST($B28:$B43,G28:G43,2,3),""))</f>
        <v>4.7463170085825337E-4</v>
      </c>
      <c r="H60" s="83">
        <f>IF(H59="Mann Withney",[1]!MTEST($B28:$B43,H28:H43,2), IF(H59="T-Test Welch",_xlfn.T.TEST($B28:$B43,H28:H43,2,3),""))</f>
        <v>5.9045221611455947E-5</v>
      </c>
      <c r="I60" s="83">
        <f>IF(I59="Mann Withney",[1]!MTEST($B28:$B43,I28:I43,2), IF(I59="T-Test Welch",_xlfn.T.TEST($B28:$B43,I28:I43,2,3),""))</f>
        <v>0.67941507284085823</v>
      </c>
      <c r="J60" s="83">
        <f>IF(J59="Mann Withney",[1]!MTEST($B28:$B43,J28:J43,2), IF(J59="T-Test Welch",_xlfn.T.TEST($B28:$B43,J28:J43,2,3),""))</f>
        <v>0.14148212148279327</v>
      </c>
      <c r="K60" s="83">
        <f>IF(K59="Mann Withney",[1]!MTEST($B28:$B43,K28:K43,2), IF(K59="T-Test Welch",_xlfn.T.TEST($B28:$B43,K28:K43,2,3),""))</f>
        <v>3.9260692401338539E-2</v>
      </c>
      <c r="L60" s="83">
        <f>IF(L59="Mann Withney",[1]!MTEST($B28:$B43,L28:L43,2), IF(L59="T-Test Welch",_xlfn.T.TEST($B28:$B43,L28:L43,2,3),""))</f>
        <v>4.0300751159124612E-3</v>
      </c>
      <c r="M60" s="83">
        <f>IF(M59="Mann Withney",[1]!MTEST($B28:$B43,M28:M43,2), IF(M59="T-Test Welch",_xlfn.T.TEST($B28:$B43,M28:M43,2,3),""))</f>
        <v>1.2970286248898969E-4</v>
      </c>
      <c r="N60" s="83"/>
      <c r="O60" s="83">
        <f>IF(O59="Mann Withney",[1]!MTEST($B28:$B43,O28:O43,2), IF(O59="T-Test Welch",_xlfn.T.TEST($B28:$B43,O28:O43,2,3),""))</f>
        <v>2.6942620192960121E-3</v>
      </c>
      <c r="P60" s="83">
        <f>IF(P59="Mann Withney",[1]!MTEST($O28:$O43,P28:P43,2), IF(P59="T-Test Welch",_xlfn.T.TEST($O28:$O43,P28:P43,2,3),""))</f>
        <v>2.7248440892305936E-2</v>
      </c>
      <c r="Q60" s="83">
        <f>IF(Q59="Mann Withney",[1]!MTEST($O28:$O43,Q28:Q43,2), IF(Q59="T-Test Welch",_xlfn.T.TEST($O28:$O43,Q28:Q43,2,3),""))</f>
        <v>1.7895728484755846E-3</v>
      </c>
      <c r="R60" s="83">
        <f>IF(R59="Mann Withney",[1]!MTEST($O28:$O43,R28:R43,2), IF(R59="T-Test Welch",_xlfn.T.TEST($O28:$O43,R28:R43,2,3),""))</f>
        <v>0.76808256190094326</v>
      </c>
      <c r="S60" s="83">
        <f>IF(S59="Mann Withney",[1]!MTEST($O28:$O43,S28:S43,2), IF(S59="T-Test Welch",_xlfn.T.TEST($O28:$O43,S28:S43,2,3),""))</f>
        <v>0.42598311654491883</v>
      </c>
      <c r="T60" s="83">
        <f>IF(T59="Mann Withney",[1]!MTEST($O28:$O43,T28:T43,2), IF(T59="T-Test Welch",_xlfn.T.TEST($O28:$O43,T28:T43,2,3),""))</f>
        <v>0.17790959498698244</v>
      </c>
      <c r="U60" s="83">
        <f>IF(U59="Mann Withney",[1]!MTEST($O28:$O43,U28:U43,2), IF(U59="T-Test Welch",_xlfn.T.TEST($O28:$O43,U28:U43,2,3),""))</f>
        <v>8.4584156046332293E-3</v>
      </c>
      <c r="V60" s="83">
        <f>IF(V59="Mann Withney",[1]!MTEST($O28:$O43,V28:V43,2), IF(V59="T-Test Welch",_xlfn.T.TEST($O28:$O43,V28:V43,2,3),""))</f>
        <v>6.0517226253797851E-4</v>
      </c>
    </row>
    <row r="61" spans="1:22" s="3" customFormat="1" ht="15" thickBot="1" x14ac:dyDescent="0.4">
      <c r="A61" s="46" t="s">
        <v>15</v>
      </c>
      <c r="B61" s="79"/>
      <c r="C61" s="79" t="str">
        <f t="shared" ref="C61:M61" si="74">IF(C60&gt;0.05,"NS",IF(C60&gt;0.01,"*",IF(C60&gt;0.001,"**","***")))</f>
        <v>*</v>
      </c>
      <c r="D61" s="79" t="str">
        <f t="shared" si="74"/>
        <v>*</v>
      </c>
      <c r="E61" s="79" t="str">
        <f t="shared" si="74"/>
        <v>**</v>
      </c>
      <c r="F61" s="79" t="str">
        <f t="shared" si="74"/>
        <v>***</v>
      </c>
      <c r="G61" s="79" t="str">
        <f t="shared" si="74"/>
        <v>***</v>
      </c>
      <c r="H61" s="79" t="str">
        <f t="shared" si="74"/>
        <v>***</v>
      </c>
      <c r="I61" s="79" t="str">
        <f t="shared" si="74"/>
        <v>NS</v>
      </c>
      <c r="J61" s="79" t="str">
        <f t="shared" si="74"/>
        <v>NS</v>
      </c>
      <c r="K61" s="79" t="str">
        <f t="shared" si="74"/>
        <v>*</v>
      </c>
      <c r="L61" s="79" t="str">
        <f t="shared" si="74"/>
        <v>**</v>
      </c>
      <c r="M61" s="79" t="str">
        <f t="shared" si="74"/>
        <v>***</v>
      </c>
      <c r="N61" s="79"/>
      <c r="O61" s="79" t="str">
        <f>IF(O60&gt;0.05,"NS",IF(O60&gt;0.01,"*",IF(O60&gt;0.001,"**","***")))</f>
        <v>**</v>
      </c>
      <c r="P61" s="79" t="str">
        <f>IF(P60&gt;0.05,"NS",IF(P60&gt;0.01,"*",IF(P60&gt;0.001,"**","***")))</f>
        <v>*</v>
      </c>
      <c r="Q61" s="79" t="str">
        <f t="shared" ref="Q61" si="75">IF(Q60&gt;0.05,"NS",IF(Q60&gt;0.01,"*",IF(Q60&gt;0.001,"**","***")))</f>
        <v>**</v>
      </c>
      <c r="R61" s="79" t="str">
        <f t="shared" ref="R61" si="76">IF(R60&gt;0.05,"NS",IF(R60&gt;0.01,"*",IF(R60&gt;0.001,"**","***")))</f>
        <v>NS</v>
      </c>
      <c r="S61" s="79" t="str">
        <f t="shared" ref="S61" si="77">IF(S60&gt;0.05,"NS",IF(S60&gt;0.01,"*",IF(S60&gt;0.001,"**","***")))</f>
        <v>NS</v>
      </c>
      <c r="T61" s="79" t="str">
        <f t="shared" ref="T61" si="78">IF(T60&gt;0.05,"NS",IF(T60&gt;0.01,"*",IF(T60&gt;0.001,"**","***")))</f>
        <v>NS</v>
      </c>
      <c r="U61" s="79" t="str">
        <f t="shared" ref="U61" si="79">IF(U60&gt;0.05,"NS",IF(U60&gt;0.01,"*",IF(U60&gt;0.001,"**","***")))</f>
        <v>**</v>
      </c>
      <c r="V61" s="79" t="str">
        <f t="shared" ref="V61" si="80">IF(V60&gt;0.05,"NS",IF(V60&gt;0.01,"*",IF(V60&gt;0.001,"**","***")))</f>
        <v>***</v>
      </c>
    </row>
    <row r="63" spans="1:22" x14ac:dyDescent="0.35">
      <c r="A63" s="2"/>
    </row>
    <row r="66" spans="1:22" ht="15" thickBot="1" x14ac:dyDescent="0.4"/>
    <row r="67" spans="1:22" s="1" customFormat="1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12:V21 R5:V7" name="Plage1"/>
    <protectedRange sqref="B51:J51" name="Plage2_1"/>
    <protectedRange sqref="O5:O7 J5:J6 B13:J21 J11:J12 O12:O21" name="Plage1_1"/>
    <protectedRange sqref="B5:I6 B11:I12 B7:M10 P6:P9 O8:O11 Q8:V11" name="Plage1_1_1"/>
  </protectedRanges>
  <mergeCells count="9">
    <mergeCell ref="A1:V1"/>
    <mergeCell ref="A67:V67"/>
    <mergeCell ref="A50:V50"/>
    <mergeCell ref="A5:A20"/>
    <mergeCell ref="A28:A43"/>
    <mergeCell ref="B3:M3"/>
    <mergeCell ref="B26:M26"/>
    <mergeCell ref="O26:V26"/>
    <mergeCell ref="O3:V3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4"/>
  <sheetViews>
    <sheetView showGridLines="0" topLeftCell="S1" zoomScale="70" zoomScaleNormal="70" zoomScaleSheetLayoutView="40" zoomScalePageLayoutView="30" workbookViewId="0">
      <selection activeCell="V5" sqref="V5:V12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ht="15" thickBot="1" x14ac:dyDescent="0.4"/>
    <row r="3" spans="1:22" ht="15" thickBot="1" x14ac:dyDescent="0.4">
      <c r="A3" s="84" t="s">
        <v>9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Estradiol-34ng/L</v>
      </c>
      <c r="J4" s="20" t="str">
        <f>'Front page'!A15</f>
        <v>Estradiol-68ng/L</v>
      </c>
      <c r="K4" s="20" t="str">
        <f>'Front page'!A16</f>
        <v>Estradiol-135ng/L</v>
      </c>
      <c r="L4" s="20" t="str">
        <f>'Front page'!A17</f>
        <v>Estradiol-270ng/L</v>
      </c>
      <c r="M4" s="20" t="str">
        <f>'Front page'!A18</f>
        <v>Estradiol-540ng/L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Estradiol-34ng/L + Testostérone</v>
      </c>
      <c r="S4" s="21" t="str">
        <f>'Front page'!A39</f>
        <v>Estradiol-68ng/L + Testostérone</v>
      </c>
      <c r="T4" s="21" t="str">
        <f>'Front page'!A40</f>
        <v>Estradiol-135ng/L + Testostérone</v>
      </c>
      <c r="U4" s="21" t="str">
        <f>'Front page'!A41</f>
        <v>Estradiol-270ng/L + Testostérone</v>
      </c>
      <c r="V4" s="21" t="str">
        <f>'Front page'!A42</f>
        <v>Estradiol-540ng/L + Testostérone</v>
      </c>
    </row>
    <row r="5" spans="1:22" x14ac:dyDescent="0.35">
      <c r="A5" s="138" t="s">
        <v>35</v>
      </c>
      <c r="B5" s="17">
        <v>1461815</v>
      </c>
      <c r="C5" s="17">
        <v>297496</v>
      </c>
      <c r="D5" s="17">
        <v>2271350</v>
      </c>
      <c r="E5" s="17">
        <v>5310301</v>
      </c>
      <c r="F5" s="17">
        <v>4326244</v>
      </c>
      <c r="G5" s="17">
        <v>4709186</v>
      </c>
      <c r="H5" s="17">
        <v>11010165</v>
      </c>
      <c r="I5" s="17">
        <v>18754</v>
      </c>
      <c r="J5" s="17">
        <v>5376</v>
      </c>
      <c r="K5" s="13">
        <v>68947</v>
      </c>
      <c r="L5" s="13">
        <v>16211</v>
      </c>
      <c r="M5" s="13">
        <v>59580</v>
      </c>
      <c r="N5" s="3"/>
      <c r="O5" s="17">
        <v>1323083</v>
      </c>
      <c r="P5" s="13">
        <v>6924275</v>
      </c>
      <c r="Q5" s="13">
        <v>15318</v>
      </c>
      <c r="R5" s="17">
        <v>1567442</v>
      </c>
      <c r="S5" s="17">
        <v>959475</v>
      </c>
      <c r="T5" s="17">
        <v>482315</v>
      </c>
      <c r="U5" s="17">
        <v>3013200</v>
      </c>
      <c r="V5" s="17">
        <v>743277</v>
      </c>
    </row>
    <row r="6" spans="1:22" ht="16.5" x14ac:dyDescent="0.35">
      <c r="A6" s="139"/>
      <c r="B6" s="14">
        <v>4239102</v>
      </c>
      <c r="C6" s="13">
        <v>2036493</v>
      </c>
      <c r="D6" s="17">
        <v>1006958</v>
      </c>
      <c r="E6" s="17">
        <v>4397782</v>
      </c>
      <c r="F6" s="17">
        <v>8434820</v>
      </c>
      <c r="G6" s="17">
        <v>7593437</v>
      </c>
      <c r="H6" s="17">
        <v>7808734</v>
      </c>
      <c r="I6" s="17">
        <v>36755</v>
      </c>
      <c r="J6" s="17">
        <v>171832</v>
      </c>
      <c r="K6" s="13">
        <v>82017</v>
      </c>
      <c r="L6" s="13">
        <v>27182</v>
      </c>
      <c r="M6" s="13">
        <v>84400</v>
      </c>
      <c r="N6" s="3"/>
      <c r="O6" s="17">
        <v>1555658</v>
      </c>
      <c r="P6" s="13">
        <v>8635842</v>
      </c>
      <c r="Q6" s="13">
        <v>154584</v>
      </c>
      <c r="R6" s="17">
        <v>1204384</v>
      </c>
      <c r="S6" s="17">
        <v>146544</v>
      </c>
      <c r="T6" s="17">
        <v>739122</v>
      </c>
      <c r="U6" s="17">
        <v>473883</v>
      </c>
      <c r="V6" s="17">
        <v>1603825</v>
      </c>
    </row>
    <row r="7" spans="1:22" ht="16.5" x14ac:dyDescent="0.35">
      <c r="A7" s="139"/>
      <c r="B7" s="14">
        <v>3873092</v>
      </c>
      <c r="C7" s="13">
        <v>914688</v>
      </c>
      <c r="D7" s="17">
        <v>1345842</v>
      </c>
      <c r="E7" s="17">
        <v>3412696</v>
      </c>
      <c r="F7" s="17">
        <v>6547505</v>
      </c>
      <c r="G7" s="17">
        <v>4270378</v>
      </c>
      <c r="H7" s="17">
        <v>10235052</v>
      </c>
      <c r="I7" s="17">
        <v>102872</v>
      </c>
      <c r="J7" s="17">
        <v>78545</v>
      </c>
      <c r="K7" s="13">
        <v>53950</v>
      </c>
      <c r="L7" s="13">
        <v>20173</v>
      </c>
      <c r="M7" s="13">
        <v>58275</v>
      </c>
      <c r="N7" s="3"/>
      <c r="O7" s="17">
        <v>269635</v>
      </c>
      <c r="P7" s="13">
        <v>7736440</v>
      </c>
      <c r="Q7" s="13">
        <v>102989</v>
      </c>
      <c r="R7" s="17">
        <v>3646177</v>
      </c>
      <c r="S7" s="17">
        <v>1241820</v>
      </c>
      <c r="T7" s="17">
        <v>3255910</v>
      </c>
      <c r="U7" s="17">
        <v>991170</v>
      </c>
      <c r="V7" s="17">
        <v>284456</v>
      </c>
    </row>
    <row r="8" spans="1:22" ht="16.5" x14ac:dyDescent="0.35">
      <c r="A8" s="139"/>
      <c r="B8" s="14">
        <v>9334</v>
      </c>
      <c r="C8" s="13">
        <v>4109105</v>
      </c>
      <c r="D8" s="17">
        <v>1715578</v>
      </c>
      <c r="E8" s="17">
        <v>5719031</v>
      </c>
      <c r="F8" s="17">
        <v>3793926</v>
      </c>
      <c r="G8" s="17">
        <v>9429755</v>
      </c>
      <c r="H8" s="17">
        <v>4460911</v>
      </c>
      <c r="I8" s="17">
        <v>27816</v>
      </c>
      <c r="J8" s="17">
        <v>49813</v>
      </c>
      <c r="K8" s="13">
        <v>117789</v>
      </c>
      <c r="L8" s="13">
        <v>22881</v>
      </c>
      <c r="M8" s="13">
        <v>114536</v>
      </c>
      <c r="N8" s="3"/>
      <c r="O8" s="17">
        <v>2464086</v>
      </c>
      <c r="P8" s="13">
        <v>7513548</v>
      </c>
      <c r="Q8" s="13">
        <v>127717</v>
      </c>
      <c r="R8" s="17">
        <v>664950</v>
      </c>
      <c r="S8" s="17">
        <v>1405265</v>
      </c>
      <c r="T8" s="17">
        <v>203522</v>
      </c>
      <c r="U8" s="17">
        <v>380205</v>
      </c>
      <c r="V8" s="17">
        <v>2222020</v>
      </c>
    </row>
    <row r="9" spans="1:22" ht="16.5" x14ac:dyDescent="0.35">
      <c r="A9" s="139"/>
      <c r="B9" s="14">
        <v>2156345</v>
      </c>
      <c r="C9" s="13">
        <v>2020884</v>
      </c>
      <c r="D9" s="17">
        <v>1277254</v>
      </c>
      <c r="E9" s="17">
        <v>5778827</v>
      </c>
      <c r="F9" s="17">
        <v>3402686</v>
      </c>
      <c r="G9" s="17">
        <v>2083673</v>
      </c>
      <c r="H9" s="17">
        <v>11593911</v>
      </c>
      <c r="I9" s="17">
        <v>51921</v>
      </c>
      <c r="J9" s="17">
        <v>56027</v>
      </c>
      <c r="K9" s="13">
        <v>153755</v>
      </c>
      <c r="L9" s="13">
        <v>247198</v>
      </c>
      <c r="M9" s="13">
        <v>751951</v>
      </c>
      <c r="N9" s="3"/>
      <c r="O9" s="17">
        <v>175819</v>
      </c>
      <c r="P9" s="13">
        <v>6347475</v>
      </c>
      <c r="Q9" s="13">
        <v>125746</v>
      </c>
      <c r="R9" s="17">
        <v>162807</v>
      </c>
      <c r="S9" s="17">
        <v>964463</v>
      </c>
      <c r="T9" s="17">
        <v>821309</v>
      </c>
      <c r="U9" s="17">
        <v>1234560</v>
      </c>
      <c r="V9" s="17">
        <v>1077130</v>
      </c>
    </row>
    <row r="10" spans="1:22" ht="16.5" x14ac:dyDescent="0.35">
      <c r="A10" s="139"/>
      <c r="B10" s="14">
        <v>389173</v>
      </c>
      <c r="C10" s="13">
        <v>533945</v>
      </c>
      <c r="D10" s="17">
        <v>553308</v>
      </c>
      <c r="E10" s="17">
        <v>5561478</v>
      </c>
      <c r="F10" s="17">
        <v>4964487</v>
      </c>
      <c r="G10" s="17">
        <v>2216390</v>
      </c>
      <c r="H10" s="17">
        <v>5638322</v>
      </c>
      <c r="I10" s="17">
        <v>58128</v>
      </c>
      <c r="J10" s="17">
        <v>144856</v>
      </c>
      <c r="K10" s="13">
        <v>161525</v>
      </c>
      <c r="L10" s="13">
        <v>55519</v>
      </c>
      <c r="M10" s="13">
        <v>151642</v>
      </c>
      <c r="N10" s="3"/>
      <c r="O10" s="17">
        <v>1043618</v>
      </c>
      <c r="P10" s="13">
        <v>4266338</v>
      </c>
      <c r="Q10" s="13">
        <v>68236</v>
      </c>
      <c r="R10" s="17">
        <v>691740</v>
      </c>
      <c r="S10" s="17">
        <v>596179</v>
      </c>
      <c r="T10" s="17">
        <v>183091</v>
      </c>
      <c r="U10" s="17">
        <v>1084673</v>
      </c>
      <c r="V10" s="17">
        <v>876002</v>
      </c>
    </row>
    <row r="11" spans="1:22" ht="16.5" x14ac:dyDescent="0.35">
      <c r="A11" s="139"/>
      <c r="B11" s="14">
        <v>522838</v>
      </c>
      <c r="C11" s="13">
        <v>712368</v>
      </c>
      <c r="D11" s="17">
        <v>4283137</v>
      </c>
      <c r="E11" s="17">
        <v>6570256</v>
      </c>
      <c r="F11" s="17"/>
      <c r="G11" s="17">
        <v>7733753</v>
      </c>
      <c r="H11" s="17">
        <v>4525773</v>
      </c>
      <c r="I11" s="17">
        <v>133628</v>
      </c>
      <c r="J11" s="17">
        <v>287290</v>
      </c>
      <c r="K11" s="13">
        <v>85564</v>
      </c>
      <c r="L11" s="13">
        <v>80811</v>
      </c>
      <c r="M11" s="13">
        <v>54282</v>
      </c>
      <c r="N11" s="3"/>
      <c r="O11" s="17">
        <v>1225574</v>
      </c>
      <c r="P11" s="13">
        <v>7346476</v>
      </c>
      <c r="Q11" s="13">
        <v>371627</v>
      </c>
      <c r="R11" s="17">
        <v>1230041</v>
      </c>
      <c r="S11" s="17">
        <v>220837</v>
      </c>
      <c r="T11" s="17">
        <v>1489625</v>
      </c>
      <c r="U11" s="17">
        <v>1419029</v>
      </c>
      <c r="V11" s="17">
        <v>1478933</v>
      </c>
    </row>
    <row r="12" spans="1:22" ht="16.5" x14ac:dyDescent="0.35">
      <c r="A12" s="139"/>
      <c r="B12" s="14"/>
      <c r="C12" s="13">
        <v>983363</v>
      </c>
      <c r="D12" s="17">
        <v>235357</v>
      </c>
      <c r="E12" s="17">
        <v>7141356</v>
      </c>
      <c r="F12" s="17"/>
      <c r="G12" s="17">
        <v>6806668</v>
      </c>
      <c r="H12" s="17">
        <v>8948354</v>
      </c>
      <c r="I12" s="17">
        <v>48872</v>
      </c>
      <c r="J12" s="17">
        <v>101399</v>
      </c>
      <c r="K12" s="13">
        <v>372546</v>
      </c>
      <c r="L12" s="13">
        <v>97820</v>
      </c>
      <c r="M12" s="13">
        <v>65056</v>
      </c>
      <c r="N12" s="3"/>
      <c r="O12" s="17">
        <v>2278977</v>
      </c>
      <c r="P12" s="13">
        <v>1478020</v>
      </c>
      <c r="Q12" s="13"/>
      <c r="R12" s="17"/>
      <c r="S12" s="17">
        <v>1357006</v>
      </c>
      <c r="T12" s="17">
        <v>253290</v>
      </c>
      <c r="U12" s="17">
        <v>573880</v>
      </c>
      <c r="V12" s="17">
        <v>1001291</v>
      </c>
    </row>
    <row r="13" spans="1:22" ht="16.5" x14ac:dyDescent="0.35">
      <c r="A13" s="139"/>
      <c r="B13" s="14"/>
      <c r="C13" s="13"/>
      <c r="D13" s="17"/>
      <c r="E13" s="17">
        <v>2966478</v>
      </c>
      <c r="F13" s="17"/>
      <c r="G13" s="17"/>
      <c r="H13" s="17"/>
      <c r="I13" s="17"/>
      <c r="J13" s="17"/>
      <c r="K13" s="13"/>
      <c r="L13" s="13"/>
      <c r="M13" s="13"/>
      <c r="N13" s="3"/>
      <c r="O13" s="17">
        <v>861385</v>
      </c>
      <c r="P13" s="13"/>
      <c r="Q13" s="13"/>
      <c r="R13" s="17"/>
      <c r="S13" s="17"/>
      <c r="T13" s="17"/>
      <c r="U13" s="17"/>
      <c r="V13" s="17"/>
    </row>
    <row r="14" spans="1:22" ht="16.5" x14ac:dyDescent="0.35">
      <c r="A14" s="139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7">
        <v>990461</v>
      </c>
      <c r="P14" s="13"/>
      <c r="Q14" s="13"/>
      <c r="R14" s="17"/>
      <c r="S14" s="17"/>
      <c r="T14" s="17"/>
      <c r="U14" s="17"/>
      <c r="V14" s="17"/>
    </row>
    <row r="15" spans="1:22" ht="16.5" x14ac:dyDescent="0.35">
      <c r="A15" s="139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7">
        <v>431291</v>
      </c>
      <c r="P15" s="13"/>
      <c r="Q15" s="13"/>
      <c r="R15" s="17"/>
      <c r="S15" s="17"/>
      <c r="T15" s="17"/>
      <c r="U15" s="17"/>
      <c r="V15" s="17"/>
    </row>
    <row r="16" spans="1:22" ht="16.5" x14ac:dyDescent="0.35">
      <c r="A16" s="139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7">
        <v>1041591</v>
      </c>
      <c r="P16" s="13"/>
      <c r="Q16" s="13"/>
      <c r="R16" s="17"/>
      <c r="S16" s="17"/>
      <c r="T16" s="17"/>
      <c r="U16" s="17"/>
      <c r="V16" s="17"/>
    </row>
    <row r="17" spans="1:22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1878586</v>
      </c>
      <c r="P17" s="13"/>
      <c r="Q17" s="13"/>
      <c r="R17" s="17"/>
      <c r="S17" s="17"/>
      <c r="T17" s="17"/>
      <c r="U17" s="17"/>
      <c r="V17" s="17"/>
    </row>
    <row r="18" spans="1:22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377162</v>
      </c>
      <c r="P18" s="13"/>
      <c r="Q18" s="13"/>
      <c r="R18" s="17"/>
      <c r="S18" s="17"/>
      <c r="T18" s="17"/>
      <c r="U18" s="17"/>
      <c r="V18" s="17"/>
    </row>
    <row r="19" spans="1:22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1988921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7">
        <v>623085</v>
      </c>
      <c r="P20" s="13"/>
      <c r="Q20" s="13"/>
      <c r="R20" s="17"/>
      <c r="S20" s="17"/>
      <c r="T20" s="17"/>
      <c r="U20" s="17"/>
      <c r="V20" s="17"/>
    </row>
    <row r="21" spans="1:22" x14ac:dyDescent="0.3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3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Estradiol-34ng/L</v>
      </c>
      <c r="J22" s="3" t="str">
        <f t="shared" si="1"/>
        <v>Estradiol-68ng/L</v>
      </c>
      <c r="K22" s="3" t="str">
        <f t="shared" si="1"/>
        <v>Estradiol-135ng/L</v>
      </c>
      <c r="L22" s="3" t="str">
        <f t="shared" si="1"/>
        <v>Estradiol-270ng/L</v>
      </c>
      <c r="M22" s="3" t="str">
        <f t="shared" si="1"/>
        <v>Estradiol-540ng/L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Estradiol-34ng/L + Testostérone</v>
      </c>
      <c r="S22" s="3" t="str">
        <f t="shared" si="1"/>
        <v>Estradiol-68ng/L + Testostérone</v>
      </c>
      <c r="T22" s="3" t="str">
        <f t="shared" si="1"/>
        <v>Estradiol-135ng/L + Testostérone</v>
      </c>
      <c r="U22" s="3" t="str">
        <f t="shared" si="1"/>
        <v>Estradiol-270ng/L + Testostérone</v>
      </c>
      <c r="V22" s="3" t="str">
        <f t="shared" si="1"/>
        <v>Estradiol-540ng/L + Testostérone</v>
      </c>
    </row>
    <row r="23" spans="1:22" x14ac:dyDescent="0.35">
      <c r="A23" s="5" t="s">
        <v>0</v>
      </c>
      <c r="B23" s="5">
        <f t="shared" ref="B23:J23" si="2">AVERAGE(B5:B20)</f>
        <v>1807385.5714285714</v>
      </c>
      <c r="C23" s="5">
        <f t="shared" si="2"/>
        <v>1451042.75</v>
      </c>
      <c r="D23" s="5">
        <f t="shared" si="2"/>
        <v>1586098</v>
      </c>
      <c r="E23" s="5">
        <f t="shared" si="2"/>
        <v>5206467.222222222</v>
      </c>
      <c r="F23" s="5">
        <f t="shared" si="2"/>
        <v>5244944.666666667</v>
      </c>
      <c r="G23" s="5">
        <f t="shared" si="2"/>
        <v>5605405</v>
      </c>
      <c r="H23" s="5">
        <f t="shared" si="2"/>
        <v>8027652.75</v>
      </c>
      <c r="I23" s="5">
        <f t="shared" si="2"/>
        <v>59843.25</v>
      </c>
      <c r="J23" s="5">
        <f t="shared" si="2"/>
        <v>111892.25</v>
      </c>
      <c r="K23" s="5"/>
      <c r="L23" s="5">
        <f>AVERAGE(L5:L20)</f>
        <v>70974.375</v>
      </c>
      <c r="M23" s="5"/>
      <c r="N23" s="5" t="s">
        <v>0</v>
      </c>
      <c r="O23" s="5">
        <f>AVERAGE(O5:O20)</f>
        <v>1158058.25</v>
      </c>
      <c r="P23" s="5">
        <f>AVERAGE(P5:P20)</f>
        <v>6281051.75</v>
      </c>
      <c r="Q23" s="5">
        <f>AVERAGE(Q5:Q20)</f>
        <v>138031</v>
      </c>
      <c r="R23" s="5">
        <f>AVERAGE(R5:R20)</f>
        <v>1309648.7142857143</v>
      </c>
      <c r="S23" s="5">
        <f>AVERAGE(S5:S20)</f>
        <v>861448.625</v>
      </c>
      <c r="T23" s="5">
        <f t="shared" ref="T23:V23" si="3">AVERAGE(T5:T20)</f>
        <v>928523</v>
      </c>
      <c r="U23" s="5">
        <f t="shared" si="3"/>
        <v>1146325</v>
      </c>
      <c r="V23" s="5">
        <f t="shared" si="3"/>
        <v>1160866.75</v>
      </c>
    </row>
    <row r="24" spans="1:22" x14ac:dyDescent="0.35">
      <c r="A24" s="3" t="s">
        <v>1</v>
      </c>
      <c r="B24" s="3">
        <f t="shared" ref="B24:J24" si="4">STDEV(B5:B20)</f>
        <v>1698821.0792188463</v>
      </c>
      <c r="C24" s="3">
        <f t="shared" si="4"/>
        <v>1251087.8415253263</v>
      </c>
      <c r="D24" s="3">
        <f t="shared" si="4"/>
        <v>1261519.5981761725</v>
      </c>
      <c r="E24" s="3">
        <f t="shared" si="4"/>
        <v>1379310.722879437</v>
      </c>
      <c r="F24" s="3">
        <f t="shared" si="4"/>
        <v>1912799.3960596779</v>
      </c>
      <c r="G24" s="3">
        <f t="shared" si="4"/>
        <v>2699850.4375649085</v>
      </c>
      <c r="H24" s="3">
        <f t="shared" si="4"/>
        <v>2880364.9276336869</v>
      </c>
      <c r="I24" s="3">
        <f t="shared" si="4"/>
        <v>39149.664493180164</v>
      </c>
      <c r="J24" s="3">
        <f t="shared" si="4"/>
        <v>88629.543187601157</v>
      </c>
      <c r="K24" s="3"/>
      <c r="L24" s="3">
        <f>STDEV(L5:L20)</f>
        <v>77387.368079473134</v>
      </c>
      <c r="M24" s="3"/>
      <c r="N24" s="3" t="s">
        <v>1</v>
      </c>
      <c r="O24" s="3">
        <f>STDEV(O5:O20)</f>
        <v>715661.85733622371</v>
      </c>
      <c r="P24" s="3">
        <f>STDEV(P5:P20)</f>
        <v>2325747.2409625226</v>
      </c>
      <c r="Q24" s="3">
        <f>STDEV(Q5:Q20)</f>
        <v>112735.79511701981</v>
      </c>
      <c r="R24" s="3">
        <f>STDEV(R5:R20)</f>
        <v>1129596.7853890334</v>
      </c>
      <c r="S24" s="3">
        <f>STDEV(S5:S20)</f>
        <v>492523.63642858737</v>
      </c>
      <c r="T24" s="3">
        <f t="shared" ref="T24:V24" si="5">STDEV(T5:T20)</f>
        <v>1036151.518356544</v>
      </c>
      <c r="U24" s="3">
        <f t="shared" si="5"/>
        <v>841941.68201366533</v>
      </c>
      <c r="V24" s="3">
        <f t="shared" si="5"/>
        <v>595162.11017545464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x14ac:dyDescent="0.3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Estradiol-34ng/L</v>
      </c>
      <c r="J27" s="20" t="str">
        <f t="shared" si="6"/>
        <v>Estradiol-68ng/L</v>
      </c>
      <c r="K27" s="20" t="str">
        <f t="shared" si="6"/>
        <v>Estradiol-135ng/L</v>
      </c>
      <c r="L27" s="20" t="str">
        <f t="shared" si="6"/>
        <v>Estradiol-270ng/L</v>
      </c>
      <c r="M27" s="20" t="str">
        <f t="shared" si="6"/>
        <v>Estradiol-540ng/L</v>
      </c>
      <c r="N27" s="3"/>
      <c r="O27" s="21" t="str">
        <f>O4</f>
        <v>Testo -30µg/L</v>
      </c>
      <c r="P27" s="21" t="str">
        <f t="shared" ref="P27:V27" si="7">P4</f>
        <v>Testo 30µg/L + EE2 -64ng/L</v>
      </c>
      <c r="Q27" s="21" t="str">
        <f t="shared" si="7"/>
        <v>Testo 30µg/L + FAD-10mg/L</v>
      </c>
      <c r="R27" s="21" t="str">
        <f t="shared" si="7"/>
        <v>Estradiol-34ng/L + Testostérone</v>
      </c>
      <c r="S27" s="21" t="str">
        <f t="shared" si="7"/>
        <v>Estradiol-68ng/L + Testostérone</v>
      </c>
      <c r="T27" s="21" t="str">
        <f t="shared" si="7"/>
        <v>Estradiol-135ng/L + Testostérone</v>
      </c>
      <c r="U27" s="21" t="str">
        <f t="shared" si="7"/>
        <v>Estradiol-270ng/L + Testostérone</v>
      </c>
      <c r="V27" s="21" t="str">
        <f t="shared" si="7"/>
        <v>Estradiol-540ng/L + Testostérone</v>
      </c>
    </row>
    <row r="28" spans="1:22" ht="14.5" customHeight="1" x14ac:dyDescent="0.35">
      <c r="A28" s="140" t="s">
        <v>36</v>
      </c>
      <c r="B28" s="11">
        <f t="shared" ref="B28:M28" si="8">IF(B5="","",(B5/$O$23))</f>
        <v>1.2622983343022685</v>
      </c>
      <c r="C28" s="11">
        <f t="shared" si="8"/>
        <v>0.25689208638684624</v>
      </c>
      <c r="D28" s="11">
        <f t="shared" si="8"/>
        <v>1.9613434816426549</v>
      </c>
      <c r="E28" s="11">
        <f t="shared" si="8"/>
        <v>4.5855214968677096</v>
      </c>
      <c r="F28" s="11">
        <f t="shared" si="8"/>
        <v>3.7357740856299757</v>
      </c>
      <c r="G28" s="11">
        <f t="shared" si="8"/>
        <v>4.0664500252901785</v>
      </c>
      <c r="H28" s="11">
        <f t="shared" si="8"/>
        <v>9.5074362623814483</v>
      </c>
      <c r="I28" s="11">
        <f t="shared" si="8"/>
        <v>1.6194349463854691E-2</v>
      </c>
      <c r="J28" s="11">
        <f t="shared" si="8"/>
        <v>4.6422535308565009E-3</v>
      </c>
      <c r="K28" s="11">
        <f t="shared" si="8"/>
        <v>5.9536728830350286E-2</v>
      </c>
      <c r="L28" s="11">
        <f t="shared" si="8"/>
        <v>1.3998432289567472E-2</v>
      </c>
      <c r="M28" s="11">
        <f t="shared" si="8"/>
        <v>5.1448189242639566E-2</v>
      </c>
      <c r="N28" s="6"/>
      <c r="O28" s="11">
        <f t="shared" ref="O28:V37" si="9">IF(O5="","",(O5/$O$23))</f>
        <v>1.142501251556215</v>
      </c>
      <c r="P28" s="11">
        <f t="shared" si="9"/>
        <v>5.9792113220556908</v>
      </c>
      <c r="Q28" s="11">
        <f t="shared" si="9"/>
        <v>1.3227313911023043E-2</v>
      </c>
      <c r="R28" s="11">
        <f t="shared" si="9"/>
        <v>1.3535087721191918</v>
      </c>
      <c r="S28" s="11">
        <f t="shared" si="9"/>
        <v>0.82852049972443098</v>
      </c>
      <c r="T28" s="11">
        <f t="shared" si="9"/>
        <v>0.41648595828405005</v>
      </c>
      <c r="U28" s="11">
        <f t="shared" si="9"/>
        <v>2.601941655352829</v>
      </c>
      <c r="V28" s="11">
        <f t="shared" si="9"/>
        <v>0.64183040878988595</v>
      </c>
    </row>
    <row r="29" spans="1:22" x14ac:dyDescent="0.35">
      <c r="A29" s="141"/>
      <c r="B29" s="11">
        <f t="shared" ref="B29:M29" si="10">IF(B6="","",(B6/$O$23))</f>
        <v>3.6605257118974803</v>
      </c>
      <c r="C29" s="11">
        <f t="shared" si="10"/>
        <v>1.7585410751143131</v>
      </c>
      <c r="D29" s="11">
        <f t="shared" si="10"/>
        <v>0.86952275500822174</v>
      </c>
      <c r="E29" s="11">
        <f t="shared" si="10"/>
        <v>3.7975481803268534</v>
      </c>
      <c r="F29" s="11">
        <f t="shared" si="10"/>
        <v>7.2835887141255631</v>
      </c>
      <c r="G29" s="11">
        <f t="shared" si="10"/>
        <v>6.5570423594840763</v>
      </c>
      <c r="H29" s="11">
        <f t="shared" si="10"/>
        <v>6.7429544239247035</v>
      </c>
      <c r="I29" s="11">
        <f t="shared" si="10"/>
        <v>3.1738472568197673E-2</v>
      </c>
      <c r="J29" s="11">
        <f t="shared" si="10"/>
        <v>0.14837941010307557</v>
      </c>
      <c r="K29" s="11">
        <f t="shared" si="10"/>
        <v>7.0822862321476485E-2</v>
      </c>
      <c r="L29" s="11">
        <f t="shared" si="10"/>
        <v>2.3472049009624515E-2</v>
      </c>
      <c r="M29" s="11">
        <f t="shared" si="10"/>
        <v>7.2880617188297733E-2</v>
      </c>
      <c r="N29" s="6"/>
      <c r="O29" s="11">
        <f t="shared" si="9"/>
        <v>1.3433331181743233</v>
      </c>
      <c r="P29" s="11">
        <f t="shared" si="9"/>
        <v>7.4571741101969611</v>
      </c>
      <c r="Q29" s="11">
        <f t="shared" si="9"/>
        <v>0.1334855133582443</v>
      </c>
      <c r="R29" s="11">
        <f t="shared" si="9"/>
        <v>1.040002953219322</v>
      </c>
      <c r="S29" s="11">
        <f t="shared" si="9"/>
        <v>0.12654285740807944</v>
      </c>
      <c r="T29" s="11">
        <f t="shared" si="9"/>
        <v>0.63824250636787916</v>
      </c>
      <c r="U29" s="11">
        <f t="shared" si="9"/>
        <v>0.40920480468059356</v>
      </c>
      <c r="V29" s="11">
        <f t="shared" si="9"/>
        <v>1.3849260173225311</v>
      </c>
    </row>
    <row r="30" spans="1:22" x14ac:dyDescent="0.35">
      <c r="A30" s="141"/>
      <c r="B30" s="11">
        <f t="shared" ref="B30:M30" si="11">IF(B7="","",(B7/$O$23))</f>
        <v>3.3444707984248634</v>
      </c>
      <c r="C30" s="11">
        <f t="shared" si="11"/>
        <v>0.78984627932144169</v>
      </c>
      <c r="D30" s="11">
        <f t="shared" si="11"/>
        <v>1.1621539762788271</v>
      </c>
      <c r="E30" s="11">
        <f t="shared" si="11"/>
        <v>2.9469122127492291</v>
      </c>
      <c r="F30" s="11">
        <f t="shared" si="11"/>
        <v>5.6538649934059881</v>
      </c>
      <c r="G30" s="11">
        <f t="shared" si="11"/>
        <v>3.68753298894939</v>
      </c>
      <c r="H30" s="11">
        <f t="shared" si="11"/>
        <v>8.8381150084635216</v>
      </c>
      <c r="I30" s="11">
        <f t="shared" si="11"/>
        <v>8.8831455585243663E-2</v>
      </c>
      <c r="J30" s="11">
        <f t="shared" si="11"/>
        <v>6.7824740249464999E-2</v>
      </c>
      <c r="K30" s="11">
        <f t="shared" si="11"/>
        <v>4.6586603048680841E-2</v>
      </c>
      <c r="L30" s="11">
        <f t="shared" si="11"/>
        <v>1.7419676428193486E-2</v>
      </c>
      <c r="M30" s="11">
        <f t="shared" si="11"/>
        <v>5.0321302922370269E-2</v>
      </c>
      <c r="N30" s="6"/>
      <c r="O30" s="11">
        <f t="shared" si="9"/>
        <v>0.23283371108491305</v>
      </c>
      <c r="P30" s="11">
        <f t="shared" si="9"/>
        <v>6.6805275123250496</v>
      </c>
      <c r="Q30" s="11">
        <f t="shared" si="9"/>
        <v>8.8932486772578145E-2</v>
      </c>
      <c r="R30" s="11">
        <f t="shared" si="9"/>
        <v>3.1485264234333634</v>
      </c>
      <c r="S30" s="11">
        <f t="shared" si="9"/>
        <v>1.0723294791086717</v>
      </c>
      <c r="T30" s="11">
        <f t="shared" si="9"/>
        <v>2.8115252406344844</v>
      </c>
      <c r="U30" s="11">
        <f t="shared" si="9"/>
        <v>0.85588958931901737</v>
      </c>
      <c r="V30" s="11">
        <f t="shared" si="9"/>
        <v>0.24563185832836992</v>
      </c>
    </row>
    <row r="31" spans="1:22" x14ac:dyDescent="0.35">
      <c r="A31" s="141"/>
      <c r="B31" s="11">
        <f t="shared" ref="B31:M31" si="12">IF(B8="","",(B8/$O$23))</f>
        <v>8.0600436117958668E-3</v>
      </c>
      <c r="C31" s="11">
        <f t="shared" si="12"/>
        <v>3.5482714276246465</v>
      </c>
      <c r="D31" s="11">
        <f t="shared" si="12"/>
        <v>1.4814263444865576</v>
      </c>
      <c r="E31" s="11">
        <f t="shared" si="12"/>
        <v>4.9384657464337396</v>
      </c>
      <c r="F31" s="11">
        <f t="shared" si="12"/>
        <v>3.2761098157195461</v>
      </c>
      <c r="G31" s="11">
        <f t="shared" si="12"/>
        <v>8.1427294352421384</v>
      </c>
      <c r="H31" s="11">
        <f t="shared" si="12"/>
        <v>3.852060982251972</v>
      </c>
      <c r="I31" s="11">
        <f t="shared" si="12"/>
        <v>2.401951715295841E-2</v>
      </c>
      <c r="J31" s="11">
        <f t="shared" si="12"/>
        <v>4.3014243886263924E-2</v>
      </c>
      <c r="K31" s="11">
        <f t="shared" si="12"/>
        <v>0.10171250021318012</v>
      </c>
      <c r="L31" s="11">
        <f t="shared" si="12"/>
        <v>1.9758073482054984E-2</v>
      </c>
      <c r="M31" s="11">
        <f t="shared" si="12"/>
        <v>9.8903487799512677E-2</v>
      </c>
      <c r="N31" s="6"/>
      <c r="O31" s="11">
        <f t="shared" si="9"/>
        <v>2.1277737972161592</v>
      </c>
      <c r="P31" s="11">
        <f t="shared" si="9"/>
        <v>6.4880570558518968</v>
      </c>
      <c r="Q31" s="11">
        <f t="shared" si="9"/>
        <v>0.11028547139144339</v>
      </c>
      <c r="R31" s="11">
        <f t="shared" si="9"/>
        <v>0.57419391468434333</v>
      </c>
      <c r="S31" s="11">
        <f t="shared" si="9"/>
        <v>1.2134665937572657</v>
      </c>
      <c r="T31" s="11">
        <f t="shared" si="9"/>
        <v>0.17574418212555371</v>
      </c>
      <c r="U31" s="11">
        <f t="shared" si="9"/>
        <v>0.32831250068811307</v>
      </c>
      <c r="V31" s="11">
        <f t="shared" si="9"/>
        <v>1.9187463152220539</v>
      </c>
    </row>
    <row r="32" spans="1:22" x14ac:dyDescent="0.35">
      <c r="A32" s="141"/>
      <c r="B32" s="11">
        <f t="shared" ref="B32:M32" si="13">IF(B9="","",(B9/$O$23))</f>
        <v>1.8620350055793826</v>
      </c>
      <c r="C32" s="11">
        <f t="shared" si="13"/>
        <v>1.7450624785065862</v>
      </c>
      <c r="D32" s="11">
        <f t="shared" si="13"/>
        <v>1.1029272491258535</v>
      </c>
      <c r="E32" s="11">
        <f t="shared" si="13"/>
        <v>4.9901004547914578</v>
      </c>
      <c r="F32" s="11">
        <f t="shared" si="13"/>
        <v>2.9382684333883895</v>
      </c>
      <c r="G32" s="11">
        <f t="shared" si="13"/>
        <v>1.7992816855283402</v>
      </c>
      <c r="H32" s="11">
        <f t="shared" si="13"/>
        <v>10.011509351969126</v>
      </c>
      <c r="I32" s="11">
        <f t="shared" si="13"/>
        <v>4.4834532287128047E-2</v>
      </c>
      <c r="J32" s="11">
        <f t="shared" si="13"/>
        <v>4.8380122502473429E-2</v>
      </c>
      <c r="K32" s="11">
        <f t="shared" si="13"/>
        <v>0.13276965990268624</v>
      </c>
      <c r="L32" s="11">
        <f t="shared" si="13"/>
        <v>0.21345903800607613</v>
      </c>
      <c r="M32" s="11">
        <f t="shared" si="13"/>
        <v>0.64932053288338476</v>
      </c>
      <c r="N32" s="6"/>
      <c r="O32" s="11">
        <f t="shared" si="9"/>
        <v>0.15182224210224313</v>
      </c>
      <c r="P32" s="11">
        <f t="shared" si="9"/>
        <v>5.4811362036408786</v>
      </c>
      <c r="Q32" s="11">
        <f t="shared" si="9"/>
        <v>0.10858348446634701</v>
      </c>
      <c r="R32" s="11">
        <f t="shared" si="9"/>
        <v>0.14058619244757334</v>
      </c>
      <c r="S32" s="11">
        <f t="shared" si="9"/>
        <v>0.83282770965968245</v>
      </c>
      <c r="T32" s="11">
        <f t="shared" si="9"/>
        <v>0.70921216614103821</v>
      </c>
      <c r="U32" s="11">
        <f t="shared" si="9"/>
        <v>1.0660603644074036</v>
      </c>
      <c r="V32" s="11">
        <f t="shared" si="9"/>
        <v>0.93011728900510837</v>
      </c>
    </row>
    <row r="33" spans="1:22" x14ac:dyDescent="0.35">
      <c r="A33" s="141"/>
      <c r="B33" s="11">
        <f t="shared" ref="B33:M33" si="14">IF(B10="","",(B10/$O$23))</f>
        <v>0.3360564980215805</v>
      </c>
      <c r="C33" s="11">
        <f t="shared" si="14"/>
        <v>0.46106920787447436</v>
      </c>
      <c r="D33" s="11">
        <f t="shared" si="14"/>
        <v>0.47778943762112142</v>
      </c>
      <c r="E33" s="11">
        <f t="shared" si="14"/>
        <v>4.8024164587575795</v>
      </c>
      <c r="F33" s="11">
        <f t="shared" si="14"/>
        <v>4.2869061206549839</v>
      </c>
      <c r="G33" s="11">
        <f t="shared" si="14"/>
        <v>1.9138847290280951</v>
      </c>
      <c r="H33" s="11">
        <f t="shared" si="14"/>
        <v>4.8687723609757976</v>
      </c>
      <c r="I33" s="11">
        <f t="shared" si="14"/>
        <v>5.0194366302385912E-2</v>
      </c>
      <c r="J33" s="11">
        <f t="shared" si="14"/>
        <v>0.12508524506431348</v>
      </c>
      <c r="K33" s="11">
        <f t="shared" si="14"/>
        <v>0.13947916695900228</v>
      </c>
      <c r="L33" s="11">
        <f t="shared" si="14"/>
        <v>4.7941457176268985E-2</v>
      </c>
      <c r="M33" s="11">
        <f t="shared" si="14"/>
        <v>0.13094505392971381</v>
      </c>
      <c r="N33" s="6"/>
      <c r="O33" s="11">
        <f t="shared" si="9"/>
        <v>0.90117919370636146</v>
      </c>
      <c r="P33" s="11">
        <f t="shared" si="9"/>
        <v>3.6840443906858744</v>
      </c>
      <c r="Q33" s="11">
        <f t="shared" si="9"/>
        <v>5.8922770076548392E-2</v>
      </c>
      <c r="R33" s="11">
        <f t="shared" si="9"/>
        <v>0.59732746604067632</v>
      </c>
      <c r="S33" s="11">
        <f t="shared" si="9"/>
        <v>0.5148091643922057</v>
      </c>
      <c r="T33" s="11">
        <f t="shared" si="9"/>
        <v>0.15810171897657135</v>
      </c>
      <c r="U33" s="11">
        <f t="shared" si="9"/>
        <v>0.93663077828770702</v>
      </c>
      <c r="V33" s="11">
        <f t="shared" si="9"/>
        <v>0.75644036040501417</v>
      </c>
    </row>
    <row r="34" spans="1:22" x14ac:dyDescent="0.35">
      <c r="A34" s="141"/>
      <c r="B34" s="11">
        <f t="shared" ref="B34:M34" si="15">IF(B11="","",(B11/$O$23))</f>
        <v>0.45147815319307127</v>
      </c>
      <c r="C34" s="11">
        <f t="shared" si="15"/>
        <v>0.6151400415307261</v>
      </c>
      <c r="D34" s="11">
        <f t="shared" si="15"/>
        <v>3.6985505694553793</v>
      </c>
      <c r="E34" s="11">
        <f t="shared" si="15"/>
        <v>5.6735108100132265</v>
      </c>
      <c r="F34" s="11" t="str">
        <f t="shared" si="15"/>
        <v/>
      </c>
      <c r="G34" s="11">
        <f t="shared" si="15"/>
        <v>6.6782072490740427</v>
      </c>
      <c r="H34" s="11">
        <f t="shared" si="15"/>
        <v>3.9080702546698318</v>
      </c>
      <c r="I34" s="11">
        <f t="shared" si="15"/>
        <v>0.11538970513788922</v>
      </c>
      <c r="J34" s="11">
        <f t="shared" si="15"/>
        <v>0.24807905819936088</v>
      </c>
      <c r="K34" s="11">
        <f t="shared" si="15"/>
        <v>7.3885747975112645E-2</v>
      </c>
      <c r="L34" s="11">
        <f t="shared" si="15"/>
        <v>6.9781463928951765E-2</v>
      </c>
      <c r="M34" s="11">
        <f t="shared" si="15"/>
        <v>4.6873289836672723E-2</v>
      </c>
      <c r="N34" s="6"/>
      <c r="O34" s="11">
        <f t="shared" si="9"/>
        <v>1.0583008238143461</v>
      </c>
      <c r="P34" s="11">
        <f t="shared" si="9"/>
        <v>6.3437879743959336</v>
      </c>
      <c r="Q34" s="11">
        <f t="shared" si="9"/>
        <v>0.32090527397909391</v>
      </c>
      <c r="R34" s="11">
        <f t="shared" si="9"/>
        <v>1.0621581427359117</v>
      </c>
      <c r="S34" s="11">
        <f t="shared" si="9"/>
        <v>0.19069593433663634</v>
      </c>
      <c r="T34" s="11">
        <f t="shared" si="9"/>
        <v>1.2863126703686969</v>
      </c>
      <c r="U34" s="11">
        <f t="shared" si="9"/>
        <v>1.2253520062570256</v>
      </c>
      <c r="V34" s="11">
        <f t="shared" si="9"/>
        <v>1.2770799741722836</v>
      </c>
    </row>
    <row r="35" spans="1:22" x14ac:dyDescent="0.35">
      <c r="A35" s="141"/>
      <c r="B35" s="11" t="str">
        <f t="shared" ref="B35:M35" si="16">IF(B12="","",(B12/$O$23))</f>
        <v/>
      </c>
      <c r="C35" s="11">
        <f t="shared" si="16"/>
        <v>0.84914813222909991</v>
      </c>
      <c r="D35" s="11">
        <f t="shared" si="16"/>
        <v>0.20323416373917289</v>
      </c>
      <c r="E35" s="11">
        <f t="shared" si="16"/>
        <v>6.1666638962245637</v>
      </c>
      <c r="F35" s="11" t="str">
        <f t="shared" si="16"/>
        <v/>
      </c>
      <c r="G35" s="11">
        <f t="shared" si="16"/>
        <v>5.8776559814672531</v>
      </c>
      <c r="H35" s="11">
        <f t="shared" si="16"/>
        <v>7.7270327291394887</v>
      </c>
      <c r="I35" s="11">
        <f t="shared" si="16"/>
        <v>4.2201676815479705E-2</v>
      </c>
      <c r="J35" s="11">
        <f t="shared" si="16"/>
        <v>8.7559498842135097E-2</v>
      </c>
      <c r="K35" s="11">
        <f t="shared" si="16"/>
        <v>0.32169884373260155</v>
      </c>
      <c r="L35" s="11">
        <f t="shared" si="16"/>
        <v>8.4468980727005746E-2</v>
      </c>
      <c r="M35" s="11">
        <f t="shared" si="16"/>
        <v>5.6176794215662296E-2</v>
      </c>
      <c r="N35" s="6"/>
      <c r="O35" s="11">
        <f t="shared" si="9"/>
        <v>1.9679295061366733</v>
      </c>
      <c r="P35" s="11">
        <f t="shared" si="9"/>
        <v>1.2762915855053061</v>
      </c>
      <c r="Q35" s="11" t="str">
        <f t="shared" si="9"/>
        <v/>
      </c>
      <c r="R35" s="11" t="str">
        <f t="shared" si="9"/>
        <v/>
      </c>
      <c r="S35" s="11">
        <f t="shared" si="9"/>
        <v>1.171794251282265</v>
      </c>
      <c r="T35" s="11">
        <f t="shared" si="9"/>
        <v>0.21871956786284283</v>
      </c>
      <c r="U35" s="11">
        <f t="shared" si="9"/>
        <v>0.49555365630355813</v>
      </c>
      <c r="V35" s="11">
        <f t="shared" si="9"/>
        <v>0.86462921878066146</v>
      </c>
    </row>
    <row r="36" spans="1:22" x14ac:dyDescent="0.35">
      <c r="A36" s="141"/>
      <c r="B36" s="11" t="str">
        <f t="shared" ref="B36:M36" si="17">IF(B13="","",(B13/$O$23))</f>
        <v/>
      </c>
      <c r="C36" s="11" t="str">
        <f t="shared" si="17"/>
        <v/>
      </c>
      <c r="D36" s="11" t="str">
        <f t="shared" si="17"/>
        <v/>
      </c>
      <c r="E36" s="11">
        <f t="shared" si="17"/>
        <v>2.5615965345439231</v>
      </c>
      <c r="F36" s="11" t="str">
        <f t="shared" si="17"/>
        <v/>
      </c>
      <c r="G36" s="11" t="str">
        <f t="shared" si="17"/>
        <v/>
      </c>
      <c r="H36" s="11" t="str">
        <f t="shared" si="17"/>
        <v/>
      </c>
      <c r="I36" s="11" t="str">
        <f t="shared" si="17"/>
        <v/>
      </c>
      <c r="J36" s="11" t="str">
        <f t="shared" si="17"/>
        <v/>
      </c>
      <c r="K36" s="11" t="str">
        <f t="shared" si="17"/>
        <v/>
      </c>
      <c r="L36" s="11" t="str">
        <f t="shared" si="17"/>
        <v/>
      </c>
      <c r="M36" s="11" t="str">
        <f t="shared" si="17"/>
        <v/>
      </c>
      <c r="N36" s="6"/>
      <c r="O36" s="11">
        <f t="shared" si="9"/>
        <v>0.74381837010357643</v>
      </c>
      <c r="P36" s="11" t="str">
        <f t="shared" si="9"/>
        <v/>
      </c>
      <c r="Q36" s="11" t="str">
        <f t="shared" si="9"/>
        <v/>
      </c>
      <c r="R36" s="11" t="str">
        <f t="shared" si="9"/>
        <v/>
      </c>
      <c r="S36" s="11" t="str">
        <f t="shared" si="9"/>
        <v/>
      </c>
      <c r="T36" s="11" t="str">
        <f t="shared" si="9"/>
        <v/>
      </c>
      <c r="U36" s="11" t="str">
        <f t="shared" si="9"/>
        <v/>
      </c>
      <c r="V36" s="11" t="str">
        <f t="shared" si="9"/>
        <v/>
      </c>
    </row>
    <row r="37" spans="1:22" x14ac:dyDescent="0.35">
      <c r="A37" s="141"/>
      <c r="B37" s="11" t="str">
        <f t="shared" ref="B37:M37" si="18">IF(B14="","",(B14/$O$23))</f>
        <v/>
      </c>
      <c r="C37" s="11" t="str">
        <f t="shared" si="18"/>
        <v/>
      </c>
      <c r="D37" s="11" t="str">
        <f t="shared" si="18"/>
        <v/>
      </c>
      <c r="E37" s="11" t="str">
        <f t="shared" si="18"/>
        <v/>
      </c>
      <c r="F37" s="11" t="str">
        <f t="shared" si="18"/>
        <v/>
      </c>
      <c r="G37" s="11" t="str">
        <f t="shared" si="18"/>
        <v/>
      </c>
      <c r="H37" s="11" t="str">
        <f t="shared" si="18"/>
        <v/>
      </c>
      <c r="I37" s="11" t="str">
        <f t="shared" si="18"/>
        <v/>
      </c>
      <c r="J37" s="11" t="str">
        <f t="shared" si="18"/>
        <v/>
      </c>
      <c r="K37" s="11" t="str">
        <f t="shared" si="18"/>
        <v/>
      </c>
      <c r="L37" s="11" t="str">
        <f t="shared" si="18"/>
        <v/>
      </c>
      <c r="M37" s="11" t="str">
        <f t="shared" si="18"/>
        <v/>
      </c>
      <c r="N37" s="6"/>
      <c r="O37" s="11">
        <f t="shared" si="9"/>
        <v>0.85527735759405887</v>
      </c>
      <c r="P37" s="11" t="str">
        <f t="shared" si="9"/>
        <v/>
      </c>
      <c r="Q37" s="11" t="str">
        <f t="shared" si="9"/>
        <v/>
      </c>
      <c r="R37" s="11" t="str">
        <f t="shared" si="9"/>
        <v/>
      </c>
      <c r="S37" s="11" t="str">
        <f t="shared" si="9"/>
        <v/>
      </c>
      <c r="T37" s="11" t="str">
        <f t="shared" si="9"/>
        <v/>
      </c>
      <c r="U37" s="11" t="str">
        <f t="shared" si="9"/>
        <v/>
      </c>
      <c r="V37" s="11" t="str">
        <f t="shared" si="9"/>
        <v/>
      </c>
    </row>
    <row r="38" spans="1:22" x14ac:dyDescent="0.35">
      <c r="A38" s="141"/>
      <c r="B38" s="11" t="str">
        <f t="shared" ref="B38:M38" si="19">IF(B15="","",(B15/$O$23))</f>
        <v/>
      </c>
      <c r="C38" s="11" t="str">
        <f t="shared" si="19"/>
        <v/>
      </c>
      <c r="D38" s="11" t="str">
        <f t="shared" si="19"/>
        <v/>
      </c>
      <c r="E38" s="11" t="str">
        <f t="shared" si="19"/>
        <v/>
      </c>
      <c r="F38" s="11" t="str">
        <f t="shared" si="19"/>
        <v/>
      </c>
      <c r="G38" s="11" t="str">
        <f t="shared" si="19"/>
        <v/>
      </c>
      <c r="H38" s="11" t="str">
        <f t="shared" si="19"/>
        <v/>
      </c>
      <c r="I38" s="11" t="str">
        <f t="shared" si="19"/>
        <v/>
      </c>
      <c r="J38" s="11" t="str">
        <f t="shared" si="19"/>
        <v/>
      </c>
      <c r="K38" s="11" t="str">
        <f t="shared" si="19"/>
        <v/>
      </c>
      <c r="L38" s="11" t="str">
        <f t="shared" si="19"/>
        <v/>
      </c>
      <c r="M38" s="11" t="str">
        <f t="shared" si="19"/>
        <v/>
      </c>
      <c r="N38" s="6"/>
      <c r="O38" s="11">
        <f t="shared" ref="O38:V43" si="20">IF(O15="","",(O15/$O$23))</f>
        <v>0.3724259984331531</v>
      </c>
      <c r="P38" s="11" t="str">
        <f t="shared" si="20"/>
        <v/>
      </c>
      <c r="Q38" s="11" t="str">
        <f t="shared" si="20"/>
        <v/>
      </c>
      <c r="R38" s="11" t="str">
        <f t="shared" si="20"/>
        <v/>
      </c>
      <c r="S38" s="11" t="str">
        <f t="shared" si="20"/>
        <v/>
      </c>
      <c r="T38" s="11" t="str">
        <f t="shared" si="20"/>
        <v/>
      </c>
      <c r="U38" s="11" t="str">
        <f t="shared" si="20"/>
        <v/>
      </c>
      <c r="V38" s="11" t="str">
        <f t="shared" si="20"/>
        <v/>
      </c>
    </row>
    <row r="39" spans="1:22" x14ac:dyDescent="0.35">
      <c r="A39" s="141"/>
      <c r="B39" s="11" t="str">
        <f t="shared" ref="B39:M39" si="21">IF(B16="","",(B16/$O$23))</f>
        <v/>
      </c>
      <c r="C39" s="11" t="str">
        <f t="shared" si="21"/>
        <v/>
      </c>
      <c r="D39" s="11" t="str">
        <f t="shared" si="21"/>
        <v/>
      </c>
      <c r="E39" s="11" t="str">
        <f t="shared" si="21"/>
        <v/>
      </c>
      <c r="F39" s="11" t="str">
        <f t="shared" si="21"/>
        <v/>
      </c>
      <c r="G39" s="11" t="str">
        <f t="shared" si="21"/>
        <v/>
      </c>
      <c r="H39" s="11" t="str">
        <f t="shared" si="21"/>
        <v/>
      </c>
      <c r="I39" s="11" t="str">
        <f t="shared" si="21"/>
        <v/>
      </c>
      <c r="J39" s="11" t="str">
        <f t="shared" si="21"/>
        <v/>
      </c>
      <c r="K39" s="11" t="str">
        <f t="shared" si="21"/>
        <v/>
      </c>
      <c r="L39" s="11" t="str">
        <f t="shared" si="21"/>
        <v/>
      </c>
      <c r="M39" s="11" t="str">
        <f t="shared" si="21"/>
        <v/>
      </c>
      <c r="N39" s="6"/>
      <c r="O39" s="11">
        <f t="shared" si="20"/>
        <v>0.89942884997365202</v>
      </c>
      <c r="P39" s="11" t="str">
        <f t="shared" si="20"/>
        <v/>
      </c>
      <c r="Q39" s="11" t="str">
        <f t="shared" si="20"/>
        <v/>
      </c>
      <c r="R39" s="11" t="str">
        <f t="shared" si="20"/>
        <v/>
      </c>
      <c r="S39" s="11" t="str">
        <f t="shared" si="20"/>
        <v/>
      </c>
      <c r="T39" s="11" t="str">
        <f t="shared" si="20"/>
        <v/>
      </c>
      <c r="U39" s="11" t="str">
        <f t="shared" si="20"/>
        <v/>
      </c>
      <c r="V39" s="11" t="str">
        <f t="shared" si="20"/>
        <v/>
      </c>
    </row>
    <row r="40" spans="1:22" x14ac:dyDescent="0.35">
      <c r="A40" s="141"/>
      <c r="B40" s="11" t="str">
        <f t="shared" ref="B40:M40" si="22">IF(B17="","",(B17/$O$23))</f>
        <v/>
      </c>
      <c r="C40" s="11" t="str">
        <f t="shared" si="22"/>
        <v/>
      </c>
      <c r="D40" s="11" t="str">
        <f t="shared" si="22"/>
        <v/>
      </c>
      <c r="E40" s="11" t="str">
        <f t="shared" si="22"/>
        <v/>
      </c>
      <c r="F40" s="11" t="str">
        <f t="shared" si="22"/>
        <v/>
      </c>
      <c r="G40" s="11" t="str">
        <f t="shared" si="22"/>
        <v/>
      </c>
      <c r="H40" s="11" t="str">
        <f t="shared" si="22"/>
        <v/>
      </c>
      <c r="I40" s="11" t="str">
        <f t="shared" si="22"/>
        <v/>
      </c>
      <c r="J40" s="11" t="str">
        <f t="shared" si="22"/>
        <v/>
      </c>
      <c r="K40" s="11" t="str">
        <f t="shared" si="22"/>
        <v/>
      </c>
      <c r="L40" s="11" t="str">
        <f t="shared" si="22"/>
        <v/>
      </c>
      <c r="M40" s="11" t="str">
        <f t="shared" si="22"/>
        <v/>
      </c>
      <c r="N40" s="6"/>
      <c r="O40" s="11">
        <f t="shared" si="20"/>
        <v>1.622186103332885</v>
      </c>
      <c r="P40" s="11" t="str">
        <f t="shared" si="20"/>
        <v/>
      </c>
      <c r="Q40" s="11" t="str">
        <f t="shared" si="20"/>
        <v/>
      </c>
      <c r="R40" s="11" t="str">
        <f t="shared" si="20"/>
        <v/>
      </c>
      <c r="S40" s="11" t="str">
        <f t="shared" si="20"/>
        <v/>
      </c>
      <c r="T40" s="11" t="str">
        <f t="shared" si="20"/>
        <v/>
      </c>
      <c r="U40" s="11" t="str">
        <f t="shared" si="20"/>
        <v/>
      </c>
      <c r="V40" s="11" t="str">
        <f t="shared" si="20"/>
        <v/>
      </c>
    </row>
    <row r="41" spans="1:22" x14ac:dyDescent="0.35">
      <c r="A41" s="141"/>
      <c r="B41" s="11" t="str">
        <f t="shared" ref="B41:M41" si="23">IF(B18="","",(B18/$O$23))</f>
        <v/>
      </c>
      <c r="C41" s="11" t="str">
        <f t="shared" si="23"/>
        <v/>
      </c>
      <c r="D41" s="11" t="str">
        <f t="shared" si="23"/>
        <v/>
      </c>
      <c r="E41" s="11" t="str">
        <f t="shared" si="23"/>
        <v/>
      </c>
      <c r="F41" s="11" t="str">
        <f t="shared" si="23"/>
        <v/>
      </c>
      <c r="G41" s="11" t="str">
        <f t="shared" si="23"/>
        <v/>
      </c>
      <c r="H41" s="11" t="str">
        <f t="shared" si="23"/>
        <v/>
      </c>
      <c r="I41" s="11" t="str">
        <f t="shared" si="23"/>
        <v/>
      </c>
      <c r="J41" s="11" t="str">
        <f t="shared" si="23"/>
        <v/>
      </c>
      <c r="K41" s="11" t="str">
        <f t="shared" si="23"/>
        <v/>
      </c>
      <c r="L41" s="11" t="str">
        <f t="shared" si="23"/>
        <v/>
      </c>
      <c r="M41" s="11" t="str">
        <f t="shared" si="23"/>
        <v/>
      </c>
      <c r="N41" s="6"/>
      <c r="O41" s="11">
        <f t="shared" si="20"/>
        <v>0.32568482630299467</v>
      </c>
      <c r="P41" s="11" t="str">
        <f t="shared" si="20"/>
        <v/>
      </c>
      <c r="Q41" s="11" t="str">
        <f t="shared" si="20"/>
        <v/>
      </c>
      <c r="R41" s="11" t="str">
        <f t="shared" si="20"/>
        <v/>
      </c>
      <c r="S41" s="11" t="str">
        <f t="shared" si="20"/>
        <v/>
      </c>
      <c r="T41" s="11" t="str">
        <f t="shared" si="20"/>
        <v/>
      </c>
      <c r="U41" s="11" t="str">
        <f t="shared" si="20"/>
        <v/>
      </c>
      <c r="V41" s="11" t="str">
        <f t="shared" si="20"/>
        <v/>
      </c>
    </row>
    <row r="42" spans="1:22" x14ac:dyDescent="0.35">
      <c r="A42" s="141"/>
      <c r="B42" s="11" t="str">
        <f t="shared" ref="B42:M42" si="24">IF(B19="","",(B19/$O$23))</f>
        <v/>
      </c>
      <c r="C42" s="11" t="str">
        <f t="shared" si="24"/>
        <v/>
      </c>
      <c r="D42" s="11" t="str">
        <f t="shared" si="24"/>
        <v/>
      </c>
      <c r="E42" s="11" t="str">
        <f t="shared" si="24"/>
        <v/>
      </c>
      <c r="F42" s="11" t="str">
        <f t="shared" si="24"/>
        <v/>
      </c>
      <c r="G42" s="11" t="str">
        <f t="shared" si="24"/>
        <v/>
      </c>
      <c r="H42" s="11" t="str">
        <f t="shared" si="24"/>
        <v/>
      </c>
      <c r="I42" s="11" t="str">
        <f t="shared" si="24"/>
        <v/>
      </c>
      <c r="J42" s="11" t="str">
        <f t="shared" si="24"/>
        <v/>
      </c>
      <c r="K42" s="11" t="str">
        <f t="shared" si="24"/>
        <v/>
      </c>
      <c r="L42" s="11" t="str">
        <f t="shared" si="24"/>
        <v/>
      </c>
      <c r="M42" s="11" t="str">
        <f t="shared" si="24"/>
        <v/>
      </c>
      <c r="N42" s="6"/>
      <c r="O42" s="11">
        <f t="shared" si="20"/>
        <v>1.7174619670469944</v>
      </c>
      <c r="P42" s="11" t="str">
        <f t="shared" si="20"/>
        <v/>
      </c>
      <c r="Q42" s="11" t="str">
        <f t="shared" si="20"/>
        <v/>
      </c>
      <c r="R42" s="11" t="str">
        <f t="shared" si="20"/>
        <v/>
      </c>
      <c r="S42" s="11" t="str">
        <f t="shared" si="20"/>
        <v/>
      </c>
      <c r="T42" s="11" t="str">
        <f t="shared" si="20"/>
        <v/>
      </c>
      <c r="U42" s="11" t="str">
        <f t="shared" si="20"/>
        <v/>
      </c>
      <c r="V42" s="11" t="str">
        <f t="shared" si="20"/>
        <v/>
      </c>
    </row>
    <row r="43" spans="1:22" x14ac:dyDescent="0.35">
      <c r="A43" s="141"/>
      <c r="B43" s="11" t="str">
        <f t="shared" ref="B43:M43" si="25">IF(B20="","",(B20/$O$23))</f>
        <v/>
      </c>
      <c r="C43" s="11" t="str">
        <f t="shared" si="25"/>
        <v/>
      </c>
      <c r="D43" s="11" t="str">
        <f t="shared" si="25"/>
        <v/>
      </c>
      <c r="E43" s="11" t="str">
        <f t="shared" si="25"/>
        <v/>
      </c>
      <c r="F43" s="11" t="str">
        <f t="shared" si="25"/>
        <v/>
      </c>
      <c r="G43" s="11" t="str">
        <f t="shared" si="25"/>
        <v/>
      </c>
      <c r="H43" s="11" t="str">
        <f t="shared" si="25"/>
        <v/>
      </c>
      <c r="I43" s="11" t="str">
        <f t="shared" si="25"/>
        <v/>
      </c>
      <c r="J43" s="11" t="str">
        <f t="shared" si="25"/>
        <v/>
      </c>
      <c r="K43" s="11" t="str">
        <f t="shared" si="25"/>
        <v/>
      </c>
      <c r="L43" s="11" t="str">
        <f t="shared" si="25"/>
        <v/>
      </c>
      <c r="M43" s="11" t="str">
        <f t="shared" si="25"/>
        <v/>
      </c>
      <c r="N43" s="6"/>
      <c r="O43" s="11">
        <f t="shared" si="20"/>
        <v>0.53804288342145135</v>
      </c>
      <c r="P43" s="11" t="str">
        <f t="shared" si="20"/>
        <v/>
      </c>
      <c r="Q43" s="11" t="str">
        <f t="shared" si="20"/>
        <v/>
      </c>
      <c r="R43" s="11" t="str">
        <f t="shared" si="20"/>
        <v/>
      </c>
      <c r="S43" s="11" t="str">
        <f t="shared" si="20"/>
        <v/>
      </c>
      <c r="T43" s="11" t="str">
        <f t="shared" si="20"/>
        <v/>
      </c>
      <c r="U43" s="11" t="str">
        <f t="shared" si="20"/>
        <v/>
      </c>
      <c r="V43" s="11" t="str">
        <f t="shared" si="20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3" t="str">
        <f t="shared" ref="A45" si="26">A4</f>
        <v>Group names</v>
      </c>
      <c r="B45" s="7" t="str">
        <f t="shared" ref="B45:V45" si="27">B4</f>
        <v>Solvent control</v>
      </c>
      <c r="C45" s="7" t="str">
        <f t="shared" si="27"/>
        <v>EE2-33.8ng/L</v>
      </c>
      <c r="D45" s="7" t="str">
        <f t="shared" si="27"/>
        <v>EE2-50.6ng/L</v>
      </c>
      <c r="E45" s="7" t="str">
        <f t="shared" si="27"/>
        <v>EE2-76ng/L</v>
      </c>
      <c r="F45" s="7" t="str">
        <f t="shared" si="27"/>
        <v>EE2-114ng/L</v>
      </c>
      <c r="G45" s="7" t="str">
        <f t="shared" si="27"/>
        <v>EE2-170.9ng/L</v>
      </c>
      <c r="H45" s="7" t="str">
        <f t="shared" si="27"/>
        <v>EE2-488ng/L</v>
      </c>
      <c r="I45" s="7" t="str">
        <f t="shared" si="27"/>
        <v>Estradiol-34ng/L</v>
      </c>
      <c r="J45" s="7" t="str">
        <f t="shared" si="27"/>
        <v>Estradiol-68ng/L</v>
      </c>
      <c r="K45" s="7" t="str">
        <f t="shared" si="27"/>
        <v>Estradiol-135ng/L</v>
      </c>
      <c r="L45" s="7" t="str">
        <f t="shared" si="27"/>
        <v>Estradiol-270ng/L</v>
      </c>
      <c r="M45" s="7" t="str">
        <f t="shared" si="27"/>
        <v>Estradiol-540ng/L</v>
      </c>
      <c r="N45" s="7"/>
      <c r="O45" s="7" t="str">
        <f t="shared" si="27"/>
        <v>Testo -30µg/L</v>
      </c>
      <c r="P45" s="7" t="str">
        <f t="shared" si="27"/>
        <v>Testo 30µg/L + EE2 -64ng/L</v>
      </c>
      <c r="Q45" s="7" t="str">
        <f t="shared" si="27"/>
        <v>Testo 30µg/L + FAD-10mg/L</v>
      </c>
      <c r="R45" s="7" t="str">
        <f t="shared" si="27"/>
        <v>Estradiol-34ng/L + Testostérone</v>
      </c>
      <c r="S45" s="7" t="str">
        <f t="shared" si="27"/>
        <v>Estradiol-68ng/L + Testostérone</v>
      </c>
      <c r="T45" s="7" t="str">
        <f t="shared" si="27"/>
        <v>Estradiol-135ng/L + Testostérone</v>
      </c>
      <c r="U45" s="7" t="str">
        <f t="shared" si="27"/>
        <v>Estradiol-270ng/L + Testostérone</v>
      </c>
      <c r="V45" s="7" t="str">
        <f t="shared" si="27"/>
        <v>Estradiol-540ng/L + Testostérone</v>
      </c>
    </row>
    <row r="46" spans="1:22" x14ac:dyDescent="0.35">
      <c r="A46" s="8" t="s">
        <v>0</v>
      </c>
      <c r="B46" s="10">
        <f t="shared" ref="B46:H46" si="28">AVERAGE(B28:B43)</f>
        <v>1.5607035064329202</v>
      </c>
      <c r="C46" s="10">
        <f t="shared" si="28"/>
        <v>1.2529963410735168</v>
      </c>
      <c r="D46" s="10">
        <f t="shared" si="28"/>
        <v>1.3696184971697236</v>
      </c>
      <c r="E46" s="10">
        <f t="shared" si="28"/>
        <v>4.4958595323009209</v>
      </c>
      <c r="F46" s="10">
        <f t="shared" si="28"/>
        <v>4.5290853604874082</v>
      </c>
      <c r="G46" s="10">
        <f t="shared" si="28"/>
        <v>4.8403480567579393</v>
      </c>
      <c r="H46" s="10">
        <f t="shared" si="28"/>
        <v>6.9319939217219853</v>
      </c>
      <c r="I46" s="10">
        <f>AVERAGE(I28:I43)</f>
        <v>5.1675509414142166E-2</v>
      </c>
      <c r="J46" s="9">
        <f>AVERAGE(J28:J43)</f>
        <v>9.6620571547242989E-2</v>
      </c>
      <c r="K46" s="9">
        <f t="shared" ref="K46:M46" si="29">AVERAGE(K28:K43)</f>
        <v>0.11831151412288629</v>
      </c>
      <c r="L46" s="9">
        <f t="shared" si="29"/>
        <v>6.1287396380967883E-2</v>
      </c>
      <c r="M46" s="9">
        <f t="shared" si="29"/>
        <v>0.14460865850228175</v>
      </c>
      <c r="N46" s="8" t="s">
        <v>0</v>
      </c>
      <c r="O46" s="10">
        <f t="shared" ref="O46:V46" si="30">AVERAGE(O28:O43)</f>
        <v>1</v>
      </c>
      <c r="P46" s="10">
        <f t="shared" si="30"/>
        <v>5.4237787693321984</v>
      </c>
      <c r="Q46" s="10">
        <f t="shared" si="30"/>
        <v>0.1191917591364683</v>
      </c>
      <c r="R46" s="10">
        <f t="shared" si="30"/>
        <v>1.1309005520971973</v>
      </c>
      <c r="S46" s="10">
        <f t="shared" si="30"/>
        <v>0.74387331120865463</v>
      </c>
      <c r="T46" s="10">
        <f t="shared" si="30"/>
        <v>0.80179300134513964</v>
      </c>
      <c r="U46" s="10">
        <f t="shared" si="30"/>
        <v>0.98986816941203104</v>
      </c>
      <c r="V46" s="10">
        <f t="shared" si="30"/>
        <v>1.0024251802532385</v>
      </c>
    </row>
    <row r="47" spans="1:22" x14ac:dyDescent="0.35">
      <c r="A47" s="8" t="s">
        <v>1</v>
      </c>
      <c r="B47" s="8">
        <f t="shared" ref="B47:M47" si="31">STDEV(B28:B43)</f>
        <v>1.4669565017293791</v>
      </c>
      <c r="C47" s="8">
        <f t="shared" si="31"/>
        <v>1.0803323939234719</v>
      </c>
      <c r="D47" s="8">
        <f t="shared" si="31"/>
        <v>1.0893403662347487</v>
      </c>
      <c r="E47" s="8">
        <f t="shared" si="31"/>
        <v>1.1910547011598376</v>
      </c>
      <c r="F47" s="8">
        <f t="shared" si="31"/>
        <v>1.6517298642444591</v>
      </c>
      <c r="G47" s="8">
        <f t="shared" si="31"/>
        <v>2.331359789168558</v>
      </c>
      <c r="H47" s="8">
        <f t="shared" si="31"/>
        <v>2.4872366546619675</v>
      </c>
      <c r="I47" s="8">
        <f t="shared" si="31"/>
        <v>3.3806299893101376E-2</v>
      </c>
      <c r="J47" s="8">
        <f t="shared" si="31"/>
        <v>7.6532888727834855E-2</v>
      </c>
      <c r="K47" s="8">
        <f t="shared" si="31"/>
        <v>8.8742645262293196E-2</v>
      </c>
      <c r="L47" s="8">
        <f t="shared" si="31"/>
        <v>6.6825108391113427E-2</v>
      </c>
      <c r="M47" s="8">
        <f t="shared" si="31"/>
        <v>0.20601526300434658</v>
      </c>
      <c r="N47" s="8" t="s">
        <v>1</v>
      </c>
      <c r="O47" s="8">
        <f t="shared" ref="O47:V47" si="32">STDEV(O28:O43)</f>
        <v>0.6179843348434535</v>
      </c>
      <c r="P47" s="8">
        <f t="shared" si="32"/>
        <v>2.0083162837124342</v>
      </c>
      <c r="Q47" s="8">
        <f t="shared" si="32"/>
        <v>9.7348984921112408E-2</v>
      </c>
      <c r="R47" s="8">
        <f t="shared" si="32"/>
        <v>0.97542311484679911</v>
      </c>
      <c r="S47" s="8">
        <f t="shared" si="32"/>
        <v>0.42530126306564231</v>
      </c>
      <c r="T47" s="8">
        <f t="shared" si="32"/>
        <v>0.89473177912816027</v>
      </c>
      <c r="U47" s="8">
        <f t="shared" si="32"/>
        <v>0.72702878461741038</v>
      </c>
      <c r="V47" s="8">
        <f t="shared" si="32"/>
        <v>0.51393106536346933</v>
      </c>
    </row>
    <row r="48" spans="1:22" x14ac:dyDescent="0.35">
      <c r="A48" s="8" t="s">
        <v>2</v>
      </c>
      <c r="B48" s="8">
        <f t="shared" ref="B48:M48" si="33" xml:space="preserve"> B47/SQRT(COUNT(B28:B43))</f>
        <v>0.55445744110360429</v>
      </c>
      <c r="C48" s="8">
        <f t="shared" si="33"/>
        <v>0.38195518083939173</v>
      </c>
      <c r="D48" s="8">
        <f t="shared" si="33"/>
        <v>0.38513997999241401</v>
      </c>
      <c r="E48" s="8">
        <f t="shared" si="33"/>
        <v>0.39701823371994588</v>
      </c>
      <c r="F48" s="8">
        <f t="shared" si="33"/>
        <v>0.67431589338590903</v>
      </c>
      <c r="G48" s="8">
        <f t="shared" si="33"/>
        <v>0.82426015815336351</v>
      </c>
      <c r="H48" s="8">
        <f t="shared" si="33"/>
        <v>0.87937095246361008</v>
      </c>
      <c r="I48" s="8">
        <f t="shared" si="33"/>
        <v>1.1952331950619019E-2</v>
      </c>
      <c r="J48" s="8">
        <f t="shared" si="33"/>
        <v>2.7058462301623752E-2</v>
      </c>
      <c r="K48" s="8">
        <f t="shared" si="33"/>
        <v>3.1375263122699878E-2</v>
      </c>
      <c r="L48" s="8">
        <f t="shared" si="33"/>
        <v>2.3626243648441181E-2</v>
      </c>
      <c r="M48" s="8">
        <f t="shared" si="33"/>
        <v>7.2837394749151768E-2</v>
      </c>
      <c r="N48" s="8" t="s">
        <v>2</v>
      </c>
      <c r="O48" s="8">
        <f t="shared" ref="O48:V48" si="34" xml:space="preserve"> O47/SQRT(COUNT(O28:O43))</f>
        <v>0.15449608371086337</v>
      </c>
      <c r="P48" s="8">
        <f t="shared" si="34"/>
        <v>0.7100470314902142</v>
      </c>
      <c r="Q48" s="8">
        <f t="shared" si="34"/>
        <v>3.6794457783691455E-2</v>
      </c>
      <c r="R48" s="8">
        <f t="shared" si="34"/>
        <v>0.36867528356408935</v>
      </c>
      <c r="S48" s="8">
        <f t="shared" si="34"/>
        <v>0.1503667035804597</v>
      </c>
      <c r="T48" s="8">
        <f t="shared" si="34"/>
        <v>0.31633545418231318</v>
      </c>
      <c r="U48" s="8">
        <f t="shared" si="34"/>
        <v>0.25704349186039238</v>
      </c>
      <c r="V48" s="8">
        <f t="shared" si="34"/>
        <v>0.18170207069046798</v>
      </c>
    </row>
    <row r="49" spans="1:22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ht="15" thickBot="1" x14ac:dyDescent="0.4"/>
    <row r="52" spans="1:22" x14ac:dyDescent="0.35">
      <c r="A52" s="29" t="str">
        <f t="shared" ref="A52" si="35">A27</f>
        <v>Group names</v>
      </c>
      <c r="B52" s="30" t="str">
        <f t="shared" ref="B52:H52" si="36">B27</f>
        <v>Solvent control</v>
      </c>
      <c r="C52" s="30" t="str">
        <f t="shared" si="36"/>
        <v>EE2-33.8ng/L</v>
      </c>
      <c r="D52" s="30" t="str">
        <f t="shared" si="36"/>
        <v>EE2-50.6ng/L</v>
      </c>
      <c r="E52" s="30" t="str">
        <f t="shared" si="36"/>
        <v>EE2-76ng/L</v>
      </c>
      <c r="F52" s="30" t="str">
        <f t="shared" si="36"/>
        <v>EE2-114ng/L</v>
      </c>
      <c r="G52" s="30" t="str">
        <f t="shared" si="36"/>
        <v>EE2-170.9ng/L</v>
      </c>
      <c r="H52" s="30" t="str">
        <f t="shared" si="36"/>
        <v>EE2-488ng/L</v>
      </c>
      <c r="I52" s="30" t="str">
        <f>I4</f>
        <v>Estradiol-34ng/L</v>
      </c>
      <c r="J52" s="30" t="str">
        <f>J4</f>
        <v>Estradiol-68ng/L</v>
      </c>
      <c r="K52" s="30" t="str">
        <f t="shared" ref="K52:M52" si="37">K4</f>
        <v>Estradiol-135ng/L</v>
      </c>
      <c r="L52" s="30" t="str">
        <f t="shared" si="37"/>
        <v>Estradiol-270ng/L</v>
      </c>
      <c r="M52" s="30" t="str">
        <f t="shared" si="37"/>
        <v>Estradiol-540ng/L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Estradiol-34ng/L + Testostérone</v>
      </c>
      <c r="S52" s="30" t="str">
        <f t="shared" ref="S52:V52" si="38">S27</f>
        <v>Estradiol-68ng/L + Testostérone</v>
      </c>
      <c r="T52" s="30" t="str">
        <f t="shared" si="38"/>
        <v>Estradiol-135ng/L + Testostérone</v>
      </c>
      <c r="U52" s="30" t="str">
        <f t="shared" si="38"/>
        <v>Estradiol-270ng/L + Testostérone</v>
      </c>
      <c r="V52" s="30" t="str">
        <f t="shared" si="38"/>
        <v>Estradiol-540ng/L + Testostérone</v>
      </c>
    </row>
    <row r="53" spans="1:22" s="3" customFormat="1" x14ac:dyDescent="0.35">
      <c r="A53" s="45" t="s">
        <v>10</v>
      </c>
      <c r="B53" s="78">
        <f t="shared" ref="B53:V53" si="39">B46</f>
        <v>1.5607035064329202</v>
      </c>
      <c r="C53" s="78">
        <f t="shared" si="39"/>
        <v>1.2529963410735168</v>
      </c>
      <c r="D53" s="78">
        <f t="shared" si="39"/>
        <v>1.3696184971697236</v>
      </c>
      <c r="E53" s="78">
        <f t="shared" si="39"/>
        <v>4.4958595323009209</v>
      </c>
      <c r="F53" s="78">
        <f t="shared" si="39"/>
        <v>4.5290853604874082</v>
      </c>
      <c r="G53" s="78">
        <f t="shared" si="39"/>
        <v>4.8403480567579393</v>
      </c>
      <c r="H53" s="78">
        <f t="shared" si="39"/>
        <v>6.9319939217219853</v>
      </c>
      <c r="I53" s="78">
        <f t="shared" si="39"/>
        <v>5.1675509414142166E-2</v>
      </c>
      <c r="J53" s="78">
        <f t="shared" si="39"/>
        <v>9.6620571547242989E-2</v>
      </c>
      <c r="K53" s="78">
        <f t="shared" si="39"/>
        <v>0.11831151412288629</v>
      </c>
      <c r="L53" s="78">
        <f t="shared" si="39"/>
        <v>6.1287396380967883E-2</v>
      </c>
      <c r="M53" s="78">
        <f t="shared" si="39"/>
        <v>0.14460865850228175</v>
      </c>
      <c r="N53" s="78"/>
      <c r="O53" s="78">
        <f t="shared" si="39"/>
        <v>1</v>
      </c>
      <c r="P53" s="78">
        <f t="shared" si="39"/>
        <v>5.4237787693321984</v>
      </c>
      <c r="Q53" s="78">
        <f t="shared" si="39"/>
        <v>0.1191917591364683</v>
      </c>
      <c r="R53" s="78">
        <f t="shared" si="39"/>
        <v>1.1309005520971973</v>
      </c>
      <c r="S53" s="78">
        <f t="shared" si="39"/>
        <v>0.74387331120865463</v>
      </c>
      <c r="T53" s="78">
        <f t="shared" si="39"/>
        <v>0.80179300134513964</v>
      </c>
      <c r="U53" s="78">
        <f t="shared" si="39"/>
        <v>0.98986816941203104</v>
      </c>
      <c r="V53" s="78">
        <f t="shared" si="39"/>
        <v>1.0024251802532385</v>
      </c>
    </row>
    <row r="54" spans="1:22" s="3" customFormat="1" x14ac:dyDescent="0.35">
      <c r="A54" s="45" t="s">
        <v>2</v>
      </c>
      <c r="B54" s="78">
        <f t="shared" ref="B54:V54" si="40">B48</f>
        <v>0.55445744110360429</v>
      </c>
      <c r="C54" s="78">
        <f t="shared" si="40"/>
        <v>0.38195518083939173</v>
      </c>
      <c r="D54" s="78">
        <f t="shared" si="40"/>
        <v>0.38513997999241401</v>
      </c>
      <c r="E54" s="78">
        <f t="shared" si="40"/>
        <v>0.39701823371994588</v>
      </c>
      <c r="F54" s="78">
        <f t="shared" si="40"/>
        <v>0.67431589338590903</v>
      </c>
      <c r="G54" s="78">
        <f t="shared" si="40"/>
        <v>0.82426015815336351</v>
      </c>
      <c r="H54" s="78">
        <f t="shared" si="40"/>
        <v>0.87937095246361008</v>
      </c>
      <c r="I54" s="78">
        <f t="shared" si="40"/>
        <v>1.1952331950619019E-2</v>
      </c>
      <c r="J54" s="78">
        <f t="shared" si="40"/>
        <v>2.7058462301623752E-2</v>
      </c>
      <c r="K54" s="78">
        <f t="shared" si="40"/>
        <v>3.1375263122699878E-2</v>
      </c>
      <c r="L54" s="78">
        <f t="shared" si="40"/>
        <v>2.3626243648441181E-2</v>
      </c>
      <c r="M54" s="78">
        <f t="shared" si="40"/>
        <v>7.2837394749151768E-2</v>
      </c>
      <c r="N54" s="78"/>
      <c r="O54" s="78">
        <f t="shared" si="40"/>
        <v>0.15449608371086337</v>
      </c>
      <c r="P54" s="78">
        <f t="shared" si="40"/>
        <v>0.7100470314902142</v>
      </c>
      <c r="Q54" s="78">
        <f t="shared" si="40"/>
        <v>3.6794457783691455E-2</v>
      </c>
      <c r="R54" s="78">
        <f t="shared" si="40"/>
        <v>0.36867528356408935</v>
      </c>
      <c r="S54" s="78">
        <f t="shared" si="40"/>
        <v>0.1503667035804597</v>
      </c>
      <c r="T54" s="78">
        <f t="shared" si="40"/>
        <v>0.31633545418231318</v>
      </c>
      <c r="U54" s="78">
        <f t="shared" si="40"/>
        <v>0.25704349186039238</v>
      </c>
      <c r="V54" s="78">
        <f t="shared" si="40"/>
        <v>0.18170207069046798</v>
      </c>
    </row>
    <row r="55" spans="1:22" s="3" customFormat="1" x14ac:dyDescent="0.35">
      <c r="A55" s="45" t="s">
        <v>14</v>
      </c>
      <c r="B55" s="78">
        <f>(B53*100/$B53)-100</f>
        <v>0</v>
      </c>
      <c r="C55" s="78">
        <f t="shared" ref="C55:M55" si="41">(C53*100/$B53)-100</f>
        <v>-19.715927086156569</v>
      </c>
      <c r="D55" s="78">
        <f t="shared" si="41"/>
        <v>-12.243517649289629</v>
      </c>
      <c r="E55" s="78">
        <f t="shared" si="41"/>
        <v>188.06621589365636</v>
      </c>
      <c r="F55" s="78">
        <f t="shared" si="41"/>
        <v>190.1951166137186</v>
      </c>
      <c r="G55" s="78">
        <f t="shared" si="41"/>
        <v>210.13885961087124</v>
      </c>
      <c r="H55" s="78">
        <f t="shared" si="41"/>
        <v>344.15828459086794</v>
      </c>
      <c r="I55" s="78">
        <f t="shared" si="41"/>
        <v>-96.688960510363074</v>
      </c>
      <c r="J55" s="78">
        <f t="shared" si="41"/>
        <v>-93.809165472558277</v>
      </c>
      <c r="K55" s="78">
        <f t="shared" si="41"/>
        <v>-92.419347195977394</v>
      </c>
      <c r="L55" s="78">
        <f t="shared" si="41"/>
        <v>-96.073091645635898</v>
      </c>
      <c r="M55" s="78">
        <f t="shared" si="41"/>
        <v>-90.734392669316591</v>
      </c>
      <c r="N55" s="78"/>
      <c r="O55" s="78">
        <f t="shared" ref="O55:V55" si="42">(O53*100/$O53)-100</f>
        <v>0</v>
      </c>
      <c r="P55" s="78">
        <f t="shared" si="42"/>
        <v>442.3778769332198</v>
      </c>
      <c r="Q55" s="78">
        <f t="shared" si="42"/>
        <v>-88.080824086353175</v>
      </c>
      <c r="R55" s="78">
        <f t="shared" si="42"/>
        <v>13.090055209719736</v>
      </c>
      <c r="S55" s="78">
        <f t="shared" si="42"/>
        <v>-25.612668879134532</v>
      </c>
      <c r="T55" s="78">
        <f t="shared" si="42"/>
        <v>-19.820699865486034</v>
      </c>
      <c r="U55" s="78">
        <f t="shared" si="42"/>
        <v>-1.0131830587968977</v>
      </c>
      <c r="V55" s="78">
        <f t="shared" si="42"/>
        <v>0.24251802532384659</v>
      </c>
    </row>
    <row r="56" spans="1:22" s="3" customFormat="1" x14ac:dyDescent="0.35">
      <c r="A56" s="45" t="s">
        <v>38</v>
      </c>
      <c r="B56" s="78">
        <f>[1]!SWTEST(B28:B43)</f>
        <v>0.2656127089977558</v>
      </c>
      <c r="C56" s="78">
        <f>[1]!SWTEST(C28:C43)</f>
        <v>5.8523136650495022E-2</v>
      </c>
      <c r="D56" s="78">
        <f>[1]!SWTEST(D28:D43)</f>
        <v>0.16532193687040642</v>
      </c>
      <c r="E56" s="78">
        <f>[1]!SWTEST(E28:E43)</f>
        <v>0.64416358840032162</v>
      </c>
      <c r="F56" s="78">
        <f>[1]!SWTEST(F28:F43)</f>
        <v>0.39302813442319184</v>
      </c>
      <c r="G56" s="78">
        <f>[1]!SWTEST(G28:G43)</f>
        <v>0.52043910432757845</v>
      </c>
      <c r="H56" s="78">
        <f>[1]!SWTEST(H28:H43)</f>
        <v>0.29890319231154217</v>
      </c>
      <c r="I56" s="78">
        <f>[1]!SWTEST(I28:I43)</f>
        <v>0.18788753386292512</v>
      </c>
      <c r="J56" s="78">
        <f>[1]!SWTEST(J28:J43)</f>
        <v>0.50714918033241752</v>
      </c>
      <c r="K56" s="78">
        <f>[1]!SWTEST(K28:K43)</f>
        <v>9.5469272486543577E-3</v>
      </c>
      <c r="L56" s="78">
        <f>[1]!SWTEST(L28:L43)</f>
        <v>6.2406186708375833E-3</v>
      </c>
      <c r="M56" s="78">
        <f>[1]!SWTEST(M28:M43)</f>
        <v>2.8351514832158919E-5</v>
      </c>
      <c r="N56" s="78"/>
      <c r="O56" s="78">
        <f>[1]!SWTEST(O28:O43)</f>
        <v>0.47602394626427902</v>
      </c>
      <c r="P56" s="78">
        <f>[1]!SWTEST(P28:P43)</f>
        <v>8.4842094890302144E-2</v>
      </c>
      <c r="Q56" s="78">
        <f>[1]!SWTEST(Q28:Q43)</f>
        <v>8.1098916325419101E-2</v>
      </c>
      <c r="R56" s="78">
        <f>[1]!SWTEST(R28:R43)</f>
        <v>7.9050751412675813E-2</v>
      </c>
      <c r="S56" s="78">
        <f>[1]!SWTEST(S28:S43)</f>
        <v>0.27272056803103228</v>
      </c>
      <c r="T56" s="78">
        <f>[1]!SWTEST(T28:T43)</f>
        <v>8.9804115379021887E-3</v>
      </c>
      <c r="U56" s="78">
        <f>[1]!SWTEST(U28:U43)</f>
        <v>4.3043129924129508E-2</v>
      </c>
      <c r="V56" s="78">
        <f>[1]!SWTEST(V28:V43)</f>
        <v>0.93042270692366624</v>
      </c>
    </row>
    <row r="57" spans="1:22" s="3" customFormat="1" x14ac:dyDescent="0.35">
      <c r="A57" s="45" t="s">
        <v>39</v>
      </c>
      <c r="B57" s="78" t="str">
        <f>IF(B56&gt;0.05,"Oui","Non")</f>
        <v>Oui</v>
      </c>
      <c r="C57" s="78" t="str">
        <f t="shared" ref="C57:V57" si="43">IF(C56&gt;0.05,"Oui","Non")</f>
        <v>Oui</v>
      </c>
      <c r="D57" s="78" t="str">
        <f t="shared" si="43"/>
        <v>Oui</v>
      </c>
      <c r="E57" s="78" t="str">
        <f t="shared" si="43"/>
        <v>Oui</v>
      </c>
      <c r="F57" s="78" t="str">
        <f t="shared" si="43"/>
        <v>Oui</v>
      </c>
      <c r="G57" s="78" t="str">
        <f t="shared" si="43"/>
        <v>Oui</v>
      </c>
      <c r="H57" s="78" t="str">
        <f t="shared" si="43"/>
        <v>Oui</v>
      </c>
      <c r="I57" s="78" t="str">
        <f t="shared" si="43"/>
        <v>Oui</v>
      </c>
      <c r="J57" s="78" t="str">
        <f t="shared" si="43"/>
        <v>Oui</v>
      </c>
      <c r="K57" s="78" t="str">
        <f t="shared" si="43"/>
        <v>Non</v>
      </c>
      <c r="L57" s="78" t="str">
        <f t="shared" si="43"/>
        <v>Non</v>
      </c>
      <c r="M57" s="78" t="str">
        <f t="shared" si="43"/>
        <v>Non</v>
      </c>
      <c r="N57" s="78"/>
      <c r="O57" s="78" t="str">
        <f t="shared" si="43"/>
        <v>Oui</v>
      </c>
      <c r="P57" s="78" t="str">
        <f t="shared" si="43"/>
        <v>Oui</v>
      </c>
      <c r="Q57" s="78" t="str">
        <f t="shared" si="43"/>
        <v>Oui</v>
      </c>
      <c r="R57" s="78" t="str">
        <f t="shared" si="43"/>
        <v>Oui</v>
      </c>
      <c r="S57" s="78" t="str">
        <f t="shared" si="43"/>
        <v>Oui</v>
      </c>
      <c r="T57" s="78" t="str">
        <f t="shared" si="43"/>
        <v>Non</v>
      </c>
      <c r="U57" s="78" t="str">
        <f t="shared" si="43"/>
        <v>Non</v>
      </c>
      <c r="V57" s="78" t="str">
        <f t="shared" si="43"/>
        <v>Oui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str">
        <f t="shared" ref="C59:O59" si="44">IF($B57="Non",IF(C57="Non","MW",IF(C57="Oui","MW","")),IF($B57="Oui",IF(C57="Oui","T-Test Welch",IF(C57="Non","MW",""))))</f>
        <v>T-Test Welch</v>
      </c>
      <c r="D59" s="82" t="str">
        <f t="shared" si="44"/>
        <v>T-Test Welch</v>
      </c>
      <c r="E59" s="82" t="str">
        <f t="shared" si="44"/>
        <v>T-Test Welch</v>
      </c>
      <c r="F59" s="82" t="str">
        <f t="shared" si="44"/>
        <v>T-Test Welch</v>
      </c>
      <c r="G59" s="82" t="str">
        <f t="shared" si="44"/>
        <v>T-Test Welch</v>
      </c>
      <c r="H59" s="82" t="str">
        <f t="shared" si="44"/>
        <v>T-Test Welch</v>
      </c>
      <c r="I59" s="82" t="str">
        <f t="shared" si="44"/>
        <v>T-Test Welch</v>
      </c>
      <c r="J59" s="82" t="str">
        <f t="shared" si="44"/>
        <v>T-Test Welch</v>
      </c>
      <c r="K59" s="82" t="str">
        <f t="shared" si="44"/>
        <v>MW</v>
      </c>
      <c r="L59" s="82" t="str">
        <f t="shared" si="44"/>
        <v>MW</v>
      </c>
      <c r="M59" s="82" t="str">
        <f t="shared" si="44"/>
        <v>MW</v>
      </c>
      <c r="N59" s="82"/>
      <c r="O59" s="82" t="str">
        <f t="shared" si="44"/>
        <v>T-Test Welch</v>
      </c>
      <c r="P59" s="82" t="str">
        <f t="shared" ref="P59:V59" si="45">IF($O57="Non",IF(P57="Non","MW",IF(P57="Oui","MW","")),IF($O57="Oui",IF(P57="Oui","T-Test Welch",IF(P57="Non","MW",""))))</f>
        <v>T-Test Welch</v>
      </c>
      <c r="Q59" s="82" t="str">
        <f t="shared" si="45"/>
        <v>T-Test Welch</v>
      </c>
      <c r="R59" s="82" t="str">
        <f t="shared" si="45"/>
        <v>T-Test Welch</v>
      </c>
      <c r="S59" s="82" t="str">
        <f t="shared" si="45"/>
        <v>T-Test Welch</v>
      </c>
      <c r="T59" s="82" t="str">
        <f t="shared" si="45"/>
        <v>MW</v>
      </c>
      <c r="U59" s="82" t="str">
        <f t="shared" si="45"/>
        <v>MW</v>
      </c>
      <c r="V59" s="82" t="str">
        <f t="shared" si="45"/>
        <v>T-Test Welch</v>
      </c>
    </row>
    <row r="60" spans="1:22" s="3" customFormat="1" x14ac:dyDescent="0.35">
      <c r="A60" s="45" t="s">
        <v>41</v>
      </c>
      <c r="B60" s="83"/>
      <c r="C60" s="83">
        <f>IF(C59="MW",[1]!MTEST($B28:$B43,C28:C43,2), IF(C59="T-Test Welch",_xlfn.T.TEST($B28:$B43,C28:C43,2,3),""))</f>
        <v>0.65659944066938103</v>
      </c>
      <c r="D60" s="83">
        <f>IF(D59="MW",[1]!MTEST($B28:$B43,D28:D43,2), IF(D59="T-Test Welch",_xlfn.T.TEST($B28:$B43,D28:D43,2,3),""))</f>
        <v>0.78239874381006602</v>
      </c>
      <c r="E60" s="83">
        <f>IF(E59="MW",[1]!MTEST($B28:$B43,E28:E43,2), IF(E59="T-Test Welch",_xlfn.T.TEST($B28:$B43,E28:E43,2,3),""))</f>
        <v>1.1346229592394516E-3</v>
      </c>
      <c r="F60" s="83">
        <f>IF(F59="MW",[1]!MTEST($B28:$B43,F28:F43,2), IF(F59="T-Test Welch",_xlfn.T.TEST($B28:$B43,F28:F43,2,3),""))</f>
        <v>6.6080557648427159E-3</v>
      </c>
      <c r="G60" s="83">
        <f>IF(G59="MW",[1]!MTEST($B28:$B43,G28:G43,2), IF(G59="T-Test Welch",_xlfn.T.TEST($B28:$B43,G28:G43,2,3),""))</f>
        <v>6.3762288293432862E-3</v>
      </c>
      <c r="H60" s="83">
        <f>IF(H59="MW",[1]!MTEST($B28:$B43,H28:H43,2), IF(H59="T-Test Welch",_xlfn.T.TEST($B28:$B43,H28:H43,2,3),""))</f>
        <v>2.6549925792238271E-4</v>
      </c>
      <c r="I60" s="83">
        <f>IF(I59="MW",[1]!MTEST($B28:$B43,I28:I43,2), IF(I59="T-Test Welch",_xlfn.T.TEST($B28:$B43,I28:I43,2,3),""))</f>
        <v>3.4564594912328085E-2</v>
      </c>
      <c r="J60" s="83">
        <f>IF(J59="MW",[1]!MTEST($B28:$B43,J28:J43,2), IF(J59="T-Test Welch",_xlfn.T.TEST($B28:$B43,J28:J43,2,3),""))</f>
        <v>3.8500271071921471E-2</v>
      </c>
      <c r="K60" s="83">
        <f>IF(K59="MW",[1]!MTEST($B28:$B43,K28:K43,2), IF(K59="T-Test Welch",_xlfn.T.TEST($B28:$B43,K28:K43,2,3),""))</f>
        <v>2.0637558243972176E-2</v>
      </c>
      <c r="L60" s="83">
        <f>IF(L59="MW",[1]!MTEST($B28:$B43,L28:L43,2), IF(L59="T-Test Welch",_xlfn.T.TEST($B28:$B43,L28:L43,2,3),""))</f>
        <v>2.0637558243972176E-2</v>
      </c>
      <c r="M60" s="83">
        <f>IF(M59="MW",[1]!MTEST($B28:$B43,M28:M43,2), IF(M59="T-Test Welch",_xlfn.T.TEST($B28:$B43,M28:M43,2,3),""))</f>
        <v>3.7242544595979421E-2</v>
      </c>
      <c r="N60" s="83"/>
      <c r="O60" s="83">
        <f>IF(O59="MW",[1]!MTEST($B28:$B43,O28:O43,2), IF(O59="T-Test Welch",_xlfn.T.TEST($B28:$B43,O28:O43,2,3),""))</f>
        <v>0.36265268134112422</v>
      </c>
      <c r="P60" s="83">
        <f>IF(P59="MW",[1]!MTEST($O28:$O43,P28:P43,2), IF(P59="T-Test Welch",_xlfn.T.TEST($O28:$O43,P28:P43,2,3),""))</f>
        <v>3.4699642685616193E-4</v>
      </c>
      <c r="Q60" s="83">
        <f>IF(Q59="MW",[1]!MTEST($O28:$O43,Q28:Q43,2), IF(Q59="T-Test Welch",_xlfn.T.TEST($O28:$O43,Q28:Q43,2,3),""))</f>
        <v>3.8613088098982629E-5</v>
      </c>
      <c r="R60" s="83">
        <f>IF(R59="MW",[1]!MTEST($O28:$O43,R28:R43,2), IF(R59="T-Test Welch",_xlfn.T.TEST($O28:$O43,R28:R43,2,3),""))</f>
        <v>0.75152822490278415</v>
      </c>
      <c r="S60" s="83">
        <f>IF(S59="MW",[1]!MTEST($O28:$O43,S28:S43,2), IF(S59="T-Test Welch",_xlfn.T.TEST($O28:$O43,S28:S43,2,3),""))</f>
        <v>0.2491216251165492</v>
      </c>
      <c r="T60" s="83">
        <f>IF(T59="MW",[1]!MTEST($O28:$O43,T28:T43,2), IF(T59="T-Test Welch",_xlfn.T.TEST($O28:$O43,T28:T43,2,3),""))</f>
        <v>0.22067136191984682</v>
      </c>
      <c r="U60" s="83">
        <f>IF(U59="MW",[1]!MTEST($O28:$O43,U28:U43,2), IF(U59="T-Test Welch",_xlfn.T.TEST($O28:$O43,U28:U43,2,3),""))</f>
        <v>1</v>
      </c>
      <c r="V60" s="83">
        <f>IF(V59="MW",[1]!MTEST($O28:$O43,V28:V43,2), IF(V59="T-Test Welch",_xlfn.T.TEST($O28:$O43,V28:V43,2,3),""))</f>
        <v>0.99200749227470597</v>
      </c>
    </row>
    <row r="61" spans="1:22" s="3" customFormat="1" ht="15" thickBot="1" x14ac:dyDescent="0.4">
      <c r="A61" s="46" t="s">
        <v>15</v>
      </c>
      <c r="B61" s="79"/>
      <c r="C61" s="79" t="str">
        <f t="shared" ref="C61:O61" si="46">IF(C60&gt;0.05,"NS",IF(C60&gt;0.01,"*",IF(C60&gt;0.001,"**","***")))</f>
        <v>NS</v>
      </c>
      <c r="D61" s="79" t="str">
        <f t="shared" si="46"/>
        <v>NS</v>
      </c>
      <c r="E61" s="79" t="str">
        <f t="shared" si="46"/>
        <v>**</v>
      </c>
      <c r="F61" s="79" t="str">
        <f t="shared" si="46"/>
        <v>**</v>
      </c>
      <c r="G61" s="79" t="str">
        <f t="shared" si="46"/>
        <v>**</v>
      </c>
      <c r="H61" s="79" t="str">
        <f t="shared" si="46"/>
        <v>***</v>
      </c>
      <c r="I61" s="79" t="str">
        <f t="shared" si="46"/>
        <v>*</v>
      </c>
      <c r="J61" s="79" t="str">
        <f t="shared" si="46"/>
        <v>*</v>
      </c>
      <c r="K61" s="79" t="str">
        <f t="shared" si="46"/>
        <v>*</v>
      </c>
      <c r="L61" s="79" t="str">
        <f t="shared" si="46"/>
        <v>*</v>
      </c>
      <c r="M61" s="79" t="str">
        <f t="shared" si="46"/>
        <v>*</v>
      </c>
      <c r="N61" s="79"/>
      <c r="O61" s="79" t="str">
        <f t="shared" si="46"/>
        <v>NS</v>
      </c>
      <c r="P61" s="79" t="str">
        <f>IF(P60&gt;0.05,"NS",IF(P60&gt;0.01,"*",IF(P60&gt;0.001,"**","***")))</f>
        <v>***</v>
      </c>
      <c r="Q61" s="79" t="str">
        <f t="shared" ref="Q61:V61" si="47">IF(Q60&gt;0.05,"NS",IF(Q60&gt;0.01,"*",IF(Q60&gt;0.001,"**","***")))</f>
        <v>***</v>
      </c>
      <c r="R61" s="79" t="str">
        <f t="shared" si="47"/>
        <v>NS</v>
      </c>
      <c r="S61" s="79" t="str">
        <f t="shared" si="47"/>
        <v>NS</v>
      </c>
      <c r="T61" s="79" t="str">
        <f t="shared" si="47"/>
        <v>NS</v>
      </c>
      <c r="U61" s="79" t="str">
        <f t="shared" si="47"/>
        <v>NS</v>
      </c>
      <c r="V61" s="79" t="str">
        <f t="shared" si="47"/>
        <v>NS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28:A43"/>
    <mergeCell ref="A50:V50"/>
    <mergeCell ref="A67:V67"/>
    <mergeCell ref="A1:V1"/>
    <mergeCell ref="B3:M3"/>
    <mergeCell ref="O3:V3"/>
    <mergeCell ref="A5:A20"/>
    <mergeCell ref="B26:M26"/>
    <mergeCell ref="O26:V26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4"/>
  <sheetViews>
    <sheetView showGridLines="0" topLeftCell="B31" zoomScale="70" zoomScaleNormal="70" zoomScaleSheetLayoutView="40" zoomScalePageLayoutView="30" workbookViewId="0">
      <selection activeCell="F28" sqref="F28:F35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customFormat="1" ht="15" thickBot="1" x14ac:dyDescent="0.4"/>
    <row r="3" spans="1:22" ht="15" thickBot="1" x14ac:dyDescent="0.4">
      <c r="A3" s="84" t="s">
        <v>6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Estradiol-34ng/L</v>
      </c>
      <c r="J4" s="20" t="str">
        <f>'Front page'!A15</f>
        <v>Estradiol-68ng/L</v>
      </c>
      <c r="K4" s="20" t="str">
        <f>'Front page'!A16</f>
        <v>Estradiol-135ng/L</v>
      </c>
      <c r="L4" s="20" t="str">
        <f>'Front page'!A17</f>
        <v>Estradiol-270ng/L</v>
      </c>
      <c r="M4" s="20" t="str">
        <f>'Front page'!A18</f>
        <v>Estradiol-540ng/L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Estradiol-34ng/L + Testostérone</v>
      </c>
      <c r="S4" s="21" t="str">
        <f>'Front page'!A39</f>
        <v>Estradiol-68ng/L + Testostérone</v>
      </c>
      <c r="T4" s="21" t="str">
        <f>'Front page'!A40</f>
        <v>Estradiol-135ng/L + Testostérone</v>
      </c>
      <c r="U4" s="21" t="str">
        <f>'Front page'!A41</f>
        <v>Estradiol-270ng/L + Testostérone</v>
      </c>
      <c r="V4" s="21" t="str">
        <f>'Front page'!A42</f>
        <v>Estradiol-540ng/L + Testostérone</v>
      </c>
    </row>
    <row r="5" spans="1:22" x14ac:dyDescent="0.35">
      <c r="A5" s="138" t="s">
        <v>35</v>
      </c>
      <c r="B5" s="1">
        <v>332126</v>
      </c>
      <c r="C5" s="17">
        <v>1360371</v>
      </c>
      <c r="D5" s="17">
        <v>1437450</v>
      </c>
      <c r="E5" s="17">
        <v>3765764</v>
      </c>
      <c r="F5" s="17">
        <v>6535986</v>
      </c>
      <c r="G5" s="17">
        <v>2991228</v>
      </c>
      <c r="H5" s="17">
        <v>6554222</v>
      </c>
      <c r="I5" s="17">
        <v>74172</v>
      </c>
      <c r="J5" s="17">
        <v>16709</v>
      </c>
      <c r="K5" s="13">
        <v>2452476</v>
      </c>
      <c r="L5" s="13">
        <v>5267363</v>
      </c>
      <c r="M5" s="13">
        <v>3255229</v>
      </c>
      <c r="N5" s="3"/>
      <c r="O5" s="17">
        <v>2172412</v>
      </c>
      <c r="P5" s="13">
        <v>5191289</v>
      </c>
      <c r="Q5" s="13">
        <v>7342</v>
      </c>
      <c r="R5" s="17">
        <v>90940</v>
      </c>
      <c r="S5" s="17">
        <v>540960</v>
      </c>
      <c r="T5" s="17">
        <v>3979199</v>
      </c>
      <c r="U5" s="17">
        <v>7202925</v>
      </c>
      <c r="V5" s="17">
        <v>6060789</v>
      </c>
    </row>
    <row r="6" spans="1:22" ht="16.5" x14ac:dyDescent="0.35">
      <c r="A6" s="139"/>
      <c r="B6" s="1">
        <v>51495</v>
      </c>
      <c r="C6" s="14">
        <v>202754</v>
      </c>
      <c r="D6" s="13">
        <v>791421</v>
      </c>
      <c r="E6" s="17">
        <v>363498</v>
      </c>
      <c r="F6" s="17">
        <v>1770282</v>
      </c>
      <c r="G6" s="17">
        <v>6343261</v>
      </c>
      <c r="H6" s="17">
        <v>6639049</v>
      </c>
      <c r="I6" s="17">
        <v>107432</v>
      </c>
      <c r="J6" s="17">
        <v>254327</v>
      </c>
      <c r="K6" s="13">
        <v>930838</v>
      </c>
      <c r="L6" s="13">
        <v>2713456</v>
      </c>
      <c r="M6" s="13">
        <v>4166928</v>
      </c>
      <c r="N6" s="3"/>
      <c r="O6" s="17">
        <v>32037</v>
      </c>
      <c r="P6" s="13">
        <v>5991575</v>
      </c>
      <c r="Q6" s="13">
        <v>14877</v>
      </c>
      <c r="R6" s="17">
        <v>1811319</v>
      </c>
      <c r="S6" s="17">
        <v>357306</v>
      </c>
      <c r="T6" s="17">
        <v>2782083</v>
      </c>
      <c r="U6" s="17">
        <v>5382758</v>
      </c>
      <c r="V6" s="17">
        <v>6128654</v>
      </c>
    </row>
    <row r="7" spans="1:22" ht="16.5" x14ac:dyDescent="0.35">
      <c r="A7" s="139"/>
      <c r="B7" s="1">
        <v>175618</v>
      </c>
      <c r="C7" s="14">
        <v>859729</v>
      </c>
      <c r="D7" s="13">
        <v>1123698</v>
      </c>
      <c r="E7" s="17">
        <v>3391505</v>
      </c>
      <c r="F7" s="17">
        <v>2969351</v>
      </c>
      <c r="G7" s="17">
        <v>7119430</v>
      </c>
      <c r="H7" s="17">
        <v>4511750</v>
      </c>
      <c r="I7" s="17">
        <v>474445</v>
      </c>
      <c r="J7" s="17">
        <v>272889</v>
      </c>
      <c r="K7" s="13">
        <v>537997</v>
      </c>
      <c r="L7" s="13">
        <v>2038651</v>
      </c>
      <c r="M7" s="13">
        <v>6929293</v>
      </c>
      <c r="N7" s="3"/>
      <c r="O7" s="17">
        <v>463252</v>
      </c>
      <c r="P7" s="13">
        <v>3313427</v>
      </c>
      <c r="Q7" s="13">
        <v>288</v>
      </c>
      <c r="R7" s="17">
        <v>458784</v>
      </c>
      <c r="S7" s="17">
        <v>2452398</v>
      </c>
      <c r="T7" s="17">
        <v>5309602</v>
      </c>
      <c r="U7" s="17">
        <v>5848755</v>
      </c>
      <c r="V7" s="17">
        <v>2694089</v>
      </c>
    </row>
    <row r="8" spans="1:22" ht="16.5" x14ac:dyDescent="0.35">
      <c r="A8" s="139"/>
      <c r="B8" s="1">
        <v>42734</v>
      </c>
      <c r="C8" s="14">
        <v>56721</v>
      </c>
      <c r="D8" s="13">
        <v>1606760</v>
      </c>
      <c r="E8" s="17">
        <v>3838745</v>
      </c>
      <c r="F8" s="17">
        <v>5207419</v>
      </c>
      <c r="G8" s="17">
        <v>4608496</v>
      </c>
      <c r="H8" s="17">
        <v>5840309</v>
      </c>
      <c r="I8" s="17">
        <v>46963</v>
      </c>
      <c r="J8" s="17">
        <v>39934</v>
      </c>
      <c r="K8" s="13">
        <v>64906</v>
      </c>
      <c r="L8" s="13">
        <v>3636801</v>
      </c>
      <c r="M8" s="13">
        <v>7451638</v>
      </c>
      <c r="N8" s="3"/>
      <c r="O8" s="17">
        <v>35602</v>
      </c>
      <c r="P8" s="13">
        <v>95278</v>
      </c>
      <c r="Q8" s="13">
        <v>15457</v>
      </c>
      <c r="R8" s="17">
        <v>1573409</v>
      </c>
      <c r="S8" s="17">
        <v>1820948</v>
      </c>
      <c r="T8" s="17">
        <v>964610</v>
      </c>
      <c r="U8" s="17">
        <v>4289648</v>
      </c>
      <c r="V8" s="17">
        <v>6718977</v>
      </c>
    </row>
    <row r="9" spans="1:22" ht="16.5" x14ac:dyDescent="0.35">
      <c r="A9" s="139"/>
      <c r="B9" s="1">
        <v>107035</v>
      </c>
      <c r="C9" s="14">
        <v>273656</v>
      </c>
      <c r="D9" s="13">
        <v>3363193</v>
      </c>
      <c r="E9" s="17">
        <v>2484253</v>
      </c>
      <c r="F9" s="17">
        <v>4248004</v>
      </c>
      <c r="G9" s="17">
        <v>5513041</v>
      </c>
      <c r="H9" s="17">
        <v>10442956</v>
      </c>
      <c r="I9" s="17">
        <v>63687</v>
      </c>
      <c r="J9" s="17">
        <v>115874</v>
      </c>
      <c r="K9" s="13">
        <v>1015865</v>
      </c>
      <c r="L9" s="13">
        <v>5552278</v>
      </c>
      <c r="M9" s="13">
        <v>8965091</v>
      </c>
      <c r="N9" s="3"/>
      <c r="O9" s="17">
        <v>518438</v>
      </c>
      <c r="P9" s="13">
        <v>7300365</v>
      </c>
      <c r="Q9" s="13">
        <v>36778</v>
      </c>
      <c r="R9" s="17">
        <v>42815</v>
      </c>
      <c r="S9" s="17">
        <v>372518</v>
      </c>
      <c r="T9" s="17">
        <v>1545136</v>
      </c>
      <c r="U9" s="17">
        <v>7891605</v>
      </c>
      <c r="V9" s="17">
        <v>6571164</v>
      </c>
    </row>
    <row r="10" spans="1:22" ht="16.5" x14ac:dyDescent="0.35">
      <c r="A10" s="139"/>
      <c r="B10" s="1">
        <v>130655</v>
      </c>
      <c r="C10" s="14">
        <v>8039</v>
      </c>
      <c r="D10" s="13">
        <v>4341</v>
      </c>
      <c r="E10" s="17">
        <v>1119166</v>
      </c>
      <c r="F10" s="17">
        <v>4337299</v>
      </c>
      <c r="G10" s="17">
        <v>4725478</v>
      </c>
      <c r="H10" s="17">
        <v>6322215</v>
      </c>
      <c r="I10" s="17">
        <v>200064</v>
      </c>
      <c r="J10" s="17">
        <v>137904</v>
      </c>
      <c r="K10" s="13">
        <v>766662</v>
      </c>
      <c r="L10" s="13">
        <v>5747893</v>
      </c>
      <c r="M10" s="13">
        <v>1728420</v>
      </c>
      <c r="N10" s="3"/>
      <c r="O10" s="17">
        <v>1129410</v>
      </c>
      <c r="P10" s="13">
        <v>7939880</v>
      </c>
      <c r="Q10" s="13"/>
      <c r="R10" s="17">
        <v>81647</v>
      </c>
      <c r="S10" s="17">
        <v>457924</v>
      </c>
      <c r="T10" s="17">
        <v>6894033</v>
      </c>
      <c r="U10" s="17">
        <v>5565543</v>
      </c>
      <c r="V10" s="17">
        <v>6534634</v>
      </c>
    </row>
    <row r="11" spans="1:22" ht="16.5" x14ac:dyDescent="0.35">
      <c r="A11" s="139"/>
      <c r="B11" s="1">
        <v>6147</v>
      </c>
      <c r="C11" s="14">
        <v>40201</v>
      </c>
      <c r="D11" s="13">
        <v>2788447</v>
      </c>
      <c r="E11" s="17">
        <v>1387966</v>
      </c>
      <c r="F11" s="17">
        <v>2934934</v>
      </c>
      <c r="G11" s="17">
        <v>6887911</v>
      </c>
      <c r="H11" s="17">
        <v>9276901</v>
      </c>
      <c r="I11" s="17">
        <v>98557</v>
      </c>
      <c r="J11" s="17">
        <v>16737</v>
      </c>
      <c r="K11" s="13">
        <v>778582</v>
      </c>
      <c r="L11" s="13">
        <v>8229423</v>
      </c>
      <c r="M11" s="13">
        <v>7819113</v>
      </c>
      <c r="N11" s="3"/>
      <c r="O11" s="17">
        <v>2616182</v>
      </c>
      <c r="P11" s="13">
        <v>4573295</v>
      </c>
      <c r="Q11" s="13"/>
      <c r="R11" s="17">
        <v>57398</v>
      </c>
      <c r="S11" s="17">
        <v>1048522</v>
      </c>
      <c r="T11" s="17">
        <v>991633</v>
      </c>
      <c r="U11" s="17">
        <v>2052270</v>
      </c>
      <c r="V11" s="17">
        <v>6778855</v>
      </c>
    </row>
    <row r="12" spans="1:22" ht="16.5" x14ac:dyDescent="0.35">
      <c r="A12" s="139"/>
      <c r="B12" s="1">
        <v>42493</v>
      </c>
      <c r="C12" s="14">
        <v>179098</v>
      </c>
      <c r="D12" s="13">
        <v>1006305</v>
      </c>
      <c r="E12" s="17">
        <v>4727773</v>
      </c>
      <c r="F12" s="17">
        <v>3131750</v>
      </c>
      <c r="G12" s="17">
        <v>5162292</v>
      </c>
      <c r="H12" s="17">
        <v>5544512</v>
      </c>
      <c r="I12" s="17">
        <v>151186</v>
      </c>
      <c r="J12" s="17">
        <v>98238</v>
      </c>
      <c r="K12" s="13">
        <v>39604</v>
      </c>
      <c r="L12" s="13">
        <v>6398511</v>
      </c>
      <c r="M12" s="13">
        <v>492874</v>
      </c>
      <c r="N12" s="3"/>
      <c r="O12" s="17">
        <v>39118</v>
      </c>
      <c r="P12" s="13">
        <v>6832852</v>
      </c>
      <c r="Q12" s="13"/>
      <c r="R12" s="17">
        <v>2254008</v>
      </c>
      <c r="S12" s="17">
        <v>1688129</v>
      </c>
      <c r="T12" s="17"/>
      <c r="U12" s="17">
        <v>4889048</v>
      </c>
      <c r="V12" s="17">
        <v>6501252</v>
      </c>
    </row>
    <row r="13" spans="1:22" ht="16.5" x14ac:dyDescent="0.35">
      <c r="A13" s="139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7">
        <v>1611530</v>
      </c>
      <c r="P13" s="13">
        <v>6208982</v>
      </c>
      <c r="Q13" s="13"/>
      <c r="R13" s="17"/>
      <c r="S13" s="17"/>
      <c r="T13" s="17"/>
      <c r="U13" s="17"/>
      <c r="V13" s="17"/>
    </row>
    <row r="14" spans="1:22" ht="16.5" x14ac:dyDescent="0.35">
      <c r="A14" s="139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7">
        <v>3187025</v>
      </c>
      <c r="P14" s="13"/>
      <c r="Q14" s="13"/>
      <c r="R14" s="17"/>
      <c r="S14" s="17"/>
      <c r="T14" s="17"/>
      <c r="U14" s="17"/>
      <c r="V14" s="17"/>
    </row>
    <row r="15" spans="1:22" ht="16.5" x14ac:dyDescent="0.35">
      <c r="A15" s="139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7">
        <v>5756901</v>
      </c>
      <c r="P15" s="13"/>
      <c r="Q15" s="13"/>
      <c r="R15" s="17"/>
      <c r="S15" s="17"/>
      <c r="T15" s="17"/>
      <c r="U15" s="17"/>
      <c r="V15" s="17"/>
    </row>
    <row r="16" spans="1:22" ht="16.5" x14ac:dyDescent="0.35">
      <c r="A16" s="139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7">
        <v>474011</v>
      </c>
      <c r="P16" s="13"/>
      <c r="Q16" s="13"/>
      <c r="R16" s="17"/>
      <c r="S16" s="17"/>
      <c r="T16" s="17"/>
      <c r="U16" s="17"/>
      <c r="V16" s="17"/>
    </row>
    <row r="17" spans="1:22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3836155</v>
      </c>
      <c r="P17" s="13"/>
      <c r="Q17" s="13"/>
      <c r="R17" s="17"/>
      <c r="S17" s="17"/>
      <c r="T17" s="17"/>
      <c r="U17" s="17"/>
      <c r="V17" s="17"/>
    </row>
    <row r="18" spans="1:22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339668</v>
      </c>
      <c r="P18" s="13"/>
      <c r="Q18" s="13"/>
      <c r="R18" s="17"/>
      <c r="S18" s="17"/>
      <c r="T18" s="17"/>
      <c r="U18" s="17"/>
      <c r="V18" s="17"/>
    </row>
    <row r="19" spans="1:22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1653472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7"/>
      <c r="P20" s="13"/>
      <c r="Q20" s="13"/>
      <c r="R20" s="17"/>
      <c r="S20" s="17"/>
      <c r="T20" s="17"/>
      <c r="U20" s="17"/>
      <c r="V20" s="17"/>
    </row>
    <row r="21" spans="1:22" x14ac:dyDescent="0.3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3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Estradiol-34ng/L</v>
      </c>
      <c r="J22" s="3" t="str">
        <f t="shared" si="1"/>
        <v>Estradiol-68ng/L</v>
      </c>
      <c r="K22" s="3" t="str">
        <f t="shared" si="1"/>
        <v>Estradiol-135ng/L</v>
      </c>
      <c r="L22" s="3" t="str">
        <f t="shared" si="1"/>
        <v>Estradiol-270ng/L</v>
      </c>
      <c r="M22" s="3" t="str">
        <f t="shared" si="1"/>
        <v>Estradiol-540ng/L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Estradiol-34ng/L + Testostérone</v>
      </c>
      <c r="S22" s="3" t="str">
        <f t="shared" si="1"/>
        <v>Estradiol-68ng/L + Testostérone</v>
      </c>
      <c r="T22" s="3" t="str">
        <f t="shared" si="1"/>
        <v>Estradiol-135ng/L + Testostérone</v>
      </c>
      <c r="U22" s="3" t="str">
        <f t="shared" si="1"/>
        <v>Estradiol-270ng/L + Testostérone</v>
      </c>
      <c r="V22" s="3" t="str">
        <f t="shared" si="1"/>
        <v>Estradiol-540ng/L + Testostérone</v>
      </c>
    </row>
    <row r="23" spans="1:22" x14ac:dyDescent="0.35">
      <c r="A23" s="5" t="s">
        <v>0</v>
      </c>
      <c r="B23" s="5">
        <f t="shared" ref="B23:J23" si="2">AVERAGE(B5:B20)</f>
        <v>111037.875</v>
      </c>
      <c r="C23" s="5">
        <f>AVERAGE(C5:C20)</f>
        <v>372571.125</v>
      </c>
      <c r="D23" s="5">
        <f t="shared" si="2"/>
        <v>1515201.875</v>
      </c>
      <c r="E23" s="5">
        <f>AVERAGE(E5:E20)</f>
        <v>2634833.75</v>
      </c>
      <c r="F23" s="5">
        <f>AVERAGE(F5:F20)</f>
        <v>3891878.125</v>
      </c>
      <c r="G23" s="5">
        <f t="shared" si="2"/>
        <v>5418892.125</v>
      </c>
      <c r="H23" s="5">
        <f t="shared" si="2"/>
        <v>6891489.25</v>
      </c>
      <c r="I23" s="5">
        <f t="shared" si="2"/>
        <v>152063.25</v>
      </c>
      <c r="J23" s="5">
        <f t="shared" si="2"/>
        <v>119076.5</v>
      </c>
      <c r="K23" s="5"/>
      <c r="L23" s="5">
        <f>AVERAGE(L5:L20)</f>
        <v>4948047</v>
      </c>
      <c r="M23" s="5"/>
      <c r="N23" s="5" t="s">
        <v>0</v>
      </c>
      <c r="O23" s="5">
        <f>AVERAGE(O5:O20)</f>
        <v>1591014.2</v>
      </c>
      <c r="P23" s="5">
        <f>AVERAGE(P5:P20)</f>
        <v>5271882.555555556</v>
      </c>
      <c r="Q23" s="5">
        <f>AVERAGE(Q5:Q20)</f>
        <v>14948.4</v>
      </c>
      <c r="R23" s="5">
        <f>AVERAGE(R5:R20)</f>
        <v>796290</v>
      </c>
      <c r="S23" s="5">
        <f>AVERAGE(S5:S20)</f>
        <v>1092338.125</v>
      </c>
      <c r="T23" s="5">
        <f t="shared" ref="T23:V23" si="3">AVERAGE(T5:T20)</f>
        <v>3209470.8571428573</v>
      </c>
      <c r="U23" s="5">
        <f t="shared" si="3"/>
        <v>5390319</v>
      </c>
      <c r="V23" s="5">
        <f t="shared" si="3"/>
        <v>5998551.75</v>
      </c>
    </row>
    <row r="24" spans="1:22" x14ac:dyDescent="0.35">
      <c r="A24" s="3" t="s">
        <v>1</v>
      </c>
      <c r="B24" s="3">
        <f t="shared" ref="B24:J24" si="4">STDEV(B5:B20)</f>
        <v>105127.59255364406</v>
      </c>
      <c r="C24" s="3">
        <f>STDEV(C5:C20)</f>
        <v>482884.21679837717</v>
      </c>
      <c r="D24" s="3">
        <f t="shared" si="4"/>
        <v>1086900.1296531917</v>
      </c>
      <c r="E24" s="3">
        <f>STDEV(E5:E20)</f>
        <v>1545265.5887714161</v>
      </c>
      <c r="F24" s="3">
        <f>STDEV(F5:F20)</f>
        <v>1506791.4293968622</v>
      </c>
      <c r="G24" s="3">
        <f t="shared" si="4"/>
        <v>1363301.0936313411</v>
      </c>
      <c r="H24" s="3">
        <f t="shared" si="4"/>
        <v>1977991.0541054201</v>
      </c>
      <c r="I24" s="3">
        <f t="shared" si="4"/>
        <v>139393.16057596635</v>
      </c>
      <c r="J24" s="3">
        <f t="shared" si="4"/>
        <v>99975.690169446403</v>
      </c>
      <c r="K24" s="3"/>
      <c r="L24" s="3">
        <f>STDEV(L5:L20)</f>
        <v>2040848.3458817527</v>
      </c>
      <c r="M24" s="3"/>
      <c r="N24" s="3" t="s">
        <v>1</v>
      </c>
      <c r="O24" s="3">
        <f>STDEV(O5:O20)</f>
        <v>1669962.4211227114</v>
      </c>
      <c r="P24" s="3">
        <f>STDEV(P5:P20)</f>
        <v>2402940.7078228705</v>
      </c>
      <c r="Q24" s="3">
        <f>STDEV(Q5:Q20)</f>
        <v>13689.228038863259</v>
      </c>
      <c r="R24" s="3">
        <f>STDEV(R5:R20)</f>
        <v>925431.87460928597</v>
      </c>
      <c r="S24" s="3">
        <f>STDEV(S5:S20)</f>
        <v>802000.55120580236</v>
      </c>
      <c r="T24" s="3">
        <f t="shared" ref="T24:V24" si="5">STDEV(T5:T20)</f>
        <v>2290920.7152483058</v>
      </c>
      <c r="U24" s="3">
        <f t="shared" si="5"/>
        <v>1788383.8171499986</v>
      </c>
      <c r="V24" s="3">
        <f t="shared" si="5"/>
        <v>1359418.8016860893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x14ac:dyDescent="0.3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Estradiol-34ng/L</v>
      </c>
      <c r="J27" s="20" t="str">
        <f t="shared" si="6"/>
        <v>Estradiol-68ng/L</v>
      </c>
      <c r="K27" s="20" t="str">
        <f t="shared" si="6"/>
        <v>Estradiol-135ng/L</v>
      </c>
      <c r="L27" s="20" t="str">
        <f t="shared" si="6"/>
        <v>Estradiol-270ng/L</v>
      </c>
      <c r="M27" s="20" t="str">
        <f t="shared" si="6"/>
        <v>Estradiol-540ng/L</v>
      </c>
      <c r="N27" s="3"/>
      <c r="O27" s="21" t="str">
        <f>O4</f>
        <v>Testo -30µg/L</v>
      </c>
      <c r="P27" s="21" t="str">
        <f t="shared" ref="P27:R27" si="7">P4</f>
        <v>Testo 30µg/L + EE2 -64ng/L</v>
      </c>
      <c r="Q27" s="21" t="str">
        <f t="shared" si="7"/>
        <v>Testo 30µg/L + FAD-10mg/L</v>
      </c>
      <c r="R27" s="21" t="str">
        <f t="shared" si="7"/>
        <v>Estradiol-34ng/L + Testostérone</v>
      </c>
      <c r="S27" s="21" t="str">
        <f t="shared" ref="S27:V27" si="8">S4</f>
        <v>Estradiol-68ng/L + Testostérone</v>
      </c>
      <c r="T27" s="21" t="str">
        <f t="shared" si="8"/>
        <v>Estradiol-135ng/L + Testostérone</v>
      </c>
      <c r="U27" s="21" t="str">
        <f t="shared" si="8"/>
        <v>Estradiol-270ng/L + Testostérone</v>
      </c>
      <c r="V27" s="21" t="str">
        <f t="shared" si="8"/>
        <v>Estradiol-540ng/L + Testostérone</v>
      </c>
    </row>
    <row r="28" spans="1:22" ht="14.5" customHeight="1" x14ac:dyDescent="0.35">
      <c r="A28" s="140" t="s">
        <v>36</v>
      </c>
      <c r="B28" s="11">
        <f t="shared" ref="B28:F35" si="9">IF(C5="","",(C5/$O$23))</f>
        <v>0.85503385199201876</v>
      </c>
      <c r="C28" s="11">
        <f t="shared" si="9"/>
        <v>0.90348030834671367</v>
      </c>
      <c r="D28" s="11">
        <f t="shared" si="9"/>
        <v>2.366895279753003</v>
      </c>
      <c r="E28" s="11">
        <f t="shared" si="9"/>
        <v>4.1080626433126746</v>
      </c>
      <c r="F28" s="11">
        <f t="shared" si="9"/>
        <v>1.8800762431912927</v>
      </c>
      <c r="G28" s="11">
        <f t="shared" ref="G28:M28" si="10">IF(G5="","",(G5/$O$23))</f>
        <v>1.8800762431912927</v>
      </c>
      <c r="H28" s="11">
        <f t="shared" si="10"/>
        <v>4.11952451461464</v>
      </c>
      <c r="I28" s="11">
        <f t="shared" si="10"/>
        <v>4.6619319928131377E-2</v>
      </c>
      <c r="J28" s="11">
        <f t="shared" si="10"/>
        <v>1.0502106140850283E-2</v>
      </c>
      <c r="K28" s="11">
        <f t="shared" si="10"/>
        <v>1.5414545011603291</v>
      </c>
      <c r="L28" s="11">
        <f t="shared" si="10"/>
        <v>3.3106951528151036</v>
      </c>
      <c r="M28" s="11">
        <f t="shared" si="10"/>
        <v>2.0460087659808441</v>
      </c>
      <c r="N28" s="6"/>
      <c r="O28" s="11">
        <f t="shared" ref="O28:S37" si="11">IF(O5="","",(O5/$O$23))</f>
        <v>1.3654259025469415</v>
      </c>
      <c r="P28" s="11">
        <f t="shared" si="11"/>
        <v>3.2628803690124202</v>
      </c>
      <c r="Q28" s="11">
        <f t="shared" si="11"/>
        <v>4.6146665441452375E-3</v>
      </c>
      <c r="R28" s="11">
        <f t="shared" si="11"/>
        <v>5.7158509333229079E-2</v>
      </c>
      <c r="S28" s="11">
        <f t="shared" si="11"/>
        <v>0.34000953605568074</v>
      </c>
      <c r="T28" s="11">
        <f t="shared" ref="T28:V43" si="12">IF(T5="","",(T5/$O$23))</f>
        <v>2.5010455594928067</v>
      </c>
      <c r="U28" s="11">
        <f t="shared" si="12"/>
        <v>4.5272537479552355</v>
      </c>
      <c r="V28" s="11">
        <f t="shared" si="12"/>
        <v>3.8093871192350139</v>
      </c>
    </row>
    <row r="29" spans="1:22" x14ac:dyDescent="0.35">
      <c r="A29" s="141"/>
      <c r="B29" s="11">
        <f t="shared" si="9"/>
        <v>0.12743695185121542</v>
      </c>
      <c r="C29" s="11">
        <f t="shared" si="9"/>
        <v>0.49743176396540018</v>
      </c>
      <c r="D29" s="11">
        <f t="shared" si="9"/>
        <v>0.22846936249846167</v>
      </c>
      <c r="E29" s="11">
        <f t="shared" si="9"/>
        <v>1.1126751728551512</v>
      </c>
      <c r="F29" s="11">
        <f t="shared" si="9"/>
        <v>3.9869292178536182</v>
      </c>
      <c r="G29" s="11">
        <f t="shared" ref="G29:M29" si="13">IF(G6="","",(G6/$O$23))</f>
        <v>3.9869292178536182</v>
      </c>
      <c r="H29" s="11">
        <f t="shared" si="13"/>
        <v>4.1728408206538949</v>
      </c>
      <c r="I29" s="11">
        <f t="shared" si="13"/>
        <v>6.752422448523715E-2</v>
      </c>
      <c r="J29" s="11">
        <f t="shared" si="13"/>
        <v>0.15985212451277933</v>
      </c>
      <c r="K29" s="11">
        <f t="shared" si="13"/>
        <v>0.5850595173820573</v>
      </c>
      <c r="L29" s="11">
        <f t="shared" si="13"/>
        <v>1.705488235114432</v>
      </c>
      <c r="M29" s="11">
        <f t="shared" si="13"/>
        <v>2.6190388495589794</v>
      </c>
      <c r="N29" s="6"/>
      <c r="O29" s="11">
        <f t="shared" si="11"/>
        <v>2.0136212486349902E-2</v>
      </c>
      <c r="P29" s="11">
        <f t="shared" si="11"/>
        <v>3.765884050563471</v>
      </c>
      <c r="Q29" s="11">
        <f t="shared" si="11"/>
        <v>9.3506393594727198E-3</v>
      </c>
      <c r="R29" s="11">
        <f t="shared" si="11"/>
        <v>1.1384681544639892</v>
      </c>
      <c r="S29" s="11">
        <f t="shared" si="11"/>
        <v>0.22457750534218993</v>
      </c>
      <c r="T29" s="11">
        <f t="shared" si="12"/>
        <v>1.7486223567332084</v>
      </c>
      <c r="U29" s="11">
        <f t="shared" si="12"/>
        <v>3.3832243609139381</v>
      </c>
      <c r="V29" s="11">
        <f t="shared" si="12"/>
        <v>3.852042301068086</v>
      </c>
    </row>
    <row r="30" spans="1:22" x14ac:dyDescent="0.35">
      <c r="A30" s="141"/>
      <c r="B30" s="11">
        <f t="shared" si="9"/>
        <v>0.54036538454527938</v>
      </c>
      <c r="C30" s="11">
        <f t="shared" si="9"/>
        <v>0.70627779437795091</v>
      </c>
      <c r="D30" s="11">
        <f t="shared" si="9"/>
        <v>2.131662306973753</v>
      </c>
      <c r="E30" s="11">
        <f t="shared" si="9"/>
        <v>1.8663258945143293</v>
      </c>
      <c r="F30" s="11">
        <f t="shared" si="9"/>
        <v>4.4747746437461089</v>
      </c>
      <c r="G30" s="11">
        <f t="shared" ref="G30:M30" si="14">IF(G7="","",(G7/$O$23))</f>
        <v>4.4747746437461089</v>
      </c>
      <c r="H30" s="11">
        <f t="shared" si="14"/>
        <v>2.8357697875983758</v>
      </c>
      <c r="I30" s="11">
        <f t="shared" si="14"/>
        <v>0.29820286959098163</v>
      </c>
      <c r="J30" s="11">
        <f t="shared" si="14"/>
        <v>0.17151889656295966</v>
      </c>
      <c r="K30" s="11">
        <f t="shared" si="14"/>
        <v>0.33814720195457715</v>
      </c>
      <c r="L30" s="11">
        <f t="shared" si="14"/>
        <v>1.2813531142588168</v>
      </c>
      <c r="M30" s="11">
        <f t="shared" si="14"/>
        <v>4.3552678536747189</v>
      </c>
      <c r="N30" s="6"/>
      <c r="O30" s="11">
        <f t="shared" si="11"/>
        <v>0.29116773439231403</v>
      </c>
      <c r="P30" s="11">
        <f t="shared" si="11"/>
        <v>2.0825879492464621</v>
      </c>
      <c r="Q30" s="11">
        <f t="shared" si="11"/>
        <v>1.8101661191961707E-4</v>
      </c>
      <c r="R30" s="11">
        <f t="shared" si="11"/>
        <v>0.28835946278794999</v>
      </c>
      <c r="S30" s="11">
        <f t="shared" si="11"/>
        <v>1.5414054758279343</v>
      </c>
      <c r="T30" s="11">
        <f t="shared" si="12"/>
        <v>3.3372436273667452</v>
      </c>
      <c r="U30" s="11">
        <f t="shared" si="12"/>
        <v>3.6761174098886107</v>
      </c>
      <c r="V30" s="11">
        <f t="shared" si="12"/>
        <v>1.6933154964927404</v>
      </c>
    </row>
    <row r="31" spans="1:22" x14ac:dyDescent="0.35">
      <c r="A31" s="141"/>
      <c r="B31" s="11">
        <f t="shared" si="9"/>
        <v>3.5650844599627085E-2</v>
      </c>
      <c r="C31" s="11">
        <f t="shared" si="9"/>
        <v>1.0098967061387636</v>
      </c>
      <c r="D31" s="11">
        <f t="shared" si="9"/>
        <v>2.4127660205672585</v>
      </c>
      <c r="E31" s="11">
        <f t="shared" si="9"/>
        <v>3.2730185563397236</v>
      </c>
      <c r="F31" s="11">
        <f t="shared" si="9"/>
        <v>2.8965775415455122</v>
      </c>
      <c r="G31" s="11">
        <f t="shared" ref="G31:M31" si="15">IF(G8="","",(G8/$O$23))</f>
        <v>2.8965775415455122</v>
      </c>
      <c r="H31" s="11">
        <f t="shared" si="15"/>
        <v>3.6708088463321071</v>
      </c>
      <c r="I31" s="11">
        <f t="shared" si="15"/>
        <v>2.9517649811045057E-2</v>
      </c>
      <c r="J31" s="11">
        <f t="shared" si="15"/>
        <v>2.5099713126381901E-2</v>
      </c>
      <c r="K31" s="11">
        <f t="shared" si="15"/>
        <v>4.0795361851578699E-2</v>
      </c>
      <c r="L31" s="11">
        <f t="shared" si="15"/>
        <v>2.2858381779370669</v>
      </c>
      <c r="M31" s="11">
        <f t="shared" si="15"/>
        <v>4.6835773055953869</v>
      </c>
      <c r="N31" s="6"/>
      <c r="O31" s="11">
        <f t="shared" si="11"/>
        <v>2.2376921588757662E-2</v>
      </c>
      <c r="P31" s="11">
        <f t="shared" si="11"/>
        <v>5.9885072050268315E-2</v>
      </c>
      <c r="Q31" s="11">
        <f t="shared" si="11"/>
        <v>9.715186702921947E-3</v>
      </c>
      <c r="R31" s="11">
        <f t="shared" si="11"/>
        <v>0.98893460536053046</v>
      </c>
      <c r="S31" s="11">
        <f t="shared" si="11"/>
        <v>1.1445202688951488</v>
      </c>
      <c r="T31" s="11">
        <f t="shared" si="12"/>
        <v>0.60628622924924247</v>
      </c>
      <c r="U31" s="11">
        <f t="shared" si="12"/>
        <v>2.6961720391936161</v>
      </c>
      <c r="V31" s="11">
        <f t="shared" si="12"/>
        <v>4.2230779587008085</v>
      </c>
    </row>
    <row r="32" spans="1:22" x14ac:dyDescent="0.35">
      <c r="A32" s="141"/>
      <c r="B32" s="11">
        <f t="shared" si="9"/>
        <v>0.17200097899817612</v>
      </c>
      <c r="C32" s="11">
        <f t="shared" si="9"/>
        <v>2.1138673683742106</v>
      </c>
      <c r="D32" s="11">
        <f t="shared" si="9"/>
        <v>1.5614272958720294</v>
      </c>
      <c r="E32" s="11">
        <f t="shared" si="9"/>
        <v>2.6699975399339615</v>
      </c>
      <c r="F32" s="11">
        <f t="shared" si="9"/>
        <v>3.4651111222011721</v>
      </c>
      <c r="G32" s="11">
        <f t="shared" ref="G32:M32" si="16">IF(G9="","",(G9/$O$23))</f>
        <v>3.4651111222011721</v>
      </c>
      <c r="H32" s="11">
        <f t="shared" si="16"/>
        <v>6.563710116477905</v>
      </c>
      <c r="I32" s="11">
        <f t="shared" si="16"/>
        <v>4.0029183900432821E-2</v>
      </c>
      <c r="J32" s="11">
        <f t="shared" si="16"/>
        <v>7.2830273922130928E-2</v>
      </c>
      <c r="K32" s="11">
        <f t="shared" si="16"/>
        <v>0.63850152940181182</v>
      </c>
      <c r="L32" s="11">
        <f t="shared" si="16"/>
        <v>3.4897727499855127</v>
      </c>
      <c r="M32" s="11">
        <f t="shared" si="16"/>
        <v>5.6348277721217075</v>
      </c>
      <c r="N32" s="6"/>
      <c r="O32" s="11">
        <f t="shared" si="11"/>
        <v>0.32585378559160566</v>
      </c>
      <c r="P32" s="11">
        <f t="shared" si="11"/>
        <v>4.5884977016547053</v>
      </c>
      <c r="Q32" s="11">
        <f t="shared" si="11"/>
        <v>2.3116072754096099E-2</v>
      </c>
      <c r="R32" s="11">
        <f t="shared" si="11"/>
        <v>2.6910507775480572E-2</v>
      </c>
      <c r="S32" s="11">
        <f t="shared" si="11"/>
        <v>0.23413870221899968</v>
      </c>
      <c r="T32" s="11">
        <f t="shared" si="12"/>
        <v>0.97116417942718558</v>
      </c>
      <c r="U32" s="11">
        <f t="shared" si="12"/>
        <v>4.9601097212080196</v>
      </c>
      <c r="V32" s="11">
        <f t="shared" si="12"/>
        <v>4.1301730682227724</v>
      </c>
    </row>
    <row r="33" spans="1:22" x14ac:dyDescent="0.35">
      <c r="A33" s="141"/>
      <c r="B33" s="11">
        <f t="shared" si="9"/>
        <v>5.0527518861868109E-3</v>
      </c>
      <c r="C33" s="11">
        <f t="shared" si="9"/>
        <v>2.7284483067467279E-3</v>
      </c>
      <c r="D33" s="11">
        <f t="shared" si="9"/>
        <v>0.70342929685982691</v>
      </c>
      <c r="E33" s="11">
        <f t="shared" si="9"/>
        <v>2.7261221175775803</v>
      </c>
      <c r="F33" s="11">
        <f t="shared" si="9"/>
        <v>2.970104226599612</v>
      </c>
      <c r="G33" s="11">
        <f t="shared" ref="G33:M33" si="17">IF(G10="","",(G10/$O$23))</f>
        <v>2.970104226599612</v>
      </c>
      <c r="H33" s="11">
        <f t="shared" si="17"/>
        <v>3.9737011775256312</v>
      </c>
      <c r="I33" s="11">
        <f t="shared" si="17"/>
        <v>0.12574620641349399</v>
      </c>
      <c r="J33" s="11">
        <f t="shared" si="17"/>
        <v>8.6676787674176636E-2</v>
      </c>
      <c r="K33" s="11">
        <f t="shared" si="17"/>
        <v>0.4818699921094356</v>
      </c>
      <c r="L33" s="11">
        <f t="shared" si="17"/>
        <v>3.6127226268627899</v>
      </c>
      <c r="M33" s="11">
        <f t="shared" si="17"/>
        <v>1.0863636540767518</v>
      </c>
      <c r="N33" s="6"/>
      <c r="O33" s="11">
        <f t="shared" si="11"/>
        <v>0.70986795718102325</v>
      </c>
      <c r="P33" s="11">
        <f t="shared" si="11"/>
        <v>4.9904520022511427</v>
      </c>
      <c r="Q33" s="11" t="str">
        <f t="shared" si="11"/>
        <v/>
      </c>
      <c r="R33" s="11">
        <f t="shared" si="11"/>
        <v>5.1317580949308939E-2</v>
      </c>
      <c r="S33" s="11">
        <f t="shared" si="11"/>
        <v>0.28781892707180112</v>
      </c>
      <c r="T33" s="11">
        <f t="shared" si="12"/>
        <v>4.3331058893126162</v>
      </c>
      <c r="U33" s="11">
        <f t="shared" si="12"/>
        <v>3.4981101991421575</v>
      </c>
      <c r="V33" s="11">
        <f t="shared" si="12"/>
        <v>4.1072128708844966</v>
      </c>
    </row>
    <row r="34" spans="1:22" x14ac:dyDescent="0.35">
      <c r="A34" s="141"/>
      <c r="B34" s="11">
        <f t="shared" si="9"/>
        <v>2.5267530610349049E-2</v>
      </c>
      <c r="C34" s="11">
        <f t="shared" si="9"/>
        <v>1.7526223210327099</v>
      </c>
      <c r="D34" s="11">
        <f t="shared" si="9"/>
        <v>0.87237813465146952</v>
      </c>
      <c r="E34" s="11">
        <f t="shared" si="9"/>
        <v>1.8446937808600326</v>
      </c>
      <c r="F34" s="11">
        <f t="shared" si="9"/>
        <v>4.3292580292495195</v>
      </c>
      <c r="G34" s="11">
        <f t="shared" ref="G34:M34" si="18">IF(G11="","",(G11/$O$23))</f>
        <v>4.3292580292495195</v>
      </c>
      <c r="H34" s="11">
        <f t="shared" si="18"/>
        <v>5.8308096810198178</v>
      </c>
      <c r="I34" s="11">
        <f t="shared" si="18"/>
        <v>6.1946021600561452E-2</v>
      </c>
      <c r="J34" s="11">
        <f t="shared" si="18"/>
        <v>1.0519704978120246E-2</v>
      </c>
      <c r="K34" s="11">
        <f t="shared" si="18"/>
        <v>0.48936206854721975</v>
      </c>
      <c r="L34" s="11">
        <f t="shared" si="18"/>
        <v>5.1724384358103155</v>
      </c>
      <c r="M34" s="11">
        <f t="shared" si="18"/>
        <v>4.9145463315160862</v>
      </c>
      <c r="N34" s="6"/>
      <c r="O34" s="11">
        <f t="shared" si="11"/>
        <v>1.6443486173787765</v>
      </c>
      <c r="P34" s="11">
        <f t="shared" si="11"/>
        <v>2.8744526604476568</v>
      </c>
      <c r="Q34" s="11" t="str">
        <f t="shared" si="11"/>
        <v/>
      </c>
      <c r="R34" s="11">
        <f t="shared" si="11"/>
        <v>3.6076359343618684E-2</v>
      </c>
      <c r="S34" s="11">
        <f t="shared" si="11"/>
        <v>0.65902743042771084</v>
      </c>
      <c r="T34" s="11">
        <f t="shared" si="12"/>
        <v>0.62327099280446396</v>
      </c>
      <c r="U34" s="11">
        <f t="shared" si="12"/>
        <v>1.2899130630009463</v>
      </c>
      <c r="V34" s="11">
        <f t="shared" si="12"/>
        <v>4.2607130722026243</v>
      </c>
    </row>
    <row r="35" spans="1:22" x14ac:dyDescent="0.35">
      <c r="A35" s="141"/>
      <c r="B35" s="11">
        <f t="shared" si="9"/>
        <v>0.11256844847770686</v>
      </c>
      <c r="C35" s="11">
        <f t="shared" si="9"/>
        <v>0.63249278353392446</v>
      </c>
      <c r="D35" s="11">
        <f t="shared" si="9"/>
        <v>2.9715467027258464</v>
      </c>
      <c r="E35" s="11">
        <f t="shared" si="9"/>
        <v>1.9683985221502109</v>
      </c>
      <c r="F35" s="11">
        <f t="shared" si="9"/>
        <v>3.2446548874296659</v>
      </c>
      <c r="G35" s="11">
        <f t="shared" ref="G35:M35" si="19">IF(G12="","",(G12/$O$23))</f>
        <v>3.2446548874296659</v>
      </c>
      <c r="H35" s="11">
        <f t="shared" si="19"/>
        <v>3.4848915867627079</v>
      </c>
      <c r="I35" s="11">
        <f t="shared" si="19"/>
        <v>9.5024921839163973E-2</v>
      </c>
      <c r="J35" s="11">
        <f t="shared" si="19"/>
        <v>6.174552056166438E-2</v>
      </c>
      <c r="K35" s="11">
        <f t="shared" si="19"/>
        <v>2.4892298258557342E-2</v>
      </c>
      <c r="L35" s="11">
        <f t="shared" si="19"/>
        <v>4.0216554949666694</v>
      </c>
      <c r="M35" s="11">
        <f t="shared" si="19"/>
        <v>0.30978604716412966</v>
      </c>
      <c r="N35" s="6"/>
      <c r="O35" s="11">
        <f t="shared" si="11"/>
        <v>2.4586832725942986E-2</v>
      </c>
      <c r="P35" s="11">
        <f t="shared" si="11"/>
        <v>4.294651801347845</v>
      </c>
      <c r="Q35" s="11" t="str">
        <f t="shared" si="11"/>
        <v/>
      </c>
      <c r="R35" s="11">
        <f t="shared" si="11"/>
        <v>1.416711428471223</v>
      </c>
      <c r="S35" s="11">
        <f t="shared" si="11"/>
        <v>1.0610395557751779</v>
      </c>
      <c r="T35" s="11" t="str">
        <f t="shared" si="12"/>
        <v/>
      </c>
      <c r="U35" s="11">
        <f t="shared" si="12"/>
        <v>3.0729128627513194</v>
      </c>
      <c r="V35" s="11">
        <f t="shared" si="12"/>
        <v>4.0862312856792853</v>
      </c>
    </row>
    <row r="36" spans="1:22" x14ac:dyDescent="0.35">
      <c r="A36" s="141"/>
      <c r="B36" s="11" t="str">
        <f t="shared" ref="B36:M36" si="20">IF(B13="","",(B13/$O$23))</f>
        <v/>
      </c>
      <c r="C36" s="11" t="str">
        <f t="shared" si="20"/>
        <v/>
      </c>
      <c r="D36" s="11" t="str">
        <f t="shared" si="20"/>
        <v/>
      </c>
      <c r="E36" s="11" t="str">
        <f t="shared" si="20"/>
        <v/>
      </c>
      <c r="F36" s="11" t="str">
        <f t="shared" si="20"/>
        <v/>
      </c>
      <c r="G36" s="11" t="str">
        <f t="shared" si="20"/>
        <v/>
      </c>
      <c r="H36" s="11" t="str">
        <f t="shared" si="20"/>
        <v/>
      </c>
      <c r="I36" s="11" t="str">
        <f t="shared" si="20"/>
        <v/>
      </c>
      <c r="J36" s="11" t="str">
        <f t="shared" si="20"/>
        <v/>
      </c>
      <c r="K36" s="11" t="str">
        <f t="shared" si="20"/>
        <v/>
      </c>
      <c r="L36" s="11" t="str">
        <f t="shared" si="20"/>
        <v/>
      </c>
      <c r="M36" s="11" t="str">
        <f t="shared" si="20"/>
        <v/>
      </c>
      <c r="N36" s="6"/>
      <c r="O36" s="11">
        <f t="shared" si="11"/>
        <v>1.0128947937736823</v>
      </c>
      <c r="P36" s="11">
        <f t="shared" si="11"/>
        <v>3.9025308510759995</v>
      </c>
      <c r="Q36" s="11" t="str">
        <f t="shared" si="11"/>
        <v/>
      </c>
      <c r="R36" s="11" t="str">
        <f t="shared" si="11"/>
        <v/>
      </c>
      <c r="S36" s="11" t="str">
        <f t="shared" si="11"/>
        <v/>
      </c>
      <c r="T36" s="11" t="str">
        <f t="shared" si="12"/>
        <v/>
      </c>
      <c r="U36" s="11" t="str">
        <f t="shared" si="12"/>
        <v/>
      </c>
      <c r="V36" s="11" t="str">
        <f t="shared" si="12"/>
        <v/>
      </c>
    </row>
    <row r="37" spans="1:22" x14ac:dyDescent="0.35">
      <c r="A37" s="141"/>
      <c r="B37" s="11" t="str">
        <f t="shared" ref="B37:M37" si="21">IF(B14="","",(B14/$O$23))</f>
        <v/>
      </c>
      <c r="C37" s="11" t="str">
        <f t="shared" si="21"/>
        <v/>
      </c>
      <c r="D37" s="11" t="str">
        <f t="shared" si="21"/>
        <v/>
      </c>
      <c r="E37" s="11" t="str">
        <f t="shared" si="21"/>
        <v/>
      </c>
      <c r="F37" s="11" t="str">
        <f t="shared" si="21"/>
        <v/>
      </c>
      <c r="G37" s="11" t="str">
        <f t="shared" si="21"/>
        <v/>
      </c>
      <c r="H37" s="11" t="str">
        <f t="shared" si="21"/>
        <v/>
      </c>
      <c r="I37" s="11" t="str">
        <f t="shared" si="21"/>
        <v/>
      </c>
      <c r="J37" s="11" t="str">
        <f t="shared" si="21"/>
        <v/>
      </c>
      <c r="K37" s="11" t="str">
        <f t="shared" si="21"/>
        <v/>
      </c>
      <c r="L37" s="11" t="str">
        <f t="shared" si="21"/>
        <v/>
      </c>
      <c r="M37" s="11" t="str">
        <f t="shared" si="21"/>
        <v/>
      </c>
      <c r="N37" s="6"/>
      <c r="O37" s="11">
        <f t="shared" si="11"/>
        <v>2.003140512510825</v>
      </c>
      <c r="P37" s="11" t="str">
        <f t="shared" si="11"/>
        <v/>
      </c>
      <c r="Q37" s="11" t="str">
        <f t="shared" si="11"/>
        <v/>
      </c>
      <c r="R37" s="11" t="str">
        <f t="shared" si="11"/>
        <v/>
      </c>
      <c r="S37" s="11" t="str">
        <f t="shared" si="11"/>
        <v/>
      </c>
      <c r="T37" s="11" t="str">
        <f t="shared" si="12"/>
        <v/>
      </c>
      <c r="U37" s="11" t="str">
        <f t="shared" si="12"/>
        <v/>
      </c>
      <c r="V37" s="11" t="str">
        <f t="shared" si="12"/>
        <v/>
      </c>
    </row>
    <row r="38" spans="1:22" x14ac:dyDescent="0.35">
      <c r="A38" s="141"/>
      <c r="B38" s="11" t="str">
        <f t="shared" ref="B38:M38" si="22">IF(B15="","",(B15/$O$23))</f>
        <v/>
      </c>
      <c r="C38" s="11" t="str">
        <f t="shared" si="22"/>
        <v/>
      </c>
      <c r="D38" s="11" t="str">
        <f t="shared" si="22"/>
        <v/>
      </c>
      <c r="E38" s="11" t="str">
        <f t="shared" si="22"/>
        <v/>
      </c>
      <c r="F38" s="11" t="str">
        <f t="shared" si="22"/>
        <v/>
      </c>
      <c r="G38" s="11" t="str">
        <f t="shared" si="22"/>
        <v/>
      </c>
      <c r="H38" s="11" t="str">
        <f t="shared" si="22"/>
        <v/>
      </c>
      <c r="I38" s="11" t="str">
        <f t="shared" si="22"/>
        <v/>
      </c>
      <c r="J38" s="11" t="str">
        <f t="shared" si="22"/>
        <v/>
      </c>
      <c r="K38" s="11" t="str">
        <f t="shared" si="22"/>
        <v/>
      </c>
      <c r="L38" s="11" t="str">
        <f t="shared" si="22"/>
        <v/>
      </c>
      <c r="M38" s="11" t="str">
        <f t="shared" si="22"/>
        <v/>
      </c>
      <c r="N38" s="6"/>
      <c r="O38" s="11">
        <f t="shared" ref="O38:S43" si="23">IF(O15="","",(O15/$O$23))</f>
        <v>3.618384424224498</v>
      </c>
      <c r="P38" s="11" t="str">
        <f t="shared" si="23"/>
        <v/>
      </c>
      <c r="Q38" s="11" t="str">
        <f t="shared" si="23"/>
        <v/>
      </c>
      <c r="R38" s="11" t="str">
        <f t="shared" si="23"/>
        <v/>
      </c>
      <c r="S38" s="11" t="str">
        <f t="shared" si="23"/>
        <v/>
      </c>
      <c r="T38" s="11" t="str">
        <f t="shared" si="12"/>
        <v/>
      </c>
      <c r="U38" s="11" t="str">
        <f t="shared" si="12"/>
        <v/>
      </c>
      <c r="V38" s="11" t="str">
        <f t="shared" si="12"/>
        <v/>
      </c>
    </row>
    <row r="39" spans="1:22" x14ac:dyDescent="0.35">
      <c r="A39" s="141"/>
      <c r="B39" s="11" t="str">
        <f t="shared" ref="B39:M39" si="24">IF(B16="","",(B16/$O$23))</f>
        <v/>
      </c>
      <c r="C39" s="11" t="str">
        <f t="shared" si="24"/>
        <v/>
      </c>
      <c r="D39" s="11" t="str">
        <f t="shared" si="24"/>
        <v/>
      </c>
      <c r="E39" s="11" t="str">
        <f t="shared" si="24"/>
        <v/>
      </c>
      <c r="F39" s="11" t="str">
        <f t="shared" si="24"/>
        <v/>
      </c>
      <c r="G39" s="11" t="str">
        <f t="shared" si="24"/>
        <v/>
      </c>
      <c r="H39" s="11" t="str">
        <f t="shared" si="24"/>
        <v/>
      </c>
      <c r="I39" s="11" t="str">
        <f t="shared" si="24"/>
        <v/>
      </c>
      <c r="J39" s="11" t="str">
        <f t="shared" si="24"/>
        <v/>
      </c>
      <c r="K39" s="11" t="str">
        <f t="shared" si="24"/>
        <v/>
      </c>
      <c r="L39" s="11" t="str">
        <f t="shared" si="24"/>
        <v/>
      </c>
      <c r="M39" s="11" t="str">
        <f t="shared" si="24"/>
        <v/>
      </c>
      <c r="N39" s="6"/>
      <c r="O39" s="11">
        <f t="shared" si="23"/>
        <v>0.29793008761329726</v>
      </c>
      <c r="P39" s="11" t="str">
        <f t="shared" si="23"/>
        <v/>
      </c>
      <c r="Q39" s="11" t="str">
        <f t="shared" si="23"/>
        <v/>
      </c>
      <c r="R39" s="11" t="str">
        <f t="shared" si="23"/>
        <v/>
      </c>
      <c r="S39" s="11" t="str">
        <f t="shared" si="23"/>
        <v/>
      </c>
      <c r="T39" s="11" t="str">
        <f t="shared" si="12"/>
        <v/>
      </c>
      <c r="U39" s="11" t="str">
        <f t="shared" si="12"/>
        <v/>
      </c>
      <c r="V39" s="11" t="str">
        <f t="shared" si="12"/>
        <v/>
      </c>
    </row>
    <row r="40" spans="1:22" x14ac:dyDescent="0.35">
      <c r="A40" s="141"/>
      <c r="B40" s="11" t="str">
        <f t="shared" ref="B40:M40" si="25">IF(B17="","",(B17/$O$23))</f>
        <v/>
      </c>
      <c r="C40" s="11" t="str">
        <f t="shared" si="25"/>
        <v/>
      </c>
      <c r="D40" s="11" t="str">
        <f t="shared" si="25"/>
        <v/>
      </c>
      <c r="E40" s="11" t="str">
        <f t="shared" si="25"/>
        <v/>
      </c>
      <c r="F40" s="11" t="str">
        <f t="shared" si="25"/>
        <v/>
      </c>
      <c r="G40" s="11" t="str">
        <f t="shared" si="25"/>
        <v/>
      </c>
      <c r="H40" s="11" t="str">
        <f t="shared" si="25"/>
        <v/>
      </c>
      <c r="I40" s="11" t="str">
        <f t="shared" si="25"/>
        <v/>
      </c>
      <c r="J40" s="11" t="str">
        <f t="shared" si="25"/>
        <v/>
      </c>
      <c r="K40" s="11" t="str">
        <f t="shared" si="25"/>
        <v/>
      </c>
      <c r="L40" s="11" t="str">
        <f t="shared" si="25"/>
        <v/>
      </c>
      <c r="M40" s="11" t="str">
        <f t="shared" si="25"/>
        <v/>
      </c>
      <c r="N40" s="6"/>
      <c r="O40" s="11">
        <f t="shared" si="23"/>
        <v>2.411138128119787</v>
      </c>
      <c r="P40" s="11" t="str">
        <f t="shared" si="23"/>
        <v/>
      </c>
      <c r="Q40" s="11" t="str">
        <f t="shared" si="23"/>
        <v/>
      </c>
      <c r="R40" s="11" t="str">
        <f t="shared" si="23"/>
        <v/>
      </c>
      <c r="S40" s="11" t="str">
        <f t="shared" si="23"/>
        <v/>
      </c>
      <c r="T40" s="11" t="str">
        <f t="shared" si="12"/>
        <v/>
      </c>
      <c r="U40" s="11" t="str">
        <f t="shared" si="12"/>
        <v/>
      </c>
      <c r="V40" s="11" t="str">
        <f t="shared" si="12"/>
        <v/>
      </c>
    </row>
    <row r="41" spans="1:22" x14ac:dyDescent="0.35">
      <c r="A41" s="141"/>
      <c r="B41" s="11" t="str">
        <f t="shared" ref="B41:M41" si="26">IF(B18="","",(B18/$O$23))</f>
        <v/>
      </c>
      <c r="C41" s="11" t="str">
        <f t="shared" si="26"/>
        <v/>
      </c>
      <c r="D41" s="11" t="str">
        <f t="shared" si="26"/>
        <v/>
      </c>
      <c r="E41" s="11" t="str">
        <f t="shared" si="26"/>
        <v/>
      </c>
      <c r="F41" s="11" t="str">
        <f t="shared" si="26"/>
        <v/>
      </c>
      <c r="G41" s="11" t="str">
        <f t="shared" si="26"/>
        <v/>
      </c>
      <c r="H41" s="11" t="str">
        <f t="shared" si="26"/>
        <v/>
      </c>
      <c r="I41" s="11" t="str">
        <f t="shared" si="26"/>
        <v/>
      </c>
      <c r="J41" s="11" t="str">
        <f t="shared" si="26"/>
        <v/>
      </c>
      <c r="K41" s="11" t="str">
        <f t="shared" si="26"/>
        <v/>
      </c>
      <c r="L41" s="11" t="str">
        <f t="shared" si="26"/>
        <v/>
      </c>
      <c r="M41" s="11" t="str">
        <f t="shared" si="26"/>
        <v/>
      </c>
      <c r="N41" s="6"/>
      <c r="O41" s="11">
        <f t="shared" si="23"/>
        <v>0.21349149492191838</v>
      </c>
      <c r="P41" s="11" t="str">
        <f t="shared" si="23"/>
        <v/>
      </c>
      <c r="Q41" s="11" t="str">
        <f t="shared" si="23"/>
        <v/>
      </c>
      <c r="R41" s="11" t="str">
        <f t="shared" si="23"/>
        <v/>
      </c>
      <c r="S41" s="11" t="str">
        <f t="shared" si="23"/>
        <v/>
      </c>
      <c r="T41" s="11" t="str">
        <f t="shared" si="12"/>
        <v/>
      </c>
      <c r="U41" s="11" t="str">
        <f t="shared" si="12"/>
        <v/>
      </c>
      <c r="V41" s="11" t="str">
        <f t="shared" si="12"/>
        <v/>
      </c>
    </row>
    <row r="42" spans="1:22" x14ac:dyDescent="0.35">
      <c r="A42" s="141"/>
      <c r="B42" s="11" t="str">
        <f t="shared" ref="B42:M42" si="27">IF(B19="","",(B19/$O$23))</f>
        <v/>
      </c>
      <c r="C42" s="11" t="str">
        <f t="shared" si="27"/>
        <v/>
      </c>
      <c r="D42" s="11" t="str">
        <f t="shared" si="27"/>
        <v/>
      </c>
      <c r="E42" s="11" t="str">
        <f t="shared" si="27"/>
        <v/>
      </c>
      <c r="F42" s="11" t="str">
        <f t="shared" si="27"/>
        <v/>
      </c>
      <c r="G42" s="11" t="str">
        <f t="shared" si="27"/>
        <v/>
      </c>
      <c r="H42" s="11" t="str">
        <f t="shared" si="27"/>
        <v/>
      </c>
      <c r="I42" s="11" t="str">
        <f t="shared" si="27"/>
        <v/>
      </c>
      <c r="J42" s="11" t="str">
        <f t="shared" si="27"/>
        <v/>
      </c>
      <c r="K42" s="11" t="str">
        <f t="shared" si="27"/>
        <v/>
      </c>
      <c r="L42" s="11" t="str">
        <f t="shared" si="27"/>
        <v/>
      </c>
      <c r="M42" s="11" t="str">
        <f t="shared" si="27"/>
        <v/>
      </c>
      <c r="N42" s="6"/>
      <c r="O42" s="11">
        <f t="shared" si="23"/>
        <v>1.0392565949442816</v>
      </c>
      <c r="P42" s="11" t="str">
        <f t="shared" si="23"/>
        <v/>
      </c>
      <c r="Q42" s="11" t="str">
        <f t="shared" si="23"/>
        <v/>
      </c>
      <c r="R42" s="11" t="str">
        <f t="shared" si="23"/>
        <v/>
      </c>
      <c r="S42" s="11" t="str">
        <f t="shared" si="23"/>
        <v/>
      </c>
      <c r="T42" s="11" t="str">
        <f t="shared" si="12"/>
        <v/>
      </c>
      <c r="U42" s="11" t="str">
        <f t="shared" si="12"/>
        <v/>
      </c>
      <c r="V42" s="11" t="str">
        <f t="shared" si="12"/>
        <v/>
      </c>
    </row>
    <row r="43" spans="1:22" x14ac:dyDescent="0.35">
      <c r="A43" s="141"/>
      <c r="B43" s="11" t="str">
        <f t="shared" ref="B43:M43" si="28">IF(B20="","",(B20/$O$23))</f>
        <v/>
      </c>
      <c r="C43" s="11" t="str">
        <f t="shared" si="28"/>
        <v/>
      </c>
      <c r="D43" s="11" t="str">
        <f t="shared" si="28"/>
        <v/>
      </c>
      <c r="E43" s="11" t="str">
        <f t="shared" si="28"/>
        <v/>
      </c>
      <c r="F43" s="11" t="str">
        <f t="shared" si="28"/>
        <v/>
      </c>
      <c r="G43" s="11" t="str">
        <f t="shared" si="28"/>
        <v/>
      </c>
      <c r="H43" s="11" t="str">
        <f t="shared" si="28"/>
        <v/>
      </c>
      <c r="I43" s="11" t="str">
        <f t="shared" si="28"/>
        <v/>
      </c>
      <c r="J43" s="11" t="str">
        <f t="shared" si="28"/>
        <v/>
      </c>
      <c r="K43" s="11" t="str">
        <f t="shared" si="28"/>
        <v/>
      </c>
      <c r="L43" s="11" t="str">
        <f t="shared" si="28"/>
        <v/>
      </c>
      <c r="M43" s="11" t="str">
        <f t="shared" si="28"/>
        <v/>
      </c>
      <c r="N43" s="6"/>
      <c r="O43" s="11" t="str">
        <f t="shared" si="23"/>
        <v/>
      </c>
      <c r="P43" s="11" t="str">
        <f t="shared" si="23"/>
        <v/>
      </c>
      <c r="Q43" s="11" t="str">
        <f t="shared" si="23"/>
        <v/>
      </c>
      <c r="R43" s="11" t="str">
        <f t="shared" si="23"/>
        <v/>
      </c>
      <c r="S43" s="11" t="str">
        <f t="shared" si="23"/>
        <v/>
      </c>
      <c r="T43" s="11" t="str">
        <f t="shared" si="12"/>
        <v/>
      </c>
      <c r="U43" s="11" t="str">
        <f t="shared" si="12"/>
        <v/>
      </c>
      <c r="V43" s="11" t="str">
        <f t="shared" si="12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3" t="str">
        <f t="shared" ref="A45" si="29">A4</f>
        <v>Group names</v>
      </c>
      <c r="B45" s="7" t="str">
        <f t="shared" ref="B45:R45" si="30">B4</f>
        <v>Solvent control</v>
      </c>
      <c r="C45" s="7" t="str">
        <f t="shared" si="30"/>
        <v>EE2-33.8ng/L</v>
      </c>
      <c r="D45" s="7" t="str">
        <f t="shared" si="30"/>
        <v>EE2-50.6ng/L</v>
      </c>
      <c r="E45" s="7" t="str">
        <f t="shared" si="30"/>
        <v>EE2-76ng/L</v>
      </c>
      <c r="F45" s="7" t="str">
        <f t="shared" si="30"/>
        <v>EE2-114ng/L</v>
      </c>
      <c r="G45" s="7" t="str">
        <f t="shared" si="30"/>
        <v>EE2-170.9ng/L</v>
      </c>
      <c r="H45" s="7" t="str">
        <f t="shared" si="30"/>
        <v>EE2-488ng/L</v>
      </c>
      <c r="I45" s="7" t="str">
        <f t="shared" si="30"/>
        <v>Estradiol-34ng/L</v>
      </c>
      <c r="J45" s="7" t="str">
        <f t="shared" si="30"/>
        <v>Estradiol-68ng/L</v>
      </c>
      <c r="K45" s="7" t="str">
        <f t="shared" ref="K45:M45" si="31">K4</f>
        <v>Estradiol-135ng/L</v>
      </c>
      <c r="L45" s="7" t="str">
        <f t="shared" si="31"/>
        <v>Estradiol-270ng/L</v>
      </c>
      <c r="M45" s="7" t="str">
        <f t="shared" si="31"/>
        <v>Estradiol-540ng/L</v>
      </c>
      <c r="N45" s="7"/>
      <c r="O45" s="7" t="str">
        <f t="shared" si="30"/>
        <v>Testo -30µg/L</v>
      </c>
      <c r="P45" s="7" t="str">
        <f t="shared" si="30"/>
        <v>Testo 30µg/L + EE2 -64ng/L</v>
      </c>
      <c r="Q45" s="7" t="str">
        <f t="shared" si="30"/>
        <v>Testo 30µg/L + FAD-10mg/L</v>
      </c>
      <c r="R45" s="7" t="str">
        <f t="shared" si="30"/>
        <v>Estradiol-34ng/L + Testostérone</v>
      </c>
      <c r="S45" s="7" t="str">
        <f t="shared" ref="S45:V45" si="32">S4</f>
        <v>Estradiol-68ng/L + Testostérone</v>
      </c>
      <c r="T45" s="7" t="str">
        <f t="shared" si="32"/>
        <v>Estradiol-135ng/L + Testostérone</v>
      </c>
      <c r="U45" s="7" t="str">
        <f t="shared" si="32"/>
        <v>Estradiol-270ng/L + Testostérone</v>
      </c>
      <c r="V45" s="7" t="str">
        <f t="shared" si="32"/>
        <v>Estradiol-540ng/L + Testostérone</v>
      </c>
    </row>
    <row r="46" spans="1:22" x14ac:dyDescent="0.35">
      <c r="A46" s="8" t="s">
        <v>0</v>
      </c>
      <c r="B46" s="10">
        <f t="shared" ref="B46:H46" si="33">AVERAGE(B28:B43)</f>
        <v>0.2341720928700699</v>
      </c>
      <c r="C46" s="10">
        <f t="shared" si="33"/>
        <v>0.95234968675955245</v>
      </c>
      <c r="D46" s="10">
        <f t="shared" si="33"/>
        <v>1.6560717999877062</v>
      </c>
      <c r="E46" s="10">
        <f t="shared" si="33"/>
        <v>2.4461617784429577</v>
      </c>
      <c r="F46" s="10">
        <f t="shared" si="33"/>
        <v>3.4059357389770626</v>
      </c>
      <c r="G46" s="10">
        <f t="shared" si="33"/>
        <v>3.4059357389770626</v>
      </c>
      <c r="H46" s="10">
        <f t="shared" si="33"/>
        <v>4.3315070663731348</v>
      </c>
      <c r="I46" s="10">
        <f>AVERAGE(I28:I43)</f>
        <v>9.557629969613092E-2</v>
      </c>
      <c r="J46" s="9">
        <f>AVERAGE(J28:J43)</f>
        <v>7.4843140934882924E-2</v>
      </c>
      <c r="K46" s="9">
        <f t="shared" ref="K46:M46" si="34">AVERAGE(K28:K43)</f>
        <v>0.51751030883319593</v>
      </c>
      <c r="L46" s="9">
        <f t="shared" si="34"/>
        <v>3.1099954984688387</v>
      </c>
      <c r="M46" s="9">
        <f t="shared" si="34"/>
        <v>3.2061770724610756</v>
      </c>
      <c r="N46" s="8" t="s">
        <v>0</v>
      </c>
      <c r="O46" s="10">
        <f t="shared" ref="O46:R46" si="35">AVERAGE(O28:O43)</f>
        <v>1.0000000000000002</v>
      </c>
      <c r="P46" s="10">
        <f t="shared" si="35"/>
        <v>3.3135358286277747</v>
      </c>
      <c r="Q46" s="10">
        <f t="shared" si="35"/>
        <v>9.3955163945111247E-3</v>
      </c>
      <c r="R46" s="10">
        <f t="shared" si="35"/>
        <v>0.50049207606066626</v>
      </c>
      <c r="S46" s="10">
        <f t="shared" ref="S46:V46" si="36">AVERAGE(S28:S43)</f>
        <v>0.68656717520183042</v>
      </c>
      <c r="T46" s="10">
        <f t="shared" si="36"/>
        <v>2.017248404912324</v>
      </c>
      <c r="U46" s="10">
        <f t="shared" si="36"/>
        <v>3.3879766755067302</v>
      </c>
      <c r="V46" s="10">
        <f t="shared" si="36"/>
        <v>3.7702691465607288</v>
      </c>
    </row>
    <row r="47" spans="1:22" x14ac:dyDescent="0.35">
      <c r="A47" s="8" t="s">
        <v>1</v>
      </c>
      <c r="B47" s="8">
        <f t="shared" ref="B47:J47" si="37">STDEV(B28:B43)</f>
        <v>0.30350716970243091</v>
      </c>
      <c r="C47" s="8">
        <f t="shared" si="37"/>
        <v>0.683149232516713</v>
      </c>
      <c r="D47" s="8">
        <f t="shared" si="37"/>
        <v>0.97124562984504847</v>
      </c>
      <c r="E47" s="8">
        <f t="shared" si="37"/>
        <v>0.94706347020464199</v>
      </c>
      <c r="F47" s="8">
        <f t="shared" si="37"/>
        <v>0.85687550345643704</v>
      </c>
      <c r="G47" s="8">
        <f t="shared" si="37"/>
        <v>0.85687550345643704</v>
      </c>
      <c r="H47" s="8">
        <f t="shared" si="37"/>
        <v>1.2432265243801237</v>
      </c>
      <c r="I47" s="8">
        <f t="shared" si="37"/>
        <v>8.7612769625793646E-2</v>
      </c>
      <c r="J47" s="8">
        <f t="shared" si="37"/>
        <v>6.2837710794439422E-2</v>
      </c>
      <c r="K47" s="8">
        <f t="shared" ref="K47:M47" si="38">STDEV(K28:K43)</f>
        <v>0.47386357361065806</v>
      </c>
      <c r="L47" s="8">
        <f t="shared" si="38"/>
        <v>1.2827342118516296</v>
      </c>
      <c r="M47" s="8">
        <f t="shared" si="38"/>
        <v>1.9600802647894113</v>
      </c>
      <c r="N47" s="8" t="s">
        <v>1</v>
      </c>
      <c r="O47" s="8">
        <f t="shared" ref="O47:R47" si="39">STDEV(O28:O43)</f>
        <v>1.0496213177247014</v>
      </c>
      <c r="P47" s="8">
        <f t="shared" si="39"/>
        <v>1.5103200887979948</v>
      </c>
      <c r="Q47" s="8">
        <f t="shared" si="39"/>
        <v>8.6040891645487883E-3</v>
      </c>
      <c r="R47" s="8">
        <f t="shared" si="39"/>
        <v>0.58166160591733618</v>
      </c>
      <c r="S47" s="8">
        <f t="shared" ref="S47:V47" si="40">STDEV(S28:S43)</f>
        <v>0.50408132825326279</v>
      </c>
      <c r="T47" s="8">
        <f t="shared" si="40"/>
        <v>1.439912173787202</v>
      </c>
      <c r="U47" s="8">
        <f t="shared" si="40"/>
        <v>1.1240527062234904</v>
      </c>
      <c r="V47" s="8">
        <f t="shared" si="40"/>
        <v>0.85443536687861465</v>
      </c>
    </row>
    <row r="48" spans="1:22" x14ac:dyDescent="0.35">
      <c r="A48" s="8" t="s">
        <v>2</v>
      </c>
      <c r="B48" s="8">
        <f t="shared" ref="B48:J48" si="41" xml:space="preserve"> B47/SQRT(COUNT(B28:B43))</f>
        <v>0.10730598891766258</v>
      </c>
      <c r="C48" s="8">
        <f t="shared" si="41"/>
        <v>0.24152972743747661</v>
      </c>
      <c r="D48" s="8">
        <f t="shared" si="41"/>
        <v>0.34338718553061659</v>
      </c>
      <c r="E48" s="8">
        <f t="shared" si="41"/>
        <v>0.33483750099788306</v>
      </c>
      <c r="F48" s="8">
        <f t="shared" si="41"/>
        <v>0.30295123956334175</v>
      </c>
      <c r="G48" s="8">
        <f t="shared" si="41"/>
        <v>0.30295123956334175</v>
      </c>
      <c r="H48" s="8">
        <f t="shared" si="41"/>
        <v>0.43954695297008406</v>
      </c>
      <c r="I48" s="8">
        <f t="shared" si="41"/>
        <v>3.097579176046673E-2</v>
      </c>
      <c r="J48" s="8">
        <f t="shared" si="41"/>
        <v>2.2216485708493616E-2</v>
      </c>
      <c r="K48" s="8">
        <f t="shared" ref="K48:M48" si="42" xml:space="preserve"> K47/SQRT(COUNT(K28:K43))</f>
        <v>0.16753607312869351</v>
      </c>
      <c r="L48" s="8">
        <f t="shared" si="42"/>
        <v>0.45351502983013436</v>
      </c>
      <c r="M48" s="8">
        <f t="shared" si="42"/>
        <v>0.69299302345125813</v>
      </c>
      <c r="N48" s="8" t="s">
        <v>2</v>
      </c>
      <c r="O48" s="8">
        <f t="shared" ref="O48:R48" si="43" xml:space="preserve"> O47/SQRT(COUNT(O28:O43))</f>
        <v>0.27101105889147015</v>
      </c>
      <c r="P48" s="8">
        <f t="shared" si="43"/>
        <v>0.50344002959933165</v>
      </c>
      <c r="Q48" s="8">
        <f t="shared" si="43"/>
        <v>3.8478656512800926E-3</v>
      </c>
      <c r="R48" s="8">
        <f t="shared" si="43"/>
        <v>0.20564843295000282</v>
      </c>
      <c r="S48" s="8">
        <f t="shared" ref="S48:V48" si="44" xml:space="preserve"> S47/SQRT(COUNT(S28:S43))</f>
        <v>0.17821966273870204</v>
      </c>
      <c r="T48" s="8">
        <f t="shared" si="44"/>
        <v>0.54423564594505058</v>
      </c>
      <c r="U48" s="8">
        <f t="shared" si="44"/>
        <v>0.39741264549086008</v>
      </c>
      <c r="V48" s="8">
        <f t="shared" si="44"/>
        <v>0.30208852100274197</v>
      </c>
    </row>
    <row r="49" spans="1:22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customFormat="1" ht="15" thickBot="1" x14ac:dyDescent="0.4"/>
    <row r="52" spans="1:22" x14ac:dyDescent="0.35">
      <c r="A52" s="29" t="str">
        <f t="shared" ref="A52" si="45">A27</f>
        <v>Group names</v>
      </c>
      <c r="B52" s="30" t="str">
        <f t="shared" ref="B52:H52" si="46">B27</f>
        <v>Solvent control</v>
      </c>
      <c r="C52" s="30" t="str">
        <f t="shared" si="46"/>
        <v>EE2-33.8ng/L</v>
      </c>
      <c r="D52" s="30" t="str">
        <f t="shared" si="46"/>
        <v>EE2-50.6ng/L</v>
      </c>
      <c r="E52" s="30" t="str">
        <f t="shared" si="46"/>
        <v>EE2-76ng/L</v>
      </c>
      <c r="F52" s="30" t="str">
        <f t="shared" si="46"/>
        <v>EE2-114ng/L</v>
      </c>
      <c r="G52" s="30" t="str">
        <f t="shared" si="46"/>
        <v>EE2-170.9ng/L</v>
      </c>
      <c r="H52" s="30" t="str">
        <f t="shared" si="46"/>
        <v>EE2-488ng/L</v>
      </c>
      <c r="I52" s="30" t="str">
        <f>I4</f>
        <v>Estradiol-34ng/L</v>
      </c>
      <c r="J52" s="30" t="str">
        <f>J4</f>
        <v>Estradiol-68ng/L</v>
      </c>
      <c r="K52" s="30" t="str">
        <f t="shared" ref="K52:M52" si="47">K4</f>
        <v>Estradiol-135ng/L</v>
      </c>
      <c r="L52" s="30" t="str">
        <f t="shared" si="47"/>
        <v>Estradiol-270ng/L</v>
      </c>
      <c r="M52" s="30" t="str">
        <f t="shared" si="47"/>
        <v>Estradiol-540ng/L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Estradiol-34ng/L + Testostérone</v>
      </c>
      <c r="S52" s="30" t="str">
        <f t="shared" ref="S52:V52" si="48">S27</f>
        <v>Estradiol-68ng/L + Testostérone</v>
      </c>
      <c r="T52" s="30" t="str">
        <f t="shared" si="48"/>
        <v>Estradiol-135ng/L + Testostérone</v>
      </c>
      <c r="U52" s="30" t="str">
        <f t="shared" si="48"/>
        <v>Estradiol-270ng/L + Testostérone</v>
      </c>
      <c r="V52" s="30" t="str">
        <f t="shared" si="48"/>
        <v>Estradiol-540ng/L + Testostérone</v>
      </c>
    </row>
    <row r="53" spans="1:22" s="3" customFormat="1" x14ac:dyDescent="0.35">
      <c r="A53" s="45" t="s">
        <v>10</v>
      </c>
      <c r="B53" s="78">
        <f t="shared" ref="B53" si="49">B46</f>
        <v>0.2341720928700699</v>
      </c>
      <c r="C53" s="78">
        <f t="shared" ref="C53:V53" si="50">C46</f>
        <v>0.95234968675955245</v>
      </c>
      <c r="D53" s="78">
        <f t="shared" si="50"/>
        <v>1.6560717999877062</v>
      </c>
      <c r="E53" s="78">
        <f t="shared" si="50"/>
        <v>2.4461617784429577</v>
      </c>
      <c r="F53" s="78">
        <f t="shared" si="50"/>
        <v>3.4059357389770626</v>
      </c>
      <c r="G53" s="78">
        <f t="shared" si="50"/>
        <v>3.4059357389770626</v>
      </c>
      <c r="H53" s="78">
        <f t="shared" si="50"/>
        <v>4.3315070663731348</v>
      </c>
      <c r="I53" s="78">
        <f t="shared" si="50"/>
        <v>9.557629969613092E-2</v>
      </c>
      <c r="J53" s="78">
        <f t="shared" si="50"/>
        <v>7.4843140934882924E-2</v>
      </c>
      <c r="K53" s="78">
        <f t="shared" si="50"/>
        <v>0.51751030883319593</v>
      </c>
      <c r="L53" s="78">
        <f t="shared" si="50"/>
        <v>3.1099954984688387</v>
      </c>
      <c r="M53" s="78">
        <f t="shared" si="50"/>
        <v>3.2061770724610756</v>
      </c>
      <c r="N53" s="78"/>
      <c r="O53" s="78">
        <f t="shared" si="50"/>
        <v>1.0000000000000002</v>
      </c>
      <c r="P53" s="78">
        <f t="shared" si="50"/>
        <v>3.3135358286277747</v>
      </c>
      <c r="Q53" s="78">
        <f t="shared" si="50"/>
        <v>9.3955163945111247E-3</v>
      </c>
      <c r="R53" s="78">
        <f t="shared" si="50"/>
        <v>0.50049207606066626</v>
      </c>
      <c r="S53" s="78">
        <f t="shared" si="50"/>
        <v>0.68656717520183042</v>
      </c>
      <c r="T53" s="78">
        <f t="shared" si="50"/>
        <v>2.017248404912324</v>
      </c>
      <c r="U53" s="78">
        <f t="shared" si="50"/>
        <v>3.3879766755067302</v>
      </c>
      <c r="V53" s="78">
        <f t="shared" si="50"/>
        <v>3.7702691465607288</v>
      </c>
    </row>
    <row r="54" spans="1:22" s="3" customFormat="1" x14ac:dyDescent="0.35">
      <c r="A54" s="45" t="s">
        <v>2</v>
      </c>
      <c r="B54" s="78">
        <f t="shared" ref="B54" si="51">B48</f>
        <v>0.10730598891766258</v>
      </c>
      <c r="C54" s="78">
        <f t="shared" ref="C54:V54" si="52">C48</f>
        <v>0.24152972743747661</v>
      </c>
      <c r="D54" s="78">
        <f t="shared" si="52"/>
        <v>0.34338718553061659</v>
      </c>
      <c r="E54" s="78">
        <f t="shared" si="52"/>
        <v>0.33483750099788306</v>
      </c>
      <c r="F54" s="78">
        <f t="shared" si="52"/>
        <v>0.30295123956334175</v>
      </c>
      <c r="G54" s="78">
        <f t="shared" si="52"/>
        <v>0.30295123956334175</v>
      </c>
      <c r="H54" s="78">
        <f t="shared" si="52"/>
        <v>0.43954695297008406</v>
      </c>
      <c r="I54" s="78">
        <f t="shared" si="52"/>
        <v>3.097579176046673E-2</v>
      </c>
      <c r="J54" s="78">
        <f t="shared" si="52"/>
        <v>2.2216485708493616E-2</v>
      </c>
      <c r="K54" s="78">
        <f t="shared" si="52"/>
        <v>0.16753607312869351</v>
      </c>
      <c r="L54" s="78">
        <f t="shared" si="52"/>
        <v>0.45351502983013436</v>
      </c>
      <c r="M54" s="78">
        <f t="shared" si="52"/>
        <v>0.69299302345125813</v>
      </c>
      <c r="N54" s="78"/>
      <c r="O54" s="78">
        <f t="shared" si="52"/>
        <v>0.27101105889147015</v>
      </c>
      <c r="P54" s="78">
        <f t="shared" si="52"/>
        <v>0.50344002959933165</v>
      </c>
      <c r="Q54" s="78">
        <f t="shared" si="52"/>
        <v>3.8478656512800926E-3</v>
      </c>
      <c r="R54" s="78">
        <f t="shared" si="52"/>
        <v>0.20564843295000282</v>
      </c>
      <c r="S54" s="78">
        <f t="shared" si="52"/>
        <v>0.17821966273870204</v>
      </c>
      <c r="T54" s="78">
        <f t="shared" si="52"/>
        <v>0.54423564594505058</v>
      </c>
      <c r="U54" s="78">
        <f t="shared" si="52"/>
        <v>0.39741264549086008</v>
      </c>
      <c r="V54" s="78">
        <f t="shared" si="52"/>
        <v>0.30208852100274197</v>
      </c>
    </row>
    <row r="55" spans="1:22" s="3" customFormat="1" x14ac:dyDescent="0.35">
      <c r="A55" s="45" t="s">
        <v>14</v>
      </c>
      <c r="B55" s="78">
        <f>(B53*100/$B53)-100</f>
        <v>0</v>
      </c>
      <c r="C55" s="78">
        <f t="shared" ref="C55:M55" si="53">(C53*100/$B53)-100</f>
        <v>306.6879511932118</v>
      </c>
      <c r="D55" s="78">
        <f t="shared" si="53"/>
        <v>607.20288642873243</v>
      </c>
      <c r="E55" s="78">
        <f t="shared" si="53"/>
        <v>944.6000411330856</v>
      </c>
      <c r="F55" s="78">
        <f t="shared" si="53"/>
        <v>1354.4584272331895</v>
      </c>
      <c r="G55" s="78">
        <f t="shared" si="53"/>
        <v>1354.4584272331895</v>
      </c>
      <c r="H55" s="78">
        <f t="shared" si="53"/>
        <v>1749.7110451058172</v>
      </c>
      <c r="I55" s="78">
        <f t="shared" si="53"/>
        <v>-59.185444121575443</v>
      </c>
      <c r="J55" s="78">
        <f t="shared" si="53"/>
        <v>-68.039256933827062</v>
      </c>
      <c r="K55" s="78">
        <f t="shared" si="53"/>
        <v>120.99572262880014</v>
      </c>
      <c r="L55" s="78">
        <f t="shared" si="53"/>
        <v>1228.0811818146137</v>
      </c>
      <c r="M55" s="78">
        <f t="shared" si="53"/>
        <v>1269.1542118300233</v>
      </c>
      <c r="N55" s="78"/>
      <c r="O55" s="78">
        <f t="shared" ref="O55:V55" si="54">(O53*100/$O53)-100</f>
        <v>0</v>
      </c>
      <c r="P55" s="78">
        <f t="shared" si="54"/>
        <v>231.35358286277744</v>
      </c>
      <c r="Q55" s="78">
        <f t="shared" si="54"/>
        <v>-99.060448360548889</v>
      </c>
      <c r="R55" s="78">
        <f t="shared" si="54"/>
        <v>-49.950792393933391</v>
      </c>
      <c r="S55" s="78">
        <f t="shared" si="54"/>
        <v>-31.343282479816978</v>
      </c>
      <c r="T55" s="78">
        <f t="shared" si="54"/>
        <v>101.72484049123236</v>
      </c>
      <c r="U55" s="78">
        <f t="shared" si="54"/>
        <v>238.79766755067294</v>
      </c>
      <c r="V55" s="78">
        <f t="shared" si="54"/>
        <v>277.02691465607285</v>
      </c>
    </row>
    <row r="56" spans="1:22" s="3" customFormat="1" x14ac:dyDescent="0.35">
      <c r="A56" s="45" t="s">
        <v>38</v>
      </c>
      <c r="B56" s="78">
        <f>[1]!SWTEST(B28:B43)</f>
        <v>1.1682901365408171E-2</v>
      </c>
      <c r="C56" s="78">
        <f>[1]!SWTEST(C28:C43)</f>
        <v>0.60300214896940418</v>
      </c>
      <c r="D56" s="78">
        <f>[1]!SWTEST(D28:D43)</f>
        <v>0.6328862894457169</v>
      </c>
      <c r="E56" s="78">
        <f>[1]!SWTEST(E28:E43)</f>
        <v>0.80482351143131126</v>
      </c>
      <c r="F56" s="78">
        <f>[1]!SWTEST(F28:F43)</f>
        <v>0.74534930419368117</v>
      </c>
      <c r="G56" s="78">
        <f>[1]!SWTEST(G28:G43)</f>
        <v>0.74534930419368117</v>
      </c>
      <c r="H56" s="78">
        <f>[1]!SWTEST(H28:H43)</f>
        <v>0.208631316483055</v>
      </c>
      <c r="I56" s="78">
        <f>[1]!SWTEST(I28:I43)</f>
        <v>5.3057077645372042E-3</v>
      </c>
      <c r="J56" s="78">
        <f>[1]!SWTEST(J28:J43)</f>
        <v>0.19349108204523713</v>
      </c>
      <c r="K56" s="78">
        <f>[1]!SWTEST(K28:K43)</f>
        <v>7.8702954506182587E-2</v>
      </c>
      <c r="L56" s="78">
        <f>[1]!SWTEST(L28:L43)</f>
        <v>0.83283091419045141</v>
      </c>
      <c r="M56" s="78">
        <f>[1]!SWTEST(M28:M43)</f>
        <v>0.48839472222712943</v>
      </c>
      <c r="N56" s="78"/>
      <c r="O56" s="78">
        <f>[1]!SWTEST(O28:O43)</f>
        <v>2.5539000036832848E-2</v>
      </c>
      <c r="P56" s="78">
        <f>[1]!SWTEST(P28:P43)</f>
        <v>0.26443106059044408</v>
      </c>
      <c r="Q56" s="78">
        <f>[1]!SWTEST(Q28:Q43)</f>
        <v>0.50759347594026405</v>
      </c>
      <c r="R56" s="78">
        <f>[1]!SWTEST(R28:R43)</f>
        <v>2.1728718855214324E-2</v>
      </c>
      <c r="S56" s="78">
        <f>[1]!SWTEST(S28:S43)</f>
        <v>0.1253035822069567</v>
      </c>
      <c r="T56" s="78">
        <f>[1]!SWTEST(T28:T43)</f>
        <v>0.3807853564100232</v>
      </c>
      <c r="U56" s="78">
        <f>[1]!SWTEST(U28:U43)</f>
        <v>0.79814236278713879</v>
      </c>
      <c r="V56" s="78">
        <f>[1]!SWTEST(V28:V43)</f>
        <v>1.1650389318540455E-4</v>
      </c>
    </row>
    <row r="57" spans="1:22" s="3" customFormat="1" x14ac:dyDescent="0.35">
      <c r="A57" s="45" t="s">
        <v>39</v>
      </c>
      <c r="B57" s="78" t="str">
        <f>IF(B56&gt;0.05,"Oui","Non")</f>
        <v>Non</v>
      </c>
      <c r="C57" s="78" t="str">
        <f t="shared" ref="C57:V57" si="55">IF(C56&gt;0.05,"Oui","Non")</f>
        <v>Oui</v>
      </c>
      <c r="D57" s="78" t="str">
        <f t="shared" si="55"/>
        <v>Oui</v>
      </c>
      <c r="E57" s="78" t="str">
        <f t="shared" si="55"/>
        <v>Oui</v>
      </c>
      <c r="F57" s="78" t="str">
        <f t="shared" si="55"/>
        <v>Oui</v>
      </c>
      <c r="G57" s="78" t="str">
        <f t="shared" si="55"/>
        <v>Oui</v>
      </c>
      <c r="H57" s="78" t="str">
        <f t="shared" si="55"/>
        <v>Oui</v>
      </c>
      <c r="I57" s="78" t="str">
        <f t="shared" si="55"/>
        <v>Non</v>
      </c>
      <c r="J57" s="78" t="str">
        <f t="shared" si="55"/>
        <v>Oui</v>
      </c>
      <c r="K57" s="78" t="str">
        <f t="shared" si="55"/>
        <v>Oui</v>
      </c>
      <c r="L57" s="78" t="str">
        <f t="shared" si="55"/>
        <v>Oui</v>
      </c>
      <c r="M57" s="78" t="str">
        <f t="shared" si="55"/>
        <v>Oui</v>
      </c>
      <c r="N57" s="78"/>
      <c r="O57" s="78" t="str">
        <f t="shared" si="55"/>
        <v>Non</v>
      </c>
      <c r="P57" s="78" t="str">
        <f t="shared" si="55"/>
        <v>Oui</v>
      </c>
      <c r="Q57" s="78" t="str">
        <f t="shared" si="55"/>
        <v>Oui</v>
      </c>
      <c r="R57" s="78" t="str">
        <f t="shared" si="55"/>
        <v>Non</v>
      </c>
      <c r="S57" s="78" t="str">
        <f t="shared" si="55"/>
        <v>Oui</v>
      </c>
      <c r="T57" s="78" t="str">
        <f t="shared" si="55"/>
        <v>Oui</v>
      </c>
      <c r="U57" s="78" t="str">
        <f t="shared" si="55"/>
        <v>Oui</v>
      </c>
      <c r="V57" s="78" t="str">
        <f t="shared" si="55"/>
        <v>Non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str">
        <f t="shared" ref="C59:O59" si="56">IF($B57="Non",IF(C57="Non","MW",IF(C57="Oui","MW","")),IF($B57="Oui",IF(C57="Oui","T-Test Welch",IF(C57="Non","MW",""))))</f>
        <v>MW</v>
      </c>
      <c r="D59" s="82" t="str">
        <f t="shared" si="56"/>
        <v>MW</v>
      </c>
      <c r="E59" s="82" t="str">
        <f t="shared" si="56"/>
        <v>MW</v>
      </c>
      <c r="F59" s="82" t="str">
        <f t="shared" si="56"/>
        <v>MW</v>
      </c>
      <c r="G59" s="82" t="str">
        <f t="shared" si="56"/>
        <v>MW</v>
      </c>
      <c r="H59" s="82" t="str">
        <f t="shared" si="56"/>
        <v>MW</v>
      </c>
      <c r="I59" s="82" t="str">
        <f t="shared" si="56"/>
        <v>MW</v>
      </c>
      <c r="J59" s="82" t="str">
        <f t="shared" si="56"/>
        <v>MW</v>
      </c>
      <c r="K59" s="82" t="str">
        <f t="shared" si="56"/>
        <v>MW</v>
      </c>
      <c r="L59" s="82" t="str">
        <f t="shared" si="56"/>
        <v>MW</v>
      </c>
      <c r="M59" s="82" t="str">
        <f t="shared" si="56"/>
        <v>MW</v>
      </c>
      <c r="N59" s="82"/>
      <c r="O59" s="82" t="str">
        <f t="shared" si="56"/>
        <v>MW</v>
      </c>
      <c r="P59" s="82" t="str">
        <f t="shared" ref="P59:V59" si="57">IF($O57="Non",IF(P57="Non","MW",IF(P57="Oui","MW","")),IF($O57="Oui",IF(P57="Oui","T-Test Welch",IF(P57="Non","MW",""))))</f>
        <v>MW</v>
      </c>
      <c r="Q59" s="82" t="str">
        <f t="shared" si="57"/>
        <v>MW</v>
      </c>
      <c r="R59" s="82" t="str">
        <f t="shared" si="57"/>
        <v>MW</v>
      </c>
      <c r="S59" s="82" t="str">
        <f t="shared" si="57"/>
        <v>MW</v>
      </c>
      <c r="T59" s="82" t="str">
        <f t="shared" si="57"/>
        <v>MW</v>
      </c>
      <c r="U59" s="82" t="str">
        <f t="shared" si="57"/>
        <v>MW</v>
      </c>
      <c r="V59" s="82" t="str">
        <f t="shared" si="57"/>
        <v>MW</v>
      </c>
    </row>
    <row r="60" spans="1:22" s="3" customFormat="1" x14ac:dyDescent="0.35">
      <c r="A60" s="45" t="s">
        <v>41</v>
      </c>
      <c r="B60" s="83"/>
      <c r="C60" s="83">
        <f>IF(C59="MW",[1]!MTEST($B28:$B43,C28:C43,2), IF(C59="T-Test Welch",_xlfn.T.TEST($B28:$B43,C28:C43,2,3),""))</f>
        <v>3.5691900116804343E-2</v>
      </c>
      <c r="D60" s="83">
        <f>IF(D59="MW",[1]!MTEST($B28:$B43,D28:D43,2), IF(D59="T-Test Welch",_xlfn.T.TEST($B28:$B43,D28:D43,2,3),""))</f>
        <v>2.3220945158779482E-3</v>
      </c>
      <c r="E60" s="83">
        <f>IF(E59="MW",[1]!MTEST($B28:$B43,E28:E43,2), IF(E59="T-Test Welch",_xlfn.T.TEST($B28:$B43,E28:E43,2,3),""))</f>
        <v>7.7753044694039986E-4</v>
      </c>
      <c r="F60" s="83">
        <f>IF(F59="MW",[1]!MTEST($B28:$B43,F28:F43,2), IF(F59="T-Test Welch",_xlfn.T.TEST($B28:$B43,F28:F43,2,3),""))</f>
        <v>7.7753044694039986E-4</v>
      </c>
      <c r="G60" s="83">
        <f>IF(G59="MW",[1]!MTEST($B28:$B43,G28:G43,2), IF(G59="T-Test Welch",_xlfn.T.TEST($B28:$B43,G28:G43,2,3),""))</f>
        <v>7.7753044694039986E-4</v>
      </c>
      <c r="H60" s="83">
        <f>IF(H59="MW",[1]!MTEST($B28:$B43,H28:H43,2), IF(H59="T-Test Welch",_xlfn.T.TEST($B28:$B43,H28:H43,2,3),""))</f>
        <v>7.7753044694039986E-4</v>
      </c>
      <c r="I60" s="83">
        <f>IF(I59="MW",[1]!MTEST($B28:$B43,I28:I43,2), IF(I59="T-Test Welch",_xlfn.T.TEST($B28:$B43,I28:I43,2,3),""))</f>
        <v>0.59951017856000322</v>
      </c>
      <c r="J60" s="83">
        <f>IF(J59="MW",[1]!MTEST($B28:$B43,J28:J43,2), IF(J59="T-Test Welch",_xlfn.T.TEST($B28:$B43,J28:J43,2,3),""))</f>
        <v>0.29362154392890583</v>
      </c>
      <c r="K60" s="83">
        <f>IF(K59="MW",[1]!MTEST($B28:$B43,K28:K43,2), IF(K59="T-Test Welch",_xlfn.T.TEST($B28:$B43,K28:K43,2,3),""))</f>
        <v>0.20757844233562395</v>
      </c>
      <c r="L60" s="83">
        <f>IF(L59="MW",[1]!MTEST($B28:$B43,L28:L43,2), IF(L59="T-Test Welch",_xlfn.T.TEST($B28:$B43,L28:L43,2,3),""))</f>
        <v>7.7753044694039986E-4</v>
      </c>
      <c r="M60" s="83">
        <f>IF(M59="MW",[1]!MTEST($B28:$B43,M28:M43,2), IF(M59="T-Test Welch",_xlfn.T.TEST($B28:$B43,M28:M43,2,3),""))</f>
        <v>1.6291862969701754E-3</v>
      </c>
      <c r="N60" s="83"/>
      <c r="O60" s="83">
        <f>IF(O59="MW",[1]!MTEST($B28:$B43,O28:O43,2), IF(O59="T-Test Welch",_xlfn.T.TEST($B28:$B43,O28:O43,2,3),""))</f>
        <v>5.2807511416113506E-2</v>
      </c>
      <c r="P60" s="83">
        <f>IF(P59="MW",[1]!MTEST($O28:$O43,P28:P43,2), IF(P59="T-Test Welch",_xlfn.T.TEST($O28:$O43,P28:P43,2,3),""))</f>
        <v>2.1343842396317481E-3</v>
      </c>
      <c r="Q60" s="83">
        <f>IF(Q59="MW",[1]!MTEST($O28:$O43,Q28:Q43,2), IF(Q59="T-Test Welch",_xlfn.T.TEST($O28:$O43,Q28:Q43,2,3),""))</f>
        <v>1.9437563806570246E-3</v>
      </c>
      <c r="R60" s="83">
        <f>IF(R59="MW",[1]!MTEST($O28:$O43,R28:R43,2), IF(R59="T-Test Welch",_xlfn.T.TEST($O28:$O43,R28:R43,2,3),""))</f>
        <v>0.33292160806556592</v>
      </c>
      <c r="S60" s="83">
        <f>IF(S59="MW",[1]!MTEST($O28:$O43,S28:S43,2), IF(S59="T-Test Welch",_xlfn.T.TEST($O28:$O43,S28:S43,2,3),""))</f>
        <v>0.84645059687659052</v>
      </c>
      <c r="T60" s="83">
        <f>IF(T59="MW",[1]!MTEST($O28:$O43,T28:T43,2), IF(T59="T-Test Welch",_xlfn.T.TEST($O28:$O43,T28:T43,2,3),""))</f>
        <v>8.4163519735877212E-2</v>
      </c>
      <c r="U60" s="83">
        <f>IF(U59="MW",[1]!MTEST($O28:$O43,U28:U43,2), IF(U59="T-Test Welch",_xlfn.T.TEST($O28:$O43,U28:U43,2,3),""))</f>
        <v>9.9464933678028444E-4</v>
      </c>
      <c r="V60" s="83">
        <f>IF(V59="MW",[1]!MTEST($O28:$O43,V28:V43,2), IF(V59="T-Test Welch",_xlfn.T.TEST($O28:$O43,V28:V43,2,3),""))</f>
        <v>2.3384367997070221E-4</v>
      </c>
    </row>
    <row r="61" spans="1:22" s="3" customFormat="1" ht="15" thickBot="1" x14ac:dyDescent="0.4">
      <c r="A61" s="46" t="s">
        <v>15</v>
      </c>
      <c r="B61" s="79"/>
      <c r="C61" s="79" t="str">
        <f t="shared" ref="C61:O61" si="58">IF(C60&gt;0.05,"NS",IF(C60&gt;0.01,"*",IF(C60&gt;0.001,"**","***")))</f>
        <v>*</v>
      </c>
      <c r="D61" s="79" t="str">
        <f t="shared" si="58"/>
        <v>**</v>
      </c>
      <c r="E61" s="79" t="str">
        <f t="shared" si="58"/>
        <v>***</v>
      </c>
      <c r="F61" s="79" t="str">
        <f t="shared" si="58"/>
        <v>***</v>
      </c>
      <c r="G61" s="79" t="str">
        <f t="shared" si="58"/>
        <v>***</v>
      </c>
      <c r="H61" s="79" t="str">
        <f t="shared" si="58"/>
        <v>***</v>
      </c>
      <c r="I61" s="79" t="str">
        <f t="shared" si="58"/>
        <v>NS</v>
      </c>
      <c r="J61" s="79" t="str">
        <f t="shared" si="58"/>
        <v>NS</v>
      </c>
      <c r="K61" s="79" t="str">
        <f t="shared" si="58"/>
        <v>NS</v>
      </c>
      <c r="L61" s="79" t="str">
        <f t="shared" si="58"/>
        <v>***</v>
      </c>
      <c r="M61" s="79" t="str">
        <f t="shared" si="58"/>
        <v>**</v>
      </c>
      <c r="N61" s="79"/>
      <c r="O61" s="79" t="str">
        <f t="shared" si="58"/>
        <v>NS</v>
      </c>
      <c r="P61" s="79" t="str">
        <f>IF(P60&gt;0.05,"NS",IF(P60&gt;0.01,"*",IF(P60&gt;0.001,"**","***")))</f>
        <v>**</v>
      </c>
      <c r="Q61" s="79" t="str">
        <f t="shared" ref="Q61:V61" si="59">IF(Q60&gt;0.05,"NS",IF(Q60&gt;0.01,"*",IF(Q60&gt;0.001,"**","***")))</f>
        <v>**</v>
      </c>
      <c r="R61" s="79" t="str">
        <f t="shared" si="59"/>
        <v>NS</v>
      </c>
      <c r="S61" s="79" t="str">
        <f t="shared" si="59"/>
        <v>NS</v>
      </c>
      <c r="T61" s="79" t="str">
        <f t="shared" si="59"/>
        <v>NS</v>
      </c>
      <c r="U61" s="79" t="str">
        <f t="shared" si="59"/>
        <v>***</v>
      </c>
      <c r="V61" s="79" t="str">
        <f t="shared" si="59"/>
        <v>***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O5:O20 G5:J20 C5:F12 B13:F20" name="Plage1_1"/>
  </protectedRanges>
  <mergeCells count="9">
    <mergeCell ref="A1:V1"/>
    <mergeCell ref="A67:V67"/>
    <mergeCell ref="A5:A20"/>
    <mergeCell ref="B3:M3"/>
    <mergeCell ref="O3:V3"/>
    <mergeCell ref="B26:M26"/>
    <mergeCell ref="O26:V26"/>
    <mergeCell ref="A28:A43"/>
    <mergeCell ref="A50:V50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19"/>
  <sheetViews>
    <sheetView showGridLines="0" tabSelected="1" topLeftCell="G73" zoomScale="70" zoomScaleNormal="70" workbookViewId="0">
      <selection activeCell="R94" sqref="R94"/>
    </sheetView>
  </sheetViews>
  <sheetFormatPr baseColWidth="10" defaultColWidth="10.90625" defaultRowHeight="14.5" x14ac:dyDescent="0.35"/>
  <cols>
    <col min="1" max="1" width="42.81640625" customWidth="1"/>
    <col min="2" max="2" width="14" bestFit="1" customWidth="1"/>
    <col min="3" max="13" width="22.7265625" bestFit="1" customWidth="1"/>
    <col min="14" max="14" width="8.453125" customWidth="1"/>
    <col min="15" max="15" width="22.7265625" customWidth="1"/>
    <col min="18" max="22" width="29.1796875" customWidth="1"/>
  </cols>
  <sheetData>
    <row r="1" spans="1:22" s="1" customFormat="1" ht="21.5" thickBot="1" x14ac:dyDescent="0.4">
      <c r="A1" s="22"/>
      <c r="B1" s="39"/>
      <c r="C1" s="23"/>
      <c r="D1" s="23"/>
      <c r="E1" s="23"/>
      <c r="F1" s="23"/>
      <c r="G1" s="23"/>
      <c r="H1" s="40"/>
      <c r="I1" s="39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2" s="18" customFormat="1" ht="15" thickBot="1" x14ac:dyDescent="0.4"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55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/>
      <c r="B4" s="20" t="str">
        <f>'R1'!B4</f>
        <v>Solvent control</v>
      </c>
      <c r="C4" s="20" t="str">
        <f>'R1'!C4</f>
        <v>EE2-33.8ng/L</v>
      </c>
      <c r="D4" s="20" t="str">
        <f>'R1'!D4</f>
        <v>EE2-50.6ng/L</v>
      </c>
      <c r="E4" s="20" t="str">
        <f>'R1'!E4</f>
        <v>EE2-76ng/L</v>
      </c>
      <c r="F4" s="20" t="str">
        <f>'R1'!F4</f>
        <v>EE2-114ng/L</v>
      </c>
      <c r="G4" s="20" t="str">
        <f>'R1'!G4</f>
        <v>EE2-170.9ng/L</v>
      </c>
      <c r="H4" s="20" t="str">
        <f>'R1'!H4</f>
        <v>EE2-488ng/L</v>
      </c>
      <c r="I4" s="20" t="str">
        <f>'R1'!I4</f>
        <v>Estradiol-34ng/L</v>
      </c>
      <c r="J4" s="20" t="str">
        <f>'R1'!J4</f>
        <v>Estradiol-68ng/L</v>
      </c>
      <c r="K4" s="20" t="str">
        <f>'R1'!K4</f>
        <v>Estradiol-135ng/L</v>
      </c>
      <c r="L4" s="20" t="str">
        <f>'R1'!L4</f>
        <v>Estradiol-270ng/L</v>
      </c>
      <c r="M4" s="20" t="str">
        <f>'R1'!M4</f>
        <v>Estradiol-540ng/L</v>
      </c>
      <c r="O4" s="20" t="str">
        <f>'R1'!O4</f>
        <v>Testo -30µg/L</v>
      </c>
      <c r="P4" s="20" t="str">
        <f>'R1'!P4</f>
        <v>Testo 30µg/L + EE2 -64ng/L</v>
      </c>
      <c r="Q4" s="20" t="str">
        <f>'R1'!Q4</f>
        <v>Testo 30µg/L + FAD-10mg/L</v>
      </c>
      <c r="R4" s="20" t="str">
        <f>'R1'!R4</f>
        <v>Estradiol-34ng/L + Testostérone</v>
      </c>
      <c r="S4" s="20" t="str">
        <f>'R1'!S4</f>
        <v>Estradiol-68ng/L + Testostérone</v>
      </c>
      <c r="T4" s="20" t="str">
        <f>'R1'!T4</f>
        <v>Estradiol-135ng/L + Testostérone</v>
      </c>
      <c r="U4" s="20" t="str">
        <f>'R1'!U4</f>
        <v>Estradiol-270ng/L + Testostérone</v>
      </c>
      <c r="V4" s="20" t="str">
        <f>'R1'!V4</f>
        <v>Estradiol-540ng/L + Testostérone</v>
      </c>
    </row>
    <row r="5" spans="1:22" s="1" customFormat="1" x14ac:dyDescent="0.35">
      <c r="A5" s="19"/>
      <c r="B5" s="20"/>
      <c r="C5" s="115"/>
      <c r="D5" s="20"/>
      <c r="E5" s="20"/>
      <c r="F5" s="20"/>
      <c r="G5" s="20"/>
      <c r="H5" s="20"/>
      <c r="I5" s="20"/>
      <c r="J5" s="20"/>
      <c r="K5" s="20"/>
      <c r="L5" s="20"/>
      <c r="M5" s="20"/>
      <c r="O5" s="20"/>
      <c r="P5" s="20"/>
      <c r="Q5" s="20"/>
      <c r="R5" s="20"/>
      <c r="S5" s="20"/>
      <c r="T5" s="20"/>
      <c r="U5" s="20"/>
      <c r="V5" s="20"/>
    </row>
    <row r="6" spans="1:22" s="1" customFormat="1" x14ac:dyDescent="0.35">
      <c r="A6" s="54" t="s">
        <v>3</v>
      </c>
      <c r="B6" s="37">
        <f>'R1'!B28</f>
        <v>2.2834721150049204E-3</v>
      </c>
      <c r="C6" s="37">
        <f>'R1'!C28</f>
        <v>0.54483757003840738</v>
      </c>
      <c r="D6" s="37">
        <f>'R1'!D28</f>
        <v>0.1472818037447241</v>
      </c>
      <c r="E6" s="37">
        <f>'R1'!E28</f>
        <v>1.8136775469575299</v>
      </c>
      <c r="F6" s="37">
        <f>'R1'!F28</f>
        <v>0.93439341926531327</v>
      </c>
      <c r="G6" s="37">
        <f>'R1'!G28</f>
        <v>1.4818547850011963</v>
      </c>
      <c r="H6" s="37">
        <f>'R1'!H28</f>
        <v>3.5337429799484568</v>
      </c>
      <c r="I6" s="37">
        <f>'R1'!I28</f>
        <v>0.10780856352430841</v>
      </c>
      <c r="J6" s="37">
        <f>'R1'!J28</f>
        <v>2.8438495867236797E-2</v>
      </c>
      <c r="K6" s="37">
        <f>'R1'!K28</f>
        <v>9.6922834642677383E-2</v>
      </c>
      <c r="L6" s="37">
        <f>'R1'!L28</f>
        <v>0.48511474624973944</v>
      </c>
      <c r="M6" s="37">
        <f>'R1'!M28</f>
        <v>1.7139201142429921</v>
      </c>
      <c r="N6"/>
      <c r="O6" s="37">
        <f>'R1'!O28</f>
        <v>7.2158842232388887E-2</v>
      </c>
      <c r="P6" s="37">
        <f>'R1'!P28</f>
        <v>2.1776040567231854</v>
      </c>
      <c r="Q6" s="37">
        <f>'R1'!Q28</f>
        <v>1.3212484869746311E-2</v>
      </c>
      <c r="R6" s="37">
        <f>'R1'!R28</f>
        <v>0.33782501263513254</v>
      </c>
      <c r="S6" s="37">
        <f>'R1'!S28</f>
        <v>2.0322336820314644</v>
      </c>
      <c r="T6" s="37">
        <f>'R1'!T28</f>
        <v>1.220136698566358</v>
      </c>
      <c r="U6" s="37">
        <f>'R1'!U28</f>
        <v>2.3425027272350678</v>
      </c>
      <c r="V6" s="37">
        <f>'R1'!V28</f>
        <v>3.6210293706272911</v>
      </c>
    </row>
    <row r="7" spans="1:22" s="1" customFormat="1" x14ac:dyDescent="0.35">
      <c r="A7" s="144"/>
      <c r="B7" s="37">
        <f>'R1'!B29</f>
        <v>7.1565093224913293E-2</v>
      </c>
      <c r="C7" s="37">
        <f>'R1'!C29</f>
        <v>5.0267775598394383E-2</v>
      </c>
      <c r="D7" s="37">
        <f>'R1'!D29</f>
        <v>0.13048336563172089</v>
      </c>
      <c r="E7" s="37">
        <f>'R1'!E29</f>
        <v>0.45080021679933846</v>
      </c>
      <c r="F7" s="37">
        <f>'R1'!F29</f>
        <v>1.3095625020573263</v>
      </c>
      <c r="G7" s="37">
        <f>'R1'!G29</f>
        <v>0.6683089482262512</v>
      </c>
      <c r="H7" s="37">
        <f>'R1'!H29</f>
        <v>3.0106309405102398</v>
      </c>
      <c r="I7" s="37">
        <f>'R1'!I29</f>
        <v>5.6385339801739209E-2</v>
      </c>
      <c r="J7" s="37">
        <f>'R1'!J29</f>
        <v>7.1435241605582234E-2</v>
      </c>
      <c r="K7" s="37">
        <f>'R1'!K29</f>
        <v>4.0773738881196959E-2</v>
      </c>
      <c r="L7" s="37">
        <f>'R1'!L29</f>
        <v>2.3733030026824022</v>
      </c>
      <c r="M7" s="37">
        <f>'R1'!M29</f>
        <v>1.976917222607679</v>
      </c>
      <c r="N7"/>
      <c r="O7" s="37">
        <f>'R1'!O29</f>
        <v>0.14610190518841062</v>
      </c>
      <c r="P7" s="37">
        <f>'R1'!P29</f>
        <v>1.6496197730644706</v>
      </c>
      <c r="Q7" s="37">
        <f>'R1'!Q29</f>
        <v>7.6083467001890906E-2</v>
      </c>
      <c r="R7" s="37">
        <f>'R1'!R29</f>
        <v>0.87185879578069791</v>
      </c>
      <c r="S7" s="37">
        <f>'R1'!S29</f>
        <v>1.2571450708981995</v>
      </c>
      <c r="T7" s="37">
        <f>'R1'!T29</f>
        <v>1.2353719610787117</v>
      </c>
      <c r="U7" s="37">
        <f>'R1'!U29</f>
        <v>1.3998843808450523</v>
      </c>
      <c r="V7" s="37">
        <f>'R1'!V29</f>
        <v>2.7707659234162079</v>
      </c>
    </row>
    <row r="8" spans="1:22" s="1" customFormat="1" x14ac:dyDescent="0.35">
      <c r="A8" s="145"/>
      <c r="B8" s="37">
        <f>'R1'!B30</f>
        <v>0.13429003358671607</v>
      </c>
      <c r="C8" s="37">
        <f>'R1'!C30</f>
        <v>8.5933356630079547E-2</v>
      </c>
      <c r="D8" s="37">
        <f>'R1'!D30</f>
        <v>0.84234547213309496</v>
      </c>
      <c r="E8" s="37">
        <f>'R1'!E30</f>
        <v>0.45433231300964128</v>
      </c>
      <c r="F8" s="37">
        <f>'R1'!F30</f>
        <v>2.0274453622672257</v>
      </c>
      <c r="G8" s="37">
        <f>'R1'!G30</f>
        <v>2.3920802737424123</v>
      </c>
      <c r="H8" s="37">
        <f>'R1'!H30</f>
        <v>2.9202185290413518</v>
      </c>
      <c r="I8" s="37">
        <f>'R1'!I30</f>
        <v>0.11383427340151067</v>
      </c>
      <c r="J8" s="37">
        <f>'R1'!J30</f>
        <v>9.3519929229215412E-2</v>
      </c>
      <c r="K8" s="37">
        <f>'R1'!K30</f>
        <v>9.8229941528360995E-2</v>
      </c>
      <c r="L8" s="37">
        <f>'R1'!L30</f>
        <v>0.6453262028383896</v>
      </c>
      <c r="M8" s="37">
        <f>'R1'!M30</f>
        <v>2.8249513851479566</v>
      </c>
      <c r="N8"/>
      <c r="O8" s="37">
        <f>'R1'!O30</f>
        <v>2.5719872142412534E-2</v>
      </c>
      <c r="P8" s="37">
        <f>'R1'!P30</f>
        <v>2.7308135868903722</v>
      </c>
      <c r="Q8" s="37">
        <f>'R1'!Q30</f>
        <v>3.0981010398413597E-2</v>
      </c>
      <c r="R8" s="37">
        <f>'R1'!R30</f>
        <v>0.58493066175466291</v>
      </c>
      <c r="S8" s="37">
        <f>'R1'!S30</f>
        <v>8.0412515135416363E-2</v>
      </c>
      <c r="T8" s="37">
        <f>'R1'!T30</f>
        <v>2.6933274398980913</v>
      </c>
      <c r="U8" s="37">
        <f>'R1'!U30</f>
        <v>3.2365079975422359</v>
      </c>
      <c r="V8" s="37">
        <f>'R1'!V30</f>
        <v>2.0767701441720559</v>
      </c>
    </row>
    <row r="9" spans="1:22" s="1" customFormat="1" x14ac:dyDescent="0.35">
      <c r="A9" s="145"/>
      <c r="B9" s="37">
        <f>'R1'!B31</f>
        <v>4.3659881107295642E-2</v>
      </c>
      <c r="C9" s="37">
        <f>'R1'!C31</f>
        <v>0.21250300106338729</v>
      </c>
      <c r="D9" s="37">
        <f>'R1'!D31</f>
        <v>0.25375847953996511</v>
      </c>
      <c r="E9" s="37">
        <f>'R1'!E31</f>
        <v>1.0259986153290745</v>
      </c>
      <c r="F9" s="37">
        <f>'R1'!F31</f>
        <v>2.0303192792772551</v>
      </c>
      <c r="G9" s="37">
        <f>'R1'!G31</f>
        <v>1.1327250820256241</v>
      </c>
      <c r="H9" s="37">
        <f>'R1'!H31</f>
        <v>2.3939725389431987</v>
      </c>
      <c r="I9" s="37">
        <f>'R1'!I31</f>
        <v>6.5680468949376083E-2</v>
      </c>
      <c r="J9" s="37">
        <f>'R1'!J31</f>
        <v>0.36563176220170523</v>
      </c>
      <c r="K9" s="37">
        <f>'R1'!K31</f>
        <v>0.122829058727336</v>
      </c>
      <c r="L9" s="37">
        <f>'R1'!L31</f>
        <v>1.0340708924585327</v>
      </c>
      <c r="M9" s="37">
        <f>'R1'!M31</f>
        <v>1.9580091086946025</v>
      </c>
      <c r="N9"/>
      <c r="O9" s="37">
        <f>'R1'!O31</f>
        <v>0.18869059303903632</v>
      </c>
      <c r="P9" s="37">
        <f>'R1'!P31</f>
        <v>2.0122497491042859</v>
      </c>
      <c r="Q9" s="37">
        <f>'R1'!Q31</f>
        <v>2.9471691830718259E-2</v>
      </c>
      <c r="R9" s="37">
        <f>'R1'!R31</f>
        <v>0.47324637432512989</v>
      </c>
      <c r="S9" s="37">
        <f>'R1'!S31</f>
        <v>0.86983007073567842</v>
      </c>
      <c r="T9" s="37">
        <f>'R1'!T31</f>
        <v>1.386640837318265</v>
      </c>
      <c r="U9" s="37">
        <f>'R1'!U31</f>
        <v>1.9379703275007352</v>
      </c>
      <c r="V9" s="37">
        <f>'R1'!V31</f>
        <v>2.5530288778189192</v>
      </c>
    </row>
    <row r="10" spans="1:22" s="1" customFormat="1" x14ac:dyDescent="0.35">
      <c r="A10" s="145"/>
      <c r="B10" s="37">
        <f>'R1'!B32</f>
        <v>9.7913737966783834E-2</v>
      </c>
      <c r="C10" s="37">
        <f>'R1'!C32</f>
        <v>0.22357309941979372</v>
      </c>
      <c r="D10" s="37">
        <f>'R1'!D32</f>
        <v>0.29359517213000974</v>
      </c>
      <c r="E10" s="37">
        <f>'R1'!E32</f>
        <v>0.26878525255664992</v>
      </c>
      <c r="F10" s="37">
        <f>'R1'!F32</f>
        <v>2.3186113509231339</v>
      </c>
      <c r="G10" s="37">
        <f>'R1'!G32</f>
        <v>0.64047213123637281</v>
      </c>
      <c r="H10" s="37">
        <f>'R1'!H32</f>
        <v>3.4695027736165462</v>
      </c>
      <c r="I10" s="37">
        <f>'R1'!I32</f>
        <v>2.4219144267090243E-4</v>
      </c>
      <c r="J10" s="37">
        <f>'R1'!J32</f>
        <v>9.1003186775157743E-2</v>
      </c>
      <c r="K10" s="37">
        <f>'R1'!K32</f>
        <v>7.8196777325660466E-2</v>
      </c>
      <c r="L10" s="37">
        <f>'R1'!L32</f>
        <v>1.0072028412393379</v>
      </c>
      <c r="M10" s="37">
        <f>'R1'!M32</f>
        <v>4.3025825232028199</v>
      </c>
      <c r="N10"/>
      <c r="O10" s="37">
        <f>'R1'!O32</f>
        <v>0.4907585007275862</v>
      </c>
      <c r="P10" s="37">
        <f>'R1'!P32</f>
        <v>1.392789790589896</v>
      </c>
      <c r="Q10" s="37">
        <f>'R1'!Q32</f>
        <v>0.11132810410729675</v>
      </c>
      <c r="R10" s="37">
        <f>'R1'!R32</f>
        <v>0.25339073182414967</v>
      </c>
      <c r="S10" s="37">
        <f>'R1'!S32</f>
        <v>1.9636892084094122</v>
      </c>
      <c r="T10" s="37">
        <f>'R1'!T32</f>
        <v>0.59083874522860347</v>
      </c>
      <c r="U10" s="37">
        <f>'R1'!U32</f>
        <v>2.4448350547828039</v>
      </c>
      <c r="V10" s="37">
        <f>'R1'!V32</f>
        <v>2.558885086727376</v>
      </c>
    </row>
    <row r="11" spans="1:22" s="1" customFormat="1" x14ac:dyDescent="0.35">
      <c r="A11" s="145"/>
      <c r="B11" s="37">
        <f>'R1'!B33</f>
        <v>1.2301871478203328E-2</v>
      </c>
      <c r="C11" s="37">
        <f>'R1'!C33</f>
        <v>7.4261248985069583E-2</v>
      </c>
      <c r="D11" s="37">
        <f>'R1'!D33</f>
        <v>0.52000353044415404</v>
      </c>
      <c r="E11" s="37">
        <f>'R1'!E33</f>
        <v>0.38148258086371234</v>
      </c>
      <c r="F11" s="37">
        <f>'R1'!F33</f>
        <v>0.90793739086877956</v>
      </c>
      <c r="G11" s="37">
        <f>'R1'!G33</f>
        <v>1.2872808893316032</v>
      </c>
      <c r="H11" s="37">
        <f>'R1'!H33</f>
        <v>1.5056681842592827</v>
      </c>
      <c r="I11" s="37">
        <f>'R1'!I33</f>
        <v>4.5120629221958752E-2</v>
      </c>
      <c r="J11" s="37">
        <f>'R1'!J33</f>
        <v>7.370880138323363E-2</v>
      </c>
      <c r="K11" s="37">
        <f>'R1'!K33</f>
        <v>0.28583480321594223</v>
      </c>
      <c r="L11" s="37">
        <f>'R1'!L33</f>
        <v>1.7698894662871287</v>
      </c>
      <c r="M11" s="37">
        <f>'R1'!M33</f>
        <v>3.65015049612694</v>
      </c>
      <c r="N11"/>
      <c r="O11" s="37">
        <f>'R1'!O33</f>
        <v>0.18288295458361142</v>
      </c>
      <c r="P11" s="37">
        <f>'R1'!P33</f>
        <v>0.98130818154825838</v>
      </c>
      <c r="Q11" s="37">
        <f>'R1'!Q33</f>
        <v>2.2091956671025755E-2</v>
      </c>
      <c r="R11" s="37">
        <f>'R1'!R33</f>
        <v>0.32046124088173378</v>
      </c>
      <c r="S11" s="37">
        <f>'R1'!S33</f>
        <v>1.935269215571902</v>
      </c>
      <c r="T11" s="37">
        <f>'R1'!T33</f>
        <v>2.023143738267045</v>
      </c>
      <c r="U11" s="37">
        <f>'R1'!U33</f>
        <v>2.118624327824786</v>
      </c>
      <c r="V11" s="37">
        <f>'R1'!V33</f>
        <v>3.1432715611613311</v>
      </c>
    </row>
    <row r="12" spans="1:22" s="1" customFormat="1" x14ac:dyDescent="0.35">
      <c r="A12" s="145"/>
      <c r="B12" s="37">
        <f>'R1'!B34</f>
        <v>4.8917715250845532E-2</v>
      </c>
      <c r="C12" s="37">
        <f>'R1'!C34</f>
        <v>0.10213936738058763</v>
      </c>
      <c r="D12" s="37">
        <f>'R1'!D34</f>
        <v>0.78985237679883624</v>
      </c>
      <c r="E12" s="37">
        <f>'R1'!E34</f>
        <v>1.1577801667428609</v>
      </c>
      <c r="F12" s="37">
        <f>'R1'!F34</f>
        <v>1.8641673589126431</v>
      </c>
      <c r="G12" s="37">
        <f>'R1'!G34</f>
        <v>1.528416337663111</v>
      </c>
      <c r="H12" s="37">
        <f>'R1'!H34</f>
        <v>2.3407650944969967</v>
      </c>
      <c r="I12" s="37">
        <f>'R1'!I34</f>
        <v>0.10519534098667654</v>
      </c>
      <c r="J12" s="37">
        <f>'R1'!J34</f>
        <v>0.1335872488683518</v>
      </c>
      <c r="K12" s="37">
        <f>'R1'!K34</f>
        <v>0.19892673341276695</v>
      </c>
      <c r="L12" s="37">
        <f>'R1'!L34</f>
        <v>0.98955755910509935</v>
      </c>
      <c r="M12" s="37">
        <f>'R1'!M34</f>
        <v>1.7180327430109659</v>
      </c>
      <c r="N12"/>
      <c r="O12" s="37">
        <f>'R1'!O34</f>
        <v>0.10223981239910325</v>
      </c>
      <c r="P12" s="37">
        <f>'R1'!P34</f>
        <v>1.7549320796319186</v>
      </c>
      <c r="Q12" s="37">
        <f>'R1'!Q34</f>
        <v>3.4257037893750566E-3</v>
      </c>
      <c r="R12" s="37" t="str">
        <f>'R1'!R34</f>
        <v/>
      </c>
      <c r="S12" s="37">
        <f>'R1'!S34</f>
        <v>1.7711678273944873</v>
      </c>
      <c r="T12" s="37">
        <f>'R1'!T34</f>
        <v>0.77310151790512993</v>
      </c>
      <c r="U12" s="37">
        <f>'R1'!U34</f>
        <v>1.8532796475635414</v>
      </c>
      <c r="V12" s="37">
        <f>'R1'!V34</f>
        <v>1.9942704212012341</v>
      </c>
    </row>
    <row r="13" spans="1:22" s="1" customFormat="1" x14ac:dyDescent="0.35">
      <c r="A13" s="145"/>
      <c r="B13" s="37">
        <f>'R1'!B35</f>
        <v>5.8608346658887686E-2</v>
      </c>
      <c r="C13" s="37">
        <f>'R1'!C35</f>
        <v>5.8559445794610337E-2</v>
      </c>
      <c r="D13" s="37" t="str">
        <f>'R1'!D35</f>
        <v/>
      </c>
      <c r="E13" s="37">
        <f>'R1'!E35</f>
        <v>0.66259118162949826</v>
      </c>
      <c r="F13" s="37">
        <f>'R1'!F35</f>
        <v>2.2522925274481915</v>
      </c>
      <c r="G13" s="37">
        <f>'R1'!G35</f>
        <v>2.1215035314147372</v>
      </c>
      <c r="H13" s="37" t="str">
        <f>'R1'!H35</f>
        <v/>
      </c>
      <c r="I13" s="37">
        <f>'R1'!I35</f>
        <v>4.5066111366514415E-2</v>
      </c>
      <c r="J13" s="37">
        <f>'R1'!J35</f>
        <v>8.6967543827296351E-2</v>
      </c>
      <c r="K13" s="37">
        <f>'R1'!K35</f>
        <v>0.1336982670467112</v>
      </c>
      <c r="L13" s="37" t="str">
        <f>'R1'!L35</f>
        <v/>
      </c>
      <c r="M13" s="37">
        <f>'R1'!M35</f>
        <v>2.9373830628139448</v>
      </c>
      <c r="N13"/>
      <c r="O13" s="37">
        <f>'R1'!O35</f>
        <v>3.7174238776890259E-2</v>
      </c>
      <c r="P13" s="37">
        <f>'R1'!P35</f>
        <v>2.0549560633581736</v>
      </c>
      <c r="Q13" s="37">
        <f>'R1'!Q35</f>
        <v>0.11457373376808294</v>
      </c>
      <c r="R13" s="37" t="str">
        <f>'R1'!R35</f>
        <v/>
      </c>
      <c r="S13" s="37">
        <f>'R1'!S35</f>
        <v>0.86703908694817344</v>
      </c>
      <c r="T13" s="37">
        <f>'R1'!T35</f>
        <v>2.3981978379457574</v>
      </c>
      <c r="U13" s="37">
        <f>'R1'!U35</f>
        <v>2.0437234026691695</v>
      </c>
      <c r="V13" s="37">
        <f>'R1'!V35</f>
        <v>3.5552097985437205</v>
      </c>
    </row>
    <row r="14" spans="1:22" s="1" customFormat="1" x14ac:dyDescent="0.35">
      <c r="A14" s="145"/>
      <c r="B14" s="37" t="str">
        <f>'R1'!B36</f>
        <v/>
      </c>
      <c r="C14" s="37" t="str">
        <f>'R1'!C36</f>
        <v/>
      </c>
      <c r="D14" s="37" t="str">
        <f>'R1'!D36</f>
        <v/>
      </c>
      <c r="E14" s="37" t="str">
        <f>'R1'!E36</f>
        <v/>
      </c>
      <c r="F14" s="37" t="str">
        <f>'R1'!F36</f>
        <v/>
      </c>
      <c r="G14" s="37" t="str">
        <f>'R1'!G36</f>
        <v/>
      </c>
      <c r="H14" s="37" t="str">
        <f>'R1'!H36</f>
        <v/>
      </c>
      <c r="I14" s="37" t="str">
        <f>'R1'!I36</f>
        <v/>
      </c>
      <c r="J14" s="37" t="str">
        <f>'R1'!J36</f>
        <v/>
      </c>
      <c r="K14" s="37" t="str">
        <f>'R1'!K36</f>
        <v/>
      </c>
      <c r="L14" s="37" t="str">
        <f>'R1'!L36</f>
        <v/>
      </c>
      <c r="M14" s="37" t="str">
        <f>'R1'!M36</f>
        <v/>
      </c>
      <c r="N14"/>
      <c r="O14" s="37">
        <f>'R1'!O36</f>
        <v>2.1776040567231854</v>
      </c>
      <c r="P14" s="37">
        <f>'R1'!P36</f>
        <v>2.4376948677758215</v>
      </c>
      <c r="Q14" s="37" t="str">
        <f>'R1'!Q36</f>
        <v/>
      </c>
      <c r="R14" s="37" t="str">
        <f>'R1'!R36</f>
        <v/>
      </c>
      <c r="S14" s="37" t="str">
        <f>'R1'!S36</f>
        <v/>
      </c>
      <c r="T14" s="37" t="str">
        <f>'R1'!T36</f>
        <v/>
      </c>
      <c r="U14" s="37" t="str">
        <f>'R1'!U36</f>
        <v/>
      </c>
      <c r="V14" s="37" t="str">
        <f>'R1'!V36</f>
        <v/>
      </c>
    </row>
    <row r="15" spans="1:22" s="1" customFormat="1" x14ac:dyDescent="0.35">
      <c r="A15" s="145"/>
      <c r="B15" s="37" t="str">
        <f>'R1'!B37</f>
        <v/>
      </c>
      <c r="C15" s="37" t="str">
        <f>'R1'!C37</f>
        <v/>
      </c>
      <c r="D15" s="37" t="str">
        <f>'R1'!D37</f>
        <v/>
      </c>
      <c r="E15" s="37" t="str">
        <f>'R1'!E37</f>
        <v/>
      </c>
      <c r="F15" s="37" t="str">
        <f>'R1'!F37</f>
        <v/>
      </c>
      <c r="G15" s="37" t="str">
        <f>'R1'!G37</f>
        <v/>
      </c>
      <c r="H15" s="37" t="str">
        <f>'R1'!H37</f>
        <v/>
      </c>
      <c r="I15" s="37" t="str">
        <f>'R1'!I37</f>
        <v/>
      </c>
      <c r="J15" s="37" t="str">
        <f>'R1'!J37</f>
        <v/>
      </c>
      <c r="K15" s="37" t="str">
        <f>'R1'!K37</f>
        <v/>
      </c>
      <c r="L15" s="37" t="str">
        <f>'R1'!L37</f>
        <v/>
      </c>
      <c r="M15" s="37" t="str">
        <f>'R1'!M37</f>
        <v/>
      </c>
      <c r="N15"/>
      <c r="O15" s="37">
        <f>'R1'!O37</f>
        <v>1.6496197730644706</v>
      </c>
      <c r="P15" s="37" t="str">
        <f>'R1'!P37</f>
        <v/>
      </c>
      <c r="Q15" s="37" t="str">
        <f>'R1'!Q37</f>
        <v/>
      </c>
      <c r="R15" s="37" t="str">
        <f>'R1'!R37</f>
        <v/>
      </c>
      <c r="S15" s="37" t="str">
        <f>'R1'!S37</f>
        <v/>
      </c>
      <c r="T15" s="37" t="str">
        <f>'R1'!T37</f>
        <v/>
      </c>
      <c r="U15" s="37" t="str">
        <f>'R1'!U37</f>
        <v/>
      </c>
      <c r="V15" s="37" t="str">
        <f>'R1'!V37</f>
        <v/>
      </c>
    </row>
    <row r="16" spans="1:22" s="1" customFormat="1" x14ac:dyDescent="0.35">
      <c r="A16" s="145"/>
      <c r="B16" s="37" t="str">
        <f>'R1'!B38</f>
        <v/>
      </c>
      <c r="C16" s="37" t="str">
        <f>'R1'!C38</f>
        <v/>
      </c>
      <c r="D16" s="37" t="str">
        <f>'R1'!D38</f>
        <v/>
      </c>
      <c r="E16" s="37" t="str">
        <f>'R1'!E38</f>
        <v/>
      </c>
      <c r="F16" s="37" t="str">
        <f>'R1'!F38</f>
        <v/>
      </c>
      <c r="G16" s="37" t="str">
        <f>'R1'!G38</f>
        <v/>
      </c>
      <c r="H16" s="37" t="str">
        <f>'R1'!H38</f>
        <v/>
      </c>
      <c r="I16" s="37" t="str">
        <f>'R1'!I38</f>
        <v/>
      </c>
      <c r="J16" s="37" t="str">
        <f>'R1'!J38</f>
        <v/>
      </c>
      <c r="K16" s="37" t="str">
        <f>'R1'!K38</f>
        <v/>
      </c>
      <c r="L16" s="37" t="str">
        <f>'R1'!L38</f>
        <v/>
      </c>
      <c r="M16" s="37" t="str">
        <f>'R1'!M38</f>
        <v/>
      </c>
      <c r="N16"/>
      <c r="O16" s="37">
        <f>'R1'!O38</f>
        <v>2.7308135868903722</v>
      </c>
      <c r="P16" s="37" t="str">
        <f>'R1'!P38</f>
        <v/>
      </c>
      <c r="Q16" s="37" t="str">
        <f>'R1'!Q38</f>
        <v/>
      </c>
      <c r="R16" s="37" t="str">
        <f>'R1'!R38</f>
        <v/>
      </c>
      <c r="S16" s="37" t="str">
        <f>'R1'!S38</f>
        <v/>
      </c>
      <c r="T16" s="37" t="str">
        <f>'R1'!T38</f>
        <v/>
      </c>
      <c r="U16" s="37" t="str">
        <f>'R1'!U38</f>
        <v/>
      </c>
      <c r="V16" s="37" t="str">
        <f>'R1'!V38</f>
        <v/>
      </c>
    </row>
    <row r="17" spans="1:22" s="1" customFormat="1" x14ac:dyDescent="0.35">
      <c r="A17" s="145"/>
      <c r="B17" s="37" t="str">
        <f>'R1'!B39</f>
        <v/>
      </c>
      <c r="C17" s="37" t="str">
        <f>'R1'!C39</f>
        <v/>
      </c>
      <c r="D17" s="37" t="str">
        <f>'R1'!D39</f>
        <v/>
      </c>
      <c r="E17" s="37" t="str">
        <f>'R1'!E39</f>
        <v/>
      </c>
      <c r="F17" s="37" t="str">
        <f>'R1'!F39</f>
        <v/>
      </c>
      <c r="G17" s="37" t="str">
        <f>'R1'!G39</f>
        <v/>
      </c>
      <c r="H17" s="37" t="str">
        <f>'R1'!H39</f>
        <v/>
      </c>
      <c r="I17" s="37" t="str">
        <f>'R1'!I39</f>
        <v/>
      </c>
      <c r="J17" s="37" t="str">
        <f>'R1'!J39</f>
        <v/>
      </c>
      <c r="K17" s="37" t="str">
        <f>'R1'!K39</f>
        <v/>
      </c>
      <c r="L17" s="37" t="str">
        <f>'R1'!L39</f>
        <v/>
      </c>
      <c r="M17" s="37" t="str">
        <f>'R1'!M39</f>
        <v/>
      </c>
      <c r="N17"/>
      <c r="O17" s="37">
        <f>'R1'!O39</f>
        <v>2.0122497491042859</v>
      </c>
      <c r="P17" s="37" t="str">
        <f>'R1'!P39</f>
        <v/>
      </c>
      <c r="Q17" s="37" t="str">
        <f>'R1'!Q39</f>
        <v/>
      </c>
      <c r="R17" s="37" t="str">
        <f>'R1'!R39</f>
        <v/>
      </c>
      <c r="S17" s="37" t="str">
        <f>'R1'!S39</f>
        <v/>
      </c>
      <c r="T17" s="37" t="str">
        <f>'R1'!T39</f>
        <v/>
      </c>
      <c r="U17" s="37" t="str">
        <f>'R1'!U39</f>
        <v/>
      </c>
      <c r="V17" s="37" t="str">
        <f>'R1'!V39</f>
        <v/>
      </c>
    </row>
    <row r="18" spans="1:22" s="1" customFormat="1" x14ac:dyDescent="0.35">
      <c r="A18" s="145"/>
      <c r="B18" s="37" t="str">
        <f>'R1'!B40</f>
        <v/>
      </c>
      <c r="C18" s="37" t="str">
        <f>'R1'!C40</f>
        <v/>
      </c>
      <c r="D18" s="37" t="str">
        <f>'R1'!D40</f>
        <v/>
      </c>
      <c r="E18" s="37" t="str">
        <f>'R1'!E40</f>
        <v/>
      </c>
      <c r="F18" s="37" t="str">
        <f>'R1'!F40</f>
        <v/>
      </c>
      <c r="G18" s="37" t="str">
        <f>'R1'!G40</f>
        <v/>
      </c>
      <c r="H18" s="37" t="str">
        <f>'R1'!H40</f>
        <v/>
      </c>
      <c r="I18" s="37" t="str">
        <f>'R1'!I40</f>
        <v/>
      </c>
      <c r="J18" s="37" t="str">
        <f>'R1'!J40</f>
        <v/>
      </c>
      <c r="K18" s="37" t="str">
        <f>'R1'!K40</f>
        <v/>
      </c>
      <c r="L18" s="37" t="str">
        <f>'R1'!L40</f>
        <v/>
      </c>
      <c r="M18" s="37" t="str">
        <f>'R1'!M40</f>
        <v/>
      </c>
      <c r="N18"/>
      <c r="O18" s="37">
        <f>'R1'!O40</f>
        <v>1.392789790589896</v>
      </c>
      <c r="P18" s="37" t="str">
        <f>'R1'!P40</f>
        <v/>
      </c>
      <c r="Q18" s="37" t="str">
        <f>'R1'!Q40</f>
        <v/>
      </c>
      <c r="R18" s="37" t="str">
        <f>'R1'!R40</f>
        <v/>
      </c>
      <c r="S18" s="37" t="str">
        <f>'R1'!S40</f>
        <v/>
      </c>
      <c r="T18" s="37" t="str">
        <f>'R1'!T40</f>
        <v/>
      </c>
      <c r="U18" s="37" t="str">
        <f>'R1'!U40</f>
        <v/>
      </c>
      <c r="V18" s="37" t="str">
        <f>'R1'!V40</f>
        <v/>
      </c>
    </row>
    <row r="19" spans="1:22" s="1" customFormat="1" x14ac:dyDescent="0.35">
      <c r="A19" s="145"/>
      <c r="B19" s="37" t="str">
        <f>'R1'!B41</f>
        <v/>
      </c>
      <c r="C19" s="37" t="str">
        <f>'R1'!C41</f>
        <v/>
      </c>
      <c r="D19" s="37" t="str">
        <f>'R1'!D41</f>
        <v/>
      </c>
      <c r="E19" s="37" t="str">
        <f>'R1'!E41</f>
        <v/>
      </c>
      <c r="F19" s="37" t="str">
        <f>'R1'!F41</f>
        <v/>
      </c>
      <c r="G19" s="37" t="str">
        <f>'R1'!G41</f>
        <v/>
      </c>
      <c r="H19" s="37" t="str">
        <f>'R1'!H41</f>
        <v/>
      </c>
      <c r="I19" s="37" t="str">
        <f>'R1'!I41</f>
        <v/>
      </c>
      <c r="J19" s="37" t="str">
        <f>'R1'!J41</f>
        <v/>
      </c>
      <c r="K19" s="37" t="str">
        <f>'R1'!K41</f>
        <v/>
      </c>
      <c r="L19" s="37" t="str">
        <f>'R1'!L41</f>
        <v/>
      </c>
      <c r="M19" s="37" t="str">
        <f>'R1'!M41</f>
        <v/>
      </c>
      <c r="N19"/>
      <c r="O19" s="37">
        <f>'R1'!O41</f>
        <v>0.98130818154825838</v>
      </c>
      <c r="P19" s="37" t="str">
        <f>'R1'!P41</f>
        <v/>
      </c>
      <c r="Q19" s="37" t="str">
        <f>'R1'!Q41</f>
        <v/>
      </c>
      <c r="R19" s="37" t="str">
        <f>'R1'!R41</f>
        <v/>
      </c>
      <c r="S19" s="37" t="str">
        <f>'R1'!S41</f>
        <v/>
      </c>
      <c r="T19" s="37" t="str">
        <f>'R1'!T41</f>
        <v/>
      </c>
      <c r="U19" s="37" t="str">
        <f>'R1'!U41</f>
        <v/>
      </c>
      <c r="V19" s="37" t="str">
        <f>'R1'!V41</f>
        <v/>
      </c>
    </row>
    <row r="20" spans="1:22" s="1" customFormat="1" x14ac:dyDescent="0.35">
      <c r="A20" s="145"/>
      <c r="B20" s="37" t="str">
        <f>'R1'!B42</f>
        <v/>
      </c>
      <c r="C20" s="37" t="str">
        <f>'R1'!C42</f>
        <v/>
      </c>
      <c r="D20" s="37" t="str">
        <f>'R1'!D42</f>
        <v/>
      </c>
      <c r="E20" s="37" t="str">
        <f>'R1'!E42</f>
        <v/>
      </c>
      <c r="F20" s="37" t="str">
        <f>'R1'!F42</f>
        <v/>
      </c>
      <c r="G20" s="37" t="str">
        <f>'R1'!G42</f>
        <v/>
      </c>
      <c r="H20" s="37" t="str">
        <f>'R1'!H42</f>
        <v/>
      </c>
      <c r="I20" s="37" t="str">
        <f>'R1'!I42</f>
        <v/>
      </c>
      <c r="J20" s="37" t="str">
        <f>'R1'!J42</f>
        <v/>
      </c>
      <c r="K20" s="37" t="str">
        <f>'R1'!K42</f>
        <v/>
      </c>
      <c r="L20" s="37" t="str">
        <f>'R1'!L42</f>
        <v/>
      </c>
      <c r="M20" s="37" t="str">
        <f>'R1'!M42</f>
        <v/>
      </c>
      <c r="N20"/>
      <c r="O20" s="37">
        <f>'R1'!O42</f>
        <v>1.7549320796319186</v>
      </c>
      <c r="P20" s="37" t="str">
        <f>'R1'!P42</f>
        <v/>
      </c>
      <c r="Q20" s="37" t="str">
        <f>'R1'!Q42</f>
        <v/>
      </c>
      <c r="R20" s="37" t="str">
        <f>'R1'!R42</f>
        <v/>
      </c>
      <c r="S20" s="37" t="str">
        <f>'R1'!S42</f>
        <v/>
      </c>
      <c r="T20" s="37" t="str">
        <f>'R1'!T42</f>
        <v/>
      </c>
      <c r="U20" s="37" t="str">
        <f>'R1'!U42</f>
        <v/>
      </c>
      <c r="V20" s="37" t="str">
        <f>'R1'!V42</f>
        <v/>
      </c>
    </row>
    <row r="21" spans="1:22" s="1" customFormat="1" x14ac:dyDescent="0.35">
      <c r="A21" s="146"/>
      <c r="B21" s="37" t="str">
        <f>'R1'!B43</f>
        <v/>
      </c>
      <c r="C21" s="37" t="str">
        <f>'R1'!C43</f>
        <v/>
      </c>
      <c r="D21" s="37" t="str">
        <f>'R1'!D43</f>
        <v/>
      </c>
      <c r="E21" s="37" t="str">
        <f>'R1'!E43</f>
        <v/>
      </c>
      <c r="F21" s="37" t="str">
        <f>'R1'!F43</f>
        <v/>
      </c>
      <c r="G21" s="37" t="str">
        <f>'R1'!G43</f>
        <v/>
      </c>
      <c r="H21" s="37" t="str">
        <f>'R1'!H43</f>
        <v/>
      </c>
      <c r="I21" s="37" t="str">
        <f>'R1'!I43</f>
        <v/>
      </c>
      <c r="J21" s="37" t="str">
        <f>'R1'!J43</f>
        <v/>
      </c>
      <c r="K21" s="37" t="str">
        <f>'R1'!K43</f>
        <v/>
      </c>
      <c r="L21" s="37" t="str">
        <f>'R1'!L43</f>
        <v/>
      </c>
      <c r="M21" s="37" t="str">
        <f>'R1'!M43</f>
        <v/>
      </c>
      <c r="N21"/>
      <c r="O21" s="37">
        <f>'R1'!O43</f>
        <v>2.0549560633581736</v>
      </c>
      <c r="P21" s="37" t="str">
        <f>'R1'!P43</f>
        <v/>
      </c>
      <c r="Q21" s="37" t="str">
        <f>'R1'!Q43</f>
        <v/>
      </c>
      <c r="R21" s="37" t="str">
        <f>'R1'!R43</f>
        <v/>
      </c>
      <c r="S21" s="37" t="str">
        <f>'R1'!S43</f>
        <v/>
      </c>
      <c r="T21" s="37" t="str">
        <f>'R1'!T43</f>
        <v/>
      </c>
      <c r="U21" s="37" t="str">
        <f>'R1'!U43</f>
        <v/>
      </c>
      <c r="V21" s="37" t="str">
        <f>'R1'!V43</f>
        <v/>
      </c>
    </row>
    <row r="22" spans="1:22" x14ac:dyDescent="0.35">
      <c r="A22" s="24" t="s">
        <v>4</v>
      </c>
      <c r="B22" s="38">
        <f>'R3'!B28</f>
        <v>0.85503385199201876</v>
      </c>
      <c r="C22" s="38">
        <f>'R3'!C28</f>
        <v>0.90348030834671367</v>
      </c>
      <c r="D22" s="38">
        <f>'R3'!D28</f>
        <v>2.366895279753003</v>
      </c>
      <c r="E22" s="38">
        <f>'R3'!E28</f>
        <v>4.1080626433126746</v>
      </c>
      <c r="F22" s="38">
        <f>'R3'!F28</f>
        <v>1.8800762431912927</v>
      </c>
      <c r="G22" s="38">
        <f>'R3'!G28</f>
        <v>1.8800762431912927</v>
      </c>
      <c r="H22" s="38">
        <f>'R3'!H28</f>
        <v>4.11952451461464</v>
      </c>
      <c r="I22" s="38">
        <f>'R3'!I28</f>
        <v>4.6619319928131377E-2</v>
      </c>
      <c r="J22" s="38">
        <f>'R3'!J28</f>
        <v>1.0502106140850283E-2</v>
      </c>
      <c r="K22" s="38">
        <f>'R3'!K28</f>
        <v>1.5414545011603291</v>
      </c>
      <c r="L22" s="38">
        <f>'R3'!L28</f>
        <v>3.3106951528151036</v>
      </c>
      <c r="M22" s="38">
        <f>'R3'!M28</f>
        <v>2.0460087659808441</v>
      </c>
      <c r="O22" s="38">
        <f>'R3'!O28</f>
        <v>1.3654259025469415</v>
      </c>
      <c r="P22" s="38">
        <f>'R3'!P28</f>
        <v>3.2628803690124202</v>
      </c>
      <c r="Q22" s="38">
        <f>'R3'!Q28</f>
        <v>4.6146665441452375E-3</v>
      </c>
      <c r="R22" s="38">
        <f>'R3'!R28</f>
        <v>5.7158509333229079E-2</v>
      </c>
      <c r="S22" s="38">
        <f>'R3'!S28</f>
        <v>0.34000953605568074</v>
      </c>
      <c r="T22" s="38">
        <f>'R3'!T28</f>
        <v>2.5010455594928067</v>
      </c>
      <c r="U22" s="38">
        <f>'R3'!U28</f>
        <v>4.5272537479552355</v>
      </c>
      <c r="V22" s="38">
        <f>'R3'!V28</f>
        <v>3.8093871192350139</v>
      </c>
    </row>
    <row r="23" spans="1:22" x14ac:dyDescent="0.35">
      <c r="A23" s="144"/>
      <c r="B23" s="38">
        <f>'R3'!B29</f>
        <v>0.12743695185121542</v>
      </c>
      <c r="C23" s="38">
        <f>'R3'!C29</f>
        <v>0.49743176396540018</v>
      </c>
      <c r="D23" s="38">
        <f>'R3'!D29</f>
        <v>0.22846936249846167</v>
      </c>
      <c r="E23" s="38">
        <f>'R3'!E29</f>
        <v>1.1126751728551512</v>
      </c>
      <c r="F23" s="38">
        <f>'R3'!F29</f>
        <v>3.9869292178536182</v>
      </c>
      <c r="G23" s="38">
        <f>'R3'!G29</f>
        <v>3.9869292178536182</v>
      </c>
      <c r="H23" s="38">
        <f>'R3'!H29</f>
        <v>4.1728408206538949</v>
      </c>
      <c r="I23" s="38">
        <f>'R3'!I29</f>
        <v>6.752422448523715E-2</v>
      </c>
      <c r="J23" s="38">
        <f>'R3'!J29</f>
        <v>0.15985212451277933</v>
      </c>
      <c r="K23" s="38">
        <f>'R3'!K29</f>
        <v>0.5850595173820573</v>
      </c>
      <c r="L23" s="38">
        <f>'R3'!L29</f>
        <v>1.705488235114432</v>
      </c>
      <c r="M23" s="38">
        <f>'R3'!M29</f>
        <v>2.6190388495589794</v>
      </c>
      <c r="O23" s="38">
        <f>'R3'!O29</f>
        <v>2.0136212486349902E-2</v>
      </c>
      <c r="P23" s="38">
        <f>'R3'!P29</f>
        <v>3.765884050563471</v>
      </c>
      <c r="Q23" s="38">
        <f>'R3'!Q29</f>
        <v>9.3506393594727198E-3</v>
      </c>
      <c r="R23" s="38">
        <f>'R3'!R29</f>
        <v>1.1384681544639892</v>
      </c>
      <c r="S23" s="38">
        <f>'R3'!S29</f>
        <v>0.22457750534218993</v>
      </c>
      <c r="T23" s="38">
        <f>'R3'!T29</f>
        <v>1.7486223567332084</v>
      </c>
      <c r="U23" s="38">
        <f>'R3'!U29</f>
        <v>3.3832243609139381</v>
      </c>
      <c r="V23" s="38">
        <f>'R3'!V29</f>
        <v>3.852042301068086</v>
      </c>
    </row>
    <row r="24" spans="1:22" x14ac:dyDescent="0.35">
      <c r="A24" s="145"/>
      <c r="B24" s="38">
        <f>'R3'!B30</f>
        <v>0.54036538454527938</v>
      </c>
      <c r="C24" s="38">
        <f>'R3'!C30</f>
        <v>0.70627779437795091</v>
      </c>
      <c r="D24" s="38">
        <f>'R3'!D30</f>
        <v>2.131662306973753</v>
      </c>
      <c r="E24" s="38">
        <f>'R3'!E30</f>
        <v>1.8663258945143293</v>
      </c>
      <c r="F24" s="38">
        <f>'R3'!F30</f>
        <v>4.4747746437461089</v>
      </c>
      <c r="G24" s="38">
        <f>'R3'!G30</f>
        <v>4.4747746437461089</v>
      </c>
      <c r="H24" s="38">
        <f>'R3'!H30</f>
        <v>2.8357697875983758</v>
      </c>
      <c r="I24" s="38">
        <f>'R3'!I30</f>
        <v>0.29820286959098163</v>
      </c>
      <c r="J24" s="38">
        <f>'R3'!J30</f>
        <v>0.17151889656295966</v>
      </c>
      <c r="K24" s="38">
        <f>'R3'!K30</f>
        <v>0.33814720195457715</v>
      </c>
      <c r="L24" s="38">
        <f>'R3'!L30</f>
        <v>1.2813531142588168</v>
      </c>
      <c r="M24" s="38">
        <f>'R3'!M30</f>
        <v>4.3552678536747189</v>
      </c>
      <c r="O24" s="38">
        <f>'R3'!O30</f>
        <v>0.29116773439231403</v>
      </c>
      <c r="P24" s="38">
        <f>'R3'!P30</f>
        <v>2.0825879492464621</v>
      </c>
      <c r="Q24" s="38">
        <f>'R3'!Q30</f>
        <v>1.8101661191961707E-4</v>
      </c>
      <c r="R24" s="38">
        <f>'R3'!R30</f>
        <v>0.28835946278794999</v>
      </c>
      <c r="S24" s="38">
        <f>'R3'!S30</f>
        <v>1.5414054758279343</v>
      </c>
      <c r="T24" s="38">
        <f>'R3'!T30</f>
        <v>3.3372436273667452</v>
      </c>
      <c r="U24" s="38">
        <f>'R3'!U30</f>
        <v>3.6761174098886107</v>
      </c>
      <c r="V24" s="38">
        <f>'R3'!V30</f>
        <v>1.6933154964927404</v>
      </c>
    </row>
    <row r="25" spans="1:22" x14ac:dyDescent="0.35">
      <c r="A25" s="145"/>
      <c r="B25" s="38">
        <f>'R3'!B31</f>
        <v>3.5650844599627085E-2</v>
      </c>
      <c r="C25" s="38">
        <f>'R3'!C31</f>
        <v>1.0098967061387636</v>
      </c>
      <c r="D25" s="38">
        <f>'R3'!D31</f>
        <v>2.4127660205672585</v>
      </c>
      <c r="E25" s="38">
        <f>'R3'!E31</f>
        <v>3.2730185563397236</v>
      </c>
      <c r="F25" s="38">
        <f>'R3'!F31</f>
        <v>2.8965775415455122</v>
      </c>
      <c r="G25" s="38">
        <f>'R3'!G31</f>
        <v>2.8965775415455122</v>
      </c>
      <c r="H25" s="38">
        <f>'R3'!H31</f>
        <v>3.6708088463321071</v>
      </c>
      <c r="I25" s="38">
        <f>'R3'!I31</f>
        <v>2.9517649811045057E-2</v>
      </c>
      <c r="J25" s="38">
        <f>'R3'!J31</f>
        <v>2.5099713126381901E-2</v>
      </c>
      <c r="K25" s="38">
        <f>'R3'!K31</f>
        <v>4.0795361851578699E-2</v>
      </c>
      <c r="L25" s="38">
        <f>'R3'!L31</f>
        <v>2.2858381779370669</v>
      </c>
      <c r="M25" s="38">
        <f>'R3'!M31</f>
        <v>4.6835773055953869</v>
      </c>
      <c r="O25" s="38">
        <f>'R3'!O31</f>
        <v>2.2376921588757662E-2</v>
      </c>
      <c r="P25" s="38">
        <f>'R3'!P31</f>
        <v>5.9885072050268315E-2</v>
      </c>
      <c r="Q25" s="38">
        <f>'R3'!Q31</f>
        <v>9.715186702921947E-3</v>
      </c>
      <c r="R25" s="38">
        <f>'R3'!R31</f>
        <v>0.98893460536053046</v>
      </c>
      <c r="S25" s="38">
        <f>'R3'!S31</f>
        <v>1.1445202688951488</v>
      </c>
      <c r="T25" s="38">
        <f>'R3'!T31</f>
        <v>0.60628622924924247</v>
      </c>
      <c r="U25" s="38">
        <f>'R3'!U31</f>
        <v>2.6961720391936161</v>
      </c>
      <c r="V25" s="38">
        <f>'R3'!V31</f>
        <v>4.2230779587008085</v>
      </c>
    </row>
    <row r="26" spans="1:22" x14ac:dyDescent="0.35">
      <c r="A26" s="145"/>
      <c r="B26" s="38">
        <f>'R3'!B32</f>
        <v>0.17200097899817612</v>
      </c>
      <c r="C26" s="38">
        <f>'R3'!C32</f>
        <v>2.1138673683742106</v>
      </c>
      <c r="D26" s="38">
        <f>'R3'!D32</f>
        <v>1.5614272958720294</v>
      </c>
      <c r="E26" s="38">
        <f>'R3'!E32</f>
        <v>2.6699975399339615</v>
      </c>
      <c r="F26" s="38">
        <f>'R3'!F32</f>
        <v>3.4651111222011721</v>
      </c>
      <c r="G26" s="38">
        <f>'R3'!G32</f>
        <v>3.4651111222011721</v>
      </c>
      <c r="H26" s="38">
        <f>'R3'!H32</f>
        <v>6.563710116477905</v>
      </c>
      <c r="I26" s="38">
        <f>'R3'!I32</f>
        <v>4.0029183900432821E-2</v>
      </c>
      <c r="J26" s="38">
        <f>'R3'!J32</f>
        <v>7.2830273922130928E-2</v>
      </c>
      <c r="K26" s="38">
        <f>'R3'!K32</f>
        <v>0.63850152940181182</v>
      </c>
      <c r="L26" s="38">
        <f>'R3'!L32</f>
        <v>3.4897727499855127</v>
      </c>
      <c r="M26" s="38">
        <f>'R3'!M32</f>
        <v>5.6348277721217075</v>
      </c>
      <c r="O26" s="38">
        <f>'R3'!O32</f>
        <v>0.32585378559160566</v>
      </c>
      <c r="P26" s="38">
        <f>'R3'!P32</f>
        <v>4.5884977016547053</v>
      </c>
      <c r="Q26" s="38">
        <f>'R3'!Q32</f>
        <v>2.3116072754096099E-2</v>
      </c>
      <c r="R26" s="38">
        <f>'R3'!R32</f>
        <v>2.6910507775480572E-2</v>
      </c>
      <c r="S26" s="38">
        <f>'R3'!S32</f>
        <v>0.23413870221899968</v>
      </c>
      <c r="T26" s="38">
        <f>'R3'!T32</f>
        <v>0.97116417942718558</v>
      </c>
      <c r="U26" s="38">
        <f>'R3'!U32</f>
        <v>4.9601097212080196</v>
      </c>
      <c r="V26" s="38">
        <f>'R3'!V32</f>
        <v>4.1301730682227724</v>
      </c>
    </row>
    <row r="27" spans="1:22" x14ac:dyDescent="0.35">
      <c r="A27" s="145"/>
      <c r="B27" s="38">
        <f>'R3'!B33</f>
        <v>5.0527518861868109E-3</v>
      </c>
      <c r="C27" s="38">
        <f>'R3'!C33</f>
        <v>2.7284483067467279E-3</v>
      </c>
      <c r="D27" s="38">
        <f>'R3'!D33</f>
        <v>0.70342929685982691</v>
      </c>
      <c r="E27" s="38">
        <f>'R3'!E33</f>
        <v>2.7261221175775803</v>
      </c>
      <c r="F27" s="38">
        <f>'R3'!F33</f>
        <v>2.970104226599612</v>
      </c>
      <c r="G27" s="38">
        <f>'R3'!G33</f>
        <v>2.970104226599612</v>
      </c>
      <c r="H27" s="38">
        <f>'R3'!H33</f>
        <v>3.9737011775256312</v>
      </c>
      <c r="I27" s="38">
        <f>'R3'!I33</f>
        <v>0.12574620641349399</v>
      </c>
      <c r="J27" s="38">
        <f>'R3'!J33</f>
        <v>8.6676787674176636E-2</v>
      </c>
      <c r="K27" s="38">
        <f>'R3'!K33</f>
        <v>0.4818699921094356</v>
      </c>
      <c r="L27" s="38">
        <f>'R3'!L33</f>
        <v>3.6127226268627899</v>
      </c>
      <c r="M27" s="38">
        <f>'R3'!M33</f>
        <v>1.0863636540767518</v>
      </c>
      <c r="O27" s="38">
        <f>'R3'!O33</f>
        <v>0.70986795718102325</v>
      </c>
      <c r="P27" s="38">
        <f>'R3'!P33</f>
        <v>4.9904520022511427</v>
      </c>
      <c r="Q27" s="38" t="str">
        <f>'R3'!Q33</f>
        <v/>
      </c>
      <c r="R27" s="38">
        <f>'R3'!R33</f>
        <v>5.1317580949308939E-2</v>
      </c>
      <c r="S27" s="38">
        <f>'R3'!S33</f>
        <v>0.28781892707180112</v>
      </c>
      <c r="T27" s="38">
        <f>'R3'!T33</f>
        <v>4.3331058893126162</v>
      </c>
      <c r="U27" s="38">
        <f>'R3'!U33</f>
        <v>3.4981101991421575</v>
      </c>
      <c r="V27" s="38">
        <f>'R3'!V33</f>
        <v>4.1072128708844966</v>
      </c>
    </row>
    <row r="28" spans="1:22" x14ac:dyDescent="0.35">
      <c r="A28" s="145"/>
      <c r="B28" s="38">
        <f>'R3'!B34</f>
        <v>2.5267530610349049E-2</v>
      </c>
      <c r="C28" s="38">
        <f>'R3'!C34</f>
        <v>1.7526223210327099</v>
      </c>
      <c r="D28" s="38">
        <f>'R3'!D34</f>
        <v>0.87237813465146952</v>
      </c>
      <c r="E28" s="38">
        <f>'R3'!E34</f>
        <v>1.8446937808600326</v>
      </c>
      <c r="F28" s="38">
        <f>'R3'!F34</f>
        <v>4.3292580292495195</v>
      </c>
      <c r="G28" s="38">
        <f>'R3'!G34</f>
        <v>4.3292580292495195</v>
      </c>
      <c r="H28" s="38">
        <f>'R3'!H34</f>
        <v>5.8308096810198178</v>
      </c>
      <c r="I28" s="38">
        <f>'R3'!I34</f>
        <v>6.1946021600561452E-2</v>
      </c>
      <c r="J28" s="38">
        <f>'R3'!J34</f>
        <v>1.0519704978120246E-2</v>
      </c>
      <c r="K28" s="38">
        <f>'R3'!K34</f>
        <v>0.48936206854721975</v>
      </c>
      <c r="L28" s="38">
        <f>'R3'!L34</f>
        <v>5.1724384358103155</v>
      </c>
      <c r="M28" s="38">
        <f>'R3'!M34</f>
        <v>4.9145463315160862</v>
      </c>
      <c r="O28" s="38">
        <f>'R3'!O34</f>
        <v>1.6443486173787765</v>
      </c>
      <c r="P28" s="38">
        <f>'R3'!P34</f>
        <v>2.8744526604476568</v>
      </c>
      <c r="Q28" s="38" t="str">
        <f>'R3'!Q34</f>
        <v/>
      </c>
      <c r="R28" s="38">
        <f>'R3'!R34</f>
        <v>3.6076359343618684E-2</v>
      </c>
      <c r="S28" s="38">
        <f>'R3'!S34</f>
        <v>0.65902743042771084</v>
      </c>
      <c r="T28" s="38">
        <f>'R3'!T34</f>
        <v>0.62327099280446396</v>
      </c>
      <c r="U28" s="38">
        <f>'R3'!U34</f>
        <v>1.2899130630009463</v>
      </c>
      <c r="V28" s="38">
        <f>'R3'!V34</f>
        <v>4.2607130722026243</v>
      </c>
    </row>
    <row r="29" spans="1:22" x14ac:dyDescent="0.35">
      <c r="A29" s="145"/>
      <c r="B29" s="38">
        <f>'R3'!B35</f>
        <v>0.11256844847770686</v>
      </c>
      <c r="C29" s="38">
        <f>'R3'!C35</f>
        <v>0.63249278353392446</v>
      </c>
      <c r="D29" s="38">
        <f>'R3'!D35</f>
        <v>2.9715467027258464</v>
      </c>
      <c r="E29" s="38">
        <f>'R3'!E35</f>
        <v>1.9683985221502109</v>
      </c>
      <c r="F29" s="38">
        <f>'R3'!F35</f>
        <v>3.2446548874296659</v>
      </c>
      <c r="G29" s="38">
        <f>'R3'!G35</f>
        <v>3.2446548874296659</v>
      </c>
      <c r="H29" s="38">
        <f>'R3'!H35</f>
        <v>3.4848915867627079</v>
      </c>
      <c r="I29" s="38">
        <f>'R3'!I35</f>
        <v>9.5024921839163973E-2</v>
      </c>
      <c r="J29" s="38">
        <f>'R3'!J35</f>
        <v>6.174552056166438E-2</v>
      </c>
      <c r="K29" s="38">
        <f>'R3'!K35</f>
        <v>2.4892298258557342E-2</v>
      </c>
      <c r="L29" s="38">
        <f>'R3'!L35</f>
        <v>4.0216554949666694</v>
      </c>
      <c r="M29" s="38">
        <f>'R3'!M35</f>
        <v>0.30978604716412966</v>
      </c>
      <c r="O29" s="38">
        <f>'R3'!O35</f>
        <v>2.4586832725942986E-2</v>
      </c>
      <c r="P29" s="38">
        <f>'R3'!P35</f>
        <v>4.294651801347845</v>
      </c>
      <c r="Q29" s="38" t="str">
        <f>'R3'!Q35</f>
        <v/>
      </c>
      <c r="R29" s="38">
        <f>'R3'!R35</f>
        <v>1.416711428471223</v>
      </c>
      <c r="S29" s="38">
        <f>'R3'!S35</f>
        <v>1.0610395557751779</v>
      </c>
      <c r="T29" s="38" t="str">
        <f>'R3'!T35</f>
        <v/>
      </c>
      <c r="U29" s="38">
        <f>'R3'!U35</f>
        <v>3.0729128627513194</v>
      </c>
      <c r="V29" s="38">
        <f>'R3'!V35</f>
        <v>4.0862312856792853</v>
      </c>
    </row>
    <row r="30" spans="1:22" x14ac:dyDescent="0.35">
      <c r="A30" s="145"/>
      <c r="B30" s="38" t="str">
        <f>'R3'!B36</f>
        <v/>
      </c>
      <c r="C30" s="38" t="str">
        <f>'R3'!C36</f>
        <v/>
      </c>
      <c r="D30" s="38" t="str">
        <f>'R3'!D36</f>
        <v/>
      </c>
      <c r="E30" s="38" t="str">
        <f>'R3'!E36</f>
        <v/>
      </c>
      <c r="F30" s="38" t="str">
        <f>'R3'!F36</f>
        <v/>
      </c>
      <c r="G30" s="38" t="str">
        <f>'R3'!G36</f>
        <v/>
      </c>
      <c r="H30" s="38" t="str">
        <f>'R3'!H36</f>
        <v/>
      </c>
      <c r="I30" s="38" t="str">
        <f>'R3'!I36</f>
        <v/>
      </c>
      <c r="J30" s="38" t="str">
        <f>'R3'!J36</f>
        <v/>
      </c>
      <c r="K30" s="38" t="str">
        <f>'R3'!K36</f>
        <v/>
      </c>
      <c r="L30" s="38" t="str">
        <f>'R3'!L36</f>
        <v/>
      </c>
      <c r="M30" s="38" t="str">
        <f>'R3'!M36</f>
        <v/>
      </c>
      <c r="O30" s="38">
        <f>'R3'!O36</f>
        <v>1.0128947937736823</v>
      </c>
      <c r="P30" s="38">
        <f>'R3'!P36</f>
        <v>3.9025308510759995</v>
      </c>
      <c r="Q30" s="38" t="str">
        <f>'R3'!Q36</f>
        <v/>
      </c>
      <c r="R30" s="38" t="str">
        <f>'R3'!R36</f>
        <v/>
      </c>
      <c r="S30" s="38" t="str">
        <f>'R3'!S36</f>
        <v/>
      </c>
      <c r="T30" s="38" t="str">
        <f>'R3'!T36</f>
        <v/>
      </c>
      <c r="U30" s="38" t="str">
        <f>'R3'!U36</f>
        <v/>
      </c>
      <c r="V30" s="38" t="str">
        <f>'R3'!V36</f>
        <v/>
      </c>
    </row>
    <row r="31" spans="1:22" s="1" customFormat="1" x14ac:dyDescent="0.35">
      <c r="A31" s="145"/>
      <c r="B31" s="38" t="str">
        <f>'R3'!B37</f>
        <v/>
      </c>
      <c r="C31" s="38" t="str">
        <f>'R3'!C37</f>
        <v/>
      </c>
      <c r="D31" s="38" t="str">
        <f>'R3'!D37</f>
        <v/>
      </c>
      <c r="E31" s="38" t="str">
        <f>'R3'!E37</f>
        <v/>
      </c>
      <c r="F31" s="38" t="str">
        <f>'R3'!F37</f>
        <v/>
      </c>
      <c r="G31" s="38" t="str">
        <f>'R3'!G37</f>
        <v/>
      </c>
      <c r="H31" s="38" t="str">
        <f>'R3'!H37</f>
        <v/>
      </c>
      <c r="I31" s="38" t="str">
        <f>'R3'!I37</f>
        <v/>
      </c>
      <c r="J31" s="38" t="str">
        <f>'R3'!J37</f>
        <v/>
      </c>
      <c r="K31" s="38" t="str">
        <f>'R3'!K37</f>
        <v/>
      </c>
      <c r="L31" s="38" t="str">
        <f>'R3'!L37</f>
        <v/>
      </c>
      <c r="M31" s="38" t="str">
        <f>'R3'!M37</f>
        <v/>
      </c>
      <c r="N31"/>
      <c r="O31" s="38">
        <f>'R3'!O37</f>
        <v>2.003140512510825</v>
      </c>
      <c r="P31" s="38" t="str">
        <f>'R3'!P37</f>
        <v/>
      </c>
      <c r="Q31" s="38" t="str">
        <f>'R3'!Q37</f>
        <v/>
      </c>
      <c r="R31" s="38" t="str">
        <f>'R3'!R37</f>
        <v/>
      </c>
      <c r="S31" s="38" t="str">
        <f>'R3'!S37</f>
        <v/>
      </c>
      <c r="T31" s="38" t="str">
        <f>'R3'!T37</f>
        <v/>
      </c>
      <c r="U31" s="38" t="str">
        <f>'R3'!U37</f>
        <v/>
      </c>
      <c r="V31" s="38" t="str">
        <f>'R3'!V37</f>
        <v/>
      </c>
    </row>
    <row r="32" spans="1:22" s="1" customFormat="1" x14ac:dyDescent="0.35">
      <c r="A32" s="145"/>
      <c r="B32" s="38" t="str">
        <f>'R3'!B38</f>
        <v/>
      </c>
      <c r="C32" s="38" t="str">
        <f>'R3'!C38</f>
        <v/>
      </c>
      <c r="D32" s="38" t="str">
        <f>'R3'!D38</f>
        <v/>
      </c>
      <c r="E32" s="38" t="str">
        <f>'R3'!E38</f>
        <v/>
      </c>
      <c r="F32" s="38" t="str">
        <f>'R3'!F38</f>
        <v/>
      </c>
      <c r="G32" s="38" t="str">
        <f>'R3'!G38</f>
        <v/>
      </c>
      <c r="H32" s="38" t="str">
        <f>'R3'!H38</f>
        <v/>
      </c>
      <c r="I32" s="38" t="str">
        <f>'R3'!I38</f>
        <v/>
      </c>
      <c r="J32" s="38" t="str">
        <f>'R3'!J38</f>
        <v/>
      </c>
      <c r="K32" s="38" t="str">
        <f>'R3'!K38</f>
        <v/>
      </c>
      <c r="L32" s="38" t="str">
        <f>'R3'!L38</f>
        <v/>
      </c>
      <c r="M32" s="38" t="str">
        <f>'R3'!M38</f>
        <v/>
      </c>
      <c r="N32"/>
      <c r="O32" s="38">
        <f>'R3'!O38</f>
        <v>3.618384424224498</v>
      </c>
      <c r="P32" s="38" t="str">
        <f>'R3'!P38</f>
        <v/>
      </c>
      <c r="Q32" s="38" t="str">
        <f>'R3'!Q38</f>
        <v/>
      </c>
      <c r="R32" s="38" t="str">
        <f>'R3'!R38</f>
        <v/>
      </c>
      <c r="S32" s="38" t="str">
        <f>'R3'!S38</f>
        <v/>
      </c>
      <c r="T32" s="38" t="str">
        <f>'R3'!T38</f>
        <v/>
      </c>
      <c r="U32" s="38" t="str">
        <f>'R3'!U38</f>
        <v/>
      </c>
      <c r="V32" s="38" t="str">
        <f>'R3'!V38</f>
        <v/>
      </c>
    </row>
    <row r="33" spans="1:22" s="1" customFormat="1" x14ac:dyDescent="0.35">
      <c r="A33" s="145"/>
      <c r="B33" s="38" t="str">
        <f>'R3'!B39</f>
        <v/>
      </c>
      <c r="C33" s="38" t="str">
        <f>'R3'!C39</f>
        <v/>
      </c>
      <c r="D33" s="38" t="str">
        <f>'R3'!D39</f>
        <v/>
      </c>
      <c r="E33" s="38" t="str">
        <f>'R3'!E39</f>
        <v/>
      </c>
      <c r="F33" s="38" t="str">
        <f>'R3'!F39</f>
        <v/>
      </c>
      <c r="G33" s="38" t="str">
        <f>'R3'!G39</f>
        <v/>
      </c>
      <c r="H33" s="38" t="str">
        <f>'R3'!H39</f>
        <v/>
      </c>
      <c r="I33" s="38" t="str">
        <f>'R3'!I39</f>
        <v/>
      </c>
      <c r="J33" s="38" t="str">
        <f>'R3'!J39</f>
        <v/>
      </c>
      <c r="K33" s="38" t="str">
        <f>'R3'!K39</f>
        <v/>
      </c>
      <c r="L33" s="38" t="str">
        <f>'R3'!L39</f>
        <v/>
      </c>
      <c r="M33" s="38" t="str">
        <f>'R3'!M39</f>
        <v/>
      </c>
      <c r="N33"/>
      <c r="O33" s="38">
        <f>'R3'!O39</f>
        <v>0.29793008761329726</v>
      </c>
      <c r="P33" s="38" t="str">
        <f>'R3'!P39</f>
        <v/>
      </c>
      <c r="Q33" s="38" t="str">
        <f>'R3'!Q39</f>
        <v/>
      </c>
      <c r="R33" s="38" t="str">
        <f>'R3'!R39</f>
        <v/>
      </c>
      <c r="S33" s="38" t="str">
        <f>'R3'!S39</f>
        <v/>
      </c>
      <c r="T33" s="38" t="str">
        <f>'R3'!T39</f>
        <v/>
      </c>
      <c r="U33" s="38" t="str">
        <f>'R3'!U39</f>
        <v/>
      </c>
      <c r="V33" s="38" t="str">
        <f>'R3'!V39</f>
        <v/>
      </c>
    </row>
    <row r="34" spans="1:22" s="1" customFormat="1" x14ac:dyDescent="0.35">
      <c r="A34" s="145"/>
      <c r="B34" s="38" t="str">
        <f>'R3'!B40</f>
        <v/>
      </c>
      <c r="C34" s="38" t="str">
        <f>'R3'!C40</f>
        <v/>
      </c>
      <c r="D34" s="38" t="str">
        <f>'R3'!D40</f>
        <v/>
      </c>
      <c r="E34" s="38" t="str">
        <f>'R3'!E40</f>
        <v/>
      </c>
      <c r="F34" s="38" t="str">
        <f>'R3'!F40</f>
        <v/>
      </c>
      <c r="G34" s="38" t="str">
        <f>'R3'!G40</f>
        <v/>
      </c>
      <c r="H34" s="38" t="str">
        <f>'R3'!H40</f>
        <v/>
      </c>
      <c r="I34" s="38" t="str">
        <f>'R3'!I40</f>
        <v/>
      </c>
      <c r="J34" s="38" t="str">
        <f>'R3'!J40</f>
        <v/>
      </c>
      <c r="K34" s="38" t="str">
        <f>'R3'!K40</f>
        <v/>
      </c>
      <c r="L34" s="38" t="str">
        <f>'R3'!L40</f>
        <v/>
      </c>
      <c r="M34" s="38" t="str">
        <f>'R3'!M40</f>
        <v/>
      </c>
      <c r="N34"/>
      <c r="O34" s="38">
        <f>'R3'!O40</f>
        <v>2.411138128119787</v>
      </c>
      <c r="P34" s="38" t="str">
        <f>'R3'!P40</f>
        <v/>
      </c>
      <c r="Q34" s="38" t="str">
        <f>'R3'!Q40</f>
        <v/>
      </c>
      <c r="R34" s="38" t="str">
        <f>'R3'!R40</f>
        <v/>
      </c>
      <c r="S34" s="38" t="str">
        <f>'R3'!S40</f>
        <v/>
      </c>
      <c r="T34" s="38" t="str">
        <f>'R3'!T40</f>
        <v/>
      </c>
      <c r="U34" s="38" t="str">
        <f>'R3'!U40</f>
        <v/>
      </c>
      <c r="V34" s="38" t="str">
        <f>'R3'!V40</f>
        <v/>
      </c>
    </row>
    <row r="35" spans="1:22" s="1" customFormat="1" x14ac:dyDescent="0.35">
      <c r="A35" s="145"/>
      <c r="B35" s="38" t="str">
        <f>'R3'!B41</f>
        <v/>
      </c>
      <c r="C35" s="38" t="str">
        <f>'R3'!C41</f>
        <v/>
      </c>
      <c r="D35" s="38" t="str">
        <f>'R3'!D41</f>
        <v/>
      </c>
      <c r="E35" s="38" t="str">
        <f>'R3'!E41</f>
        <v/>
      </c>
      <c r="F35" s="38" t="str">
        <f>'R3'!F41</f>
        <v/>
      </c>
      <c r="G35" s="38" t="str">
        <f>'R3'!G41</f>
        <v/>
      </c>
      <c r="H35" s="38" t="str">
        <f>'R3'!H41</f>
        <v/>
      </c>
      <c r="I35" s="38" t="str">
        <f>'R3'!I41</f>
        <v/>
      </c>
      <c r="J35" s="38" t="str">
        <f>'R3'!J41</f>
        <v/>
      </c>
      <c r="K35" s="38" t="str">
        <f>'R3'!K41</f>
        <v/>
      </c>
      <c r="L35" s="38" t="str">
        <f>'R3'!L41</f>
        <v/>
      </c>
      <c r="M35" s="38" t="str">
        <f>'R3'!M41</f>
        <v/>
      </c>
      <c r="N35"/>
      <c r="O35" s="38">
        <f>'R3'!O41</f>
        <v>0.21349149492191838</v>
      </c>
      <c r="P35" s="38" t="str">
        <f>'R3'!P41</f>
        <v/>
      </c>
      <c r="Q35" s="38" t="str">
        <f>'R3'!Q41</f>
        <v/>
      </c>
      <c r="R35" s="38" t="str">
        <f>'R3'!R41</f>
        <v/>
      </c>
      <c r="S35" s="38" t="str">
        <f>'R3'!S41</f>
        <v/>
      </c>
      <c r="T35" s="38" t="str">
        <f>'R3'!T41</f>
        <v/>
      </c>
      <c r="U35" s="38" t="str">
        <f>'R3'!U41</f>
        <v/>
      </c>
      <c r="V35" s="38" t="str">
        <f>'R3'!V41</f>
        <v/>
      </c>
    </row>
    <row r="36" spans="1:22" x14ac:dyDescent="0.35">
      <c r="A36" s="145"/>
      <c r="B36" s="38" t="str">
        <f>'R3'!B42</f>
        <v/>
      </c>
      <c r="C36" s="38" t="str">
        <f>'R3'!C42</f>
        <v/>
      </c>
      <c r="D36" s="38" t="str">
        <f>'R3'!D42</f>
        <v/>
      </c>
      <c r="E36" s="38" t="str">
        <f>'R3'!E42</f>
        <v/>
      </c>
      <c r="F36" s="38" t="str">
        <f>'R3'!F42</f>
        <v/>
      </c>
      <c r="G36" s="38" t="str">
        <f>'R3'!G42</f>
        <v/>
      </c>
      <c r="H36" s="38" t="str">
        <f>'R3'!H42</f>
        <v/>
      </c>
      <c r="I36" s="38" t="str">
        <f>'R3'!I42</f>
        <v/>
      </c>
      <c r="J36" s="38" t="str">
        <f>'R3'!J42</f>
        <v/>
      </c>
      <c r="K36" s="38" t="str">
        <f>'R3'!K42</f>
        <v/>
      </c>
      <c r="L36" s="38" t="str">
        <f>'R3'!L42</f>
        <v/>
      </c>
      <c r="M36" s="38" t="str">
        <f>'R3'!M42</f>
        <v/>
      </c>
      <c r="O36" s="38">
        <f>'R3'!O42</f>
        <v>1.0392565949442816</v>
      </c>
      <c r="P36" s="38" t="str">
        <f>'R3'!P42</f>
        <v/>
      </c>
      <c r="Q36" s="38" t="str">
        <f>'R3'!Q42</f>
        <v/>
      </c>
      <c r="R36" s="38" t="str">
        <f>'R3'!R42</f>
        <v/>
      </c>
      <c r="S36" s="38" t="str">
        <f>'R3'!S42</f>
        <v/>
      </c>
      <c r="T36" s="38" t="str">
        <f>'R3'!T42</f>
        <v/>
      </c>
      <c r="U36" s="38" t="str">
        <f>'R3'!U42</f>
        <v/>
      </c>
      <c r="V36" s="38" t="str">
        <f>'R3'!V42</f>
        <v/>
      </c>
    </row>
    <row r="37" spans="1:22" x14ac:dyDescent="0.35">
      <c r="A37" s="146"/>
      <c r="B37" s="38" t="str">
        <f>'R3'!B43</f>
        <v/>
      </c>
      <c r="C37" s="38" t="str">
        <f>'R3'!C43</f>
        <v/>
      </c>
      <c r="D37" s="38" t="str">
        <f>'R3'!D43</f>
        <v/>
      </c>
      <c r="E37" s="38" t="str">
        <f>'R3'!E43</f>
        <v/>
      </c>
      <c r="F37" s="38" t="str">
        <f>'R3'!F43</f>
        <v/>
      </c>
      <c r="G37" s="38" t="str">
        <f>'R3'!G43</f>
        <v/>
      </c>
      <c r="H37" s="38" t="str">
        <f>'R3'!H43</f>
        <v/>
      </c>
      <c r="I37" s="38" t="str">
        <f>'R3'!I43</f>
        <v/>
      </c>
      <c r="J37" s="38" t="str">
        <f>'R3'!J43</f>
        <v/>
      </c>
      <c r="K37" s="38" t="str">
        <f>'R3'!K43</f>
        <v/>
      </c>
      <c r="L37" s="38" t="str">
        <f>'R3'!L43</f>
        <v/>
      </c>
      <c r="M37" s="38" t="str">
        <f>'R3'!M43</f>
        <v/>
      </c>
      <c r="O37" s="38" t="str">
        <f>'R3'!O43</f>
        <v/>
      </c>
      <c r="P37" s="38" t="str">
        <f>'R3'!P43</f>
        <v/>
      </c>
      <c r="Q37" s="38" t="str">
        <f>'R3'!Q43</f>
        <v/>
      </c>
      <c r="R37" s="38" t="str">
        <f>'R3'!R43</f>
        <v/>
      </c>
      <c r="S37" s="38" t="str">
        <f>'R3'!S43</f>
        <v/>
      </c>
      <c r="T37" s="38" t="str">
        <f>'R3'!T43</f>
        <v/>
      </c>
      <c r="U37" s="38" t="str">
        <f>'R3'!U43</f>
        <v/>
      </c>
      <c r="V37" s="38" t="str">
        <f>'R3'!V43</f>
        <v/>
      </c>
    </row>
    <row r="38" spans="1:22" s="1" customFormat="1" x14ac:dyDescent="0.35">
      <c r="A38" s="85" t="s">
        <v>16</v>
      </c>
      <c r="B38" s="86">
        <f>'R2'!B28</f>
        <v>1.2622983343022685</v>
      </c>
      <c r="C38" s="86">
        <f>'R2'!C28</f>
        <v>0.25689208638684624</v>
      </c>
      <c r="D38" s="86">
        <f>'R2'!D28</f>
        <v>1.9613434816426549</v>
      </c>
      <c r="E38" s="86">
        <f>'R2'!E28</f>
        <v>4.5855214968677096</v>
      </c>
      <c r="F38" s="86">
        <f>'R2'!F28</f>
        <v>3.7357740856299757</v>
      </c>
      <c r="G38" s="86">
        <f>'R2'!G28</f>
        <v>4.0664500252901785</v>
      </c>
      <c r="H38" s="86">
        <f>'R2'!H28</f>
        <v>9.5074362623814483</v>
      </c>
      <c r="I38" s="86">
        <f>'R2'!I28</f>
        <v>1.6194349463854691E-2</v>
      </c>
      <c r="J38" s="86">
        <f>'R2'!J28</f>
        <v>4.6422535308565009E-3</v>
      </c>
      <c r="K38" s="86">
        <f>'R2'!K28</f>
        <v>5.9536728830350286E-2</v>
      </c>
      <c r="L38" s="86">
        <f>'R2'!L28</f>
        <v>1.3998432289567472E-2</v>
      </c>
      <c r="M38" s="86">
        <f>'R2'!M28</f>
        <v>5.1448189242639566E-2</v>
      </c>
      <c r="N38"/>
      <c r="O38" s="86">
        <f>'R2'!O28</f>
        <v>1.142501251556215</v>
      </c>
      <c r="P38" s="86">
        <f>'R2'!P28</f>
        <v>5.9792113220556908</v>
      </c>
      <c r="Q38" s="86">
        <f>'R2'!Q28</f>
        <v>1.3227313911023043E-2</v>
      </c>
      <c r="R38" s="86">
        <f>'R2'!R28</f>
        <v>1.3535087721191918</v>
      </c>
      <c r="S38" s="86">
        <f>'R2'!S28</f>
        <v>0.82852049972443098</v>
      </c>
      <c r="T38" s="86">
        <f>'R2'!T28</f>
        <v>0.41648595828405005</v>
      </c>
      <c r="U38" s="86">
        <f>'R2'!U28</f>
        <v>2.601941655352829</v>
      </c>
      <c r="V38" s="86">
        <f>'R2'!V28</f>
        <v>0.64183040878988595</v>
      </c>
    </row>
    <row r="39" spans="1:22" s="1" customFormat="1" x14ac:dyDescent="0.35">
      <c r="A39" s="144"/>
      <c r="B39" s="86">
        <f>'R2'!B29</f>
        <v>3.6605257118974803</v>
      </c>
      <c r="C39" s="86">
        <f>'R2'!C29</f>
        <v>1.7585410751143131</v>
      </c>
      <c r="D39" s="86">
        <f>'R2'!D29</f>
        <v>0.86952275500822174</v>
      </c>
      <c r="E39" s="86">
        <f>'R2'!E29</f>
        <v>3.7975481803268534</v>
      </c>
      <c r="F39" s="86">
        <f>'R2'!F29</f>
        <v>7.2835887141255631</v>
      </c>
      <c r="G39" s="86">
        <f>'R2'!G29</f>
        <v>6.5570423594840763</v>
      </c>
      <c r="H39" s="86">
        <f>'R2'!H29</f>
        <v>6.7429544239247035</v>
      </c>
      <c r="I39" s="86">
        <f>'R2'!I29</f>
        <v>3.1738472568197673E-2</v>
      </c>
      <c r="J39" s="86">
        <f>'R2'!J29</f>
        <v>0.14837941010307557</v>
      </c>
      <c r="K39" s="86">
        <f>'R2'!K29</f>
        <v>7.0822862321476485E-2</v>
      </c>
      <c r="L39" s="86">
        <f>'R2'!L29</f>
        <v>2.3472049009624515E-2</v>
      </c>
      <c r="M39" s="86">
        <f>'R2'!M29</f>
        <v>7.2880617188297733E-2</v>
      </c>
      <c r="N39"/>
      <c r="O39" s="86">
        <f>'R2'!O29</f>
        <v>1.3433331181743233</v>
      </c>
      <c r="P39" s="86">
        <f>'R2'!P29</f>
        <v>7.4571741101969611</v>
      </c>
      <c r="Q39" s="86">
        <f>'R2'!Q29</f>
        <v>0.1334855133582443</v>
      </c>
      <c r="R39" s="86">
        <f>'R2'!R29</f>
        <v>1.040002953219322</v>
      </c>
      <c r="S39" s="86">
        <f>'R2'!S29</f>
        <v>0.12654285740807944</v>
      </c>
      <c r="T39" s="86">
        <f>'R2'!T29</f>
        <v>0.63824250636787916</v>
      </c>
      <c r="U39" s="86">
        <f>'R2'!U29</f>
        <v>0.40920480468059356</v>
      </c>
      <c r="V39" s="86">
        <f>'R2'!V29</f>
        <v>1.3849260173225311</v>
      </c>
    </row>
    <row r="40" spans="1:22" s="1" customFormat="1" x14ac:dyDescent="0.35">
      <c r="A40" s="145"/>
      <c r="B40" s="86">
        <f>'R2'!B30</f>
        <v>3.3444707984248634</v>
      </c>
      <c r="C40" s="86">
        <f>'R2'!C30</f>
        <v>0.78984627932144169</v>
      </c>
      <c r="D40" s="86">
        <f>'R2'!D30</f>
        <v>1.1621539762788271</v>
      </c>
      <c r="E40" s="86">
        <f>'R2'!E30</f>
        <v>2.9469122127492291</v>
      </c>
      <c r="F40" s="86">
        <f>'R2'!F30</f>
        <v>5.6538649934059881</v>
      </c>
      <c r="G40" s="86">
        <f>'R2'!G30</f>
        <v>3.68753298894939</v>
      </c>
      <c r="H40" s="86">
        <f>'R2'!H30</f>
        <v>8.8381150084635216</v>
      </c>
      <c r="I40" s="86">
        <f>'R2'!I30</f>
        <v>8.8831455585243663E-2</v>
      </c>
      <c r="J40" s="86">
        <f>'R2'!J30</f>
        <v>6.7824740249464999E-2</v>
      </c>
      <c r="K40" s="86">
        <f>'R2'!K30</f>
        <v>4.6586603048680841E-2</v>
      </c>
      <c r="L40" s="86">
        <f>'R2'!L30</f>
        <v>1.7419676428193486E-2</v>
      </c>
      <c r="M40" s="86">
        <f>'R2'!M30</f>
        <v>5.0321302922370269E-2</v>
      </c>
      <c r="N40"/>
      <c r="O40" s="86">
        <f>'R2'!O30</f>
        <v>0.23283371108491305</v>
      </c>
      <c r="P40" s="86">
        <f>'R2'!P30</f>
        <v>6.6805275123250496</v>
      </c>
      <c r="Q40" s="86">
        <f>'R2'!Q30</f>
        <v>8.8932486772578145E-2</v>
      </c>
      <c r="R40" s="86">
        <f>'R2'!R30</f>
        <v>3.1485264234333634</v>
      </c>
      <c r="S40" s="86">
        <f>'R2'!S30</f>
        <v>1.0723294791086717</v>
      </c>
      <c r="T40" s="86">
        <f>'R2'!T30</f>
        <v>2.8115252406344844</v>
      </c>
      <c r="U40" s="86">
        <f>'R2'!U30</f>
        <v>0.85588958931901737</v>
      </c>
      <c r="V40" s="86">
        <f>'R2'!V30</f>
        <v>0.24563185832836992</v>
      </c>
    </row>
    <row r="41" spans="1:22" s="1" customFormat="1" x14ac:dyDescent="0.35">
      <c r="A41" s="145"/>
      <c r="B41" s="86">
        <f>'R2'!B31</f>
        <v>8.0600436117958668E-3</v>
      </c>
      <c r="C41" s="86">
        <f>'R2'!C31</f>
        <v>3.5482714276246465</v>
      </c>
      <c r="D41" s="86">
        <f>'R2'!D31</f>
        <v>1.4814263444865576</v>
      </c>
      <c r="E41" s="86">
        <f>'R2'!E31</f>
        <v>4.9384657464337396</v>
      </c>
      <c r="F41" s="86">
        <f>'R2'!F31</f>
        <v>3.2761098157195461</v>
      </c>
      <c r="G41" s="86">
        <f>'R2'!G31</f>
        <v>8.1427294352421384</v>
      </c>
      <c r="H41" s="86">
        <f>'R2'!H31</f>
        <v>3.852060982251972</v>
      </c>
      <c r="I41" s="86">
        <f>'R2'!I31</f>
        <v>2.401951715295841E-2</v>
      </c>
      <c r="J41" s="86">
        <f>'R2'!J31</f>
        <v>4.3014243886263924E-2</v>
      </c>
      <c r="K41" s="86">
        <f>'R2'!K31</f>
        <v>0.10171250021318012</v>
      </c>
      <c r="L41" s="86">
        <f>'R2'!L31</f>
        <v>1.9758073482054984E-2</v>
      </c>
      <c r="M41" s="86">
        <f>'R2'!M31</f>
        <v>9.8903487799512677E-2</v>
      </c>
      <c r="N41"/>
      <c r="O41" s="86">
        <f>'R2'!O31</f>
        <v>2.1277737972161592</v>
      </c>
      <c r="P41" s="86">
        <f>'R2'!P31</f>
        <v>6.4880570558518968</v>
      </c>
      <c r="Q41" s="86">
        <f>'R2'!Q31</f>
        <v>0.11028547139144339</v>
      </c>
      <c r="R41" s="86">
        <f>'R2'!R31</f>
        <v>0.57419391468434333</v>
      </c>
      <c r="S41" s="86">
        <f>'R2'!S31</f>
        <v>1.2134665937572657</v>
      </c>
      <c r="T41" s="86">
        <f>'R2'!T31</f>
        <v>0.17574418212555371</v>
      </c>
      <c r="U41" s="86">
        <f>'R2'!U31</f>
        <v>0.32831250068811307</v>
      </c>
      <c r="V41" s="86">
        <f>'R2'!V31</f>
        <v>1.9187463152220539</v>
      </c>
    </row>
    <row r="42" spans="1:22" s="1" customFormat="1" x14ac:dyDescent="0.35">
      <c r="A42" s="145"/>
      <c r="B42" s="86">
        <f>'R2'!B32</f>
        <v>1.8620350055793826</v>
      </c>
      <c r="C42" s="86">
        <f>'R2'!C32</f>
        <v>1.7450624785065862</v>
      </c>
      <c r="D42" s="86">
        <f>'R2'!D32</f>
        <v>1.1029272491258535</v>
      </c>
      <c r="E42" s="86">
        <f>'R2'!E32</f>
        <v>4.9901004547914578</v>
      </c>
      <c r="F42" s="86">
        <f>'R2'!F32</f>
        <v>2.9382684333883895</v>
      </c>
      <c r="G42" s="86">
        <f>'R2'!G32</f>
        <v>1.7992816855283402</v>
      </c>
      <c r="H42" s="86">
        <f>'R2'!H32</f>
        <v>10.011509351969126</v>
      </c>
      <c r="I42" s="86">
        <f>'R2'!I32</f>
        <v>4.4834532287128047E-2</v>
      </c>
      <c r="J42" s="86">
        <f>'R2'!J32</f>
        <v>4.8380122502473429E-2</v>
      </c>
      <c r="K42" s="86">
        <f>'R2'!K32</f>
        <v>0.13276965990268624</v>
      </c>
      <c r="L42" s="86">
        <f>'R2'!L32</f>
        <v>0.21345903800607613</v>
      </c>
      <c r="M42" s="86">
        <f>'R2'!M32</f>
        <v>0.64932053288338476</v>
      </c>
      <c r="N42"/>
      <c r="O42" s="86">
        <f>'R2'!O32</f>
        <v>0.15182224210224313</v>
      </c>
      <c r="P42" s="86">
        <f>'R2'!P32</f>
        <v>5.4811362036408786</v>
      </c>
      <c r="Q42" s="86">
        <f>'R2'!Q32</f>
        <v>0.10858348446634701</v>
      </c>
      <c r="R42" s="86">
        <f>'R2'!R32</f>
        <v>0.14058619244757334</v>
      </c>
      <c r="S42" s="86">
        <f>'R2'!S32</f>
        <v>0.83282770965968245</v>
      </c>
      <c r="T42" s="86">
        <f>'R2'!T32</f>
        <v>0.70921216614103821</v>
      </c>
      <c r="U42" s="86">
        <f>'R2'!U32</f>
        <v>1.0660603644074036</v>
      </c>
      <c r="V42" s="86">
        <f>'R2'!V32</f>
        <v>0.93011728900510837</v>
      </c>
    </row>
    <row r="43" spans="1:22" s="1" customFormat="1" x14ac:dyDescent="0.35">
      <c r="A43" s="145"/>
      <c r="B43" s="86">
        <f>'R2'!B33</f>
        <v>0.3360564980215805</v>
      </c>
      <c r="C43" s="86">
        <f>'R2'!C33</f>
        <v>0.46106920787447436</v>
      </c>
      <c r="D43" s="86">
        <f>'R2'!D33</f>
        <v>0.47778943762112142</v>
      </c>
      <c r="E43" s="86">
        <f>'R2'!E33</f>
        <v>4.8024164587575795</v>
      </c>
      <c r="F43" s="86">
        <f>'R2'!F33</f>
        <v>4.2869061206549839</v>
      </c>
      <c r="G43" s="86">
        <f>'R2'!G33</f>
        <v>1.9138847290280951</v>
      </c>
      <c r="H43" s="86">
        <f>'R2'!H33</f>
        <v>4.8687723609757976</v>
      </c>
      <c r="I43" s="86">
        <f>'R2'!I33</f>
        <v>5.0194366302385912E-2</v>
      </c>
      <c r="J43" s="86">
        <f>'R2'!J33</f>
        <v>0.12508524506431348</v>
      </c>
      <c r="K43" s="86">
        <f>'R2'!K33</f>
        <v>0.13947916695900228</v>
      </c>
      <c r="L43" s="86">
        <f>'R2'!L33</f>
        <v>4.7941457176268985E-2</v>
      </c>
      <c r="M43" s="86">
        <f>'R2'!M33</f>
        <v>0.13094505392971381</v>
      </c>
      <c r="N43"/>
      <c r="O43" s="86">
        <f>'R2'!O33</f>
        <v>0.90117919370636146</v>
      </c>
      <c r="P43" s="86">
        <f>'R2'!P33</f>
        <v>3.6840443906858744</v>
      </c>
      <c r="Q43" s="86">
        <f>'R2'!Q33</f>
        <v>5.8922770076548392E-2</v>
      </c>
      <c r="R43" s="86">
        <f>'R2'!R33</f>
        <v>0.59732746604067632</v>
      </c>
      <c r="S43" s="86">
        <f>'R2'!S33</f>
        <v>0.5148091643922057</v>
      </c>
      <c r="T43" s="86">
        <f>'R2'!T33</f>
        <v>0.15810171897657135</v>
      </c>
      <c r="U43" s="86">
        <f>'R2'!U33</f>
        <v>0.93663077828770702</v>
      </c>
      <c r="V43" s="86">
        <f>'R2'!V33</f>
        <v>0.75644036040501417</v>
      </c>
    </row>
    <row r="44" spans="1:22" s="1" customFormat="1" x14ac:dyDescent="0.35">
      <c r="A44" s="145"/>
      <c r="B44" s="86">
        <f>'R2'!B34</f>
        <v>0.45147815319307127</v>
      </c>
      <c r="C44" s="86">
        <f>'R2'!C34</f>
        <v>0.6151400415307261</v>
      </c>
      <c r="D44" s="86">
        <f>'R2'!D34</f>
        <v>3.6985505694553793</v>
      </c>
      <c r="E44" s="86">
        <f>'R2'!E34</f>
        <v>5.6735108100132265</v>
      </c>
      <c r="F44" s="86" t="str">
        <f>'R2'!F34</f>
        <v/>
      </c>
      <c r="G44" s="86">
        <f>'R2'!G34</f>
        <v>6.6782072490740427</v>
      </c>
      <c r="H44" s="86">
        <f>'R2'!H34</f>
        <v>3.9080702546698318</v>
      </c>
      <c r="I44" s="86">
        <f>'R2'!I34</f>
        <v>0.11538970513788922</v>
      </c>
      <c r="J44" s="86">
        <f>'R2'!J34</f>
        <v>0.24807905819936088</v>
      </c>
      <c r="K44" s="86">
        <f>'R2'!K34</f>
        <v>7.3885747975112645E-2</v>
      </c>
      <c r="L44" s="86">
        <f>'R2'!L34</f>
        <v>6.9781463928951765E-2</v>
      </c>
      <c r="M44" s="86">
        <f>'R2'!M34</f>
        <v>4.6873289836672723E-2</v>
      </c>
      <c r="N44"/>
      <c r="O44" s="86">
        <f>'R2'!O34</f>
        <v>1.0583008238143461</v>
      </c>
      <c r="P44" s="86">
        <f>'R2'!P34</f>
        <v>6.3437879743959336</v>
      </c>
      <c r="Q44" s="86">
        <f>'R2'!Q34</f>
        <v>0.32090527397909391</v>
      </c>
      <c r="R44" s="86">
        <f>'R2'!R34</f>
        <v>1.0621581427359117</v>
      </c>
      <c r="S44" s="86">
        <f>'R2'!S34</f>
        <v>0.19069593433663634</v>
      </c>
      <c r="T44" s="86">
        <f>'R2'!T34</f>
        <v>1.2863126703686969</v>
      </c>
      <c r="U44" s="86">
        <f>'R2'!U34</f>
        <v>1.2253520062570256</v>
      </c>
      <c r="V44" s="86">
        <f>'R2'!V34</f>
        <v>1.2770799741722836</v>
      </c>
    </row>
    <row r="45" spans="1:22" s="1" customFormat="1" x14ac:dyDescent="0.35">
      <c r="A45" s="145"/>
      <c r="B45" s="86" t="str">
        <f>'R2'!B35</f>
        <v/>
      </c>
      <c r="C45" s="86">
        <f>'R2'!C35</f>
        <v>0.84914813222909991</v>
      </c>
      <c r="D45" s="86">
        <f>'R2'!D35</f>
        <v>0.20323416373917289</v>
      </c>
      <c r="E45" s="86">
        <f>'R2'!E35</f>
        <v>6.1666638962245637</v>
      </c>
      <c r="F45" s="86" t="str">
        <f>'R2'!F35</f>
        <v/>
      </c>
      <c r="G45" s="86">
        <f>'R2'!G35</f>
        <v>5.8776559814672531</v>
      </c>
      <c r="H45" s="86">
        <f>'R2'!H35</f>
        <v>7.7270327291394887</v>
      </c>
      <c r="I45" s="86">
        <f>'R2'!I35</f>
        <v>4.2201676815479705E-2</v>
      </c>
      <c r="J45" s="86">
        <f>'R2'!J35</f>
        <v>8.7559498842135097E-2</v>
      </c>
      <c r="K45" s="86">
        <f>'R2'!K35</f>
        <v>0.32169884373260155</v>
      </c>
      <c r="L45" s="86">
        <f>'R2'!L35</f>
        <v>8.4468980727005746E-2</v>
      </c>
      <c r="M45" s="86">
        <f>'R2'!M35</f>
        <v>5.6176794215662296E-2</v>
      </c>
      <c r="N45"/>
      <c r="O45" s="86">
        <f>'R2'!O35</f>
        <v>1.9679295061366733</v>
      </c>
      <c r="P45" s="86">
        <f>'R2'!P35</f>
        <v>1.2762915855053061</v>
      </c>
      <c r="Q45" s="86" t="str">
        <f>'R2'!Q35</f>
        <v/>
      </c>
      <c r="R45" s="86" t="str">
        <f>'R2'!R35</f>
        <v/>
      </c>
      <c r="S45" s="86">
        <f>'R2'!S35</f>
        <v>1.171794251282265</v>
      </c>
      <c r="T45" s="86">
        <f>'R2'!T35</f>
        <v>0.21871956786284283</v>
      </c>
      <c r="U45" s="86">
        <f>'R2'!U35</f>
        <v>0.49555365630355813</v>
      </c>
      <c r="V45" s="86">
        <f>'R2'!V35</f>
        <v>0.86462921878066146</v>
      </c>
    </row>
    <row r="46" spans="1:22" s="1" customFormat="1" x14ac:dyDescent="0.35">
      <c r="A46" s="145"/>
      <c r="B46" s="86" t="str">
        <f>'R2'!B36</f>
        <v/>
      </c>
      <c r="C46" s="86" t="str">
        <f>'R2'!C36</f>
        <v/>
      </c>
      <c r="D46" s="86" t="str">
        <f>'R2'!D36</f>
        <v/>
      </c>
      <c r="E46" s="86">
        <f>'R2'!E36</f>
        <v>2.5615965345439231</v>
      </c>
      <c r="F46" s="86" t="str">
        <f>'R2'!F36</f>
        <v/>
      </c>
      <c r="G46" s="86" t="str">
        <f>'R2'!G36</f>
        <v/>
      </c>
      <c r="H46" s="86" t="str">
        <f>'R2'!H36</f>
        <v/>
      </c>
      <c r="I46" s="86" t="str">
        <f>'R2'!I36</f>
        <v/>
      </c>
      <c r="J46" s="86" t="str">
        <f>'R2'!J36</f>
        <v/>
      </c>
      <c r="K46" s="86" t="str">
        <f>'R2'!K36</f>
        <v/>
      </c>
      <c r="L46" s="86" t="str">
        <f>'R2'!L36</f>
        <v/>
      </c>
      <c r="M46" s="86" t="str">
        <f>'R2'!M36</f>
        <v/>
      </c>
      <c r="N46"/>
      <c r="O46" s="86">
        <f>'R2'!O36</f>
        <v>0.74381837010357643</v>
      </c>
      <c r="P46" s="86" t="str">
        <f>'R2'!P36</f>
        <v/>
      </c>
      <c r="Q46" s="86" t="str">
        <f>'R2'!Q36</f>
        <v/>
      </c>
      <c r="R46" s="86" t="str">
        <f>'R2'!R36</f>
        <v/>
      </c>
      <c r="S46" s="86" t="str">
        <f>'R2'!S36</f>
        <v/>
      </c>
      <c r="T46" s="86" t="str">
        <f>'R2'!T36</f>
        <v/>
      </c>
      <c r="U46" s="86" t="str">
        <f>'R2'!U36</f>
        <v/>
      </c>
      <c r="V46" s="86" t="str">
        <f>'R2'!V36</f>
        <v/>
      </c>
    </row>
    <row r="47" spans="1:22" s="1" customFormat="1" x14ac:dyDescent="0.35">
      <c r="A47" s="145"/>
      <c r="B47" s="86" t="str">
        <f>'R2'!B37</f>
        <v/>
      </c>
      <c r="C47" s="86" t="str">
        <f>'R2'!C37</f>
        <v/>
      </c>
      <c r="D47" s="86" t="str">
        <f>'R2'!D37</f>
        <v/>
      </c>
      <c r="E47" s="86" t="str">
        <f>'R2'!E37</f>
        <v/>
      </c>
      <c r="F47" s="86" t="str">
        <f>'R2'!F37</f>
        <v/>
      </c>
      <c r="G47" s="86" t="str">
        <f>'R2'!G37</f>
        <v/>
      </c>
      <c r="H47" s="86" t="str">
        <f>'R2'!H37</f>
        <v/>
      </c>
      <c r="I47" s="86" t="str">
        <f>'R2'!I37</f>
        <v/>
      </c>
      <c r="J47" s="86" t="str">
        <f>'R2'!J37</f>
        <v/>
      </c>
      <c r="K47" s="86" t="str">
        <f>'R2'!K37</f>
        <v/>
      </c>
      <c r="L47" s="86" t="str">
        <f>'R2'!L37</f>
        <v/>
      </c>
      <c r="M47" s="86" t="str">
        <f>'R2'!M37</f>
        <v/>
      </c>
      <c r="N47"/>
      <c r="O47" s="86">
        <f>'R2'!O37</f>
        <v>0.85527735759405887</v>
      </c>
      <c r="P47" s="86" t="str">
        <f>'R2'!P37</f>
        <v/>
      </c>
      <c r="Q47" s="86" t="str">
        <f>'R2'!Q37</f>
        <v/>
      </c>
      <c r="R47" s="86" t="str">
        <f>'R2'!R37</f>
        <v/>
      </c>
      <c r="S47" s="86" t="str">
        <f>'R2'!S37</f>
        <v/>
      </c>
      <c r="T47" s="86" t="str">
        <f>'R2'!T37</f>
        <v/>
      </c>
      <c r="U47" s="86" t="str">
        <f>'R2'!U37</f>
        <v/>
      </c>
      <c r="V47" s="86" t="str">
        <f>'R2'!V37</f>
        <v/>
      </c>
    </row>
    <row r="48" spans="1:22" s="1" customFormat="1" x14ac:dyDescent="0.35">
      <c r="A48" s="145"/>
      <c r="B48" s="86" t="str">
        <f>'R2'!B38</f>
        <v/>
      </c>
      <c r="C48" s="86" t="str">
        <f>'R2'!C38</f>
        <v/>
      </c>
      <c r="D48" s="86" t="str">
        <f>'R2'!D38</f>
        <v/>
      </c>
      <c r="E48" s="86" t="str">
        <f>'R2'!E38</f>
        <v/>
      </c>
      <c r="F48" s="86" t="str">
        <f>'R2'!F38</f>
        <v/>
      </c>
      <c r="G48" s="86" t="str">
        <f>'R2'!G38</f>
        <v/>
      </c>
      <c r="H48" s="86" t="str">
        <f>'R2'!H38</f>
        <v/>
      </c>
      <c r="I48" s="86" t="str">
        <f>'R2'!I38</f>
        <v/>
      </c>
      <c r="J48" s="86" t="str">
        <f>'R2'!J38</f>
        <v/>
      </c>
      <c r="K48" s="86" t="str">
        <f>'R2'!K38</f>
        <v/>
      </c>
      <c r="L48" s="86" t="str">
        <f>'R2'!L38</f>
        <v/>
      </c>
      <c r="M48" s="86" t="str">
        <f>'R2'!M38</f>
        <v/>
      </c>
      <c r="N48"/>
      <c r="O48" s="86">
        <f>'R2'!O38</f>
        <v>0.3724259984331531</v>
      </c>
      <c r="P48" s="86" t="str">
        <f>'R2'!P38</f>
        <v/>
      </c>
      <c r="Q48" s="86" t="str">
        <f>'R2'!Q38</f>
        <v/>
      </c>
      <c r="R48" s="86" t="str">
        <f>'R2'!R38</f>
        <v/>
      </c>
      <c r="S48" s="86" t="str">
        <f>'R2'!S38</f>
        <v/>
      </c>
      <c r="T48" s="86" t="str">
        <f>'R2'!T38</f>
        <v/>
      </c>
      <c r="U48" s="86" t="str">
        <f>'R2'!U38</f>
        <v/>
      </c>
      <c r="V48" s="86" t="str">
        <f>'R2'!V38</f>
        <v/>
      </c>
    </row>
    <row r="49" spans="1:24" s="1" customFormat="1" x14ac:dyDescent="0.35">
      <c r="A49" s="145"/>
      <c r="B49" s="86" t="str">
        <f>'R2'!B39</f>
        <v/>
      </c>
      <c r="C49" s="86" t="str">
        <f>'R2'!C39</f>
        <v/>
      </c>
      <c r="D49" s="86" t="str">
        <f>'R2'!D39</f>
        <v/>
      </c>
      <c r="E49" s="86" t="str">
        <f>'R2'!E39</f>
        <v/>
      </c>
      <c r="F49" s="86" t="str">
        <f>'R2'!F39</f>
        <v/>
      </c>
      <c r="G49" s="86" t="str">
        <f>'R2'!G39</f>
        <v/>
      </c>
      <c r="H49" s="86" t="str">
        <f>'R2'!H39</f>
        <v/>
      </c>
      <c r="I49" s="86" t="str">
        <f>'R2'!I39</f>
        <v/>
      </c>
      <c r="J49" s="86" t="str">
        <f>'R2'!J39</f>
        <v/>
      </c>
      <c r="K49" s="86" t="str">
        <f>'R2'!K39</f>
        <v/>
      </c>
      <c r="L49" s="86" t="str">
        <f>'R2'!L39</f>
        <v/>
      </c>
      <c r="M49" s="86" t="str">
        <f>'R2'!M39</f>
        <v/>
      </c>
      <c r="N49"/>
      <c r="O49" s="86">
        <f>'R2'!O39</f>
        <v>0.89942884997365202</v>
      </c>
      <c r="P49" s="86" t="str">
        <f>'R2'!P39</f>
        <v/>
      </c>
      <c r="Q49" s="86" t="str">
        <f>'R2'!Q39</f>
        <v/>
      </c>
      <c r="R49" s="86" t="str">
        <f>'R2'!R39</f>
        <v/>
      </c>
      <c r="S49" s="86" t="str">
        <f>'R2'!S39</f>
        <v/>
      </c>
      <c r="T49" s="86" t="str">
        <f>'R2'!T39</f>
        <v/>
      </c>
      <c r="U49" s="86" t="str">
        <f>'R2'!U39</f>
        <v/>
      </c>
      <c r="V49" s="86" t="str">
        <f>'R2'!V39</f>
        <v/>
      </c>
    </row>
    <row r="50" spans="1:24" s="1" customFormat="1" x14ac:dyDescent="0.35">
      <c r="A50" s="145"/>
      <c r="B50" s="86" t="str">
        <f>'R2'!B40</f>
        <v/>
      </c>
      <c r="C50" s="86" t="str">
        <f>'R2'!C40</f>
        <v/>
      </c>
      <c r="D50" s="86" t="str">
        <f>'R2'!D40</f>
        <v/>
      </c>
      <c r="E50" s="86" t="str">
        <f>'R2'!E40</f>
        <v/>
      </c>
      <c r="F50" s="86" t="str">
        <f>'R2'!F40</f>
        <v/>
      </c>
      <c r="G50" s="86" t="str">
        <f>'R2'!G40</f>
        <v/>
      </c>
      <c r="H50" s="86" t="str">
        <f>'R2'!H40</f>
        <v/>
      </c>
      <c r="I50" s="86" t="str">
        <f>'R2'!I40</f>
        <v/>
      </c>
      <c r="J50" s="86" t="str">
        <f>'R2'!J40</f>
        <v/>
      </c>
      <c r="K50" s="86" t="str">
        <f>'R2'!K40</f>
        <v/>
      </c>
      <c r="L50" s="86" t="str">
        <f>'R2'!L40</f>
        <v/>
      </c>
      <c r="M50" s="86" t="str">
        <f>'R2'!M40</f>
        <v/>
      </c>
      <c r="N50"/>
      <c r="O50" s="86">
        <f>'R2'!O40</f>
        <v>1.622186103332885</v>
      </c>
      <c r="P50" s="86" t="str">
        <f>'R2'!P40</f>
        <v/>
      </c>
      <c r="Q50" s="86" t="str">
        <f>'R2'!Q40</f>
        <v/>
      </c>
      <c r="R50" s="86" t="str">
        <f>'R2'!R40</f>
        <v/>
      </c>
      <c r="S50" s="86" t="str">
        <f>'R2'!S40</f>
        <v/>
      </c>
      <c r="T50" s="86" t="str">
        <f>'R2'!T40</f>
        <v/>
      </c>
      <c r="U50" s="86" t="str">
        <f>'R2'!U40</f>
        <v/>
      </c>
      <c r="V50" s="86" t="str">
        <f>'R2'!V40</f>
        <v/>
      </c>
    </row>
    <row r="51" spans="1:24" s="1" customFormat="1" x14ac:dyDescent="0.35">
      <c r="A51" s="145"/>
      <c r="B51" s="86" t="str">
        <f>'R2'!B41</f>
        <v/>
      </c>
      <c r="C51" s="86" t="str">
        <f>'R2'!C41</f>
        <v/>
      </c>
      <c r="D51" s="86" t="str">
        <f>'R2'!D41</f>
        <v/>
      </c>
      <c r="E51" s="86" t="str">
        <f>'R2'!E41</f>
        <v/>
      </c>
      <c r="F51" s="86" t="str">
        <f>'R2'!F41</f>
        <v/>
      </c>
      <c r="G51" s="86" t="str">
        <f>'R2'!G41</f>
        <v/>
      </c>
      <c r="H51" s="86" t="str">
        <f>'R2'!H41</f>
        <v/>
      </c>
      <c r="I51" s="86" t="str">
        <f>'R2'!I41</f>
        <v/>
      </c>
      <c r="J51" s="86" t="str">
        <f>'R2'!J41</f>
        <v/>
      </c>
      <c r="K51" s="86" t="str">
        <f>'R2'!K41</f>
        <v/>
      </c>
      <c r="L51" s="86" t="str">
        <f>'R2'!L41</f>
        <v/>
      </c>
      <c r="M51" s="86" t="str">
        <f>'R2'!M41</f>
        <v/>
      </c>
      <c r="N51"/>
      <c r="O51" s="86">
        <f>'R2'!O41</f>
        <v>0.32568482630299467</v>
      </c>
      <c r="P51" s="86" t="str">
        <f>'R2'!P41</f>
        <v/>
      </c>
      <c r="Q51" s="86" t="str">
        <f>'R2'!Q41</f>
        <v/>
      </c>
      <c r="R51" s="86" t="str">
        <f>'R2'!R41</f>
        <v/>
      </c>
      <c r="S51" s="86" t="str">
        <f>'R2'!S41</f>
        <v/>
      </c>
      <c r="T51" s="86" t="str">
        <f>'R2'!T41</f>
        <v/>
      </c>
      <c r="U51" s="86" t="str">
        <f>'R2'!U41</f>
        <v/>
      </c>
      <c r="V51" s="86" t="str">
        <f>'R2'!V41</f>
        <v/>
      </c>
    </row>
    <row r="52" spans="1:24" s="1" customFormat="1" x14ac:dyDescent="0.35">
      <c r="A52" s="145"/>
      <c r="B52" s="86" t="str">
        <f>'R2'!B42</f>
        <v/>
      </c>
      <c r="C52" s="86" t="str">
        <f>'R2'!C42</f>
        <v/>
      </c>
      <c r="D52" s="86" t="str">
        <f>'R2'!D42</f>
        <v/>
      </c>
      <c r="E52" s="86" t="str">
        <f>'R2'!E42</f>
        <v/>
      </c>
      <c r="F52" s="86" t="str">
        <f>'R2'!F42</f>
        <v/>
      </c>
      <c r="G52" s="86" t="str">
        <f>'R2'!G42</f>
        <v/>
      </c>
      <c r="H52" s="86" t="str">
        <f>'R2'!H42</f>
        <v/>
      </c>
      <c r="I52" s="86" t="str">
        <f>'R2'!I42</f>
        <v/>
      </c>
      <c r="J52" s="86" t="str">
        <f>'R2'!J42</f>
        <v/>
      </c>
      <c r="K52" s="86" t="str">
        <f>'R2'!K42</f>
        <v/>
      </c>
      <c r="L52" s="86" t="str">
        <f>'R2'!L42</f>
        <v/>
      </c>
      <c r="M52" s="86" t="str">
        <f>'R2'!M42</f>
        <v/>
      </c>
      <c r="N52"/>
      <c r="O52" s="86">
        <f>'R2'!O42</f>
        <v>1.7174619670469944</v>
      </c>
      <c r="P52" s="86" t="str">
        <f>'R2'!P42</f>
        <v/>
      </c>
      <c r="Q52" s="86" t="str">
        <f>'R2'!Q42</f>
        <v/>
      </c>
      <c r="R52" s="86" t="str">
        <f>'R2'!R42</f>
        <v/>
      </c>
      <c r="S52" s="86" t="str">
        <f>'R2'!S42</f>
        <v/>
      </c>
      <c r="T52" s="86" t="str">
        <f>'R2'!T42</f>
        <v/>
      </c>
      <c r="U52" s="86" t="str">
        <f>'R2'!U42</f>
        <v/>
      </c>
      <c r="V52" s="86" t="str">
        <f>'R2'!V42</f>
        <v/>
      </c>
    </row>
    <row r="53" spans="1:24" s="1" customFormat="1" x14ac:dyDescent="0.35">
      <c r="A53" s="146"/>
      <c r="B53" s="86" t="str">
        <f>'R2'!B43</f>
        <v/>
      </c>
      <c r="C53" s="86" t="str">
        <f>'R2'!C43</f>
        <v/>
      </c>
      <c r="D53" s="86" t="str">
        <f>'R2'!D43</f>
        <v/>
      </c>
      <c r="E53" s="86" t="str">
        <f>'R2'!E43</f>
        <v/>
      </c>
      <c r="F53" s="86" t="str">
        <f>'R2'!F43</f>
        <v/>
      </c>
      <c r="G53" s="86" t="str">
        <f>'R2'!G43</f>
        <v/>
      </c>
      <c r="H53" s="86" t="str">
        <f>'R2'!H43</f>
        <v/>
      </c>
      <c r="I53" s="86" t="str">
        <f>'R2'!I43</f>
        <v/>
      </c>
      <c r="J53" s="86" t="str">
        <f>'R2'!J43</f>
        <v/>
      </c>
      <c r="K53" s="86" t="str">
        <f>'R2'!K43</f>
        <v/>
      </c>
      <c r="L53" s="86" t="str">
        <f>'R2'!L43</f>
        <v/>
      </c>
      <c r="M53" s="86" t="str">
        <f>'R2'!M43</f>
        <v/>
      </c>
      <c r="N53"/>
      <c r="O53" s="86">
        <f>'R2'!O43</f>
        <v>0.53804288342145135</v>
      </c>
      <c r="P53" s="86" t="str">
        <f>'R2'!P43</f>
        <v/>
      </c>
      <c r="Q53" s="86" t="str">
        <f>'R2'!Q43</f>
        <v/>
      </c>
      <c r="R53" s="86" t="str">
        <f>'R2'!R43</f>
        <v/>
      </c>
      <c r="S53" s="86" t="str">
        <f>'R2'!S43</f>
        <v/>
      </c>
      <c r="T53" s="86" t="str">
        <f>'R2'!T43</f>
        <v/>
      </c>
      <c r="U53" s="86" t="str">
        <f>'R2'!U43</f>
        <v/>
      </c>
      <c r="V53" s="86" t="str">
        <f>'R2'!V43</f>
        <v/>
      </c>
    </row>
    <row r="54" spans="1:24" s="44" customFormat="1" x14ac:dyDescent="0.35">
      <c r="A54" s="4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/>
      <c r="O54" s="43"/>
      <c r="P54" s="43"/>
      <c r="Q54" s="43"/>
      <c r="R54" s="43"/>
      <c r="S54" s="43"/>
      <c r="T54" s="43"/>
      <c r="U54" s="43"/>
      <c r="V54" s="43"/>
    </row>
    <row r="55" spans="1:24" s="26" customFormat="1" x14ac:dyDescent="0.35">
      <c r="A55" s="26" t="s">
        <v>37</v>
      </c>
      <c r="B55" s="15" t="str">
        <f t="shared" ref="B55:M55" si="0">B4</f>
        <v>Solvent control</v>
      </c>
      <c r="C55" s="15" t="str">
        <f t="shared" si="0"/>
        <v>EE2-33.8ng/L</v>
      </c>
      <c r="D55" s="15" t="str">
        <f t="shared" si="0"/>
        <v>EE2-50.6ng/L</v>
      </c>
      <c r="E55" s="15" t="str">
        <f t="shared" si="0"/>
        <v>EE2-76ng/L</v>
      </c>
      <c r="F55" s="15" t="str">
        <f t="shared" si="0"/>
        <v>EE2-114ng/L</v>
      </c>
      <c r="G55" s="15" t="str">
        <f t="shared" si="0"/>
        <v>EE2-170.9ng/L</v>
      </c>
      <c r="H55" s="15" t="str">
        <f t="shared" si="0"/>
        <v>EE2-488ng/L</v>
      </c>
      <c r="I55" s="15" t="str">
        <f t="shared" si="0"/>
        <v>Estradiol-34ng/L</v>
      </c>
      <c r="J55" s="15" t="str">
        <f t="shared" si="0"/>
        <v>Estradiol-68ng/L</v>
      </c>
      <c r="K55" s="15" t="str">
        <f t="shared" si="0"/>
        <v>Estradiol-135ng/L</v>
      </c>
      <c r="L55" s="15" t="str">
        <f t="shared" si="0"/>
        <v>Estradiol-270ng/L</v>
      </c>
      <c r="M55" s="15" t="str">
        <f t="shared" si="0"/>
        <v>Estradiol-540ng/L</v>
      </c>
      <c r="O55" s="15" t="str">
        <f t="shared" ref="O55:V55" si="1">O4</f>
        <v>Testo -30µg/L</v>
      </c>
      <c r="P55" s="15" t="str">
        <f t="shared" si="1"/>
        <v>Testo 30µg/L + EE2 -64ng/L</v>
      </c>
      <c r="Q55" s="15" t="str">
        <f t="shared" si="1"/>
        <v>Testo 30µg/L + FAD-10mg/L</v>
      </c>
      <c r="R55" s="15" t="str">
        <f t="shared" si="1"/>
        <v>Estradiol-34ng/L + Testostérone</v>
      </c>
      <c r="S55" s="15" t="str">
        <f t="shared" si="1"/>
        <v>Estradiol-68ng/L + Testostérone</v>
      </c>
      <c r="T55" s="15" t="str">
        <f t="shared" si="1"/>
        <v>Estradiol-135ng/L + Testostérone</v>
      </c>
      <c r="U55" s="15" t="str">
        <f t="shared" si="1"/>
        <v>Estradiol-270ng/L + Testostérone</v>
      </c>
      <c r="V55" s="15" t="str">
        <f t="shared" si="1"/>
        <v>Estradiol-540ng/L + Testostérone</v>
      </c>
    </row>
    <row r="56" spans="1:24" x14ac:dyDescent="0.35">
      <c r="A56" t="s">
        <v>10</v>
      </c>
      <c r="B56" s="9">
        <f t="shared" ref="B56:V56" si="2">AVERAGE(B6:B53)</f>
        <v>0.57686267127737612</v>
      </c>
      <c r="C56" s="9">
        <f t="shared" si="2"/>
        <v>0.79145179531562027</v>
      </c>
      <c r="D56" s="9">
        <f t="shared" si="2"/>
        <v>1.18186272076878</v>
      </c>
      <c r="E56" s="9">
        <f t="shared" si="2"/>
        <v>2.64989911568561</v>
      </c>
      <c r="F56" s="9">
        <f t="shared" si="2"/>
        <v>3.0939421484436735</v>
      </c>
      <c r="G56" s="9">
        <f t="shared" si="2"/>
        <v>3.2176213476883895</v>
      </c>
      <c r="H56" s="9">
        <f t="shared" si="2"/>
        <v>4.7514134324163937</v>
      </c>
      <c r="I56" s="9">
        <f t="shared" si="2"/>
        <v>7.1556141315705812E-2</v>
      </c>
      <c r="J56" s="9">
        <f t="shared" si="2"/>
        <v>9.6500079567282751E-2</v>
      </c>
      <c r="K56" s="9">
        <f t="shared" si="2"/>
        <v>0.25591611410122117</v>
      </c>
      <c r="L56" s="9">
        <f t="shared" si="2"/>
        <v>1.4641186030286559</v>
      </c>
      <c r="M56" s="9">
        <f t="shared" si="2"/>
        <v>1.9953430209814484</v>
      </c>
      <c r="N56" s="9"/>
      <c r="O56" s="9">
        <f t="shared" si="2"/>
        <v>1.0000000000000002</v>
      </c>
      <c r="P56" s="9">
        <f t="shared" si="2"/>
        <v>3.4770777215766904</v>
      </c>
      <c r="Q56" s="9">
        <f t="shared" si="2"/>
        <v>6.4124402418219165E-2</v>
      </c>
      <c r="R56" s="9">
        <f t="shared" si="2"/>
        <v>0.70295015668415328</v>
      </c>
      <c r="S56" s="9">
        <f t="shared" si="2"/>
        <v>0.92584627368369199</v>
      </c>
      <c r="T56" s="9">
        <f t="shared" si="2"/>
        <v>1.4285148531024063</v>
      </c>
      <c r="U56" s="9">
        <f t="shared" si="2"/>
        <v>2.1833369427213953</v>
      </c>
      <c r="V56" s="9">
        <f t="shared" si="2"/>
        <v>2.5189494082574946</v>
      </c>
    </row>
    <row r="57" spans="1:24" x14ac:dyDescent="0.35">
      <c r="A57" t="s">
        <v>1</v>
      </c>
      <c r="B57" s="3">
        <f>STDEV(B6:B53)</f>
        <v>1.032049058854944</v>
      </c>
      <c r="C57" s="3">
        <f t="shared" ref="C57:V57" si="3">STDEV(C6:C53)</f>
        <v>0.85058062760821662</v>
      </c>
      <c r="D57" s="3">
        <f t="shared" si="3"/>
        <v>0.98912334947862157</v>
      </c>
      <c r="E57" s="3">
        <f t="shared" si="3"/>
        <v>1.8098307053637126</v>
      </c>
      <c r="F57" s="3">
        <f t="shared" si="3"/>
        <v>1.5373769956519756</v>
      </c>
      <c r="G57" s="3">
        <f t="shared" si="3"/>
        <v>2.0162270284823034</v>
      </c>
      <c r="H57" s="3">
        <f t="shared" si="3"/>
        <v>2.3835321335885742</v>
      </c>
      <c r="I57" s="3">
        <f t="shared" si="3"/>
        <v>5.9158553340013964E-2</v>
      </c>
      <c r="J57" s="3">
        <f t="shared" si="3"/>
        <v>8.1323476872852657E-2</v>
      </c>
      <c r="K57" s="3">
        <f t="shared" si="3"/>
        <v>0.32907594430287607</v>
      </c>
      <c r="L57" s="3">
        <f t="shared" si="3"/>
        <v>1.5393590850298551</v>
      </c>
      <c r="M57" s="3">
        <f t="shared" si="3"/>
        <v>1.8191787125561345</v>
      </c>
      <c r="N57" s="3"/>
      <c r="O57" s="3">
        <f t="shared" si="3"/>
        <v>0.86823832781452204</v>
      </c>
      <c r="P57" s="3">
        <f t="shared" si="3"/>
        <v>2.0140731582252278</v>
      </c>
      <c r="Q57" s="3">
        <f t="shared" si="3"/>
        <v>7.5609433485616204E-2</v>
      </c>
      <c r="R57" s="3">
        <f t="shared" si="3"/>
        <v>0.7163748474595566</v>
      </c>
      <c r="S57" s="3">
        <f t="shared" si="3"/>
        <v>0.61267874800717437</v>
      </c>
      <c r="T57" s="3">
        <f t="shared" si="3"/>
        <v>1.1224922788782759</v>
      </c>
      <c r="U57" s="3">
        <f t="shared" si="3"/>
        <v>1.2778745706906682</v>
      </c>
      <c r="V57" s="3">
        <f t="shared" si="3"/>
        <v>1.3367651005499637</v>
      </c>
      <c r="W57" s="3"/>
      <c r="X57" s="3"/>
    </row>
    <row r="58" spans="1:24" x14ac:dyDescent="0.35">
      <c r="A58" t="s">
        <v>2</v>
      </c>
      <c r="B58" s="3">
        <f xml:space="preserve"> B57/SQRT(COUNT(B6:B53))</f>
        <v>0.21519710478529414</v>
      </c>
      <c r="C58" s="3">
        <f t="shared" ref="C58:V58" si="4" xml:space="preserve"> C57/SQRT(COUNT(C6:C53))</f>
        <v>0.17362404356136707</v>
      </c>
      <c r="D58" s="3">
        <f t="shared" si="4"/>
        <v>0.20624647564670598</v>
      </c>
      <c r="E58" s="3">
        <f t="shared" si="4"/>
        <v>0.3619661410727425</v>
      </c>
      <c r="F58" s="3">
        <f t="shared" si="4"/>
        <v>0.32776987678163738</v>
      </c>
      <c r="G58" s="3">
        <f t="shared" si="4"/>
        <v>0.41156061878246741</v>
      </c>
      <c r="H58" s="3">
        <f t="shared" si="4"/>
        <v>0.49700080622143084</v>
      </c>
      <c r="I58" s="3">
        <f t="shared" si="4"/>
        <v>1.2075689133687978E-2</v>
      </c>
      <c r="J58" s="3">
        <f t="shared" si="4"/>
        <v>1.6600085203959801E-2</v>
      </c>
      <c r="K58" s="3">
        <f t="shared" si="4"/>
        <v>6.7172345847215278E-2</v>
      </c>
      <c r="L58" s="3">
        <f t="shared" si="4"/>
        <v>0.32097855763843497</v>
      </c>
      <c r="M58" s="3">
        <f t="shared" si="4"/>
        <v>0.3713382997246466</v>
      </c>
      <c r="N58" s="3"/>
      <c r="O58" s="3">
        <f t="shared" si="4"/>
        <v>0.12664557630481144</v>
      </c>
      <c r="P58" s="3">
        <f t="shared" si="4"/>
        <v>0.39499224367668789</v>
      </c>
      <c r="Q58" s="3">
        <f t="shared" si="4"/>
        <v>1.690678330140867E-2</v>
      </c>
      <c r="R58" s="3">
        <f t="shared" si="4"/>
        <v>0.15632580783075531</v>
      </c>
      <c r="S58" s="3">
        <f t="shared" si="4"/>
        <v>0.12506252573873444</v>
      </c>
      <c r="T58" s="3">
        <f t="shared" si="4"/>
        <v>0.23405581981389426</v>
      </c>
      <c r="U58" s="3">
        <f t="shared" si="4"/>
        <v>0.2608450544558541</v>
      </c>
      <c r="V58" s="3">
        <f t="shared" si="4"/>
        <v>0.27286603352563832</v>
      </c>
      <c r="W58" s="3"/>
      <c r="X58" s="3"/>
    </row>
    <row r="59" spans="1:24" s="1" customFormat="1" ht="15" thickBot="1" x14ac:dyDescent="0.4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4" s="32" customFormat="1" ht="26.5" thickBot="1" x14ac:dyDescent="0.4">
      <c r="A60" s="147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</row>
    <row r="61" spans="1:24" s="1" customFormat="1" x14ac:dyDescent="0.3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4" s="1" customFormat="1" x14ac:dyDescent="0.35">
      <c r="A62" s="1" t="s">
        <v>37</v>
      </c>
      <c r="B62" s="3" t="str">
        <f t="shared" ref="B62" si="5">B4</f>
        <v>Solvent control</v>
      </c>
      <c r="C62" s="3" t="str">
        <f t="shared" ref="C62:V62" si="6">C4</f>
        <v>EE2-33.8ng/L</v>
      </c>
      <c r="D62" s="3" t="str">
        <f t="shared" si="6"/>
        <v>EE2-50.6ng/L</v>
      </c>
      <c r="E62" s="3" t="str">
        <f t="shared" si="6"/>
        <v>EE2-76ng/L</v>
      </c>
      <c r="F62" s="3" t="str">
        <f t="shared" si="6"/>
        <v>EE2-114ng/L</v>
      </c>
      <c r="G62" s="3" t="str">
        <f t="shared" si="6"/>
        <v>EE2-170.9ng/L</v>
      </c>
      <c r="H62" s="3" t="str">
        <f t="shared" si="6"/>
        <v>EE2-488ng/L</v>
      </c>
      <c r="I62" s="3" t="str">
        <f t="shared" si="6"/>
        <v>Estradiol-34ng/L</v>
      </c>
      <c r="J62" s="3" t="str">
        <f t="shared" si="6"/>
        <v>Estradiol-68ng/L</v>
      </c>
      <c r="K62" s="3" t="str">
        <f t="shared" si="6"/>
        <v>Estradiol-135ng/L</v>
      </c>
      <c r="L62" s="3" t="str">
        <f t="shared" si="6"/>
        <v>Estradiol-270ng/L</v>
      </c>
      <c r="M62" s="3" t="str">
        <f t="shared" si="6"/>
        <v>Estradiol-540ng/L</v>
      </c>
      <c r="N62" s="3"/>
      <c r="O62" s="3" t="str">
        <f t="shared" si="6"/>
        <v>Testo -30µg/L</v>
      </c>
      <c r="P62" s="3" t="str">
        <f t="shared" si="6"/>
        <v>Testo 30µg/L + EE2 -64ng/L</v>
      </c>
      <c r="Q62" s="3" t="str">
        <f t="shared" si="6"/>
        <v>Testo 30µg/L + FAD-10mg/L</v>
      </c>
      <c r="R62" s="3" t="str">
        <f t="shared" si="6"/>
        <v>Estradiol-34ng/L + Testostérone</v>
      </c>
      <c r="S62" s="3" t="str">
        <f t="shared" si="6"/>
        <v>Estradiol-68ng/L + Testostérone</v>
      </c>
      <c r="T62" s="3" t="str">
        <f t="shared" si="6"/>
        <v>Estradiol-135ng/L + Testostérone</v>
      </c>
      <c r="U62" s="3" t="str">
        <f t="shared" si="6"/>
        <v>Estradiol-270ng/L + Testostérone</v>
      </c>
      <c r="V62" s="3" t="str">
        <f t="shared" si="6"/>
        <v>Estradiol-540ng/L + Testostérone</v>
      </c>
    </row>
    <row r="63" spans="1:24" s="1" customFormat="1" x14ac:dyDescent="0.35">
      <c r="A63" s="1" t="s">
        <v>44</v>
      </c>
      <c r="B63" s="3">
        <f>COUNT(B6:B53)</f>
        <v>23</v>
      </c>
      <c r="C63" s="3">
        <f t="shared" ref="C63:V63" si="7">COUNT(C6:C53)</f>
        <v>24</v>
      </c>
      <c r="D63" s="3">
        <f t="shared" si="7"/>
        <v>23</v>
      </c>
      <c r="E63" s="3">
        <f t="shared" si="7"/>
        <v>25</v>
      </c>
      <c r="F63" s="3">
        <f t="shared" si="7"/>
        <v>22</v>
      </c>
      <c r="G63" s="3">
        <f t="shared" si="7"/>
        <v>24</v>
      </c>
      <c r="H63" s="3">
        <f t="shared" si="7"/>
        <v>23</v>
      </c>
      <c r="I63" s="3">
        <f t="shared" si="7"/>
        <v>24</v>
      </c>
      <c r="J63" s="3">
        <f t="shared" si="7"/>
        <v>24</v>
      </c>
      <c r="K63" s="3">
        <f t="shared" si="7"/>
        <v>24</v>
      </c>
      <c r="L63" s="3">
        <f t="shared" si="7"/>
        <v>23</v>
      </c>
      <c r="M63" s="3">
        <f t="shared" si="7"/>
        <v>24</v>
      </c>
      <c r="N63" s="3"/>
      <c r="O63" s="3">
        <f t="shared" si="7"/>
        <v>47</v>
      </c>
      <c r="P63" s="3">
        <f t="shared" si="7"/>
        <v>26</v>
      </c>
      <c r="Q63" s="3">
        <f t="shared" si="7"/>
        <v>20</v>
      </c>
      <c r="R63" s="3">
        <f t="shared" si="7"/>
        <v>21</v>
      </c>
      <c r="S63" s="3">
        <f t="shared" si="7"/>
        <v>24</v>
      </c>
      <c r="T63" s="3">
        <f t="shared" si="7"/>
        <v>23</v>
      </c>
      <c r="U63" s="3">
        <f t="shared" si="7"/>
        <v>24</v>
      </c>
      <c r="V63" s="3">
        <f t="shared" si="7"/>
        <v>24</v>
      </c>
    </row>
    <row r="64" spans="1:24" s="1" customFormat="1" ht="15" thickBot="1" x14ac:dyDescent="0.4">
      <c r="B64" s="3" t="str">
        <f>IF(B63&gt;=21,"OK","ATTENTION")</f>
        <v>OK</v>
      </c>
      <c r="C64" s="3" t="str">
        <f t="shared" ref="C64:V64" si="8">IF(C63&gt;=21,"OK","ATTENTION")</f>
        <v>OK</v>
      </c>
      <c r="D64" s="3" t="str">
        <f t="shared" si="8"/>
        <v>OK</v>
      </c>
      <c r="E64" s="3" t="str">
        <f t="shared" si="8"/>
        <v>OK</v>
      </c>
      <c r="F64" s="3" t="str">
        <f t="shared" si="8"/>
        <v>OK</v>
      </c>
      <c r="G64" s="3" t="str">
        <f t="shared" si="8"/>
        <v>OK</v>
      </c>
      <c r="H64" s="3" t="str">
        <f t="shared" si="8"/>
        <v>OK</v>
      </c>
      <c r="I64" s="3" t="str">
        <f t="shared" si="8"/>
        <v>OK</v>
      </c>
      <c r="J64" s="3" t="str">
        <f t="shared" si="8"/>
        <v>OK</v>
      </c>
      <c r="K64" s="3" t="str">
        <f t="shared" si="8"/>
        <v>OK</v>
      </c>
      <c r="L64" s="3" t="str">
        <f t="shared" si="8"/>
        <v>OK</v>
      </c>
      <c r="M64" s="3" t="str">
        <f t="shared" si="8"/>
        <v>OK</v>
      </c>
      <c r="N64" s="3"/>
      <c r="O64" s="3" t="str">
        <f>IF(O63&gt;=41,"OK","ATTENTION")</f>
        <v>OK</v>
      </c>
      <c r="P64" s="3" t="str">
        <f t="shared" si="8"/>
        <v>OK</v>
      </c>
      <c r="Q64" s="3" t="str">
        <f t="shared" si="8"/>
        <v>ATTENTION</v>
      </c>
      <c r="R64" s="3" t="str">
        <f t="shared" si="8"/>
        <v>OK</v>
      </c>
      <c r="S64" s="3" t="str">
        <f t="shared" si="8"/>
        <v>OK</v>
      </c>
      <c r="T64" s="3" t="str">
        <f t="shared" si="8"/>
        <v>OK</v>
      </c>
      <c r="U64" s="3" t="str">
        <f t="shared" si="8"/>
        <v>OK</v>
      </c>
      <c r="V64" s="3" t="str">
        <f t="shared" si="8"/>
        <v>OK</v>
      </c>
    </row>
    <row r="65" spans="1:22" s="32" customFormat="1" ht="26.5" thickBot="1" x14ac:dyDescent="0.4">
      <c r="A65" s="147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</row>
    <row r="66" spans="1:22" s="1" customFormat="1" x14ac:dyDescent="0.3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s="1" customFormat="1" x14ac:dyDescent="0.3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s="1" customFormat="1" x14ac:dyDescent="0.3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s="1" customFormat="1" ht="15" thickBot="1" x14ac:dyDescent="0.4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s="32" customFormat="1" ht="26.5" thickBot="1" x14ac:dyDescent="0.4">
      <c r="A70" s="147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</row>
    <row r="71" spans="1:22" ht="15" thickBot="1" x14ac:dyDescent="0.4"/>
    <row r="72" spans="1:22" s="32" customFormat="1" ht="26.5" thickBot="1" x14ac:dyDescent="0.4">
      <c r="A72" s="147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</row>
    <row r="73" spans="1:22" ht="15" thickBot="1" x14ac:dyDescent="0.4">
      <c r="J73" s="3">
        <v>1</v>
      </c>
      <c r="K73" s="3">
        <v>2</v>
      </c>
      <c r="L73" s="3">
        <v>3</v>
      </c>
      <c r="M73" s="3">
        <v>4</v>
      </c>
      <c r="R73" s="3">
        <v>1</v>
      </c>
      <c r="S73" s="3">
        <v>2</v>
      </c>
      <c r="T73" s="3">
        <v>3</v>
      </c>
      <c r="U73" s="3">
        <v>4</v>
      </c>
      <c r="V73" s="3">
        <v>5</v>
      </c>
    </row>
    <row r="74" spans="1:22" s="1" customFormat="1" x14ac:dyDescent="0.35">
      <c r="A74" s="29" t="s">
        <v>45</v>
      </c>
      <c r="B74" s="30" t="str">
        <f t="shared" ref="B74:M74" si="9">B4</f>
        <v>Solvent control</v>
      </c>
      <c r="C74" s="30" t="str">
        <f t="shared" si="9"/>
        <v>EE2-33.8ng/L</v>
      </c>
      <c r="D74" s="30" t="str">
        <f t="shared" si="9"/>
        <v>EE2-50.6ng/L</v>
      </c>
      <c r="E74" s="30" t="str">
        <f t="shared" si="9"/>
        <v>EE2-76ng/L</v>
      </c>
      <c r="F74" s="30" t="str">
        <f t="shared" si="9"/>
        <v>EE2-114ng/L</v>
      </c>
      <c r="G74" s="30" t="str">
        <f t="shared" si="9"/>
        <v>EE2-170.9ng/L</v>
      </c>
      <c r="H74" s="30" t="str">
        <f t="shared" si="9"/>
        <v>EE2-488ng/L</v>
      </c>
      <c r="I74" s="30" t="str">
        <f t="shared" si="9"/>
        <v>Estradiol-34ng/L</v>
      </c>
      <c r="J74" s="30" t="str">
        <f t="shared" si="9"/>
        <v>Estradiol-68ng/L</v>
      </c>
      <c r="K74" s="30" t="str">
        <f t="shared" si="9"/>
        <v>Estradiol-135ng/L</v>
      </c>
      <c r="L74" s="30" t="str">
        <f t="shared" si="9"/>
        <v>Estradiol-270ng/L</v>
      </c>
      <c r="M74" s="30" t="str">
        <f t="shared" si="9"/>
        <v>Estradiol-540ng/L</v>
      </c>
      <c r="N74" s="30"/>
      <c r="O74" s="30" t="str">
        <f t="shared" ref="O74:V74" si="10">O4</f>
        <v>Testo -30µg/L</v>
      </c>
      <c r="P74" s="30" t="str">
        <f t="shared" si="10"/>
        <v>Testo 30µg/L + EE2 -64ng/L</v>
      </c>
      <c r="Q74" s="30" t="str">
        <f t="shared" si="10"/>
        <v>Testo 30µg/L + FAD-10mg/L</v>
      </c>
      <c r="R74" s="30" t="str">
        <f t="shared" si="10"/>
        <v>Estradiol-34ng/L + Testostérone</v>
      </c>
      <c r="S74" s="30" t="str">
        <f t="shared" si="10"/>
        <v>Estradiol-68ng/L + Testostérone</v>
      </c>
      <c r="T74" s="30" t="str">
        <f t="shared" si="10"/>
        <v>Estradiol-135ng/L + Testostérone</v>
      </c>
      <c r="U74" s="30" t="str">
        <f t="shared" si="10"/>
        <v>Estradiol-270ng/L + Testostérone</v>
      </c>
      <c r="V74" s="30" t="str">
        <f t="shared" si="10"/>
        <v>Estradiol-540ng/L + Testostérone</v>
      </c>
    </row>
    <row r="75" spans="1:22" s="3" customFormat="1" x14ac:dyDescent="0.35">
      <c r="A75" s="45" t="s">
        <v>10</v>
      </c>
      <c r="B75" s="78">
        <f>B56</f>
        <v>0.57686267127737612</v>
      </c>
      <c r="C75" s="78">
        <f t="shared" ref="C75:V75" si="11">C56</f>
        <v>0.79145179531562027</v>
      </c>
      <c r="D75" s="78">
        <f t="shared" si="11"/>
        <v>1.18186272076878</v>
      </c>
      <c r="E75" s="78">
        <f t="shared" si="11"/>
        <v>2.64989911568561</v>
      </c>
      <c r="F75" s="78">
        <f t="shared" si="11"/>
        <v>3.0939421484436735</v>
      </c>
      <c r="G75" s="78">
        <f t="shared" si="11"/>
        <v>3.2176213476883895</v>
      </c>
      <c r="H75" s="78">
        <f t="shared" si="11"/>
        <v>4.7514134324163937</v>
      </c>
      <c r="I75" s="78">
        <f t="shared" si="11"/>
        <v>7.1556141315705812E-2</v>
      </c>
      <c r="J75" s="78">
        <f t="shared" si="11"/>
        <v>9.6500079567282751E-2</v>
      </c>
      <c r="K75" s="78">
        <f t="shared" si="11"/>
        <v>0.25591611410122117</v>
      </c>
      <c r="L75" s="78">
        <f t="shared" si="11"/>
        <v>1.4641186030286559</v>
      </c>
      <c r="M75" s="78">
        <f t="shared" si="11"/>
        <v>1.9953430209814484</v>
      </c>
      <c r="N75" s="78"/>
      <c r="O75" s="78">
        <f t="shared" si="11"/>
        <v>1.0000000000000002</v>
      </c>
      <c r="P75" s="78">
        <f t="shared" si="11"/>
        <v>3.4770777215766904</v>
      </c>
      <c r="Q75" s="78">
        <f t="shared" si="11"/>
        <v>6.4124402418219165E-2</v>
      </c>
      <c r="R75" s="78">
        <f t="shared" si="11"/>
        <v>0.70295015668415328</v>
      </c>
      <c r="S75" s="78">
        <f t="shared" si="11"/>
        <v>0.92584627368369199</v>
      </c>
      <c r="T75" s="78">
        <f t="shared" si="11"/>
        <v>1.4285148531024063</v>
      </c>
      <c r="U75" s="78">
        <f t="shared" si="11"/>
        <v>2.1833369427213953</v>
      </c>
      <c r="V75" s="78">
        <f t="shared" si="11"/>
        <v>2.5189494082574946</v>
      </c>
    </row>
    <row r="76" spans="1:22" s="3" customFormat="1" x14ac:dyDescent="0.35">
      <c r="A76" s="45" t="s">
        <v>2</v>
      </c>
      <c r="B76" s="78">
        <f>B58</f>
        <v>0.21519710478529414</v>
      </c>
      <c r="C76" s="78">
        <f t="shared" ref="C76:V76" si="12">C58</f>
        <v>0.17362404356136707</v>
      </c>
      <c r="D76" s="78">
        <f t="shared" si="12"/>
        <v>0.20624647564670598</v>
      </c>
      <c r="E76" s="78">
        <f t="shared" si="12"/>
        <v>0.3619661410727425</v>
      </c>
      <c r="F76" s="78">
        <f t="shared" si="12"/>
        <v>0.32776987678163738</v>
      </c>
      <c r="G76" s="78">
        <f t="shared" si="12"/>
        <v>0.41156061878246741</v>
      </c>
      <c r="H76" s="78">
        <f t="shared" si="12"/>
        <v>0.49700080622143084</v>
      </c>
      <c r="I76" s="78">
        <f t="shared" si="12"/>
        <v>1.2075689133687978E-2</v>
      </c>
      <c r="J76" s="78">
        <f t="shared" si="12"/>
        <v>1.6600085203959801E-2</v>
      </c>
      <c r="K76" s="78">
        <f t="shared" si="12"/>
        <v>6.7172345847215278E-2</v>
      </c>
      <c r="L76" s="78">
        <f t="shared" si="12"/>
        <v>0.32097855763843497</v>
      </c>
      <c r="M76" s="78">
        <f t="shared" si="12"/>
        <v>0.3713382997246466</v>
      </c>
      <c r="N76" s="78"/>
      <c r="O76" s="78">
        <f t="shared" si="12"/>
        <v>0.12664557630481144</v>
      </c>
      <c r="P76" s="78">
        <f t="shared" si="12"/>
        <v>0.39499224367668789</v>
      </c>
      <c r="Q76" s="78">
        <f t="shared" si="12"/>
        <v>1.690678330140867E-2</v>
      </c>
      <c r="R76" s="78">
        <f t="shared" si="12"/>
        <v>0.15632580783075531</v>
      </c>
      <c r="S76" s="78">
        <f t="shared" si="12"/>
        <v>0.12506252573873444</v>
      </c>
      <c r="T76" s="78">
        <f t="shared" si="12"/>
        <v>0.23405581981389426</v>
      </c>
      <c r="U76" s="78">
        <f t="shared" si="12"/>
        <v>0.2608450544558541</v>
      </c>
      <c r="V76" s="78">
        <f t="shared" si="12"/>
        <v>0.27286603352563832</v>
      </c>
    </row>
    <row r="77" spans="1:22" s="3" customFormat="1" x14ac:dyDescent="0.35">
      <c r="A77" s="45" t="s">
        <v>14</v>
      </c>
      <c r="B77" s="78">
        <f>(B75*100/$B$75)-100</f>
        <v>0</v>
      </c>
      <c r="C77" s="78">
        <f t="shared" ref="C77:M77" si="13">(C75*100/$B$75)-100</f>
        <v>37.19934305387946</v>
      </c>
      <c r="D77" s="78">
        <f t="shared" si="13"/>
        <v>104.87765626292332</v>
      </c>
      <c r="E77" s="78">
        <f t="shared" si="13"/>
        <v>359.36394355658422</v>
      </c>
      <c r="F77" s="78">
        <f t="shared" si="13"/>
        <v>436.33946214488128</v>
      </c>
      <c r="G77" s="78">
        <f t="shared" si="13"/>
        <v>457.77943484598302</v>
      </c>
      <c r="H77" s="78">
        <f t="shared" si="13"/>
        <v>723.66456853502052</v>
      </c>
      <c r="I77" s="78">
        <f t="shared" si="13"/>
        <v>-87.595636729751391</v>
      </c>
      <c r="J77" s="78">
        <f t="shared" si="13"/>
        <v>-83.271568022663388</v>
      </c>
      <c r="K77" s="78">
        <f t="shared" si="13"/>
        <v>-55.63656189877338</v>
      </c>
      <c r="L77" s="78">
        <f t="shared" si="13"/>
        <v>153.80713225672659</v>
      </c>
      <c r="M77" s="78">
        <f t="shared" si="13"/>
        <v>245.89567332603787</v>
      </c>
      <c r="N77" s="78"/>
      <c r="O77" s="78">
        <f>(O75*100/$O$75)-100</f>
        <v>0</v>
      </c>
      <c r="P77" s="78">
        <f t="shared" ref="P77:V77" si="14">(P75*100/$O$75)-100</f>
        <v>247.70777215766896</v>
      </c>
      <c r="Q77" s="78">
        <f t="shared" si="14"/>
        <v>-93.587559758178088</v>
      </c>
      <c r="R77" s="78">
        <f t="shared" si="14"/>
        <v>-29.704984331584683</v>
      </c>
      <c r="S77" s="78">
        <f t="shared" si="14"/>
        <v>-7.4153726316308166</v>
      </c>
      <c r="T77" s="78">
        <f t="shared" si="14"/>
        <v>42.851485310240605</v>
      </c>
      <c r="U77" s="78">
        <f t="shared" si="14"/>
        <v>118.33369427213947</v>
      </c>
      <c r="V77" s="78">
        <f t="shared" si="14"/>
        <v>151.89494082574942</v>
      </c>
    </row>
    <row r="78" spans="1:22" s="3" customFormat="1" x14ac:dyDescent="0.35">
      <c r="A78" s="45" t="s">
        <v>38</v>
      </c>
      <c r="B78" s="78">
        <f>[1]!DPTEST(B6:B53)</f>
        <v>1.2284385661254227E-5</v>
      </c>
      <c r="C78" s="78">
        <f>[1]!DPTEST(C6:C53)</f>
        <v>2.1669684121394805E-4</v>
      </c>
      <c r="D78" s="78">
        <f>[1]!DPTEST(D6:D53)</f>
        <v>8.9107249135960132E-2</v>
      </c>
      <c r="E78" s="78">
        <f>[1]!DPTEST(E6:E53)</f>
        <v>0.19528795848511105</v>
      </c>
      <c r="F78" s="78">
        <f>[1]!DPTEST(F6:F53)</f>
        <v>6.8513589349358472E-2</v>
      </c>
      <c r="G78" s="78">
        <f>[1]!DPTEST(G6:G53)</f>
        <v>0.16306858455436912</v>
      </c>
      <c r="H78" s="78">
        <f>[1]!DPTEST(H6:H53)</f>
        <v>0.11902000872892426</v>
      </c>
      <c r="I78" s="78">
        <f>[1]!DPTEST(I6:I53)</f>
        <v>1.6287053727914724E-7</v>
      </c>
      <c r="J78" s="78">
        <f>[1]!DPTEST(J6:J53)</f>
        <v>8.5092673907993799E-5</v>
      </c>
      <c r="K78" s="78">
        <f>[1]!DPTEST(K6:K53)</f>
        <v>2.6543824360736323E-8</v>
      </c>
      <c r="L78" s="78">
        <f>[1]!DPTEST(L6:L53)</f>
        <v>0.14919344080532981</v>
      </c>
      <c r="M78" s="78">
        <f>[1]!DPTEST(M6:M53)</f>
        <v>0.1991803538720438</v>
      </c>
      <c r="N78" s="78"/>
      <c r="O78" s="78">
        <f>[1]!DPTEST(O6:O53)</f>
        <v>6.334640269474745E-2</v>
      </c>
      <c r="P78" s="78">
        <f>[1]!DPTEST(P6:P53)</f>
        <v>0.32676505238220876</v>
      </c>
      <c r="Q78" s="78">
        <f>[1]!DPTEST(Q6:Q53)</f>
        <v>1.1836662016984079E-5</v>
      </c>
      <c r="R78" s="78">
        <f>[1]!DPTEST(R6:R53)</f>
        <v>1.7443711880837931E-5</v>
      </c>
      <c r="S78" s="78">
        <f>[1]!DPTEST(S6:S53)</f>
        <v>0.37696211962617165</v>
      </c>
      <c r="T78" s="78">
        <f>[1]!DPTEST(T6:T53)</f>
        <v>9.4781278758111931E-2</v>
      </c>
      <c r="U78" s="78">
        <f>[1]!DPTEST(U6:U53)</f>
        <v>0.58268494716215735</v>
      </c>
      <c r="V78" s="78">
        <f>[1]!DPTEST(V6:V53)</f>
        <v>2.0674500417889763E-2</v>
      </c>
    </row>
    <row r="79" spans="1:22" s="3" customFormat="1" x14ac:dyDescent="0.35">
      <c r="A79" s="45" t="s">
        <v>39</v>
      </c>
      <c r="B79" s="78" t="str">
        <f>IF(B78&gt;0.05,"Oui","Non")</f>
        <v>Non</v>
      </c>
      <c r="C79" s="78" t="str">
        <f t="shared" ref="C79:V79" si="15">IF(C78&gt;0.05,"Oui","Non")</f>
        <v>Non</v>
      </c>
      <c r="D79" s="78" t="str">
        <f t="shared" si="15"/>
        <v>Oui</v>
      </c>
      <c r="E79" s="78" t="str">
        <f t="shared" si="15"/>
        <v>Oui</v>
      </c>
      <c r="F79" s="78" t="str">
        <f t="shared" si="15"/>
        <v>Oui</v>
      </c>
      <c r="G79" s="78" t="str">
        <f t="shared" si="15"/>
        <v>Oui</v>
      </c>
      <c r="H79" s="78" t="str">
        <f t="shared" si="15"/>
        <v>Oui</v>
      </c>
      <c r="I79" s="78" t="str">
        <f t="shared" si="15"/>
        <v>Non</v>
      </c>
      <c r="J79" s="78" t="str">
        <f t="shared" si="15"/>
        <v>Non</v>
      </c>
      <c r="K79" s="78" t="str">
        <f t="shared" si="15"/>
        <v>Non</v>
      </c>
      <c r="L79" s="78" t="str">
        <f t="shared" si="15"/>
        <v>Oui</v>
      </c>
      <c r="M79" s="78" t="str">
        <f t="shared" si="15"/>
        <v>Oui</v>
      </c>
      <c r="N79" s="78"/>
      <c r="O79" s="78" t="str">
        <f t="shared" si="15"/>
        <v>Oui</v>
      </c>
      <c r="P79" s="78" t="str">
        <f t="shared" si="15"/>
        <v>Oui</v>
      </c>
      <c r="Q79" s="78" t="str">
        <f t="shared" si="15"/>
        <v>Non</v>
      </c>
      <c r="R79" s="78" t="str">
        <f t="shared" si="15"/>
        <v>Non</v>
      </c>
      <c r="S79" s="78" t="str">
        <f t="shared" si="15"/>
        <v>Oui</v>
      </c>
      <c r="T79" s="78" t="str">
        <f t="shared" si="15"/>
        <v>Oui</v>
      </c>
      <c r="U79" s="78" t="str">
        <f t="shared" si="15"/>
        <v>Oui</v>
      </c>
      <c r="V79" s="78" t="str">
        <f t="shared" si="15"/>
        <v>Non</v>
      </c>
    </row>
    <row r="80" spans="1:22" s="3" customFormat="1" x14ac:dyDescent="0.35">
      <c r="A80" s="45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</row>
    <row r="81" spans="1:23" s="3" customFormat="1" x14ac:dyDescent="0.35">
      <c r="A81" s="45" t="s">
        <v>40</v>
      </c>
      <c r="B81" s="78"/>
      <c r="C81" s="78" t="s">
        <v>55</v>
      </c>
      <c r="D81" s="78" t="s">
        <v>55</v>
      </c>
      <c r="E81" s="78" t="s">
        <v>55</v>
      </c>
      <c r="F81" s="78" t="s">
        <v>55</v>
      </c>
      <c r="G81" s="78" t="s">
        <v>55</v>
      </c>
      <c r="H81" s="78" t="s">
        <v>55</v>
      </c>
      <c r="I81" s="78" t="s">
        <v>55</v>
      </c>
      <c r="J81" s="78" t="s">
        <v>55</v>
      </c>
      <c r="K81" s="78" t="s">
        <v>55</v>
      </c>
      <c r="L81" s="78" t="s">
        <v>55</v>
      </c>
      <c r="M81" s="78" t="s">
        <v>55</v>
      </c>
      <c r="N81" s="78"/>
      <c r="O81" s="78" t="str">
        <f>IF($B79="Non",IF(O79="Non","Mann Withney",IF(O79="Oui","Mann Withney","")),IF($B79="Oui",IF(O79="Oui","T-Test Welch",IF(O79="Non","Mann Withney",""))))</f>
        <v>Mann Withney</v>
      </c>
      <c r="P81" s="78" t="str">
        <f t="shared" ref="P81:Q81" si="16">IF($O79="Non",IF(P79="Non","Mann Withney",IF(P$79="Oui","Mann Withney","")),IF($O79="Oui",IF(P79="Oui","T-Test Welch",IF(P79="Non","Mann Withney",""))))</f>
        <v>T-Test Welch</v>
      </c>
      <c r="Q81" s="78" t="str">
        <f t="shared" si="16"/>
        <v>Mann Withney</v>
      </c>
      <c r="R81" s="78" t="s">
        <v>55</v>
      </c>
      <c r="S81" s="78" t="s">
        <v>55</v>
      </c>
      <c r="T81" s="78" t="s">
        <v>55</v>
      </c>
      <c r="U81" s="78" t="s">
        <v>55</v>
      </c>
      <c r="V81" s="78" t="s">
        <v>55</v>
      </c>
    </row>
    <row r="82" spans="1:23" s="3" customFormat="1" x14ac:dyDescent="0.35">
      <c r="A82" s="45" t="s">
        <v>41</v>
      </c>
      <c r="B82" s="78"/>
      <c r="C82" s="78" t="s">
        <v>51</v>
      </c>
      <c r="D82" s="78">
        <v>0.24</v>
      </c>
      <c r="E82" s="78" t="s">
        <v>53</v>
      </c>
      <c r="F82" s="78" t="s">
        <v>53</v>
      </c>
      <c r="G82" s="78" t="s">
        <v>53</v>
      </c>
      <c r="H82" s="78" t="s">
        <v>53</v>
      </c>
      <c r="I82" s="78">
        <v>0.28999999999999998</v>
      </c>
      <c r="J82" s="78" t="s">
        <v>51</v>
      </c>
      <c r="K82" s="78" t="s">
        <v>51</v>
      </c>
      <c r="L82" s="78">
        <v>0.19</v>
      </c>
      <c r="M82" s="78">
        <v>8.0000000000000002E-3</v>
      </c>
      <c r="N82" s="78"/>
      <c r="O82" s="78">
        <f>IF(O81="Mann Withney",[1]!MTEST($B6:$B37,O6:O53,2), IF(O81="T-Test Welch",_xlfn.T.TEST($B6:$B37,O6:O53,2,3),""))</f>
        <v>1.8757936905755557E-5</v>
      </c>
      <c r="P82" s="78">
        <f>IF(P81="Mann Withney",[1]!MTEST($O6:$O53,P6:P53,2), IF(P81="T-Test Welch",_xlfn.T.TEST($O6:$O53,P6:P53,2,3),""))</f>
        <v>1.4648363616672324E-6</v>
      </c>
      <c r="Q82" s="78">
        <f>IF(Q81="Mann Withney",[1]!MTEST($O6:$O53,Q6:Q53,2), IF(Q81="T-Test Welch",_xlfn.T.TEST($O6:$O53,Q6:Q53,2,3),""))</f>
        <v>7.8284269289241593E-8</v>
      </c>
      <c r="R82" s="78" t="s">
        <v>51</v>
      </c>
      <c r="S82" s="78" t="s">
        <v>51</v>
      </c>
      <c r="T82" s="78">
        <v>0.62</v>
      </c>
      <c r="U82" s="78" t="s">
        <v>53</v>
      </c>
      <c r="V82" s="78" t="s">
        <v>53</v>
      </c>
    </row>
    <row r="83" spans="1:23" s="3" customFormat="1" ht="15" thickBot="1" x14ac:dyDescent="0.4">
      <c r="A83" s="46" t="s">
        <v>15</v>
      </c>
      <c r="B83" s="79"/>
      <c r="C83" s="79" t="s">
        <v>50</v>
      </c>
      <c r="D83" s="79" t="s">
        <v>50</v>
      </c>
      <c r="E83" s="79" t="s">
        <v>52</v>
      </c>
      <c r="F83" s="79" t="s">
        <v>52</v>
      </c>
      <c r="G83" s="79" t="s">
        <v>52</v>
      </c>
      <c r="H83" s="79" t="s">
        <v>52</v>
      </c>
      <c r="I83" s="79" t="s">
        <v>50</v>
      </c>
      <c r="J83" s="79" t="s">
        <v>50</v>
      </c>
      <c r="K83" s="79" t="s">
        <v>50</v>
      </c>
      <c r="L83" s="79" t="s">
        <v>50</v>
      </c>
      <c r="M83" s="79" t="s">
        <v>54</v>
      </c>
      <c r="N83" s="79"/>
      <c r="O83" s="79" t="str">
        <f t="shared" ref="O83" si="17">IF(O82&gt;0.05,"NS",IF(O82&gt;0.01,"*",IF(O82&gt;0.001,"**","***")))</f>
        <v>***</v>
      </c>
      <c r="P83" s="79" t="str">
        <f t="shared" ref="P83" si="18">IF(P82&gt;0.05,"NS",IF(P82&gt;0.01,"*",IF(P82&gt;0.001,"**","***")))</f>
        <v>***</v>
      </c>
      <c r="Q83" s="79" t="str">
        <f t="shared" ref="Q83" si="19">IF(Q82&gt;0.05,"NS",IF(Q82&gt;0.01,"*",IF(Q82&gt;0.001,"**","***")))</f>
        <v>***</v>
      </c>
      <c r="R83" s="79" t="s">
        <v>50</v>
      </c>
      <c r="S83" s="79" t="s">
        <v>50</v>
      </c>
      <c r="T83" s="79" t="s">
        <v>50</v>
      </c>
      <c r="U83" s="79" t="s">
        <v>52</v>
      </c>
      <c r="V83" s="79" t="s">
        <v>52</v>
      </c>
    </row>
    <row r="84" spans="1:23" s="1" customFormat="1" x14ac:dyDescent="0.35"/>
    <row r="85" spans="1:23" s="1" customFormat="1" x14ac:dyDescent="0.35">
      <c r="A85" s="2"/>
    </row>
    <row r="86" spans="1:23" x14ac:dyDescent="0.35">
      <c r="A86" s="1"/>
      <c r="B86" s="1"/>
    </row>
    <row r="87" spans="1:23" x14ac:dyDescent="0.35">
      <c r="A87" s="1"/>
      <c r="B87" s="1"/>
    </row>
    <row r="88" spans="1:23" ht="15" thickBot="1" x14ac:dyDescent="0.4"/>
    <row r="89" spans="1:23" s="32" customFormat="1" ht="26.5" thickBot="1" x14ac:dyDescent="0.4">
      <c r="A89" s="33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 spans="1:23" ht="15" thickBot="1" x14ac:dyDescent="0.4"/>
    <row r="91" spans="1:23" s="32" customFormat="1" ht="26.5" thickBot="1" x14ac:dyDescent="0.4">
      <c r="A91" s="33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  <row r="92" spans="1:23" ht="15" thickBot="1" x14ac:dyDescent="0.4"/>
    <row r="93" spans="1:23" s="32" customFormat="1" ht="26.5" thickBot="1" x14ac:dyDescent="0.4">
      <c r="A93" s="147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</row>
    <row r="94" spans="1:23" x14ac:dyDescent="0.35">
      <c r="B94" s="1">
        <f t="shared" ref="B94:V94" si="20">B75/$B$75</f>
        <v>1</v>
      </c>
      <c r="C94" s="1">
        <f t="shared" si="20"/>
        <v>1.3719934305387946</v>
      </c>
      <c r="D94" s="1">
        <f t="shared" si="20"/>
        <v>2.0487765626292331</v>
      </c>
      <c r="E94" s="1">
        <f t="shared" si="20"/>
        <v>4.5936394355658425</v>
      </c>
      <c r="F94" s="1">
        <f t="shared" si="20"/>
        <v>5.3633946214488128</v>
      </c>
      <c r="G94" s="1">
        <f t="shared" si="20"/>
        <v>5.5777943484598307</v>
      </c>
      <c r="H94" s="1">
        <f>H75/$B$75</f>
        <v>8.2366456853502044</v>
      </c>
      <c r="I94" s="1">
        <f t="shared" si="20"/>
        <v>0.12404363270248608</v>
      </c>
      <c r="J94" s="1">
        <f t="shared" si="20"/>
        <v>0.16728431977336608</v>
      </c>
      <c r="K94" s="1">
        <f t="shared" si="20"/>
        <v>0.44363438101226627</v>
      </c>
      <c r="L94" s="1">
        <f t="shared" si="20"/>
        <v>2.5380713225672658</v>
      </c>
      <c r="M94" s="1">
        <f t="shared" si="20"/>
        <v>3.4589567332603783</v>
      </c>
      <c r="N94" s="1">
        <f t="shared" si="20"/>
        <v>0</v>
      </c>
      <c r="O94" s="1">
        <f t="shared" si="20"/>
        <v>1.7335148377440506</v>
      </c>
      <c r="P94" s="1">
        <f t="shared" si="20"/>
        <v>6.027565822342468</v>
      </c>
      <c r="Q94" s="1">
        <f t="shared" si="20"/>
        <v>0.11116060305345338</v>
      </c>
      <c r="R94" s="1">
        <f t="shared" si="20"/>
        <v>1.2185745268064847</v>
      </c>
      <c r="S94" s="1">
        <f t="shared" si="20"/>
        <v>1.6049682529007188</v>
      </c>
      <c r="T94" s="1">
        <f t="shared" si="20"/>
        <v>2.4763516937907837</v>
      </c>
      <c r="U94" s="1">
        <f t="shared" si="20"/>
        <v>3.78484698600227</v>
      </c>
      <c r="V94" s="1">
        <f t="shared" si="20"/>
        <v>4.3666361747409619</v>
      </c>
      <c r="W94" s="1"/>
    </row>
    <row r="99" spans="3:16" x14ac:dyDescent="0.35">
      <c r="E99" s="1"/>
      <c r="F99" s="1"/>
      <c r="G99" s="1"/>
      <c r="H99" s="1"/>
      <c r="I99" s="1"/>
    </row>
    <row r="100" spans="3:16" x14ac:dyDescent="0.35">
      <c r="E100" s="1"/>
      <c r="F100" s="1"/>
      <c r="G100" s="1"/>
      <c r="H100" s="1"/>
      <c r="I100" s="1"/>
    </row>
    <row r="103" spans="3:16" x14ac:dyDescent="0.35">
      <c r="C103" s="1"/>
      <c r="D103" s="1"/>
    </row>
    <row r="104" spans="3:16" x14ac:dyDescent="0.35">
      <c r="C104" s="1"/>
      <c r="D104" s="1"/>
    </row>
    <row r="105" spans="3:16" x14ac:dyDescent="0.35">
      <c r="C105" s="1"/>
      <c r="D105" s="1"/>
    </row>
    <row r="106" spans="3:16" x14ac:dyDescent="0.35">
      <c r="C106" s="1"/>
      <c r="D106" s="1"/>
    </row>
    <row r="107" spans="3:16" x14ac:dyDescent="0.35">
      <c r="C107" s="1"/>
      <c r="D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3:16" x14ac:dyDescent="0.35"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3:16" x14ac:dyDescent="0.35">
      <c r="C109" s="1"/>
      <c r="D109" s="1"/>
    </row>
    <row r="110" spans="3:16" x14ac:dyDescent="0.35">
      <c r="C110" s="1"/>
      <c r="D110" s="1"/>
    </row>
    <row r="111" spans="3:16" x14ac:dyDescent="0.35">
      <c r="C111" s="1"/>
      <c r="D111" s="1"/>
    </row>
    <row r="112" spans="3:16" x14ac:dyDescent="0.35">
      <c r="C112" s="1"/>
      <c r="D112" s="1"/>
    </row>
    <row r="113" spans="3:4" x14ac:dyDescent="0.35">
      <c r="C113" s="1"/>
      <c r="D113" s="1"/>
    </row>
    <row r="114" spans="3:4" x14ac:dyDescent="0.35">
      <c r="C114" s="1"/>
      <c r="D114" s="1"/>
    </row>
    <row r="115" spans="3:4" x14ac:dyDescent="0.35">
      <c r="C115" s="1"/>
      <c r="D115" s="1"/>
    </row>
    <row r="116" spans="3:4" x14ac:dyDescent="0.35">
      <c r="C116" s="1"/>
      <c r="D116" s="1"/>
    </row>
    <row r="117" spans="3:4" x14ac:dyDescent="0.35">
      <c r="C117" s="1"/>
      <c r="D117" s="1"/>
    </row>
    <row r="118" spans="3:4" x14ac:dyDescent="0.35">
      <c r="C118" s="1"/>
      <c r="D118" s="1"/>
    </row>
    <row r="119" spans="3:4" x14ac:dyDescent="0.35">
      <c r="C119" s="1"/>
      <c r="D119" s="1"/>
    </row>
  </sheetData>
  <mergeCells count="10">
    <mergeCell ref="A7:A21"/>
    <mergeCell ref="A23:A37"/>
    <mergeCell ref="A93:V93"/>
    <mergeCell ref="O3:V3"/>
    <mergeCell ref="B3:M3"/>
    <mergeCell ref="A60:V60"/>
    <mergeCell ref="A72:V72"/>
    <mergeCell ref="A70:V70"/>
    <mergeCell ref="A65:V65"/>
    <mergeCell ref="A39:A53"/>
  </mergeCells>
  <pageMargins left="0.7" right="0.7" top="0.75" bottom="0.75" header="0.3" footer="0.3"/>
  <pageSetup paperSize="9" orientation="portrait" r:id="rId1"/>
  <headerFooter>
    <oddHeader>&amp;C&amp;"-,Gras"&amp;14Données poolées normalisées&amp;R&amp;"-,Gras"&amp;14Page : &amp;P/&amp;P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C436BD700BD428C1C0C71E54D8B5E" ma:contentTypeVersion="18" ma:contentTypeDescription="Create a new document." ma:contentTypeScope="" ma:versionID="782111b43a65dadfbc410eb6ccb7aa06">
  <xsd:schema xmlns:xsd="http://www.w3.org/2001/XMLSchema" xmlns:xs="http://www.w3.org/2001/XMLSchema" xmlns:p="http://schemas.microsoft.com/office/2006/metadata/properties" xmlns:ns2="cc801401-75a6-4297-ad63-d4d786ff6e7c" xmlns:ns3="508cc0b8-c8e1-4e41-95d2-be8416ed53ba" targetNamespace="http://schemas.microsoft.com/office/2006/metadata/properties" ma:root="true" ma:fieldsID="7f493af8791a6264672b29a70f2a6765" ns2:_="" ns3:_="">
    <xsd:import namespace="cc801401-75a6-4297-ad63-d4d786ff6e7c"/>
    <xsd:import namespace="508cc0b8-c8e1-4e41-95d2-be8416ed5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01401-75a6-4297-ad63-d4d786ff6e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2e281972-ae1b-43a4-854f-cb1565a95e46" ma:internalName="TaxCatchAll" ma:showField="CatchAllData" ma:web="cc801401-75a6-4297-ad63-d4d786ff6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cc0b8-c8e1-4e41-95d2-be8416ed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f2cd92-8d93-4e4c-83d3-86703d9155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48C1EE-71BA-4388-A2E3-98CCFB2058E0}"/>
</file>

<file path=customXml/itemProps2.xml><?xml version="1.0" encoding="utf-8"?>
<ds:datastoreItem xmlns:ds="http://schemas.openxmlformats.org/officeDocument/2006/customXml" ds:itemID="{7D717180-1DB9-4C17-A84D-10F9C237625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6</vt:i4>
      </vt:variant>
      <vt:variant>
        <vt:lpstr>Graphiques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11" baseType="lpstr">
      <vt:lpstr>Front page</vt:lpstr>
      <vt:lpstr>Comments R1</vt:lpstr>
      <vt:lpstr>R1</vt:lpstr>
      <vt:lpstr>R2</vt:lpstr>
      <vt:lpstr>R3</vt:lpstr>
      <vt:lpstr>pooled normalised values</vt:lpstr>
      <vt:lpstr>Graph R1</vt:lpstr>
      <vt:lpstr>Graph R2</vt:lpstr>
      <vt:lpstr>Graph R3</vt:lpstr>
      <vt:lpstr>pooled normalised graphe</vt:lpstr>
      <vt:lpstr>'Front page'!Zone_d_impression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2022-10-05T14:52:41Z</dcterms:modified>
</cp:coreProperties>
</file>