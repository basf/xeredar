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6.xml" ContentType="application/vnd.openxmlformats-officedocument.drawingml.chartshapes+xml"/>
  <Override PartName="/xl/drawings/drawing2.xml" ContentType="application/vnd.openxmlformats-officedocument.drawingml.chartshapes+xml"/>
  <Override PartName="/xl/drawings/drawing4.xml" ContentType="application/vnd.openxmlformats-officedocument.drawingml.chartshap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chartsheets/sheet3.xml" ContentType="application/vnd.openxmlformats-officedocument.spreadsheetml.chartsheet+xml"/>
  <Override PartName="/xl/worksheets/sheet6.xml" ContentType="application/vnd.openxmlformats-officedocument.spreadsheetml.work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filterPrivacy="1" hidePivotFieldList="1" defaultThemeVersion="124226"/>
  <xr:revisionPtr revIDLastSave="0" documentId="13_ncr:1_{F2281510-D235-4D88-B106-E174A10DF18A}" xr6:coauthVersionLast="47" xr6:coauthVersionMax="47" xr10:uidLastSave="{00000000-0000-0000-0000-000000000000}"/>
  <bookViews>
    <workbookView xWindow="-110" yWindow="-110" windowWidth="19420" windowHeight="10420" firstSheet="4" activeTab="8" xr2:uid="{00000000-000D-0000-FFFF-FFFF00000000}"/>
  </bookViews>
  <sheets>
    <sheet name="Front page" sheetId="10" r:id="rId1"/>
    <sheet name="Comments" sheetId="35" r:id="rId2"/>
    <sheet name="R1" sheetId="1" r:id="rId3"/>
    <sheet name="Graph R1" sheetId="8" r:id="rId4"/>
    <sheet name="R2" sheetId="23" r:id="rId5"/>
    <sheet name="Graph R2" sheetId="19" r:id="rId6"/>
    <sheet name="R3" sheetId="33" r:id="rId7"/>
    <sheet name="Graph R3" sheetId="34" r:id="rId8"/>
    <sheet name="pooled normalised values" sheetId="4" r:id="rId9"/>
    <sheet name="pooled normalised graphe" sheetId="5" r:id="rId10"/>
  </sheets>
  <externalReferences>
    <externalReference r:id="rId11"/>
  </externalReferences>
  <definedNames>
    <definedName name="_xlnm.Print_Area" localSheetId="0">'Front page'!$A$1:$I$51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94" i="4" l="1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O23" i="23" l="1"/>
  <c r="B28" i="23" s="1"/>
  <c r="A7" i="10"/>
  <c r="P36" i="1"/>
  <c r="Q36" i="1"/>
  <c r="R36" i="1"/>
  <c r="S36" i="1"/>
  <c r="T36" i="1"/>
  <c r="U36" i="1"/>
  <c r="V36" i="1"/>
  <c r="K35" i="1"/>
  <c r="B36" i="1"/>
  <c r="C36" i="1"/>
  <c r="D36" i="1"/>
  <c r="E36" i="1"/>
  <c r="F36" i="1"/>
  <c r="G36" i="1"/>
  <c r="H36" i="1"/>
  <c r="I36" i="1"/>
  <c r="J36" i="1"/>
  <c r="K36" i="1"/>
  <c r="L36" i="1"/>
  <c r="M36" i="1"/>
  <c r="A45" i="33"/>
  <c r="A27" i="33"/>
  <c r="A52" i="33" s="1"/>
  <c r="A22" i="33"/>
  <c r="A45" i="23"/>
  <c r="A27" i="23"/>
  <c r="A52" i="23" s="1"/>
  <c r="A22" i="23"/>
  <c r="A27" i="1"/>
  <c r="A45" i="1"/>
  <c r="B39" i="10"/>
  <c r="C39" i="10"/>
  <c r="D39" i="10"/>
  <c r="E39" i="10"/>
  <c r="B40" i="10"/>
  <c r="C40" i="10"/>
  <c r="D40" i="10"/>
  <c r="E40" i="10"/>
  <c r="B41" i="10"/>
  <c r="C41" i="10"/>
  <c r="D41" i="10"/>
  <c r="E41" i="10"/>
  <c r="B42" i="10"/>
  <c r="C42" i="10"/>
  <c r="D42" i="10"/>
  <c r="E42" i="10"/>
  <c r="B43" i="10"/>
  <c r="C43" i="10"/>
  <c r="D43" i="10"/>
  <c r="E43" i="10"/>
  <c r="B44" i="10"/>
  <c r="C44" i="10"/>
  <c r="D44" i="10"/>
  <c r="E44" i="10"/>
  <c r="B45" i="10"/>
  <c r="C45" i="10"/>
  <c r="D45" i="10"/>
  <c r="E45" i="10"/>
  <c r="B46" i="10"/>
  <c r="C46" i="10"/>
  <c r="D46" i="10"/>
  <c r="E46" i="10"/>
  <c r="B47" i="10"/>
  <c r="C47" i="10"/>
  <c r="D47" i="10"/>
  <c r="E47" i="10"/>
  <c r="B48" i="10"/>
  <c r="C48" i="10"/>
  <c r="D48" i="10"/>
  <c r="E48" i="10"/>
  <c r="B49" i="10"/>
  <c r="C49" i="10"/>
  <c r="D49" i="10"/>
  <c r="E49" i="10"/>
  <c r="B50" i="10"/>
  <c r="C50" i="10"/>
  <c r="D50" i="10"/>
  <c r="E50" i="10"/>
  <c r="B51" i="10"/>
  <c r="C51" i="10"/>
  <c r="D51" i="10"/>
  <c r="E51" i="10"/>
  <c r="B52" i="10"/>
  <c r="C52" i="10"/>
  <c r="D52" i="10"/>
  <c r="E52" i="10"/>
  <c r="B53" i="10"/>
  <c r="C53" i="10"/>
  <c r="D53" i="10"/>
  <c r="E53" i="10"/>
  <c r="B54" i="10"/>
  <c r="C54" i="10"/>
  <c r="D54" i="10"/>
  <c r="E54" i="10"/>
  <c r="B55" i="10"/>
  <c r="C55" i="10"/>
  <c r="D55" i="10"/>
  <c r="E55" i="10"/>
  <c r="B56" i="10"/>
  <c r="C56" i="10"/>
  <c r="D56" i="10"/>
  <c r="E56" i="10"/>
  <c r="B57" i="10"/>
  <c r="C57" i="10"/>
  <c r="D57" i="10"/>
  <c r="E57" i="10"/>
  <c r="C38" i="10"/>
  <c r="D38" i="10"/>
  <c r="E38" i="10"/>
  <c r="B38" i="10"/>
  <c r="A8" i="10" l="1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B4" i="33" l="1"/>
  <c r="B4" i="23" l="1"/>
  <c r="B4" i="1"/>
  <c r="H4" i="33" l="1"/>
  <c r="H4" i="23"/>
  <c r="H4" i="1"/>
  <c r="G4" i="33"/>
  <c r="G4" i="23"/>
  <c r="G4" i="1"/>
  <c r="C4" i="33"/>
  <c r="C4" i="23"/>
  <c r="C4" i="1"/>
  <c r="D4" i="33"/>
  <c r="D4" i="23"/>
  <c r="D4" i="1"/>
  <c r="F4" i="33" l="1"/>
  <c r="F4" i="23"/>
  <c r="F4" i="1"/>
  <c r="E4" i="33"/>
  <c r="E4" i="23"/>
  <c r="E4" i="1"/>
  <c r="I4" i="33"/>
  <c r="I4" i="23"/>
  <c r="I4" i="1"/>
  <c r="V43" i="33" l="1"/>
  <c r="V53" i="4" s="1"/>
  <c r="U43" i="33"/>
  <c r="U53" i="4" s="1"/>
  <c r="T43" i="33"/>
  <c r="T53" i="4" s="1"/>
  <c r="S43" i="33"/>
  <c r="S53" i="4" s="1"/>
  <c r="R43" i="33"/>
  <c r="R53" i="4" s="1"/>
  <c r="Q43" i="33"/>
  <c r="Q53" i="4" s="1"/>
  <c r="P43" i="33"/>
  <c r="P53" i="4" s="1"/>
  <c r="M43" i="33"/>
  <c r="M53" i="4" s="1"/>
  <c r="L43" i="33"/>
  <c r="L53" i="4" s="1"/>
  <c r="K43" i="33"/>
  <c r="K53" i="4" s="1"/>
  <c r="J43" i="33"/>
  <c r="J53" i="4" s="1"/>
  <c r="I43" i="33"/>
  <c r="I53" i="4" s="1"/>
  <c r="H43" i="33"/>
  <c r="H53" i="4" s="1"/>
  <c r="G43" i="33"/>
  <c r="G53" i="4" s="1"/>
  <c r="F43" i="33"/>
  <c r="F53" i="4" s="1"/>
  <c r="E43" i="33"/>
  <c r="E53" i="4" s="1"/>
  <c r="D43" i="33"/>
  <c r="D53" i="4" s="1"/>
  <c r="C43" i="33"/>
  <c r="C53" i="4" s="1"/>
  <c r="B43" i="33"/>
  <c r="B53" i="4" s="1"/>
  <c r="V42" i="33"/>
  <c r="V52" i="4" s="1"/>
  <c r="U42" i="33"/>
  <c r="U52" i="4" s="1"/>
  <c r="T42" i="33"/>
  <c r="T52" i="4" s="1"/>
  <c r="S42" i="33"/>
  <c r="S52" i="4" s="1"/>
  <c r="R42" i="33"/>
  <c r="R52" i="4" s="1"/>
  <c r="Q42" i="33"/>
  <c r="Q52" i="4" s="1"/>
  <c r="P42" i="33"/>
  <c r="P52" i="4" s="1"/>
  <c r="M42" i="33"/>
  <c r="M52" i="4" s="1"/>
  <c r="L42" i="33"/>
  <c r="L52" i="4" s="1"/>
  <c r="K42" i="33"/>
  <c r="K52" i="4" s="1"/>
  <c r="J42" i="33"/>
  <c r="J52" i="4" s="1"/>
  <c r="I42" i="33"/>
  <c r="I52" i="4" s="1"/>
  <c r="H42" i="33"/>
  <c r="H52" i="4" s="1"/>
  <c r="G42" i="33"/>
  <c r="G52" i="4" s="1"/>
  <c r="F42" i="33"/>
  <c r="F52" i="4" s="1"/>
  <c r="E42" i="33"/>
  <c r="E52" i="4" s="1"/>
  <c r="D42" i="33"/>
  <c r="D52" i="4" s="1"/>
  <c r="C42" i="33"/>
  <c r="C52" i="4" s="1"/>
  <c r="B42" i="33"/>
  <c r="B52" i="4" s="1"/>
  <c r="V41" i="33"/>
  <c r="V51" i="4" s="1"/>
  <c r="U41" i="33"/>
  <c r="U51" i="4" s="1"/>
  <c r="T41" i="33"/>
  <c r="T51" i="4" s="1"/>
  <c r="S41" i="33"/>
  <c r="S51" i="4" s="1"/>
  <c r="R41" i="33"/>
  <c r="R51" i="4" s="1"/>
  <c r="Q41" i="33"/>
  <c r="Q51" i="4" s="1"/>
  <c r="P41" i="33"/>
  <c r="P51" i="4" s="1"/>
  <c r="M41" i="33"/>
  <c r="M51" i="4" s="1"/>
  <c r="L41" i="33"/>
  <c r="L51" i="4" s="1"/>
  <c r="K41" i="33"/>
  <c r="K51" i="4" s="1"/>
  <c r="J41" i="33"/>
  <c r="J51" i="4" s="1"/>
  <c r="I41" i="33"/>
  <c r="I51" i="4" s="1"/>
  <c r="H41" i="33"/>
  <c r="H51" i="4" s="1"/>
  <c r="G41" i="33"/>
  <c r="G51" i="4" s="1"/>
  <c r="F41" i="33"/>
  <c r="F51" i="4" s="1"/>
  <c r="E41" i="33"/>
  <c r="E51" i="4" s="1"/>
  <c r="D41" i="33"/>
  <c r="D51" i="4" s="1"/>
  <c r="C41" i="33"/>
  <c r="C51" i="4" s="1"/>
  <c r="B41" i="33"/>
  <c r="B51" i="4" s="1"/>
  <c r="V40" i="33"/>
  <c r="V50" i="4" s="1"/>
  <c r="U40" i="33"/>
  <c r="U50" i="4" s="1"/>
  <c r="T40" i="33"/>
  <c r="T50" i="4" s="1"/>
  <c r="S40" i="33"/>
  <c r="S50" i="4" s="1"/>
  <c r="R40" i="33"/>
  <c r="R50" i="4" s="1"/>
  <c r="Q40" i="33"/>
  <c r="Q50" i="4" s="1"/>
  <c r="P40" i="33"/>
  <c r="P50" i="4" s="1"/>
  <c r="M40" i="33"/>
  <c r="M50" i="4" s="1"/>
  <c r="L40" i="33"/>
  <c r="L50" i="4" s="1"/>
  <c r="K40" i="33"/>
  <c r="K50" i="4" s="1"/>
  <c r="J40" i="33"/>
  <c r="J50" i="4" s="1"/>
  <c r="I40" i="33"/>
  <c r="I50" i="4" s="1"/>
  <c r="H40" i="33"/>
  <c r="H50" i="4" s="1"/>
  <c r="G40" i="33"/>
  <c r="G50" i="4" s="1"/>
  <c r="F40" i="33"/>
  <c r="F50" i="4" s="1"/>
  <c r="E40" i="33"/>
  <c r="E50" i="4" s="1"/>
  <c r="D40" i="33"/>
  <c r="D50" i="4" s="1"/>
  <c r="C40" i="33"/>
  <c r="C50" i="4" s="1"/>
  <c r="B40" i="33"/>
  <c r="B50" i="4" s="1"/>
  <c r="V39" i="33"/>
  <c r="V49" i="4" s="1"/>
  <c r="U39" i="33"/>
  <c r="U49" i="4" s="1"/>
  <c r="T39" i="33"/>
  <c r="T49" i="4" s="1"/>
  <c r="S39" i="33"/>
  <c r="S49" i="4" s="1"/>
  <c r="R39" i="33"/>
  <c r="R49" i="4" s="1"/>
  <c r="Q39" i="33"/>
  <c r="Q49" i="4" s="1"/>
  <c r="P39" i="33"/>
  <c r="P49" i="4" s="1"/>
  <c r="M39" i="33"/>
  <c r="M49" i="4" s="1"/>
  <c r="L39" i="33"/>
  <c r="L49" i="4" s="1"/>
  <c r="K39" i="33"/>
  <c r="K49" i="4" s="1"/>
  <c r="J39" i="33"/>
  <c r="J49" i="4" s="1"/>
  <c r="I39" i="33"/>
  <c r="I49" i="4" s="1"/>
  <c r="H39" i="33"/>
  <c r="H49" i="4" s="1"/>
  <c r="G39" i="33"/>
  <c r="G49" i="4" s="1"/>
  <c r="F39" i="33"/>
  <c r="F49" i="4" s="1"/>
  <c r="E39" i="33"/>
  <c r="E49" i="4" s="1"/>
  <c r="D39" i="33"/>
  <c r="D49" i="4" s="1"/>
  <c r="C39" i="33"/>
  <c r="C49" i="4" s="1"/>
  <c r="B39" i="33"/>
  <c r="B49" i="4" s="1"/>
  <c r="V38" i="33"/>
  <c r="V48" i="4" s="1"/>
  <c r="U38" i="33"/>
  <c r="U48" i="4" s="1"/>
  <c r="T38" i="33"/>
  <c r="T48" i="4" s="1"/>
  <c r="S38" i="33"/>
  <c r="S48" i="4" s="1"/>
  <c r="R38" i="33"/>
  <c r="R48" i="4" s="1"/>
  <c r="Q38" i="33"/>
  <c r="Q48" i="4" s="1"/>
  <c r="P38" i="33"/>
  <c r="P48" i="4" s="1"/>
  <c r="M38" i="33"/>
  <c r="M48" i="4" s="1"/>
  <c r="L38" i="33"/>
  <c r="L48" i="4" s="1"/>
  <c r="K38" i="33"/>
  <c r="K48" i="4" s="1"/>
  <c r="J38" i="33"/>
  <c r="J48" i="4" s="1"/>
  <c r="I38" i="33"/>
  <c r="I48" i="4" s="1"/>
  <c r="H38" i="33"/>
  <c r="H48" i="4" s="1"/>
  <c r="G38" i="33"/>
  <c r="G48" i="4" s="1"/>
  <c r="F38" i="33"/>
  <c r="F48" i="4" s="1"/>
  <c r="E38" i="33"/>
  <c r="E48" i="4" s="1"/>
  <c r="D38" i="33"/>
  <c r="D48" i="4" s="1"/>
  <c r="C38" i="33"/>
  <c r="C48" i="4" s="1"/>
  <c r="B38" i="33"/>
  <c r="B48" i="4" s="1"/>
  <c r="V37" i="33"/>
  <c r="V47" i="4" s="1"/>
  <c r="U37" i="33"/>
  <c r="U47" i="4" s="1"/>
  <c r="T37" i="33"/>
  <c r="T47" i="4" s="1"/>
  <c r="S37" i="33"/>
  <c r="S47" i="4" s="1"/>
  <c r="R37" i="33"/>
  <c r="R47" i="4" s="1"/>
  <c r="Q37" i="33"/>
  <c r="Q47" i="4" s="1"/>
  <c r="P37" i="33"/>
  <c r="P47" i="4" s="1"/>
  <c r="M37" i="33"/>
  <c r="M47" i="4" s="1"/>
  <c r="L37" i="33"/>
  <c r="L47" i="4" s="1"/>
  <c r="K37" i="33"/>
  <c r="K47" i="4" s="1"/>
  <c r="J37" i="33"/>
  <c r="J47" i="4" s="1"/>
  <c r="I37" i="33"/>
  <c r="I47" i="4" s="1"/>
  <c r="H37" i="33"/>
  <c r="H47" i="4" s="1"/>
  <c r="G37" i="33"/>
  <c r="G47" i="4" s="1"/>
  <c r="F37" i="33"/>
  <c r="F47" i="4" s="1"/>
  <c r="E37" i="33"/>
  <c r="E47" i="4" s="1"/>
  <c r="D37" i="33"/>
  <c r="D47" i="4" s="1"/>
  <c r="C37" i="33"/>
  <c r="C47" i="4" s="1"/>
  <c r="B37" i="33"/>
  <c r="B47" i="4" s="1"/>
  <c r="V36" i="33"/>
  <c r="V46" i="4" s="1"/>
  <c r="U36" i="33"/>
  <c r="U46" i="4" s="1"/>
  <c r="T36" i="33"/>
  <c r="T46" i="4" s="1"/>
  <c r="S36" i="33"/>
  <c r="S46" i="4" s="1"/>
  <c r="R36" i="33"/>
  <c r="R46" i="4" s="1"/>
  <c r="Q36" i="33"/>
  <c r="Q46" i="4" s="1"/>
  <c r="P36" i="33"/>
  <c r="P46" i="4" s="1"/>
  <c r="M36" i="33"/>
  <c r="M46" i="4" s="1"/>
  <c r="L36" i="33"/>
  <c r="L46" i="4" s="1"/>
  <c r="K36" i="33"/>
  <c r="K46" i="4" s="1"/>
  <c r="J36" i="33"/>
  <c r="J46" i="4" s="1"/>
  <c r="I36" i="33"/>
  <c r="I46" i="4" s="1"/>
  <c r="H36" i="33"/>
  <c r="H46" i="4" s="1"/>
  <c r="G36" i="33"/>
  <c r="G46" i="4" s="1"/>
  <c r="F36" i="33"/>
  <c r="F46" i="4" s="1"/>
  <c r="E36" i="33"/>
  <c r="E46" i="4" s="1"/>
  <c r="D36" i="33"/>
  <c r="D46" i="4" s="1"/>
  <c r="C36" i="33"/>
  <c r="C46" i="4" s="1"/>
  <c r="B36" i="33"/>
  <c r="B46" i="4" s="1"/>
  <c r="V35" i="33"/>
  <c r="V45" i="4" s="1"/>
  <c r="U35" i="33"/>
  <c r="U45" i="4" s="1"/>
  <c r="T35" i="33"/>
  <c r="T45" i="4" s="1"/>
  <c r="S35" i="33"/>
  <c r="S45" i="4" s="1"/>
  <c r="R35" i="33"/>
  <c r="R45" i="4" s="1"/>
  <c r="Q35" i="33"/>
  <c r="Q45" i="4" s="1"/>
  <c r="P35" i="33"/>
  <c r="P45" i="4" s="1"/>
  <c r="V30" i="33"/>
  <c r="V40" i="4" s="1"/>
  <c r="U30" i="33"/>
  <c r="U40" i="4" s="1"/>
  <c r="T30" i="33"/>
  <c r="T40" i="4" s="1"/>
  <c r="S30" i="33"/>
  <c r="S40" i="4" s="1"/>
  <c r="R30" i="33"/>
  <c r="R40" i="4" s="1"/>
  <c r="Q30" i="33"/>
  <c r="Q40" i="4" s="1"/>
  <c r="P30" i="33"/>
  <c r="P40" i="4" s="1"/>
  <c r="V29" i="33"/>
  <c r="V39" i="4" s="1"/>
  <c r="U29" i="33"/>
  <c r="U39" i="4" s="1"/>
  <c r="T29" i="33"/>
  <c r="T39" i="4" s="1"/>
  <c r="S29" i="33"/>
  <c r="S39" i="4" s="1"/>
  <c r="R29" i="33"/>
  <c r="R39" i="4" s="1"/>
  <c r="Q29" i="33"/>
  <c r="Q39" i="4" s="1"/>
  <c r="P29" i="33"/>
  <c r="P39" i="4" s="1"/>
  <c r="V28" i="33"/>
  <c r="U28" i="33"/>
  <c r="T28" i="33"/>
  <c r="S28" i="33"/>
  <c r="R28" i="33"/>
  <c r="Q28" i="33"/>
  <c r="P28" i="33"/>
  <c r="V24" i="33"/>
  <c r="U24" i="33"/>
  <c r="T24" i="33"/>
  <c r="S24" i="33"/>
  <c r="R24" i="33"/>
  <c r="Q24" i="33"/>
  <c r="P24" i="33"/>
  <c r="O24" i="33"/>
  <c r="L24" i="33"/>
  <c r="J24" i="33"/>
  <c r="I24" i="33"/>
  <c r="H24" i="33"/>
  <c r="G24" i="33"/>
  <c r="F24" i="33"/>
  <c r="E24" i="33"/>
  <c r="D24" i="33"/>
  <c r="C24" i="33"/>
  <c r="B24" i="33"/>
  <c r="V23" i="33"/>
  <c r="U23" i="33"/>
  <c r="T23" i="33"/>
  <c r="S23" i="33"/>
  <c r="R23" i="33"/>
  <c r="Q23" i="33"/>
  <c r="P23" i="33"/>
  <c r="O23" i="33"/>
  <c r="V34" i="33" s="1"/>
  <c r="V44" i="4" s="1"/>
  <c r="L23" i="33"/>
  <c r="J23" i="33"/>
  <c r="I23" i="33"/>
  <c r="H23" i="33"/>
  <c r="G23" i="33"/>
  <c r="F23" i="33"/>
  <c r="E23" i="33"/>
  <c r="D23" i="33"/>
  <c r="C23" i="33"/>
  <c r="B23" i="33"/>
  <c r="H22" i="33"/>
  <c r="G45" i="33"/>
  <c r="F27" i="33"/>
  <c r="F52" i="33" s="1"/>
  <c r="E45" i="33"/>
  <c r="D22" i="33"/>
  <c r="C45" i="33"/>
  <c r="B45" i="33"/>
  <c r="C29" i="33" l="1"/>
  <c r="C39" i="4" s="1"/>
  <c r="F29" i="33"/>
  <c r="F39" i="4" s="1"/>
  <c r="O29" i="33"/>
  <c r="O39" i="4" s="1"/>
  <c r="B34" i="33"/>
  <c r="B44" i="4" s="1"/>
  <c r="O41" i="33"/>
  <c r="O51" i="4" s="1"/>
  <c r="B28" i="33"/>
  <c r="C28" i="33"/>
  <c r="D28" i="33"/>
  <c r="C34" i="33"/>
  <c r="C44" i="4" s="1"/>
  <c r="O38" i="33"/>
  <c r="O48" i="4" s="1"/>
  <c r="O42" i="33"/>
  <c r="O52" i="4" s="1"/>
  <c r="G34" i="33"/>
  <c r="G44" i="4" s="1"/>
  <c r="B29" i="33"/>
  <c r="B39" i="4" s="1"/>
  <c r="O37" i="33"/>
  <c r="O47" i="4" s="1"/>
  <c r="E28" i="33"/>
  <c r="E38" i="4" s="1"/>
  <c r="F28" i="33"/>
  <c r="F38" i="4" s="1"/>
  <c r="F35" i="33"/>
  <c r="F45" i="4" s="1"/>
  <c r="G35" i="33"/>
  <c r="G45" i="4" s="1"/>
  <c r="K35" i="33"/>
  <c r="K45" i="4" s="1"/>
  <c r="O39" i="33"/>
  <c r="O49" i="4" s="1"/>
  <c r="O43" i="33"/>
  <c r="O53" i="4" s="1"/>
  <c r="J28" i="33"/>
  <c r="G28" i="33"/>
  <c r="O30" i="33"/>
  <c r="O40" i="4" s="1"/>
  <c r="O36" i="33"/>
  <c r="O46" i="4" s="1"/>
  <c r="O40" i="33"/>
  <c r="O50" i="4" s="1"/>
  <c r="D34" i="33"/>
  <c r="D44" i="4" s="1"/>
  <c r="H35" i="33"/>
  <c r="H45" i="4" s="1"/>
  <c r="E34" i="33"/>
  <c r="E44" i="4" s="1"/>
  <c r="I35" i="33"/>
  <c r="I45" i="4" s="1"/>
  <c r="F34" i="33"/>
  <c r="F44" i="4" s="1"/>
  <c r="J35" i="33"/>
  <c r="J45" i="4" s="1"/>
  <c r="H28" i="33"/>
  <c r="D29" i="33"/>
  <c r="D39" i="4" s="1"/>
  <c r="H34" i="33"/>
  <c r="H44" i="4" s="1"/>
  <c r="L35" i="33"/>
  <c r="L45" i="4" s="1"/>
  <c r="I28" i="33"/>
  <c r="E29" i="33"/>
  <c r="E39" i="4" s="1"/>
  <c r="I34" i="33"/>
  <c r="I44" i="4" s="1"/>
  <c r="M35" i="33"/>
  <c r="M45" i="4" s="1"/>
  <c r="K34" i="33"/>
  <c r="K44" i="4" s="1"/>
  <c r="K28" i="33"/>
  <c r="L28" i="33"/>
  <c r="H29" i="33"/>
  <c r="H39" i="4" s="1"/>
  <c r="L34" i="33"/>
  <c r="L44" i="4" s="1"/>
  <c r="M28" i="33"/>
  <c r="M38" i="4" s="1"/>
  <c r="I29" i="33"/>
  <c r="I39" i="4" s="1"/>
  <c r="M34" i="33"/>
  <c r="M44" i="4" s="1"/>
  <c r="J34" i="33"/>
  <c r="J44" i="4" s="1"/>
  <c r="G29" i="33"/>
  <c r="G39" i="4" s="1"/>
  <c r="O28" i="33"/>
  <c r="J29" i="33"/>
  <c r="J39" i="4" s="1"/>
  <c r="B35" i="33"/>
  <c r="B45" i="4" s="1"/>
  <c r="C35" i="33"/>
  <c r="C45" i="4" s="1"/>
  <c r="K29" i="33"/>
  <c r="K39" i="4" s="1"/>
  <c r="L29" i="33"/>
  <c r="L39" i="4" s="1"/>
  <c r="D35" i="33"/>
  <c r="D45" i="4" s="1"/>
  <c r="O35" i="33"/>
  <c r="O45" i="4" s="1"/>
  <c r="M29" i="33"/>
  <c r="M39" i="4" s="1"/>
  <c r="E35" i="33"/>
  <c r="E45" i="4" s="1"/>
  <c r="L32" i="33"/>
  <c r="L42" i="4" s="1"/>
  <c r="M33" i="33"/>
  <c r="M43" i="4" s="1"/>
  <c r="F30" i="33"/>
  <c r="P31" i="33"/>
  <c r="Q32" i="33"/>
  <c r="Q42" i="4" s="1"/>
  <c r="R33" i="33"/>
  <c r="R43" i="4" s="1"/>
  <c r="B30" i="33"/>
  <c r="V33" i="33"/>
  <c r="V43" i="4" s="1"/>
  <c r="O34" i="33"/>
  <c r="O44" i="4" s="1"/>
  <c r="K31" i="33"/>
  <c r="K41" i="4" s="1"/>
  <c r="J30" i="33"/>
  <c r="C31" i="33"/>
  <c r="C41" i="4" s="1"/>
  <c r="T31" i="33"/>
  <c r="D32" i="33"/>
  <c r="D42" i="4" s="1"/>
  <c r="U32" i="33"/>
  <c r="U42" i="4" s="1"/>
  <c r="E33" i="33"/>
  <c r="E43" i="4" s="1"/>
  <c r="G31" i="33"/>
  <c r="G41" i="4" s="1"/>
  <c r="H32" i="33"/>
  <c r="H42" i="4" s="1"/>
  <c r="I33" i="33"/>
  <c r="I43" i="4" s="1"/>
  <c r="S34" i="33"/>
  <c r="S44" i="4" s="1"/>
  <c r="C30" i="33"/>
  <c r="G30" i="33"/>
  <c r="K30" i="33"/>
  <c r="D31" i="33"/>
  <c r="D41" i="4" s="1"/>
  <c r="H31" i="33"/>
  <c r="H41" i="4" s="1"/>
  <c r="L31" i="33"/>
  <c r="L41" i="4" s="1"/>
  <c r="Q31" i="33"/>
  <c r="U31" i="33"/>
  <c r="I32" i="33"/>
  <c r="I42" i="4" s="1"/>
  <c r="M32" i="33"/>
  <c r="M42" i="4" s="1"/>
  <c r="V32" i="33"/>
  <c r="V42" i="4" s="1"/>
  <c r="B33" i="33"/>
  <c r="B43" i="4" s="1"/>
  <c r="E32" i="33"/>
  <c r="E42" i="4" s="1"/>
  <c r="R32" i="33"/>
  <c r="R42" i="4" s="1"/>
  <c r="F33" i="33"/>
  <c r="F43" i="4" s="1"/>
  <c r="J33" i="33"/>
  <c r="J43" i="4" s="1"/>
  <c r="O33" i="33"/>
  <c r="O43" i="4" s="1"/>
  <c r="S33" i="33"/>
  <c r="S43" i="4" s="1"/>
  <c r="P34" i="33"/>
  <c r="P44" i="4" s="1"/>
  <c r="T34" i="33"/>
  <c r="T44" i="4" s="1"/>
  <c r="D30" i="33"/>
  <c r="H30" i="33"/>
  <c r="L30" i="33"/>
  <c r="E31" i="33"/>
  <c r="E41" i="4" s="1"/>
  <c r="I31" i="33"/>
  <c r="I41" i="4" s="1"/>
  <c r="M31" i="33"/>
  <c r="M41" i="4" s="1"/>
  <c r="R31" i="33"/>
  <c r="V31" i="33"/>
  <c r="B32" i="33"/>
  <c r="B42" i="4" s="1"/>
  <c r="F32" i="33"/>
  <c r="F42" i="4" s="1"/>
  <c r="J32" i="33"/>
  <c r="J42" i="4" s="1"/>
  <c r="O32" i="33"/>
  <c r="O42" i="4" s="1"/>
  <c r="S32" i="33"/>
  <c r="S42" i="4" s="1"/>
  <c r="C33" i="33"/>
  <c r="C43" i="4" s="1"/>
  <c r="G33" i="33"/>
  <c r="G43" i="4" s="1"/>
  <c r="K33" i="33"/>
  <c r="K43" i="4" s="1"/>
  <c r="P33" i="33"/>
  <c r="P43" i="4" s="1"/>
  <c r="T33" i="33"/>
  <c r="T43" i="4" s="1"/>
  <c r="Q34" i="33"/>
  <c r="Q44" i="4" s="1"/>
  <c r="U34" i="33"/>
  <c r="U44" i="4" s="1"/>
  <c r="E30" i="33"/>
  <c r="I30" i="33"/>
  <c r="M30" i="33"/>
  <c r="B31" i="33"/>
  <c r="B41" i="4" s="1"/>
  <c r="F31" i="33"/>
  <c r="F41" i="4" s="1"/>
  <c r="J31" i="33"/>
  <c r="J41" i="4" s="1"/>
  <c r="O31" i="33"/>
  <c r="S31" i="33"/>
  <c r="S47" i="33" s="1"/>
  <c r="S48" i="33" s="1"/>
  <c r="S54" i="33" s="1"/>
  <c r="C32" i="33"/>
  <c r="C42" i="4" s="1"/>
  <c r="G32" i="33"/>
  <c r="G42" i="4" s="1"/>
  <c r="K32" i="33"/>
  <c r="K42" i="4" s="1"/>
  <c r="P32" i="33"/>
  <c r="P42" i="4" s="1"/>
  <c r="T32" i="33"/>
  <c r="T42" i="4" s="1"/>
  <c r="D33" i="33"/>
  <c r="D43" i="4" s="1"/>
  <c r="H33" i="33"/>
  <c r="H43" i="4" s="1"/>
  <c r="L33" i="33"/>
  <c r="L43" i="4" s="1"/>
  <c r="Q33" i="33"/>
  <c r="Q43" i="4" s="1"/>
  <c r="U33" i="33"/>
  <c r="U43" i="4" s="1"/>
  <c r="R34" i="33"/>
  <c r="R44" i="4" s="1"/>
  <c r="D38" i="4"/>
  <c r="H38" i="4"/>
  <c r="U38" i="4"/>
  <c r="I38" i="4"/>
  <c r="V38" i="4"/>
  <c r="R38" i="4"/>
  <c r="B38" i="4"/>
  <c r="B22" i="33"/>
  <c r="E22" i="33"/>
  <c r="I45" i="33"/>
  <c r="I52" i="33"/>
  <c r="I27" i="33"/>
  <c r="C38" i="4"/>
  <c r="G38" i="4"/>
  <c r="P38" i="4"/>
  <c r="T38" i="4"/>
  <c r="B27" i="33"/>
  <c r="B52" i="33" s="1"/>
  <c r="L38" i="4"/>
  <c r="Q38" i="4"/>
  <c r="D27" i="33"/>
  <c r="D52" i="33" s="1"/>
  <c r="I22" i="33"/>
  <c r="E27" i="33"/>
  <c r="E52" i="33" s="1"/>
  <c r="J38" i="4"/>
  <c r="O38" i="4"/>
  <c r="S38" i="4"/>
  <c r="D45" i="33"/>
  <c r="F22" i="33"/>
  <c r="F45" i="33"/>
  <c r="G22" i="33"/>
  <c r="G27" i="33"/>
  <c r="G52" i="33" s="1"/>
  <c r="C22" i="33"/>
  <c r="C27" i="33"/>
  <c r="C52" i="33" s="1"/>
  <c r="H27" i="33"/>
  <c r="H52" i="33" s="1"/>
  <c r="H45" i="33"/>
  <c r="F56" i="33"/>
  <c r="R56" i="33"/>
  <c r="M56" i="33"/>
  <c r="V56" i="33"/>
  <c r="D56" i="33"/>
  <c r="T56" i="33"/>
  <c r="P56" i="33"/>
  <c r="U56" i="33"/>
  <c r="K56" i="33"/>
  <c r="E56" i="33"/>
  <c r="O56" i="33"/>
  <c r="C56" i="33"/>
  <c r="H56" i="33"/>
  <c r="J56" i="33"/>
  <c r="G56" i="33"/>
  <c r="B56" i="33"/>
  <c r="Q56" i="33"/>
  <c r="I56" i="33"/>
  <c r="S56" i="33"/>
  <c r="L56" i="33"/>
  <c r="I47" i="33" l="1"/>
  <c r="I48" i="33" s="1"/>
  <c r="I54" i="33" s="1"/>
  <c r="K47" i="33"/>
  <c r="K38" i="4"/>
  <c r="L47" i="33"/>
  <c r="E46" i="33"/>
  <c r="E53" i="33" s="1"/>
  <c r="G47" i="33"/>
  <c r="G48" i="33" s="1"/>
  <c r="G54" i="33" s="1"/>
  <c r="C47" i="33"/>
  <c r="C48" i="33" s="1"/>
  <c r="C54" i="33" s="1"/>
  <c r="R46" i="33"/>
  <c r="R53" i="33" s="1"/>
  <c r="R47" i="33"/>
  <c r="R48" i="33" s="1"/>
  <c r="R54" i="33" s="1"/>
  <c r="Q46" i="33"/>
  <c r="Q53" i="33" s="1"/>
  <c r="I46" i="33"/>
  <c r="I53" i="33" s="1"/>
  <c r="H46" i="33"/>
  <c r="H53" i="33" s="1"/>
  <c r="D46" i="33"/>
  <c r="D53" i="33" s="1"/>
  <c r="H47" i="33"/>
  <c r="H48" i="33" s="1"/>
  <c r="H54" i="33" s="1"/>
  <c r="G46" i="33"/>
  <c r="G53" i="33" s="1"/>
  <c r="S57" i="33"/>
  <c r="V57" i="33"/>
  <c r="U57" i="33"/>
  <c r="P57" i="33"/>
  <c r="O57" i="33"/>
  <c r="Q59" i="33" s="1"/>
  <c r="M57" i="33"/>
  <c r="R57" i="33"/>
  <c r="K57" i="33"/>
  <c r="J57" i="33"/>
  <c r="F57" i="33"/>
  <c r="I57" i="33"/>
  <c r="H57" i="33"/>
  <c r="G57" i="33"/>
  <c r="L57" i="33"/>
  <c r="Q57" i="33"/>
  <c r="B57" i="33"/>
  <c r="F59" i="33" s="1"/>
  <c r="E57" i="33"/>
  <c r="D57" i="33"/>
  <c r="C57" i="33"/>
  <c r="T57" i="33"/>
  <c r="S41" i="4"/>
  <c r="V41" i="4"/>
  <c r="U41" i="4"/>
  <c r="P41" i="4"/>
  <c r="L48" i="33"/>
  <c r="L54" i="33" s="1"/>
  <c r="K48" i="33"/>
  <c r="K54" i="33" s="1"/>
  <c r="O41" i="4"/>
  <c r="M40" i="4"/>
  <c r="R41" i="4"/>
  <c r="K40" i="4"/>
  <c r="J40" i="4"/>
  <c r="F40" i="4"/>
  <c r="O47" i="33"/>
  <c r="O48" i="33" s="1"/>
  <c r="O54" i="33" s="1"/>
  <c r="I40" i="4"/>
  <c r="H40" i="4"/>
  <c r="G40" i="4"/>
  <c r="L40" i="4"/>
  <c r="Q41" i="4"/>
  <c r="B40" i="4"/>
  <c r="M46" i="33"/>
  <c r="M53" i="33" s="1"/>
  <c r="V46" i="33"/>
  <c r="V53" i="33" s="1"/>
  <c r="M47" i="33"/>
  <c r="M48" i="33" s="1"/>
  <c r="M54" i="33" s="1"/>
  <c r="B46" i="33"/>
  <c r="B53" i="33" s="1"/>
  <c r="U46" i="33"/>
  <c r="U53" i="33" s="1"/>
  <c r="Q47" i="33"/>
  <c r="Q48" i="33" s="1"/>
  <c r="Q54" i="33" s="1"/>
  <c r="F46" i="33"/>
  <c r="F53" i="33" s="1"/>
  <c r="E40" i="4"/>
  <c r="D40" i="4"/>
  <c r="C40" i="4"/>
  <c r="T41" i="4"/>
  <c r="V47" i="33"/>
  <c r="V48" i="33" s="1"/>
  <c r="V54" i="33" s="1"/>
  <c r="E47" i="33"/>
  <c r="E48" i="33" s="1"/>
  <c r="E54" i="33" s="1"/>
  <c r="U47" i="33"/>
  <c r="U48" i="33" s="1"/>
  <c r="U54" i="33" s="1"/>
  <c r="D47" i="33"/>
  <c r="D48" i="33" s="1"/>
  <c r="D54" i="33" s="1"/>
  <c r="S46" i="33"/>
  <c r="S53" i="33" s="1"/>
  <c r="J47" i="33"/>
  <c r="J48" i="33" s="1"/>
  <c r="J54" i="33" s="1"/>
  <c r="P47" i="33"/>
  <c r="P48" i="33" s="1"/>
  <c r="P54" i="33" s="1"/>
  <c r="J46" i="33"/>
  <c r="J53" i="33" s="1"/>
  <c r="B47" i="33"/>
  <c r="B48" i="33" s="1"/>
  <c r="B54" i="33" s="1"/>
  <c r="O46" i="33"/>
  <c r="O53" i="33" s="1"/>
  <c r="O55" i="33" s="1"/>
  <c r="T47" i="33"/>
  <c r="T48" i="33" s="1"/>
  <c r="T54" i="33" s="1"/>
  <c r="C46" i="33"/>
  <c r="C53" i="33" s="1"/>
  <c r="F47" i="33"/>
  <c r="F48" i="33" s="1"/>
  <c r="F54" i="33" s="1"/>
  <c r="T46" i="33"/>
  <c r="T53" i="33" s="1"/>
  <c r="P46" i="33"/>
  <c r="P53" i="33" s="1"/>
  <c r="L46" i="33"/>
  <c r="L53" i="33" s="1"/>
  <c r="K46" i="33"/>
  <c r="K53" i="33" s="1"/>
  <c r="P55" i="33" l="1"/>
  <c r="M55" i="33"/>
  <c r="J59" i="33"/>
  <c r="E59" i="33"/>
  <c r="H59" i="33"/>
  <c r="H60" i="33" s="1"/>
  <c r="H61" i="33" s="1"/>
  <c r="R59" i="33"/>
  <c r="R60" i="33" s="1"/>
  <c r="R61" i="33" s="1"/>
  <c r="T59" i="33"/>
  <c r="T60" i="33" s="1"/>
  <c r="T61" i="33" s="1"/>
  <c r="P59" i="33"/>
  <c r="P60" i="33" s="1"/>
  <c r="P61" i="33" s="1"/>
  <c r="U59" i="33"/>
  <c r="U60" i="33" s="1"/>
  <c r="U61" i="33" s="1"/>
  <c r="S59" i="33"/>
  <c r="S60" i="33" s="1"/>
  <c r="S61" i="33" s="1"/>
  <c r="V59" i="33"/>
  <c r="V60" i="33" s="1"/>
  <c r="V61" i="33" s="1"/>
  <c r="S55" i="33"/>
  <c r="L59" i="33"/>
  <c r="L60" i="33" s="1"/>
  <c r="L61" i="33" s="1"/>
  <c r="D59" i="33"/>
  <c r="O59" i="33"/>
  <c r="O60" i="33" s="1"/>
  <c r="O61" i="33" s="1"/>
  <c r="C59" i="33"/>
  <c r="C60" i="33" s="1"/>
  <c r="C61" i="33" s="1"/>
  <c r="G59" i="33"/>
  <c r="G60" i="33" s="1"/>
  <c r="G61" i="33" s="1"/>
  <c r="I59" i="33"/>
  <c r="I60" i="33" s="1"/>
  <c r="I61" i="33" s="1"/>
  <c r="K59" i="33"/>
  <c r="M59" i="33"/>
  <c r="Q60" i="33"/>
  <c r="Q61" i="33" s="1"/>
  <c r="F60" i="33"/>
  <c r="F61" i="33" s="1"/>
  <c r="E60" i="33"/>
  <c r="E61" i="33" s="1"/>
  <c r="J60" i="33"/>
  <c r="J61" i="33" s="1"/>
  <c r="T55" i="33"/>
  <c r="R55" i="33"/>
  <c r="Q55" i="33"/>
  <c r="U55" i="33"/>
  <c r="V55" i="33"/>
  <c r="D55" i="33"/>
  <c r="B55" i="33"/>
  <c r="K55" i="33"/>
  <c r="L55" i="33"/>
  <c r="G55" i="33"/>
  <c r="F55" i="33"/>
  <c r="C55" i="33"/>
  <c r="J55" i="33"/>
  <c r="H55" i="33"/>
  <c r="I55" i="33"/>
  <c r="E55" i="33"/>
  <c r="D60" i="33"/>
  <c r="M60" i="33"/>
  <c r="K60" i="33"/>
  <c r="K61" i="33" l="1"/>
  <c r="M61" i="33"/>
  <c r="D61" i="33"/>
  <c r="M4" i="33"/>
  <c r="L4" i="33" l="1"/>
  <c r="L22" i="33" s="1"/>
  <c r="K4" i="33"/>
  <c r="K22" i="33" s="1"/>
  <c r="J4" i="33"/>
  <c r="J52" i="33" s="1"/>
  <c r="M45" i="33"/>
  <c r="M52" i="33"/>
  <c r="M27" i="33"/>
  <c r="M22" i="33"/>
  <c r="K45" i="33" l="1"/>
  <c r="K52" i="33"/>
  <c r="K27" i="33"/>
  <c r="O4" i="33"/>
  <c r="O4" i="23"/>
  <c r="O4" i="1"/>
  <c r="Q4" i="1"/>
  <c r="Q4" i="33"/>
  <c r="Q4" i="23"/>
  <c r="P4" i="33"/>
  <c r="P4" i="23"/>
  <c r="P4" i="1"/>
  <c r="J22" i="33"/>
  <c r="L52" i="33"/>
  <c r="J45" i="33"/>
  <c r="L27" i="33"/>
  <c r="J27" i="33"/>
  <c r="L45" i="33"/>
  <c r="Q22" i="33" l="1"/>
  <c r="Q45" i="33"/>
  <c r="Q27" i="33"/>
  <c r="Q52" i="33" s="1"/>
  <c r="O27" i="33"/>
  <c r="O52" i="33" s="1"/>
  <c r="O22" i="33"/>
  <c r="O45" i="33"/>
  <c r="P22" i="33"/>
  <c r="P45" i="33"/>
  <c r="P27" i="33"/>
  <c r="P52" i="33" s="1"/>
  <c r="P22" i="1" l="1"/>
  <c r="Q45" i="1"/>
  <c r="P28" i="23"/>
  <c r="Q28" i="23"/>
  <c r="R28" i="23"/>
  <c r="S28" i="23"/>
  <c r="S22" i="4" s="1"/>
  <c r="T28" i="23"/>
  <c r="T22" i="4" s="1"/>
  <c r="U28" i="23"/>
  <c r="V28" i="23"/>
  <c r="P29" i="23"/>
  <c r="Q29" i="23"/>
  <c r="Q23" i="4" s="1"/>
  <c r="R29" i="23"/>
  <c r="R23" i="4" s="1"/>
  <c r="S29" i="23"/>
  <c r="S23" i="4" s="1"/>
  <c r="T29" i="23"/>
  <c r="T23" i="4" s="1"/>
  <c r="U29" i="23"/>
  <c r="U23" i="4" s="1"/>
  <c r="V29" i="23"/>
  <c r="V23" i="4" s="1"/>
  <c r="P30" i="23"/>
  <c r="P24" i="4" s="1"/>
  <c r="Q30" i="23"/>
  <c r="Q24" i="4" s="1"/>
  <c r="R30" i="23"/>
  <c r="R24" i="4" s="1"/>
  <c r="S30" i="23"/>
  <c r="S24" i="4" s="1"/>
  <c r="T30" i="23"/>
  <c r="T24" i="4" s="1"/>
  <c r="U30" i="23"/>
  <c r="U24" i="4" s="1"/>
  <c r="V30" i="23"/>
  <c r="V24" i="4" s="1"/>
  <c r="P31" i="23"/>
  <c r="P25" i="4" s="1"/>
  <c r="Q31" i="23"/>
  <c r="Q25" i="4" s="1"/>
  <c r="R31" i="23"/>
  <c r="R25" i="4" s="1"/>
  <c r="S31" i="23"/>
  <c r="S25" i="4" s="1"/>
  <c r="T31" i="23"/>
  <c r="T25" i="4" s="1"/>
  <c r="U31" i="23"/>
  <c r="U25" i="4" s="1"/>
  <c r="V31" i="23"/>
  <c r="V25" i="4" s="1"/>
  <c r="P32" i="23"/>
  <c r="P26" i="4" s="1"/>
  <c r="Q32" i="23"/>
  <c r="Q26" i="4" s="1"/>
  <c r="R32" i="23"/>
  <c r="R26" i="4" s="1"/>
  <c r="S32" i="23"/>
  <c r="S26" i="4" s="1"/>
  <c r="T32" i="23"/>
  <c r="T26" i="4" s="1"/>
  <c r="U32" i="23"/>
  <c r="U26" i="4" s="1"/>
  <c r="V32" i="23"/>
  <c r="V26" i="4" s="1"/>
  <c r="P37" i="23"/>
  <c r="P31" i="4" s="1"/>
  <c r="Q37" i="23"/>
  <c r="Q31" i="4" s="1"/>
  <c r="R37" i="23"/>
  <c r="R31" i="4" s="1"/>
  <c r="S37" i="23"/>
  <c r="S31" i="4" s="1"/>
  <c r="T37" i="23"/>
  <c r="T31" i="4" s="1"/>
  <c r="U37" i="23"/>
  <c r="U31" i="4" s="1"/>
  <c r="V37" i="23"/>
  <c r="V31" i="4" s="1"/>
  <c r="P38" i="23"/>
  <c r="P32" i="4" s="1"/>
  <c r="Q38" i="23"/>
  <c r="Q32" i="4" s="1"/>
  <c r="R38" i="23"/>
  <c r="R32" i="4" s="1"/>
  <c r="S38" i="23"/>
  <c r="S32" i="4" s="1"/>
  <c r="T38" i="23"/>
  <c r="T32" i="4" s="1"/>
  <c r="U38" i="23"/>
  <c r="U32" i="4" s="1"/>
  <c r="V38" i="23"/>
  <c r="V32" i="4" s="1"/>
  <c r="P39" i="23"/>
  <c r="P33" i="4" s="1"/>
  <c r="Q39" i="23"/>
  <c r="Q33" i="4" s="1"/>
  <c r="R39" i="23"/>
  <c r="R33" i="4" s="1"/>
  <c r="S39" i="23"/>
  <c r="S33" i="4" s="1"/>
  <c r="T39" i="23"/>
  <c r="T33" i="4" s="1"/>
  <c r="U39" i="23"/>
  <c r="U33" i="4" s="1"/>
  <c r="V39" i="23"/>
  <c r="V33" i="4" s="1"/>
  <c r="P40" i="23"/>
  <c r="P34" i="4" s="1"/>
  <c r="Q40" i="23"/>
  <c r="Q34" i="4" s="1"/>
  <c r="R40" i="23"/>
  <c r="R34" i="4" s="1"/>
  <c r="S40" i="23"/>
  <c r="S34" i="4" s="1"/>
  <c r="T40" i="23"/>
  <c r="T34" i="4" s="1"/>
  <c r="U40" i="23"/>
  <c r="U34" i="4" s="1"/>
  <c r="V40" i="23"/>
  <c r="V34" i="4" s="1"/>
  <c r="P41" i="23"/>
  <c r="P35" i="4" s="1"/>
  <c r="Q41" i="23"/>
  <c r="Q35" i="4" s="1"/>
  <c r="R41" i="23"/>
  <c r="R35" i="4" s="1"/>
  <c r="S41" i="23"/>
  <c r="S35" i="4" s="1"/>
  <c r="T41" i="23"/>
  <c r="T35" i="4" s="1"/>
  <c r="U41" i="23"/>
  <c r="U35" i="4" s="1"/>
  <c r="V41" i="23"/>
  <c r="V35" i="4" s="1"/>
  <c r="P42" i="23"/>
  <c r="P36" i="4" s="1"/>
  <c r="Q42" i="23"/>
  <c r="Q36" i="4" s="1"/>
  <c r="R42" i="23"/>
  <c r="R36" i="4" s="1"/>
  <c r="S42" i="23"/>
  <c r="S36" i="4" s="1"/>
  <c r="T42" i="23"/>
  <c r="T36" i="4" s="1"/>
  <c r="U42" i="23"/>
  <c r="U36" i="4" s="1"/>
  <c r="V42" i="23"/>
  <c r="V36" i="4" s="1"/>
  <c r="P43" i="23"/>
  <c r="Q43" i="23"/>
  <c r="Q37" i="4" s="1"/>
  <c r="R43" i="23"/>
  <c r="S43" i="23"/>
  <c r="T43" i="23"/>
  <c r="U43" i="23"/>
  <c r="U37" i="4" s="1"/>
  <c r="V43" i="23"/>
  <c r="O29" i="23"/>
  <c r="O23" i="4" s="1"/>
  <c r="O39" i="23"/>
  <c r="O33" i="4" s="1"/>
  <c r="O40" i="23"/>
  <c r="O34" i="4" s="1"/>
  <c r="O41" i="23"/>
  <c r="O35" i="4" s="1"/>
  <c r="O42" i="23"/>
  <c r="O36" i="4" s="1"/>
  <c r="O43" i="23"/>
  <c r="K28" i="23"/>
  <c r="L28" i="23"/>
  <c r="M28" i="23"/>
  <c r="K29" i="23"/>
  <c r="K23" i="4" s="1"/>
  <c r="L29" i="23"/>
  <c r="L23" i="4" s="1"/>
  <c r="M29" i="23"/>
  <c r="M23" i="4" s="1"/>
  <c r="K30" i="23"/>
  <c r="K24" i="4" s="1"/>
  <c r="L30" i="23"/>
  <c r="L24" i="4" s="1"/>
  <c r="M30" i="23"/>
  <c r="M24" i="4" s="1"/>
  <c r="K31" i="23"/>
  <c r="K25" i="4" s="1"/>
  <c r="L31" i="23"/>
  <c r="L25" i="4" s="1"/>
  <c r="M31" i="23"/>
  <c r="M25" i="4" s="1"/>
  <c r="K36" i="23"/>
  <c r="K30" i="4" s="1"/>
  <c r="L36" i="23"/>
  <c r="L30" i="4" s="1"/>
  <c r="M36" i="23"/>
  <c r="M30" i="4" s="1"/>
  <c r="K37" i="23"/>
  <c r="K31" i="4" s="1"/>
  <c r="L37" i="23"/>
  <c r="L31" i="4" s="1"/>
  <c r="M37" i="23"/>
  <c r="M31" i="4" s="1"/>
  <c r="K38" i="23"/>
  <c r="K32" i="4" s="1"/>
  <c r="L38" i="23"/>
  <c r="L32" i="4" s="1"/>
  <c r="M38" i="23"/>
  <c r="M32" i="4" s="1"/>
  <c r="K39" i="23"/>
  <c r="K33" i="4" s="1"/>
  <c r="L39" i="23"/>
  <c r="L33" i="4" s="1"/>
  <c r="M39" i="23"/>
  <c r="M33" i="4" s="1"/>
  <c r="K40" i="23"/>
  <c r="K34" i="4" s="1"/>
  <c r="L40" i="23"/>
  <c r="L34" i="4" s="1"/>
  <c r="M40" i="23"/>
  <c r="M34" i="4" s="1"/>
  <c r="K41" i="23"/>
  <c r="K35" i="4" s="1"/>
  <c r="L41" i="23"/>
  <c r="L35" i="4" s="1"/>
  <c r="M41" i="23"/>
  <c r="M35" i="4" s="1"/>
  <c r="K42" i="23"/>
  <c r="K36" i="4" s="1"/>
  <c r="L42" i="23"/>
  <c r="L36" i="4" s="1"/>
  <c r="M42" i="23"/>
  <c r="M36" i="4" s="1"/>
  <c r="K43" i="23"/>
  <c r="L43" i="23"/>
  <c r="M43" i="23"/>
  <c r="S14" i="4"/>
  <c r="T14" i="4"/>
  <c r="U14" i="4"/>
  <c r="V14" i="4"/>
  <c r="S37" i="1"/>
  <c r="S15" i="4" s="1"/>
  <c r="T37" i="1"/>
  <c r="T15" i="4" s="1"/>
  <c r="U37" i="1"/>
  <c r="U15" i="4" s="1"/>
  <c r="V37" i="1"/>
  <c r="V15" i="4" s="1"/>
  <c r="S38" i="1"/>
  <c r="S16" i="4" s="1"/>
  <c r="T38" i="1"/>
  <c r="T16" i="4" s="1"/>
  <c r="U38" i="1"/>
  <c r="U16" i="4" s="1"/>
  <c r="V38" i="1"/>
  <c r="V16" i="4" s="1"/>
  <c r="S39" i="1"/>
  <c r="S17" i="4" s="1"/>
  <c r="T39" i="1"/>
  <c r="T17" i="4" s="1"/>
  <c r="U39" i="1"/>
  <c r="U17" i="4" s="1"/>
  <c r="V39" i="1"/>
  <c r="V17" i="4" s="1"/>
  <c r="S40" i="1"/>
  <c r="S18" i="4" s="1"/>
  <c r="T40" i="1"/>
  <c r="T18" i="4" s="1"/>
  <c r="U40" i="1"/>
  <c r="U18" i="4" s="1"/>
  <c r="V40" i="1"/>
  <c r="V18" i="4" s="1"/>
  <c r="S41" i="1"/>
  <c r="S19" i="4" s="1"/>
  <c r="T41" i="1"/>
  <c r="T19" i="4" s="1"/>
  <c r="U41" i="1"/>
  <c r="U19" i="4" s="1"/>
  <c r="V41" i="1"/>
  <c r="V19" i="4" s="1"/>
  <c r="S42" i="1"/>
  <c r="S20" i="4" s="1"/>
  <c r="T42" i="1"/>
  <c r="T20" i="4" s="1"/>
  <c r="U42" i="1"/>
  <c r="U20" i="4" s="1"/>
  <c r="V42" i="1"/>
  <c r="V20" i="4" s="1"/>
  <c r="S43" i="1"/>
  <c r="S21" i="4" s="1"/>
  <c r="T43" i="1"/>
  <c r="U43" i="1"/>
  <c r="V43" i="1"/>
  <c r="K13" i="4"/>
  <c r="K14" i="4"/>
  <c r="L14" i="4"/>
  <c r="M14" i="4"/>
  <c r="K37" i="1"/>
  <c r="K15" i="4" s="1"/>
  <c r="L37" i="1"/>
  <c r="L15" i="4" s="1"/>
  <c r="M37" i="1"/>
  <c r="M15" i="4" s="1"/>
  <c r="K38" i="1"/>
  <c r="K16" i="4" s="1"/>
  <c r="L38" i="1"/>
  <c r="L16" i="4" s="1"/>
  <c r="M38" i="1"/>
  <c r="M16" i="4" s="1"/>
  <c r="K39" i="1"/>
  <c r="K17" i="4" s="1"/>
  <c r="L39" i="1"/>
  <c r="L17" i="4" s="1"/>
  <c r="M39" i="1"/>
  <c r="M17" i="4" s="1"/>
  <c r="K40" i="1"/>
  <c r="K18" i="4" s="1"/>
  <c r="L40" i="1"/>
  <c r="L18" i="4" s="1"/>
  <c r="M40" i="1"/>
  <c r="M18" i="4" s="1"/>
  <c r="K41" i="1"/>
  <c r="K19" i="4" s="1"/>
  <c r="L41" i="1"/>
  <c r="L19" i="4" s="1"/>
  <c r="M41" i="1"/>
  <c r="M19" i="4" s="1"/>
  <c r="K42" i="1"/>
  <c r="K20" i="4" s="1"/>
  <c r="L42" i="1"/>
  <c r="L20" i="4" s="1"/>
  <c r="M42" i="1"/>
  <c r="M20" i="4" s="1"/>
  <c r="K43" i="1"/>
  <c r="L43" i="1"/>
  <c r="M43" i="1"/>
  <c r="N45" i="1"/>
  <c r="A22" i="1"/>
  <c r="I43" i="23"/>
  <c r="H43" i="23"/>
  <c r="G43" i="23"/>
  <c r="F43" i="23"/>
  <c r="E43" i="23"/>
  <c r="D43" i="23"/>
  <c r="C43" i="23"/>
  <c r="B43" i="23"/>
  <c r="I42" i="23"/>
  <c r="I36" i="4" s="1"/>
  <c r="H42" i="23"/>
  <c r="H36" i="4" s="1"/>
  <c r="G42" i="23"/>
  <c r="G36" i="4" s="1"/>
  <c r="F42" i="23"/>
  <c r="F36" i="4" s="1"/>
  <c r="E42" i="23"/>
  <c r="E36" i="4" s="1"/>
  <c r="D42" i="23"/>
  <c r="D36" i="4" s="1"/>
  <c r="C42" i="23"/>
  <c r="C36" i="4" s="1"/>
  <c r="B42" i="23"/>
  <c r="B36" i="4" s="1"/>
  <c r="I41" i="23"/>
  <c r="I35" i="4" s="1"/>
  <c r="H41" i="23"/>
  <c r="H35" i="4" s="1"/>
  <c r="G41" i="23"/>
  <c r="G35" i="4" s="1"/>
  <c r="F41" i="23"/>
  <c r="F35" i="4" s="1"/>
  <c r="E41" i="23"/>
  <c r="E35" i="4" s="1"/>
  <c r="D41" i="23"/>
  <c r="D35" i="4" s="1"/>
  <c r="C41" i="23"/>
  <c r="C35" i="4" s="1"/>
  <c r="B41" i="23"/>
  <c r="B35" i="4" s="1"/>
  <c r="I40" i="23"/>
  <c r="I34" i="4" s="1"/>
  <c r="H40" i="23"/>
  <c r="H34" i="4" s="1"/>
  <c r="G40" i="23"/>
  <c r="G34" i="4" s="1"/>
  <c r="F40" i="23"/>
  <c r="F34" i="4" s="1"/>
  <c r="E40" i="23"/>
  <c r="E34" i="4" s="1"/>
  <c r="D40" i="23"/>
  <c r="D34" i="4" s="1"/>
  <c r="C40" i="23"/>
  <c r="C34" i="4" s="1"/>
  <c r="B40" i="23"/>
  <c r="B34" i="4" s="1"/>
  <c r="I39" i="23"/>
  <c r="I33" i="4" s="1"/>
  <c r="H39" i="23"/>
  <c r="H33" i="4" s="1"/>
  <c r="G39" i="23"/>
  <c r="G33" i="4" s="1"/>
  <c r="F39" i="23"/>
  <c r="F33" i="4" s="1"/>
  <c r="E39" i="23"/>
  <c r="E33" i="4" s="1"/>
  <c r="D39" i="23"/>
  <c r="D33" i="4" s="1"/>
  <c r="C39" i="23"/>
  <c r="C33" i="4" s="1"/>
  <c r="B39" i="23"/>
  <c r="B33" i="4" s="1"/>
  <c r="I38" i="23"/>
  <c r="I32" i="4" s="1"/>
  <c r="H38" i="23"/>
  <c r="H32" i="4" s="1"/>
  <c r="G38" i="23"/>
  <c r="G32" i="4" s="1"/>
  <c r="F38" i="23"/>
  <c r="F32" i="4" s="1"/>
  <c r="E38" i="23"/>
  <c r="E32" i="4" s="1"/>
  <c r="D38" i="23"/>
  <c r="D32" i="4" s="1"/>
  <c r="C38" i="23"/>
  <c r="C32" i="4" s="1"/>
  <c r="I37" i="23"/>
  <c r="I31" i="4" s="1"/>
  <c r="H37" i="23"/>
  <c r="H31" i="4" s="1"/>
  <c r="G37" i="23"/>
  <c r="G31" i="4" s="1"/>
  <c r="F37" i="23"/>
  <c r="F31" i="4" s="1"/>
  <c r="E37" i="23"/>
  <c r="E31" i="4" s="1"/>
  <c r="D37" i="23"/>
  <c r="D31" i="4" s="1"/>
  <c r="C37" i="23"/>
  <c r="C31" i="4" s="1"/>
  <c r="B37" i="23"/>
  <c r="B31" i="4" s="1"/>
  <c r="I36" i="23"/>
  <c r="I30" i="4" s="1"/>
  <c r="H36" i="23"/>
  <c r="H30" i="4" s="1"/>
  <c r="G36" i="23"/>
  <c r="G30" i="4" s="1"/>
  <c r="F36" i="23"/>
  <c r="F30" i="4" s="1"/>
  <c r="E36" i="23"/>
  <c r="E30" i="4" s="1"/>
  <c r="D36" i="23"/>
  <c r="D30" i="4" s="1"/>
  <c r="C36" i="23"/>
  <c r="C30" i="4" s="1"/>
  <c r="B36" i="23"/>
  <c r="B30" i="4" s="1"/>
  <c r="V24" i="23"/>
  <c r="U24" i="23"/>
  <c r="T24" i="23"/>
  <c r="S24" i="23"/>
  <c r="R24" i="23"/>
  <c r="Q24" i="23"/>
  <c r="P24" i="23"/>
  <c r="O24" i="23"/>
  <c r="L24" i="23"/>
  <c r="J24" i="23"/>
  <c r="I24" i="23"/>
  <c r="H24" i="23"/>
  <c r="G24" i="23"/>
  <c r="F24" i="23"/>
  <c r="E24" i="23"/>
  <c r="D24" i="23"/>
  <c r="C24" i="23"/>
  <c r="B24" i="23"/>
  <c r="V23" i="23"/>
  <c r="U23" i="23"/>
  <c r="T23" i="23"/>
  <c r="S23" i="23"/>
  <c r="R23" i="23"/>
  <c r="Q23" i="23"/>
  <c r="P23" i="23"/>
  <c r="B32" i="23"/>
  <c r="B26" i="4" s="1"/>
  <c r="L23" i="23"/>
  <c r="J23" i="23"/>
  <c r="I23" i="23"/>
  <c r="H23" i="23"/>
  <c r="G23" i="23"/>
  <c r="F23" i="23"/>
  <c r="E23" i="23"/>
  <c r="D23" i="23"/>
  <c r="C23" i="23"/>
  <c r="B23" i="23"/>
  <c r="Q45" i="23"/>
  <c r="P45" i="23"/>
  <c r="O45" i="23"/>
  <c r="I22" i="23"/>
  <c r="H27" i="23"/>
  <c r="H52" i="23" s="1"/>
  <c r="G45" i="23"/>
  <c r="F27" i="23"/>
  <c r="F52" i="23" s="1"/>
  <c r="E45" i="23"/>
  <c r="C45" i="23"/>
  <c r="B45" i="23"/>
  <c r="E30" i="23"/>
  <c r="E24" i="4" s="1"/>
  <c r="F29" i="23"/>
  <c r="F23" i="4" s="1"/>
  <c r="D31" i="23"/>
  <c r="D25" i="4" s="1"/>
  <c r="C28" i="23"/>
  <c r="J29" i="23"/>
  <c r="J23" i="4" s="1"/>
  <c r="J40" i="23"/>
  <c r="J34" i="4" s="1"/>
  <c r="J36" i="23"/>
  <c r="J30" i="4" s="1"/>
  <c r="G31" i="23"/>
  <c r="G25" i="4" s="1"/>
  <c r="C31" i="23"/>
  <c r="C25" i="4" s="1"/>
  <c r="H30" i="23"/>
  <c r="H24" i="4" s="1"/>
  <c r="D30" i="23"/>
  <c r="D24" i="4" s="1"/>
  <c r="I29" i="23"/>
  <c r="I23" i="4" s="1"/>
  <c r="E29" i="23"/>
  <c r="E23" i="4" s="1"/>
  <c r="J28" i="23"/>
  <c r="F28" i="23"/>
  <c r="J42" i="23"/>
  <c r="J36" i="4" s="1"/>
  <c r="J38" i="23"/>
  <c r="J32" i="4" s="1"/>
  <c r="I31" i="23"/>
  <c r="I25" i="4" s="1"/>
  <c r="E31" i="23"/>
  <c r="E25" i="4" s="1"/>
  <c r="J30" i="23"/>
  <c r="J24" i="4" s="1"/>
  <c r="F30" i="23"/>
  <c r="F24" i="4" s="1"/>
  <c r="C29" i="23"/>
  <c r="C23" i="4" s="1"/>
  <c r="D28" i="23"/>
  <c r="J41" i="23"/>
  <c r="J35" i="4" s="1"/>
  <c r="J37" i="23"/>
  <c r="J31" i="4" s="1"/>
  <c r="I34" i="23"/>
  <c r="I28" i="4" s="1"/>
  <c r="J43" i="23"/>
  <c r="J39" i="23"/>
  <c r="J33" i="4" s="1"/>
  <c r="I32" i="23"/>
  <c r="I26" i="4" s="1"/>
  <c r="J31" i="23"/>
  <c r="J25" i="4" s="1"/>
  <c r="F31" i="23"/>
  <c r="F25" i="4" s="1"/>
  <c r="G30" i="23"/>
  <c r="G24" i="4" s="1"/>
  <c r="C30" i="23"/>
  <c r="C24" i="4" s="1"/>
  <c r="H29" i="23"/>
  <c r="H23" i="4" s="1"/>
  <c r="D29" i="23"/>
  <c r="D23" i="4" s="1"/>
  <c r="I28" i="23"/>
  <c r="E28" i="23"/>
  <c r="G29" i="23"/>
  <c r="G23" i="4" s="1"/>
  <c r="H28" i="23"/>
  <c r="H31" i="23"/>
  <c r="H25" i="4" s="1"/>
  <c r="G28" i="23"/>
  <c r="I30" i="23"/>
  <c r="I24" i="4" s="1"/>
  <c r="P22" i="23"/>
  <c r="S23" i="1"/>
  <c r="T23" i="1"/>
  <c r="U23" i="1"/>
  <c r="V23" i="1"/>
  <c r="S24" i="1"/>
  <c r="T24" i="1"/>
  <c r="U24" i="1"/>
  <c r="V24" i="1"/>
  <c r="L23" i="1"/>
  <c r="M23" i="1"/>
  <c r="L24" i="1"/>
  <c r="M24" i="1"/>
  <c r="I23" i="1"/>
  <c r="I24" i="1"/>
  <c r="C14" i="4"/>
  <c r="D14" i="4"/>
  <c r="E14" i="4"/>
  <c r="F14" i="4"/>
  <c r="G14" i="4"/>
  <c r="H14" i="4"/>
  <c r="I14" i="4"/>
  <c r="J14" i="4"/>
  <c r="C37" i="1"/>
  <c r="C15" i="4" s="1"/>
  <c r="D37" i="1"/>
  <c r="D15" i="4" s="1"/>
  <c r="E37" i="1"/>
  <c r="E15" i="4" s="1"/>
  <c r="F37" i="1"/>
  <c r="F15" i="4" s="1"/>
  <c r="G37" i="1"/>
  <c r="G15" i="4" s="1"/>
  <c r="H37" i="1"/>
  <c r="H15" i="4" s="1"/>
  <c r="I37" i="1"/>
  <c r="I15" i="4" s="1"/>
  <c r="J37" i="1"/>
  <c r="J15" i="4" s="1"/>
  <c r="C38" i="1"/>
  <c r="C16" i="4" s="1"/>
  <c r="D38" i="1"/>
  <c r="D16" i="4" s="1"/>
  <c r="E38" i="1"/>
  <c r="E16" i="4" s="1"/>
  <c r="F38" i="1"/>
  <c r="F16" i="4" s="1"/>
  <c r="G38" i="1"/>
  <c r="G16" i="4" s="1"/>
  <c r="H38" i="1"/>
  <c r="H16" i="4" s="1"/>
  <c r="I38" i="1"/>
  <c r="I16" i="4" s="1"/>
  <c r="J38" i="1"/>
  <c r="J16" i="4" s="1"/>
  <c r="C39" i="1"/>
  <c r="C17" i="4" s="1"/>
  <c r="D39" i="1"/>
  <c r="E39" i="1"/>
  <c r="E17" i="4" s="1"/>
  <c r="F39" i="1"/>
  <c r="F17" i="4" s="1"/>
  <c r="G39" i="1"/>
  <c r="G17" i="4" s="1"/>
  <c r="H39" i="1"/>
  <c r="H17" i="4" s="1"/>
  <c r="I39" i="1"/>
  <c r="I17" i="4" s="1"/>
  <c r="J39" i="1"/>
  <c r="J17" i="4" s="1"/>
  <c r="C40" i="1"/>
  <c r="C18" i="4" s="1"/>
  <c r="D40" i="1"/>
  <c r="D18" i="4" s="1"/>
  <c r="E40" i="1"/>
  <c r="E18" i="4" s="1"/>
  <c r="F40" i="1"/>
  <c r="F18" i="4" s="1"/>
  <c r="G40" i="1"/>
  <c r="G18" i="4" s="1"/>
  <c r="H40" i="1"/>
  <c r="H18" i="4" s="1"/>
  <c r="I40" i="1"/>
  <c r="I18" i="4" s="1"/>
  <c r="J40" i="1"/>
  <c r="J18" i="4" s="1"/>
  <c r="C41" i="1"/>
  <c r="C19" i="4" s="1"/>
  <c r="D41" i="1"/>
  <c r="D19" i="4" s="1"/>
  <c r="E41" i="1"/>
  <c r="E19" i="4" s="1"/>
  <c r="F41" i="1"/>
  <c r="F19" i="4" s="1"/>
  <c r="G41" i="1"/>
  <c r="G19" i="4" s="1"/>
  <c r="H41" i="1"/>
  <c r="H19" i="4" s="1"/>
  <c r="I41" i="1"/>
  <c r="I19" i="4" s="1"/>
  <c r="J41" i="1"/>
  <c r="J19" i="4" s="1"/>
  <c r="C42" i="1"/>
  <c r="C20" i="4" s="1"/>
  <c r="D42" i="1"/>
  <c r="D20" i="4" s="1"/>
  <c r="E42" i="1"/>
  <c r="E20" i="4" s="1"/>
  <c r="F42" i="1"/>
  <c r="F20" i="4" s="1"/>
  <c r="G42" i="1"/>
  <c r="G20" i="4" s="1"/>
  <c r="H42" i="1"/>
  <c r="H20" i="4" s="1"/>
  <c r="I42" i="1"/>
  <c r="I20" i="4" s="1"/>
  <c r="J42" i="1"/>
  <c r="J20" i="4" s="1"/>
  <c r="C43" i="1"/>
  <c r="D43" i="1"/>
  <c r="E43" i="1"/>
  <c r="F43" i="1"/>
  <c r="G43" i="1"/>
  <c r="H43" i="1"/>
  <c r="I43" i="1"/>
  <c r="J43" i="1"/>
  <c r="I45" i="1"/>
  <c r="Q14" i="4"/>
  <c r="R14" i="4"/>
  <c r="Q37" i="1"/>
  <c r="Q15" i="4" s="1"/>
  <c r="P38" i="1"/>
  <c r="P16" i="4" s="1"/>
  <c r="Q38" i="1"/>
  <c r="Q16" i="4" s="1"/>
  <c r="P39" i="1"/>
  <c r="P17" i="4" s="1"/>
  <c r="Q39" i="1"/>
  <c r="Q17" i="4" s="1"/>
  <c r="R39" i="1"/>
  <c r="R17" i="4" s="1"/>
  <c r="P40" i="1"/>
  <c r="P18" i="4" s="1"/>
  <c r="Q40" i="1"/>
  <c r="Q18" i="4" s="1"/>
  <c r="R40" i="1"/>
  <c r="R18" i="4" s="1"/>
  <c r="P41" i="1"/>
  <c r="P19" i="4" s="1"/>
  <c r="Q41" i="1"/>
  <c r="Q19" i="4" s="1"/>
  <c r="P42" i="1"/>
  <c r="P20" i="4" s="1"/>
  <c r="Q42" i="1"/>
  <c r="Q20" i="4" s="1"/>
  <c r="P43" i="1"/>
  <c r="Q43" i="1"/>
  <c r="R43" i="1"/>
  <c r="B14" i="4"/>
  <c r="B37" i="1"/>
  <c r="B15" i="4" s="1"/>
  <c r="B38" i="1"/>
  <c r="B16" i="4" s="1"/>
  <c r="B39" i="1"/>
  <c r="B17" i="4" s="1"/>
  <c r="B40" i="1"/>
  <c r="B18" i="4" s="1"/>
  <c r="B41" i="1"/>
  <c r="B19" i="4" s="1"/>
  <c r="B42" i="1"/>
  <c r="B20" i="4" s="1"/>
  <c r="B43" i="1"/>
  <c r="B23" i="1"/>
  <c r="B4" i="4"/>
  <c r="B62" i="4" s="1"/>
  <c r="A52" i="1"/>
  <c r="O22" i="1"/>
  <c r="Q24" i="1"/>
  <c r="P24" i="1"/>
  <c r="O24" i="1"/>
  <c r="Q23" i="1"/>
  <c r="P23" i="1"/>
  <c r="O23" i="1"/>
  <c r="H27" i="1"/>
  <c r="H52" i="1" s="1"/>
  <c r="G27" i="1"/>
  <c r="G52" i="1" s="1"/>
  <c r="F27" i="1"/>
  <c r="F52" i="1" s="1"/>
  <c r="E4" i="4"/>
  <c r="D22" i="1"/>
  <c r="C45" i="1"/>
  <c r="Q27" i="1"/>
  <c r="Q52" i="1" s="1"/>
  <c r="K24" i="1"/>
  <c r="J24" i="1"/>
  <c r="H24" i="1"/>
  <c r="G24" i="1"/>
  <c r="F24" i="1"/>
  <c r="E24" i="1"/>
  <c r="D24" i="1"/>
  <c r="C24" i="1"/>
  <c r="B24" i="1"/>
  <c r="K23" i="1"/>
  <c r="J23" i="1"/>
  <c r="H23" i="1"/>
  <c r="G23" i="1"/>
  <c r="F23" i="1"/>
  <c r="E23" i="1"/>
  <c r="D23" i="1"/>
  <c r="C23" i="1"/>
  <c r="R24" i="1"/>
  <c r="R23" i="1"/>
  <c r="K4" i="1"/>
  <c r="K4" i="4" s="1"/>
  <c r="K62" i="4" s="1"/>
  <c r="L4" i="1"/>
  <c r="L4" i="4" s="1"/>
  <c r="K4" i="23"/>
  <c r="K52" i="23" s="1"/>
  <c r="L4" i="23"/>
  <c r="L27" i="23" s="1"/>
  <c r="T29" i="1" l="1"/>
  <c r="T7" i="4" s="1"/>
  <c r="K34" i="1"/>
  <c r="K12" i="4" s="1"/>
  <c r="P30" i="1"/>
  <c r="P8" i="4" s="1"/>
  <c r="Q28" i="1"/>
  <c r="Q6" i="4" s="1"/>
  <c r="P28" i="1"/>
  <c r="O42" i="1"/>
  <c r="O20" i="4" s="1"/>
  <c r="V29" i="1"/>
  <c r="V7" i="4" s="1"/>
  <c r="U29" i="1"/>
  <c r="U7" i="4" s="1"/>
  <c r="O39" i="1"/>
  <c r="O17" i="4" s="1"/>
  <c r="P32" i="1"/>
  <c r="Q33" i="1"/>
  <c r="Q11" i="4" s="1"/>
  <c r="R34" i="1"/>
  <c r="R12" i="4" s="1"/>
  <c r="S35" i="1"/>
  <c r="S13" i="4" s="1"/>
  <c r="P31" i="1"/>
  <c r="P9" i="4" s="1"/>
  <c r="Q32" i="1"/>
  <c r="R33" i="1"/>
  <c r="R11" i="4" s="1"/>
  <c r="S34" i="1"/>
  <c r="S12" i="4" s="1"/>
  <c r="T35" i="1"/>
  <c r="T13" i="4" s="1"/>
  <c r="Q31" i="1"/>
  <c r="Q9" i="4" s="1"/>
  <c r="R32" i="1"/>
  <c r="S33" i="1"/>
  <c r="T34" i="1"/>
  <c r="T12" i="4" s="1"/>
  <c r="U35" i="1"/>
  <c r="U13" i="4" s="1"/>
  <c r="V33" i="1"/>
  <c r="V11" i="4" s="1"/>
  <c r="R31" i="1"/>
  <c r="S32" i="1"/>
  <c r="S10" i="4" s="1"/>
  <c r="T33" i="1"/>
  <c r="T11" i="4" s="1"/>
  <c r="U34" i="1"/>
  <c r="V35" i="1"/>
  <c r="V13" i="4" s="1"/>
  <c r="U32" i="1"/>
  <c r="U10" i="4" s="1"/>
  <c r="S31" i="1"/>
  <c r="S9" i="4" s="1"/>
  <c r="T32" i="1"/>
  <c r="T10" i="4" s="1"/>
  <c r="U33" i="1"/>
  <c r="U11" i="4" s="1"/>
  <c r="V34" i="1"/>
  <c r="V12" i="4" s="1"/>
  <c r="T31" i="1"/>
  <c r="T9" i="4" s="1"/>
  <c r="P35" i="1"/>
  <c r="P13" i="4" s="1"/>
  <c r="U31" i="1"/>
  <c r="V32" i="1"/>
  <c r="V10" i="4" s="1"/>
  <c r="P34" i="1"/>
  <c r="P12" i="4" s="1"/>
  <c r="Q35" i="1"/>
  <c r="Q13" i="4" s="1"/>
  <c r="V31" i="1"/>
  <c r="V9" i="4" s="1"/>
  <c r="P33" i="1"/>
  <c r="P11" i="4" s="1"/>
  <c r="Q34" i="1"/>
  <c r="Q12" i="4" s="1"/>
  <c r="R35" i="1"/>
  <c r="R13" i="4" s="1"/>
  <c r="S29" i="1"/>
  <c r="S7" i="4" s="1"/>
  <c r="V30" i="1"/>
  <c r="V8" i="4" s="1"/>
  <c r="V28" i="1"/>
  <c r="V6" i="4" s="1"/>
  <c r="U30" i="1"/>
  <c r="U8" i="4" s="1"/>
  <c r="U28" i="1"/>
  <c r="U6" i="4" s="1"/>
  <c r="O38" i="1"/>
  <c r="O16" i="4" s="1"/>
  <c r="T30" i="1"/>
  <c r="T8" i="4" s="1"/>
  <c r="T28" i="1"/>
  <c r="S30" i="1"/>
  <c r="S8" i="4" s="1"/>
  <c r="S28" i="1"/>
  <c r="O40" i="1"/>
  <c r="O18" i="4" s="1"/>
  <c r="O43" i="1"/>
  <c r="O21" i="4" s="1"/>
  <c r="K29" i="1"/>
  <c r="K7" i="4" s="1"/>
  <c r="O36" i="1"/>
  <c r="O41" i="1"/>
  <c r="O19" i="4" s="1"/>
  <c r="F29" i="1"/>
  <c r="F7" i="4" s="1"/>
  <c r="M29" i="1"/>
  <c r="M7" i="4" s="1"/>
  <c r="J28" i="1"/>
  <c r="J6" i="4" s="1"/>
  <c r="L29" i="1"/>
  <c r="L7" i="4" s="1"/>
  <c r="J29" i="1"/>
  <c r="J7" i="4" s="1"/>
  <c r="I34" i="1"/>
  <c r="I12" i="4" s="1"/>
  <c r="E35" i="1"/>
  <c r="E13" i="4" s="1"/>
  <c r="M35" i="1"/>
  <c r="M13" i="4" s="1"/>
  <c r="O31" i="1"/>
  <c r="O9" i="4" s="1"/>
  <c r="O32" i="1"/>
  <c r="O10" i="4" s="1"/>
  <c r="O33" i="1"/>
  <c r="O11" i="4" s="1"/>
  <c r="O34" i="1"/>
  <c r="O12" i="4" s="1"/>
  <c r="O35" i="1"/>
  <c r="O13" i="4" s="1"/>
  <c r="B34" i="1"/>
  <c r="J34" i="1"/>
  <c r="J12" i="4" s="1"/>
  <c r="F35" i="1"/>
  <c r="F13" i="4" s="1"/>
  <c r="C34" i="1"/>
  <c r="C12" i="4" s="1"/>
  <c r="G35" i="1"/>
  <c r="G13" i="4" s="1"/>
  <c r="L35" i="1"/>
  <c r="L13" i="4" s="1"/>
  <c r="D34" i="1"/>
  <c r="D12" i="4" s="1"/>
  <c r="L34" i="1"/>
  <c r="L12" i="4" s="1"/>
  <c r="H35" i="1"/>
  <c r="H13" i="4" s="1"/>
  <c r="H34" i="1"/>
  <c r="H12" i="4" s="1"/>
  <c r="E34" i="1"/>
  <c r="M34" i="1"/>
  <c r="M12" i="4" s="1"/>
  <c r="I35" i="1"/>
  <c r="J35" i="1"/>
  <c r="J13" i="4" s="1"/>
  <c r="F34" i="1"/>
  <c r="F12" i="4" s="1"/>
  <c r="B35" i="1"/>
  <c r="B13" i="4" s="1"/>
  <c r="G34" i="1"/>
  <c r="G12" i="4" s="1"/>
  <c r="C35" i="1"/>
  <c r="C13" i="4" s="1"/>
  <c r="D35" i="1"/>
  <c r="D13" i="4" s="1"/>
  <c r="M28" i="1"/>
  <c r="M6" i="4" s="1"/>
  <c r="I29" i="1"/>
  <c r="G29" i="1"/>
  <c r="G7" i="4" s="1"/>
  <c r="L28" i="1"/>
  <c r="L6" i="4" s="1"/>
  <c r="E29" i="1"/>
  <c r="E7" i="4" s="1"/>
  <c r="K28" i="1"/>
  <c r="K6" i="4" s="1"/>
  <c r="C34" i="23"/>
  <c r="C28" i="4" s="1"/>
  <c r="C33" i="23"/>
  <c r="C27" i="4" s="1"/>
  <c r="U22" i="4"/>
  <c r="K22" i="4"/>
  <c r="C29" i="1"/>
  <c r="C7" i="4" s="1"/>
  <c r="B30" i="1"/>
  <c r="B8" i="4" s="1"/>
  <c r="F30" i="1"/>
  <c r="F8" i="4" s="1"/>
  <c r="J30" i="1"/>
  <c r="J8" i="4" s="1"/>
  <c r="B31" i="1"/>
  <c r="B9" i="4" s="1"/>
  <c r="F31" i="1"/>
  <c r="J31" i="1"/>
  <c r="J9" i="4" s="1"/>
  <c r="B32" i="1"/>
  <c r="F32" i="1"/>
  <c r="F10" i="4" s="1"/>
  <c r="J32" i="1"/>
  <c r="J10" i="4" s="1"/>
  <c r="B33" i="1"/>
  <c r="B11" i="4" s="1"/>
  <c r="F33" i="1"/>
  <c r="F11" i="4" s="1"/>
  <c r="J33" i="1"/>
  <c r="J11" i="4" s="1"/>
  <c r="C30" i="1"/>
  <c r="C8" i="4" s="1"/>
  <c r="G30" i="1"/>
  <c r="G8" i="4" s="1"/>
  <c r="K30" i="1"/>
  <c r="K8" i="4" s="1"/>
  <c r="C31" i="1"/>
  <c r="C9" i="4" s="1"/>
  <c r="G31" i="1"/>
  <c r="G9" i="4" s="1"/>
  <c r="K31" i="1"/>
  <c r="K9" i="4" s="1"/>
  <c r="C32" i="1"/>
  <c r="G32" i="1"/>
  <c r="K32" i="1"/>
  <c r="K10" i="4" s="1"/>
  <c r="C33" i="1"/>
  <c r="C11" i="4" s="1"/>
  <c r="G33" i="1"/>
  <c r="K33" i="1"/>
  <c r="K11" i="4" s="1"/>
  <c r="H30" i="1"/>
  <c r="H8" i="4" s="1"/>
  <c r="L30" i="1"/>
  <c r="L8" i="4" s="1"/>
  <c r="D31" i="1"/>
  <c r="D9" i="4" s="1"/>
  <c r="L31" i="1"/>
  <c r="L9" i="4" s="1"/>
  <c r="D32" i="1"/>
  <c r="L32" i="1"/>
  <c r="L10" i="4" s="1"/>
  <c r="D33" i="1"/>
  <c r="D11" i="4" s="1"/>
  <c r="L33" i="1"/>
  <c r="L11" i="4" s="1"/>
  <c r="D30" i="1"/>
  <c r="H31" i="1"/>
  <c r="H9" i="4" s="1"/>
  <c r="H32" i="1"/>
  <c r="H10" i="4" s="1"/>
  <c r="H33" i="1"/>
  <c r="H11" i="4" s="1"/>
  <c r="E30" i="1"/>
  <c r="E8" i="4" s="1"/>
  <c r="I30" i="1"/>
  <c r="M30" i="1"/>
  <c r="M8" i="4" s="1"/>
  <c r="E31" i="1"/>
  <c r="E9" i="4" s="1"/>
  <c r="I31" i="1"/>
  <c r="I9" i="4" s="1"/>
  <c r="M31" i="1"/>
  <c r="M9" i="4" s="1"/>
  <c r="E32" i="1"/>
  <c r="E10" i="4" s="1"/>
  <c r="I32" i="1"/>
  <c r="I10" i="4" s="1"/>
  <c r="M32" i="1"/>
  <c r="M10" i="4" s="1"/>
  <c r="E33" i="1"/>
  <c r="E11" i="4" s="1"/>
  <c r="I33" i="1"/>
  <c r="I11" i="4" s="1"/>
  <c r="M33" i="1"/>
  <c r="M11" i="4" s="1"/>
  <c r="F33" i="23"/>
  <c r="F27" i="4" s="1"/>
  <c r="E35" i="23"/>
  <c r="E29" i="4" s="1"/>
  <c r="H34" i="23"/>
  <c r="H28" i="4" s="1"/>
  <c r="M33" i="23"/>
  <c r="M27" i="4" s="1"/>
  <c r="L35" i="23"/>
  <c r="L29" i="4" s="1"/>
  <c r="M32" i="23"/>
  <c r="O36" i="23"/>
  <c r="O30" i="4" s="1"/>
  <c r="S36" i="23"/>
  <c r="S30" i="4" s="1"/>
  <c r="S34" i="23"/>
  <c r="S28" i="4" s="1"/>
  <c r="U33" i="23"/>
  <c r="J33" i="23"/>
  <c r="J27" i="4" s="1"/>
  <c r="I35" i="23"/>
  <c r="I29" i="4" s="1"/>
  <c r="D33" i="23"/>
  <c r="D27" i="4" s="1"/>
  <c r="G34" i="23"/>
  <c r="G28" i="4" s="1"/>
  <c r="H35" i="23"/>
  <c r="H29" i="4" s="1"/>
  <c r="F34" i="23"/>
  <c r="F28" i="4" s="1"/>
  <c r="E33" i="23"/>
  <c r="E27" i="4" s="1"/>
  <c r="C35" i="23"/>
  <c r="C29" i="4" s="1"/>
  <c r="K35" i="23"/>
  <c r="K29" i="4" s="1"/>
  <c r="L32" i="23"/>
  <c r="V36" i="23"/>
  <c r="V30" i="4" s="1"/>
  <c r="R36" i="23"/>
  <c r="R30" i="4" s="1"/>
  <c r="T35" i="23"/>
  <c r="T29" i="4" s="1"/>
  <c r="P35" i="23"/>
  <c r="P29" i="4" s="1"/>
  <c r="V34" i="23"/>
  <c r="V28" i="4" s="1"/>
  <c r="T33" i="23"/>
  <c r="T27" i="4" s="1"/>
  <c r="D35" i="23"/>
  <c r="D29" i="4" s="1"/>
  <c r="D32" i="23"/>
  <c r="H33" i="23"/>
  <c r="H27" i="4" s="1"/>
  <c r="F35" i="23"/>
  <c r="F29" i="4" s="1"/>
  <c r="C32" i="23"/>
  <c r="J34" i="23"/>
  <c r="J28" i="4" s="1"/>
  <c r="F32" i="23"/>
  <c r="I33" i="23"/>
  <c r="G35" i="23"/>
  <c r="G29" i="4" s="1"/>
  <c r="M34" i="23"/>
  <c r="M28" i="4" s="1"/>
  <c r="L33" i="23"/>
  <c r="L27" i="4" s="1"/>
  <c r="K32" i="23"/>
  <c r="O33" i="23"/>
  <c r="O27" i="4" s="1"/>
  <c r="U36" i="23"/>
  <c r="U30" i="4" s="1"/>
  <c r="Q36" i="23"/>
  <c r="Q30" i="4" s="1"/>
  <c r="S35" i="23"/>
  <c r="S29" i="4" s="1"/>
  <c r="U34" i="23"/>
  <c r="U28" i="4" s="1"/>
  <c r="Q34" i="23"/>
  <c r="Q28" i="4" s="1"/>
  <c r="S33" i="23"/>
  <c r="K34" i="23"/>
  <c r="K28" i="4" s="1"/>
  <c r="U35" i="23"/>
  <c r="U29" i="4" s="1"/>
  <c r="Q35" i="23"/>
  <c r="Q29" i="4" s="1"/>
  <c r="Q33" i="23"/>
  <c r="O35" i="23"/>
  <c r="O29" i="4" s="1"/>
  <c r="R34" i="23"/>
  <c r="R28" i="4" s="1"/>
  <c r="P33" i="23"/>
  <c r="G32" i="23"/>
  <c r="G33" i="23"/>
  <c r="G27" i="4" s="1"/>
  <c r="E32" i="23"/>
  <c r="J35" i="23"/>
  <c r="J29" i="4" s="1"/>
  <c r="E34" i="23"/>
  <c r="E28" i="4" s="1"/>
  <c r="H32" i="23"/>
  <c r="J32" i="23"/>
  <c r="D34" i="23"/>
  <c r="D28" i="4" s="1"/>
  <c r="M35" i="23"/>
  <c r="M29" i="4" s="1"/>
  <c r="L34" i="23"/>
  <c r="L28" i="4" s="1"/>
  <c r="K33" i="23"/>
  <c r="K27" i="4" s="1"/>
  <c r="T36" i="23"/>
  <c r="T30" i="4" s="1"/>
  <c r="P36" i="23"/>
  <c r="P30" i="4" s="1"/>
  <c r="V35" i="23"/>
  <c r="V29" i="4" s="1"/>
  <c r="R35" i="23"/>
  <c r="R29" i="4" s="1"/>
  <c r="T34" i="23"/>
  <c r="T28" i="4" s="1"/>
  <c r="P34" i="23"/>
  <c r="P28" i="4" s="1"/>
  <c r="V33" i="23"/>
  <c r="R33" i="23"/>
  <c r="U12" i="4"/>
  <c r="S11" i="4"/>
  <c r="U9" i="4"/>
  <c r="I8" i="4"/>
  <c r="D22" i="4"/>
  <c r="L22" i="4"/>
  <c r="E22" i="4"/>
  <c r="M22" i="4"/>
  <c r="H22" i="4"/>
  <c r="I22" i="4"/>
  <c r="C22" i="4"/>
  <c r="G22" i="4"/>
  <c r="Q22" i="4"/>
  <c r="F22" i="4"/>
  <c r="J22" i="4"/>
  <c r="P22" i="4"/>
  <c r="T6" i="4"/>
  <c r="P6" i="4"/>
  <c r="T4" i="33"/>
  <c r="T22" i="33" s="1"/>
  <c r="Q22" i="1"/>
  <c r="G10" i="4"/>
  <c r="H29" i="1"/>
  <c r="E28" i="1"/>
  <c r="F28" i="1"/>
  <c r="R41" i="1"/>
  <c r="R19" i="4" s="1"/>
  <c r="R37" i="1"/>
  <c r="R15" i="4" s="1"/>
  <c r="Q29" i="1"/>
  <c r="O37" i="1"/>
  <c r="O15" i="4" s="1"/>
  <c r="P29" i="1"/>
  <c r="B12" i="4"/>
  <c r="I28" i="1"/>
  <c r="H28" i="1"/>
  <c r="G28" i="1"/>
  <c r="R42" i="1"/>
  <c r="R20" i="4" s="1"/>
  <c r="R38" i="1"/>
  <c r="R16" i="4" s="1"/>
  <c r="L74" i="4"/>
  <c r="L62" i="4"/>
  <c r="E55" i="4"/>
  <c r="E62" i="4"/>
  <c r="P21" i="4"/>
  <c r="I52" i="23"/>
  <c r="R4" i="33"/>
  <c r="V37" i="4"/>
  <c r="R37" i="4"/>
  <c r="K37" i="4"/>
  <c r="I45" i="23"/>
  <c r="U4" i="33"/>
  <c r="R21" i="4"/>
  <c r="Q21" i="4"/>
  <c r="S4" i="33"/>
  <c r="C27" i="23"/>
  <c r="C52" i="23" s="1"/>
  <c r="I27" i="23"/>
  <c r="V21" i="4"/>
  <c r="T21" i="4"/>
  <c r="B21" i="4"/>
  <c r="O37" i="23"/>
  <c r="O31" i="4" s="1"/>
  <c r="O34" i="23"/>
  <c r="O28" i="4" s="1"/>
  <c r="O38" i="23"/>
  <c r="T37" i="4"/>
  <c r="B38" i="23"/>
  <c r="F37" i="4"/>
  <c r="L37" i="4"/>
  <c r="P37" i="4"/>
  <c r="S37" i="4"/>
  <c r="J37" i="4"/>
  <c r="H37" i="4"/>
  <c r="M37" i="4"/>
  <c r="O37" i="4"/>
  <c r="Q4" i="4"/>
  <c r="Q62" i="4" s="1"/>
  <c r="P27" i="23"/>
  <c r="P52" i="23" s="1"/>
  <c r="J4" i="1"/>
  <c r="J4" i="4" s="1"/>
  <c r="J4" i="23"/>
  <c r="J45" i="23" s="1"/>
  <c r="M4" i="23"/>
  <c r="M27" i="23" s="1"/>
  <c r="M4" i="1"/>
  <c r="M4" i="4" s="1"/>
  <c r="L45" i="1"/>
  <c r="L27" i="1"/>
  <c r="L52" i="1" s="1"/>
  <c r="O32" i="23"/>
  <c r="O31" i="23"/>
  <c r="O25" i="4" s="1"/>
  <c r="O30" i="23"/>
  <c r="O24" i="4" s="1"/>
  <c r="B33" i="23"/>
  <c r="B27" i="4" s="1"/>
  <c r="B30" i="23"/>
  <c r="B24" i="4" s="1"/>
  <c r="B34" i="23"/>
  <c r="B28" i="4" s="1"/>
  <c r="B35" i="23"/>
  <c r="O28" i="23"/>
  <c r="B31" i="23"/>
  <c r="B25" i="4" s="1"/>
  <c r="B29" i="23"/>
  <c r="B23" i="4" s="1"/>
  <c r="M46" i="23"/>
  <c r="M53" i="23" s="1"/>
  <c r="P10" i="4"/>
  <c r="D4" i="4"/>
  <c r="P23" i="4"/>
  <c r="O29" i="1"/>
  <c r="O7" i="4" s="1"/>
  <c r="B27" i="23"/>
  <c r="B52" i="23" s="1"/>
  <c r="K45" i="23"/>
  <c r="E27" i="23"/>
  <c r="E52" i="23" s="1"/>
  <c r="Q30" i="1"/>
  <c r="Q8" i="4" s="1"/>
  <c r="B29" i="1"/>
  <c r="B7" i="4" s="1"/>
  <c r="H22" i="23"/>
  <c r="P37" i="1"/>
  <c r="F22" i="23"/>
  <c r="H45" i="23"/>
  <c r="R9" i="4"/>
  <c r="R22" i="4"/>
  <c r="V22" i="4"/>
  <c r="J21" i="4"/>
  <c r="E37" i="4"/>
  <c r="M21" i="4"/>
  <c r="R28" i="1"/>
  <c r="R30" i="1"/>
  <c r="R8" i="4" s="1"/>
  <c r="L21" i="4"/>
  <c r="U21" i="4"/>
  <c r="R29" i="1"/>
  <c r="R7" i="4" s="1"/>
  <c r="D21" i="4"/>
  <c r="C37" i="4"/>
  <c r="I37" i="4"/>
  <c r="K21" i="4"/>
  <c r="P14" i="4"/>
  <c r="C21" i="4"/>
  <c r="B37" i="4"/>
  <c r="D37" i="4"/>
  <c r="G37" i="4"/>
  <c r="O30" i="1"/>
  <c r="O8" i="4" s="1"/>
  <c r="D28" i="1"/>
  <c r="B28" i="1"/>
  <c r="C28" i="1"/>
  <c r="O28" i="1"/>
  <c r="D29" i="1"/>
  <c r="D7" i="4" s="1"/>
  <c r="G21" i="4"/>
  <c r="I21" i="4"/>
  <c r="F21" i="4"/>
  <c r="H21" i="4"/>
  <c r="E21" i="4"/>
  <c r="L52" i="23"/>
  <c r="D17" i="4"/>
  <c r="C4" i="4"/>
  <c r="G27" i="23"/>
  <c r="G52" i="23" s="1"/>
  <c r="K27" i="23"/>
  <c r="L22" i="1"/>
  <c r="I7" i="4"/>
  <c r="D27" i="1"/>
  <c r="D52" i="1" s="1"/>
  <c r="D45" i="1"/>
  <c r="D22" i="23"/>
  <c r="D45" i="23"/>
  <c r="D27" i="23"/>
  <c r="D52" i="23" s="1"/>
  <c r="F45" i="23"/>
  <c r="E22" i="23"/>
  <c r="G22" i="23"/>
  <c r="K22" i="23"/>
  <c r="L45" i="23"/>
  <c r="O22" i="23"/>
  <c r="Q22" i="23"/>
  <c r="B22" i="23"/>
  <c r="C22" i="23"/>
  <c r="L22" i="23"/>
  <c r="Q27" i="23"/>
  <c r="Q52" i="23" s="1"/>
  <c r="O27" i="23"/>
  <c r="O52" i="23" s="1"/>
  <c r="E45" i="1"/>
  <c r="B27" i="1"/>
  <c r="B52" i="1" s="1"/>
  <c r="K27" i="1"/>
  <c r="K52" i="1" s="1"/>
  <c r="F4" i="4"/>
  <c r="G22" i="1"/>
  <c r="F45" i="1"/>
  <c r="C22" i="1"/>
  <c r="B22" i="1"/>
  <c r="G45" i="1"/>
  <c r="E27" i="1"/>
  <c r="E52" i="1" s="1"/>
  <c r="E22" i="1"/>
  <c r="I22" i="1"/>
  <c r="I27" i="1"/>
  <c r="P27" i="1"/>
  <c r="P52" i="1" s="1"/>
  <c r="H4" i="4"/>
  <c r="F22" i="1"/>
  <c r="I4" i="4"/>
  <c r="G4" i="4"/>
  <c r="C27" i="1"/>
  <c r="C52" i="1" s="1"/>
  <c r="B45" i="1"/>
  <c r="K74" i="4"/>
  <c r="K22" i="1"/>
  <c r="H22" i="1"/>
  <c r="O4" i="4"/>
  <c r="H45" i="1"/>
  <c r="O45" i="1"/>
  <c r="P4" i="4"/>
  <c r="K45" i="1"/>
  <c r="P45" i="1"/>
  <c r="O27" i="1"/>
  <c r="O52" i="1" s="1"/>
  <c r="I52" i="1"/>
  <c r="K55" i="4"/>
  <c r="B55" i="4"/>
  <c r="L55" i="4"/>
  <c r="E74" i="4"/>
  <c r="B74" i="4"/>
  <c r="C56" i="1"/>
  <c r="O56" i="1"/>
  <c r="V56" i="1"/>
  <c r="T56" i="23"/>
  <c r="L56" i="23"/>
  <c r="E56" i="23"/>
  <c r="P56" i="1"/>
  <c r="B56" i="23"/>
  <c r="E56" i="1"/>
  <c r="U56" i="23"/>
  <c r="Q56" i="1"/>
  <c r="H56" i="1"/>
  <c r="H56" i="23"/>
  <c r="J56" i="23"/>
  <c r="I56" i="1"/>
  <c r="F56" i="1"/>
  <c r="L56" i="1"/>
  <c r="C56" i="23"/>
  <c r="T56" i="1"/>
  <c r="R56" i="1"/>
  <c r="T78" i="4"/>
  <c r="R56" i="23"/>
  <c r="B56" i="1"/>
  <c r="K56" i="1"/>
  <c r="D56" i="23"/>
  <c r="K56" i="23"/>
  <c r="Q56" i="23"/>
  <c r="G56" i="1"/>
  <c r="O56" i="23"/>
  <c r="G56" i="23"/>
  <c r="S56" i="23"/>
  <c r="U56" i="1"/>
  <c r="S56" i="1"/>
  <c r="J56" i="1"/>
  <c r="D56" i="1"/>
  <c r="M56" i="23"/>
  <c r="V56" i="23"/>
  <c r="P56" i="23"/>
  <c r="M56" i="1"/>
  <c r="I56" i="23"/>
  <c r="F56" i="23"/>
  <c r="S57" i="1" l="1"/>
  <c r="T57" i="1"/>
  <c r="U57" i="1"/>
  <c r="V57" i="1"/>
  <c r="S6" i="4"/>
  <c r="S47" i="1"/>
  <c r="S48" i="1" s="1"/>
  <c r="S54" i="1" s="1"/>
  <c r="S46" i="23"/>
  <c r="S53" i="23" s="1"/>
  <c r="E47" i="23"/>
  <c r="E48" i="23" s="1"/>
  <c r="E54" i="23" s="1"/>
  <c r="P47" i="23"/>
  <c r="P48" i="23" s="1"/>
  <c r="P54" i="23" s="1"/>
  <c r="V57" i="23"/>
  <c r="I57" i="23"/>
  <c r="T57" i="23"/>
  <c r="U57" i="23"/>
  <c r="M57" i="23"/>
  <c r="G57" i="23"/>
  <c r="Q57" i="23"/>
  <c r="S57" i="23"/>
  <c r="F57" i="23"/>
  <c r="P57" i="23"/>
  <c r="D57" i="23"/>
  <c r="L57" i="23"/>
  <c r="H57" i="23"/>
  <c r="K57" i="23"/>
  <c r="R57" i="23"/>
  <c r="J57" i="23"/>
  <c r="E57" i="23"/>
  <c r="C57" i="23"/>
  <c r="V27" i="4"/>
  <c r="I27" i="4"/>
  <c r="U27" i="4"/>
  <c r="U56" i="4" s="1"/>
  <c r="U75" i="4" s="1"/>
  <c r="M26" i="4"/>
  <c r="M56" i="4" s="1"/>
  <c r="M75" i="4" s="1"/>
  <c r="G26" i="4"/>
  <c r="Q27" i="4"/>
  <c r="S27" i="4"/>
  <c r="F26" i="4"/>
  <c r="P27" i="4"/>
  <c r="D26" i="4"/>
  <c r="L26" i="4"/>
  <c r="L63" i="4" s="1"/>
  <c r="L64" i="4" s="1"/>
  <c r="H26" i="4"/>
  <c r="K26" i="4"/>
  <c r="K63" i="4" s="1"/>
  <c r="K64" i="4" s="1"/>
  <c r="V46" i="23"/>
  <c r="V53" i="23" s="1"/>
  <c r="V47" i="23"/>
  <c r="V48" i="23" s="1"/>
  <c r="V54" i="23" s="1"/>
  <c r="R27" i="4"/>
  <c r="J26" i="4"/>
  <c r="E26" i="4"/>
  <c r="C26" i="4"/>
  <c r="M57" i="1"/>
  <c r="K57" i="1"/>
  <c r="J57" i="1"/>
  <c r="L57" i="1"/>
  <c r="E46" i="23"/>
  <c r="E53" i="23" s="1"/>
  <c r="F46" i="23"/>
  <c r="F53" i="23" s="1"/>
  <c r="K46" i="23"/>
  <c r="K53" i="23" s="1"/>
  <c r="G46" i="23"/>
  <c r="G53" i="23" s="1"/>
  <c r="M47" i="23"/>
  <c r="M48" i="23" s="1"/>
  <c r="M54" i="23" s="1"/>
  <c r="I46" i="23"/>
  <c r="I53" i="23" s="1"/>
  <c r="Q47" i="23"/>
  <c r="Q48" i="23" s="1"/>
  <c r="Q54" i="23" s="1"/>
  <c r="Q46" i="23"/>
  <c r="Q53" i="23" s="1"/>
  <c r="F47" i="23"/>
  <c r="F48" i="23" s="1"/>
  <c r="F54" i="23" s="1"/>
  <c r="S47" i="23"/>
  <c r="S48" i="23" s="1"/>
  <c r="S54" i="23" s="1"/>
  <c r="I47" i="23"/>
  <c r="I48" i="23" s="1"/>
  <c r="I54" i="23" s="1"/>
  <c r="T47" i="23"/>
  <c r="T48" i="23" s="1"/>
  <c r="T54" i="23" s="1"/>
  <c r="D46" i="23"/>
  <c r="D53" i="23" s="1"/>
  <c r="L46" i="23"/>
  <c r="L53" i="23" s="1"/>
  <c r="P46" i="23"/>
  <c r="P53" i="23" s="1"/>
  <c r="C46" i="23"/>
  <c r="C53" i="23" s="1"/>
  <c r="U47" i="23"/>
  <c r="U48" i="23" s="1"/>
  <c r="U54" i="23" s="1"/>
  <c r="H46" i="23"/>
  <c r="H53" i="23" s="1"/>
  <c r="U46" i="23"/>
  <c r="U53" i="23" s="1"/>
  <c r="H47" i="23"/>
  <c r="H48" i="23" s="1"/>
  <c r="H54" i="23" s="1"/>
  <c r="D47" i="23"/>
  <c r="D48" i="23" s="1"/>
  <c r="D54" i="23" s="1"/>
  <c r="R47" i="23"/>
  <c r="R48" i="23" s="1"/>
  <c r="R54" i="23" s="1"/>
  <c r="J47" i="23"/>
  <c r="J48" i="23" s="1"/>
  <c r="J54" i="23" s="1"/>
  <c r="T46" i="23"/>
  <c r="T53" i="23" s="1"/>
  <c r="L47" i="23"/>
  <c r="L48" i="23" s="1"/>
  <c r="L54" i="23" s="1"/>
  <c r="J46" i="23"/>
  <c r="J53" i="23" s="1"/>
  <c r="C47" i="23"/>
  <c r="C48" i="23" s="1"/>
  <c r="C54" i="23" s="1"/>
  <c r="K47" i="23"/>
  <c r="K48" i="23" s="1"/>
  <c r="K54" i="23" s="1"/>
  <c r="G47" i="23"/>
  <c r="G48" i="23" s="1"/>
  <c r="G54" i="23" s="1"/>
  <c r="R46" i="23"/>
  <c r="R53" i="23" s="1"/>
  <c r="L47" i="1"/>
  <c r="L48" i="1" s="1"/>
  <c r="L54" i="1" s="1"/>
  <c r="U47" i="1"/>
  <c r="U48" i="1" s="1"/>
  <c r="U54" i="1" s="1"/>
  <c r="V46" i="1"/>
  <c r="V53" i="1" s="1"/>
  <c r="S46" i="1"/>
  <c r="S53" i="1" s="1"/>
  <c r="T46" i="1"/>
  <c r="T53" i="1" s="1"/>
  <c r="U46" i="1"/>
  <c r="U53" i="1" s="1"/>
  <c r="M47" i="1"/>
  <c r="M48" i="1" s="1"/>
  <c r="M54" i="1" s="1"/>
  <c r="J46" i="1"/>
  <c r="J53" i="1" s="1"/>
  <c r="K47" i="1"/>
  <c r="K48" i="1" s="1"/>
  <c r="K54" i="1" s="1"/>
  <c r="V47" i="1"/>
  <c r="V48" i="1" s="1"/>
  <c r="V54" i="1" s="1"/>
  <c r="M46" i="1"/>
  <c r="M53" i="1" s="1"/>
  <c r="F46" i="1"/>
  <c r="F53" i="1" s="1"/>
  <c r="L46" i="1"/>
  <c r="L53" i="1" s="1"/>
  <c r="J47" i="1"/>
  <c r="J48" i="1" s="1"/>
  <c r="J54" i="1" s="1"/>
  <c r="T47" i="1"/>
  <c r="T48" i="1" s="1"/>
  <c r="T54" i="1" s="1"/>
  <c r="K46" i="1"/>
  <c r="K53" i="1" s="1"/>
  <c r="B22" i="4"/>
  <c r="D6" i="4"/>
  <c r="R6" i="4"/>
  <c r="I6" i="4"/>
  <c r="P7" i="4"/>
  <c r="E6" i="4"/>
  <c r="O6" i="4"/>
  <c r="B6" i="4"/>
  <c r="C6" i="4"/>
  <c r="H6" i="4"/>
  <c r="F6" i="4"/>
  <c r="P47" i="1"/>
  <c r="P48" i="1" s="1"/>
  <c r="P54" i="1" s="1"/>
  <c r="G6" i="4"/>
  <c r="Q7" i="4"/>
  <c r="J63" i="4"/>
  <c r="J64" i="4" s="1"/>
  <c r="V63" i="4"/>
  <c r="V64" i="4" s="1"/>
  <c r="T63" i="4"/>
  <c r="T64" i="4" s="1"/>
  <c r="T27" i="33"/>
  <c r="T52" i="33" s="1"/>
  <c r="T45" i="33"/>
  <c r="I47" i="1"/>
  <c r="I48" i="1" s="1"/>
  <c r="I54" i="1" s="1"/>
  <c r="F47" i="1"/>
  <c r="F48" i="1" s="1"/>
  <c r="F54" i="1" s="1"/>
  <c r="G47" i="1"/>
  <c r="G48" i="1" s="1"/>
  <c r="G54" i="1" s="1"/>
  <c r="E47" i="1"/>
  <c r="E48" i="1" s="1"/>
  <c r="E54" i="1" s="1"/>
  <c r="Q46" i="1"/>
  <c r="Q53" i="1" s="1"/>
  <c r="E46" i="1"/>
  <c r="E53" i="1" s="1"/>
  <c r="Q47" i="1"/>
  <c r="Q48" i="1" s="1"/>
  <c r="Q54" i="1" s="1"/>
  <c r="I46" i="1"/>
  <c r="I53" i="1" s="1"/>
  <c r="Q74" i="4"/>
  <c r="T57" i="4"/>
  <c r="T58" i="4" s="1"/>
  <c r="T76" i="4" s="1"/>
  <c r="H57" i="1"/>
  <c r="G57" i="1"/>
  <c r="F57" i="1"/>
  <c r="I57" i="1"/>
  <c r="E57" i="1"/>
  <c r="H7" i="4"/>
  <c r="G46" i="1"/>
  <c r="G53" i="1" s="1"/>
  <c r="H46" i="1"/>
  <c r="H53" i="1" s="1"/>
  <c r="H47" i="1"/>
  <c r="H48" i="1" s="1"/>
  <c r="H54" i="1" s="1"/>
  <c r="G11" i="4"/>
  <c r="F9" i="4"/>
  <c r="I13" i="4"/>
  <c r="E12" i="4"/>
  <c r="I55" i="4"/>
  <c r="I62" i="4"/>
  <c r="V57" i="4"/>
  <c r="V58" i="4" s="1"/>
  <c r="V76" i="4" s="1"/>
  <c r="V56" i="4"/>
  <c r="V75" i="4" s="1"/>
  <c r="L56" i="4"/>
  <c r="L75" i="4" s="1"/>
  <c r="J56" i="4"/>
  <c r="J75" i="4" s="1"/>
  <c r="O55" i="4"/>
  <c r="O62" i="4"/>
  <c r="F55" i="4"/>
  <c r="F62" i="4"/>
  <c r="M55" i="4"/>
  <c r="M62" i="4"/>
  <c r="J55" i="4"/>
  <c r="J62" i="4"/>
  <c r="J57" i="4"/>
  <c r="J58" i="4" s="1"/>
  <c r="J76" i="4" s="1"/>
  <c r="P55" i="4"/>
  <c r="P62" i="4"/>
  <c r="G55" i="4"/>
  <c r="G62" i="4"/>
  <c r="H74" i="4"/>
  <c r="H62" i="4"/>
  <c r="U22" i="33"/>
  <c r="U45" i="33"/>
  <c r="U27" i="33"/>
  <c r="U52" i="33" s="1"/>
  <c r="R45" i="33"/>
  <c r="R27" i="33"/>
  <c r="R52" i="33" s="1"/>
  <c r="R22" i="33"/>
  <c r="T56" i="4"/>
  <c r="T75" i="4" s="1"/>
  <c r="C74" i="4"/>
  <c r="C62" i="4"/>
  <c r="D55" i="4"/>
  <c r="D62" i="4"/>
  <c r="S27" i="33"/>
  <c r="S52" i="33" s="1"/>
  <c r="S22" i="33"/>
  <c r="S45" i="33"/>
  <c r="V4" i="33"/>
  <c r="Q55" i="4"/>
  <c r="V4" i="1"/>
  <c r="V45" i="1" s="1"/>
  <c r="O32" i="4"/>
  <c r="Q10" i="4"/>
  <c r="B32" i="4"/>
  <c r="H55" i="4"/>
  <c r="R10" i="4"/>
  <c r="O14" i="4"/>
  <c r="P15" i="4"/>
  <c r="V4" i="23"/>
  <c r="V45" i="23" s="1"/>
  <c r="B10" i="4"/>
  <c r="T79" i="4"/>
  <c r="O26" i="4"/>
  <c r="P46" i="1"/>
  <c r="P53" i="1" s="1"/>
  <c r="U4" i="1"/>
  <c r="U22" i="1" s="1"/>
  <c r="M74" i="4"/>
  <c r="M27" i="1"/>
  <c r="M52" i="1" s="1"/>
  <c r="M22" i="1"/>
  <c r="J52" i="1"/>
  <c r="J74" i="4"/>
  <c r="J27" i="1"/>
  <c r="J45" i="1"/>
  <c r="S4" i="1"/>
  <c r="S4" i="23"/>
  <c r="C55" i="4"/>
  <c r="U4" i="23"/>
  <c r="U22" i="23" s="1"/>
  <c r="J22" i="23"/>
  <c r="J52" i="23"/>
  <c r="J22" i="1"/>
  <c r="J27" i="23"/>
  <c r="R4" i="1"/>
  <c r="R22" i="1" s="1"/>
  <c r="R4" i="23"/>
  <c r="R22" i="23" s="1"/>
  <c r="M52" i="23"/>
  <c r="M22" i="23"/>
  <c r="M45" i="23"/>
  <c r="M45" i="1"/>
  <c r="B46" i="23"/>
  <c r="B53" i="23" s="1"/>
  <c r="B55" i="23" s="1"/>
  <c r="O46" i="23"/>
  <c r="O53" i="23" s="1"/>
  <c r="O55" i="23" s="1"/>
  <c r="O47" i="23"/>
  <c r="O48" i="23" s="1"/>
  <c r="O54" i="23" s="1"/>
  <c r="B47" i="23"/>
  <c r="B48" i="23" s="1"/>
  <c r="B54" i="23" s="1"/>
  <c r="B57" i="23"/>
  <c r="O57" i="23"/>
  <c r="B29" i="4"/>
  <c r="O22" i="4"/>
  <c r="R47" i="1"/>
  <c r="R48" i="1" s="1"/>
  <c r="R54" i="1" s="1"/>
  <c r="Q57" i="1"/>
  <c r="D74" i="4"/>
  <c r="R46" i="1"/>
  <c r="R53" i="1" s="1"/>
  <c r="C47" i="1"/>
  <c r="C48" i="1" s="1"/>
  <c r="C54" i="1" s="1"/>
  <c r="G74" i="4"/>
  <c r="D57" i="1"/>
  <c r="R57" i="1"/>
  <c r="P57" i="1"/>
  <c r="O57" i="1"/>
  <c r="C57" i="1"/>
  <c r="D10" i="4"/>
  <c r="C10" i="4"/>
  <c r="B57" i="1"/>
  <c r="C46" i="1"/>
  <c r="C53" i="1" s="1"/>
  <c r="B46" i="1"/>
  <c r="B53" i="1" s="1"/>
  <c r="B47" i="1"/>
  <c r="B48" i="1" s="1"/>
  <c r="B54" i="1" s="1"/>
  <c r="D46" i="1"/>
  <c r="D53" i="1" s="1"/>
  <c r="O47" i="1"/>
  <c r="O48" i="1" s="1"/>
  <c r="O54" i="1" s="1"/>
  <c r="O46" i="1"/>
  <c r="O53" i="1" s="1"/>
  <c r="O55" i="1" s="1"/>
  <c r="D47" i="1"/>
  <c r="D48" i="1" s="1"/>
  <c r="D54" i="1" s="1"/>
  <c r="D8" i="4"/>
  <c r="T4" i="1"/>
  <c r="T4" i="23"/>
  <c r="F74" i="4"/>
  <c r="I74" i="4"/>
  <c r="O74" i="4"/>
  <c r="P74" i="4"/>
  <c r="G78" i="4"/>
  <c r="D78" i="4"/>
  <c r="E78" i="4"/>
  <c r="M78" i="4"/>
  <c r="S78" i="4"/>
  <c r="L78" i="4"/>
  <c r="B78" i="4"/>
  <c r="V78" i="4"/>
  <c r="H78" i="4"/>
  <c r="R78" i="4"/>
  <c r="Q78" i="4"/>
  <c r="C78" i="4"/>
  <c r="I78" i="4"/>
  <c r="P78" i="4"/>
  <c r="K78" i="4"/>
  <c r="F78" i="4"/>
  <c r="J78" i="4"/>
  <c r="O78" i="4"/>
  <c r="U78" i="4"/>
  <c r="M63" i="4" l="1"/>
  <c r="M64" i="4" s="1"/>
  <c r="M57" i="4"/>
  <c r="M58" i="4" s="1"/>
  <c r="M76" i="4" s="1"/>
  <c r="K57" i="4"/>
  <c r="K58" i="4" s="1"/>
  <c r="K76" i="4" s="1"/>
  <c r="S63" i="4"/>
  <c r="S64" i="4" s="1"/>
  <c r="K56" i="4"/>
  <c r="K75" i="4" s="1"/>
  <c r="S56" i="4"/>
  <c r="S75" i="4" s="1"/>
  <c r="S57" i="4"/>
  <c r="S58" i="4" s="1"/>
  <c r="S76" i="4" s="1"/>
  <c r="U57" i="4"/>
  <c r="U58" i="4" s="1"/>
  <c r="U76" i="4" s="1"/>
  <c r="U63" i="4"/>
  <c r="U64" i="4" s="1"/>
  <c r="L57" i="4"/>
  <c r="L58" i="4" s="1"/>
  <c r="L76" i="4" s="1"/>
  <c r="J79" i="4"/>
  <c r="K79" i="4"/>
  <c r="V79" i="4"/>
  <c r="M79" i="4"/>
  <c r="L79" i="4"/>
  <c r="S79" i="4"/>
  <c r="U79" i="4"/>
  <c r="C63" i="4"/>
  <c r="C64" i="4" s="1"/>
  <c r="R63" i="4"/>
  <c r="R64" i="4" s="1"/>
  <c r="I57" i="4"/>
  <c r="I58" i="4" s="1"/>
  <c r="I76" i="4" s="1"/>
  <c r="F55" i="23"/>
  <c r="C55" i="23"/>
  <c r="I63" i="4"/>
  <c r="I64" i="4" s="1"/>
  <c r="H56" i="4"/>
  <c r="H75" i="4" s="1"/>
  <c r="F63" i="4"/>
  <c r="F64" i="4" s="1"/>
  <c r="G55" i="1"/>
  <c r="V4" i="4"/>
  <c r="V55" i="4" s="1"/>
  <c r="Q55" i="23"/>
  <c r="U55" i="23"/>
  <c r="T55" i="23"/>
  <c r="R55" i="23"/>
  <c r="S55" i="23"/>
  <c r="V55" i="23"/>
  <c r="P55" i="23"/>
  <c r="S55" i="1"/>
  <c r="U55" i="1"/>
  <c r="R55" i="1"/>
  <c r="T55" i="1"/>
  <c r="P55" i="1"/>
  <c r="Q55" i="1"/>
  <c r="V55" i="1"/>
  <c r="D63" i="4"/>
  <c r="D64" i="4" s="1"/>
  <c r="B63" i="4"/>
  <c r="B64" i="4" s="1"/>
  <c r="O63" i="4"/>
  <c r="O64" i="4" s="1"/>
  <c r="G56" i="4"/>
  <c r="G75" i="4" s="1"/>
  <c r="H57" i="4"/>
  <c r="H58" i="4" s="1"/>
  <c r="H76" i="4" s="1"/>
  <c r="H63" i="4"/>
  <c r="H64" i="4" s="1"/>
  <c r="P63" i="4"/>
  <c r="P64" i="4" s="1"/>
  <c r="G63" i="4"/>
  <c r="G64" i="4" s="1"/>
  <c r="E63" i="4"/>
  <c r="E64" i="4" s="1"/>
  <c r="Q63" i="4"/>
  <c r="Q64" i="4" s="1"/>
  <c r="V27" i="23"/>
  <c r="V52" i="23" s="1"/>
  <c r="I56" i="4"/>
  <c r="I75" i="4" s="1"/>
  <c r="U45" i="1"/>
  <c r="V22" i="1"/>
  <c r="V22" i="23"/>
  <c r="V27" i="1"/>
  <c r="V52" i="1" s="1"/>
  <c r="G57" i="4"/>
  <c r="G58" i="4" s="1"/>
  <c r="G76" i="4" s="1"/>
  <c r="F57" i="4"/>
  <c r="F58" i="4" s="1"/>
  <c r="F76" i="4" s="1"/>
  <c r="B56" i="4"/>
  <c r="E79" i="4"/>
  <c r="G79" i="4"/>
  <c r="I79" i="4"/>
  <c r="H79" i="4"/>
  <c r="F79" i="4"/>
  <c r="E57" i="4"/>
  <c r="E58" i="4" s="1"/>
  <c r="E76" i="4" s="1"/>
  <c r="E56" i="4"/>
  <c r="E75" i="4" s="1"/>
  <c r="F56" i="4"/>
  <c r="F75" i="4" s="1"/>
  <c r="P57" i="4"/>
  <c r="P58" i="4" s="1"/>
  <c r="P76" i="4" s="1"/>
  <c r="R56" i="4"/>
  <c r="R75" i="4" s="1"/>
  <c r="D56" i="4"/>
  <c r="D75" i="4" s="1"/>
  <c r="B57" i="4"/>
  <c r="B58" i="4" s="1"/>
  <c r="B76" i="4" s="1"/>
  <c r="V45" i="33"/>
  <c r="V27" i="33"/>
  <c r="V52" i="33" s="1"/>
  <c r="V22" i="33"/>
  <c r="D57" i="4"/>
  <c r="D58" i="4" s="1"/>
  <c r="D76" i="4" s="1"/>
  <c r="O57" i="4"/>
  <c r="O58" i="4" s="1"/>
  <c r="O76" i="4" s="1"/>
  <c r="C57" i="4"/>
  <c r="C58" i="4" s="1"/>
  <c r="C76" i="4" s="1"/>
  <c r="Q56" i="4"/>
  <c r="Q75" i="4" s="1"/>
  <c r="O56" i="4"/>
  <c r="O75" i="4" s="1"/>
  <c r="T77" i="4" s="1"/>
  <c r="C56" i="4"/>
  <c r="C75" i="4" s="1"/>
  <c r="P56" i="4"/>
  <c r="R57" i="4"/>
  <c r="R58" i="4" s="1"/>
  <c r="R76" i="4" s="1"/>
  <c r="Q57" i="4"/>
  <c r="Q58" i="4" s="1"/>
  <c r="Q76" i="4" s="1"/>
  <c r="Q79" i="4"/>
  <c r="P79" i="4"/>
  <c r="R79" i="4"/>
  <c r="U4" i="4"/>
  <c r="U27" i="1"/>
  <c r="U52" i="1" s="1"/>
  <c r="C79" i="4"/>
  <c r="D79" i="4"/>
  <c r="L55" i="23"/>
  <c r="D55" i="23"/>
  <c r="H55" i="23"/>
  <c r="K55" i="23"/>
  <c r="J55" i="23"/>
  <c r="M55" i="23"/>
  <c r="G55" i="23"/>
  <c r="E55" i="23"/>
  <c r="I55" i="23"/>
  <c r="R59" i="23"/>
  <c r="R60" i="23" s="1"/>
  <c r="O79" i="4"/>
  <c r="B79" i="4"/>
  <c r="L59" i="23"/>
  <c r="L60" i="23" s="1"/>
  <c r="F59" i="23"/>
  <c r="F60" i="23" s="1"/>
  <c r="Q59" i="23"/>
  <c r="Q60" i="23" s="1"/>
  <c r="V59" i="23"/>
  <c r="V60" i="23" s="1"/>
  <c r="P59" i="23"/>
  <c r="P60" i="23" s="1"/>
  <c r="T59" i="23"/>
  <c r="T60" i="23" s="1"/>
  <c r="U59" i="23"/>
  <c r="U60" i="23" s="1"/>
  <c r="S59" i="23"/>
  <c r="S60" i="23" s="1"/>
  <c r="R45" i="23"/>
  <c r="S4" i="4"/>
  <c r="S62" i="4" s="1"/>
  <c r="S45" i="1"/>
  <c r="S27" i="1"/>
  <c r="S52" i="1" s="1"/>
  <c r="S22" i="1"/>
  <c r="U27" i="23"/>
  <c r="U52" i="23" s="1"/>
  <c r="U45" i="23"/>
  <c r="S45" i="23"/>
  <c r="S27" i="23"/>
  <c r="S52" i="23" s="1"/>
  <c r="S22" i="23"/>
  <c r="R45" i="1"/>
  <c r="R4" i="4"/>
  <c r="R62" i="4" s="1"/>
  <c r="R27" i="1"/>
  <c r="R52" i="1" s="1"/>
  <c r="R27" i="23"/>
  <c r="R52" i="23" s="1"/>
  <c r="C59" i="23"/>
  <c r="E59" i="23"/>
  <c r="E60" i="23" s="1"/>
  <c r="J59" i="23"/>
  <c r="K59" i="23"/>
  <c r="K60" i="23" s="1"/>
  <c r="D59" i="23"/>
  <c r="I59" i="23"/>
  <c r="O59" i="23"/>
  <c r="O60" i="23" s="1"/>
  <c r="G59" i="23"/>
  <c r="G60" i="23" s="1"/>
  <c r="H59" i="23"/>
  <c r="H60" i="23" s="1"/>
  <c r="M59" i="23"/>
  <c r="M60" i="23" s="1"/>
  <c r="C55" i="1"/>
  <c r="H55" i="1"/>
  <c r="F55" i="1"/>
  <c r="I55" i="1"/>
  <c r="L55" i="1"/>
  <c r="J55" i="1"/>
  <c r="D55" i="1"/>
  <c r="K55" i="1"/>
  <c r="E55" i="1"/>
  <c r="O59" i="1"/>
  <c r="O60" i="1" s="1"/>
  <c r="J59" i="1"/>
  <c r="J60" i="1" s="1"/>
  <c r="F59" i="1"/>
  <c r="F60" i="1" s="1"/>
  <c r="M59" i="1"/>
  <c r="M60" i="1" s="1"/>
  <c r="I59" i="1"/>
  <c r="E59" i="1"/>
  <c r="E60" i="1" s="1"/>
  <c r="L59" i="1"/>
  <c r="H59" i="1"/>
  <c r="H60" i="1" s="1"/>
  <c r="D59" i="1"/>
  <c r="K59" i="1"/>
  <c r="C59" i="1"/>
  <c r="G59" i="1"/>
  <c r="G60" i="1" s="1"/>
  <c r="M55" i="1"/>
  <c r="T59" i="1"/>
  <c r="T60" i="1" s="1"/>
  <c r="P59" i="1"/>
  <c r="P60" i="1" s="1"/>
  <c r="S59" i="1"/>
  <c r="S60" i="1" s="1"/>
  <c r="V59" i="1"/>
  <c r="V60" i="1" s="1"/>
  <c r="R59" i="1"/>
  <c r="R60" i="1" s="1"/>
  <c r="U59" i="1"/>
  <c r="Q59" i="1"/>
  <c r="Q60" i="1" s="1"/>
  <c r="B55" i="1"/>
  <c r="T27" i="23"/>
  <c r="T52" i="23" s="1"/>
  <c r="T45" i="23"/>
  <c r="T22" i="23"/>
  <c r="T27" i="1"/>
  <c r="T52" i="1" s="1"/>
  <c r="T45" i="1"/>
  <c r="T4" i="4"/>
  <c r="T62" i="4" s="1"/>
  <c r="T22" i="1"/>
  <c r="I60" i="1"/>
  <c r="K60" i="1"/>
  <c r="L60" i="1"/>
  <c r="C60" i="1"/>
  <c r="U60" i="1"/>
  <c r="I60" i="23"/>
  <c r="D60" i="1"/>
  <c r="C60" i="23"/>
  <c r="D60" i="23"/>
  <c r="J60" i="23"/>
  <c r="V74" i="4" l="1"/>
  <c r="V62" i="4"/>
  <c r="P75" i="4"/>
  <c r="P77" i="4" s="1"/>
  <c r="O81" i="4"/>
  <c r="U74" i="4"/>
  <c r="U62" i="4"/>
  <c r="R61" i="23"/>
  <c r="U55" i="4"/>
  <c r="V77" i="4"/>
  <c r="U77" i="4"/>
  <c r="O77" i="4"/>
  <c r="S77" i="4"/>
  <c r="Q77" i="4"/>
  <c r="R77" i="4"/>
  <c r="P81" i="4"/>
  <c r="P82" i="4" s="1"/>
  <c r="Q81" i="4"/>
  <c r="B75" i="4"/>
  <c r="M61" i="23"/>
  <c r="I61" i="23"/>
  <c r="E61" i="23"/>
  <c r="D61" i="23"/>
  <c r="C61" i="23"/>
  <c r="Q61" i="23"/>
  <c r="U61" i="23"/>
  <c r="P61" i="23"/>
  <c r="F61" i="23"/>
  <c r="H61" i="23"/>
  <c r="K61" i="23"/>
  <c r="G61" i="23"/>
  <c r="J61" i="23"/>
  <c r="S61" i="23"/>
  <c r="T61" i="23"/>
  <c r="V61" i="23"/>
  <c r="L61" i="23"/>
  <c r="D61" i="1"/>
  <c r="U61" i="1"/>
  <c r="S61" i="1"/>
  <c r="G61" i="1"/>
  <c r="M61" i="1"/>
  <c r="L61" i="1"/>
  <c r="T61" i="1"/>
  <c r="E61" i="1"/>
  <c r="F61" i="1"/>
  <c r="K61" i="1"/>
  <c r="I61" i="1"/>
  <c r="J61" i="1"/>
  <c r="V61" i="1"/>
  <c r="H61" i="1"/>
  <c r="S55" i="4"/>
  <c r="S74" i="4"/>
  <c r="R55" i="4"/>
  <c r="R74" i="4"/>
  <c r="O61" i="1"/>
  <c r="Q61" i="1"/>
  <c r="P61" i="1"/>
  <c r="C61" i="1"/>
  <c r="R61" i="1"/>
  <c r="T55" i="4"/>
  <c r="T74" i="4"/>
  <c r="O82" i="4"/>
  <c r="Q82" i="4"/>
  <c r="K77" i="4" l="1"/>
  <c r="J77" i="4"/>
  <c r="G77" i="4"/>
  <c r="F77" i="4"/>
  <c r="L77" i="4"/>
  <c r="B77" i="4"/>
  <c r="M77" i="4"/>
  <c r="I77" i="4"/>
  <c r="H77" i="4"/>
  <c r="D77" i="4"/>
  <c r="C77" i="4"/>
  <c r="E77" i="4"/>
  <c r="P83" i="4"/>
  <c r="Q83" i="4"/>
  <c r="O83" i="4"/>
  <c r="O61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A68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A modifier si erreur dans le doc word - peut etre c'est Testo le témoin de référence</t>
        </r>
      </text>
    </comment>
    <comment ref="A69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A modifier si erreur dans le doc word - peut etre c'est Testo le témoin de référence</t>
        </r>
      </text>
    </comment>
  </commentList>
</comments>
</file>

<file path=xl/sharedStrings.xml><?xml version="1.0" encoding="utf-8"?>
<sst xmlns="http://schemas.openxmlformats.org/spreadsheetml/2006/main" count="250" uniqueCount="64">
  <si>
    <t>mean</t>
  </si>
  <si>
    <t>SD</t>
  </si>
  <si>
    <t>SEM</t>
  </si>
  <si>
    <t>Rep1</t>
  </si>
  <si>
    <t>Rep2</t>
  </si>
  <si>
    <t>R1</t>
  </si>
  <si>
    <t>R2</t>
  </si>
  <si>
    <t>Concentration</t>
  </si>
  <si>
    <t xml:space="preserve">Testo </t>
  </si>
  <si>
    <t>R3</t>
  </si>
  <si>
    <t>Mean</t>
  </si>
  <si>
    <t>Noms des groupes</t>
  </si>
  <si>
    <t>Nom des groupes</t>
  </si>
  <si>
    <t xml:space="preserve"> + Testostérone</t>
  </si>
  <si>
    <t>% induction</t>
  </si>
  <si>
    <t>Annotation</t>
  </si>
  <si>
    <t>Rep3</t>
  </si>
  <si>
    <t>ng/L</t>
  </si>
  <si>
    <t>EE2</t>
  </si>
  <si>
    <t>µg/L</t>
  </si>
  <si>
    <t xml:space="preserve">Testo 30µg/L + EE2 </t>
  </si>
  <si>
    <t>mg/L</t>
  </si>
  <si>
    <t>Testo 30µg/L + FAD</t>
  </si>
  <si>
    <t>Date performed :</t>
  </si>
  <si>
    <t>Experiment number :</t>
  </si>
  <si>
    <t>Do not fill in</t>
  </si>
  <si>
    <t>Do not fill in2</t>
  </si>
  <si>
    <t>Units</t>
  </si>
  <si>
    <t>Chemical name</t>
  </si>
  <si>
    <t>Do not fill in3</t>
  </si>
  <si>
    <t>test chemical</t>
  </si>
  <si>
    <t>Solvent control</t>
  </si>
  <si>
    <t>33.8</t>
  </si>
  <si>
    <t>50.6</t>
  </si>
  <si>
    <t>170.9</t>
  </si>
  <si>
    <t>Raw data</t>
  </si>
  <si>
    <t>Data normalised to the "Testo" group</t>
  </si>
  <si>
    <t>Group names</t>
  </si>
  <si>
    <t>Normality test : p value</t>
  </si>
  <si>
    <t>Normality test : normal distibution?</t>
  </si>
  <si>
    <t>Statistical test used</t>
  </si>
  <si>
    <t>Statistical test : p value</t>
  </si>
  <si>
    <t>Unspiked</t>
  </si>
  <si>
    <t>Testosterone spiked</t>
  </si>
  <si>
    <t>N</t>
  </si>
  <si>
    <t>Group Name</t>
  </si>
  <si>
    <t>Control</t>
  </si>
  <si>
    <t>Amantadine</t>
  </si>
  <si>
    <t xml:space="preserve">1 dead and the 3 others where light up…. Contamination again? </t>
  </si>
  <si>
    <t xml:space="preserve">R1 done another time, because too much deads in the first R1. </t>
  </si>
  <si>
    <t xml:space="preserve">R1bis : Only 4 embryos in the amantadine 0,1 mg/L well  </t>
  </si>
  <si>
    <t xml:space="preserve">R1bis: Start of the exposure : 10.02, start of reading 12h until 15h </t>
  </si>
  <si>
    <t xml:space="preserve">Start of the exposure: 15h45 (09.02.2022) start of reading : 15h30 (10.02.2022) (end of the reading 18h30) </t>
  </si>
  <si>
    <t xml:space="preserve">R1: contamination in the bottle 1 mg/L of amantadine, because of the lid. </t>
  </si>
  <si>
    <t xml:space="preserve">7 embryos dead in the whole plate of amantadine,  as we knew the replicats will be excluded because of the deads, we did not read the amantadine + testo plate </t>
  </si>
  <si>
    <t>The bottle 1 mg/L was changed</t>
  </si>
  <si>
    <t>In the group Testo + Fadrozole : only 7 pictures because a technical problem when the picture was saved (half of the picture is gray). We can get rid of the value or do another analysis with a croped picture?</t>
  </si>
  <si>
    <t>ns</t>
  </si>
  <si>
    <t>&gt;0,99</t>
  </si>
  <si>
    <t>**</t>
  </si>
  <si>
    <t>***</t>
  </si>
  <si>
    <t>&lt;0,001</t>
  </si>
  <si>
    <t>Kruskal-Wallis</t>
  </si>
  <si>
    <t>ANOVA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</si>
</sst>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name val="Arial"/>
      <family val="2"/>
    </font>
    <font>
      <sz val="16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4" fillId="0" borderId="0"/>
    <xf numFmtId="0" fontId="8" fillId="0" borderId="0"/>
    <xf numFmtId="0" fontId="4" fillId="0" borderId="0"/>
    <xf numFmtId="0" fontId="8" fillId="0" borderId="0"/>
    <xf numFmtId="0" fontId="4" fillId="0" borderId="0"/>
    <xf numFmtId="0" fontId="8" fillId="0" borderId="0"/>
  </cellStyleXfs>
  <cellXfs count="152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8" borderId="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1" fillId="4" borderId="3" xfId="0" applyFont="1" applyFill="1" applyBorder="1" applyAlignment="1">
      <alignment horizontal="center"/>
    </xf>
    <xf numFmtId="0" fontId="3" fillId="0" borderId="15" xfId="0" applyFont="1" applyBorder="1" applyAlignment="1">
      <alignment vertical="center"/>
    </xf>
    <xf numFmtId="0" fontId="0" fillId="0" borderId="0" xfId="0" applyFont="1"/>
    <xf numFmtId="0" fontId="3" fillId="0" borderId="9" xfId="0" applyNumberFormat="1" applyFont="1" applyBorder="1" applyAlignment="1">
      <alignment vertical="center"/>
    </xf>
    <xf numFmtId="0" fontId="0" fillId="0" borderId="0" xfId="0" applyNumberFormat="1"/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23" xfId="0" applyFill="1" applyBorder="1"/>
    <xf numFmtId="0" fontId="0" fillId="0" borderId="0" xfId="0" applyAlignment="1">
      <alignment vertical="center"/>
    </xf>
    <xf numFmtId="164" fontId="7" fillId="11" borderId="7" xfId="0" applyNumberFormat="1" applyFont="1" applyFill="1" applyBorder="1" applyAlignment="1">
      <alignment horizontal="left" vertical="center"/>
    </xf>
    <xf numFmtId="164" fontId="7" fillId="11" borderId="6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13" borderId="26" xfId="0" applyFont="1" applyFill="1" applyBorder="1" applyAlignment="1">
      <alignment vertic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/>
    <xf numFmtId="49" fontId="0" fillId="0" borderId="0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Fill="1"/>
    <xf numFmtId="164" fontId="0" fillId="6" borderId="10" xfId="0" applyNumberFormat="1" applyFill="1" applyBorder="1" applyAlignment="1">
      <alignment horizontal="center"/>
    </xf>
    <xf numFmtId="164" fontId="0" fillId="6" borderId="18" xfId="0" applyNumberFormat="1" applyFill="1" applyBorder="1" applyAlignment="1">
      <alignment horizontal="center"/>
    </xf>
    <xf numFmtId="0" fontId="3" fillId="7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9" borderId="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13" borderId="3" xfId="0" applyFont="1" applyFill="1" applyBorder="1" applyAlignment="1">
      <alignment vertical="center"/>
    </xf>
    <xf numFmtId="2" fontId="3" fillId="7" borderId="2" xfId="0" applyNumberFormat="1" applyFont="1" applyFill="1" applyBorder="1" applyAlignment="1">
      <alignment horizontal="center" vertical="center" wrapText="1"/>
    </xf>
    <xf numFmtId="2" fontId="3" fillId="7" borderId="21" xfId="0" applyNumberFormat="1" applyFont="1" applyFill="1" applyBorder="1" applyAlignment="1">
      <alignment horizontal="center" vertical="center" wrapText="1"/>
    </xf>
    <xf numFmtId="0" fontId="3" fillId="0" borderId="25" xfId="0" applyFont="1" applyBorder="1" applyAlignment="1">
      <alignment vertical="center"/>
    </xf>
    <xf numFmtId="0" fontId="3" fillId="13" borderId="13" xfId="0" applyFont="1" applyFill="1" applyBorder="1" applyAlignment="1">
      <alignment vertical="center"/>
    </xf>
    <xf numFmtId="0" fontId="3" fillId="13" borderId="15" xfId="0" applyFont="1" applyFill="1" applyBorder="1" applyAlignment="1">
      <alignment vertical="center"/>
    </xf>
    <xf numFmtId="0" fontId="3" fillId="13" borderId="4" xfId="0" applyFont="1" applyFill="1" applyBorder="1" applyAlignment="1">
      <alignment vertical="center"/>
    </xf>
    <xf numFmtId="0" fontId="3" fillId="0" borderId="1" xfId="0" applyNumberFormat="1" applyFont="1" applyBorder="1" applyAlignment="1">
      <alignment horizontal="center" vertical="center"/>
    </xf>
    <xf numFmtId="0" fontId="3" fillId="13" borderId="9" xfId="0" applyNumberFormat="1" applyFont="1" applyFill="1" applyBorder="1" applyAlignment="1">
      <alignment horizontal="center" vertical="center"/>
    </xf>
    <xf numFmtId="0" fontId="3" fillId="13" borderId="1" xfId="0" applyNumberFormat="1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13" borderId="23" xfId="0" applyFont="1" applyFill="1" applyBorder="1" applyAlignment="1">
      <alignment vertical="center"/>
    </xf>
    <xf numFmtId="0" fontId="3" fillId="13" borderId="0" xfId="0" applyFont="1" applyFill="1" applyBorder="1" applyAlignment="1">
      <alignment vertic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13" borderId="26" xfId="0" applyNumberFormat="1" applyFont="1" applyFill="1" applyBorder="1" applyAlignment="1">
      <alignment horizontal="center" vertical="center"/>
    </xf>
    <xf numFmtId="0" fontId="3" fillId="13" borderId="3" xfId="0" applyNumberFormat="1" applyFon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164" fontId="0" fillId="6" borderId="0" xfId="0" applyNumberFormat="1" applyFill="1" applyBorder="1" applyAlignment="1">
      <alignment horizontal="center"/>
    </xf>
    <xf numFmtId="164" fontId="0" fillId="6" borderId="15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14" borderId="3" xfId="0" applyFont="1" applyFill="1" applyBorder="1" applyAlignment="1">
      <alignment horizontal="center"/>
    </xf>
    <xf numFmtId="164" fontId="0" fillId="14" borderId="1" xfId="0" applyNumberForma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3" xfId="0" applyNumberFormat="1" applyFont="1" applyFill="1" applyBorder="1" applyAlignment="1">
      <alignment vertical="center"/>
    </xf>
    <xf numFmtId="2" fontId="3" fillId="0" borderId="15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2" fontId="3" fillId="0" borderId="3" xfId="0" applyNumberFormat="1" applyFont="1" applyFill="1" applyBorder="1" applyAlignment="1">
      <alignment horizontal="center" vertical="center"/>
    </xf>
    <xf numFmtId="0" fontId="3" fillId="0" borderId="0" xfId="0" applyFont="1" applyFill="1"/>
    <xf numFmtId="0" fontId="3" fillId="0" borderId="21" xfId="0" applyFont="1" applyBorder="1" applyAlignment="1">
      <alignment vertical="center"/>
    </xf>
    <xf numFmtId="0" fontId="3" fillId="0" borderId="22" xfId="0" applyNumberFormat="1" applyFont="1" applyBorder="1" applyAlignment="1">
      <alignment horizontal="center" vertical="center"/>
    </xf>
    <xf numFmtId="0" fontId="3" fillId="13" borderId="31" xfId="0" applyNumberFormat="1" applyFont="1" applyFill="1" applyBorder="1" applyAlignment="1">
      <alignment vertical="center"/>
    </xf>
    <xf numFmtId="0" fontId="3" fillId="13" borderId="29" xfId="0" applyFont="1" applyFill="1" applyBorder="1" applyAlignment="1">
      <alignment vertical="center"/>
    </xf>
    <xf numFmtId="0" fontId="3" fillId="13" borderId="32" xfId="0" applyNumberFormat="1" applyFont="1" applyFill="1" applyBorder="1" applyAlignment="1">
      <alignment vertical="center"/>
    </xf>
    <xf numFmtId="0" fontId="3" fillId="13" borderId="24" xfId="0" applyFont="1" applyFill="1" applyBorder="1" applyAlignment="1">
      <alignment vertical="center"/>
    </xf>
    <xf numFmtId="0" fontId="3" fillId="13" borderId="33" xfId="0" applyNumberFormat="1" applyFont="1" applyFill="1" applyBorder="1" applyAlignment="1">
      <alignment vertical="center"/>
    </xf>
    <xf numFmtId="0" fontId="3" fillId="13" borderId="34" xfId="0" applyFont="1" applyFill="1" applyBorder="1" applyAlignment="1">
      <alignment vertical="center"/>
    </xf>
    <xf numFmtId="0" fontId="3" fillId="13" borderId="11" xfId="0" applyNumberFormat="1" applyFont="1" applyFill="1" applyBorder="1" applyAlignment="1">
      <alignment horizontal="center" vertical="center"/>
    </xf>
    <xf numFmtId="0" fontId="3" fillId="13" borderId="35" xfId="0" applyNumberFormat="1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3" borderId="30" xfId="0" applyFont="1" applyFill="1" applyBorder="1" applyAlignment="1">
      <alignment vertical="center"/>
    </xf>
    <xf numFmtId="0" fontId="3" fillId="8" borderId="8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/>
    </xf>
    <xf numFmtId="0" fontId="3" fillId="13" borderId="39" xfId="0" applyNumberFormat="1" applyFont="1" applyFill="1" applyBorder="1" applyAlignment="1">
      <alignment vertical="center"/>
    </xf>
    <xf numFmtId="0" fontId="3" fillId="13" borderId="25" xfId="0" applyNumberFormat="1" applyFont="1" applyFill="1" applyBorder="1" applyAlignment="1">
      <alignment vertical="center"/>
    </xf>
    <xf numFmtId="0" fontId="3" fillId="13" borderId="1" xfId="0" applyNumberFormat="1" applyFont="1" applyFill="1" applyBorder="1" applyAlignment="1">
      <alignment vertical="center"/>
    </xf>
    <xf numFmtId="0" fontId="10" fillId="8" borderId="12" xfId="0" applyFont="1" applyFill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7" fillId="12" borderId="7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5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3" fillId="0" borderId="38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7" fillId="11" borderId="7" xfId="0" applyFont="1" applyFill="1" applyBorder="1" applyAlignment="1">
      <alignment horizontal="left"/>
    </xf>
    <xf numFmtId="0" fontId="7" fillId="11" borderId="6" xfId="0" applyFont="1" applyFill="1" applyBorder="1" applyAlignment="1">
      <alignment horizontal="left"/>
    </xf>
    <xf numFmtId="164" fontId="7" fillId="11" borderId="7" xfId="0" applyNumberFormat="1" applyFont="1" applyFill="1" applyBorder="1" applyAlignment="1">
      <alignment horizontal="left"/>
    </xf>
    <xf numFmtId="164" fontId="7" fillId="11" borderId="6" xfId="0" applyNumberFormat="1" applyFont="1" applyFill="1" applyBorder="1" applyAlignment="1">
      <alignment horizontal="left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164" fontId="7" fillId="11" borderId="7" xfId="0" applyNumberFormat="1" applyFont="1" applyFill="1" applyBorder="1" applyAlignment="1">
      <alignment horizontal="left" vertical="center"/>
    </xf>
    <xf numFmtId="164" fontId="7" fillId="11" borderId="6" xfId="0" applyNumberFormat="1" applyFont="1" applyFill="1" applyBorder="1" applyAlignment="1">
      <alignment horizontal="left" vertical="center"/>
    </xf>
  </cellXfs>
  <cellStyles count="7">
    <cellStyle name="Normal" xfId="0" builtinId="0"/>
    <cellStyle name="Normal 2" xfId="1" xr:uid="{00000000-0005-0000-0000-000001000000}"/>
    <cellStyle name="Normal 2 2" xfId="5" xr:uid="{00000000-0005-0000-0000-000002000000}"/>
    <cellStyle name="Normal 2 2 2" xfId="3" xr:uid="{00000000-0005-0000-0000-000003000000}"/>
    <cellStyle name="Normal 3" xfId="2" xr:uid="{00000000-0005-0000-0000-000004000000}"/>
    <cellStyle name="Normal 3 2" xfId="4" xr:uid="{00000000-0005-0000-0000-000005000000}"/>
    <cellStyle name="Normal 4" xfId="6" xr:uid="{00000000-0005-0000-0000-000006000000}"/>
  </cellStyles>
  <dxfs count="9"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65" formatCode="#,000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colors>
    <mruColors>
      <color rgb="FF5F5F5F"/>
      <color rgb="FFBA3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chartsheet" Target="chartsheets/sheet4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6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61954963560215E-2"/>
          <c:y val="0.14661966108751268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R1</c:v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1-9479-4293-B6F6-2F33FB06526E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2-9479-4293-B6F6-2F33FB06526E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9479-4293-B6F6-2F33FB06526E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4-9479-4293-B6F6-2F33FB06526E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9479-4293-B6F6-2F33FB06526E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6-9479-4293-B6F6-2F33FB06526E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9479-4293-B6F6-2F33FB06526E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8-9479-4293-B6F6-2F33FB06526E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9479-4293-B6F6-2F33FB06526E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A-9479-4293-B6F6-2F33FB06526E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9479-4293-B6F6-2F33FB06526E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C-9479-4293-B6F6-2F33FB06526E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2-9479-4293-B6F6-2F33FB06526E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9479-4293-B6F6-2F33FB06526E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E-9479-4293-B6F6-2F33FB06526E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9479-4293-B6F6-2F33FB06526E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0-9479-4293-B6F6-2F33FB06526E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9479-4293-B6F6-2F33FB06526E}"/>
              </c:ext>
            </c:extLst>
          </c:dPt>
          <c:errBars>
            <c:errBarType val="plus"/>
            <c:errValType val="cust"/>
            <c:noEndCap val="0"/>
            <c:plus>
              <c:numRef>
                <c:f>'R1'!$B$54:$V$54</c:f>
                <c:numCache>
                  <c:formatCode>General</c:formatCode>
                  <c:ptCount val="21"/>
                  <c:pt idx="0">
                    <c:v>1.7915464945579003E-2</c:v>
                  </c:pt>
                  <c:pt idx="1">
                    <c:v>4.2949645608036047E-2</c:v>
                  </c:pt>
                  <c:pt idx="2">
                    <c:v>8.9527202795233213E-2</c:v>
                  </c:pt>
                  <c:pt idx="3">
                    <c:v>0.15423336717222716</c:v>
                  </c:pt>
                  <c:pt idx="4">
                    <c:v>0.21060834813031232</c:v>
                  </c:pt>
                  <c:pt idx="5">
                    <c:v>0.17953425404043916</c:v>
                  </c:pt>
                  <c:pt idx="6">
                    <c:v>0.26451522507462921</c:v>
                  </c:pt>
                  <c:pt idx="7">
                    <c:v>3.4762955707920144E-2</c:v>
                  </c:pt>
                  <c:pt idx="8">
                    <c:v>2.3946083735814777E-2</c:v>
                  </c:pt>
                  <c:pt idx="9">
                    <c:v>3.6005037686657158E-2</c:v>
                  </c:pt>
                  <c:pt idx="10">
                    <c:v>2.0253258055712729E-2</c:v>
                  </c:pt>
                  <c:pt idx="11">
                    <c:v>1.1009659439116201E-2</c:v>
                  </c:pt>
                  <c:pt idx="13">
                    <c:v>0.17608773027199198</c:v>
                  </c:pt>
                  <c:pt idx="14">
                    <c:v>0.25882921801315029</c:v>
                  </c:pt>
                  <c:pt idx="15">
                    <c:v>9.5010142418572516E-3</c:v>
                  </c:pt>
                  <c:pt idx="16">
                    <c:v>0.19546021166759969</c:v>
                  </c:pt>
                  <c:pt idx="17">
                    <c:v>0.20401690643506012</c:v>
                  </c:pt>
                  <c:pt idx="18">
                    <c:v>0.13729741183268868</c:v>
                  </c:pt>
                  <c:pt idx="19">
                    <c:v>0.19807134288610462</c:v>
                  </c:pt>
                  <c:pt idx="20">
                    <c:v>0.11763423521841593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'R1'!$B$52:$V$52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Amantadine-0.001mg/L</c:v>
                </c:pt>
                <c:pt idx="8">
                  <c:v>Amantadine-0.01mg/L</c:v>
                </c:pt>
                <c:pt idx="9">
                  <c:v>Amantadine-0.1mg/L</c:v>
                </c:pt>
                <c:pt idx="10">
                  <c:v>Amantadine-1mg/L</c:v>
                </c:pt>
                <c:pt idx="11">
                  <c:v>Amantadine-10mg/L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Amantadine-0.001mg/L + Testostérone</c:v>
                </c:pt>
                <c:pt idx="17">
                  <c:v>Amantadine-0.01mg/L + Testostérone</c:v>
                </c:pt>
                <c:pt idx="18">
                  <c:v>Amantadine-0.1mg/L + Testostérone</c:v>
                </c:pt>
                <c:pt idx="19">
                  <c:v>Amantadine-1mg/L + Testostérone</c:v>
                </c:pt>
                <c:pt idx="20">
                  <c:v>Amantadine-10mg/L + Testostérone</c:v>
                </c:pt>
              </c:strCache>
            </c:strRef>
          </c:cat>
          <c:val>
            <c:numRef>
              <c:f>'R1'!$B$53:$V$53</c:f>
              <c:numCache>
                <c:formatCode>0.0000</c:formatCode>
                <c:ptCount val="21"/>
                <c:pt idx="0">
                  <c:v>7.0095333873575097E-2</c:v>
                </c:pt>
                <c:pt idx="1">
                  <c:v>9.4451141490549256E-2</c:v>
                </c:pt>
                <c:pt idx="2">
                  <c:v>0.35176018452843455</c:v>
                </c:pt>
                <c:pt idx="3">
                  <c:v>0.53511886235642148</c:v>
                </c:pt>
                <c:pt idx="4">
                  <c:v>1.6452178914527611</c:v>
                </c:pt>
                <c:pt idx="5">
                  <c:v>2.4056604616666375</c:v>
                </c:pt>
                <c:pt idx="6">
                  <c:v>3.2338604644773055</c:v>
                </c:pt>
                <c:pt idx="7">
                  <c:v>8.0807064127640243E-2</c:v>
                </c:pt>
                <c:pt idx="8">
                  <c:v>8.9642655767535162E-2</c:v>
                </c:pt>
                <c:pt idx="9">
                  <c:v>8.9935427874659218E-2</c:v>
                </c:pt>
                <c:pt idx="10">
                  <c:v>6.4996178787802228E-2</c:v>
                </c:pt>
                <c:pt idx="11">
                  <c:v>6.0026833120845176E-2</c:v>
                </c:pt>
                <c:pt idx="13">
                  <c:v>1</c:v>
                </c:pt>
                <c:pt idx="14">
                  <c:v>2.9911507054759916</c:v>
                </c:pt>
                <c:pt idx="15">
                  <c:v>3.4033898832552825E-2</c:v>
                </c:pt>
                <c:pt idx="16">
                  <c:v>0.75473052647567174</c:v>
                </c:pt>
                <c:pt idx="17">
                  <c:v>1.0409494395467829</c:v>
                </c:pt>
                <c:pt idx="18">
                  <c:v>1.0808648720748153</c:v>
                </c:pt>
                <c:pt idx="19">
                  <c:v>0.5932738499661756</c:v>
                </c:pt>
                <c:pt idx="20">
                  <c:v>0.43213394313387204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8-433F-93CE-959A7E857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817512"/>
        <c:axId val="324817904"/>
      </c:barChart>
      <c:catAx>
        <c:axId val="324817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324817904"/>
        <c:crosses val="autoZero"/>
        <c:auto val="1"/>
        <c:lblAlgn val="ctr"/>
        <c:lblOffset val="100"/>
        <c:noMultiLvlLbl val="0"/>
      </c:catAx>
      <c:valAx>
        <c:axId val="324817904"/>
        <c:scaling>
          <c:orientation val="minMax"/>
          <c:max val="2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324817512"/>
        <c:crosses val="autoZero"/>
        <c:crossBetween val="between"/>
        <c:majorUnit val="0.2"/>
        <c:minorUnit val="0.1"/>
      </c:valAx>
    </c:plotArea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95319521821627E-2"/>
          <c:y val="0.14871824529979213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R2</c:v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7-20C9-4512-B8CA-3370C5107DC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9-20C9-4512-B8CA-3370C5107DC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A-20C9-4512-B8CA-3370C5107DC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B-20C9-4512-B8CA-3370C5107DC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C-20C9-4512-B8CA-3370C5107DC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D-20C9-4512-B8CA-3370C5107DCA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E-20C9-4512-B8CA-3370C5107DCA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20C9-4512-B8CA-3370C5107DCA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0-20C9-4512-B8CA-3370C5107DCA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ED2-4ACE-91AA-7F8713196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20C9-4512-B8CA-3370C5107DCA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ED2-4ACE-91AA-7F8713196E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5-EED2-4ACE-91AA-7F8713196E9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8-20C9-4512-B8CA-3370C5107DCA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EED2-4ACE-91AA-7F8713196E9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2-20C9-4512-B8CA-3370C5107DCA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20C9-4512-B8CA-3370C5107DCA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4-20C9-4512-B8CA-3370C5107DCA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20C9-4512-B8CA-3370C5107DCA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6-20C9-4512-B8CA-3370C5107DCA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EED2-4ACE-91AA-7F8713196E92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ED2-4ACE-91AA-7F8713196E92}"/>
              </c:ext>
            </c:extLst>
          </c:dPt>
          <c:dPt>
            <c:idx val="27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D-EED2-4ACE-91AA-7F8713196E92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EED2-4ACE-91AA-7F8713196E9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EED2-4ACE-91AA-7F8713196E9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EED2-4ACE-91AA-7F8713196E92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EED2-4ACE-91AA-7F8713196E92}"/>
              </c:ext>
            </c:extLst>
          </c:dPt>
          <c:errBars>
            <c:errBarType val="plus"/>
            <c:errValType val="cust"/>
            <c:noEndCap val="0"/>
            <c:plus>
              <c:numRef>
                <c:f>'R2'!$B$54:$V$54</c:f>
                <c:numCache>
                  <c:formatCode>General</c:formatCode>
                  <c:ptCount val="21"/>
                  <c:pt idx="0">
                    <c:v>3.9162069080911105E-2</c:v>
                  </c:pt>
                  <c:pt idx="1">
                    <c:v>2.6937893851464095E-2</c:v>
                  </c:pt>
                  <c:pt idx="2">
                    <c:v>0.20356826306432088</c:v>
                  </c:pt>
                  <c:pt idx="3">
                    <c:v>0.13490678718921861</c:v>
                  </c:pt>
                  <c:pt idx="4">
                    <c:v>0.30856704381979599</c:v>
                  </c:pt>
                  <c:pt idx="5">
                    <c:v>0.12598171732667021</c:v>
                  </c:pt>
                  <c:pt idx="6">
                    <c:v>0.26657803248185347</c:v>
                  </c:pt>
                  <c:pt idx="7">
                    <c:v>2.0973877301991031E-2</c:v>
                  </c:pt>
                  <c:pt idx="8">
                    <c:v>2.4665452184506009E-2</c:v>
                  </c:pt>
                  <c:pt idx="9">
                    <c:v>9.4482820317728644E-2</c:v>
                  </c:pt>
                  <c:pt idx="10">
                    <c:v>1.925740455401341E-2</c:v>
                  </c:pt>
                  <c:pt idx="11">
                    <c:v>1.2750493235712928E-2</c:v>
                  </c:pt>
                  <c:pt idx="13">
                    <c:v>0.1011866930956173</c:v>
                  </c:pt>
                  <c:pt idx="14">
                    <c:v>0.13633035740303084</c:v>
                  </c:pt>
                  <c:pt idx="15">
                    <c:v>1.7946507188814752E-2</c:v>
                  </c:pt>
                  <c:pt idx="16">
                    <c:v>0.12587458227756521</c:v>
                  </c:pt>
                  <c:pt idx="17">
                    <c:v>0.13896531007701557</c:v>
                  </c:pt>
                  <c:pt idx="18">
                    <c:v>0.10698827793572131</c:v>
                  </c:pt>
                  <c:pt idx="19">
                    <c:v>0.13312152070441421</c:v>
                  </c:pt>
                  <c:pt idx="20">
                    <c:v>0.13833419810194941</c:v>
                  </c:pt>
                </c:numCache>
              </c:numRef>
            </c:plus>
            <c:minus>
              <c:numRef>
                <c:f>'R1'!$N$48:$V$48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0.17608773027199198</c:v>
                  </c:pt>
                  <c:pt idx="2">
                    <c:v>0.25882921801315029</c:v>
                  </c:pt>
                  <c:pt idx="3">
                    <c:v>9.5010142418572516E-3</c:v>
                  </c:pt>
                  <c:pt idx="4">
                    <c:v>0.19546021166759969</c:v>
                  </c:pt>
                  <c:pt idx="5">
                    <c:v>0.20401690643506012</c:v>
                  </c:pt>
                  <c:pt idx="6">
                    <c:v>0.13729741183268868</c:v>
                  </c:pt>
                  <c:pt idx="7">
                    <c:v>0.19807134288610462</c:v>
                  </c:pt>
                  <c:pt idx="8">
                    <c:v>0.11763423521841593</c:v>
                  </c:pt>
                </c:numCache>
              </c:numRef>
            </c:minus>
          </c:errBars>
          <c:cat>
            <c:strRef>
              <c:f>'R2'!$B$52:$V$52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Amantadine-0.001mg/L</c:v>
                </c:pt>
                <c:pt idx="8">
                  <c:v>Amantadine-0.01mg/L</c:v>
                </c:pt>
                <c:pt idx="9">
                  <c:v>Amantadine-0.1mg/L</c:v>
                </c:pt>
                <c:pt idx="10">
                  <c:v>Amantadine-1mg/L</c:v>
                </c:pt>
                <c:pt idx="11">
                  <c:v>Amantadine-10mg/L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Amantadine-0.001mg/L + Testostérone</c:v>
                </c:pt>
                <c:pt idx="17">
                  <c:v>Amantadine-0.01mg/L + Testostérone</c:v>
                </c:pt>
                <c:pt idx="18">
                  <c:v>Amantadine-0.1mg/L + Testostérone</c:v>
                </c:pt>
                <c:pt idx="19">
                  <c:v>Amantadine-1mg/L + Testostérone</c:v>
                </c:pt>
                <c:pt idx="20">
                  <c:v>Amantadine-10mg/L + Testostérone</c:v>
                </c:pt>
              </c:strCache>
            </c:strRef>
          </c:cat>
          <c:val>
            <c:numRef>
              <c:f>'R2'!$B$53:$V$53</c:f>
              <c:numCache>
                <c:formatCode>0.0000</c:formatCode>
                <c:ptCount val="21"/>
                <c:pt idx="0">
                  <c:v>0.10959804421127374</c:v>
                </c:pt>
                <c:pt idx="1">
                  <c:v>6.9037281762711608E-2</c:v>
                </c:pt>
                <c:pt idx="2">
                  <c:v>0.29463011642387926</c:v>
                </c:pt>
                <c:pt idx="3">
                  <c:v>0.50854877606844517</c:v>
                </c:pt>
                <c:pt idx="4">
                  <c:v>1.1867649834350287</c:v>
                </c:pt>
                <c:pt idx="5">
                  <c:v>1.3108876286061695</c:v>
                </c:pt>
                <c:pt idx="6">
                  <c:v>2.2756884350562987</c:v>
                </c:pt>
                <c:pt idx="7">
                  <c:v>4.8059681724449375E-2</c:v>
                </c:pt>
                <c:pt idx="8">
                  <c:v>5.60596522919629E-2</c:v>
                </c:pt>
                <c:pt idx="9">
                  <c:v>0.54088590557935701</c:v>
                </c:pt>
                <c:pt idx="10">
                  <c:v>5.5283627995445318E-2</c:v>
                </c:pt>
                <c:pt idx="11">
                  <c:v>5.8646473528237708E-2</c:v>
                </c:pt>
                <c:pt idx="13">
                  <c:v>1</c:v>
                </c:pt>
                <c:pt idx="14">
                  <c:v>2.2533329531637163</c:v>
                </c:pt>
                <c:pt idx="15">
                  <c:v>6.4837891383087737E-2</c:v>
                </c:pt>
                <c:pt idx="16">
                  <c:v>0.58366817078936095</c:v>
                </c:pt>
                <c:pt idx="17">
                  <c:v>0.75157572334934342</c:v>
                </c:pt>
                <c:pt idx="18">
                  <c:v>0.38705474626437369</c:v>
                </c:pt>
                <c:pt idx="19">
                  <c:v>0.91176754957994333</c:v>
                </c:pt>
                <c:pt idx="20">
                  <c:v>1.3388133925171581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D2-4ACE-91AA-7F87131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818296"/>
        <c:axId val="324818688"/>
      </c:barChart>
      <c:catAx>
        <c:axId val="324818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324818688"/>
        <c:crosses val="autoZero"/>
        <c:auto val="1"/>
        <c:lblAlgn val="ctr"/>
        <c:lblOffset val="100"/>
        <c:noMultiLvlLbl val="0"/>
      </c:catAx>
      <c:valAx>
        <c:axId val="324818688"/>
        <c:scaling>
          <c:orientation val="minMax"/>
          <c:max val="2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324818296"/>
        <c:crosses val="autoZero"/>
        <c:crossBetween val="between"/>
        <c:majorUnit val="0.2"/>
      </c:valAx>
    </c:plotArea>
    <c:plotVisOnly val="1"/>
    <c:dispBlanksAs val="gap"/>
    <c:showDLblsOverMax val="0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95319521821627E-2"/>
          <c:y val="0.14871824529979213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R2</c:v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D-EA59-4FF1-816E-B4B22253AA0B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6-EA59-4FF1-816E-B4B22253AA0B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5-EA59-4FF1-816E-B4B22253AA0B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4-EA59-4FF1-816E-B4B22253AA0B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3-EA59-4FF1-816E-B4B22253AA0B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2-EA59-4FF1-816E-B4B22253AA0B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1-EA59-4FF1-816E-B4B22253AA0B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EA59-4FF1-816E-B4B22253AA0B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0-EA59-4FF1-816E-B4B22253AA0B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ED2-4ACE-91AA-7F8713196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E-EA59-4FF1-816E-B4B22253AA0B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ED2-4ACE-91AA-7F8713196E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5-EED2-4ACE-91AA-7F8713196E9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C-EA59-4FF1-816E-B4B22253AA0B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EED2-4ACE-91AA-7F8713196E9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EA59-4FF1-816E-B4B22253AA0B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8-EA59-4FF1-816E-B4B22253AA0B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9-EA59-4FF1-816E-B4B22253AA0B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A-EA59-4FF1-816E-B4B22253AA0B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B-EA59-4FF1-816E-B4B22253AA0B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EED2-4ACE-91AA-7F8713196E92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ED2-4ACE-91AA-7F8713196E92}"/>
              </c:ext>
            </c:extLst>
          </c:dPt>
          <c:dPt>
            <c:idx val="27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D-EED2-4ACE-91AA-7F8713196E92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EED2-4ACE-91AA-7F8713196E9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EED2-4ACE-91AA-7F8713196E9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EED2-4ACE-91AA-7F8713196E92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EED2-4ACE-91AA-7F8713196E92}"/>
              </c:ext>
            </c:extLst>
          </c:dPt>
          <c:errBars>
            <c:errBarType val="plus"/>
            <c:errValType val="cust"/>
            <c:noEndCap val="0"/>
            <c:plus>
              <c:numRef>
                <c:f>'R3'!$B$54:$V$54</c:f>
                <c:numCache>
                  <c:formatCode>General</c:formatCode>
                  <c:ptCount val="21"/>
                  <c:pt idx="0">
                    <c:v>2.1202530418424102E-2</c:v>
                  </c:pt>
                  <c:pt idx="1">
                    <c:v>2.9571972114023536E-2</c:v>
                  </c:pt>
                  <c:pt idx="2">
                    <c:v>6.2682888645256687E-2</c:v>
                  </c:pt>
                  <c:pt idx="3">
                    <c:v>0.12861929185112586</c:v>
                  </c:pt>
                  <c:pt idx="4">
                    <c:v>0.21575051508557239</c:v>
                  </c:pt>
                  <c:pt idx="5">
                    <c:v>0.2030379830941535</c:v>
                  </c:pt>
                  <c:pt idx="6">
                    <c:v>0.3098545092266265</c:v>
                  </c:pt>
                  <c:pt idx="7">
                    <c:v>1.3771690046552036E-2</c:v>
                  </c:pt>
                  <c:pt idx="8">
                    <c:v>1.217591435185505E-2</c:v>
                  </c:pt>
                  <c:pt idx="9">
                    <c:v>2.335963001585048E-2</c:v>
                  </c:pt>
                  <c:pt idx="10">
                    <c:v>1.0470667446526413E-2</c:v>
                  </c:pt>
                  <c:pt idx="11">
                    <c:v>2.9271801907078163E-2</c:v>
                  </c:pt>
                  <c:pt idx="13">
                    <c:v>0.12809665978751153</c:v>
                  </c:pt>
                  <c:pt idx="14">
                    <c:v>0.19992992851438748</c:v>
                  </c:pt>
                  <c:pt idx="15">
                    <c:v>1.2026755436451559E-2</c:v>
                  </c:pt>
                  <c:pt idx="16">
                    <c:v>0.15819088966731842</c:v>
                  </c:pt>
                  <c:pt idx="17">
                    <c:v>0.17384752561299688</c:v>
                  </c:pt>
                  <c:pt idx="18">
                    <c:v>0.21565938171756732</c:v>
                  </c:pt>
                  <c:pt idx="19">
                    <c:v>0.23982440036076469</c:v>
                  </c:pt>
                  <c:pt idx="20">
                    <c:v>0.15675404291887177</c:v>
                  </c:pt>
                </c:numCache>
              </c:numRef>
            </c:plus>
            <c:minus>
              <c:numRef>
                <c:f>'R1'!$N$48:$V$48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0.17608773027199198</c:v>
                  </c:pt>
                  <c:pt idx="2">
                    <c:v>0.25882921801315029</c:v>
                  </c:pt>
                  <c:pt idx="3">
                    <c:v>9.5010142418572516E-3</c:v>
                  </c:pt>
                  <c:pt idx="4">
                    <c:v>0.19546021166759969</c:v>
                  </c:pt>
                  <c:pt idx="5">
                    <c:v>0.20401690643506012</c:v>
                  </c:pt>
                  <c:pt idx="6">
                    <c:v>0.13729741183268868</c:v>
                  </c:pt>
                  <c:pt idx="7">
                    <c:v>0.19807134288610462</c:v>
                  </c:pt>
                  <c:pt idx="8">
                    <c:v>0.11763423521841593</c:v>
                  </c:pt>
                </c:numCache>
              </c:numRef>
            </c:minus>
          </c:errBars>
          <c:cat>
            <c:strRef>
              <c:f>'R3'!$B$52:$V$52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Amantadine-0.001mg/L</c:v>
                </c:pt>
                <c:pt idx="8">
                  <c:v>Amantadine-0.01mg/L</c:v>
                </c:pt>
                <c:pt idx="9">
                  <c:v>Amantadine-0.1mg/L</c:v>
                </c:pt>
                <c:pt idx="10">
                  <c:v>Amantadine-1mg/L</c:v>
                </c:pt>
                <c:pt idx="11">
                  <c:v>Amantadine-10mg/L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Amantadine-0.001mg/L + Testostérone</c:v>
                </c:pt>
                <c:pt idx="17">
                  <c:v>Amantadine-0.01mg/L + Testostérone</c:v>
                </c:pt>
                <c:pt idx="18">
                  <c:v>Amantadine-0.1mg/L + Testostérone</c:v>
                </c:pt>
                <c:pt idx="19">
                  <c:v>Amantadine-1mg/L + Testostérone</c:v>
                </c:pt>
                <c:pt idx="20">
                  <c:v>Amantadine-10mg/L + Testostérone</c:v>
                </c:pt>
              </c:strCache>
            </c:strRef>
          </c:cat>
          <c:val>
            <c:numRef>
              <c:f>'R3'!$B$53:$V$53</c:f>
              <c:numCache>
                <c:formatCode>0.0000</c:formatCode>
                <c:ptCount val="21"/>
                <c:pt idx="0">
                  <c:v>5.816627499365392E-2</c:v>
                </c:pt>
                <c:pt idx="1">
                  <c:v>9.8546351585767245E-2</c:v>
                </c:pt>
                <c:pt idx="2">
                  <c:v>0.16381942800890972</c:v>
                </c:pt>
                <c:pt idx="3">
                  <c:v>0.71265205523296749</c:v>
                </c:pt>
                <c:pt idx="4">
                  <c:v>1.2935526772579891</c:v>
                </c:pt>
                <c:pt idx="5">
                  <c:v>1.5212161082854307</c:v>
                </c:pt>
                <c:pt idx="6">
                  <c:v>2.4203060306524686</c:v>
                </c:pt>
                <c:pt idx="7">
                  <c:v>4.067575787197307E-2</c:v>
                </c:pt>
                <c:pt idx="8">
                  <c:v>4.0205827669363654E-2</c:v>
                </c:pt>
                <c:pt idx="9">
                  <c:v>4.9271029350176077E-2</c:v>
                </c:pt>
                <c:pt idx="10">
                  <c:v>4.1504425507424336E-2</c:v>
                </c:pt>
                <c:pt idx="11">
                  <c:v>6.2873212725773217E-2</c:v>
                </c:pt>
                <c:pt idx="13">
                  <c:v>1</c:v>
                </c:pt>
                <c:pt idx="14">
                  <c:v>1.8765289093812003</c:v>
                </c:pt>
                <c:pt idx="15">
                  <c:v>4.1520682171865032E-2</c:v>
                </c:pt>
                <c:pt idx="16">
                  <c:v>0.86532198012928896</c:v>
                </c:pt>
                <c:pt idx="17">
                  <c:v>0.68959855680229865</c:v>
                </c:pt>
                <c:pt idx="18">
                  <c:v>0.92153439407013182</c:v>
                </c:pt>
                <c:pt idx="19">
                  <c:v>0.95309146513153098</c:v>
                </c:pt>
                <c:pt idx="20">
                  <c:v>1.3563821870027337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D2-4ACE-91AA-7F87131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73488"/>
        <c:axId val="434373880"/>
      </c:barChart>
      <c:catAx>
        <c:axId val="43437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434373880"/>
        <c:crosses val="autoZero"/>
        <c:auto val="1"/>
        <c:lblAlgn val="ctr"/>
        <c:lblOffset val="100"/>
        <c:noMultiLvlLbl val="0"/>
      </c:catAx>
      <c:valAx>
        <c:axId val="434373880"/>
        <c:scaling>
          <c:orientation val="minMax"/>
          <c:max val="2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434373488"/>
        <c:crosses val="autoZero"/>
        <c:crossBetween val="between"/>
        <c:majorUnit val="0.2"/>
      </c:valAx>
    </c:plotArea>
    <c:plotVisOnly val="1"/>
    <c:dispBlanksAs val="gap"/>
    <c:showDLblsOverMax val="0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086563142153819E-2"/>
          <c:y val="0.10694631110669023"/>
          <c:w val="0.91688911122572669"/>
          <c:h val="0.69895377069250364"/>
        </c:manualLayout>
      </c:layout>
      <c:barChart>
        <c:barDir val="col"/>
        <c:grouping val="clustered"/>
        <c:varyColors val="0"/>
        <c:ser>
          <c:idx val="0"/>
          <c:order val="0"/>
          <c:tx>
            <c:v>Pool</c:v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2C-033C-4530-84A9-991A3866ABD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033C-4530-84A9-991A3866ABD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033C-4530-84A9-991A3866ABD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033C-4530-84A9-991A3866ABD4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033C-4530-84A9-991A3866ABD4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033C-4530-84A9-991A3866ABD4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B-033C-4530-84A9-991A3866ABD4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033C-4530-84A9-991A3866ABD4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033C-4530-84A9-991A3866ABD4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033C-4530-84A9-991A3866ABD4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033C-4530-84A9-991A3866ABD4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033C-4530-84A9-991A3866ABD4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033C-4530-84A9-991A3866ABD4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9-033C-4530-84A9-991A3866ABD4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033C-4530-84A9-991A3866ABD4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033C-4530-84A9-991A3866ABD4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033C-4530-84A9-991A3866ABD4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033C-4530-84A9-991A3866ABD4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033C-4530-84A9-991A3866ABD4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033C-4530-84A9-991A3866ABD4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7-033C-4530-84A9-991A3866ABD4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9-033C-4530-84A9-991A3866ABD4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B-033C-4530-84A9-991A3866AB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14915B5-7B93-4880-BDB2-A507BEA13074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033C-4530-84A9-991A3866ABD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E13D13A-C7D4-4128-B040-97CBE019AC66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33C-4530-84A9-991A3866ABD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0CED286-FE58-4ED8-A7B6-C898F2FF129B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33C-4530-84A9-991A3866ABD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057726A-FA07-4C1E-9757-9F6D8DF3319A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33C-4530-84A9-991A3866ABD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371ABE3-D7B5-4017-8928-1DCEDB904483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33C-4530-84A9-991A3866ABD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E206BB4-6B10-4B5F-8DAA-3166B0B398DA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33C-4530-84A9-991A3866ABD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F7C59AD-B4C5-4AC1-8465-C14904933582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33C-4530-84A9-991A3866ABD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AEA4AA3-4286-4202-AB40-3A5D06093555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33C-4530-84A9-991A3866ABD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2186959-FF9D-4379-B734-5DC548FF16D0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33C-4530-84A9-991A3866ABD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0B50D32-5D57-4E6B-8AF0-3BC96FAC206D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33C-4530-84A9-991A3866ABD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F8452B1-6A59-4131-94A6-6B361E5CB656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33C-4530-84A9-991A3866ABD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2FA6400-B736-4D0A-9CE7-50E43616B0D4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33C-4530-84A9-991A3866ABD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33C-4530-84A9-991A3866ABD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8155742-2C25-477B-AEFB-A93F17E67071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33C-4530-84A9-991A3866ABD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22984AF-A304-427F-9EB6-BDF59B1B6F0F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33C-4530-84A9-991A3866ABD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4326CAC-96DD-4CFD-8E24-148285D1AF4C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033C-4530-84A9-991A3866ABD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8A196C2-3F6F-4305-8BC2-5419ED6A68D7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33C-4530-84A9-991A3866ABD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06EE25A-19D5-4E3C-AEC5-04C4EFDEA4D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033C-4530-84A9-991A3866ABD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2CB6F85-AA18-4B23-A160-F4EAE10874AC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33C-4530-84A9-991A3866ABD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B3F5DE3-95F3-4D9A-B90A-B56AE5DA8A24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033C-4530-84A9-991A3866ABD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5F47318-C85B-4B21-8D95-EF39BB423B7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033C-4530-84A9-991A3866ABD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033C-4530-84A9-991A3866ABD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'pooled normalised values'!$B$76:$V$76</c:f>
                <c:numCache>
                  <c:formatCode>General</c:formatCode>
                  <c:ptCount val="21"/>
                  <c:pt idx="0">
                    <c:v>1.6397183440946345E-2</c:v>
                  </c:pt>
                  <c:pt idx="1">
                    <c:v>1.8389782030323831E-2</c:v>
                  </c:pt>
                  <c:pt idx="2">
                    <c:v>7.7240847602662865E-2</c:v>
                  </c:pt>
                  <c:pt idx="3">
                    <c:v>7.8763475542866293E-2</c:v>
                  </c:pt>
                  <c:pt idx="4">
                    <c:v>0.14505138353929292</c:v>
                  </c:pt>
                  <c:pt idx="5">
                    <c:v>0.13699898127727961</c:v>
                  </c:pt>
                  <c:pt idx="6">
                    <c:v>0.17892885136497369</c:v>
                  </c:pt>
                  <c:pt idx="7">
                    <c:v>1.3534832835150688E-2</c:v>
                  </c:pt>
                  <c:pt idx="8">
                    <c:v>1.2243503917699898E-2</c:v>
                  </c:pt>
                  <c:pt idx="9">
                    <c:v>4.7938120111383056E-2</c:v>
                  </c:pt>
                  <c:pt idx="10">
                    <c:v>9.5591417665407252E-3</c:v>
                  </c:pt>
                  <c:pt idx="11">
                    <c:v>1.1091798147800461E-2</c:v>
                  </c:pt>
                  <c:pt idx="13">
                    <c:v>7.6261227949538032E-2</c:v>
                  </c:pt>
                  <c:pt idx="14">
                    <c:v>0.14635475330156925</c:v>
                  </c:pt>
                  <c:pt idx="15">
                    <c:v>8.1835798656760099E-3</c:v>
                  </c:pt>
                  <c:pt idx="16">
                    <c:v>9.2766508030009548E-2</c:v>
                  </c:pt>
                  <c:pt idx="17">
                    <c:v>0.10132759639653316</c:v>
                  </c:pt>
                  <c:pt idx="18">
                    <c:v>0.1077964180331164</c:v>
                  </c:pt>
                  <c:pt idx="19">
                    <c:v>0.1128564292750623</c:v>
                  </c:pt>
                  <c:pt idx="20">
                    <c:v>0.11805748556817067</c:v>
                  </c:pt>
                </c:numCache>
              </c:numRef>
            </c:plus>
            <c:minus>
              <c:numRef>
                <c:f>'pooled normalised values'!$B$76:$V$76</c:f>
                <c:numCache>
                  <c:formatCode>General</c:formatCode>
                  <c:ptCount val="21"/>
                  <c:pt idx="0">
                    <c:v>1.6397183440946345E-2</c:v>
                  </c:pt>
                  <c:pt idx="1">
                    <c:v>1.8389782030323831E-2</c:v>
                  </c:pt>
                  <c:pt idx="2">
                    <c:v>7.7240847602662865E-2</c:v>
                  </c:pt>
                  <c:pt idx="3">
                    <c:v>7.8763475542866293E-2</c:v>
                  </c:pt>
                  <c:pt idx="4">
                    <c:v>0.14505138353929292</c:v>
                  </c:pt>
                  <c:pt idx="5">
                    <c:v>0.13699898127727961</c:v>
                  </c:pt>
                  <c:pt idx="6">
                    <c:v>0.17892885136497369</c:v>
                  </c:pt>
                  <c:pt idx="7">
                    <c:v>1.3534832835150688E-2</c:v>
                  </c:pt>
                  <c:pt idx="8">
                    <c:v>1.2243503917699898E-2</c:v>
                  </c:pt>
                  <c:pt idx="9">
                    <c:v>4.7938120111383056E-2</c:v>
                  </c:pt>
                  <c:pt idx="10">
                    <c:v>9.5591417665407252E-3</c:v>
                  </c:pt>
                  <c:pt idx="11">
                    <c:v>1.1091798147800461E-2</c:v>
                  </c:pt>
                  <c:pt idx="13">
                    <c:v>7.6261227949538032E-2</c:v>
                  </c:pt>
                  <c:pt idx="14">
                    <c:v>0.14635475330156925</c:v>
                  </c:pt>
                  <c:pt idx="15">
                    <c:v>8.1835798656760099E-3</c:v>
                  </c:pt>
                  <c:pt idx="16">
                    <c:v>9.2766508030009548E-2</c:v>
                  </c:pt>
                  <c:pt idx="17">
                    <c:v>0.10132759639653316</c:v>
                  </c:pt>
                  <c:pt idx="18">
                    <c:v>0.1077964180331164</c:v>
                  </c:pt>
                  <c:pt idx="19">
                    <c:v>0.1128564292750623</c:v>
                  </c:pt>
                  <c:pt idx="20">
                    <c:v>0.11805748556817067</c:v>
                  </c:pt>
                </c:numCache>
              </c:numRef>
            </c:minus>
          </c:errBars>
          <c:cat>
            <c:strRef>
              <c:f>'pooled normalised values'!$B$74:$V$74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Amantadine-0.001mg/L</c:v>
                </c:pt>
                <c:pt idx="8">
                  <c:v>Amantadine-0.01mg/L</c:v>
                </c:pt>
                <c:pt idx="9">
                  <c:v>Amantadine-0.1mg/L</c:v>
                </c:pt>
                <c:pt idx="10">
                  <c:v>Amantadine-1mg/L</c:v>
                </c:pt>
                <c:pt idx="11">
                  <c:v>Amantadine-10mg/L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Amantadine-0.001mg/L + Testostérone</c:v>
                </c:pt>
                <c:pt idx="17">
                  <c:v>Amantadine-0.01mg/L + Testostérone</c:v>
                </c:pt>
                <c:pt idx="18">
                  <c:v>Amantadine-0.1mg/L + Testostérone</c:v>
                </c:pt>
                <c:pt idx="19">
                  <c:v>Amantadine-1mg/L + Testostérone</c:v>
                </c:pt>
                <c:pt idx="20">
                  <c:v>Amantadine-10mg/L + Testostérone</c:v>
                </c:pt>
              </c:strCache>
            </c:strRef>
          </c:cat>
          <c:val>
            <c:numRef>
              <c:f>'pooled normalised values'!$B$75:$V$75</c:f>
              <c:numCache>
                <c:formatCode>0.0000</c:formatCode>
                <c:ptCount val="21"/>
                <c:pt idx="0">
                  <c:v>7.9686169163236842E-2</c:v>
                </c:pt>
                <c:pt idx="1">
                  <c:v>8.7035959009638106E-2</c:v>
                </c:pt>
                <c:pt idx="2">
                  <c:v>0.26651815857223282</c:v>
                </c:pt>
                <c:pt idx="3">
                  <c:v>0.58762776899592406</c:v>
                </c:pt>
                <c:pt idx="4">
                  <c:v>1.3634376750310206</c:v>
                </c:pt>
                <c:pt idx="5">
                  <c:v>1.717237092469533</c:v>
                </c:pt>
                <c:pt idx="6">
                  <c:v>2.6176077816091863</c:v>
                </c:pt>
                <c:pt idx="7">
                  <c:v>5.5457955028907026E-2</c:v>
                </c:pt>
                <c:pt idx="8">
                  <c:v>6.0766192611450387E-2</c:v>
                </c:pt>
                <c:pt idx="9">
                  <c:v>0.14702077481456086</c:v>
                </c:pt>
                <c:pt idx="10">
                  <c:v>5.3446855632068385E-2</c:v>
                </c:pt>
                <c:pt idx="11">
                  <c:v>6.0536753125130606E-2</c:v>
                </c:pt>
                <c:pt idx="13">
                  <c:v>0.99999999999999989</c:v>
                </c:pt>
                <c:pt idx="14">
                  <c:v>2.346823906030056</c:v>
                </c:pt>
                <c:pt idx="15">
                  <c:v>4.7352429576847467E-2</c:v>
                </c:pt>
                <c:pt idx="16">
                  <c:v>0.73457355913144051</c:v>
                </c:pt>
                <c:pt idx="17">
                  <c:v>0.8273745732328085</c:v>
                </c:pt>
                <c:pt idx="18">
                  <c:v>0.79648467080310681</c:v>
                </c:pt>
                <c:pt idx="19">
                  <c:v>0.81937762155921645</c:v>
                </c:pt>
                <c:pt idx="20">
                  <c:v>1.0424431742179214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'pooled normalised values'!$B$83:$V$83</c15:f>
                <c15:dlblRangeCache>
                  <c:ptCount val="21"/>
                  <c:pt idx="1">
                    <c:v>ns</c:v>
                  </c:pt>
                  <c:pt idx="2">
                    <c:v>ns</c:v>
                  </c:pt>
                  <c:pt idx="3">
                    <c:v>**</c:v>
                  </c:pt>
                  <c:pt idx="4">
                    <c:v>***</c:v>
                  </c:pt>
                  <c:pt idx="5">
                    <c:v>***</c:v>
                  </c:pt>
                  <c:pt idx="6">
                    <c:v>***</c:v>
                  </c:pt>
                  <c:pt idx="7">
                    <c:v>ns</c:v>
                  </c:pt>
                  <c:pt idx="8">
                    <c:v>ns</c:v>
                  </c:pt>
                  <c:pt idx="9">
                    <c:v>ns</c:v>
                  </c:pt>
                  <c:pt idx="10">
                    <c:v>ns</c:v>
                  </c:pt>
                  <c:pt idx="11">
                    <c:v>ns</c:v>
                  </c:pt>
                  <c:pt idx="13">
                    <c:v>***</c:v>
                  </c:pt>
                  <c:pt idx="14">
                    <c:v>***</c:v>
                  </c:pt>
                  <c:pt idx="15">
                    <c:v>***</c:v>
                  </c:pt>
                  <c:pt idx="16">
                    <c:v>ns</c:v>
                  </c:pt>
                  <c:pt idx="17">
                    <c:v>ns</c:v>
                  </c:pt>
                  <c:pt idx="18">
                    <c:v>ns</c:v>
                  </c:pt>
                  <c:pt idx="19">
                    <c:v>ns</c:v>
                  </c:pt>
                  <c:pt idx="20">
                    <c:v>ns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B-033C-4530-84A9-991A3866A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74272"/>
        <c:axId val="434374664"/>
      </c:barChart>
      <c:catAx>
        <c:axId val="434374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2700000"/>
          <a:lstStyle/>
          <a:p>
            <a:pPr>
              <a:defRPr lang="en-GB" sz="1000"/>
            </a:pPr>
            <a:endParaRPr lang="fr-FR"/>
          </a:p>
        </c:txPr>
        <c:crossAx val="434374664"/>
        <c:crosses val="autoZero"/>
        <c:auto val="1"/>
        <c:lblAlgn val="ctr"/>
        <c:lblOffset val="100"/>
        <c:noMultiLvlLbl val="0"/>
      </c:catAx>
      <c:valAx>
        <c:axId val="4343746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en-GB" sz="1400"/>
                </a:pPr>
                <a:r>
                  <a:rPr lang="en-US" sz="1400"/>
                  <a:t>fluorescence totale (unités arbitraires)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434374272"/>
        <c:crosses val="autoZero"/>
        <c:crossBetween val="between"/>
      </c:valAx>
    </c:plotArea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85" workbookViewId="0"/>
  </sheetViews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zoomScale="121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zoomScale="121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zoomScale="62" workbookViewId="0" zoomToFit="1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412" cy="606611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0.42494</cdr:x>
      <cdr:y>0.01696</cdr:y>
    </cdr:from>
    <cdr:to>
      <cdr:x>0.59244</cdr:x>
      <cdr:y>0.06852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946365" y="102453"/>
          <a:ext cx="1555576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0.37494</cdr:x>
      <cdr:y>0.01504</cdr:y>
    </cdr:from>
    <cdr:to>
      <cdr:x>0.5575</cdr:x>
      <cdr:y>0.06657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80830" y="90920"/>
          <a:ext cx="1694833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4395" cy="607594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0.37494</cdr:x>
      <cdr:y>0.01504</cdr:y>
    </cdr:from>
    <cdr:to>
      <cdr:x>0.5575</cdr:x>
      <cdr:y>0.0666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82021" y="90854"/>
          <a:ext cx="1695412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7346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alStats/RealStats%202013%202016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Prime"/>
      <sheetName val="RealStats 2013 2016"/>
      <sheetName val="RSign Table"/>
    </sheetNames>
    <definedNames>
      <definedName name="DPTEST"/>
      <definedName name="MTEST"/>
      <definedName name="SWTES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e_groupe" displayName="liste_groupe" ref="A6:F57" totalsRowShown="0" headerRowDxfId="8" dataDxfId="7" tableBorderDxfId="6">
  <autoFilter ref="A6:F57" xr:uid="{00000000-0009-0000-0100-000001000000}"/>
  <tableColumns count="6">
    <tableColumn id="4" xr3:uid="{00000000-0010-0000-0000-000004000000}" name="Do not fill in" dataDxfId="5">
      <calculatedColumnFormula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calculatedColumnFormula>
    </tableColumn>
    <tableColumn id="1" xr3:uid="{00000000-0010-0000-0000-000001000000}" name="Do not fill in2" dataDxfId="4">
      <calculatedColumnFormula>A2</calculatedColumnFormula>
    </tableColumn>
    <tableColumn id="2" xr3:uid="{00000000-0010-0000-0000-000002000000}" name="Concentration" dataDxfId="3">
      <calculatedColumnFormula>B2</calculatedColumnFormula>
    </tableColumn>
    <tableColumn id="10" xr3:uid="{00000000-0010-0000-0000-00000A000000}" name="Units" dataDxfId="2"/>
    <tableColumn id="3" xr3:uid="{00000000-0010-0000-0000-000003000000}" name="Chemical name" dataDxfId="1">
      <calculatedColumnFormula>C2</calculatedColumnFormula>
    </tableColumn>
    <tableColumn id="9" xr3:uid="{00000000-0010-0000-0000-000009000000}" name="Do not fill in3" data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7"/>
  <sheetViews>
    <sheetView showGridLines="0" topLeftCell="A10" zoomScale="55" zoomScaleNormal="55" workbookViewId="0">
      <selection activeCell="D14" sqref="D14:D18"/>
    </sheetView>
  </sheetViews>
  <sheetFormatPr baseColWidth="10" defaultRowHeight="39" customHeight="1" x14ac:dyDescent="0.35"/>
  <cols>
    <col min="1" max="1" width="42" bestFit="1" customWidth="1"/>
    <col min="2" max="2" width="33.81640625" style="26" bestFit="1" customWidth="1"/>
    <col min="3" max="3" width="21.26953125" customWidth="1"/>
    <col min="4" max="4" width="30.453125" customWidth="1"/>
    <col min="5" max="5" width="62.26953125" style="87" bestFit="1" customWidth="1"/>
    <col min="6" max="6" width="56.7265625" bestFit="1" customWidth="1"/>
    <col min="7" max="7" width="19.453125" customWidth="1"/>
    <col min="8" max="8" width="15.26953125" customWidth="1"/>
    <col min="9" max="9" width="18" customWidth="1"/>
    <col min="10" max="10" width="19.54296875" bestFit="1" customWidth="1"/>
  </cols>
  <sheetData>
    <row r="1" spans="1:9" ht="39" customHeight="1" thickBot="1" x14ac:dyDescent="0.4">
      <c r="A1" s="119"/>
      <c r="B1" s="120"/>
      <c r="C1" s="120"/>
      <c r="D1" s="120"/>
      <c r="E1" s="120"/>
      <c r="F1" s="120"/>
      <c r="G1" s="120"/>
      <c r="H1" s="120"/>
      <c r="I1" s="121"/>
    </row>
    <row r="2" spans="1:9" ht="21.5" thickBot="1" x14ac:dyDescent="0.55000000000000004">
      <c r="A2" s="106" t="s">
        <v>5</v>
      </c>
      <c r="B2" s="25" t="s">
        <v>24</v>
      </c>
      <c r="C2" s="122"/>
      <c r="D2" s="123"/>
      <c r="E2" s="25" t="s">
        <v>23</v>
      </c>
      <c r="F2" s="134"/>
      <c r="G2" s="135"/>
      <c r="H2" s="135"/>
      <c r="I2" s="136"/>
    </row>
    <row r="3" spans="1:9" ht="21.5" thickBot="1" x14ac:dyDescent="0.55000000000000004">
      <c r="A3" s="107" t="s">
        <v>6</v>
      </c>
      <c r="B3" s="25" t="s">
        <v>24</v>
      </c>
      <c r="C3" s="124"/>
      <c r="D3" s="125"/>
      <c r="E3" s="25" t="s">
        <v>23</v>
      </c>
      <c r="F3" s="131"/>
      <c r="G3" s="132"/>
      <c r="H3" s="132"/>
      <c r="I3" s="133"/>
    </row>
    <row r="4" spans="1:9" ht="21.5" thickBot="1" x14ac:dyDescent="0.55000000000000004">
      <c r="A4" s="108" t="s">
        <v>9</v>
      </c>
      <c r="B4" s="25" t="s">
        <v>24</v>
      </c>
      <c r="C4" s="126"/>
      <c r="D4" s="127"/>
      <c r="E4" s="25" t="s">
        <v>23</v>
      </c>
      <c r="F4" s="128"/>
      <c r="G4" s="129"/>
      <c r="H4" s="129"/>
      <c r="I4" s="130"/>
    </row>
    <row r="5" spans="1:9" s="1" customFormat="1" ht="65.25" customHeight="1" thickBot="1" x14ac:dyDescent="0.4">
      <c r="A5" s="119"/>
      <c r="B5" s="120"/>
      <c r="C5" s="120"/>
      <c r="D5" s="120"/>
      <c r="E5" s="120"/>
      <c r="F5" s="120"/>
      <c r="G5" s="120"/>
      <c r="H5" s="120"/>
      <c r="I5" s="121"/>
    </row>
    <row r="6" spans="1:9" s="66" customFormat="1" ht="39" customHeight="1" x14ac:dyDescent="0.5">
      <c r="A6" s="56" t="s">
        <v>25</v>
      </c>
      <c r="B6" s="57" t="s">
        <v>26</v>
      </c>
      <c r="C6" s="45" t="s">
        <v>7</v>
      </c>
      <c r="D6" s="45" t="s">
        <v>27</v>
      </c>
      <c r="E6" s="84" t="s">
        <v>28</v>
      </c>
      <c r="F6" s="65" t="s">
        <v>29</v>
      </c>
    </row>
    <row r="7" spans="1:9" s="93" customFormat="1" ht="39" customHeight="1" x14ac:dyDescent="0.5">
      <c r="A7" s="8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Solvent control</v>
      </c>
      <c r="B7" s="89" t="s">
        <v>46</v>
      </c>
      <c r="C7" s="90"/>
      <c r="D7" s="91"/>
      <c r="E7" s="92" t="s">
        <v>31</v>
      </c>
      <c r="F7" s="67"/>
    </row>
    <row r="8" spans="1:9" s="93" customFormat="1" ht="39" customHeight="1" x14ac:dyDescent="0.5">
      <c r="A8" s="8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EE2-33.8ng/L</v>
      </c>
      <c r="B8" s="89" t="s">
        <v>46</v>
      </c>
      <c r="C8" s="90" t="s">
        <v>32</v>
      </c>
      <c r="D8" s="91" t="s">
        <v>17</v>
      </c>
      <c r="E8" s="92" t="s">
        <v>18</v>
      </c>
      <c r="F8" s="67"/>
    </row>
    <row r="9" spans="1:9" s="93" customFormat="1" ht="39" customHeight="1" x14ac:dyDescent="0.5">
      <c r="A9" s="8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EE2-50.6ng/L</v>
      </c>
      <c r="B9" s="89" t="s">
        <v>46</v>
      </c>
      <c r="C9" s="90" t="s">
        <v>33</v>
      </c>
      <c r="D9" s="91" t="s">
        <v>17</v>
      </c>
      <c r="E9" s="92" t="s">
        <v>18</v>
      </c>
      <c r="F9" s="67"/>
    </row>
    <row r="10" spans="1:9" s="93" customFormat="1" ht="39" customHeight="1" x14ac:dyDescent="0.5">
      <c r="A10" s="8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EE2-76ng/L</v>
      </c>
      <c r="B10" s="89" t="s">
        <v>46</v>
      </c>
      <c r="C10" s="90">
        <v>76</v>
      </c>
      <c r="D10" s="91" t="s">
        <v>17</v>
      </c>
      <c r="E10" s="92" t="s">
        <v>18</v>
      </c>
      <c r="F10" s="67"/>
    </row>
    <row r="11" spans="1:9" s="93" customFormat="1" ht="39" customHeight="1" x14ac:dyDescent="0.5">
      <c r="A11" s="8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EE2-114ng/L</v>
      </c>
      <c r="B11" s="89" t="s">
        <v>46</v>
      </c>
      <c r="C11" s="90">
        <v>114</v>
      </c>
      <c r="D11" s="91" t="s">
        <v>17</v>
      </c>
      <c r="E11" s="92" t="s">
        <v>18</v>
      </c>
      <c r="F11" s="67"/>
    </row>
    <row r="12" spans="1:9" s="93" customFormat="1" ht="39" customHeight="1" x14ac:dyDescent="0.5">
      <c r="A12" s="8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EE2-170.9ng/L</v>
      </c>
      <c r="B12" s="89" t="s">
        <v>46</v>
      </c>
      <c r="C12" s="90" t="s">
        <v>34</v>
      </c>
      <c r="D12" s="91" t="s">
        <v>17</v>
      </c>
      <c r="E12" s="92" t="s">
        <v>18</v>
      </c>
      <c r="F12" s="67"/>
    </row>
    <row r="13" spans="1:9" s="93" customFormat="1" ht="39" customHeight="1" x14ac:dyDescent="0.5">
      <c r="A13" s="8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EE2-488ng/L</v>
      </c>
      <c r="B13" s="89" t="s">
        <v>46</v>
      </c>
      <c r="C13" s="90">
        <v>488</v>
      </c>
      <c r="D13" s="91" t="s">
        <v>17</v>
      </c>
      <c r="E13" s="92" t="s">
        <v>18</v>
      </c>
      <c r="F13" s="67"/>
    </row>
    <row r="14" spans="1:9" s="93" customFormat="1" ht="39" customHeight="1" x14ac:dyDescent="0.5">
      <c r="A14" s="8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Amantadine-0.001mg/L</v>
      </c>
      <c r="B14" s="89" t="s">
        <v>30</v>
      </c>
      <c r="C14" s="90">
        <v>1E-3</v>
      </c>
      <c r="D14" s="91" t="s">
        <v>21</v>
      </c>
      <c r="E14" s="92" t="s">
        <v>47</v>
      </c>
      <c r="F14" s="67"/>
    </row>
    <row r="15" spans="1:9" s="68" customFormat="1" ht="39" customHeight="1" x14ac:dyDescent="0.35">
      <c r="A15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Amantadine-0.01mg/L</v>
      </c>
      <c r="B15" s="89" t="s">
        <v>30</v>
      </c>
      <c r="C15" s="62">
        <v>0.01</v>
      </c>
      <c r="D15" s="91" t="s">
        <v>21</v>
      </c>
      <c r="E15" s="92" t="s">
        <v>47</v>
      </c>
      <c r="F15" s="67"/>
    </row>
    <row r="16" spans="1:9" s="68" customFormat="1" ht="39" customHeight="1" x14ac:dyDescent="0.35">
      <c r="A16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Amantadine-0.1mg/L</v>
      </c>
      <c r="B16" s="89" t="s">
        <v>30</v>
      </c>
      <c r="C16" s="62">
        <v>0.1</v>
      </c>
      <c r="D16" s="91" t="s">
        <v>21</v>
      </c>
      <c r="E16" s="92" t="s">
        <v>47</v>
      </c>
      <c r="F16" s="67"/>
    </row>
    <row r="17" spans="1:6" s="68" customFormat="1" ht="39" customHeight="1" x14ac:dyDescent="0.35">
      <c r="A17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Amantadine-1mg/L</v>
      </c>
      <c r="B17" s="89" t="s">
        <v>30</v>
      </c>
      <c r="C17" s="62">
        <v>1</v>
      </c>
      <c r="D17" s="91" t="s">
        <v>21</v>
      </c>
      <c r="E17" s="92" t="s">
        <v>47</v>
      </c>
      <c r="F17" s="67"/>
    </row>
    <row r="18" spans="1:6" s="68" customFormat="1" ht="39" customHeight="1" x14ac:dyDescent="0.35">
      <c r="A18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Amantadine-10mg/L</v>
      </c>
      <c r="B18" s="89" t="s">
        <v>30</v>
      </c>
      <c r="C18" s="62">
        <v>10</v>
      </c>
      <c r="D18" s="91" t="s">
        <v>21</v>
      </c>
      <c r="E18" s="92" t="s">
        <v>47</v>
      </c>
      <c r="F18" s="67"/>
    </row>
    <row r="19" spans="1:6" s="68" customFormat="1" ht="39" customHeight="1" x14ac:dyDescent="0.35">
      <c r="A19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19" s="89" t="s">
        <v>30</v>
      </c>
      <c r="C19" s="62"/>
      <c r="D19" s="62"/>
      <c r="E19" s="23"/>
      <c r="F19" s="67"/>
    </row>
    <row r="20" spans="1:6" s="68" customFormat="1" ht="39" customHeight="1" x14ac:dyDescent="0.35">
      <c r="A20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0" s="89" t="s">
        <v>30</v>
      </c>
      <c r="C20" s="62"/>
      <c r="D20" s="62"/>
      <c r="E20" s="58"/>
      <c r="F20" s="67"/>
    </row>
    <row r="21" spans="1:6" s="68" customFormat="1" ht="39" customHeight="1" x14ac:dyDescent="0.35">
      <c r="A21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1" s="89" t="s">
        <v>30</v>
      </c>
      <c r="C21" s="62"/>
      <c r="D21" s="62"/>
      <c r="E21" s="23"/>
      <c r="F21" s="67"/>
    </row>
    <row r="22" spans="1:6" s="68" customFormat="1" ht="39" customHeight="1" x14ac:dyDescent="0.35">
      <c r="A22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2" s="89" t="s">
        <v>30</v>
      </c>
      <c r="C22" s="62"/>
      <c r="D22" s="62"/>
      <c r="E22" s="58"/>
      <c r="F22" s="67"/>
    </row>
    <row r="23" spans="1:6" s="68" customFormat="1" ht="39" customHeight="1" x14ac:dyDescent="0.35">
      <c r="A23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3" s="89" t="s">
        <v>30</v>
      </c>
      <c r="C23" s="62"/>
      <c r="D23" s="62"/>
      <c r="E23" s="23"/>
      <c r="F23" s="67"/>
    </row>
    <row r="24" spans="1:6" s="68" customFormat="1" ht="39" customHeight="1" x14ac:dyDescent="0.35">
      <c r="A24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4" s="89" t="s">
        <v>30</v>
      </c>
      <c r="C24" s="62"/>
      <c r="D24" s="62"/>
      <c r="E24" s="58"/>
      <c r="F24" s="67"/>
    </row>
    <row r="25" spans="1:6" s="68" customFormat="1" ht="39" customHeight="1" x14ac:dyDescent="0.35">
      <c r="A25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5" s="89" t="s">
        <v>30</v>
      </c>
      <c r="C25" s="62"/>
      <c r="D25" s="62"/>
      <c r="E25" s="23"/>
      <c r="F25" s="67"/>
    </row>
    <row r="26" spans="1:6" s="68" customFormat="1" ht="39" customHeight="1" x14ac:dyDescent="0.35">
      <c r="A26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6" s="89" t="s">
        <v>30</v>
      </c>
      <c r="C26" s="62"/>
      <c r="D26" s="62"/>
      <c r="E26" s="58"/>
      <c r="F26" s="67"/>
    </row>
    <row r="27" spans="1:6" s="68" customFormat="1" ht="39" customHeight="1" x14ac:dyDescent="0.35">
      <c r="A27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7" s="89" t="s">
        <v>30</v>
      </c>
      <c r="C27" s="62"/>
      <c r="D27" s="62"/>
      <c r="E27" s="23"/>
      <c r="F27" s="67"/>
    </row>
    <row r="28" spans="1:6" s="68" customFormat="1" ht="39" customHeight="1" x14ac:dyDescent="0.35">
      <c r="A28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8" s="89" t="s">
        <v>30</v>
      </c>
      <c r="C28" s="62"/>
      <c r="D28" s="62"/>
      <c r="E28" s="58"/>
      <c r="F28" s="67"/>
    </row>
    <row r="29" spans="1:6" s="68" customFormat="1" ht="39" customHeight="1" x14ac:dyDescent="0.35">
      <c r="A29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9" s="89" t="s">
        <v>30</v>
      </c>
      <c r="C29" s="62"/>
      <c r="D29" s="71"/>
      <c r="E29" s="23"/>
      <c r="F29" s="67"/>
    </row>
    <row r="30" spans="1:6" s="68" customFormat="1" ht="39" customHeight="1" x14ac:dyDescent="0.35">
      <c r="A30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0" s="89" t="s">
        <v>30</v>
      </c>
      <c r="C30" s="62"/>
      <c r="D30" s="71"/>
      <c r="E30" s="58"/>
      <c r="F30" s="67"/>
    </row>
    <row r="31" spans="1:6" s="68" customFormat="1" ht="39" customHeight="1" x14ac:dyDescent="0.35">
      <c r="A31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1" s="89" t="s">
        <v>30</v>
      </c>
      <c r="C31" s="62"/>
      <c r="D31" s="71"/>
      <c r="E31" s="23"/>
      <c r="F31" s="67"/>
    </row>
    <row r="32" spans="1:6" s="68" customFormat="1" ht="39" customHeight="1" x14ac:dyDescent="0.35">
      <c r="A32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2" s="89" t="s">
        <v>30</v>
      </c>
      <c r="C32" s="62"/>
      <c r="D32" s="71"/>
      <c r="E32" s="58"/>
      <c r="F32" s="67"/>
    </row>
    <row r="33" spans="1:6" s="68" customFormat="1" ht="39" customHeight="1" x14ac:dyDescent="0.35">
      <c r="A33" s="4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3" s="89" t="s">
        <v>30</v>
      </c>
      <c r="C33" s="62"/>
      <c r="D33" s="71"/>
      <c r="E33" s="23"/>
      <c r="F33" s="67"/>
    </row>
    <row r="34" spans="1:6" s="68" customFormat="1" ht="39" customHeight="1" thickBot="1" x14ac:dyDescent="0.4">
      <c r="A34" s="54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4" s="89" t="s">
        <v>30</v>
      </c>
      <c r="C34" s="95"/>
      <c r="D34" s="72"/>
      <c r="E34" s="94"/>
      <c r="F34" s="67"/>
    </row>
    <row r="35" spans="1:6" s="68" customFormat="1" ht="39" customHeight="1" x14ac:dyDescent="0.35">
      <c r="A35" s="9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-30µg/L</v>
      </c>
      <c r="B35" s="59" t="s">
        <v>46</v>
      </c>
      <c r="C35" s="63">
        <v>30</v>
      </c>
      <c r="D35" s="73" t="s">
        <v>19</v>
      </c>
      <c r="E35" s="85" t="s">
        <v>8</v>
      </c>
      <c r="F35" s="97"/>
    </row>
    <row r="36" spans="1:6" s="68" customFormat="1" ht="39" customHeight="1" x14ac:dyDescent="0.35">
      <c r="A36" s="9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30µg/L + EE2 -64ng/L</v>
      </c>
      <c r="B36" s="60" t="s">
        <v>46</v>
      </c>
      <c r="C36" s="64">
        <v>64</v>
      </c>
      <c r="D36" s="74" t="s">
        <v>17</v>
      </c>
      <c r="E36" s="86" t="s">
        <v>20</v>
      </c>
      <c r="F36" s="99"/>
    </row>
    <row r="37" spans="1:6" s="68" customFormat="1" ht="39" customHeight="1" thickBot="1" x14ac:dyDescent="0.4">
      <c r="A37" s="100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30µg/L + FAD-10mg/L</v>
      </c>
      <c r="B37" s="101" t="s">
        <v>46</v>
      </c>
      <c r="C37" s="102">
        <v>10</v>
      </c>
      <c r="D37" s="103" t="s">
        <v>21</v>
      </c>
      <c r="E37" s="104" t="s">
        <v>22</v>
      </c>
      <c r="F37" s="105"/>
    </row>
    <row r="38" spans="1:6" s="68" customFormat="1" ht="39" customHeight="1" x14ac:dyDescent="0.35">
      <c r="A38" s="34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Amantadine-0.001mg/L + Testostérone</v>
      </c>
      <c r="B38" s="109" t="str">
        <f>B14</f>
        <v>test chemical</v>
      </c>
      <c r="C38" s="109">
        <f t="shared" ref="C38:E38" si="0">C14</f>
        <v>1E-3</v>
      </c>
      <c r="D38" s="109" t="str">
        <f t="shared" si="0"/>
        <v>mg/L</v>
      </c>
      <c r="E38" s="109" t="str">
        <f t="shared" si="0"/>
        <v>Amantadine</v>
      </c>
      <c r="F38" s="69" t="s">
        <v>13</v>
      </c>
    </row>
    <row r="39" spans="1:6" s="68" customFormat="1" ht="39" customHeight="1" x14ac:dyDescent="0.35">
      <c r="A39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Amantadine-0.01mg/L + Testostérone</v>
      </c>
      <c r="B39" s="111" t="str">
        <f t="shared" ref="B39:E39" si="1">B15</f>
        <v>test chemical</v>
      </c>
      <c r="C39" s="111">
        <f t="shared" si="1"/>
        <v>0.01</v>
      </c>
      <c r="D39" s="111" t="str">
        <f t="shared" si="1"/>
        <v>mg/L</v>
      </c>
      <c r="E39" s="111" t="str">
        <f t="shared" si="1"/>
        <v>Amantadine</v>
      </c>
      <c r="F39" s="70" t="s">
        <v>13</v>
      </c>
    </row>
    <row r="40" spans="1:6" s="68" customFormat="1" ht="39" customHeight="1" x14ac:dyDescent="0.35">
      <c r="A40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Amantadine-0.1mg/L + Testostérone</v>
      </c>
      <c r="B40" s="111" t="str">
        <f t="shared" ref="B40:E40" si="2">B16</f>
        <v>test chemical</v>
      </c>
      <c r="C40" s="111">
        <f t="shared" si="2"/>
        <v>0.1</v>
      </c>
      <c r="D40" s="111" t="str">
        <f t="shared" si="2"/>
        <v>mg/L</v>
      </c>
      <c r="E40" s="111" t="str">
        <f t="shared" si="2"/>
        <v>Amantadine</v>
      </c>
      <c r="F40" s="70" t="s">
        <v>13</v>
      </c>
    </row>
    <row r="41" spans="1:6" s="68" customFormat="1" ht="39" customHeight="1" x14ac:dyDescent="0.35">
      <c r="A41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Amantadine-1mg/L + Testostérone</v>
      </c>
      <c r="B41" s="111" t="str">
        <f t="shared" ref="B41:E41" si="3">B17</f>
        <v>test chemical</v>
      </c>
      <c r="C41" s="111">
        <f t="shared" si="3"/>
        <v>1</v>
      </c>
      <c r="D41" s="111" t="str">
        <f t="shared" si="3"/>
        <v>mg/L</v>
      </c>
      <c r="E41" s="111" t="str">
        <f t="shared" si="3"/>
        <v>Amantadine</v>
      </c>
      <c r="F41" s="70" t="s">
        <v>13</v>
      </c>
    </row>
    <row r="42" spans="1:6" s="68" customFormat="1" ht="39" customHeight="1" x14ac:dyDescent="0.35">
      <c r="A42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Amantadine-10mg/L + Testostérone</v>
      </c>
      <c r="B42" s="111" t="str">
        <f t="shared" ref="B42:E42" si="4">B18</f>
        <v>test chemical</v>
      </c>
      <c r="C42" s="111">
        <f t="shared" si="4"/>
        <v>10</v>
      </c>
      <c r="D42" s="111" t="str">
        <f t="shared" si="4"/>
        <v>mg/L</v>
      </c>
      <c r="E42" s="111" t="str">
        <f t="shared" si="4"/>
        <v>Amantadine</v>
      </c>
      <c r="F42" s="70" t="s">
        <v>13</v>
      </c>
    </row>
    <row r="43" spans="1:6" s="68" customFormat="1" ht="39" customHeight="1" x14ac:dyDescent="0.35">
      <c r="A43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3" s="111" t="str">
        <f t="shared" ref="B43:E43" si="5">B19</f>
        <v>test chemical</v>
      </c>
      <c r="C43" s="111">
        <f t="shared" si="5"/>
        <v>0</v>
      </c>
      <c r="D43" s="111">
        <f t="shared" si="5"/>
        <v>0</v>
      </c>
      <c r="E43" s="111">
        <f t="shared" si="5"/>
        <v>0</v>
      </c>
      <c r="F43" s="70" t="s">
        <v>13</v>
      </c>
    </row>
    <row r="44" spans="1:6" s="68" customFormat="1" ht="39" customHeight="1" x14ac:dyDescent="0.35">
      <c r="A44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4" s="111" t="str">
        <f t="shared" ref="B44:E44" si="6">B20</f>
        <v>test chemical</v>
      </c>
      <c r="C44" s="111">
        <f t="shared" si="6"/>
        <v>0</v>
      </c>
      <c r="D44" s="111">
        <f t="shared" si="6"/>
        <v>0</v>
      </c>
      <c r="E44" s="111">
        <f t="shared" si="6"/>
        <v>0</v>
      </c>
      <c r="F44" s="70" t="s">
        <v>13</v>
      </c>
    </row>
    <row r="45" spans="1:6" s="68" customFormat="1" ht="39" customHeight="1" x14ac:dyDescent="0.35">
      <c r="A45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5" s="111" t="str">
        <f t="shared" ref="B45:E45" si="7">B21</f>
        <v>test chemical</v>
      </c>
      <c r="C45" s="111">
        <f t="shared" si="7"/>
        <v>0</v>
      </c>
      <c r="D45" s="111">
        <f t="shared" si="7"/>
        <v>0</v>
      </c>
      <c r="E45" s="111">
        <f t="shared" si="7"/>
        <v>0</v>
      </c>
      <c r="F45" s="70" t="s">
        <v>13</v>
      </c>
    </row>
    <row r="46" spans="1:6" s="68" customFormat="1" ht="39" customHeight="1" x14ac:dyDescent="0.35">
      <c r="A46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6" s="111" t="str">
        <f t="shared" ref="B46:E46" si="8">B22</f>
        <v>test chemical</v>
      </c>
      <c r="C46" s="111">
        <f t="shared" si="8"/>
        <v>0</v>
      </c>
      <c r="D46" s="111">
        <f t="shared" si="8"/>
        <v>0</v>
      </c>
      <c r="E46" s="111">
        <f t="shared" si="8"/>
        <v>0</v>
      </c>
      <c r="F46" s="70" t="s">
        <v>13</v>
      </c>
    </row>
    <row r="47" spans="1:6" s="68" customFormat="1" ht="39" customHeight="1" x14ac:dyDescent="0.35">
      <c r="A47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7" s="111" t="str">
        <f t="shared" ref="B47:E47" si="9">B23</f>
        <v>test chemical</v>
      </c>
      <c r="C47" s="111">
        <f t="shared" si="9"/>
        <v>0</v>
      </c>
      <c r="D47" s="111">
        <f t="shared" si="9"/>
        <v>0</v>
      </c>
      <c r="E47" s="111">
        <f t="shared" si="9"/>
        <v>0</v>
      </c>
      <c r="F47" s="70" t="s">
        <v>13</v>
      </c>
    </row>
    <row r="48" spans="1:6" s="68" customFormat="1" ht="39" customHeight="1" x14ac:dyDescent="0.35">
      <c r="A48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8" s="111" t="str">
        <f t="shared" ref="B48:E48" si="10">B24</f>
        <v>test chemical</v>
      </c>
      <c r="C48" s="111">
        <f t="shared" si="10"/>
        <v>0</v>
      </c>
      <c r="D48" s="111">
        <f t="shared" si="10"/>
        <v>0</v>
      </c>
      <c r="E48" s="111">
        <f t="shared" si="10"/>
        <v>0</v>
      </c>
      <c r="F48" s="70" t="s">
        <v>13</v>
      </c>
    </row>
    <row r="49" spans="1:6" s="68" customFormat="1" ht="39" customHeight="1" x14ac:dyDescent="0.35">
      <c r="A49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9" s="111" t="str">
        <f t="shared" ref="B49:E49" si="11">B25</f>
        <v>test chemical</v>
      </c>
      <c r="C49" s="111">
        <f t="shared" si="11"/>
        <v>0</v>
      </c>
      <c r="D49" s="111">
        <f t="shared" si="11"/>
        <v>0</v>
      </c>
      <c r="E49" s="111">
        <f t="shared" si="11"/>
        <v>0</v>
      </c>
      <c r="F49" s="70" t="s">
        <v>13</v>
      </c>
    </row>
    <row r="50" spans="1:6" s="68" customFormat="1" ht="39" customHeight="1" x14ac:dyDescent="0.35">
      <c r="A50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0" s="111" t="str">
        <f t="shared" ref="B50:E50" si="12">B26</f>
        <v>test chemical</v>
      </c>
      <c r="C50" s="111">
        <f t="shared" si="12"/>
        <v>0</v>
      </c>
      <c r="D50" s="111">
        <f t="shared" si="12"/>
        <v>0</v>
      </c>
      <c r="E50" s="111">
        <f t="shared" si="12"/>
        <v>0</v>
      </c>
      <c r="F50" s="70" t="s">
        <v>13</v>
      </c>
    </row>
    <row r="51" spans="1:6" s="68" customFormat="1" ht="39" customHeight="1" x14ac:dyDescent="0.35">
      <c r="A51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1" s="111" t="str">
        <f t="shared" ref="B51:E51" si="13">B27</f>
        <v>test chemical</v>
      </c>
      <c r="C51" s="111">
        <f t="shared" si="13"/>
        <v>0</v>
      </c>
      <c r="D51" s="111">
        <f t="shared" si="13"/>
        <v>0</v>
      </c>
      <c r="E51" s="111">
        <f t="shared" si="13"/>
        <v>0</v>
      </c>
      <c r="F51" s="70" t="s">
        <v>13</v>
      </c>
    </row>
    <row r="52" spans="1:6" s="68" customFormat="1" ht="39" customHeight="1" x14ac:dyDescent="0.35">
      <c r="A52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2" s="111" t="str">
        <f t="shared" ref="B52:E52" si="14">B28</f>
        <v>test chemical</v>
      </c>
      <c r="C52" s="111">
        <f t="shared" si="14"/>
        <v>0</v>
      </c>
      <c r="D52" s="111">
        <f t="shared" si="14"/>
        <v>0</v>
      </c>
      <c r="E52" s="111">
        <f t="shared" si="14"/>
        <v>0</v>
      </c>
      <c r="F52" s="70" t="s">
        <v>13</v>
      </c>
    </row>
    <row r="53" spans="1:6" s="68" customFormat="1" ht="39" customHeight="1" x14ac:dyDescent="0.35">
      <c r="A53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3" s="111" t="str">
        <f t="shared" ref="B53:E53" si="15">B29</f>
        <v>test chemical</v>
      </c>
      <c r="C53" s="111">
        <f t="shared" si="15"/>
        <v>0</v>
      </c>
      <c r="D53" s="111">
        <f t="shared" si="15"/>
        <v>0</v>
      </c>
      <c r="E53" s="111">
        <f t="shared" si="15"/>
        <v>0</v>
      </c>
      <c r="F53" s="70" t="s">
        <v>13</v>
      </c>
    </row>
    <row r="54" spans="1:6" s="68" customFormat="1" ht="39" customHeight="1" x14ac:dyDescent="0.35">
      <c r="A54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4" s="111" t="str">
        <f t="shared" ref="B54:E54" si="16">B30</f>
        <v>test chemical</v>
      </c>
      <c r="C54" s="111">
        <f t="shared" si="16"/>
        <v>0</v>
      </c>
      <c r="D54" s="111">
        <f t="shared" si="16"/>
        <v>0</v>
      </c>
      <c r="E54" s="111">
        <f t="shared" si="16"/>
        <v>0</v>
      </c>
      <c r="F54" s="70" t="s">
        <v>13</v>
      </c>
    </row>
    <row r="55" spans="1:6" s="68" customFormat="1" ht="39" customHeight="1" x14ac:dyDescent="0.35">
      <c r="A55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5" s="111" t="str">
        <f t="shared" ref="B55:E55" si="17">B31</f>
        <v>test chemical</v>
      </c>
      <c r="C55" s="111">
        <f t="shared" si="17"/>
        <v>0</v>
      </c>
      <c r="D55" s="111">
        <f t="shared" si="17"/>
        <v>0</v>
      </c>
      <c r="E55" s="111">
        <f t="shared" si="17"/>
        <v>0</v>
      </c>
      <c r="F55" s="70" t="s">
        <v>13</v>
      </c>
    </row>
    <row r="56" spans="1:6" s="68" customFormat="1" ht="39" customHeight="1" x14ac:dyDescent="0.35">
      <c r="A56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6" s="111" t="str">
        <f t="shared" ref="B56:E56" si="18">B32</f>
        <v>test chemical</v>
      </c>
      <c r="C56" s="111">
        <f t="shared" si="18"/>
        <v>0</v>
      </c>
      <c r="D56" s="111">
        <f t="shared" si="18"/>
        <v>0</v>
      </c>
      <c r="E56" s="111">
        <f t="shared" si="18"/>
        <v>0</v>
      </c>
      <c r="F56" s="70" t="s">
        <v>13</v>
      </c>
    </row>
    <row r="57" spans="1:6" s="68" customFormat="1" ht="39" customHeight="1" x14ac:dyDescent="0.35">
      <c r="A57" s="6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7" s="110" t="str">
        <f t="shared" ref="B57:E57" si="19">B33</f>
        <v>test chemical</v>
      </c>
      <c r="C57" s="110">
        <f t="shared" si="19"/>
        <v>0</v>
      </c>
      <c r="D57" s="110">
        <f t="shared" si="19"/>
        <v>0</v>
      </c>
      <c r="E57" s="110">
        <f t="shared" si="19"/>
        <v>0</v>
      </c>
      <c r="F57" s="70" t="s">
        <v>13</v>
      </c>
    </row>
  </sheetData>
  <protectedRanges>
    <protectedRange sqref="C19:D37 A15:A51 C15:C18" name="Plage1_1"/>
  </protectedRanges>
  <mergeCells count="8">
    <mergeCell ref="A5:I5"/>
    <mergeCell ref="A1:I1"/>
    <mergeCell ref="C2:D2"/>
    <mergeCell ref="C3:D3"/>
    <mergeCell ref="C4:D4"/>
    <mergeCell ref="F4:I4"/>
    <mergeCell ref="F3:I3"/>
    <mergeCell ref="F2:I2"/>
  </mergeCells>
  <dataValidations count="1">
    <dataValidation type="custom" allowBlank="1" showInputMessage="1" showErrorMessage="1" sqref="E7:E37" xr:uid="{E0A8F951-ED76-4488-98E3-F13AD7875916}">
      <formula1>ISERROR(SEARCH("-",E7))=TRUE</formula1>
    </dataValidation>
  </dataValidations>
  <pageMargins left="0.7" right="0.7" top="0.75" bottom="0.75" header="0.3" footer="0.3"/>
  <pageSetup paperSize="9" scale="35" orientation="landscape" r:id="rId1"/>
  <headerFooter>
    <oddHeader>&amp;C&amp;"-,Gras"&amp;20Résultats&amp;R&amp;"-,Gras"&amp;20Page : &amp;P/&amp;P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A068-BA85-44C5-8694-962B28F98280}">
  <dimension ref="A2:M14"/>
  <sheetViews>
    <sheetView workbookViewId="0">
      <selection activeCell="A8" sqref="A8"/>
    </sheetView>
  </sheetViews>
  <sheetFormatPr baseColWidth="10" defaultRowHeight="14.5" x14ac:dyDescent="0.35"/>
  <sheetData>
    <row r="2" spans="1:13" s="1" customFormat="1" x14ac:dyDescent="0.35">
      <c r="A2" s="1" t="s">
        <v>52</v>
      </c>
    </row>
    <row r="3" spans="1:13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5">
      <c r="A4" s="1" t="s">
        <v>53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5">
      <c r="A5" s="1" t="s">
        <v>54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5">
      <c r="A6" s="1" t="s">
        <v>55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5">
      <c r="A8" s="1" t="s">
        <v>56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11" spans="1:13" x14ac:dyDescent="0.35">
      <c r="A11" t="s">
        <v>49</v>
      </c>
    </row>
    <row r="12" spans="1:13" x14ac:dyDescent="0.35">
      <c r="A12" s="1" t="s">
        <v>51</v>
      </c>
      <c r="B12" s="1"/>
      <c r="C12" s="1"/>
      <c r="D12" s="1"/>
      <c r="E12" s="1"/>
    </row>
    <row r="13" spans="1:13" x14ac:dyDescent="0.35">
      <c r="A13" t="s">
        <v>50</v>
      </c>
    </row>
    <row r="14" spans="1:13" x14ac:dyDescent="0.35">
      <c r="A14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4"/>
  <sheetViews>
    <sheetView showGridLines="0" zoomScale="85" zoomScaleNormal="85" zoomScaleSheetLayoutView="40" zoomScalePageLayoutView="30" workbookViewId="0">
      <pane xSplit="1" topLeftCell="B1" activePane="topRight" state="frozen"/>
      <selection pane="topRight" activeCell="B5" sqref="B5:V20"/>
    </sheetView>
  </sheetViews>
  <sheetFormatPr baseColWidth="10" defaultColWidth="9.1796875" defaultRowHeight="14.5" x14ac:dyDescent="0.35"/>
  <cols>
    <col min="1" max="1" width="29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8.26953125" bestFit="1" customWidth="1"/>
    <col min="15" max="15" width="14.81640625" customWidth="1"/>
    <col min="16" max="16" width="17.7265625" customWidth="1"/>
    <col min="17" max="18" width="25.81640625" bestFit="1" customWidth="1"/>
    <col min="19" max="22" width="25.81640625" style="1" customWidth="1"/>
  </cols>
  <sheetData>
    <row r="1" spans="1:22" s="1" customFormat="1" ht="26.5" thickBot="1" x14ac:dyDescent="0.65">
      <c r="A1" s="137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</row>
    <row r="2" spans="1:22" ht="15" thickBot="1" x14ac:dyDescent="0.4">
      <c r="A2"/>
      <c r="B2"/>
      <c r="C2"/>
      <c r="D2"/>
      <c r="E2"/>
      <c r="F2"/>
      <c r="G2"/>
      <c r="H2"/>
      <c r="I2"/>
      <c r="J2"/>
      <c r="K2"/>
      <c r="L2"/>
      <c r="M2"/>
      <c r="S2"/>
      <c r="T2"/>
      <c r="U2"/>
      <c r="V2"/>
    </row>
    <row r="3" spans="1:22" ht="15" thickBot="1" x14ac:dyDescent="0.4">
      <c r="A3" s="33" t="s">
        <v>5</v>
      </c>
      <c r="B3" s="145" t="s">
        <v>42</v>
      </c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O3" s="145" t="s">
        <v>43</v>
      </c>
      <c r="P3" s="146"/>
      <c r="Q3" s="146"/>
      <c r="R3" s="146"/>
      <c r="S3" s="146"/>
      <c r="T3" s="146"/>
      <c r="U3" s="146"/>
      <c r="V3" s="146"/>
    </row>
    <row r="4" spans="1:22" x14ac:dyDescent="0.35">
      <c r="A4" s="17" t="s">
        <v>37</v>
      </c>
      <c r="B4" s="18" t="str">
        <f>'Front page'!A7</f>
        <v>Solvent control</v>
      </c>
      <c r="C4" s="18" t="str">
        <f>'Front page'!A8</f>
        <v>EE2-33.8ng/L</v>
      </c>
      <c r="D4" s="18" t="str">
        <f>'Front page'!A9</f>
        <v>EE2-50.6ng/L</v>
      </c>
      <c r="E4" s="18" t="str">
        <f>'Front page'!A10</f>
        <v>EE2-76ng/L</v>
      </c>
      <c r="F4" s="18" t="str">
        <f>'Front page'!A11</f>
        <v>EE2-114ng/L</v>
      </c>
      <c r="G4" s="18" t="str">
        <f>'Front page'!A12</f>
        <v>EE2-170.9ng/L</v>
      </c>
      <c r="H4" s="18" t="str">
        <f>'Front page'!A13</f>
        <v>EE2-488ng/L</v>
      </c>
      <c r="I4" s="18" t="str">
        <f>'Front page'!A14</f>
        <v>Amantadine-0.001mg/L</v>
      </c>
      <c r="J4" s="18" t="str">
        <f>'Front page'!A15</f>
        <v>Amantadine-0.01mg/L</v>
      </c>
      <c r="K4" s="18" t="str">
        <f>'Front page'!A16</f>
        <v>Amantadine-0.1mg/L</v>
      </c>
      <c r="L4" s="18" t="str">
        <f>'Front page'!A17</f>
        <v>Amantadine-1mg/L</v>
      </c>
      <c r="M4" s="18" t="str">
        <f>'Front page'!A18</f>
        <v>Amantadine-10mg/L</v>
      </c>
      <c r="N4" s="3"/>
      <c r="O4" s="19" t="str">
        <f>'Front page'!A35</f>
        <v>Testo -30µg/L</v>
      </c>
      <c r="P4" s="19" t="str">
        <f>'Front page'!A36</f>
        <v>Testo 30µg/L + EE2 -64ng/L</v>
      </c>
      <c r="Q4" s="19" t="str">
        <f>'Front page'!A37</f>
        <v>Testo 30µg/L + FAD-10mg/L</v>
      </c>
      <c r="R4" s="19" t="str">
        <f>'Front page'!A38</f>
        <v>Amantadine-0.001mg/L + Testostérone</v>
      </c>
      <c r="S4" s="19" t="str">
        <f>'Front page'!A39</f>
        <v>Amantadine-0.01mg/L + Testostérone</v>
      </c>
      <c r="T4" s="19" t="str">
        <f>'Front page'!A40</f>
        <v>Amantadine-0.1mg/L + Testostérone</v>
      </c>
      <c r="U4" s="19" t="str">
        <f>'Front page'!A41</f>
        <v>Amantadine-1mg/L + Testostérone</v>
      </c>
      <c r="V4" s="19" t="str">
        <f>'Front page'!A42</f>
        <v>Amantadine-10mg/L + Testostérone</v>
      </c>
    </row>
    <row r="5" spans="1:22" ht="15.5" x14ac:dyDescent="0.35">
      <c r="A5" s="141" t="s">
        <v>35</v>
      </c>
      <c r="B5" s="115">
        <v>222638</v>
      </c>
      <c r="C5" s="113">
        <v>332014</v>
      </c>
      <c r="D5" s="113">
        <v>462085</v>
      </c>
      <c r="E5" s="113">
        <v>318858</v>
      </c>
      <c r="F5" s="113">
        <v>1776859</v>
      </c>
      <c r="G5" s="113">
        <v>3699243</v>
      </c>
      <c r="H5" s="113">
        <v>4642912</v>
      </c>
      <c r="I5" s="113">
        <v>43831</v>
      </c>
      <c r="J5" s="113">
        <v>159532</v>
      </c>
      <c r="K5" s="113">
        <v>589442</v>
      </c>
      <c r="L5" s="113">
        <v>365803</v>
      </c>
      <c r="M5" s="113">
        <v>183726</v>
      </c>
      <c r="N5" s="114"/>
      <c r="O5" s="113">
        <v>867403</v>
      </c>
      <c r="P5" s="113">
        <v>6131601</v>
      </c>
      <c r="Q5" s="113">
        <v>47135</v>
      </c>
      <c r="R5" s="113">
        <v>2267246</v>
      </c>
      <c r="S5" s="116">
        <v>814227</v>
      </c>
      <c r="T5" s="116">
        <v>3000897</v>
      </c>
      <c r="U5" s="116">
        <v>958702</v>
      </c>
      <c r="V5" s="116">
        <v>179158</v>
      </c>
    </row>
    <row r="6" spans="1:22" ht="15.5" x14ac:dyDescent="0.35">
      <c r="A6" s="142"/>
      <c r="B6" s="115">
        <v>16975</v>
      </c>
      <c r="C6" s="113">
        <v>663076</v>
      </c>
      <c r="D6" s="113">
        <v>521807</v>
      </c>
      <c r="E6" s="113">
        <v>905913</v>
      </c>
      <c r="F6" s="113">
        <v>4979776</v>
      </c>
      <c r="G6" s="113">
        <v>4253571</v>
      </c>
      <c r="H6" s="113">
        <v>8705082</v>
      </c>
      <c r="I6" s="113">
        <v>145896</v>
      </c>
      <c r="J6" s="113">
        <v>19094</v>
      </c>
      <c r="K6" s="113">
        <v>89016</v>
      </c>
      <c r="L6" s="113">
        <v>120486</v>
      </c>
      <c r="M6" s="113">
        <v>124422</v>
      </c>
      <c r="N6" s="114"/>
      <c r="O6" s="113">
        <v>1550874</v>
      </c>
      <c r="P6" s="113">
        <v>5173886</v>
      </c>
      <c r="Q6" s="113">
        <v>44044</v>
      </c>
      <c r="R6" s="113">
        <v>710689</v>
      </c>
      <c r="S6" s="116">
        <v>2395040</v>
      </c>
      <c r="T6" s="116">
        <v>2835924</v>
      </c>
      <c r="U6" s="116">
        <v>2713263</v>
      </c>
      <c r="V6" s="116">
        <v>1217802</v>
      </c>
    </row>
    <row r="7" spans="1:22" ht="15.5" x14ac:dyDescent="0.35">
      <c r="A7" s="142"/>
      <c r="B7" s="115">
        <v>22029</v>
      </c>
      <c r="C7" s="115">
        <v>49973</v>
      </c>
      <c r="D7" s="115">
        <v>1784193</v>
      </c>
      <c r="E7" s="115">
        <v>343890</v>
      </c>
      <c r="F7" s="115">
        <v>4305872</v>
      </c>
      <c r="G7" s="115">
        <v>6565690</v>
      </c>
      <c r="H7" s="115">
        <v>8249044</v>
      </c>
      <c r="I7" s="115">
        <v>582534</v>
      </c>
      <c r="J7" s="115">
        <v>296079</v>
      </c>
      <c r="K7" s="115">
        <v>133372</v>
      </c>
      <c r="L7" s="115">
        <v>82771</v>
      </c>
      <c r="M7" s="115">
        <v>107719</v>
      </c>
      <c r="N7" s="114"/>
      <c r="O7" s="113">
        <v>3675296</v>
      </c>
      <c r="P7" s="113">
        <v>4934501</v>
      </c>
      <c r="Q7" s="113">
        <v>64043</v>
      </c>
      <c r="R7" s="113">
        <v>1068730</v>
      </c>
      <c r="S7" s="116">
        <v>2834863</v>
      </c>
      <c r="T7" s="116">
        <v>2791345</v>
      </c>
      <c r="U7" s="116">
        <v>287227</v>
      </c>
      <c r="V7" s="116">
        <v>1491620</v>
      </c>
    </row>
    <row r="8" spans="1:22" ht="15.5" x14ac:dyDescent="0.35">
      <c r="A8" s="142"/>
      <c r="B8" s="115">
        <v>253918</v>
      </c>
      <c r="C8" s="115">
        <v>93822</v>
      </c>
      <c r="D8" s="115">
        <v>567762</v>
      </c>
      <c r="E8" s="115">
        <v>1772095</v>
      </c>
      <c r="F8" s="115">
        <v>2297666</v>
      </c>
      <c r="G8" s="115">
        <v>5433344</v>
      </c>
      <c r="H8" s="115">
        <v>6385360</v>
      </c>
      <c r="I8" s="115">
        <v>67649</v>
      </c>
      <c r="J8" s="115">
        <v>410120</v>
      </c>
      <c r="K8" s="115">
        <v>258541</v>
      </c>
      <c r="L8" s="115">
        <v>109472</v>
      </c>
      <c r="M8" s="115">
        <v>175386</v>
      </c>
      <c r="N8" s="114"/>
      <c r="O8" s="115">
        <v>1521673</v>
      </c>
      <c r="P8" s="115">
        <v>5807811</v>
      </c>
      <c r="Q8" s="115">
        <v>43905</v>
      </c>
      <c r="R8" s="115">
        <v>2282390</v>
      </c>
      <c r="S8" s="117">
        <v>1469457</v>
      </c>
      <c r="T8" s="117">
        <v>2148400</v>
      </c>
      <c r="U8" s="117">
        <v>211128</v>
      </c>
      <c r="V8" s="117">
        <v>525788</v>
      </c>
    </row>
    <row r="9" spans="1:22" ht="15.5" x14ac:dyDescent="0.35">
      <c r="A9" s="142"/>
      <c r="B9" s="115">
        <v>143827</v>
      </c>
      <c r="C9" s="115">
        <v>112468</v>
      </c>
      <c r="D9" s="115">
        <v>480896</v>
      </c>
      <c r="E9" s="115">
        <v>1339325</v>
      </c>
      <c r="F9" s="115">
        <v>2748581</v>
      </c>
      <c r="G9" s="115">
        <v>4974674</v>
      </c>
      <c r="H9" s="115">
        <v>6478983</v>
      </c>
      <c r="I9" s="115">
        <v>79311</v>
      </c>
      <c r="J9" s="115">
        <v>135157</v>
      </c>
      <c r="K9" s="115">
        <v>58250</v>
      </c>
      <c r="L9" s="115">
        <v>16898</v>
      </c>
      <c r="M9" s="115">
        <v>166767</v>
      </c>
      <c r="N9" s="114"/>
      <c r="O9" s="115">
        <v>1714008</v>
      </c>
      <c r="P9" s="115">
        <v>8835686</v>
      </c>
      <c r="Q9" s="115">
        <v>123795</v>
      </c>
      <c r="R9" s="115">
        <v>546861</v>
      </c>
      <c r="S9" s="117">
        <v>1219233</v>
      </c>
      <c r="T9" s="117">
        <v>862723</v>
      </c>
      <c r="U9" s="117">
        <v>1112492</v>
      </c>
      <c r="V9" s="117">
        <v>380033</v>
      </c>
    </row>
    <row r="10" spans="1:22" ht="15.5" x14ac:dyDescent="0.35">
      <c r="A10" s="142"/>
      <c r="B10" s="115">
        <v>118649</v>
      </c>
      <c r="C10" s="115">
        <v>85329</v>
      </c>
      <c r="D10" s="115">
        <v>761322</v>
      </c>
      <c r="E10" s="115">
        <v>2511109</v>
      </c>
      <c r="F10" s="115">
        <v>3731308</v>
      </c>
      <c r="G10" s="115">
        <v>4141934</v>
      </c>
      <c r="H10" s="115">
        <v>5890947</v>
      </c>
      <c r="I10" s="115">
        <v>116937</v>
      </c>
      <c r="J10" s="115">
        <v>118516</v>
      </c>
      <c r="K10" s="115">
        <v>22244</v>
      </c>
      <c r="L10" s="115">
        <v>109748</v>
      </c>
      <c r="M10" s="115">
        <v>20269</v>
      </c>
      <c r="N10" s="114"/>
      <c r="O10" s="115">
        <v>2092881</v>
      </c>
      <c r="P10" s="115">
        <v>6849271</v>
      </c>
      <c r="Q10" s="115">
        <v>154427</v>
      </c>
      <c r="R10" s="115">
        <v>1008328</v>
      </c>
      <c r="S10" s="117">
        <v>4103156</v>
      </c>
      <c r="T10" s="117">
        <v>2029357</v>
      </c>
      <c r="U10" s="117">
        <v>628156</v>
      </c>
      <c r="V10" s="117">
        <v>9819</v>
      </c>
    </row>
    <row r="11" spans="1:22" ht="15.5" x14ac:dyDescent="0.35">
      <c r="A11" s="142"/>
      <c r="B11" s="115">
        <v>222019</v>
      </c>
      <c r="C11" s="113">
        <v>10859</v>
      </c>
      <c r="D11" s="113">
        <v>440522</v>
      </c>
      <c r="E11" s="113">
        <v>443388</v>
      </c>
      <c r="F11" s="113">
        <v>3632376</v>
      </c>
      <c r="G11" s="113">
        <v>5253269</v>
      </c>
      <c r="H11" s="113">
        <v>5785384</v>
      </c>
      <c r="I11" s="113">
        <v>116722</v>
      </c>
      <c r="J11" s="113">
        <v>140440</v>
      </c>
      <c r="K11" s="113">
        <v>132250</v>
      </c>
      <c r="L11" s="113">
        <v>122127</v>
      </c>
      <c r="M11" s="113">
        <v>78118</v>
      </c>
      <c r="N11" s="114"/>
      <c r="O11" s="115">
        <v>49009</v>
      </c>
      <c r="P11" s="115">
        <v>4942199</v>
      </c>
      <c r="Q11" s="115">
        <v>8215</v>
      </c>
      <c r="R11" s="115">
        <v>673308</v>
      </c>
      <c r="S11" s="117">
        <v>1015345</v>
      </c>
      <c r="T11" s="117">
        <v>2709208</v>
      </c>
      <c r="U11" s="117">
        <v>3242334</v>
      </c>
      <c r="V11" s="117">
        <v>1688555</v>
      </c>
    </row>
    <row r="12" spans="1:22" ht="15.5" x14ac:dyDescent="0.35">
      <c r="A12" s="142"/>
      <c r="B12" s="115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4"/>
      <c r="O12" s="113">
        <v>3246280</v>
      </c>
      <c r="P12" s="113"/>
      <c r="Q12" s="113"/>
      <c r="R12" s="113">
        <v>3748497</v>
      </c>
      <c r="S12" s="116">
        <v>3121591</v>
      </c>
      <c r="T12" s="116">
        <v>1245888</v>
      </c>
      <c r="U12" s="116">
        <v>520160</v>
      </c>
      <c r="V12" s="116">
        <v>1553265</v>
      </c>
    </row>
    <row r="13" spans="1:22" ht="15.5" x14ac:dyDescent="0.35">
      <c r="A13" s="142"/>
      <c r="B13" s="115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4"/>
      <c r="O13" s="113">
        <v>3815465</v>
      </c>
      <c r="P13" s="113"/>
      <c r="Q13" s="113"/>
      <c r="R13" s="113"/>
      <c r="S13" s="113"/>
      <c r="T13" s="113"/>
      <c r="U13" s="113"/>
      <c r="V13" s="113"/>
    </row>
    <row r="14" spans="1:22" ht="15.5" x14ac:dyDescent="0.35">
      <c r="A14" s="142"/>
      <c r="B14" s="115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4"/>
      <c r="O14" s="113">
        <v>3044358</v>
      </c>
      <c r="P14" s="113"/>
      <c r="Q14" s="113"/>
      <c r="R14" s="113"/>
      <c r="S14" s="113"/>
      <c r="T14" s="113"/>
      <c r="U14" s="113"/>
      <c r="V14" s="113"/>
    </row>
    <row r="15" spans="1:22" ht="15.5" x14ac:dyDescent="0.35">
      <c r="A15" s="142"/>
      <c r="B15" s="115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4"/>
      <c r="O15" s="113">
        <v>532549</v>
      </c>
      <c r="P15" s="113"/>
      <c r="Q15" s="113"/>
      <c r="R15" s="113"/>
      <c r="S15" s="113"/>
      <c r="T15" s="113"/>
      <c r="U15" s="113"/>
      <c r="V15" s="113"/>
    </row>
    <row r="16" spans="1:22" ht="15.5" x14ac:dyDescent="0.35">
      <c r="A16" s="142"/>
      <c r="B16" s="115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4"/>
      <c r="O16" s="113">
        <v>2808474</v>
      </c>
      <c r="P16" s="113"/>
      <c r="Q16" s="113"/>
      <c r="R16" s="113"/>
      <c r="S16" s="113"/>
      <c r="T16" s="113"/>
      <c r="U16" s="113"/>
      <c r="V16" s="113"/>
    </row>
    <row r="17" spans="1:22" s="1" customFormat="1" ht="15.5" x14ac:dyDescent="0.35">
      <c r="A17" s="142"/>
      <c r="B17" s="115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4"/>
      <c r="O17" s="113">
        <v>43634</v>
      </c>
      <c r="P17" s="113"/>
      <c r="Q17" s="113"/>
      <c r="R17" s="113"/>
      <c r="S17" s="113"/>
      <c r="T17" s="113"/>
      <c r="U17" s="113"/>
      <c r="V17" s="113"/>
    </row>
    <row r="18" spans="1:22" s="1" customFormat="1" ht="15.5" x14ac:dyDescent="0.35">
      <c r="A18" s="142"/>
      <c r="B18" s="115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4"/>
      <c r="O18" s="113">
        <v>3572235</v>
      </c>
      <c r="P18" s="113"/>
      <c r="Q18" s="113"/>
      <c r="R18" s="113"/>
      <c r="S18" s="113"/>
      <c r="T18" s="113"/>
      <c r="U18" s="113"/>
      <c r="V18" s="113"/>
    </row>
    <row r="19" spans="1:22" s="1" customFormat="1" ht="15.5" x14ac:dyDescent="0.35">
      <c r="A19" s="142"/>
      <c r="B19" s="115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4"/>
      <c r="O19" s="113"/>
      <c r="P19" s="113"/>
      <c r="Q19" s="113"/>
      <c r="R19" s="113"/>
      <c r="S19" s="113"/>
      <c r="T19" s="113"/>
      <c r="U19" s="113"/>
      <c r="V19" s="113"/>
    </row>
    <row r="20" spans="1:22" ht="15.5" x14ac:dyDescent="0.35">
      <c r="A20" s="142"/>
      <c r="B20" s="115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4"/>
      <c r="O20" s="113"/>
      <c r="P20" s="113"/>
      <c r="Q20" s="113"/>
      <c r="R20" s="113"/>
      <c r="S20" s="113"/>
      <c r="T20" s="113"/>
      <c r="U20" s="113"/>
      <c r="V20" s="113"/>
    </row>
    <row r="21" spans="1:22" s="1" customFormat="1" ht="16.5" x14ac:dyDescent="0.35">
      <c r="A21" s="47"/>
      <c r="B21" s="48"/>
      <c r="C21" s="6"/>
      <c r="D21" s="6"/>
      <c r="E21" s="6"/>
      <c r="F21" s="6"/>
      <c r="G21" s="6"/>
      <c r="H21" s="6"/>
      <c r="I21" s="6"/>
      <c r="J21" s="6"/>
      <c r="K21" s="16"/>
      <c r="L21" s="16"/>
      <c r="M21" s="16"/>
      <c r="N21" s="3"/>
      <c r="O21" s="6"/>
      <c r="P21" s="16"/>
      <c r="Q21" s="16"/>
      <c r="R21" s="6"/>
      <c r="S21" s="6"/>
      <c r="T21" s="6"/>
      <c r="U21" s="6"/>
      <c r="V21" s="6"/>
    </row>
    <row r="22" spans="1:22" s="50" customFormat="1" x14ac:dyDescent="0.35">
      <c r="A22" s="49" t="str">
        <f t="shared" ref="A22:M22" si="0">A4</f>
        <v>Group names</v>
      </c>
      <c r="B22" s="49" t="str">
        <f t="shared" si="0"/>
        <v>Solvent control</v>
      </c>
      <c r="C22" s="49" t="str">
        <f t="shared" si="0"/>
        <v>EE2-33.8ng/L</v>
      </c>
      <c r="D22" s="49" t="str">
        <f t="shared" si="0"/>
        <v>EE2-50.6ng/L</v>
      </c>
      <c r="E22" s="49" t="str">
        <f t="shared" si="0"/>
        <v>EE2-76ng/L</v>
      </c>
      <c r="F22" s="49" t="str">
        <f t="shared" si="0"/>
        <v>EE2-114ng/L</v>
      </c>
      <c r="G22" s="49" t="str">
        <f t="shared" si="0"/>
        <v>EE2-170.9ng/L</v>
      </c>
      <c r="H22" s="49" t="str">
        <f t="shared" si="0"/>
        <v>EE2-488ng/L</v>
      </c>
      <c r="I22" s="49" t="str">
        <f t="shared" si="0"/>
        <v>Amantadine-0.001mg/L</v>
      </c>
      <c r="J22" s="49" t="str">
        <f t="shared" si="0"/>
        <v>Amantadine-0.01mg/L</v>
      </c>
      <c r="K22" s="49" t="str">
        <f t="shared" si="0"/>
        <v>Amantadine-0.1mg/L</v>
      </c>
      <c r="L22" s="49" t="str">
        <f t="shared" si="0"/>
        <v>Amantadine-1mg/L</v>
      </c>
      <c r="M22" s="49" t="str">
        <f t="shared" si="0"/>
        <v>Amantadine-10mg/L</v>
      </c>
      <c r="N22" s="49" t="s">
        <v>12</v>
      </c>
      <c r="O22" s="49" t="str">
        <f t="shared" ref="O22:V22" si="1">O4</f>
        <v>Testo -30µg/L</v>
      </c>
      <c r="P22" s="49" t="str">
        <f t="shared" si="1"/>
        <v>Testo 30µg/L + EE2 -64ng/L</v>
      </c>
      <c r="Q22" s="49" t="str">
        <f t="shared" si="1"/>
        <v>Testo 30µg/L + FAD-10mg/L</v>
      </c>
      <c r="R22" s="49" t="str">
        <f t="shared" si="1"/>
        <v>Amantadine-0.001mg/L + Testostérone</v>
      </c>
      <c r="S22" s="49" t="str">
        <f t="shared" si="1"/>
        <v>Amantadine-0.01mg/L + Testostérone</v>
      </c>
      <c r="T22" s="49" t="str">
        <f t="shared" si="1"/>
        <v>Amantadine-0.1mg/L + Testostérone</v>
      </c>
      <c r="U22" s="49" t="str">
        <f t="shared" si="1"/>
        <v>Amantadine-1mg/L + Testostérone</v>
      </c>
      <c r="V22" s="49" t="str">
        <f t="shared" si="1"/>
        <v>Amantadine-10mg/L + Testostérone</v>
      </c>
    </row>
    <row r="23" spans="1:22" x14ac:dyDescent="0.35">
      <c r="A23" s="4" t="s">
        <v>0</v>
      </c>
      <c r="B23" s="4">
        <f t="shared" ref="B23:M23" si="2">AVERAGE(B5:B20)</f>
        <v>142865</v>
      </c>
      <c r="C23" s="4">
        <f t="shared" si="2"/>
        <v>192505.85714285713</v>
      </c>
      <c r="D23" s="4">
        <f t="shared" si="2"/>
        <v>716941</v>
      </c>
      <c r="E23" s="4">
        <f t="shared" si="2"/>
        <v>1090654</v>
      </c>
      <c r="F23" s="4">
        <f t="shared" si="2"/>
        <v>3353205.4285714286</v>
      </c>
      <c r="G23" s="4">
        <f t="shared" si="2"/>
        <v>4903103.5714285718</v>
      </c>
      <c r="H23" s="4">
        <f t="shared" si="2"/>
        <v>6591101.7142857146</v>
      </c>
      <c r="I23" s="4">
        <f t="shared" si="2"/>
        <v>164697.14285714287</v>
      </c>
      <c r="J23" s="4">
        <f t="shared" si="2"/>
        <v>182705.42857142858</v>
      </c>
      <c r="K23" s="4">
        <f t="shared" si="2"/>
        <v>183302.14285714287</v>
      </c>
      <c r="L23" s="4">
        <f t="shared" si="2"/>
        <v>132472.14285714287</v>
      </c>
      <c r="M23" s="4">
        <f t="shared" si="2"/>
        <v>122343.85714285714</v>
      </c>
      <c r="N23" s="4" t="s">
        <v>0</v>
      </c>
      <c r="O23" s="4">
        <f t="shared" ref="O23:V23" si="3">AVERAGE(O5:O20)</f>
        <v>2038152.7857142857</v>
      </c>
      <c r="P23" s="4">
        <f t="shared" si="3"/>
        <v>6096422.1428571427</v>
      </c>
      <c r="Q23" s="4">
        <f t="shared" si="3"/>
        <v>69366.28571428571</v>
      </c>
      <c r="R23" s="4">
        <f t="shared" si="3"/>
        <v>1538256.125</v>
      </c>
      <c r="S23" s="4">
        <f t="shared" si="3"/>
        <v>2121614</v>
      </c>
      <c r="T23" s="4">
        <f t="shared" si="3"/>
        <v>2202967.75</v>
      </c>
      <c r="U23" s="4">
        <f t="shared" si="3"/>
        <v>1209182.75</v>
      </c>
      <c r="V23" s="4">
        <f t="shared" si="3"/>
        <v>880755</v>
      </c>
    </row>
    <row r="24" spans="1:22" x14ac:dyDescent="0.35">
      <c r="A24" s="3" t="s">
        <v>1</v>
      </c>
      <c r="B24" s="3">
        <f t="shared" ref="B24:M24" si="4">STDEV(B5:B20)</f>
        <v>96608.16662339335</v>
      </c>
      <c r="C24" s="3">
        <f t="shared" si="4"/>
        <v>231603.61910343615</v>
      </c>
      <c r="D24" s="3">
        <f t="shared" si="4"/>
        <v>482770.55333149724</v>
      </c>
      <c r="E24" s="3">
        <f t="shared" si="4"/>
        <v>831695.01209838537</v>
      </c>
      <c r="F24" s="3">
        <f t="shared" si="4"/>
        <v>1135694.019120153</v>
      </c>
      <c r="G24" s="3">
        <f t="shared" si="4"/>
        <v>968128.66323212418</v>
      </c>
      <c r="H24" s="3">
        <f t="shared" si="4"/>
        <v>1426383.9099939305</v>
      </c>
      <c r="I24" s="3">
        <f t="shared" si="4"/>
        <v>187457.3407697767</v>
      </c>
      <c r="J24" s="3">
        <f t="shared" si="4"/>
        <v>129127.9492078266</v>
      </c>
      <c r="K24" s="3">
        <f t="shared" si="4"/>
        <v>194155.20002859275</v>
      </c>
      <c r="L24" s="3">
        <f t="shared" si="4"/>
        <v>109214.58833786595</v>
      </c>
      <c r="M24" s="3">
        <f t="shared" si="4"/>
        <v>59368.987452565314</v>
      </c>
      <c r="N24" s="3" t="s">
        <v>1</v>
      </c>
      <c r="O24" s="3">
        <f t="shared" ref="O24:V24" si="5">STDEV(O5:O20)</f>
        <v>1342857.2561283233</v>
      </c>
      <c r="P24" s="3">
        <f t="shared" si="5"/>
        <v>1395722.4273427271</v>
      </c>
      <c r="Q24" s="3">
        <f t="shared" si="5"/>
        <v>51233.700590901055</v>
      </c>
      <c r="R24" s="3">
        <f t="shared" si="5"/>
        <v>1126782.5044419223</v>
      </c>
      <c r="S24" s="3">
        <f t="shared" si="5"/>
        <v>1176109.8528447805</v>
      </c>
      <c r="T24" s="3">
        <f t="shared" si="5"/>
        <v>791487.5372248221</v>
      </c>
      <c r="U24" s="3">
        <f t="shared" si="5"/>
        <v>1141835.066539916</v>
      </c>
      <c r="V24" s="3">
        <f t="shared" si="5"/>
        <v>678133.91296704812</v>
      </c>
    </row>
    <row r="25" spans="1:22" ht="15" thickBot="1" x14ac:dyDescent="0.4"/>
    <row r="26" spans="1:22" ht="15" thickBot="1" x14ac:dyDescent="0.4">
      <c r="B26" s="145" t="s">
        <v>42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"/>
      <c r="O26" s="145" t="s">
        <v>43</v>
      </c>
      <c r="P26" s="146"/>
      <c r="Q26" s="146"/>
      <c r="R26" s="146"/>
      <c r="S26" s="146"/>
      <c r="T26" s="146"/>
      <c r="U26" s="146"/>
      <c r="V26" s="146"/>
    </row>
    <row r="27" spans="1:22" s="1" customFormat="1" x14ac:dyDescent="0.35">
      <c r="A27" s="17" t="str">
        <f t="shared" ref="A27:M27" si="6">A4</f>
        <v>Group names</v>
      </c>
      <c r="B27" s="18" t="str">
        <f t="shared" si="6"/>
        <v>Solvent control</v>
      </c>
      <c r="C27" s="18" t="str">
        <f t="shared" si="6"/>
        <v>EE2-33.8ng/L</v>
      </c>
      <c r="D27" s="18" t="str">
        <f t="shared" si="6"/>
        <v>EE2-50.6ng/L</v>
      </c>
      <c r="E27" s="18" t="str">
        <f t="shared" si="6"/>
        <v>EE2-76ng/L</v>
      </c>
      <c r="F27" s="18" t="str">
        <f t="shared" si="6"/>
        <v>EE2-114ng/L</v>
      </c>
      <c r="G27" s="18" t="str">
        <f t="shared" si="6"/>
        <v>EE2-170.9ng/L</v>
      </c>
      <c r="H27" s="18" t="str">
        <f t="shared" si="6"/>
        <v>EE2-488ng/L</v>
      </c>
      <c r="I27" s="18" t="str">
        <f t="shared" si="6"/>
        <v>Amantadine-0.001mg/L</v>
      </c>
      <c r="J27" s="18" t="str">
        <f t="shared" si="6"/>
        <v>Amantadine-0.01mg/L</v>
      </c>
      <c r="K27" s="18" t="str">
        <f t="shared" si="6"/>
        <v>Amantadine-0.1mg/L</v>
      </c>
      <c r="L27" s="18" t="str">
        <f t="shared" si="6"/>
        <v>Amantadine-1mg/L</v>
      </c>
      <c r="M27" s="18" t="str">
        <f t="shared" si="6"/>
        <v>Amantadine-10mg/L</v>
      </c>
      <c r="N27" s="3"/>
      <c r="O27" s="19" t="str">
        <f t="shared" ref="O27:V27" si="7">O4</f>
        <v>Testo -30µg/L</v>
      </c>
      <c r="P27" s="19" t="str">
        <f t="shared" si="7"/>
        <v>Testo 30µg/L + EE2 -64ng/L</v>
      </c>
      <c r="Q27" s="19" t="str">
        <f t="shared" si="7"/>
        <v>Testo 30µg/L + FAD-10mg/L</v>
      </c>
      <c r="R27" s="19" t="str">
        <f t="shared" si="7"/>
        <v>Amantadine-0.001mg/L + Testostérone</v>
      </c>
      <c r="S27" s="19" t="str">
        <f t="shared" si="7"/>
        <v>Amantadine-0.01mg/L + Testostérone</v>
      </c>
      <c r="T27" s="19" t="str">
        <f t="shared" si="7"/>
        <v>Amantadine-0.1mg/L + Testostérone</v>
      </c>
      <c r="U27" s="19" t="str">
        <f t="shared" si="7"/>
        <v>Amantadine-1mg/L + Testostérone</v>
      </c>
      <c r="V27" s="19" t="str">
        <f t="shared" si="7"/>
        <v>Amantadine-10mg/L + Testostérone</v>
      </c>
    </row>
    <row r="28" spans="1:22" x14ac:dyDescent="0.35">
      <c r="A28" s="143" t="s">
        <v>36</v>
      </c>
      <c r="B28" s="10">
        <f t="shared" ref="B28:M28" si="8">IF(B5="","",(B5/$O$23))</f>
        <v>0.10923518666534848</v>
      </c>
      <c r="C28" s="10">
        <f t="shared" si="8"/>
        <v>0.16289946579428943</v>
      </c>
      <c r="D28" s="10">
        <f t="shared" si="8"/>
        <v>0.22671754700571131</v>
      </c>
      <c r="E28" s="10">
        <f t="shared" si="8"/>
        <v>0.15644460132474999</v>
      </c>
      <c r="F28" s="10">
        <f t="shared" si="8"/>
        <v>0.8717987250289907</v>
      </c>
      <c r="G28" s="10">
        <f t="shared" si="8"/>
        <v>1.8149978872675989</v>
      </c>
      <c r="H28" s="10">
        <f t="shared" si="8"/>
        <v>2.2779999775006354</v>
      </c>
      <c r="I28" s="10">
        <f t="shared" si="8"/>
        <v>2.1505257263939172E-2</v>
      </c>
      <c r="J28" s="10">
        <f t="shared" si="8"/>
        <v>7.8272836618620251E-2</v>
      </c>
      <c r="K28" s="10">
        <f t="shared" si="8"/>
        <v>0.2892040303020883</v>
      </c>
      <c r="L28" s="10">
        <f t="shared" si="8"/>
        <v>0.17947771264449228</v>
      </c>
      <c r="M28" s="10">
        <f t="shared" si="8"/>
        <v>9.0143389292384121E-2</v>
      </c>
      <c r="N28" s="5"/>
      <c r="O28" s="10">
        <f t="shared" ref="O28:V37" si="9">IF(O5="","",(O5/$O$23))</f>
        <v>0.42558291315536101</v>
      </c>
      <c r="P28" s="10">
        <f t="shared" si="9"/>
        <v>3.0084108723238505</v>
      </c>
      <c r="Q28" s="10">
        <f t="shared" si="9"/>
        <v>2.3126332986602469E-2</v>
      </c>
      <c r="R28" s="10">
        <f t="shared" si="9"/>
        <v>1.1124023752740533</v>
      </c>
      <c r="S28" s="10">
        <f t="shared" si="9"/>
        <v>0.3994926218029568</v>
      </c>
      <c r="T28" s="10">
        <f t="shared" si="9"/>
        <v>1.4723611600826645</v>
      </c>
      <c r="U28" s="10">
        <f t="shared" si="9"/>
        <v>0.47037788664308394</v>
      </c>
      <c r="V28" s="10">
        <f t="shared" si="9"/>
        <v>8.7902144164924687E-2</v>
      </c>
    </row>
    <row r="29" spans="1:22" x14ac:dyDescent="0.35">
      <c r="A29" s="144"/>
      <c r="B29" s="10">
        <f t="shared" ref="B29:M29" si="10">IF(B6="","",(B6/$O$23))</f>
        <v>8.3286199734290221E-3</v>
      </c>
      <c r="C29" s="10">
        <f t="shared" si="10"/>
        <v>0.32533184197357418</v>
      </c>
      <c r="D29" s="10">
        <f t="shared" si="10"/>
        <v>0.25601957010162457</v>
      </c>
      <c r="E29" s="10">
        <f t="shared" si="10"/>
        <v>0.44447747310686331</v>
      </c>
      <c r="F29" s="10">
        <f t="shared" si="10"/>
        <v>2.4432790490016187</v>
      </c>
      <c r="G29" s="10">
        <f t="shared" si="10"/>
        <v>2.0869735722532226</v>
      </c>
      <c r="H29" s="10">
        <f t="shared" si="10"/>
        <v>4.2710644957606743</v>
      </c>
      <c r="I29" s="10">
        <f t="shared" si="10"/>
        <v>7.1582464780170871E-2</v>
      </c>
      <c r="J29" s="10">
        <f t="shared" si="10"/>
        <v>9.3682868790959488E-3</v>
      </c>
      <c r="K29" s="10">
        <f t="shared" si="10"/>
        <v>4.3674841564345084E-2</v>
      </c>
      <c r="L29" s="10">
        <f t="shared" si="10"/>
        <v>5.9115293438501859E-2</v>
      </c>
      <c r="M29" s="10">
        <f t="shared" si="10"/>
        <v>6.1046453863563221E-2</v>
      </c>
      <c r="N29" s="5"/>
      <c r="O29" s="10">
        <f t="shared" si="9"/>
        <v>0.7609213651058474</v>
      </c>
      <c r="P29" s="10">
        <f t="shared" si="9"/>
        <v>2.5385172477080875</v>
      </c>
      <c r="Q29" s="10">
        <f t="shared" si="9"/>
        <v>2.1609763658892951E-2</v>
      </c>
      <c r="R29" s="10">
        <f t="shared" si="9"/>
        <v>0.34869270104838279</v>
      </c>
      <c r="S29" s="10">
        <f t="shared" si="9"/>
        <v>1.1751032684042086</v>
      </c>
      <c r="T29" s="10">
        <f t="shared" si="9"/>
        <v>1.3914187493093799</v>
      </c>
      <c r="U29" s="10">
        <f t="shared" si="9"/>
        <v>1.3312363131055049</v>
      </c>
      <c r="V29" s="10">
        <f t="shared" si="9"/>
        <v>0.59750280181925242</v>
      </c>
    </row>
    <row r="30" spans="1:22" x14ac:dyDescent="0.35">
      <c r="A30" s="144"/>
      <c r="B30" s="10">
        <f t="shared" ref="B30:M30" si="11">IF(B7="","",(B7/$O$23))</f>
        <v>1.0808316311909745E-2</v>
      </c>
      <c r="C30" s="10">
        <f t="shared" si="11"/>
        <v>2.4518770305282385E-2</v>
      </c>
      <c r="D30" s="10">
        <f t="shared" si="11"/>
        <v>0.87539708136979355</v>
      </c>
      <c r="E30" s="10">
        <f t="shared" si="11"/>
        <v>0.16872631061340243</v>
      </c>
      <c r="F30" s="10">
        <f t="shared" si="11"/>
        <v>2.1126345532977182</v>
      </c>
      <c r="G30" s="10">
        <f t="shared" si="11"/>
        <v>3.2213924520378905</v>
      </c>
      <c r="H30" s="10">
        <f t="shared" si="11"/>
        <v>4.0473138509628761</v>
      </c>
      <c r="I30" s="10">
        <f t="shared" si="11"/>
        <v>0.28581468675119304</v>
      </c>
      <c r="J30" s="10">
        <f t="shared" si="11"/>
        <v>0.14526830474891847</v>
      </c>
      <c r="K30" s="10">
        <f t="shared" si="11"/>
        <v>6.5437685013029476E-2</v>
      </c>
      <c r="L30" s="10">
        <f t="shared" si="11"/>
        <v>4.0610792566756614E-2</v>
      </c>
      <c r="M30" s="10">
        <f t="shared" si="11"/>
        <v>5.2851288065849822E-2</v>
      </c>
      <c r="N30" s="5"/>
      <c r="O30" s="10">
        <f t="shared" si="9"/>
        <v>1.8032485227607533</v>
      </c>
      <c r="P30" s="10">
        <f t="shared" si="9"/>
        <v>2.4210653070695423</v>
      </c>
      <c r="Q30" s="10">
        <f t="shared" si="9"/>
        <v>3.1422080056454478E-2</v>
      </c>
      <c r="R30" s="10">
        <f t="shared" si="9"/>
        <v>0.52436206328146084</v>
      </c>
      <c r="S30" s="10">
        <f t="shared" si="9"/>
        <v>1.3908981798960187</v>
      </c>
      <c r="T30" s="10">
        <f t="shared" si="9"/>
        <v>1.3695464930622228</v>
      </c>
      <c r="U30" s="10">
        <f t="shared" si="9"/>
        <v>0.14092515635393799</v>
      </c>
      <c r="V30" s="10">
        <f t="shared" si="9"/>
        <v>0.73184896169462132</v>
      </c>
    </row>
    <row r="31" spans="1:22" x14ac:dyDescent="0.35">
      <c r="A31" s="144"/>
      <c r="B31" s="10">
        <f t="shared" ref="B31:M31" si="12">IF(B8="","",(B8/$O$23))</f>
        <v>0.12458241687264508</v>
      </c>
      <c r="C31" s="10">
        <f t="shared" si="12"/>
        <v>4.6032859095555677E-2</v>
      </c>
      <c r="D31" s="10">
        <f t="shared" si="12"/>
        <v>0.27856694747299016</v>
      </c>
      <c r="E31" s="10">
        <f t="shared" si="12"/>
        <v>0.8694613143925598</v>
      </c>
      <c r="F31" s="10">
        <f t="shared" si="12"/>
        <v>1.1273276547787197</v>
      </c>
      <c r="G31" s="10">
        <f t="shared" si="12"/>
        <v>2.6658178121302347</v>
      </c>
      <c r="H31" s="10">
        <f t="shared" si="12"/>
        <v>3.132915277380544</v>
      </c>
      <c r="I31" s="10">
        <f t="shared" si="12"/>
        <v>3.319132916539027E-2</v>
      </c>
      <c r="J31" s="10">
        <f t="shared" si="12"/>
        <v>0.20122142111945274</v>
      </c>
      <c r="K31" s="10">
        <f t="shared" si="12"/>
        <v>0.12685064721945877</v>
      </c>
      <c r="L31" s="10">
        <f t="shared" si="12"/>
        <v>5.3711380602722937E-2</v>
      </c>
      <c r="M31" s="10">
        <f t="shared" si="12"/>
        <v>8.6051448757574214E-2</v>
      </c>
      <c r="N31" s="5"/>
      <c r="O31" s="10">
        <f t="shared" si="9"/>
        <v>0.7465941761901419</v>
      </c>
      <c r="P31" s="10">
        <f t="shared" si="9"/>
        <v>2.8495464327835509</v>
      </c>
      <c r="Q31" s="10">
        <f t="shared" si="9"/>
        <v>2.1541564649979451E-2</v>
      </c>
      <c r="R31" s="10">
        <f t="shared" si="9"/>
        <v>1.1198326327631614</v>
      </c>
      <c r="S31" s="10">
        <f t="shared" si="9"/>
        <v>0.7209748995755576</v>
      </c>
      <c r="T31" s="10">
        <f t="shared" si="9"/>
        <v>1.0540917320126604</v>
      </c>
      <c r="U31" s="10">
        <f t="shared" si="9"/>
        <v>0.1035879162150293</v>
      </c>
      <c r="V31" s="10">
        <f t="shared" si="9"/>
        <v>0.25797280934252126</v>
      </c>
    </row>
    <row r="32" spans="1:22" x14ac:dyDescent="0.35">
      <c r="A32" s="144"/>
      <c r="B32" s="10">
        <f t="shared" ref="B32:M32" si="13">IF(B9="","",(B9/$O$23))</f>
        <v>7.0567329892098726E-2</v>
      </c>
      <c r="C32" s="10">
        <f t="shared" si="13"/>
        <v>5.5181339097002367E-2</v>
      </c>
      <c r="D32" s="10">
        <f t="shared" si="13"/>
        <v>0.23594698266522077</v>
      </c>
      <c r="E32" s="10">
        <f t="shared" si="13"/>
        <v>0.65712688930267005</v>
      </c>
      <c r="F32" s="10">
        <f t="shared" si="13"/>
        <v>1.3485647490537562</v>
      </c>
      <c r="G32" s="10">
        <f t="shared" si="13"/>
        <v>2.4407758019262471</v>
      </c>
      <c r="H32" s="10">
        <f t="shared" si="13"/>
        <v>3.1788504990460726</v>
      </c>
      <c r="I32" s="10">
        <f t="shared" si="13"/>
        <v>3.8913176949197589E-2</v>
      </c>
      <c r="J32" s="10">
        <f t="shared" si="13"/>
        <v>6.6313478041163249E-2</v>
      </c>
      <c r="K32" s="10">
        <f t="shared" si="13"/>
        <v>2.8579800497922858E-2</v>
      </c>
      <c r="L32" s="10">
        <f t="shared" si="13"/>
        <v>8.2908406663330554E-3</v>
      </c>
      <c r="M32" s="10">
        <f t="shared" si="13"/>
        <v>8.1822619564585433E-2</v>
      </c>
      <c r="N32" s="5"/>
      <c r="O32" s="10">
        <f t="shared" si="9"/>
        <v>0.84096148827199591</v>
      </c>
      <c r="P32" s="10">
        <f t="shared" si="9"/>
        <v>4.335144088279657</v>
      </c>
      <c r="Q32" s="10">
        <f t="shared" si="9"/>
        <v>6.073882236292464E-2</v>
      </c>
      <c r="R32" s="10">
        <f t="shared" si="9"/>
        <v>0.26831207347801872</v>
      </c>
      <c r="S32" s="10">
        <f t="shared" si="9"/>
        <v>0.59820490816281513</v>
      </c>
      <c r="T32" s="10">
        <f t="shared" si="9"/>
        <v>0.4232867163084893</v>
      </c>
      <c r="U32" s="10">
        <f t="shared" si="9"/>
        <v>0.54583346636111918</v>
      </c>
      <c r="V32" s="10">
        <f t="shared" si="9"/>
        <v>0.18645952485196768</v>
      </c>
    </row>
    <row r="33" spans="1:22" x14ac:dyDescent="0.35">
      <c r="A33" s="144"/>
      <c r="B33" s="10">
        <f t="shared" ref="B33:M33" si="14">IF(B10="","",(B10/$O$23))</f>
        <v>5.8213987112069515E-2</v>
      </c>
      <c r="C33" s="10">
        <f t="shared" si="14"/>
        <v>4.1865850586905742E-2</v>
      </c>
      <c r="D33" s="10">
        <f t="shared" si="14"/>
        <v>0.37353529398591634</v>
      </c>
      <c r="E33" s="10">
        <f t="shared" si="14"/>
        <v>1.2320514034083874</v>
      </c>
      <c r="F33" s="10">
        <f t="shared" si="14"/>
        <v>1.8307302701511337</v>
      </c>
      <c r="G33" s="10">
        <f t="shared" si="14"/>
        <v>2.0321999552886458</v>
      </c>
      <c r="H33" s="10">
        <f t="shared" si="14"/>
        <v>2.8903363090787497</v>
      </c>
      <c r="I33" s="10">
        <f t="shared" si="14"/>
        <v>5.7374010829624122E-2</v>
      </c>
      <c r="J33" s="10">
        <f t="shared" si="14"/>
        <v>5.8148731945267387E-2</v>
      </c>
      <c r="K33" s="10">
        <f t="shared" si="14"/>
        <v>1.0913803987567314E-2</v>
      </c>
      <c r="L33" s="10">
        <f t="shared" si="14"/>
        <v>5.3846797339846139E-2</v>
      </c>
      <c r="M33" s="10">
        <f t="shared" si="14"/>
        <v>9.9447892925733621E-3</v>
      </c>
      <c r="N33" s="5"/>
      <c r="O33" s="10">
        <f t="shared" si="9"/>
        <v>1.0268518703157645</v>
      </c>
      <c r="P33" s="10">
        <f t="shared" si="9"/>
        <v>3.3605287336688168</v>
      </c>
      <c r="Q33" s="10">
        <f t="shared" si="9"/>
        <v>7.5768117622192849E-2</v>
      </c>
      <c r="R33" s="10">
        <f t="shared" si="9"/>
        <v>0.49472640474625851</v>
      </c>
      <c r="S33" s="10">
        <f t="shared" si="9"/>
        <v>2.0131739037228353</v>
      </c>
      <c r="T33" s="10">
        <f t="shared" si="9"/>
        <v>0.99568443260194395</v>
      </c>
      <c r="U33" s="10">
        <f t="shared" si="9"/>
        <v>0.30819868088537733</v>
      </c>
      <c r="V33" s="10">
        <f t="shared" si="9"/>
        <v>4.8175976152635969E-3</v>
      </c>
    </row>
    <row r="34" spans="1:22" x14ac:dyDescent="0.35">
      <c r="A34" s="144"/>
      <c r="B34" s="10">
        <f t="shared" ref="B34:M34" si="15">IF(B11="","",(B11/$O$23))</f>
        <v>0.10893148028752506</v>
      </c>
      <c r="C34" s="10">
        <f t="shared" si="15"/>
        <v>5.3278635812350952E-3</v>
      </c>
      <c r="D34" s="10">
        <f t="shared" si="15"/>
        <v>0.21613786909778493</v>
      </c>
      <c r="E34" s="10">
        <f t="shared" si="15"/>
        <v>0.21754404434631794</v>
      </c>
      <c r="F34" s="10">
        <f t="shared" si="15"/>
        <v>1.7821902388573911</v>
      </c>
      <c r="G34" s="10">
        <f t="shared" si="15"/>
        <v>2.5774657507626215</v>
      </c>
      <c r="H34" s="10">
        <f t="shared" si="15"/>
        <v>2.838542841611587</v>
      </c>
      <c r="I34" s="10">
        <f t="shared" si="15"/>
        <v>5.7268523153966557E-2</v>
      </c>
      <c r="J34" s="10">
        <f t="shared" si="15"/>
        <v>6.8905531020228089E-2</v>
      </c>
      <c r="K34" s="10">
        <f t="shared" si="15"/>
        <v>6.4887186538202538E-2</v>
      </c>
      <c r="L34" s="10">
        <f t="shared" si="15"/>
        <v>5.9920434255962655E-2</v>
      </c>
      <c r="M34" s="10">
        <f t="shared" si="15"/>
        <v>3.8327843009386055E-2</v>
      </c>
      <c r="N34" s="5"/>
      <c r="O34" s="10">
        <f t="shared" si="9"/>
        <v>2.4045793006054958E-2</v>
      </c>
      <c r="P34" s="10">
        <f t="shared" si="9"/>
        <v>2.4248422564984353</v>
      </c>
      <c r="Q34" s="10">
        <f t="shared" si="9"/>
        <v>4.03061049082294E-3</v>
      </c>
      <c r="R34" s="10">
        <f t="shared" si="9"/>
        <v>0.33035207405417072</v>
      </c>
      <c r="S34" s="10">
        <f t="shared" si="9"/>
        <v>0.49816922809551045</v>
      </c>
      <c r="T34" s="10">
        <f t="shared" si="9"/>
        <v>1.3292467664785681</v>
      </c>
      <c r="U34" s="10">
        <f t="shared" si="9"/>
        <v>1.5908198947232997</v>
      </c>
      <c r="V34" s="10">
        <f t="shared" si="9"/>
        <v>0.82847321939519536</v>
      </c>
    </row>
    <row r="35" spans="1:22" x14ac:dyDescent="0.35">
      <c r="A35" s="144"/>
      <c r="B35" s="10" t="str">
        <f t="shared" ref="B35:M35" si="16">IF(B12="","",(B12/$O$23))</f>
        <v/>
      </c>
      <c r="C35" s="10" t="str">
        <f t="shared" si="16"/>
        <v/>
      </c>
      <c r="D35" s="10" t="str">
        <f t="shared" si="16"/>
        <v/>
      </c>
      <c r="E35" s="10" t="str">
        <f t="shared" si="16"/>
        <v/>
      </c>
      <c r="F35" s="10" t="str">
        <f t="shared" si="16"/>
        <v/>
      </c>
      <c r="G35" s="10" t="str">
        <f t="shared" si="16"/>
        <v/>
      </c>
      <c r="H35" s="10" t="str">
        <f t="shared" si="16"/>
        <v/>
      </c>
      <c r="I35" s="10" t="str">
        <f t="shared" si="16"/>
        <v/>
      </c>
      <c r="J35" s="10" t="str">
        <f t="shared" si="16"/>
        <v/>
      </c>
      <c r="K35" s="10" t="str">
        <f t="shared" si="16"/>
        <v/>
      </c>
      <c r="L35" s="10" t="str">
        <f t="shared" si="16"/>
        <v/>
      </c>
      <c r="M35" s="10" t="str">
        <f t="shared" si="16"/>
        <v/>
      </c>
      <c r="N35" s="5"/>
      <c r="O35" s="10">
        <f t="shared" si="9"/>
        <v>1.59275596155188</v>
      </c>
      <c r="P35" s="10" t="str">
        <f t="shared" si="9"/>
        <v/>
      </c>
      <c r="Q35" s="10" t="str">
        <f t="shared" si="9"/>
        <v/>
      </c>
      <c r="R35" s="10">
        <f t="shared" si="9"/>
        <v>1.8391638871598683</v>
      </c>
      <c r="S35" s="10">
        <f t="shared" si="9"/>
        <v>1.5315785067143606</v>
      </c>
      <c r="T35" s="10">
        <f t="shared" si="9"/>
        <v>0.61128292674259421</v>
      </c>
      <c r="U35" s="10">
        <f t="shared" si="9"/>
        <v>0.25521148544205241</v>
      </c>
      <c r="V35" s="10">
        <f t="shared" si="9"/>
        <v>0.76209448618722997</v>
      </c>
    </row>
    <row r="36" spans="1:22" s="1" customFormat="1" x14ac:dyDescent="0.35">
      <c r="A36" s="144"/>
      <c r="B36" s="10" t="str">
        <f t="shared" ref="B36:M36" si="17">IF(B13="","",(B13/$O$23))</f>
        <v/>
      </c>
      <c r="C36" s="10" t="str">
        <f t="shared" si="17"/>
        <v/>
      </c>
      <c r="D36" s="10" t="str">
        <f t="shared" si="17"/>
        <v/>
      </c>
      <c r="E36" s="10" t="str">
        <f t="shared" si="17"/>
        <v/>
      </c>
      <c r="F36" s="10" t="str">
        <f t="shared" si="17"/>
        <v/>
      </c>
      <c r="G36" s="10" t="str">
        <f t="shared" si="17"/>
        <v/>
      </c>
      <c r="H36" s="10" t="str">
        <f t="shared" si="17"/>
        <v/>
      </c>
      <c r="I36" s="10" t="str">
        <f t="shared" si="17"/>
        <v/>
      </c>
      <c r="J36" s="10" t="str">
        <f t="shared" si="17"/>
        <v/>
      </c>
      <c r="K36" s="10" t="str">
        <f t="shared" si="17"/>
        <v/>
      </c>
      <c r="L36" s="10" t="str">
        <f t="shared" si="17"/>
        <v/>
      </c>
      <c r="M36" s="10" t="str">
        <f t="shared" si="17"/>
        <v/>
      </c>
      <c r="N36" s="5"/>
      <c r="O36" s="10">
        <f t="shared" si="9"/>
        <v>1.8720210902456178</v>
      </c>
      <c r="P36" s="10" t="str">
        <f t="shared" si="9"/>
        <v/>
      </c>
      <c r="Q36" s="10" t="str">
        <f t="shared" si="9"/>
        <v/>
      </c>
      <c r="R36" s="10" t="str">
        <f t="shared" si="9"/>
        <v/>
      </c>
      <c r="S36" s="10" t="str">
        <f t="shared" si="9"/>
        <v/>
      </c>
      <c r="T36" s="10" t="str">
        <f t="shared" si="9"/>
        <v/>
      </c>
      <c r="U36" s="10" t="str">
        <f t="shared" si="9"/>
        <v/>
      </c>
      <c r="V36" s="10" t="str">
        <f t="shared" si="9"/>
        <v/>
      </c>
    </row>
    <row r="37" spans="1:22" s="1" customFormat="1" x14ac:dyDescent="0.35">
      <c r="A37" s="144"/>
      <c r="B37" s="10" t="str">
        <f t="shared" ref="B37:M37" si="18">IF(B14="","",(B14/$O$23))</f>
        <v/>
      </c>
      <c r="C37" s="10" t="str">
        <f t="shared" si="18"/>
        <v/>
      </c>
      <c r="D37" s="10" t="str">
        <f t="shared" si="18"/>
        <v/>
      </c>
      <c r="E37" s="10" t="str">
        <f t="shared" si="18"/>
        <v/>
      </c>
      <c r="F37" s="10" t="str">
        <f t="shared" si="18"/>
        <v/>
      </c>
      <c r="G37" s="10" t="str">
        <f t="shared" si="18"/>
        <v/>
      </c>
      <c r="H37" s="10" t="str">
        <f t="shared" si="18"/>
        <v/>
      </c>
      <c r="I37" s="10" t="str">
        <f t="shared" si="18"/>
        <v/>
      </c>
      <c r="J37" s="10" t="str">
        <f t="shared" si="18"/>
        <v/>
      </c>
      <c r="K37" s="10" t="str">
        <f t="shared" si="18"/>
        <v/>
      </c>
      <c r="L37" s="10" t="str">
        <f t="shared" si="18"/>
        <v/>
      </c>
      <c r="M37" s="10" t="str">
        <f t="shared" si="18"/>
        <v/>
      </c>
      <c r="N37" s="5"/>
      <c r="O37" s="10">
        <f t="shared" si="9"/>
        <v>1.4936848804164022</v>
      </c>
      <c r="P37" s="10" t="str">
        <f t="shared" si="9"/>
        <v/>
      </c>
      <c r="Q37" s="10" t="str">
        <f t="shared" si="9"/>
        <v/>
      </c>
      <c r="R37" s="10" t="str">
        <f t="shared" si="9"/>
        <v/>
      </c>
      <c r="S37" s="10" t="str">
        <f t="shared" si="9"/>
        <v/>
      </c>
      <c r="T37" s="10" t="str">
        <f t="shared" si="9"/>
        <v/>
      </c>
      <c r="U37" s="10" t="str">
        <f t="shared" si="9"/>
        <v/>
      </c>
      <c r="V37" s="10" t="str">
        <f t="shared" si="9"/>
        <v/>
      </c>
    </row>
    <row r="38" spans="1:22" s="1" customFormat="1" x14ac:dyDescent="0.35">
      <c r="A38" s="144"/>
      <c r="B38" s="10" t="str">
        <f t="shared" ref="B38:M38" si="19">IF(B15="","",(B15/$O$23))</f>
        <v/>
      </c>
      <c r="C38" s="10" t="str">
        <f t="shared" si="19"/>
        <v/>
      </c>
      <c r="D38" s="10" t="str">
        <f t="shared" si="19"/>
        <v/>
      </c>
      <c r="E38" s="10" t="str">
        <f t="shared" si="19"/>
        <v/>
      </c>
      <c r="F38" s="10" t="str">
        <f t="shared" si="19"/>
        <v/>
      </c>
      <c r="G38" s="10" t="str">
        <f t="shared" si="19"/>
        <v/>
      </c>
      <c r="H38" s="10" t="str">
        <f t="shared" si="19"/>
        <v/>
      </c>
      <c r="I38" s="10" t="str">
        <f t="shared" si="19"/>
        <v/>
      </c>
      <c r="J38" s="10" t="str">
        <f t="shared" si="19"/>
        <v/>
      </c>
      <c r="K38" s="10" t="str">
        <f t="shared" si="19"/>
        <v/>
      </c>
      <c r="L38" s="10" t="str">
        <f t="shared" si="19"/>
        <v/>
      </c>
      <c r="M38" s="10" t="str">
        <f t="shared" si="19"/>
        <v/>
      </c>
      <c r="N38" s="5"/>
      <c r="O38" s="10">
        <f t="shared" ref="O38:V43" si="20">IF(O15="","",(O15/$O$23))</f>
        <v>0.26129002876168789</v>
      </c>
      <c r="P38" s="10" t="str">
        <f t="shared" si="20"/>
        <v/>
      </c>
      <c r="Q38" s="10" t="str">
        <f t="shared" si="20"/>
        <v/>
      </c>
      <c r="R38" s="10" t="str">
        <f t="shared" si="20"/>
        <v/>
      </c>
      <c r="S38" s="10" t="str">
        <f t="shared" si="20"/>
        <v/>
      </c>
      <c r="T38" s="10" t="str">
        <f t="shared" si="20"/>
        <v/>
      </c>
      <c r="U38" s="10" t="str">
        <f t="shared" si="20"/>
        <v/>
      </c>
      <c r="V38" s="10" t="str">
        <f t="shared" si="20"/>
        <v/>
      </c>
    </row>
    <row r="39" spans="1:22" s="1" customFormat="1" x14ac:dyDescent="0.35">
      <c r="A39" s="144"/>
      <c r="B39" s="10" t="str">
        <f t="shared" ref="B39:M39" si="21">IF(B16="","",(B16/$O$23))</f>
        <v/>
      </c>
      <c r="C39" s="10" t="str">
        <f t="shared" si="21"/>
        <v/>
      </c>
      <c r="D39" s="10" t="str">
        <f t="shared" si="21"/>
        <v/>
      </c>
      <c r="E39" s="10" t="str">
        <f t="shared" si="21"/>
        <v/>
      </c>
      <c r="F39" s="10" t="str">
        <f t="shared" si="21"/>
        <v/>
      </c>
      <c r="G39" s="10" t="str">
        <f t="shared" si="21"/>
        <v/>
      </c>
      <c r="H39" s="10" t="str">
        <f t="shared" si="21"/>
        <v/>
      </c>
      <c r="I39" s="10" t="str">
        <f t="shared" si="21"/>
        <v/>
      </c>
      <c r="J39" s="10" t="str">
        <f t="shared" si="21"/>
        <v/>
      </c>
      <c r="K39" s="10" t="str">
        <f t="shared" si="21"/>
        <v/>
      </c>
      <c r="L39" s="10" t="str">
        <f t="shared" si="21"/>
        <v/>
      </c>
      <c r="M39" s="10" t="str">
        <f t="shared" si="21"/>
        <v/>
      </c>
      <c r="N39" s="5"/>
      <c r="O39" s="10">
        <f t="shared" si="20"/>
        <v>1.3779506716498438</v>
      </c>
      <c r="P39" s="10" t="str">
        <f t="shared" si="20"/>
        <v/>
      </c>
      <c r="Q39" s="10" t="str">
        <f t="shared" si="20"/>
        <v/>
      </c>
      <c r="R39" s="10" t="str">
        <f t="shared" si="20"/>
        <v/>
      </c>
      <c r="S39" s="10" t="str">
        <f t="shared" si="20"/>
        <v/>
      </c>
      <c r="T39" s="10" t="str">
        <f t="shared" si="20"/>
        <v/>
      </c>
      <c r="U39" s="10" t="str">
        <f t="shared" si="20"/>
        <v/>
      </c>
      <c r="V39" s="10" t="str">
        <f t="shared" si="20"/>
        <v/>
      </c>
    </row>
    <row r="40" spans="1:22" s="1" customFormat="1" x14ac:dyDescent="0.35">
      <c r="A40" s="144"/>
      <c r="B40" s="10" t="str">
        <f t="shared" ref="B40:M40" si="22">IF(B17="","",(B17/$O$23))</f>
        <v/>
      </c>
      <c r="C40" s="10" t="str">
        <f t="shared" si="22"/>
        <v/>
      </c>
      <c r="D40" s="10" t="str">
        <f t="shared" si="22"/>
        <v/>
      </c>
      <c r="E40" s="10" t="str">
        <f t="shared" si="22"/>
        <v/>
      </c>
      <c r="F40" s="10" t="str">
        <f t="shared" si="22"/>
        <v/>
      </c>
      <c r="G40" s="10" t="str">
        <f t="shared" si="22"/>
        <v/>
      </c>
      <c r="H40" s="10" t="str">
        <f t="shared" si="22"/>
        <v/>
      </c>
      <c r="I40" s="10" t="str">
        <f t="shared" si="22"/>
        <v/>
      </c>
      <c r="J40" s="10" t="str">
        <f t="shared" si="22"/>
        <v/>
      </c>
      <c r="K40" s="10" t="str">
        <f t="shared" si="22"/>
        <v/>
      </c>
      <c r="L40" s="10" t="str">
        <f t="shared" si="22"/>
        <v/>
      </c>
      <c r="M40" s="10" t="str">
        <f t="shared" si="22"/>
        <v/>
      </c>
      <c r="N40" s="5"/>
      <c r="O40" s="10">
        <f t="shared" si="20"/>
        <v>2.1408601114615726E-2</v>
      </c>
      <c r="P40" s="10" t="str">
        <f t="shared" si="20"/>
        <v/>
      </c>
      <c r="Q40" s="10" t="str">
        <f t="shared" si="20"/>
        <v/>
      </c>
      <c r="R40" s="10" t="str">
        <f t="shared" si="20"/>
        <v/>
      </c>
      <c r="S40" s="10" t="str">
        <f t="shared" si="20"/>
        <v/>
      </c>
      <c r="T40" s="10" t="str">
        <f t="shared" si="20"/>
        <v/>
      </c>
      <c r="U40" s="10" t="str">
        <f t="shared" si="20"/>
        <v/>
      </c>
      <c r="V40" s="10" t="str">
        <f t="shared" si="20"/>
        <v/>
      </c>
    </row>
    <row r="41" spans="1:22" s="1" customFormat="1" x14ac:dyDescent="0.35">
      <c r="A41" s="144"/>
      <c r="B41" s="10" t="str">
        <f t="shared" ref="B41:M41" si="23">IF(B18="","",(B18/$O$23))</f>
        <v/>
      </c>
      <c r="C41" s="10" t="str">
        <f t="shared" si="23"/>
        <v/>
      </c>
      <c r="D41" s="10" t="str">
        <f t="shared" si="23"/>
        <v/>
      </c>
      <c r="E41" s="10" t="str">
        <f t="shared" si="23"/>
        <v/>
      </c>
      <c r="F41" s="10" t="str">
        <f t="shared" si="23"/>
        <v/>
      </c>
      <c r="G41" s="10" t="str">
        <f t="shared" si="23"/>
        <v/>
      </c>
      <c r="H41" s="10" t="str">
        <f t="shared" si="23"/>
        <v/>
      </c>
      <c r="I41" s="10" t="str">
        <f t="shared" si="23"/>
        <v/>
      </c>
      <c r="J41" s="10" t="str">
        <f t="shared" si="23"/>
        <v/>
      </c>
      <c r="K41" s="10" t="str">
        <f t="shared" si="23"/>
        <v/>
      </c>
      <c r="L41" s="10" t="str">
        <f t="shared" si="23"/>
        <v/>
      </c>
      <c r="M41" s="10" t="str">
        <f t="shared" si="23"/>
        <v/>
      </c>
      <c r="N41" s="5"/>
      <c r="O41" s="10">
        <f t="shared" si="20"/>
        <v>1.7526826374540336</v>
      </c>
      <c r="P41" s="10" t="str">
        <f t="shared" si="20"/>
        <v/>
      </c>
      <c r="Q41" s="10" t="str">
        <f t="shared" si="20"/>
        <v/>
      </c>
      <c r="R41" s="10" t="str">
        <f t="shared" si="20"/>
        <v/>
      </c>
      <c r="S41" s="10" t="str">
        <f t="shared" si="20"/>
        <v/>
      </c>
      <c r="T41" s="10" t="str">
        <f t="shared" si="20"/>
        <v/>
      </c>
      <c r="U41" s="10" t="str">
        <f t="shared" si="20"/>
        <v/>
      </c>
      <c r="V41" s="10" t="str">
        <f t="shared" si="20"/>
        <v/>
      </c>
    </row>
    <row r="42" spans="1:22" s="1" customFormat="1" x14ac:dyDescent="0.35">
      <c r="A42" s="144"/>
      <c r="B42" s="10" t="str">
        <f t="shared" ref="B42:M42" si="24">IF(B19="","",(B19/$O$23))</f>
        <v/>
      </c>
      <c r="C42" s="10" t="str">
        <f t="shared" si="24"/>
        <v/>
      </c>
      <c r="D42" s="10" t="str">
        <f t="shared" si="24"/>
        <v/>
      </c>
      <c r="E42" s="10" t="str">
        <f t="shared" si="24"/>
        <v/>
      </c>
      <c r="F42" s="10" t="str">
        <f t="shared" si="24"/>
        <v/>
      </c>
      <c r="G42" s="10" t="str">
        <f t="shared" si="24"/>
        <v/>
      </c>
      <c r="H42" s="10" t="str">
        <f t="shared" si="24"/>
        <v/>
      </c>
      <c r="I42" s="10" t="str">
        <f t="shared" si="24"/>
        <v/>
      </c>
      <c r="J42" s="10" t="str">
        <f t="shared" si="24"/>
        <v/>
      </c>
      <c r="K42" s="10" t="str">
        <f t="shared" si="24"/>
        <v/>
      </c>
      <c r="L42" s="10" t="str">
        <f t="shared" si="24"/>
        <v/>
      </c>
      <c r="M42" s="10" t="str">
        <f t="shared" si="24"/>
        <v/>
      </c>
      <c r="N42" s="5"/>
      <c r="O42" s="10" t="str">
        <f t="shared" si="20"/>
        <v/>
      </c>
      <c r="P42" s="10" t="str">
        <f t="shared" si="20"/>
        <v/>
      </c>
      <c r="Q42" s="10" t="str">
        <f t="shared" si="20"/>
        <v/>
      </c>
      <c r="R42" s="10" t="str">
        <f t="shared" si="20"/>
        <v/>
      </c>
      <c r="S42" s="10" t="str">
        <f t="shared" si="20"/>
        <v/>
      </c>
      <c r="T42" s="10" t="str">
        <f t="shared" si="20"/>
        <v/>
      </c>
      <c r="U42" s="10" t="str">
        <f t="shared" si="20"/>
        <v/>
      </c>
      <c r="V42" s="10" t="str">
        <f t="shared" si="20"/>
        <v/>
      </c>
    </row>
    <row r="43" spans="1:22" s="1" customFormat="1" x14ac:dyDescent="0.35">
      <c r="A43" s="144"/>
      <c r="B43" s="10" t="str">
        <f t="shared" ref="B43:M43" si="25">IF(B20="","",(B20/$O$23))</f>
        <v/>
      </c>
      <c r="C43" s="10" t="str">
        <f t="shared" si="25"/>
        <v/>
      </c>
      <c r="D43" s="10" t="str">
        <f t="shared" si="25"/>
        <v/>
      </c>
      <c r="E43" s="10" t="str">
        <f t="shared" si="25"/>
        <v/>
      </c>
      <c r="F43" s="10" t="str">
        <f t="shared" si="25"/>
        <v/>
      </c>
      <c r="G43" s="10" t="str">
        <f t="shared" si="25"/>
        <v/>
      </c>
      <c r="H43" s="10" t="str">
        <f t="shared" si="25"/>
        <v/>
      </c>
      <c r="I43" s="10" t="str">
        <f t="shared" si="25"/>
        <v/>
      </c>
      <c r="J43" s="10" t="str">
        <f t="shared" si="25"/>
        <v/>
      </c>
      <c r="K43" s="10" t="str">
        <f t="shared" si="25"/>
        <v/>
      </c>
      <c r="L43" s="10" t="str">
        <f t="shared" si="25"/>
        <v/>
      </c>
      <c r="M43" s="10" t="str">
        <f t="shared" si="25"/>
        <v/>
      </c>
      <c r="N43" s="5"/>
      <c r="O43" s="10" t="str">
        <f t="shared" si="20"/>
        <v/>
      </c>
      <c r="P43" s="10" t="str">
        <f t="shared" si="20"/>
        <v/>
      </c>
      <c r="Q43" s="10" t="str">
        <f t="shared" si="20"/>
        <v/>
      </c>
      <c r="R43" s="10" t="str">
        <f t="shared" si="20"/>
        <v/>
      </c>
      <c r="S43" s="10" t="str">
        <f t="shared" si="20"/>
        <v/>
      </c>
      <c r="T43" s="10" t="str">
        <f t="shared" si="20"/>
        <v/>
      </c>
      <c r="U43" s="10" t="str">
        <f t="shared" si="20"/>
        <v/>
      </c>
      <c r="V43" s="10" t="str">
        <f t="shared" si="20"/>
        <v/>
      </c>
    </row>
    <row r="44" spans="1:22" x14ac:dyDescent="0.35">
      <c r="A44" s="6"/>
      <c r="B44" s="3"/>
      <c r="C44" s="3"/>
      <c r="D44" s="3"/>
      <c r="E44" s="3"/>
      <c r="F44" s="3"/>
      <c r="G44" s="3"/>
      <c r="H44" s="3"/>
      <c r="I44" s="3"/>
      <c r="J44" s="3"/>
      <c r="N44" s="6"/>
      <c r="O44" s="3"/>
      <c r="P44" s="3"/>
      <c r="Q44" s="3"/>
      <c r="R44" s="3"/>
      <c r="S44" s="3"/>
      <c r="T44" s="3"/>
      <c r="U44" s="3"/>
      <c r="V44" s="3"/>
    </row>
    <row r="45" spans="1:22" s="50" customFormat="1" x14ac:dyDescent="0.35">
      <c r="A45" s="51" t="str">
        <f t="shared" ref="A45:M45" si="26">A4</f>
        <v>Group names</v>
      </c>
      <c r="B45" s="51" t="str">
        <f t="shared" si="26"/>
        <v>Solvent control</v>
      </c>
      <c r="C45" s="51" t="str">
        <f t="shared" si="26"/>
        <v>EE2-33.8ng/L</v>
      </c>
      <c r="D45" s="51" t="str">
        <f t="shared" si="26"/>
        <v>EE2-50.6ng/L</v>
      </c>
      <c r="E45" s="51" t="str">
        <f t="shared" si="26"/>
        <v>EE2-76ng/L</v>
      </c>
      <c r="F45" s="51" t="str">
        <f t="shared" si="26"/>
        <v>EE2-114ng/L</v>
      </c>
      <c r="G45" s="51" t="str">
        <f t="shared" si="26"/>
        <v>EE2-170.9ng/L</v>
      </c>
      <c r="H45" s="51" t="str">
        <f t="shared" si="26"/>
        <v>EE2-488ng/L</v>
      </c>
      <c r="I45" s="51" t="str">
        <f t="shared" si="26"/>
        <v>Amantadine-0.001mg/L</v>
      </c>
      <c r="J45" s="51" t="str">
        <f t="shared" si="26"/>
        <v>Amantadine-0.01mg/L</v>
      </c>
      <c r="K45" s="51" t="str">
        <f t="shared" si="26"/>
        <v>Amantadine-0.1mg/L</v>
      </c>
      <c r="L45" s="51" t="str">
        <f t="shared" si="26"/>
        <v>Amantadine-1mg/L</v>
      </c>
      <c r="M45" s="51" t="str">
        <f t="shared" si="26"/>
        <v>Amantadine-10mg/L</v>
      </c>
      <c r="N45" s="51" t="str">
        <f>N22</f>
        <v>Nom des groupes</v>
      </c>
      <c r="O45" s="51" t="str">
        <f t="shared" ref="O45:V45" si="27">O4</f>
        <v>Testo -30µg/L</v>
      </c>
      <c r="P45" s="51" t="str">
        <f t="shared" si="27"/>
        <v>Testo 30µg/L + EE2 -64ng/L</v>
      </c>
      <c r="Q45" s="51" t="str">
        <f t="shared" si="27"/>
        <v>Testo 30µg/L + FAD-10mg/L</v>
      </c>
      <c r="R45" s="51" t="str">
        <f t="shared" si="27"/>
        <v>Amantadine-0.001mg/L + Testostérone</v>
      </c>
      <c r="S45" s="51" t="str">
        <f t="shared" si="27"/>
        <v>Amantadine-0.01mg/L + Testostérone</v>
      </c>
      <c r="T45" s="51" t="str">
        <f t="shared" si="27"/>
        <v>Amantadine-0.1mg/L + Testostérone</v>
      </c>
      <c r="U45" s="51" t="str">
        <f t="shared" si="27"/>
        <v>Amantadine-1mg/L + Testostérone</v>
      </c>
      <c r="V45" s="51" t="str">
        <f t="shared" si="27"/>
        <v>Amantadine-10mg/L + Testostérone</v>
      </c>
    </row>
    <row r="46" spans="1:22" x14ac:dyDescent="0.35">
      <c r="A46" s="7" t="s">
        <v>0</v>
      </c>
      <c r="B46" s="9">
        <f t="shared" ref="B46:H46" si="28">AVERAGE(B28:B43)</f>
        <v>7.0095333873575097E-2</v>
      </c>
      <c r="C46" s="9">
        <f t="shared" si="28"/>
        <v>9.4451141490549256E-2</v>
      </c>
      <c r="D46" s="9">
        <f t="shared" si="28"/>
        <v>0.35176018452843455</v>
      </c>
      <c r="E46" s="9">
        <f t="shared" si="28"/>
        <v>0.53511886235642148</v>
      </c>
      <c r="F46" s="9">
        <f t="shared" si="28"/>
        <v>1.6452178914527611</v>
      </c>
      <c r="G46" s="9">
        <f t="shared" si="28"/>
        <v>2.4056604616666375</v>
      </c>
      <c r="H46" s="9">
        <f t="shared" si="28"/>
        <v>3.2338604644773055</v>
      </c>
      <c r="I46" s="9">
        <f>AVERAGE(I28:I43)</f>
        <v>8.0807064127640243E-2</v>
      </c>
      <c r="J46" s="8">
        <f>AVERAGE(J28:J43)</f>
        <v>8.9642655767535162E-2</v>
      </c>
      <c r="K46" s="8">
        <f>AVERAGE(K28:K43)</f>
        <v>8.9935427874659218E-2</v>
      </c>
      <c r="L46" s="8">
        <f t="shared" ref="L46:M46" si="29">AVERAGE(L28:L43)</f>
        <v>6.4996178787802228E-2</v>
      </c>
      <c r="M46" s="8">
        <f t="shared" si="29"/>
        <v>6.0026833120845176E-2</v>
      </c>
      <c r="N46" s="7" t="s">
        <v>0</v>
      </c>
      <c r="O46" s="9">
        <f>AVERAGE(O28:O43)</f>
        <v>1</v>
      </c>
      <c r="P46" s="9">
        <f>AVERAGE(P28:P43)</f>
        <v>2.9911507054759916</v>
      </c>
      <c r="Q46" s="9">
        <f>AVERAGE(Q28:Q43)</f>
        <v>3.4033898832552825E-2</v>
      </c>
      <c r="R46" s="9">
        <f>AVERAGE(R28:R43)</f>
        <v>0.75473052647567174</v>
      </c>
      <c r="S46" s="9">
        <f t="shared" ref="S46:V46" si="30">AVERAGE(S28:S43)</f>
        <v>1.0409494395467829</v>
      </c>
      <c r="T46" s="9">
        <f t="shared" si="30"/>
        <v>1.0808648720748153</v>
      </c>
      <c r="U46" s="9">
        <f t="shared" si="30"/>
        <v>0.5932738499661756</v>
      </c>
      <c r="V46" s="9">
        <f t="shared" si="30"/>
        <v>0.43213394313387204</v>
      </c>
    </row>
    <row r="47" spans="1:22" x14ac:dyDescent="0.35">
      <c r="A47" s="7" t="s">
        <v>1</v>
      </c>
      <c r="B47" s="7">
        <f t="shared" ref="B47:K47" si="31">STDEV(B28:B43)</f>
        <v>4.7399864868097365E-2</v>
      </c>
      <c r="C47" s="7">
        <f t="shared" si="31"/>
        <v>0.11363408117722092</v>
      </c>
      <c r="D47" s="7">
        <f t="shared" si="31"/>
        <v>0.23686671417143376</v>
      </c>
      <c r="E47" s="7">
        <f t="shared" si="31"/>
        <v>0.40806313340582639</v>
      </c>
      <c r="F47" s="7">
        <f t="shared" si="31"/>
        <v>0.55721731318692158</v>
      </c>
      <c r="G47" s="7">
        <f t="shared" si="31"/>
        <v>0.47500298800849516</v>
      </c>
      <c r="H47" s="7">
        <f t="shared" si="31"/>
        <v>0.69984150353774555</v>
      </c>
      <c r="I47" s="7">
        <f>STDEV(I28:I43)</f>
        <v>9.1974135640710011E-2</v>
      </c>
      <c r="J47" s="7">
        <f t="shared" si="31"/>
        <v>6.3355382438894423E-2</v>
      </c>
      <c r="K47" s="7">
        <f t="shared" si="31"/>
        <v>9.526037566440318E-2</v>
      </c>
      <c r="L47" s="7">
        <f t="shared" ref="L47:M47" si="32">STDEV(L28:L43)</f>
        <v>5.3585084054231437E-2</v>
      </c>
      <c r="M47" s="7">
        <f t="shared" si="32"/>
        <v>2.9128820895416338E-2</v>
      </c>
      <c r="N47" s="7" t="s">
        <v>1</v>
      </c>
      <c r="O47" s="7">
        <f>STDEV(O28:O43)</f>
        <v>0.65885995669245612</v>
      </c>
      <c r="P47" s="7">
        <f>STDEV(P28:P43)</f>
        <v>0.68479774290011508</v>
      </c>
      <c r="Q47" s="7">
        <f>STDEV(Q28:Q43)</f>
        <v>2.5137320886837171E-2</v>
      </c>
      <c r="R47" s="7">
        <f>STDEV(R28:R43)</f>
        <v>0.55284496448927078</v>
      </c>
      <c r="S47" s="7">
        <f t="shared" ref="S47:V47" si="33">STDEV(S28:S43)</f>
        <v>0.5770469520677296</v>
      </c>
      <c r="T47" s="7">
        <f t="shared" si="33"/>
        <v>0.38833572378502518</v>
      </c>
      <c r="U47" s="7">
        <f t="shared" si="33"/>
        <v>0.56023035885396166</v>
      </c>
      <c r="V47" s="7">
        <f t="shared" si="33"/>
        <v>0.33271986169054119</v>
      </c>
    </row>
    <row r="48" spans="1:22" x14ac:dyDescent="0.35">
      <c r="A48" s="7" t="s">
        <v>2</v>
      </c>
      <c r="B48" s="7">
        <f t="shared" ref="B48:K48" si="34" xml:space="preserve"> B47/SQRT(COUNT(B28:B43))</f>
        <v>1.7915464945579003E-2</v>
      </c>
      <c r="C48" s="7">
        <f t="shared" si="34"/>
        <v>4.2949645608036047E-2</v>
      </c>
      <c r="D48" s="7">
        <f t="shared" si="34"/>
        <v>8.9527202795233213E-2</v>
      </c>
      <c r="E48" s="7">
        <f t="shared" si="34"/>
        <v>0.15423336717222716</v>
      </c>
      <c r="F48" s="7">
        <f t="shared" si="34"/>
        <v>0.21060834813031232</v>
      </c>
      <c r="G48" s="7">
        <f t="shared" si="34"/>
        <v>0.17953425404043916</v>
      </c>
      <c r="H48" s="7">
        <f t="shared" si="34"/>
        <v>0.26451522507462921</v>
      </c>
      <c r="I48" s="7">
        <f xml:space="preserve"> I47/SQRT(COUNT(I28:I43))</f>
        <v>3.4762955707920144E-2</v>
      </c>
      <c r="J48" s="7">
        <f t="shared" si="34"/>
        <v>2.3946083735814777E-2</v>
      </c>
      <c r="K48" s="7">
        <f t="shared" si="34"/>
        <v>3.6005037686657158E-2</v>
      </c>
      <c r="L48" s="7">
        <f t="shared" ref="L48:M48" si="35" xml:space="preserve"> L47/SQRT(COUNT(L28:L43))</f>
        <v>2.0253258055712729E-2</v>
      </c>
      <c r="M48" s="7">
        <f t="shared" si="35"/>
        <v>1.1009659439116201E-2</v>
      </c>
      <c r="N48" s="7" t="s">
        <v>2</v>
      </c>
      <c r="O48" s="7">
        <f xml:space="preserve"> O47/SQRT(COUNT(O28:O43))</f>
        <v>0.17608773027199198</v>
      </c>
      <c r="P48" s="7">
        <f xml:space="preserve"> P47/SQRT(COUNT(P28:P43))</f>
        <v>0.25882921801315029</v>
      </c>
      <c r="Q48" s="7">
        <f xml:space="preserve"> Q47/SQRT(COUNT(Q28:Q43))</f>
        <v>9.5010142418572516E-3</v>
      </c>
      <c r="R48" s="7">
        <f xml:space="preserve"> R47/SQRT(COUNT(R28:R43))</f>
        <v>0.19546021166759969</v>
      </c>
      <c r="S48" s="7">
        <f t="shared" ref="S48:V48" si="36" xml:space="preserve"> S47/SQRT(COUNT(S28:S43))</f>
        <v>0.20401690643506012</v>
      </c>
      <c r="T48" s="7">
        <f t="shared" si="36"/>
        <v>0.13729741183268868</v>
      </c>
      <c r="U48" s="7">
        <f t="shared" si="36"/>
        <v>0.19807134288610462</v>
      </c>
      <c r="V48" s="7">
        <f t="shared" si="36"/>
        <v>0.11763423521841593</v>
      </c>
    </row>
    <row r="49" spans="1:22" s="1" customFormat="1" ht="15" thickBot="1" x14ac:dyDescent="0.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26.5" thickBot="1" x14ac:dyDescent="0.65">
      <c r="A50" s="139"/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</row>
    <row r="51" spans="1:22" ht="15" thickBot="1" x14ac:dyDescent="0.4">
      <c r="A51"/>
      <c r="B51"/>
      <c r="C51"/>
      <c r="D51"/>
      <c r="E51"/>
      <c r="F51"/>
      <c r="G51"/>
      <c r="H51"/>
      <c r="I51"/>
      <c r="J51"/>
      <c r="K51"/>
      <c r="L51"/>
      <c r="M51"/>
      <c r="S51"/>
      <c r="T51"/>
      <c r="U51"/>
      <c r="V51"/>
    </row>
    <row r="52" spans="1:22" x14ac:dyDescent="0.35">
      <c r="A52" s="27" t="str">
        <f t="shared" ref="A52:H52" si="37">A27</f>
        <v>Group names</v>
      </c>
      <c r="B52" s="28" t="str">
        <f t="shared" si="37"/>
        <v>Solvent control</v>
      </c>
      <c r="C52" s="28" t="str">
        <f t="shared" si="37"/>
        <v>EE2-33.8ng/L</v>
      </c>
      <c r="D52" s="28" t="str">
        <f t="shared" si="37"/>
        <v>EE2-50.6ng/L</v>
      </c>
      <c r="E52" s="28" t="str">
        <f t="shared" si="37"/>
        <v>EE2-76ng/L</v>
      </c>
      <c r="F52" s="28" t="str">
        <f t="shared" si="37"/>
        <v>EE2-114ng/L</v>
      </c>
      <c r="G52" s="28" t="str">
        <f t="shared" si="37"/>
        <v>EE2-170.9ng/L</v>
      </c>
      <c r="H52" s="28" t="str">
        <f t="shared" si="37"/>
        <v>EE2-488ng/L</v>
      </c>
      <c r="I52" s="28" t="str">
        <f>I4</f>
        <v>Amantadine-0.001mg/L</v>
      </c>
      <c r="J52" s="28" t="str">
        <f>J4</f>
        <v>Amantadine-0.01mg/L</v>
      </c>
      <c r="K52" s="28" t="str">
        <f>K27</f>
        <v>Amantadine-0.1mg/L</v>
      </c>
      <c r="L52" s="28" t="str">
        <f t="shared" ref="L52:M52" si="38">L27</f>
        <v>Amantadine-1mg/L</v>
      </c>
      <c r="M52" s="28" t="str">
        <f t="shared" si="38"/>
        <v>Amantadine-10mg/L</v>
      </c>
      <c r="N52" s="29"/>
      <c r="O52" s="28" t="str">
        <f>O27</f>
        <v>Testo -30µg/L</v>
      </c>
      <c r="P52" s="28" t="str">
        <f>P27</f>
        <v>Testo 30µg/L + EE2 -64ng/L</v>
      </c>
      <c r="Q52" s="28" t="str">
        <f>Q27</f>
        <v>Testo 30µg/L + FAD-10mg/L</v>
      </c>
      <c r="R52" s="28" t="str">
        <f>R27</f>
        <v>Amantadine-0.001mg/L + Testostérone</v>
      </c>
      <c r="S52" s="28" t="str">
        <f t="shared" ref="S52:V52" si="39">S27</f>
        <v>Amantadine-0.01mg/L + Testostérone</v>
      </c>
      <c r="T52" s="28" t="str">
        <f t="shared" si="39"/>
        <v>Amantadine-0.1mg/L + Testostérone</v>
      </c>
      <c r="U52" s="28" t="str">
        <f t="shared" si="39"/>
        <v>Amantadine-1mg/L + Testostérone</v>
      </c>
      <c r="V52" s="28" t="str">
        <f t="shared" si="39"/>
        <v>Amantadine-10mg/L + Testostérone</v>
      </c>
    </row>
    <row r="53" spans="1:22" s="3" customFormat="1" x14ac:dyDescent="0.35">
      <c r="A53" s="43" t="s">
        <v>10</v>
      </c>
      <c r="B53" s="75">
        <f t="shared" ref="B53:M53" si="40">B46</f>
        <v>7.0095333873575097E-2</v>
      </c>
      <c r="C53" s="75">
        <f t="shared" si="40"/>
        <v>9.4451141490549256E-2</v>
      </c>
      <c r="D53" s="75">
        <f t="shared" si="40"/>
        <v>0.35176018452843455</v>
      </c>
      <c r="E53" s="75">
        <f t="shared" si="40"/>
        <v>0.53511886235642148</v>
      </c>
      <c r="F53" s="75">
        <f t="shared" si="40"/>
        <v>1.6452178914527611</v>
      </c>
      <c r="G53" s="75">
        <f t="shared" si="40"/>
        <v>2.4056604616666375</v>
      </c>
      <c r="H53" s="75">
        <f t="shared" si="40"/>
        <v>3.2338604644773055</v>
      </c>
      <c r="I53" s="75">
        <f t="shared" si="40"/>
        <v>8.0807064127640243E-2</v>
      </c>
      <c r="J53" s="75">
        <f t="shared" si="40"/>
        <v>8.9642655767535162E-2</v>
      </c>
      <c r="K53" s="75">
        <f t="shared" si="40"/>
        <v>8.9935427874659218E-2</v>
      </c>
      <c r="L53" s="75">
        <f t="shared" si="40"/>
        <v>6.4996178787802228E-2</v>
      </c>
      <c r="M53" s="75">
        <f t="shared" si="40"/>
        <v>6.0026833120845176E-2</v>
      </c>
      <c r="N53" s="75"/>
      <c r="O53" s="75">
        <f t="shared" ref="O53:V53" si="41">O46</f>
        <v>1</v>
      </c>
      <c r="P53" s="75">
        <f t="shared" si="41"/>
        <v>2.9911507054759916</v>
      </c>
      <c r="Q53" s="75">
        <f t="shared" si="41"/>
        <v>3.4033898832552825E-2</v>
      </c>
      <c r="R53" s="75">
        <f t="shared" si="41"/>
        <v>0.75473052647567174</v>
      </c>
      <c r="S53" s="75">
        <f t="shared" si="41"/>
        <v>1.0409494395467829</v>
      </c>
      <c r="T53" s="75">
        <f t="shared" si="41"/>
        <v>1.0808648720748153</v>
      </c>
      <c r="U53" s="75">
        <f t="shared" si="41"/>
        <v>0.5932738499661756</v>
      </c>
      <c r="V53" s="75">
        <f t="shared" si="41"/>
        <v>0.43213394313387204</v>
      </c>
    </row>
    <row r="54" spans="1:22" s="3" customFormat="1" x14ac:dyDescent="0.35">
      <c r="A54" s="43" t="s">
        <v>2</v>
      </c>
      <c r="B54" s="75">
        <f t="shared" ref="B54:M54" si="42">B48</f>
        <v>1.7915464945579003E-2</v>
      </c>
      <c r="C54" s="75">
        <f t="shared" si="42"/>
        <v>4.2949645608036047E-2</v>
      </c>
      <c r="D54" s="75">
        <f t="shared" si="42"/>
        <v>8.9527202795233213E-2</v>
      </c>
      <c r="E54" s="75">
        <f t="shared" si="42"/>
        <v>0.15423336717222716</v>
      </c>
      <c r="F54" s="75">
        <f t="shared" si="42"/>
        <v>0.21060834813031232</v>
      </c>
      <c r="G54" s="75">
        <f t="shared" si="42"/>
        <v>0.17953425404043916</v>
      </c>
      <c r="H54" s="75">
        <f t="shared" si="42"/>
        <v>0.26451522507462921</v>
      </c>
      <c r="I54" s="75">
        <f t="shared" si="42"/>
        <v>3.4762955707920144E-2</v>
      </c>
      <c r="J54" s="75">
        <f t="shared" si="42"/>
        <v>2.3946083735814777E-2</v>
      </c>
      <c r="K54" s="75">
        <f t="shared" si="42"/>
        <v>3.6005037686657158E-2</v>
      </c>
      <c r="L54" s="75">
        <f t="shared" si="42"/>
        <v>2.0253258055712729E-2</v>
      </c>
      <c r="M54" s="75">
        <f t="shared" si="42"/>
        <v>1.1009659439116201E-2</v>
      </c>
      <c r="N54" s="75"/>
      <c r="O54" s="75">
        <f t="shared" ref="O54:V54" si="43">O48</f>
        <v>0.17608773027199198</v>
      </c>
      <c r="P54" s="75">
        <f t="shared" si="43"/>
        <v>0.25882921801315029</v>
      </c>
      <c r="Q54" s="75">
        <f t="shared" si="43"/>
        <v>9.5010142418572516E-3</v>
      </c>
      <c r="R54" s="75">
        <f t="shared" si="43"/>
        <v>0.19546021166759969</v>
      </c>
      <c r="S54" s="75">
        <f t="shared" si="43"/>
        <v>0.20401690643506012</v>
      </c>
      <c r="T54" s="75">
        <f t="shared" si="43"/>
        <v>0.13729741183268868</v>
      </c>
      <c r="U54" s="75">
        <f t="shared" si="43"/>
        <v>0.19807134288610462</v>
      </c>
      <c r="V54" s="75">
        <f t="shared" si="43"/>
        <v>0.11763423521841593</v>
      </c>
    </row>
    <row r="55" spans="1:22" s="3" customFormat="1" x14ac:dyDescent="0.35">
      <c r="A55" s="43" t="s">
        <v>14</v>
      </c>
      <c r="B55" s="75">
        <f t="shared" ref="B55:M55" si="44">(B53*100/$B$53)-100</f>
        <v>0</v>
      </c>
      <c r="C55" s="75">
        <f t="shared" si="44"/>
        <v>34.746688932108697</v>
      </c>
      <c r="D55" s="75">
        <f t="shared" si="44"/>
        <v>401.83109928953911</v>
      </c>
      <c r="E55" s="75">
        <f t="shared" si="44"/>
        <v>663.4158121303326</v>
      </c>
      <c r="F55" s="75">
        <f t="shared" si="44"/>
        <v>2247.1147086910214</v>
      </c>
      <c r="G55" s="75">
        <f t="shared" si="44"/>
        <v>3331.9837408942503</v>
      </c>
      <c r="H55" s="75">
        <f t="shared" si="44"/>
        <v>4513.5174565398902</v>
      </c>
      <c r="I55" s="75">
        <f t="shared" si="44"/>
        <v>15.281659508727031</v>
      </c>
      <c r="J55" s="75">
        <f t="shared" si="44"/>
        <v>27.886766227857436</v>
      </c>
      <c r="K55" s="75">
        <f t="shared" si="44"/>
        <v>28.304443255620953</v>
      </c>
      <c r="L55" s="75">
        <f t="shared" si="44"/>
        <v>-7.2745998970056718</v>
      </c>
      <c r="M55" s="75">
        <f t="shared" si="44"/>
        <v>-14.36400997945114</v>
      </c>
      <c r="N55" s="75"/>
      <c r="O55" s="75">
        <f t="shared" ref="O55:V55" si="45">(O53*100/$O$53)-100</f>
        <v>0</v>
      </c>
      <c r="P55" s="75">
        <f t="shared" si="45"/>
        <v>199.11507054759915</v>
      </c>
      <c r="Q55" s="75">
        <f t="shared" si="45"/>
        <v>-96.596610116744714</v>
      </c>
      <c r="R55" s="75">
        <f t="shared" si="45"/>
        <v>-24.526947352432828</v>
      </c>
      <c r="S55" s="75">
        <f t="shared" si="45"/>
        <v>4.0949439546782855</v>
      </c>
      <c r="T55" s="75">
        <f t="shared" si="45"/>
        <v>8.0864872074815253</v>
      </c>
      <c r="U55" s="75">
        <f t="shared" si="45"/>
        <v>-40.67261500338244</v>
      </c>
      <c r="V55" s="75">
        <f t="shared" si="45"/>
        <v>-56.786605686612795</v>
      </c>
    </row>
    <row r="56" spans="1:22" s="3" customFormat="1" x14ac:dyDescent="0.35">
      <c r="A56" s="43" t="s">
        <v>38</v>
      </c>
      <c r="B56" s="75">
        <f>[1]!SWTEST(B28:B43)</f>
        <v>0.26529446292442915</v>
      </c>
      <c r="C56" s="75">
        <f>[1]!SWTEST(C28:C43)</f>
        <v>1.7502553812188459E-2</v>
      </c>
      <c r="D56" s="75">
        <f>[1]!SWTEST(D28:D43)</f>
        <v>6.42974514208694E-4</v>
      </c>
      <c r="E56" s="75">
        <f>[1]!SWTEST(E28:E43)</f>
        <v>0.29102949657751276</v>
      </c>
      <c r="F56" s="75">
        <f>[1]!SWTEST(F28:F43)</f>
        <v>0.91405167559405698</v>
      </c>
      <c r="G56" s="75">
        <f>[1]!SWTEST(G28:G43)</f>
        <v>0.78265001142424206</v>
      </c>
      <c r="H56" s="75">
        <f>[1]!SWTEST(H28:H43)</f>
        <v>0.51081898100464151</v>
      </c>
      <c r="I56" s="75">
        <f>[1]!SWTEST(I28:I43)</f>
        <v>6.2102928309082372E-4</v>
      </c>
      <c r="J56" s="75">
        <f>[1]!SWTEST(J28:J43)</f>
        <v>0.36224036334916088</v>
      </c>
      <c r="K56" s="75">
        <f>[1]!SWTEST(K28:K43)</f>
        <v>2.6637128681363142E-2</v>
      </c>
      <c r="L56" s="75">
        <f>[1]!SWTEST(L28:L43)</f>
        <v>1.1210315917842051E-2</v>
      </c>
      <c r="M56" s="75">
        <f>[1]!SWTEST(M28:M43)</f>
        <v>0.48734945057599743</v>
      </c>
      <c r="N56" s="75"/>
      <c r="O56" s="75">
        <f>[1]!SWTEST(O28:O43)</f>
        <v>0.23617526076369866</v>
      </c>
      <c r="P56" s="75">
        <f>[1]!SWTEST(P28:P43)</f>
        <v>0.11207926977326277</v>
      </c>
      <c r="Q56" s="75">
        <f>[1]!SWTEST(Q28:Q43)</f>
        <v>0.25514988932385219</v>
      </c>
      <c r="R56" s="75">
        <f>[1]!SWTEST(R28:R43)</f>
        <v>6.493529613945237E-2</v>
      </c>
      <c r="S56" s="75">
        <f>[1]!SWTEST(S28:S43)</f>
        <v>0.46470204710461072</v>
      </c>
      <c r="T56" s="75">
        <f>[1]!SWTEST(T28:T43)</f>
        <v>0.17870546407807042</v>
      </c>
      <c r="U56" s="75">
        <f>[1]!SWTEST(U28:U43)</f>
        <v>3.9298611290200958E-2</v>
      </c>
      <c r="V56" s="75">
        <f>[1]!SWTEST(V28:V43)</f>
        <v>0.19282046216446003</v>
      </c>
    </row>
    <row r="57" spans="1:22" s="3" customFormat="1" x14ac:dyDescent="0.35">
      <c r="A57" s="43" t="s">
        <v>39</v>
      </c>
      <c r="B57" s="75" t="str">
        <f t="shared" ref="B57:M57" si="46">IF(B56&gt;0.05,"Oui","Non")</f>
        <v>Oui</v>
      </c>
      <c r="C57" s="75" t="str">
        <f t="shared" si="46"/>
        <v>Non</v>
      </c>
      <c r="D57" s="75" t="str">
        <f t="shared" si="46"/>
        <v>Non</v>
      </c>
      <c r="E57" s="75" t="str">
        <f t="shared" si="46"/>
        <v>Oui</v>
      </c>
      <c r="F57" s="75" t="str">
        <f t="shared" si="46"/>
        <v>Oui</v>
      </c>
      <c r="G57" s="75" t="str">
        <f t="shared" si="46"/>
        <v>Oui</v>
      </c>
      <c r="H57" s="75" t="str">
        <f t="shared" si="46"/>
        <v>Oui</v>
      </c>
      <c r="I57" s="75" t="str">
        <f t="shared" si="46"/>
        <v>Non</v>
      </c>
      <c r="J57" s="75" t="str">
        <f t="shared" si="46"/>
        <v>Oui</v>
      </c>
      <c r="K57" s="75" t="str">
        <f t="shared" si="46"/>
        <v>Non</v>
      </c>
      <c r="L57" s="75" t="str">
        <f t="shared" si="46"/>
        <v>Non</v>
      </c>
      <c r="M57" s="75" t="str">
        <f t="shared" si="46"/>
        <v>Oui</v>
      </c>
      <c r="N57" s="75"/>
      <c r="O57" s="75" t="str">
        <f t="shared" ref="O57:V57" si="47">IF(O56&gt;0.05,"Oui","Non")</f>
        <v>Oui</v>
      </c>
      <c r="P57" s="75" t="str">
        <f t="shared" si="47"/>
        <v>Oui</v>
      </c>
      <c r="Q57" s="75" t="str">
        <f t="shared" si="47"/>
        <v>Oui</v>
      </c>
      <c r="R57" s="75" t="str">
        <f t="shared" si="47"/>
        <v>Oui</v>
      </c>
      <c r="S57" s="75" t="str">
        <f t="shared" si="47"/>
        <v>Oui</v>
      </c>
      <c r="T57" s="75" t="str">
        <f t="shared" si="47"/>
        <v>Oui</v>
      </c>
      <c r="U57" s="75" t="str">
        <f t="shared" si="47"/>
        <v>Non</v>
      </c>
      <c r="V57" s="75" t="str">
        <f t="shared" si="47"/>
        <v>Oui</v>
      </c>
    </row>
    <row r="58" spans="1:22" s="3" customFormat="1" x14ac:dyDescent="0.35">
      <c r="A58" s="43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7"/>
      <c r="O58" s="78"/>
      <c r="P58" s="75"/>
      <c r="Q58" s="75"/>
      <c r="R58" s="75"/>
      <c r="S58" s="75"/>
      <c r="T58" s="75"/>
      <c r="U58" s="75"/>
      <c r="V58" s="75"/>
    </row>
    <row r="59" spans="1:22" s="3" customFormat="1" x14ac:dyDescent="0.35">
      <c r="A59" s="43" t="s">
        <v>40</v>
      </c>
      <c r="B59" s="79"/>
      <c r="C59" s="79" t="str">
        <f t="shared" ref="C59:M59" si="48">IF($B57="Non",IF(C$57="Non","Mann Withney",IF(C$57="Oui","Mann Withney","")),IF($B$57="Oui",IF(C$57="Oui","T-Test Welch",IF(C$57="Non","Mann Withney",""))))</f>
        <v>Mann Withney</v>
      </c>
      <c r="D59" s="79" t="str">
        <f t="shared" si="48"/>
        <v>Mann Withney</v>
      </c>
      <c r="E59" s="79" t="str">
        <f t="shared" si="48"/>
        <v>T-Test Welch</v>
      </c>
      <c r="F59" s="79" t="str">
        <f t="shared" si="48"/>
        <v>T-Test Welch</v>
      </c>
      <c r="G59" s="79" t="str">
        <f t="shared" si="48"/>
        <v>T-Test Welch</v>
      </c>
      <c r="H59" s="79" t="str">
        <f t="shared" si="48"/>
        <v>T-Test Welch</v>
      </c>
      <c r="I59" s="79" t="str">
        <f t="shared" si="48"/>
        <v>Mann Withney</v>
      </c>
      <c r="J59" s="79" t="str">
        <f t="shared" si="48"/>
        <v>T-Test Welch</v>
      </c>
      <c r="K59" s="79" t="str">
        <f t="shared" si="48"/>
        <v>Mann Withney</v>
      </c>
      <c r="L59" s="79" t="str">
        <f t="shared" si="48"/>
        <v>Mann Withney</v>
      </c>
      <c r="M59" s="79" t="str">
        <f t="shared" si="48"/>
        <v>T-Test Welch</v>
      </c>
      <c r="N59" s="79"/>
      <c r="O59" s="79" t="str">
        <f>IF($B57="Non",IF(O$57="Non","Mann Withney",IF(O$57="Oui","Mann Withney","")),IF($B$57="Oui",IF(O$57="Oui","T-Test Welch",IF(O$57="Non","Mann Withney",""))))</f>
        <v>T-Test Welch</v>
      </c>
      <c r="P59" s="79" t="str">
        <f t="shared" ref="P59:V59" si="49">IF($O57="Non",IF(P$57="Non","Mann Withney",IF(P$57="Oui","Mann Withney","")),IF($O$57="Oui",IF(P$57="Oui","T-Test Welch",IF(P$57="Non","Mann Withney",""))))</f>
        <v>T-Test Welch</v>
      </c>
      <c r="Q59" s="79" t="str">
        <f t="shared" si="49"/>
        <v>T-Test Welch</v>
      </c>
      <c r="R59" s="79" t="str">
        <f t="shared" si="49"/>
        <v>T-Test Welch</v>
      </c>
      <c r="S59" s="79" t="str">
        <f t="shared" si="49"/>
        <v>T-Test Welch</v>
      </c>
      <c r="T59" s="79" t="str">
        <f t="shared" si="49"/>
        <v>T-Test Welch</v>
      </c>
      <c r="U59" s="79" t="str">
        <f t="shared" si="49"/>
        <v>Mann Withney</v>
      </c>
      <c r="V59" s="79" t="str">
        <f t="shared" si="49"/>
        <v>T-Test Welch</v>
      </c>
    </row>
    <row r="60" spans="1:22" s="3" customFormat="1" x14ac:dyDescent="0.35">
      <c r="A60" s="43" t="s">
        <v>41</v>
      </c>
      <c r="B60" s="80"/>
      <c r="C60" s="80">
        <f>IF(C59="Mann Withney",[1]!MTEST($B28:$B43,C28:C43,2), IF(C59="T-Test Welch",_xlfn.T.TEST($B28:$B43,C28:C43,2,3),""))</f>
        <v>0.74939418496257071</v>
      </c>
      <c r="D60" s="80">
        <f>IF(D59="Mann Withney",[1]!MTEST($B28:$B43,D28:D43,2), IF(D59="T-Test Welch",_xlfn.T.TEST($B28:$B43,D28:D43,2,3),""))</f>
        <v>1.7451186995289802E-3</v>
      </c>
      <c r="E60" s="80">
        <f>IF(E59="Mann Withney",[1]!MTEST($B28:$B43,E28:E43,2), IF(E59="T-Test Welch",_xlfn.T.TEST($B28:$B43,E28:E43,2,3),""))</f>
        <v>2.339654437572803E-2</v>
      </c>
      <c r="F60" s="80">
        <f>IF(F59="Mann Withney",[1]!MTEST($B28:$B43,F28:F43,2), IF(F59="T-Test Welch",_xlfn.T.TEST($B28:$B43,F28:F43,2,3),""))</f>
        <v>2.8132523142639071E-4</v>
      </c>
      <c r="G60" s="80">
        <f>IF(G59="Mann Withney",[1]!MTEST($B28:$B43,G28:G43,2), IF(G59="T-Test Welch",_xlfn.T.TEST($B28:$B43,G28:G43,2,3),""))</f>
        <v>1.1241277023654532E-5</v>
      </c>
      <c r="H60" s="80">
        <f>IF(H59="Mann Withney",[1]!MTEST($B28:$B43,H28:H43,2), IF(H59="T-Test Welch",_xlfn.T.TEST($B28:$B43,H28:H43,2,3),""))</f>
        <v>1.9638079702554382E-5</v>
      </c>
      <c r="I60" s="80">
        <f>IF(I59="Mann Withney",[1]!MTEST($B28:$B43,I28:I43,2), IF(I59="T-Test Welch",_xlfn.T.TEST($B28:$B43,I28:I43,2,3),""))</f>
        <v>0.65472084601857716</v>
      </c>
      <c r="J60" s="80">
        <f>IF(J59="Mann Withney",[1]!MTEST($B28:$B43,J28:J43,2), IF(J59="T-Test Welch",_xlfn.T.TEST($B28:$B43,J28:J43,2,3),""))</f>
        <v>0.52664689847102975</v>
      </c>
      <c r="K60" s="80">
        <f>IF(K59="Mann Withney",[1]!MTEST($B28:$B43,K28:K43,2), IF(K59="T-Test Welch",_xlfn.T.TEST($B28:$B43,K28:K43,2,3),""))</f>
        <v>0.84800621421930966</v>
      </c>
      <c r="L60" s="80">
        <f>IF(L59="Mann Withney",[1]!MTEST($B28:$B43,L28:L43,2), IF(L59="T-Test Welch",_xlfn.T.TEST($B28:$B43,L28:L43,2,3),""))</f>
        <v>0.48220269762779067</v>
      </c>
      <c r="M60" s="80">
        <f>IF(M59="Mann Withney",[1]!MTEST($B28:$B43,M28:M43,2), IF(M59="T-Test Welch",_xlfn.T.TEST($B28:$B43,M28:M43,2,3),""))</f>
        <v>0.64240240538357329</v>
      </c>
      <c r="N60" s="80"/>
      <c r="O60" s="80">
        <f>IF(O59="Mann Withney",[1]!MTEST($B28:$B43,O28:O43,2), IF(O59="T-Test Welch",_xlfn.T.TEST($B28:$B43,O28:O43,2,3),""))</f>
        <v>1.4568601333503348E-4</v>
      </c>
      <c r="P60" s="80">
        <f>IF(P59="Mann Withney",[1]!MTEST($O28:$O43,P28:P43,2), IF(P59="T-Test Welch",_xlfn.T.TEST($O28:$O43,P28:P43,2,3),""))</f>
        <v>4.0765146686632391E-5</v>
      </c>
      <c r="Q60" s="80">
        <f>IF(Q59="Mann Withney",[1]!MTEST($O28:$O43,Q28:Q43,2), IF(Q59="T-Test Welch",_xlfn.T.TEST($O28:$O43,Q28:Q43,2,3),""))</f>
        <v>1.0391173672194722E-4</v>
      </c>
      <c r="R60" s="80">
        <f>IF(R59="Mann Withney",[1]!MTEST($O28:$O43,R28:R43,2), IF(R59="T-Test Welch",_xlfn.T.TEST($O28:$O43,R28:R43,2,3),""))</f>
        <v>0.36426750433915756</v>
      </c>
      <c r="S60" s="80">
        <f>IF(S59="Mann Withney",[1]!MTEST($O28:$O43,S28:S43,2), IF(S59="T-Test Welch",_xlfn.T.TEST($O28:$O43,S28:S43,2,3),""))</f>
        <v>0.88108157266315579</v>
      </c>
      <c r="T60" s="80">
        <f>IF(T59="Mann Withney",[1]!MTEST($O28:$O43,T28:T43,2), IF(T59="T-Test Welch",_xlfn.T.TEST($O28:$O43,T28:T43,2,3),""))</f>
        <v>0.72104757279831222</v>
      </c>
      <c r="U60" s="80">
        <f>IF(U59="Mann Withney",[1]!MTEST($O28:$O43,U28:U43,2), IF(U59="T-Test Welch",_xlfn.T.TEST($O28:$O43,U28:U43,2,3),""))</f>
        <v>0.15177222801391665</v>
      </c>
      <c r="V60" s="80">
        <f>IF(V59="Mann Withney",[1]!MTEST($O28:$O43,V28:V43,2), IF(V59="T-Test Welch",_xlfn.T.TEST($O28:$O43,V28:V43,2,3),""))</f>
        <v>1.4404081242350738E-2</v>
      </c>
    </row>
    <row r="61" spans="1:22" s="3" customFormat="1" ht="15" thickBot="1" x14ac:dyDescent="0.4">
      <c r="A61" s="44" t="s">
        <v>15</v>
      </c>
      <c r="B61" s="76"/>
      <c r="C61" s="76" t="str">
        <f t="shared" ref="C61:M61" si="50">IF(C60&gt;0.05,"NS",IF(C60&gt;0.01,"*",IF(C60&gt;0.001,"**","***")))</f>
        <v>NS</v>
      </c>
      <c r="D61" s="76" t="str">
        <f t="shared" si="50"/>
        <v>**</v>
      </c>
      <c r="E61" s="76" t="str">
        <f t="shared" si="50"/>
        <v>*</v>
      </c>
      <c r="F61" s="76" t="str">
        <f t="shared" si="50"/>
        <v>***</v>
      </c>
      <c r="G61" s="76" t="str">
        <f t="shared" si="50"/>
        <v>***</v>
      </c>
      <c r="H61" s="76" t="str">
        <f t="shared" si="50"/>
        <v>***</v>
      </c>
      <c r="I61" s="76" t="str">
        <f t="shared" si="50"/>
        <v>NS</v>
      </c>
      <c r="J61" s="76" t="str">
        <f t="shared" si="50"/>
        <v>NS</v>
      </c>
      <c r="K61" s="76" t="str">
        <f t="shared" si="50"/>
        <v>NS</v>
      </c>
      <c r="L61" s="76" t="str">
        <f t="shared" si="50"/>
        <v>NS</v>
      </c>
      <c r="M61" s="76" t="str">
        <f t="shared" si="50"/>
        <v>NS</v>
      </c>
      <c r="N61" s="76"/>
      <c r="O61" s="76" t="str">
        <f>IF(O60&gt;0.05,"NS",IF(O60&gt;0.01,"*",IF(O60&gt;0.001,"**","***")))</f>
        <v>***</v>
      </c>
      <c r="P61" s="76" t="str">
        <f>IF(P60&gt;0.05,"NS",IF(P60&gt;0.01,"*",IF(P60&gt;0.001,"**","***")))</f>
        <v>***</v>
      </c>
      <c r="Q61" s="76" t="str">
        <f t="shared" ref="Q61" si="51">IF(Q60&gt;0.05,"NS",IF(Q60&gt;0.01,"*",IF(Q60&gt;0.001,"**","***")))</f>
        <v>***</v>
      </c>
      <c r="R61" s="76" t="str">
        <f t="shared" ref="R61" si="52">IF(R60&gt;0.05,"NS",IF(R60&gt;0.01,"*",IF(R60&gt;0.001,"**","***")))</f>
        <v>NS</v>
      </c>
      <c r="S61" s="76" t="str">
        <f t="shared" ref="S61" si="53">IF(S60&gt;0.05,"NS",IF(S60&gt;0.01,"*",IF(S60&gt;0.001,"**","***")))</f>
        <v>NS</v>
      </c>
      <c r="T61" s="76" t="str">
        <f t="shared" ref="T61" si="54">IF(T60&gt;0.05,"NS",IF(T60&gt;0.01,"*",IF(T60&gt;0.001,"**","***")))</f>
        <v>NS</v>
      </c>
      <c r="U61" s="76" t="str">
        <f t="shared" ref="U61" si="55">IF(U60&gt;0.05,"NS",IF(U60&gt;0.01,"*",IF(U60&gt;0.001,"**","***")))</f>
        <v>NS</v>
      </c>
      <c r="V61" s="76" t="str">
        <f t="shared" ref="V61" si="56">IF(V60&gt;0.05,"NS",IF(V60&gt;0.01,"*",IF(V60&gt;0.001,"**","***")))</f>
        <v>*</v>
      </c>
    </row>
    <row r="63" spans="1:22" x14ac:dyDescent="0.35">
      <c r="A63" s="2"/>
    </row>
    <row r="66" spans="1:22" ht="15" thickBot="1" x14ac:dyDescent="0.4"/>
    <row r="67" spans="1:22" s="1" customFormat="1" ht="26.5" thickBot="1" x14ac:dyDescent="0.65">
      <c r="A67" s="139"/>
      <c r="B67" s="140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</row>
    <row r="68" spans="1:22" ht="16.5" x14ac:dyDescent="0.35">
      <c r="A68" s="11"/>
      <c r="B68" s="11"/>
      <c r="C68" s="11"/>
      <c r="D68" s="11"/>
      <c r="E68" s="11"/>
      <c r="F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ht="16.5" x14ac:dyDescent="0.35">
      <c r="A69" s="11"/>
      <c r="B69" s="11"/>
      <c r="C69" s="11"/>
      <c r="D69" s="11"/>
      <c r="E69" s="11"/>
      <c r="F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ht="16.5" x14ac:dyDescent="0.35">
      <c r="A70" s="11"/>
      <c r="B70" s="11"/>
      <c r="C70" s="11"/>
      <c r="D70" s="11"/>
      <c r="E70" s="11"/>
      <c r="F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 ht="16.5" x14ac:dyDescent="0.35">
      <c r="A71" s="11"/>
      <c r="B71" s="11"/>
      <c r="C71" s="11"/>
      <c r="D71" s="11"/>
      <c r="E71" s="11"/>
      <c r="F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ht="16.5" x14ac:dyDescent="0.35">
      <c r="A72" s="11"/>
      <c r="B72" s="11"/>
      <c r="C72" s="11"/>
      <c r="D72" s="11"/>
      <c r="E72" s="11"/>
      <c r="F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 ht="16.5" x14ac:dyDescent="0.35">
      <c r="A73" s="11"/>
      <c r="B73" s="11"/>
      <c r="C73" s="11"/>
      <c r="D73" s="11"/>
      <c r="E73" s="11"/>
      <c r="F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ht="16.5" x14ac:dyDescent="0.35">
      <c r="A74" s="11"/>
      <c r="B74" s="11"/>
      <c r="C74" s="11"/>
      <c r="D74" s="11"/>
      <c r="E74" s="11"/>
      <c r="F74" s="11"/>
      <c r="N74" s="11"/>
      <c r="O74" s="11"/>
      <c r="P74" s="11"/>
      <c r="Q74" s="11"/>
      <c r="R74" s="11"/>
      <c r="S74" s="11"/>
      <c r="T74" s="11"/>
      <c r="U74" s="11"/>
      <c r="V74" s="11"/>
    </row>
  </sheetData>
  <protectedRanges>
    <protectedRange sqref="O51:V51" name="Plage2"/>
    <protectedRange sqref="R12:V21 R5:V7" name="Plage1"/>
    <protectedRange sqref="B51:J51" name="Plage2_1"/>
    <protectedRange sqref="O5:O7 J5:J6 B13:J21 J11:J12 O12:O21" name="Plage1_1"/>
    <protectedRange sqref="B5:I6 B11:I12 O8:V11 B7:M10" name="Plage1_1_1"/>
  </protectedRanges>
  <mergeCells count="9">
    <mergeCell ref="A1:V1"/>
    <mergeCell ref="A67:V67"/>
    <mergeCell ref="A50:V50"/>
    <mergeCell ref="A5:A20"/>
    <mergeCell ref="A28:A43"/>
    <mergeCell ref="B3:M3"/>
    <mergeCell ref="B26:M26"/>
    <mergeCell ref="O26:V26"/>
    <mergeCell ref="O3:V3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74"/>
  <sheetViews>
    <sheetView showGridLines="0" topLeftCell="M1" zoomScale="70" zoomScaleNormal="70" zoomScaleSheetLayoutView="40" zoomScalePageLayoutView="30" workbookViewId="0">
      <selection activeCell="S16" sqref="S16"/>
    </sheetView>
  </sheetViews>
  <sheetFormatPr baseColWidth="10" defaultColWidth="9.1796875" defaultRowHeight="14.5" x14ac:dyDescent="0.35"/>
  <cols>
    <col min="1" max="1" width="33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1.7265625" style="1" customWidth="1"/>
    <col min="15" max="15" width="14.81640625" style="1" customWidth="1"/>
    <col min="16" max="16" width="17.7265625" style="1" customWidth="1"/>
    <col min="17" max="18" width="25.81640625" style="1" bestFit="1" customWidth="1"/>
    <col min="19" max="22" width="25.81640625" style="1" customWidth="1"/>
    <col min="23" max="16384" width="9.1796875" style="1"/>
  </cols>
  <sheetData>
    <row r="1" spans="1:22" ht="26.5" thickBot="1" x14ac:dyDescent="0.65">
      <c r="A1" s="137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</row>
    <row r="2" spans="1:22" customFormat="1" ht="15" thickBot="1" x14ac:dyDescent="0.4"/>
    <row r="3" spans="1:22" ht="15" thickBot="1" x14ac:dyDescent="0.4">
      <c r="A3" s="81" t="s">
        <v>6</v>
      </c>
      <c r="B3" s="145" t="s">
        <v>42</v>
      </c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O3" s="145" t="s">
        <v>43</v>
      </c>
      <c r="P3" s="146"/>
      <c r="Q3" s="146"/>
      <c r="R3" s="146"/>
      <c r="S3" s="146"/>
      <c r="T3" s="146"/>
      <c r="U3" s="146"/>
      <c r="V3" s="146"/>
    </row>
    <row r="4" spans="1:22" x14ac:dyDescent="0.35">
      <c r="A4" s="17" t="s">
        <v>37</v>
      </c>
      <c r="B4" s="18" t="str">
        <f>'Front page'!A7</f>
        <v>Solvent control</v>
      </c>
      <c r="C4" s="18" t="str">
        <f>'Front page'!A8</f>
        <v>EE2-33.8ng/L</v>
      </c>
      <c r="D4" s="18" t="str">
        <f>'Front page'!A9</f>
        <v>EE2-50.6ng/L</v>
      </c>
      <c r="E4" s="18" t="str">
        <f>'Front page'!A10</f>
        <v>EE2-76ng/L</v>
      </c>
      <c r="F4" s="18" t="str">
        <f>'Front page'!A11</f>
        <v>EE2-114ng/L</v>
      </c>
      <c r="G4" s="18" t="str">
        <f>'Front page'!A12</f>
        <v>EE2-170.9ng/L</v>
      </c>
      <c r="H4" s="18" t="str">
        <f>'Front page'!A13</f>
        <v>EE2-488ng/L</v>
      </c>
      <c r="I4" s="18" t="str">
        <f>'Front page'!A14</f>
        <v>Amantadine-0.001mg/L</v>
      </c>
      <c r="J4" s="18" t="str">
        <f>'Front page'!A15</f>
        <v>Amantadine-0.01mg/L</v>
      </c>
      <c r="K4" s="18" t="str">
        <f>'Front page'!A16</f>
        <v>Amantadine-0.1mg/L</v>
      </c>
      <c r="L4" s="18" t="str">
        <f>'Front page'!A17</f>
        <v>Amantadine-1mg/L</v>
      </c>
      <c r="M4" s="18" t="str">
        <f>'Front page'!A18</f>
        <v>Amantadine-10mg/L</v>
      </c>
      <c r="N4" s="3"/>
      <c r="O4" s="19" t="str">
        <f>'Front page'!A35</f>
        <v>Testo -30µg/L</v>
      </c>
      <c r="P4" s="19" t="str">
        <f>'Front page'!A36</f>
        <v>Testo 30µg/L + EE2 -64ng/L</v>
      </c>
      <c r="Q4" s="19" t="str">
        <f>'Front page'!A37</f>
        <v>Testo 30µg/L + FAD-10mg/L</v>
      </c>
      <c r="R4" s="19" t="str">
        <f>'Front page'!A38</f>
        <v>Amantadine-0.001mg/L + Testostérone</v>
      </c>
      <c r="S4" s="19" t="str">
        <f>'Front page'!A39</f>
        <v>Amantadine-0.01mg/L + Testostérone</v>
      </c>
      <c r="T4" s="19" t="str">
        <f>'Front page'!A40</f>
        <v>Amantadine-0.1mg/L + Testostérone</v>
      </c>
      <c r="U4" s="19" t="str">
        <f>'Front page'!A41</f>
        <v>Amantadine-1mg/L + Testostérone</v>
      </c>
      <c r="V4" s="19" t="str">
        <f>'Front page'!A42</f>
        <v>Amantadine-10mg/L + Testostérone</v>
      </c>
    </row>
    <row r="5" spans="1:22" x14ac:dyDescent="0.35">
      <c r="A5" s="141" t="s">
        <v>35</v>
      </c>
      <c r="B5" s="15">
        <v>305217</v>
      </c>
      <c r="C5" s="15">
        <v>58590</v>
      </c>
      <c r="D5" s="15">
        <v>95889</v>
      </c>
      <c r="E5" s="15">
        <v>3564799</v>
      </c>
      <c r="F5" s="15">
        <v>1183619</v>
      </c>
      <c r="G5" s="15">
        <v>4632668</v>
      </c>
      <c r="H5" s="15">
        <v>4381135</v>
      </c>
      <c r="I5" s="15">
        <v>37495</v>
      </c>
      <c r="J5" s="15">
        <v>56402</v>
      </c>
      <c r="K5" s="12">
        <v>1847345</v>
      </c>
      <c r="L5" s="12">
        <v>421683</v>
      </c>
      <c r="M5" s="12">
        <v>22840</v>
      </c>
      <c r="N5" s="3"/>
      <c r="O5" s="15">
        <v>4057873</v>
      </c>
      <c r="P5" s="12">
        <v>6265745</v>
      </c>
      <c r="Q5" s="12">
        <v>118416</v>
      </c>
      <c r="R5" s="15">
        <v>156193</v>
      </c>
      <c r="S5" s="15">
        <v>1619929</v>
      </c>
      <c r="T5" s="15">
        <v>245507</v>
      </c>
      <c r="U5" s="15">
        <v>2500297</v>
      </c>
      <c r="V5" s="15">
        <v>5540342</v>
      </c>
    </row>
    <row r="6" spans="1:22" ht="16.5" x14ac:dyDescent="0.35">
      <c r="A6" s="142"/>
      <c r="B6" s="13">
        <v>26943</v>
      </c>
      <c r="C6" s="12">
        <v>803685</v>
      </c>
      <c r="D6" s="15">
        <v>1364889</v>
      </c>
      <c r="E6" s="15">
        <v>1570998</v>
      </c>
      <c r="F6" s="15">
        <v>9359684</v>
      </c>
      <c r="G6" s="15">
        <v>6058316</v>
      </c>
      <c r="H6" s="15">
        <v>6003363</v>
      </c>
      <c r="I6" s="15">
        <v>537998</v>
      </c>
      <c r="J6" s="15">
        <v>156553</v>
      </c>
      <c r="K6" s="12">
        <v>2388856</v>
      </c>
      <c r="L6" s="12">
        <v>68220</v>
      </c>
      <c r="M6" s="12">
        <v>224821</v>
      </c>
      <c r="N6" s="3"/>
      <c r="O6" s="15">
        <v>5299284</v>
      </c>
      <c r="P6" s="12">
        <v>7834906</v>
      </c>
      <c r="Q6" s="12">
        <v>70832</v>
      </c>
      <c r="R6" s="15">
        <v>2584028</v>
      </c>
      <c r="S6" s="15">
        <v>2280913</v>
      </c>
      <c r="T6" s="15">
        <v>2846782</v>
      </c>
      <c r="U6" s="15">
        <v>4725543</v>
      </c>
      <c r="V6" s="15">
        <v>5194749</v>
      </c>
    </row>
    <row r="7" spans="1:22" ht="16.5" x14ac:dyDescent="0.35">
      <c r="A7" s="142"/>
      <c r="B7" s="13">
        <v>544707</v>
      </c>
      <c r="C7" s="12">
        <v>260148</v>
      </c>
      <c r="D7" s="15">
        <v>267311</v>
      </c>
      <c r="E7" s="15">
        <v>1022016</v>
      </c>
      <c r="F7" s="15">
        <v>6028957</v>
      </c>
      <c r="G7" s="15">
        <v>2730310</v>
      </c>
      <c r="H7" s="15">
        <v>10312751</v>
      </c>
      <c r="I7" s="15">
        <v>49266</v>
      </c>
      <c r="J7" s="15">
        <v>19706</v>
      </c>
      <c r="K7" s="12">
        <v>1276951</v>
      </c>
      <c r="L7" s="12">
        <v>13422</v>
      </c>
      <c r="M7" s="12">
        <v>120817</v>
      </c>
      <c r="N7" s="3"/>
      <c r="O7" s="15">
        <v>4340526</v>
      </c>
      <c r="P7" s="12">
        <v>6122385</v>
      </c>
      <c r="Q7" s="12">
        <v>203420</v>
      </c>
      <c r="R7" s="15">
        <v>3147089</v>
      </c>
      <c r="S7" s="15">
        <v>137082</v>
      </c>
      <c r="T7" s="15">
        <v>1329787</v>
      </c>
      <c r="U7" s="15">
        <v>3669618</v>
      </c>
      <c r="V7" s="15">
        <v>3418535</v>
      </c>
    </row>
    <row r="8" spans="1:22" ht="16.5" x14ac:dyDescent="0.35">
      <c r="A8" s="142"/>
      <c r="B8" s="13">
        <v>1147853</v>
      </c>
      <c r="C8" s="12">
        <v>26991</v>
      </c>
      <c r="D8" s="15">
        <v>5725054</v>
      </c>
      <c r="E8" s="15">
        <v>3830520</v>
      </c>
      <c r="F8" s="15">
        <v>3080965</v>
      </c>
      <c r="G8" s="15">
        <v>4479328</v>
      </c>
      <c r="H8" s="15">
        <v>6819276</v>
      </c>
      <c r="I8" s="15">
        <v>62764</v>
      </c>
      <c r="J8" s="15">
        <v>468233</v>
      </c>
      <c r="K8" s="12"/>
      <c r="L8" s="12">
        <v>522435</v>
      </c>
      <c r="M8" s="12">
        <v>313120</v>
      </c>
      <c r="N8" s="3"/>
      <c r="O8" s="15">
        <v>3613929</v>
      </c>
      <c r="P8" s="12">
        <v>7044763</v>
      </c>
      <c r="Q8" s="12">
        <v>330439</v>
      </c>
      <c r="R8" s="15">
        <v>2346546</v>
      </c>
      <c r="S8" s="15">
        <v>4192672</v>
      </c>
      <c r="T8" s="15">
        <v>594810</v>
      </c>
      <c r="U8" s="15">
        <v>829961</v>
      </c>
      <c r="V8" s="15">
        <v>4029363</v>
      </c>
    </row>
    <row r="9" spans="1:22" ht="16.5" x14ac:dyDescent="0.35">
      <c r="A9" s="142"/>
      <c r="B9" s="13">
        <v>67656</v>
      </c>
      <c r="C9" s="12">
        <v>98975</v>
      </c>
      <c r="D9" s="15">
        <v>131205</v>
      </c>
      <c r="E9" s="15">
        <v>393420</v>
      </c>
      <c r="F9" s="15">
        <v>2434121</v>
      </c>
      <c r="G9" s="15">
        <v>4946377</v>
      </c>
      <c r="H9" s="15">
        <v>11599237</v>
      </c>
      <c r="I9" s="15">
        <v>42299</v>
      </c>
      <c r="J9" s="15">
        <v>652245</v>
      </c>
      <c r="K9" s="12"/>
      <c r="L9" s="12">
        <v>128466</v>
      </c>
      <c r="M9" s="12">
        <v>273395</v>
      </c>
      <c r="N9" s="3"/>
      <c r="O9" s="15">
        <v>3124823</v>
      </c>
      <c r="P9" s="12">
        <v>8078230</v>
      </c>
      <c r="Q9" s="12">
        <v>44878</v>
      </c>
      <c r="R9" s="15">
        <v>1254344</v>
      </c>
      <c r="S9" s="15">
        <v>2757066</v>
      </c>
      <c r="T9" s="15">
        <v>1224659</v>
      </c>
      <c r="U9" s="15">
        <v>2343259</v>
      </c>
      <c r="V9" s="15">
        <v>4419984</v>
      </c>
    </row>
    <row r="10" spans="1:22" ht="16.5" x14ac:dyDescent="0.35">
      <c r="A10" s="142"/>
      <c r="B10" s="13">
        <v>566626</v>
      </c>
      <c r="C10" s="12">
        <v>148075</v>
      </c>
      <c r="D10" s="15">
        <v>197768</v>
      </c>
      <c r="E10" s="15">
        <v>523581</v>
      </c>
      <c r="F10" s="15">
        <v>2879141</v>
      </c>
      <c r="G10" s="15">
        <v>4386312</v>
      </c>
      <c r="H10" s="15">
        <v>5877475</v>
      </c>
      <c r="I10" s="15">
        <v>127868</v>
      </c>
      <c r="J10" s="15">
        <v>34504</v>
      </c>
      <c r="K10" s="12"/>
      <c r="L10" s="12">
        <v>113106</v>
      </c>
      <c r="M10" s="12">
        <v>35388</v>
      </c>
      <c r="N10" s="3"/>
      <c r="O10" s="15">
        <v>4113260</v>
      </c>
      <c r="P10" s="12">
        <v>7807673</v>
      </c>
      <c r="Q10" s="12">
        <v>387437</v>
      </c>
      <c r="R10" s="15">
        <v>2702328</v>
      </c>
      <c r="S10" s="15">
        <v>2806794</v>
      </c>
      <c r="T10" s="15">
        <v>1740228</v>
      </c>
      <c r="U10" s="15">
        <v>3647649</v>
      </c>
      <c r="V10" s="15">
        <v>6942896</v>
      </c>
    </row>
    <row r="11" spans="1:22" ht="16.5" x14ac:dyDescent="0.35">
      <c r="A11" s="142"/>
      <c r="B11" s="13">
        <v>248673</v>
      </c>
      <c r="C11" s="12">
        <v>90741</v>
      </c>
      <c r="D11" s="15">
        <v>156354</v>
      </c>
      <c r="E11" s="15">
        <v>1647190</v>
      </c>
      <c r="F11" s="15">
        <v>818764</v>
      </c>
      <c r="G11" s="15">
        <v>5666062</v>
      </c>
      <c r="H11" s="15">
        <v>6872517</v>
      </c>
      <c r="I11" s="15">
        <v>426418</v>
      </c>
      <c r="J11" s="15">
        <v>55427</v>
      </c>
      <c r="K11" s="12"/>
      <c r="L11" s="12">
        <v>49081</v>
      </c>
      <c r="M11" s="12">
        <v>281761</v>
      </c>
      <c r="N11" s="3"/>
      <c r="O11" s="15">
        <v>1382800</v>
      </c>
      <c r="P11" s="12">
        <v>10322436</v>
      </c>
      <c r="Q11" s="12">
        <v>90708</v>
      </c>
      <c r="R11" s="15">
        <v>428864</v>
      </c>
      <c r="S11" s="15">
        <v>2384132</v>
      </c>
      <c r="T11" s="15">
        <v>2533741</v>
      </c>
      <c r="U11" s="15">
        <v>4462821</v>
      </c>
      <c r="V11" s="15">
        <v>2668519</v>
      </c>
    </row>
    <row r="12" spans="1:22" ht="16.5" x14ac:dyDescent="0.35">
      <c r="A12" s="142"/>
      <c r="B12" s="13">
        <v>71293</v>
      </c>
      <c r="C12" s="12">
        <v>389287</v>
      </c>
      <c r="D12" s="15">
        <v>69827</v>
      </c>
      <c r="E12" s="15">
        <v>1270264</v>
      </c>
      <c r="F12" s="15">
        <v>6472030</v>
      </c>
      <c r="G12" s="15">
        <v>2731667</v>
      </c>
      <c r="H12" s="15">
        <v>9989392</v>
      </c>
      <c r="I12" s="15">
        <v>22195</v>
      </c>
      <c r="J12" s="15">
        <v>80679</v>
      </c>
      <c r="K12" s="12"/>
      <c r="L12" s="12">
        <v>186243</v>
      </c>
      <c r="M12" s="12">
        <v>321919</v>
      </c>
      <c r="N12" s="3"/>
      <c r="O12" s="15">
        <v>4220841</v>
      </c>
      <c r="P12" s="12">
        <v>7771367</v>
      </c>
      <c r="Q12" s="12">
        <v>516219</v>
      </c>
      <c r="R12" s="15">
        <v>3245205</v>
      </c>
      <c r="S12" s="15">
        <v>4249879</v>
      </c>
      <c r="T12" s="118">
        <v>4963</v>
      </c>
      <c r="U12" s="15">
        <v>2603469</v>
      </c>
      <c r="V12" s="15">
        <v>4175698</v>
      </c>
    </row>
    <row r="13" spans="1:22" ht="16.5" x14ac:dyDescent="0.35">
      <c r="A13" s="142"/>
      <c r="B13" s="13"/>
      <c r="C13" s="12"/>
      <c r="D13" s="15"/>
      <c r="E13" s="15"/>
      <c r="F13" s="15"/>
      <c r="G13" s="15"/>
      <c r="H13" s="15"/>
      <c r="I13" s="15"/>
      <c r="J13" s="15"/>
      <c r="K13" s="12"/>
      <c r="L13" s="12"/>
      <c r="M13" s="12"/>
      <c r="N13" s="3"/>
      <c r="O13" s="15">
        <v>1898306</v>
      </c>
      <c r="P13" s="12"/>
      <c r="Q13" s="12"/>
      <c r="R13" s="15"/>
      <c r="S13" s="15"/>
      <c r="T13" s="15"/>
      <c r="U13" s="15"/>
      <c r="V13" s="15"/>
    </row>
    <row r="14" spans="1:22" ht="16.5" x14ac:dyDescent="0.35">
      <c r="A14" s="142"/>
      <c r="B14" s="13"/>
      <c r="C14" s="15"/>
      <c r="D14" s="15"/>
      <c r="E14" s="15"/>
      <c r="F14" s="15"/>
      <c r="G14" s="15"/>
      <c r="H14" s="15"/>
      <c r="I14" s="15"/>
      <c r="J14" s="15"/>
      <c r="K14" s="12"/>
      <c r="L14" s="12"/>
      <c r="M14" s="12"/>
      <c r="N14" s="3"/>
      <c r="O14" s="15">
        <v>4872254</v>
      </c>
      <c r="P14" s="12"/>
      <c r="Q14" s="12"/>
      <c r="R14" s="15"/>
      <c r="S14" s="15"/>
      <c r="T14" s="15"/>
      <c r="U14" s="15"/>
      <c r="V14" s="15"/>
    </row>
    <row r="15" spans="1:22" ht="16.5" x14ac:dyDescent="0.35">
      <c r="A15" s="142"/>
      <c r="B15" s="13"/>
      <c r="C15" s="15"/>
      <c r="D15" s="15"/>
      <c r="E15" s="15"/>
      <c r="F15" s="15"/>
      <c r="G15" s="15"/>
      <c r="H15" s="15"/>
      <c r="I15" s="15"/>
      <c r="J15" s="15"/>
      <c r="K15" s="12"/>
      <c r="L15" s="12"/>
      <c r="M15" s="12"/>
      <c r="N15" s="3"/>
      <c r="O15" s="15">
        <v>3383261</v>
      </c>
      <c r="P15" s="12"/>
      <c r="Q15" s="12"/>
      <c r="R15" s="15"/>
      <c r="S15" s="15"/>
      <c r="T15" s="15"/>
      <c r="U15" s="15"/>
      <c r="V15" s="15"/>
    </row>
    <row r="16" spans="1:22" ht="16.5" x14ac:dyDescent="0.35">
      <c r="A16" s="142"/>
      <c r="B16" s="13"/>
      <c r="C16" s="15"/>
      <c r="D16" s="15"/>
      <c r="E16" s="15"/>
      <c r="F16" s="15"/>
      <c r="G16" s="15"/>
      <c r="H16" s="15"/>
      <c r="I16" s="15"/>
      <c r="J16" s="15"/>
      <c r="K16" s="12"/>
      <c r="L16" s="12"/>
      <c r="M16" s="12"/>
      <c r="N16" s="3"/>
      <c r="O16" s="15">
        <v>3712936</v>
      </c>
      <c r="P16" s="12"/>
      <c r="Q16" s="12"/>
      <c r="R16" s="15"/>
      <c r="S16" s="15"/>
      <c r="T16" s="15"/>
      <c r="U16" s="15"/>
      <c r="V16" s="15"/>
    </row>
    <row r="17" spans="1:22" ht="16.5" x14ac:dyDescent="0.35">
      <c r="A17" s="142"/>
      <c r="B17" s="13"/>
      <c r="C17" s="15"/>
      <c r="D17" s="15"/>
      <c r="E17" s="15"/>
      <c r="F17" s="15"/>
      <c r="G17" s="15"/>
      <c r="H17" s="15"/>
      <c r="I17" s="15"/>
      <c r="J17" s="15"/>
      <c r="K17" s="12"/>
      <c r="L17" s="12"/>
      <c r="M17" s="12"/>
      <c r="N17" s="3"/>
      <c r="O17" s="15">
        <v>3079447</v>
      </c>
      <c r="P17" s="12"/>
      <c r="Q17" s="12"/>
      <c r="R17" s="15"/>
      <c r="S17" s="15"/>
      <c r="T17" s="15"/>
      <c r="U17" s="15"/>
      <c r="V17" s="15"/>
    </row>
    <row r="18" spans="1:22" ht="16.5" x14ac:dyDescent="0.35">
      <c r="A18" s="142"/>
      <c r="B18" s="13"/>
      <c r="C18" s="15"/>
      <c r="D18" s="15"/>
      <c r="E18" s="15"/>
      <c r="F18" s="15"/>
      <c r="G18" s="15"/>
      <c r="H18" s="15"/>
      <c r="I18" s="15"/>
      <c r="J18" s="15"/>
      <c r="K18" s="12"/>
      <c r="L18" s="12"/>
      <c r="M18" s="12"/>
      <c r="N18" s="3"/>
      <c r="O18" s="15">
        <v>2169490</v>
      </c>
      <c r="P18" s="12"/>
      <c r="Q18" s="12"/>
      <c r="R18" s="15"/>
      <c r="S18" s="15"/>
      <c r="T18" s="15"/>
      <c r="U18" s="15"/>
      <c r="V18" s="15"/>
    </row>
    <row r="19" spans="1:22" ht="16.5" x14ac:dyDescent="0.35">
      <c r="A19" s="142"/>
      <c r="B19" s="13"/>
      <c r="C19" s="15"/>
      <c r="D19" s="15"/>
      <c r="E19" s="15"/>
      <c r="F19" s="15"/>
      <c r="G19" s="15"/>
      <c r="H19" s="15"/>
      <c r="I19" s="15"/>
      <c r="J19" s="15"/>
      <c r="K19" s="12"/>
      <c r="L19" s="12"/>
      <c r="M19" s="12"/>
      <c r="N19" s="3"/>
      <c r="O19" s="15">
        <v>4834729</v>
      </c>
      <c r="P19" s="12"/>
      <c r="Q19" s="12"/>
      <c r="R19" s="15"/>
      <c r="S19" s="15"/>
      <c r="T19" s="15"/>
      <c r="U19" s="15"/>
      <c r="V19" s="15"/>
    </row>
    <row r="20" spans="1:22" ht="16.5" x14ac:dyDescent="0.35">
      <c r="A20" s="142"/>
      <c r="B20" s="13"/>
      <c r="C20" s="15"/>
      <c r="D20" s="15"/>
      <c r="E20" s="15"/>
      <c r="F20" s="15"/>
      <c r="G20" s="15"/>
      <c r="H20" s="15"/>
      <c r="I20" s="15"/>
      <c r="J20" s="15"/>
      <c r="K20" s="12"/>
      <c r="L20" s="12"/>
      <c r="M20" s="12"/>
      <c r="N20" s="3"/>
      <c r="O20" s="15">
        <v>257941</v>
      </c>
      <c r="P20" s="12"/>
      <c r="Q20" s="12"/>
      <c r="R20" s="15"/>
      <c r="S20" s="15"/>
      <c r="T20" s="15"/>
      <c r="U20" s="15"/>
      <c r="V20" s="15"/>
    </row>
    <row r="21" spans="1:22" x14ac:dyDescent="0.35">
      <c r="A21" s="47"/>
      <c r="B21" s="6"/>
      <c r="C21" s="6"/>
      <c r="D21" s="6"/>
      <c r="E21" s="6"/>
      <c r="F21" s="6"/>
      <c r="G21" s="6"/>
      <c r="H21" s="6"/>
      <c r="I21" s="6"/>
      <c r="J21" s="6"/>
      <c r="N21" s="3"/>
      <c r="O21" s="6"/>
      <c r="R21" s="6"/>
      <c r="S21" s="6"/>
      <c r="T21" s="6"/>
      <c r="U21" s="6"/>
      <c r="V21" s="6"/>
    </row>
    <row r="22" spans="1:22" x14ac:dyDescent="0.35">
      <c r="A22" s="49" t="str">
        <f t="shared" ref="A22" si="0">A4</f>
        <v>Group names</v>
      </c>
      <c r="B22" s="3" t="str">
        <f t="shared" ref="B22:V22" si="1">B4</f>
        <v>Solvent control</v>
      </c>
      <c r="C22" s="3" t="str">
        <f t="shared" si="1"/>
        <v>EE2-33.8ng/L</v>
      </c>
      <c r="D22" s="3" t="str">
        <f t="shared" si="1"/>
        <v>EE2-50.6ng/L</v>
      </c>
      <c r="E22" s="3" t="str">
        <f t="shared" si="1"/>
        <v>EE2-76ng/L</v>
      </c>
      <c r="F22" s="3" t="str">
        <f t="shared" si="1"/>
        <v>EE2-114ng/L</v>
      </c>
      <c r="G22" s="3" t="str">
        <f t="shared" si="1"/>
        <v>EE2-170.9ng/L</v>
      </c>
      <c r="H22" s="3" t="str">
        <f t="shared" si="1"/>
        <v>EE2-488ng/L</v>
      </c>
      <c r="I22" s="3" t="str">
        <f t="shared" si="1"/>
        <v>Amantadine-0.001mg/L</v>
      </c>
      <c r="J22" s="3" t="str">
        <f t="shared" si="1"/>
        <v>Amantadine-0.01mg/L</v>
      </c>
      <c r="K22" s="3" t="str">
        <f t="shared" si="1"/>
        <v>Amantadine-0.1mg/L</v>
      </c>
      <c r="L22" s="3" t="str">
        <f t="shared" si="1"/>
        <v>Amantadine-1mg/L</v>
      </c>
      <c r="M22" s="3" t="str">
        <f t="shared" si="1"/>
        <v>Amantadine-10mg/L</v>
      </c>
      <c r="N22" s="3" t="s">
        <v>11</v>
      </c>
      <c r="O22" s="3" t="str">
        <f t="shared" si="1"/>
        <v>Testo -30µg/L</v>
      </c>
      <c r="P22" s="3" t="str">
        <f t="shared" si="1"/>
        <v>Testo 30µg/L + EE2 -64ng/L</v>
      </c>
      <c r="Q22" s="3" t="str">
        <f t="shared" si="1"/>
        <v>Testo 30µg/L + FAD-10mg/L</v>
      </c>
      <c r="R22" s="3" t="str">
        <f t="shared" si="1"/>
        <v>Amantadine-0.001mg/L + Testostérone</v>
      </c>
      <c r="S22" s="3" t="str">
        <f t="shared" si="1"/>
        <v>Amantadine-0.01mg/L + Testostérone</v>
      </c>
      <c r="T22" s="3" t="str">
        <f t="shared" si="1"/>
        <v>Amantadine-0.1mg/L + Testostérone</v>
      </c>
      <c r="U22" s="3" t="str">
        <f t="shared" si="1"/>
        <v>Amantadine-1mg/L + Testostérone</v>
      </c>
      <c r="V22" s="3" t="str">
        <f t="shared" si="1"/>
        <v>Amantadine-10mg/L + Testostérone</v>
      </c>
    </row>
    <row r="23" spans="1:22" x14ac:dyDescent="0.35">
      <c r="A23" s="4" t="s">
        <v>0</v>
      </c>
      <c r="B23" s="4">
        <f t="shared" ref="B23:J23" si="2">AVERAGE(B5:B20)</f>
        <v>372371</v>
      </c>
      <c r="C23" s="4">
        <f t="shared" si="2"/>
        <v>234561.5</v>
      </c>
      <c r="D23" s="4">
        <f t="shared" si="2"/>
        <v>1001037.125</v>
      </c>
      <c r="E23" s="4">
        <f t="shared" si="2"/>
        <v>1727848.5</v>
      </c>
      <c r="F23" s="4">
        <f t="shared" si="2"/>
        <v>4032160.125</v>
      </c>
      <c r="G23" s="4">
        <f t="shared" si="2"/>
        <v>4453880</v>
      </c>
      <c r="H23" s="4">
        <f t="shared" si="2"/>
        <v>7731893.25</v>
      </c>
      <c r="I23" s="4">
        <f t="shared" si="2"/>
        <v>163287.875</v>
      </c>
      <c r="J23" s="4">
        <f t="shared" si="2"/>
        <v>190468.625</v>
      </c>
      <c r="K23" s="4"/>
      <c r="L23" s="4">
        <f>AVERAGE(L5:L20)</f>
        <v>187832</v>
      </c>
      <c r="M23" s="4"/>
      <c r="N23" s="4" t="s">
        <v>0</v>
      </c>
      <c r="O23" s="4">
        <f t="shared" ref="O23:V23" si="3">AVERAGE(O5:O20)</f>
        <v>3397606.25</v>
      </c>
      <c r="P23" s="4">
        <f t="shared" si="3"/>
        <v>7655938.125</v>
      </c>
      <c r="Q23" s="4">
        <f t="shared" si="3"/>
        <v>220293.625</v>
      </c>
      <c r="R23" s="4">
        <f t="shared" si="3"/>
        <v>1983074.625</v>
      </c>
      <c r="S23" s="4">
        <f t="shared" si="3"/>
        <v>2553558.375</v>
      </c>
      <c r="T23" s="4">
        <f t="shared" si="3"/>
        <v>1315059.625</v>
      </c>
      <c r="U23" s="4">
        <f t="shared" si="3"/>
        <v>3097827.125</v>
      </c>
      <c r="V23" s="4">
        <f t="shared" si="3"/>
        <v>4548760.75</v>
      </c>
    </row>
    <row r="24" spans="1:22" x14ac:dyDescent="0.35">
      <c r="A24" s="3" t="s">
        <v>1</v>
      </c>
      <c r="B24" s="3">
        <f t="shared" ref="B24:J24" si="4">STDEV(B5:B20)</f>
        <v>376342.85008258856</v>
      </c>
      <c r="C24" s="3">
        <f t="shared" si="4"/>
        <v>258869.97253226792</v>
      </c>
      <c r="D24" s="3">
        <f t="shared" si="4"/>
        <v>1956266.9211809253</v>
      </c>
      <c r="E24" s="3">
        <f t="shared" si="4"/>
        <v>1296438.2622731074</v>
      </c>
      <c r="F24" s="3">
        <f t="shared" si="4"/>
        <v>2965292.7804395608</v>
      </c>
      <c r="G24" s="3">
        <f t="shared" si="4"/>
        <v>1210669.3969376727</v>
      </c>
      <c r="H24" s="3">
        <f t="shared" si="4"/>
        <v>2561783.349760015</v>
      </c>
      <c r="I24" s="3">
        <f t="shared" si="4"/>
        <v>201556.47917390833</v>
      </c>
      <c r="J24" s="3">
        <f t="shared" si="4"/>
        <v>237032.07699558153</v>
      </c>
      <c r="K24" s="3"/>
      <c r="L24" s="3">
        <f>STDEV(L5:L20)</f>
        <v>185061.37916455101</v>
      </c>
      <c r="M24" s="3"/>
      <c r="N24" s="3" t="s">
        <v>1</v>
      </c>
      <c r="O24" s="3">
        <f t="shared" ref="O24:V24" si="5">STDEV(O5:O20)</f>
        <v>1375170.1635140043</v>
      </c>
      <c r="P24" s="3">
        <f t="shared" si="5"/>
        <v>1310118.603586325</v>
      </c>
      <c r="Q24" s="3">
        <f t="shared" si="5"/>
        <v>172463.81059468474</v>
      </c>
      <c r="R24" s="3">
        <f t="shared" si="5"/>
        <v>1209639.8417923455</v>
      </c>
      <c r="S24" s="3">
        <f t="shared" si="5"/>
        <v>1335440.1870070447</v>
      </c>
      <c r="T24" s="3">
        <f t="shared" si="5"/>
        <v>1028144.6917569444</v>
      </c>
      <c r="U24" s="3">
        <f t="shared" si="5"/>
        <v>1279282.0625927472</v>
      </c>
      <c r="V24" s="3">
        <f t="shared" si="5"/>
        <v>1329375.2756019058</v>
      </c>
    </row>
    <row r="25" spans="1:22" ht="15" thickBot="1" x14ac:dyDescent="0.4"/>
    <row r="26" spans="1:22" ht="15" thickBot="1" x14ac:dyDescent="0.4">
      <c r="B26" s="145" t="s">
        <v>42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O26" s="145" t="s">
        <v>43</v>
      </c>
      <c r="P26" s="146"/>
      <c r="Q26" s="146"/>
      <c r="R26" s="146"/>
      <c r="S26" s="146"/>
      <c r="T26" s="146"/>
      <c r="U26" s="146"/>
      <c r="V26" s="146"/>
    </row>
    <row r="27" spans="1:22" x14ac:dyDescent="0.35">
      <c r="A27" s="17" t="str">
        <f>A4</f>
        <v>Group names</v>
      </c>
      <c r="B27" s="18" t="str">
        <f>B4</f>
        <v>Solvent control</v>
      </c>
      <c r="C27" s="18" t="str">
        <f t="shared" ref="C27:M27" si="6">C4</f>
        <v>EE2-33.8ng/L</v>
      </c>
      <c r="D27" s="18" t="str">
        <f t="shared" si="6"/>
        <v>EE2-50.6ng/L</v>
      </c>
      <c r="E27" s="18" t="str">
        <f t="shared" si="6"/>
        <v>EE2-76ng/L</v>
      </c>
      <c r="F27" s="18" t="str">
        <f t="shared" si="6"/>
        <v>EE2-114ng/L</v>
      </c>
      <c r="G27" s="18" t="str">
        <f t="shared" si="6"/>
        <v>EE2-170.9ng/L</v>
      </c>
      <c r="H27" s="18" t="str">
        <f t="shared" si="6"/>
        <v>EE2-488ng/L</v>
      </c>
      <c r="I27" s="18" t="str">
        <f t="shared" si="6"/>
        <v>Amantadine-0.001mg/L</v>
      </c>
      <c r="J27" s="18" t="str">
        <f t="shared" si="6"/>
        <v>Amantadine-0.01mg/L</v>
      </c>
      <c r="K27" s="18" t="str">
        <f t="shared" si="6"/>
        <v>Amantadine-0.1mg/L</v>
      </c>
      <c r="L27" s="18" t="str">
        <f t="shared" si="6"/>
        <v>Amantadine-1mg/L</v>
      </c>
      <c r="M27" s="18" t="str">
        <f t="shared" si="6"/>
        <v>Amantadine-10mg/L</v>
      </c>
      <c r="N27" s="3"/>
      <c r="O27" s="19" t="str">
        <f>O4</f>
        <v>Testo -30µg/L</v>
      </c>
      <c r="P27" s="19" t="str">
        <f t="shared" ref="P27:R27" si="7">P4</f>
        <v>Testo 30µg/L + EE2 -64ng/L</v>
      </c>
      <c r="Q27" s="19" t="str">
        <f t="shared" si="7"/>
        <v>Testo 30µg/L + FAD-10mg/L</v>
      </c>
      <c r="R27" s="19" t="str">
        <f t="shared" si="7"/>
        <v>Amantadine-0.001mg/L + Testostérone</v>
      </c>
      <c r="S27" s="19" t="str">
        <f t="shared" ref="S27:V27" si="8">S4</f>
        <v>Amantadine-0.01mg/L + Testostérone</v>
      </c>
      <c r="T27" s="19" t="str">
        <f t="shared" si="8"/>
        <v>Amantadine-0.1mg/L + Testostérone</v>
      </c>
      <c r="U27" s="19" t="str">
        <f t="shared" si="8"/>
        <v>Amantadine-1mg/L + Testostérone</v>
      </c>
      <c r="V27" s="19" t="str">
        <f t="shared" si="8"/>
        <v>Amantadine-10mg/L + Testostérone</v>
      </c>
    </row>
    <row r="28" spans="1:22" ht="14.5" customHeight="1" x14ac:dyDescent="0.35">
      <c r="A28" s="143" t="s">
        <v>36</v>
      </c>
      <c r="B28" s="10">
        <f t="shared" ref="B28:M28" si="9">IF(B5="","",(B5/$O$23))</f>
        <v>8.9832952243951159E-2</v>
      </c>
      <c r="C28" s="10">
        <f t="shared" si="9"/>
        <v>1.7244493825616197E-2</v>
      </c>
      <c r="D28" s="10">
        <f t="shared" si="9"/>
        <v>2.8222516955871507E-2</v>
      </c>
      <c r="E28" s="10">
        <f t="shared" si="9"/>
        <v>1.0492089835306844</v>
      </c>
      <c r="F28" s="10">
        <f t="shared" si="9"/>
        <v>0.34836850208878678</v>
      </c>
      <c r="G28" s="10">
        <f t="shared" si="9"/>
        <v>1.363509382524829</v>
      </c>
      <c r="H28" s="10">
        <f t="shared" si="9"/>
        <v>1.2894769663200378</v>
      </c>
      <c r="I28" s="10">
        <f t="shared" si="9"/>
        <v>1.103571080374602E-2</v>
      </c>
      <c r="J28" s="10">
        <f t="shared" si="9"/>
        <v>1.6600511021546419E-2</v>
      </c>
      <c r="K28" s="10">
        <f t="shared" si="9"/>
        <v>0.54371956726886761</v>
      </c>
      <c r="L28" s="10">
        <f t="shared" si="9"/>
        <v>0.12411179194175311</v>
      </c>
      <c r="M28" s="10">
        <f t="shared" si="9"/>
        <v>6.7223799108563562E-3</v>
      </c>
      <c r="N28" s="5"/>
      <c r="O28" s="10">
        <f t="shared" ref="O28:V37" si="10">IF(O5="","",(O5/$O$23))</f>
        <v>1.1943329218916996</v>
      </c>
      <c r="P28" s="10">
        <f t="shared" si="10"/>
        <v>1.8441645496737593</v>
      </c>
      <c r="Q28" s="10">
        <f t="shared" si="10"/>
        <v>3.4852773184061575E-2</v>
      </c>
      <c r="R28" s="10">
        <f t="shared" si="10"/>
        <v>4.5971483599666678E-2</v>
      </c>
      <c r="S28" s="10">
        <f t="shared" si="10"/>
        <v>0.47678538382721658</v>
      </c>
      <c r="T28" s="10">
        <f t="shared" si="10"/>
        <v>7.2258814569816615E-2</v>
      </c>
      <c r="U28" s="10">
        <f t="shared" si="10"/>
        <v>0.73589957635614778</v>
      </c>
      <c r="V28" s="10">
        <f t="shared" si="10"/>
        <v>1.6306604098105835</v>
      </c>
    </row>
    <row r="29" spans="1:22" x14ac:dyDescent="0.35">
      <c r="A29" s="144"/>
      <c r="B29" s="10">
        <f t="shared" ref="B29:M29" si="11">IF(B6="","",(B6/$O$23))</f>
        <v>7.9299948309195633E-3</v>
      </c>
      <c r="C29" s="10">
        <f t="shared" si="11"/>
        <v>0.23654447892541991</v>
      </c>
      <c r="D29" s="10">
        <f t="shared" si="11"/>
        <v>0.40172077032175224</v>
      </c>
      <c r="E29" s="10">
        <f t="shared" si="11"/>
        <v>0.4623837738702064</v>
      </c>
      <c r="F29" s="10">
        <f t="shared" si="11"/>
        <v>2.7547877273889521</v>
      </c>
      <c r="G29" s="10">
        <f t="shared" si="11"/>
        <v>1.7831130373038371</v>
      </c>
      <c r="H29" s="10">
        <f t="shared" si="11"/>
        <v>1.7669390030113112</v>
      </c>
      <c r="I29" s="10">
        <f t="shared" si="11"/>
        <v>0.15834618858497804</v>
      </c>
      <c r="J29" s="10">
        <f t="shared" si="11"/>
        <v>4.6077440550976144E-2</v>
      </c>
      <c r="K29" s="10">
        <f t="shared" si="11"/>
        <v>0.70309971910370717</v>
      </c>
      <c r="L29" s="10">
        <f t="shared" si="11"/>
        <v>2.007884227314451E-2</v>
      </c>
      <c r="M29" s="10">
        <f t="shared" si="11"/>
        <v>6.6170410417628583E-2</v>
      </c>
      <c r="N29" s="5"/>
      <c r="O29" s="10">
        <f t="shared" si="10"/>
        <v>1.5597110465640331</v>
      </c>
      <c r="P29" s="10">
        <f t="shared" si="10"/>
        <v>2.3060076487674226</v>
      </c>
      <c r="Q29" s="10">
        <f t="shared" si="10"/>
        <v>2.0847618819867665E-2</v>
      </c>
      <c r="R29" s="10">
        <f t="shared" si="10"/>
        <v>0.76054369160640667</v>
      </c>
      <c r="S29" s="10">
        <f t="shared" si="10"/>
        <v>0.67132941022815695</v>
      </c>
      <c r="T29" s="10">
        <f t="shared" si="10"/>
        <v>0.83787872711854117</v>
      </c>
      <c r="U29" s="10">
        <f t="shared" si="10"/>
        <v>1.3908448043383486</v>
      </c>
      <c r="V29" s="10">
        <f t="shared" si="10"/>
        <v>1.5289437968275459</v>
      </c>
    </row>
    <row r="30" spans="1:22" x14ac:dyDescent="0.35">
      <c r="A30" s="144"/>
      <c r="B30" s="10">
        <f t="shared" ref="B30:M30" si="12">IF(B7="","",(B7/$O$23))</f>
        <v>0.1603208141025759</v>
      </c>
      <c r="C30" s="10">
        <f t="shared" si="12"/>
        <v>7.6568024914599797E-2</v>
      </c>
      <c r="D30" s="10">
        <f t="shared" si="12"/>
        <v>7.8676273920793502E-2</v>
      </c>
      <c r="E30" s="10">
        <f t="shared" si="12"/>
        <v>0.30080472097083055</v>
      </c>
      <c r="F30" s="10">
        <f t="shared" si="12"/>
        <v>1.7744719535996851</v>
      </c>
      <c r="G30" s="10">
        <f t="shared" si="12"/>
        <v>0.80359812147155074</v>
      </c>
      <c r="H30" s="10">
        <f t="shared" si="12"/>
        <v>3.0352990432602365</v>
      </c>
      <c r="I30" s="10">
        <f t="shared" si="12"/>
        <v>1.4500208786700931E-2</v>
      </c>
      <c r="J30" s="10">
        <f t="shared" si="12"/>
        <v>5.7999657847344734E-3</v>
      </c>
      <c r="K30" s="10">
        <f t="shared" si="12"/>
        <v>0.3758384303654963</v>
      </c>
      <c r="L30" s="10">
        <f t="shared" si="12"/>
        <v>3.950428334654729E-3</v>
      </c>
      <c r="M30" s="10">
        <f t="shared" si="12"/>
        <v>3.5559447184322787E-2</v>
      </c>
      <c r="N30" s="5"/>
      <c r="O30" s="10">
        <f t="shared" si="10"/>
        <v>1.2775247278874649</v>
      </c>
      <c r="P30" s="10">
        <f t="shared" si="10"/>
        <v>1.8019701370634105</v>
      </c>
      <c r="Q30" s="10">
        <f t="shared" si="10"/>
        <v>5.9871563987145361E-2</v>
      </c>
      <c r="R30" s="10">
        <f t="shared" si="10"/>
        <v>0.92626654427657706</v>
      </c>
      <c r="S30" s="10">
        <f t="shared" si="10"/>
        <v>4.0346641109457577E-2</v>
      </c>
      <c r="T30" s="10">
        <f t="shared" si="10"/>
        <v>0.3913893789193495</v>
      </c>
      <c r="U30" s="10">
        <f t="shared" si="10"/>
        <v>1.0800598215287602</v>
      </c>
      <c r="V30" s="10">
        <f t="shared" si="10"/>
        <v>1.0061598515131058</v>
      </c>
    </row>
    <row r="31" spans="1:22" x14ac:dyDescent="0.35">
      <c r="A31" s="144"/>
      <c r="B31" s="10">
        <f t="shared" ref="B31:M31" si="13">IF(B8="","",(B8/$O$23))</f>
        <v>0.33784167897619094</v>
      </c>
      <c r="C31" s="10">
        <f t="shared" si="13"/>
        <v>7.9441224244274928E-3</v>
      </c>
      <c r="D31" s="10">
        <f t="shared" si="13"/>
        <v>1.6850257442280134</v>
      </c>
      <c r="E31" s="10">
        <f t="shared" si="13"/>
        <v>1.1274172809165277</v>
      </c>
      <c r="F31" s="10">
        <f t="shared" si="13"/>
        <v>0.90680460691994547</v>
      </c>
      <c r="G31" s="10">
        <f t="shared" si="13"/>
        <v>1.3183776077642899</v>
      </c>
      <c r="H31" s="10">
        <f t="shared" si="13"/>
        <v>2.0070824863828762</v>
      </c>
      <c r="I31" s="10">
        <f t="shared" si="13"/>
        <v>1.8473005811076547E-2</v>
      </c>
      <c r="J31" s="10">
        <f t="shared" si="13"/>
        <v>0.13781261439579703</v>
      </c>
      <c r="K31" s="10" t="str">
        <f t="shared" si="13"/>
        <v/>
      </c>
      <c r="L31" s="10">
        <f t="shared" si="13"/>
        <v>0.15376561071489669</v>
      </c>
      <c r="M31" s="10">
        <f t="shared" si="13"/>
        <v>9.2159001650058775E-2</v>
      </c>
      <c r="N31" s="5"/>
      <c r="O31" s="10">
        <f t="shared" si="10"/>
        <v>1.0636691641357794</v>
      </c>
      <c r="P31" s="10">
        <f t="shared" si="10"/>
        <v>2.0734489171604271</v>
      </c>
      <c r="Q31" s="10">
        <f t="shared" si="10"/>
        <v>9.7256413982638512E-2</v>
      </c>
      <c r="R31" s="10">
        <f t="shared" si="10"/>
        <v>0.69064683407619698</v>
      </c>
      <c r="S31" s="10">
        <f t="shared" si="10"/>
        <v>1.2340076193349361</v>
      </c>
      <c r="T31" s="10">
        <f t="shared" si="10"/>
        <v>0.17506737280107135</v>
      </c>
      <c r="U31" s="10">
        <f t="shared" si="10"/>
        <v>0.2442781590715522</v>
      </c>
      <c r="V31" s="10">
        <f t="shared" si="10"/>
        <v>1.1859417199977189</v>
      </c>
    </row>
    <row r="32" spans="1:22" x14ac:dyDescent="0.35">
      <c r="A32" s="144"/>
      <c r="B32" s="10">
        <f t="shared" ref="B32:M32" si="14">IF(B9="","",(B9/$O$23))</f>
        <v>1.9912843049426341E-2</v>
      </c>
      <c r="C32" s="10">
        <f t="shared" si="14"/>
        <v>2.9130803488485461E-2</v>
      </c>
      <c r="D32" s="10">
        <f t="shared" si="14"/>
        <v>3.8616893879330483E-2</v>
      </c>
      <c r="E32" s="10">
        <f t="shared" si="14"/>
        <v>0.11579328828936548</v>
      </c>
      <c r="F32" s="10">
        <f t="shared" si="14"/>
        <v>0.71642233410654932</v>
      </c>
      <c r="G32" s="10">
        <f t="shared" si="14"/>
        <v>1.4558417415202247</v>
      </c>
      <c r="H32" s="10">
        <f t="shared" si="14"/>
        <v>3.4139438612111102</v>
      </c>
      <c r="I32" s="10">
        <f t="shared" si="14"/>
        <v>1.2449647453997943E-2</v>
      </c>
      <c r="J32" s="10">
        <f t="shared" si="14"/>
        <v>0.19197192140790298</v>
      </c>
      <c r="K32" s="10" t="str">
        <f t="shared" si="14"/>
        <v/>
      </c>
      <c r="L32" s="10">
        <f t="shared" si="14"/>
        <v>3.7810738074784273E-2</v>
      </c>
      <c r="M32" s="10">
        <f t="shared" si="14"/>
        <v>8.0466946397923539E-2</v>
      </c>
      <c r="N32" s="5"/>
      <c r="O32" s="10">
        <f t="shared" si="10"/>
        <v>0.91971310683808638</v>
      </c>
      <c r="P32" s="10">
        <f t="shared" si="10"/>
        <v>2.3776239521574931</v>
      </c>
      <c r="Q32" s="10">
        <f t="shared" si="10"/>
        <v>1.3208711280184394E-2</v>
      </c>
      <c r="R32" s="10">
        <f t="shared" si="10"/>
        <v>0.36918462814812636</v>
      </c>
      <c r="S32" s="10">
        <f t="shared" si="10"/>
        <v>0.81147307755276232</v>
      </c>
      <c r="T32" s="10">
        <f t="shared" si="10"/>
        <v>0.3604475945380663</v>
      </c>
      <c r="U32" s="10">
        <f t="shared" si="10"/>
        <v>0.68967938824576858</v>
      </c>
      <c r="V32" s="10">
        <f t="shared" si="10"/>
        <v>1.3009111929906534</v>
      </c>
    </row>
    <row r="33" spans="1:22" x14ac:dyDescent="0.35">
      <c r="A33" s="144"/>
      <c r="B33" s="10">
        <f t="shared" ref="B33:M33" si="15">IF(B10="","",(B10/$O$23))</f>
        <v>0.16677212081299886</v>
      </c>
      <c r="C33" s="10">
        <f t="shared" si="15"/>
        <v>4.3582154347638132E-2</v>
      </c>
      <c r="D33" s="10">
        <f t="shared" si="15"/>
        <v>5.8208039851586686E-2</v>
      </c>
      <c r="E33" s="10">
        <f t="shared" si="15"/>
        <v>0.15410290700989851</v>
      </c>
      <c r="F33" s="10">
        <f t="shared" si="15"/>
        <v>0.84740278541693881</v>
      </c>
      <c r="G33" s="10">
        <f t="shared" si="15"/>
        <v>1.2910006861448409</v>
      </c>
      <c r="H33" s="10">
        <f t="shared" si="15"/>
        <v>1.7298870344378487</v>
      </c>
      <c r="I33" s="10">
        <f t="shared" si="15"/>
        <v>3.7634731805664651E-2</v>
      </c>
      <c r="J33" s="10">
        <f t="shared" si="15"/>
        <v>1.0155385133283176E-2</v>
      </c>
      <c r="K33" s="10" t="str">
        <f t="shared" si="15"/>
        <v/>
      </c>
      <c r="L33" s="10">
        <f t="shared" si="15"/>
        <v>3.3289908152246896E-2</v>
      </c>
      <c r="M33" s="10">
        <f t="shared" si="15"/>
        <v>1.0415568313720874E-2</v>
      </c>
      <c r="N33" s="5"/>
      <c r="O33" s="10">
        <f t="shared" si="10"/>
        <v>1.2106346931755261</v>
      </c>
      <c r="P33" s="10">
        <f t="shared" si="10"/>
        <v>2.2979922997257258</v>
      </c>
      <c r="Q33" s="10">
        <f t="shared" si="10"/>
        <v>0.11403234262357505</v>
      </c>
      <c r="R33" s="10">
        <f t="shared" si="10"/>
        <v>0.79536232310615751</v>
      </c>
      <c r="S33" s="10">
        <f t="shared" si="10"/>
        <v>0.82610926442697707</v>
      </c>
      <c r="T33" s="10">
        <f t="shared" si="10"/>
        <v>0.51219237073159962</v>
      </c>
      <c r="U33" s="10">
        <f t="shared" si="10"/>
        <v>1.0735937985750998</v>
      </c>
      <c r="V33" s="10">
        <f t="shared" si="10"/>
        <v>2.0434669261630889</v>
      </c>
    </row>
    <row r="34" spans="1:22" x14ac:dyDescent="0.35">
      <c r="A34" s="144"/>
      <c r="B34" s="10">
        <f t="shared" ref="B34:M34" si="16">IF(B11="","",(B11/$O$23))</f>
        <v>7.3190647091610453E-2</v>
      </c>
      <c r="C34" s="10">
        <f t="shared" si="16"/>
        <v>2.670733255214609E-2</v>
      </c>
      <c r="D34" s="10">
        <f t="shared" si="16"/>
        <v>4.6018869902891189E-2</v>
      </c>
      <c r="E34" s="10">
        <f t="shared" si="16"/>
        <v>0.48480897396512618</v>
      </c>
      <c r="F34" s="10">
        <f t="shared" si="16"/>
        <v>0.24098260356096296</v>
      </c>
      <c r="G34" s="10">
        <f t="shared" si="16"/>
        <v>1.6676629318067684</v>
      </c>
      <c r="H34" s="10">
        <f t="shared" si="16"/>
        <v>2.0227526365069526</v>
      </c>
      <c r="I34" s="10">
        <f t="shared" si="16"/>
        <v>0.1255054201763374</v>
      </c>
      <c r="J34" s="10">
        <f t="shared" si="16"/>
        <v>1.6313544278416605E-2</v>
      </c>
      <c r="K34" s="10" t="str">
        <f t="shared" si="16"/>
        <v/>
      </c>
      <c r="L34" s="10">
        <f t="shared" si="16"/>
        <v>1.4445758686722453E-2</v>
      </c>
      <c r="M34" s="10">
        <f t="shared" si="16"/>
        <v>8.292926821640971E-2</v>
      </c>
      <c r="N34" s="5"/>
      <c r="O34" s="10">
        <f t="shared" si="10"/>
        <v>0.40699242297426313</v>
      </c>
      <c r="P34" s="10">
        <f t="shared" si="10"/>
        <v>3.0381495795753262</v>
      </c>
      <c r="Q34" s="10">
        <f t="shared" si="10"/>
        <v>2.6697619831609388E-2</v>
      </c>
      <c r="R34" s="10">
        <f t="shared" si="10"/>
        <v>0.12622533879551229</v>
      </c>
      <c r="S34" s="10">
        <f t="shared" si="10"/>
        <v>0.70170932844263512</v>
      </c>
      <c r="T34" s="10">
        <f t="shared" si="10"/>
        <v>0.74574297713279758</v>
      </c>
      <c r="U34" s="10">
        <f t="shared" si="10"/>
        <v>1.3135191872218861</v>
      </c>
      <c r="V34" s="10">
        <f t="shared" si="10"/>
        <v>0.78541149375387453</v>
      </c>
    </row>
    <row r="35" spans="1:22" x14ac:dyDescent="0.35">
      <c r="A35" s="144"/>
      <c r="B35" s="10">
        <f t="shared" ref="B35:M35" si="17">IF(B12="","",(B12/$O$23))</f>
        <v>2.0983302582516735E-2</v>
      </c>
      <c r="C35" s="10">
        <f t="shared" si="17"/>
        <v>0.11457684362335983</v>
      </c>
      <c r="D35" s="10">
        <f t="shared" si="17"/>
        <v>2.0551822330795395E-2</v>
      </c>
      <c r="E35" s="10">
        <f t="shared" si="17"/>
        <v>0.37387027999492289</v>
      </c>
      <c r="F35" s="10">
        <f t="shared" si="17"/>
        <v>1.9048793543984093</v>
      </c>
      <c r="G35" s="10">
        <f t="shared" si="17"/>
        <v>0.80399752031301452</v>
      </c>
      <c r="H35" s="10">
        <f t="shared" si="17"/>
        <v>2.9401264493200174</v>
      </c>
      <c r="I35" s="10">
        <f t="shared" si="17"/>
        <v>6.5325403730935568E-3</v>
      </c>
      <c r="J35" s="10">
        <f t="shared" si="17"/>
        <v>2.3745835763046411E-2</v>
      </c>
      <c r="K35" s="10" t="str">
        <f t="shared" si="17"/>
        <v/>
      </c>
      <c r="L35" s="10">
        <f t="shared" si="17"/>
        <v>5.4815945785359914E-2</v>
      </c>
      <c r="M35" s="10">
        <f t="shared" si="17"/>
        <v>9.4748766134981066E-2</v>
      </c>
      <c r="N35" s="5"/>
      <c r="O35" s="10">
        <f t="shared" si="10"/>
        <v>1.2422984564500374</v>
      </c>
      <c r="P35" s="10">
        <f t="shared" si="10"/>
        <v>2.2873065411861662</v>
      </c>
      <c r="Q35" s="10">
        <f t="shared" si="10"/>
        <v>0.15193608735561986</v>
      </c>
      <c r="R35" s="10">
        <f t="shared" si="10"/>
        <v>0.9551445227062435</v>
      </c>
      <c r="S35" s="10">
        <f t="shared" si="10"/>
        <v>1.2508450618726052</v>
      </c>
      <c r="T35" s="10">
        <f t="shared" si="10"/>
        <v>1.4607343037469395E-3</v>
      </c>
      <c r="U35" s="10">
        <f t="shared" si="10"/>
        <v>0.76626566130198281</v>
      </c>
      <c r="V35" s="10">
        <f t="shared" si="10"/>
        <v>1.2290117490806947</v>
      </c>
    </row>
    <row r="36" spans="1:22" x14ac:dyDescent="0.35">
      <c r="A36" s="144"/>
      <c r="B36" s="10" t="str">
        <f t="shared" ref="B36:M36" si="18">IF(B13="","",(B13/$O$23))</f>
        <v/>
      </c>
      <c r="C36" s="10" t="str">
        <f t="shared" si="18"/>
        <v/>
      </c>
      <c r="D36" s="10" t="str">
        <f t="shared" si="18"/>
        <v/>
      </c>
      <c r="E36" s="10" t="str">
        <f t="shared" si="18"/>
        <v/>
      </c>
      <c r="F36" s="10" t="str">
        <f t="shared" si="18"/>
        <v/>
      </c>
      <c r="G36" s="10" t="str">
        <f t="shared" si="18"/>
        <v/>
      </c>
      <c r="H36" s="10" t="str">
        <f t="shared" si="18"/>
        <v/>
      </c>
      <c r="I36" s="10" t="str">
        <f t="shared" si="18"/>
        <v/>
      </c>
      <c r="J36" s="10" t="str">
        <f t="shared" si="18"/>
        <v/>
      </c>
      <c r="K36" s="10" t="str">
        <f t="shared" si="18"/>
        <v/>
      </c>
      <c r="L36" s="10" t="str">
        <f t="shared" si="18"/>
        <v/>
      </c>
      <c r="M36" s="10" t="str">
        <f t="shared" si="18"/>
        <v/>
      </c>
      <c r="N36" s="5"/>
      <c r="O36" s="10">
        <f t="shared" si="10"/>
        <v>0.55871865670131726</v>
      </c>
      <c r="P36" s="10" t="str">
        <f t="shared" si="10"/>
        <v/>
      </c>
      <c r="Q36" s="10" t="str">
        <f t="shared" si="10"/>
        <v/>
      </c>
      <c r="R36" s="10" t="str">
        <f t="shared" si="10"/>
        <v/>
      </c>
      <c r="S36" s="10" t="str">
        <f t="shared" si="10"/>
        <v/>
      </c>
      <c r="T36" s="10" t="str">
        <f t="shared" si="10"/>
        <v/>
      </c>
      <c r="U36" s="10" t="str">
        <f t="shared" si="10"/>
        <v/>
      </c>
      <c r="V36" s="10" t="str">
        <f t="shared" si="10"/>
        <v/>
      </c>
    </row>
    <row r="37" spans="1:22" x14ac:dyDescent="0.35">
      <c r="A37" s="144"/>
      <c r="B37" s="10" t="str">
        <f t="shared" ref="B37:M37" si="19">IF(B14="","",(B14/$O$23))</f>
        <v/>
      </c>
      <c r="C37" s="10" t="str">
        <f t="shared" si="19"/>
        <v/>
      </c>
      <c r="D37" s="10" t="str">
        <f t="shared" si="19"/>
        <v/>
      </c>
      <c r="E37" s="10" t="str">
        <f t="shared" si="19"/>
        <v/>
      </c>
      <c r="F37" s="10" t="str">
        <f t="shared" si="19"/>
        <v/>
      </c>
      <c r="G37" s="10" t="str">
        <f t="shared" si="19"/>
        <v/>
      </c>
      <c r="H37" s="10" t="str">
        <f t="shared" si="19"/>
        <v/>
      </c>
      <c r="I37" s="10" t="str">
        <f t="shared" si="19"/>
        <v/>
      </c>
      <c r="J37" s="10" t="str">
        <f t="shared" si="19"/>
        <v/>
      </c>
      <c r="K37" s="10" t="str">
        <f t="shared" si="19"/>
        <v/>
      </c>
      <c r="L37" s="10" t="str">
        <f t="shared" si="19"/>
        <v/>
      </c>
      <c r="M37" s="10" t="str">
        <f t="shared" si="19"/>
        <v/>
      </c>
      <c r="N37" s="5"/>
      <c r="O37" s="10">
        <f t="shared" si="10"/>
        <v>1.4340254995704695</v>
      </c>
      <c r="P37" s="10" t="str">
        <f t="shared" si="10"/>
        <v/>
      </c>
      <c r="Q37" s="10" t="str">
        <f t="shared" si="10"/>
        <v/>
      </c>
      <c r="R37" s="10" t="str">
        <f t="shared" si="10"/>
        <v/>
      </c>
      <c r="S37" s="10" t="str">
        <f t="shared" si="10"/>
        <v/>
      </c>
      <c r="T37" s="10" t="str">
        <f t="shared" si="10"/>
        <v/>
      </c>
      <c r="U37" s="10" t="str">
        <f t="shared" si="10"/>
        <v/>
      </c>
      <c r="V37" s="10" t="str">
        <f t="shared" si="10"/>
        <v/>
      </c>
    </row>
    <row r="38" spans="1:22" x14ac:dyDescent="0.35">
      <c r="A38" s="144"/>
      <c r="B38" s="10" t="str">
        <f t="shared" ref="B38:M38" si="20">IF(B15="","",(B15/$O$23))</f>
        <v/>
      </c>
      <c r="C38" s="10" t="str">
        <f t="shared" si="20"/>
        <v/>
      </c>
      <c r="D38" s="10" t="str">
        <f t="shared" si="20"/>
        <v/>
      </c>
      <c r="E38" s="10" t="str">
        <f t="shared" si="20"/>
        <v/>
      </c>
      <c r="F38" s="10" t="str">
        <f t="shared" si="20"/>
        <v/>
      </c>
      <c r="G38" s="10" t="str">
        <f t="shared" si="20"/>
        <v/>
      </c>
      <c r="H38" s="10" t="str">
        <f t="shared" si="20"/>
        <v/>
      </c>
      <c r="I38" s="10" t="str">
        <f t="shared" si="20"/>
        <v/>
      </c>
      <c r="J38" s="10" t="str">
        <f t="shared" si="20"/>
        <v/>
      </c>
      <c r="K38" s="10" t="str">
        <f t="shared" si="20"/>
        <v/>
      </c>
      <c r="L38" s="10" t="str">
        <f t="shared" si="20"/>
        <v/>
      </c>
      <c r="M38" s="10" t="str">
        <f t="shared" si="20"/>
        <v/>
      </c>
      <c r="N38" s="5"/>
      <c r="O38" s="10">
        <f t="shared" ref="O38:V43" si="21">IF(O15="","",(O15/$O$23))</f>
        <v>0.99577783623396621</v>
      </c>
      <c r="P38" s="10" t="str">
        <f t="shared" si="21"/>
        <v/>
      </c>
      <c r="Q38" s="10" t="str">
        <f t="shared" si="21"/>
        <v/>
      </c>
      <c r="R38" s="10" t="str">
        <f t="shared" si="21"/>
        <v/>
      </c>
      <c r="S38" s="10" t="str">
        <f t="shared" si="21"/>
        <v/>
      </c>
      <c r="T38" s="10" t="str">
        <f t="shared" si="21"/>
        <v/>
      </c>
      <c r="U38" s="10" t="str">
        <f t="shared" si="21"/>
        <v/>
      </c>
      <c r="V38" s="10" t="str">
        <f t="shared" si="21"/>
        <v/>
      </c>
    </row>
    <row r="39" spans="1:22" x14ac:dyDescent="0.35">
      <c r="A39" s="144"/>
      <c r="B39" s="10" t="str">
        <f t="shared" ref="B39:M39" si="22">IF(B16="","",(B16/$O$23))</f>
        <v/>
      </c>
      <c r="C39" s="10" t="str">
        <f t="shared" si="22"/>
        <v/>
      </c>
      <c r="D39" s="10" t="str">
        <f t="shared" si="22"/>
        <v/>
      </c>
      <c r="E39" s="10" t="str">
        <f t="shared" si="22"/>
        <v/>
      </c>
      <c r="F39" s="10" t="str">
        <f t="shared" si="22"/>
        <v/>
      </c>
      <c r="G39" s="10" t="str">
        <f t="shared" si="22"/>
        <v/>
      </c>
      <c r="H39" s="10" t="str">
        <f t="shared" si="22"/>
        <v/>
      </c>
      <c r="I39" s="10" t="str">
        <f t="shared" si="22"/>
        <v/>
      </c>
      <c r="J39" s="10" t="str">
        <f t="shared" si="22"/>
        <v/>
      </c>
      <c r="K39" s="10" t="str">
        <f t="shared" si="22"/>
        <v/>
      </c>
      <c r="L39" s="10" t="str">
        <f t="shared" si="22"/>
        <v/>
      </c>
      <c r="M39" s="10" t="str">
        <f t="shared" si="22"/>
        <v/>
      </c>
      <c r="N39" s="5"/>
      <c r="O39" s="10">
        <f t="shared" si="21"/>
        <v>1.0928093860199368</v>
      </c>
      <c r="P39" s="10" t="str">
        <f t="shared" si="21"/>
        <v/>
      </c>
      <c r="Q39" s="10" t="str">
        <f t="shared" si="21"/>
        <v/>
      </c>
      <c r="R39" s="10" t="str">
        <f t="shared" si="21"/>
        <v/>
      </c>
      <c r="S39" s="10" t="str">
        <f t="shared" si="21"/>
        <v/>
      </c>
      <c r="T39" s="10" t="str">
        <f t="shared" si="21"/>
        <v/>
      </c>
      <c r="U39" s="10" t="str">
        <f t="shared" si="21"/>
        <v/>
      </c>
      <c r="V39" s="10" t="str">
        <f t="shared" si="21"/>
        <v/>
      </c>
    </row>
    <row r="40" spans="1:22" x14ac:dyDescent="0.35">
      <c r="A40" s="144"/>
      <c r="B40" s="10" t="str">
        <f t="shared" ref="B40:M40" si="23">IF(B17="","",(B17/$O$23))</f>
        <v/>
      </c>
      <c r="C40" s="10" t="str">
        <f t="shared" si="23"/>
        <v/>
      </c>
      <c r="D40" s="10" t="str">
        <f t="shared" si="23"/>
        <v/>
      </c>
      <c r="E40" s="10" t="str">
        <f t="shared" si="23"/>
        <v/>
      </c>
      <c r="F40" s="10" t="str">
        <f t="shared" si="23"/>
        <v/>
      </c>
      <c r="G40" s="10" t="str">
        <f t="shared" si="23"/>
        <v/>
      </c>
      <c r="H40" s="10" t="str">
        <f t="shared" si="23"/>
        <v/>
      </c>
      <c r="I40" s="10" t="str">
        <f t="shared" si="23"/>
        <v/>
      </c>
      <c r="J40" s="10" t="str">
        <f t="shared" si="23"/>
        <v/>
      </c>
      <c r="K40" s="10" t="str">
        <f t="shared" si="23"/>
        <v/>
      </c>
      <c r="L40" s="10" t="str">
        <f t="shared" si="23"/>
        <v/>
      </c>
      <c r="M40" s="10" t="str">
        <f t="shared" si="23"/>
        <v/>
      </c>
      <c r="N40" s="5"/>
      <c r="O40" s="10">
        <f t="shared" si="21"/>
        <v>0.90635782177525726</v>
      </c>
      <c r="P40" s="10" t="str">
        <f t="shared" si="21"/>
        <v/>
      </c>
      <c r="Q40" s="10" t="str">
        <f t="shared" si="21"/>
        <v/>
      </c>
      <c r="R40" s="10" t="str">
        <f t="shared" si="21"/>
        <v/>
      </c>
      <c r="S40" s="10" t="str">
        <f t="shared" si="21"/>
        <v/>
      </c>
      <c r="T40" s="10" t="str">
        <f t="shared" si="21"/>
        <v/>
      </c>
      <c r="U40" s="10" t="str">
        <f t="shared" si="21"/>
        <v/>
      </c>
      <c r="V40" s="10" t="str">
        <f t="shared" si="21"/>
        <v/>
      </c>
    </row>
    <row r="41" spans="1:22" x14ac:dyDescent="0.35">
      <c r="A41" s="144"/>
      <c r="B41" s="10" t="str">
        <f t="shared" ref="B41:M41" si="24">IF(B18="","",(B18/$O$23))</f>
        <v/>
      </c>
      <c r="C41" s="10" t="str">
        <f t="shared" si="24"/>
        <v/>
      </c>
      <c r="D41" s="10" t="str">
        <f t="shared" si="24"/>
        <v/>
      </c>
      <c r="E41" s="10" t="str">
        <f t="shared" si="24"/>
        <v/>
      </c>
      <c r="F41" s="10" t="str">
        <f t="shared" si="24"/>
        <v/>
      </c>
      <c r="G41" s="10" t="str">
        <f t="shared" si="24"/>
        <v/>
      </c>
      <c r="H41" s="10" t="str">
        <f t="shared" si="24"/>
        <v/>
      </c>
      <c r="I41" s="10" t="str">
        <f t="shared" si="24"/>
        <v/>
      </c>
      <c r="J41" s="10" t="str">
        <f t="shared" si="24"/>
        <v/>
      </c>
      <c r="K41" s="10" t="str">
        <f t="shared" si="24"/>
        <v/>
      </c>
      <c r="L41" s="10" t="str">
        <f t="shared" si="24"/>
        <v/>
      </c>
      <c r="M41" s="10" t="str">
        <f t="shared" si="24"/>
        <v/>
      </c>
      <c r="N41" s="5"/>
      <c r="O41" s="10">
        <f t="shared" si="21"/>
        <v>0.63853485082328187</v>
      </c>
      <c r="P41" s="10" t="str">
        <f t="shared" si="21"/>
        <v/>
      </c>
      <c r="Q41" s="10" t="str">
        <f t="shared" si="21"/>
        <v/>
      </c>
      <c r="R41" s="10" t="str">
        <f t="shared" si="21"/>
        <v/>
      </c>
      <c r="S41" s="10" t="str">
        <f t="shared" si="21"/>
        <v/>
      </c>
      <c r="T41" s="10" t="str">
        <f t="shared" si="21"/>
        <v/>
      </c>
      <c r="U41" s="10" t="str">
        <f t="shared" si="21"/>
        <v/>
      </c>
      <c r="V41" s="10" t="str">
        <f t="shared" si="21"/>
        <v/>
      </c>
    </row>
    <row r="42" spans="1:22" x14ac:dyDescent="0.35">
      <c r="A42" s="144"/>
      <c r="B42" s="10" t="str">
        <f t="shared" ref="B42:M42" si="25">IF(B19="","",(B19/$O$23))</f>
        <v/>
      </c>
      <c r="C42" s="10" t="str">
        <f t="shared" si="25"/>
        <v/>
      </c>
      <c r="D42" s="10" t="str">
        <f t="shared" si="25"/>
        <v/>
      </c>
      <c r="E42" s="10" t="str">
        <f t="shared" si="25"/>
        <v/>
      </c>
      <c r="F42" s="10" t="str">
        <f t="shared" si="25"/>
        <v/>
      </c>
      <c r="G42" s="10" t="str">
        <f t="shared" si="25"/>
        <v/>
      </c>
      <c r="H42" s="10" t="str">
        <f t="shared" si="25"/>
        <v/>
      </c>
      <c r="I42" s="10" t="str">
        <f t="shared" si="25"/>
        <v/>
      </c>
      <c r="J42" s="10" t="str">
        <f t="shared" si="25"/>
        <v/>
      </c>
      <c r="K42" s="10" t="str">
        <f t="shared" si="25"/>
        <v/>
      </c>
      <c r="L42" s="10" t="str">
        <f t="shared" si="25"/>
        <v/>
      </c>
      <c r="M42" s="10" t="str">
        <f t="shared" si="25"/>
        <v/>
      </c>
      <c r="N42" s="5"/>
      <c r="O42" s="10">
        <f t="shared" si="21"/>
        <v>1.4229809590207811</v>
      </c>
      <c r="P42" s="10" t="str">
        <f t="shared" si="21"/>
        <v/>
      </c>
      <c r="Q42" s="10" t="str">
        <f t="shared" si="21"/>
        <v/>
      </c>
      <c r="R42" s="10" t="str">
        <f t="shared" si="21"/>
        <v/>
      </c>
      <c r="S42" s="10" t="str">
        <f t="shared" si="21"/>
        <v/>
      </c>
      <c r="T42" s="10" t="str">
        <f t="shared" si="21"/>
        <v/>
      </c>
      <c r="U42" s="10" t="str">
        <f t="shared" si="21"/>
        <v/>
      </c>
      <c r="V42" s="10" t="str">
        <f t="shared" si="21"/>
        <v/>
      </c>
    </row>
    <row r="43" spans="1:22" x14ac:dyDescent="0.35">
      <c r="A43" s="144"/>
      <c r="B43" s="10" t="str">
        <f t="shared" ref="B43:M43" si="26">IF(B20="","",(B20/$O$23))</f>
        <v/>
      </c>
      <c r="C43" s="10" t="str">
        <f t="shared" si="26"/>
        <v/>
      </c>
      <c r="D43" s="10" t="str">
        <f t="shared" si="26"/>
        <v/>
      </c>
      <c r="E43" s="10" t="str">
        <f t="shared" si="26"/>
        <v/>
      </c>
      <c r="F43" s="10" t="str">
        <f t="shared" si="26"/>
        <v/>
      </c>
      <c r="G43" s="10" t="str">
        <f t="shared" si="26"/>
        <v/>
      </c>
      <c r="H43" s="10" t="str">
        <f t="shared" si="26"/>
        <v/>
      </c>
      <c r="I43" s="10" t="str">
        <f t="shared" si="26"/>
        <v/>
      </c>
      <c r="J43" s="10" t="str">
        <f t="shared" si="26"/>
        <v/>
      </c>
      <c r="K43" s="10" t="str">
        <f t="shared" si="26"/>
        <v/>
      </c>
      <c r="L43" s="10" t="str">
        <f t="shared" si="26"/>
        <v/>
      </c>
      <c r="M43" s="10" t="str">
        <f t="shared" si="26"/>
        <v/>
      </c>
      <c r="N43" s="5"/>
      <c r="O43" s="10">
        <f t="shared" si="21"/>
        <v>7.5918449938099805E-2</v>
      </c>
      <c r="P43" s="10" t="str">
        <f t="shared" si="21"/>
        <v/>
      </c>
      <c r="Q43" s="10" t="str">
        <f t="shared" si="21"/>
        <v/>
      </c>
      <c r="R43" s="10" t="str">
        <f t="shared" si="21"/>
        <v/>
      </c>
      <c r="S43" s="10" t="str">
        <f t="shared" si="21"/>
        <v/>
      </c>
      <c r="T43" s="10" t="str">
        <f t="shared" si="21"/>
        <v/>
      </c>
      <c r="U43" s="10" t="str">
        <f t="shared" si="21"/>
        <v/>
      </c>
      <c r="V43" s="10" t="str">
        <f t="shared" si="21"/>
        <v/>
      </c>
    </row>
    <row r="44" spans="1:22" x14ac:dyDescent="0.35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6"/>
      <c r="O44" s="3"/>
      <c r="P44" s="3"/>
      <c r="Q44" s="3"/>
      <c r="R44" s="3"/>
      <c r="S44" s="3"/>
      <c r="T44" s="3"/>
      <c r="U44" s="3"/>
      <c r="V44" s="3"/>
    </row>
    <row r="45" spans="1:22" x14ac:dyDescent="0.35">
      <c r="A45" s="51" t="str">
        <f t="shared" ref="A45" si="27">A4</f>
        <v>Group names</v>
      </c>
      <c r="B45" s="6" t="str">
        <f t="shared" ref="B45:R45" si="28">B4</f>
        <v>Solvent control</v>
      </c>
      <c r="C45" s="6" t="str">
        <f t="shared" si="28"/>
        <v>EE2-33.8ng/L</v>
      </c>
      <c r="D45" s="6" t="str">
        <f t="shared" si="28"/>
        <v>EE2-50.6ng/L</v>
      </c>
      <c r="E45" s="6" t="str">
        <f t="shared" si="28"/>
        <v>EE2-76ng/L</v>
      </c>
      <c r="F45" s="6" t="str">
        <f t="shared" si="28"/>
        <v>EE2-114ng/L</v>
      </c>
      <c r="G45" s="6" t="str">
        <f t="shared" si="28"/>
        <v>EE2-170.9ng/L</v>
      </c>
      <c r="H45" s="6" t="str">
        <f t="shared" si="28"/>
        <v>EE2-488ng/L</v>
      </c>
      <c r="I45" s="6" t="str">
        <f t="shared" si="28"/>
        <v>Amantadine-0.001mg/L</v>
      </c>
      <c r="J45" s="6" t="str">
        <f t="shared" si="28"/>
        <v>Amantadine-0.01mg/L</v>
      </c>
      <c r="K45" s="6" t="str">
        <f t="shared" ref="K45:M45" si="29">K4</f>
        <v>Amantadine-0.1mg/L</v>
      </c>
      <c r="L45" s="6" t="str">
        <f t="shared" si="29"/>
        <v>Amantadine-1mg/L</v>
      </c>
      <c r="M45" s="6" t="str">
        <f t="shared" si="29"/>
        <v>Amantadine-10mg/L</v>
      </c>
      <c r="N45" s="6"/>
      <c r="O45" s="6" t="str">
        <f t="shared" si="28"/>
        <v>Testo -30µg/L</v>
      </c>
      <c r="P45" s="6" t="str">
        <f t="shared" si="28"/>
        <v>Testo 30µg/L + EE2 -64ng/L</v>
      </c>
      <c r="Q45" s="6" t="str">
        <f t="shared" si="28"/>
        <v>Testo 30µg/L + FAD-10mg/L</v>
      </c>
      <c r="R45" s="6" t="str">
        <f t="shared" si="28"/>
        <v>Amantadine-0.001mg/L + Testostérone</v>
      </c>
      <c r="S45" s="6" t="str">
        <f t="shared" ref="S45:V45" si="30">S4</f>
        <v>Amantadine-0.01mg/L + Testostérone</v>
      </c>
      <c r="T45" s="6" t="str">
        <f t="shared" si="30"/>
        <v>Amantadine-0.1mg/L + Testostérone</v>
      </c>
      <c r="U45" s="6" t="str">
        <f t="shared" si="30"/>
        <v>Amantadine-1mg/L + Testostérone</v>
      </c>
      <c r="V45" s="6" t="str">
        <f t="shared" si="30"/>
        <v>Amantadine-10mg/L + Testostérone</v>
      </c>
    </row>
    <row r="46" spans="1:22" x14ac:dyDescent="0.35">
      <c r="A46" s="7" t="s">
        <v>0</v>
      </c>
      <c r="B46" s="9">
        <f t="shared" ref="B46:H46" si="31">AVERAGE(B28:B43)</f>
        <v>0.10959804421127374</v>
      </c>
      <c r="C46" s="9">
        <f t="shared" si="31"/>
        <v>6.9037281762711608E-2</v>
      </c>
      <c r="D46" s="9">
        <f t="shared" si="31"/>
        <v>0.29463011642387926</v>
      </c>
      <c r="E46" s="9">
        <f t="shared" si="31"/>
        <v>0.50854877606844517</v>
      </c>
      <c r="F46" s="9">
        <f t="shared" si="31"/>
        <v>1.1867649834350287</v>
      </c>
      <c r="G46" s="9">
        <f t="shared" si="31"/>
        <v>1.3108876286061695</v>
      </c>
      <c r="H46" s="9">
        <f t="shared" si="31"/>
        <v>2.2756884350562987</v>
      </c>
      <c r="I46" s="9">
        <f>AVERAGE(I28:I43)</f>
        <v>4.8059681724449375E-2</v>
      </c>
      <c r="J46" s="8">
        <f>AVERAGE(J28:J43)</f>
        <v>5.60596522919629E-2</v>
      </c>
      <c r="K46" s="8">
        <f t="shared" ref="K46:M46" si="32">AVERAGE(K28:K43)</f>
        <v>0.54088590557935701</v>
      </c>
      <c r="L46" s="8">
        <f t="shared" si="32"/>
        <v>5.5283627995445318E-2</v>
      </c>
      <c r="M46" s="8">
        <f t="shared" si="32"/>
        <v>5.8646473528237708E-2</v>
      </c>
      <c r="N46" s="7" t="s">
        <v>0</v>
      </c>
      <c r="O46" s="9">
        <f t="shared" ref="O46:R46" si="33">AVERAGE(O28:O43)</f>
        <v>1</v>
      </c>
      <c r="P46" s="9">
        <f t="shared" si="33"/>
        <v>2.2533329531637163</v>
      </c>
      <c r="Q46" s="9">
        <f t="shared" si="33"/>
        <v>6.4837891383087737E-2</v>
      </c>
      <c r="R46" s="9">
        <f t="shared" si="33"/>
        <v>0.58366817078936095</v>
      </c>
      <c r="S46" s="9">
        <f t="shared" ref="S46:V46" si="34">AVERAGE(S28:S43)</f>
        <v>0.75157572334934342</v>
      </c>
      <c r="T46" s="9">
        <f t="shared" si="34"/>
        <v>0.38705474626437369</v>
      </c>
      <c r="U46" s="9">
        <f t="shared" si="34"/>
        <v>0.91176754957994333</v>
      </c>
      <c r="V46" s="9">
        <f t="shared" si="34"/>
        <v>1.3388133925171581</v>
      </c>
    </row>
    <row r="47" spans="1:22" x14ac:dyDescent="0.35">
      <c r="A47" s="7" t="s">
        <v>1</v>
      </c>
      <c r="B47" s="7">
        <f t="shared" ref="B47:J47" si="35">STDEV(B28:B43)</f>
        <v>0.11076705844963307</v>
      </c>
      <c r="C47" s="7">
        <f t="shared" si="35"/>
        <v>7.6191869653014666E-2</v>
      </c>
      <c r="D47" s="7">
        <f t="shared" si="35"/>
        <v>0.57577799698859322</v>
      </c>
      <c r="E47" s="7">
        <f t="shared" si="35"/>
        <v>0.3815740161983478</v>
      </c>
      <c r="F47" s="7">
        <f t="shared" si="35"/>
        <v>0.87275939654265733</v>
      </c>
      <c r="G47" s="7">
        <f t="shared" si="35"/>
        <v>0.35633010650886116</v>
      </c>
      <c r="H47" s="7">
        <f t="shared" si="35"/>
        <v>0.75399653793314525</v>
      </c>
      <c r="I47" s="7">
        <f t="shared" si="35"/>
        <v>5.9323083472049877E-2</v>
      </c>
      <c r="J47" s="7">
        <f t="shared" si="35"/>
        <v>6.9764434002786965E-2</v>
      </c>
      <c r="K47" s="7">
        <f t="shared" ref="K47:M47" si="36">STDEV(K28:K43)</f>
        <v>0.16364904523270701</v>
      </c>
      <c r="L47" s="7">
        <f t="shared" si="36"/>
        <v>5.446816539278234E-2</v>
      </c>
      <c r="M47" s="7">
        <f t="shared" si="36"/>
        <v>3.6063840921783268E-2</v>
      </c>
      <c r="N47" s="7" t="s">
        <v>1</v>
      </c>
      <c r="O47" s="7">
        <f t="shared" ref="O47:R47" si="37">STDEV(O28:O43)</f>
        <v>0.4047467723824692</v>
      </c>
      <c r="P47" s="7">
        <f t="shared" si="37"/>
        <v>0.38560048080507503</v>
      </c>
      <c r="Q47" s="7">
        <f t="shared" si="37"/>
        <v>5.0760387727296144E-2</v>
      </c>
      <c r="R47" s="7">
        <f t="shared" si="37"/>
        <v>0.35602708282996148</v>
      </c>
      <c r="S47" s="7">
        <f t="shared" ref="S47:V47" si="38">STDEV(S28:S43)</f>
        <v>0.39305325242059591</v>
      </c>
      <c r="T47" s="7">
        <f t="shared" si="38"/>
        <v>0.30260854734327852</v>
      </c>
      <c r="U47" s="7">
        <f t="shared" si="38"/>
        <v>0.37652452004782672</v>
      </c>
      <c r="V47" s="7">
        <f t="shared" si="38"/>
        <v>0.39126819819156666</v>
      </c>
    </row>
    <row r="48" spans="1:22" x14ac:dyDescent="0.35">
      <c r="A48" s="7" t="s">
        <v>2</v>
      </c>
      <c r="B48" s="7">
        <f t="shared" ref="B48:J48" si="39" xml:space="preserve"> B47/SQRT(COUNT(B28:B43))</f>
        <v>3.9162069080911105E-2</v>
      </c>
      <c r="C48" s="7">
        <f t="shared" si="39"/>
        <v>2.6937893851464095E-2</v>
      </c>
      <c r="D48" s="7">
        <f t="shared" si="39"/>
        <v>0.20356826306432088</v>
      </c>
      <c r="E48" s="7">
        <f t="shared" si="39"/>
        <v>0.13490678718921861</v>
      </c>
      <c r="F48" s="7">
        <f t="shared" si="39"/>
        <v>0.30856704381979599</v>
      </c>
      <c r="G48" s="7">
        <f t="shared" si="39"/>
        <v>0.12598171732667021</v>
      </c>
      <c r="H48" s="7">
        <f t="shared" si="39"/>
        <v>0.26657803248185347</v>
      </c>
      <c r="I48" s="7">
        <f t="shared" si="39"/>
        <v>2.0973877301991031E-2</v>
      </c>
      <c r="J48" s="7">
        <f t="shared" si="39"/>
        <v>2.4665452184506009E-2</v>
      </c>
      <c r="K48" s="7">
        <f t="shared" ref="K48:M48" si="40" xml:space="preserve"> K47/SQRT(COUNT(K28:K43))</f>
        <v>9.4482820317728644E-2</v>
      </c>
      <c r="L48" s="7">
        <f t="shared" si="40"/>
        <v>1.925740455401341E-2</v>
      </c>
      <c r="M48" s="7">
        <f t="shared" si="40"/>
        <v>1.2750493235712928E-2</v>
      </c>
      <c r="N48" s="7" t="s">
        <v>2</v>
      </c>
      <c r="O48" s="7">
        <f t="shared" ref="O48:R48" si="41" xml:space="preserve"> O47/SQRT(COUNT(O28:O43))</f>
        <v>0.1011866930956173</v>
      </c>
      <c r="P48" s="7">
        <f t="shared" si="41"/>
        <v>0.13633035740303084</v>
      </c>
      <c r="Q48" s="7">
        <f t="shared" si="41"/>
        <v>1.7946507188814752E-2</v>
      </c>
      <c r="R48" s="7">
        <f t="shared" si="41"/>
        <v>0.12587458227756521</v>
      </c>
      <c r="S48" s="7">
        <f t="shared" ref="S48:V48" si="42" xml:space="preserve"> S47/SQRT(COUNT(S28:S43))</f>
        <v>0.13896531007701557</v>
      </c>
      <c r="T48" s="7">
        <f t="shared" si="42"/>
        <v>0.10698827793572131</v>
      </c>
      <c r="U48" s="7">
        <f t="shared" si="42"/>
        <v>0.13312152070441421</v>
      </c>
      <c r="V48" s="7">
        <f t="shared" si="42"/>
        <v>0.13833419810194941</v>
      </c>
    </row>
    <row r="49" spans="1:22" ht="15" thickBot="1" x14ac:dyDescent="0.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26.5" thickBot="1" x14ac:dyDescent="0.65">
      <c r="A50" s="139"/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</row>
    <row r="51" spans="1:22" customFormat="1" ht="15" thickBot="1" x14ac:dyDescent="0.4"/>
    <row r="52" spans="1:22" x14ac:dyDescent="0.35">
      <c r="A52" s="27" t="str">
        <f t="shared" ref="A52" si="43">A27</f>
        <v>Group names</v>
      </c>
      <c r="B52" s="28" t="str">
        <f t="shared" ref="B52:H52" si="44">B27</f>
        <v>Solvent control</v>
      </c>
      <c r="C52" s="28" t="str">
        <f t="shared" si="44"/>
        <v>EE2-33.8ng/L</v>
      </c>
      <c r="D52" s="28" t="str">
        <f t="shared" si="44"/>
        <v>EE2-50.6ng/L</v>
      </c>
      <c r="E52" s="28" t="str">
        <f t="shared" si="44"/>
        <v>EE2-76ng/L</v>
      </c>
      <c r="F52" s="28" t="str">
        <f t="shared" si="44"/>
        <v>EE2-114ng/L</v>
      </c>
      <c r="G52" s="28" t="str">
        <f t="shared" si="44"/>
        <v>EE2-170.9ng/L</v>
      </c>
      <c r="H52" s="28" t="str">
        <f t="shared" si="44"/>
        <v>EE2-488ng/L</v>
      </c>
      <c r="I52" s="28" t="str">
        <f>I4</f>
        <v>Amantadine-0.001mg/L</v>
      </c>
      <c r="J52" s="28" t="str">
        <f>J4</f>
        <v>Amantadine-0.01mg/L</v>
      </c>
      <c r="K52" s="28" t="str">
        <f t="shared" ref="K52:M52" si="45">K4</f>
        <v>Amantadine-0.1mg/L</v>
      </c>
      <c r="L52" s="28" t="str">
        <f t="shared" si="45"/>
        <v>Amantadine-1mg/L</v>
      </c>
      <c r="M52" s="28" t="str">
        <f t="shared" si="45"/>
        <v>Amantadine-10mg/L</v>
      </c>
      <c r="N52" s="29"/>
      <c r="O52" s="28" t="str">
        <f>O27</f>
        <v>Testo -30µg/L</v>
      </c>
      <c r="P52" s="28" t="str">
        <f>P27</f>
        <v>Testo 30µg/L + EE2 -64ng/L</v>
      </c>
      <c r="Q52" s="28" t="str">
        <f>Q27</f>
        <v>Testo 30µg/L + FAD-10mg/L</v>
      </c>
      <c r="R52" s="28" t="str">
        <f>R27</f>
        <v>Amantadine-0.001mg/L + Testostérone</v>
      </c>
      <c r="S52" s="28" t="str">
        <f t="shared" ref="S52:V52" si="46">S27</f>
        <v>Amantadine-0.01mg/L + Testostérone</v>
      </c>
      <c r="T52" s="28" t="str">
        <f t="shared" si="46"/>
        <v>Amantadine-0.1mg/L + Testostérone</v>
      </c>
      <c r="U52" s="28" t="str">
        <f t="shared" si="46"/>
        <v>Amantadine-1mg/L + Testostérone</v>
      </c>
      <c r="V52" s="28" t="str">
        <f t="shared" si="46"/>
        <v>Amantadine-10mg/L + Testostérone</v>
      </c>
    </row>
    <row r="53" spans="1:22" s="3" customFormat="1" x14ac:dyDescent="0.35">
      <c r="A53" s="43" t="s">
        <v>10</v>
      </c>
      <c r="B53" s="75">
        <f t="shared" ref="B53" si="47">B46</f>
        <v>0.10959804421127374</v>
      </c>
      <c r="C53" s="75">
        <f t="shared" ref="C53:V53" si="48">C46</f>
        <v>6.9037281762711608E-2</v>
      </c>
      <c r="D53" s="75">
        <f t="shared" si="48"/>
        <v>0.29463011642387926</v>
      </c>
      <c r="E53" s="75">
        <f t="shared" si="48"/>
        <v>0.50854877606844517</v>
      </c>
      <c r="F53" s="75">
        <f t="shared" si="48"/>
        <v>1.1867649834350287</v>
      </c>
      <c r="G53" s="75">
        <f t="shared" si="48"/>
        <v>1.3108876286061695</v>
      </c>
      <c r="H53" s="75">
        <f t="shared" si="48"/>
        <v>2.2756884350562987</v>
      </c>
      <c r="I53" s="75">
        <f t="shared" si="48"/>
        <v>4.8059681724449375E-2</v>
      </c>
      <c r="J53" s="75">
        <f t="shared" si="48"/>
        <v>5.60596522919629E-2</v>
      </c>
      <c r="K53" s="75">
        <f t="shared" si="48"/>
        <v>0.54088590557935701</v>
      </c>
      <c r="L53" s="75">
        <f t="shared" si="48"/>
        <v>5.5283627995445318E-2</v>
      </c>
      <c r="M53" s="75">
        <f t="shared" si="48"/>
        <v>5.8646473528237708E-2</v>
      </c>
      <c r="N53" s="75"/>
      <c r="O53" s="75">
        <f t="shared" si="48"/>
        <v>1</v>
      </c>
      <c r="P53" s="75">
        <f t="shared" si="48"/>
        <v>2.2533329531637163</v>
      </c>
      <c r="Q53" s="75">
        <f t="shared" si="48"/>
        <v>6.4837891383087737E-2</v>
      </c>
      <c r="R53" s="75">
        <f t="shared" si="48"/>
        <v>0.58366817078936095</v>
      </c>
      <c r="S53" s="75">
        <f t="shared" si="48"/>
        <v>0.75157572334934342</v>
      </c>
      <c r="T53" s="75">
        <f t="shared" si="48"/>
        <v>0.38705474626437369</v>
      </c>
      <c r="U53" s="75">
        <f t="shared" si="48"/>
        <v>0.91176754957994333</v>
      </c>
      <c r="V53" s="75">
        <f t="shared" si="48"/>
        <v>1.3388133925171581</v>
      </c>
    </row>
    <row r="54" spans="1:22" s="3" customFormat="1" x14ac:dyDescent="0.35">
      <c r="A54" s="43" t="s">
        <v>2</v>
      </c>
      <c r="B54" s="75">
        <f t="shared" ref="B54" si="49">B48</f>
        <v>3.9162069080911105E-2</v>
      </c>
      <c r="C54" s="75">
        <f t="shared" ref="C54:V54" si="50">C48</f>
        <v>2.6937893851464095E-2</v>
      </c>
      <c r="D54" s="75">
        <f t="shared" si="50"/>
        <v>0.20356826306432088</v>
      </c>
      <c r="E54" s="75">
        <f t="shared" si="50"/>
        <v>0.13490678718921861</v>
      </c>
      <c r="F54" s="75">
        <f t="shared" si="50"/>
        <v>0.30856704381979599</v>
      </c>
      <c r="G54" s="75">
        <f t="shared" si="50"/>
        <v>0.12598171732667021</v>
      </c>
      <c r="H54" s="75">
        <f t="shared" si="50"/>
        <v>0.26657803248185347</v>
      </c>
      <c r="I54" s="75">
        <f t="shared" si="50"/>
        <v>2.0973877301991031E-2</v>
      </c>
      <c r="J54" s="75">
        <f t="shared" si="50"/>
        <v>2.4665452184506009E-2</v>
      </c>
      <c r="K54" s="75">
        <f t="shared" si="50"/>
        <v>9.4482820317728644E-2</v>
      </c>
      <c r="L54" s="75">
        <f t="shared" si="50"/>
        <v>1.925740455401341E-2</v>
      </c>
      <c r="M54" s="75">
        <f t="shared" si="50"/>
        <v>1.2750493235712928E-2</v>
      </c>
      <c r="N54" s="75"/>
      <c r="O54" s="75">
        <f t="shared" si="50"/>
        <v>0.1011866930956173</v>
      </c>
      <c r="P54" s="75">
        <f t="shared" si="50"/>
        <v>0.13633035740303084</v>
      </c>
      <c r="Q54" s="75">
        <f t="shared" si="50"/>
        <v>1.7946507188814752E-2</v>
      </c>
      <c r="R54" s="75">
        <f t="shared" si="50"/>
        <v>0.12587458227756521</v>
      </c>
      <c r="S54" s="75">
        <f t="shared" si="50"/>
        <v>0.13896531007701557</v>
      </c>
      <c r="T54" s="75">
        <f t="shared" si="50"/>
        <v>0.10698827793572131</v>
      </c>
      <c r="U54" s="75">
        <f t="shared" si="50"/>
        <v>0.13312152070441421</v>
      </c>
      <c r="V54" s="75">
        <f t="shared" si="50"/>
        <v>0.13833419810194941</v>
      </c>
    </row>
    <row r="55" spans="1:22" s="3" customFormat="1" x14ac:dyDescent="0.35">
      <c r="A55" s="43" t="s">
        <v>14</v>
      </c>
      <c r="B55" s="75">
        <f>(B53*100/$B53)-100</f>
        <v>0</v>
      </c>
      <c r="C55" s="75">
        <f t="shared" ref="C55:M55" si="51">(C53*100/$B53)-100</f>
        <v>-37.008655346415274</v>
      </c>
      <c r="D55" s="75">
        <f t="shared" si="51"/>
        <v>168.82789610361704</v>
      </c>
      <c r="E55" s="75">
        <f t="shared" si="51"/>
        <v>364.01263793367366</v>
      </c>
      <c r="F55" s="75">
        <f t="shared" si="51"/>
        <v>982.83408885224685</v>
      </c>
      <c r="G55" s="75">
        <f t="shared" si="51"/>
        <v>1096.0866984808163</v>
      </c>
      <c r="H55" s="75">
        <f t="shared" si="51"/>
        <v>1976.3951140126378</v>
      </c>
      <c r="I55" s="75">
        <f t="shared" si="51"/>
        <v>-56.149142924663849</v>
      </c>
      <c r="J55" s="75">
        <f t="shared" si="51"/>
        <v>-48.849769450359993</v>
      </c>
      <c r="K55" s="75">
        <f t="shared" si="51"/>
        <v>393.51784465850818</v>
      </c>
      <c r="L55" s="75">
        <f t="shared" si="51"/>
        <v>-49.557833451047479</v>
      </c>
      <c r="M55" s="75">
        <f t="shared" si="51"/>
        <v>-46.489488977390828</v>
      </c>
      <c r="N55" s="75"/>
      <c r="O55" s="75">
        <f t="shared" ref="O55:V55" si="52">(O53*100/$O53)-100</f>
        <v>0</v>
      </c>
      <c r="P55" s="75">
        <f t="shared" si="52"/>
        <v>125.33329531637162</v>
      </c>
      <c r="Q55" s="75">
        <f t="shared" si="52"/>
        <v>-93.516210861691221</v>
      </c>
      <c r="R55" s="75">
        <f t="shared" si="52"/>
        <v>-41.633182921063906</v>
      </c>
      <c r="S55" s="75">
        <f t="shared" si="52"/>
        <v>-24.842427665065657</v>
      </c>
      <c r="T55" s="75">
        <f t="shared" si="52"/>
        <v>-61.294525373562628</v>
      </c>
      <c r="U55" s="75">
        <f t="shared" si="52"/>
        <v>-8.8232450420056665</v>
      </c>
      <c r="V55" s="75">
        <f t="shared" si="52"/>
        <v>33.881339251715815</v>
      </c>
    </row>
    <row r="56" spans="1:22" s="3" customFormat="1" x14ac:dyDescent="0.35">
      <c r="A56" s="43" t="s">
        <v>38</v>
      </c>
      <c r="B56" s="75">
        <f>[1]!SWTEST(B28:B43)</f>
        <v>0.11384120792421271</v>
      </c>
      <c r="C56" s="75">
        <f>[1]!SWTEST(C28:C43)</f>
        <v>1.9938025437970297E-2</v>
      </c>
      <c r="D56" s="75">
        <f>[1]!SWTEST(D28:D43)</f>
        <v>4.4569640439862113E-5</v>
      </c>
      <c r="E56" s="75">
        <f>[1]!SWTEST(E28:E43)</f>
        <v>0.10232768203027598</v>
      </c>
      <c r="F56" s="75">
        <f>[1]!SWTEST(F28:F43)</f>
        <v>0.34954099865101695</v>
      </c>
      <c r="G56" s="75">
        <f>[1]!SWTEST(G28:G43)</f>
        <v>0.32545592271838897</v>
      </c>
      <c r="H56" s="75">
        <f>[1]!SWTEST(H28:H43)</f>
        <v>0.36536720319070271</v>
      </c>
      <c r="I56" s="75">
        <f>[1]!SWTEST(I28:I43)</f>
        <v>3.3078964441962677E-3</v>
      </c>
      <c r="J56" s="75">
        <f>[1]!SWTEST(J28:J43)</f>
        <v>6.1175879093928742E-3</v>
      </c>
      <c r="K56" s="75">
        <f>[1]!SWTEST(K28:K43)</f>
        <v>0.97135833552507933</v>
      </c>
      <c r="L56" s="75">
        <f>[1]!SWTEST(L28:L43)</f>
        <v>6.6663728225039187E-2</v>
      </c>
      <c r="M56" s="75">
        <f>[1]!SWTEST(M28:M43)</f>
        <v>0.10661881940114049</v>
      </c>
      <c r="N56" s="75"/>
      <c r="O56" s="75">
        <f>[1]!SWTEST(O28:O43)</f>
        <v>0.3526266932030474</v>
      </c>
      <c r="P56" s="75">
        <f>[1]!SWTEST(P28:P43)</f>
        <v>0.19601725784920565</v>
      </c>
      <c r="Q56" s="75">
        <f>[1]!SWTEST(Q28:Q43)</f>
        <v>0.27038863242042821</v>
      </c>
      <c r="R56" s="75">
        <f>[1]!SWTEST(R28:R43)</f>
        <v>0.17322787122945082</v>
      </c>
      <c r="S56" s="75">
        <f>[1]!SWTEST(S28:S43)</f>
        <v>0.5570760554779558</v>
      </c>
      <c r="T56" s="75">
        <f>[1]!SWTEST(T28:T43)</f>
        <v>0.69982959999187433</v>
      </c>
      <c r="U56" s="75">
        <f>[1]!SWTEST(U28:U43)</f>
        <v>0.66637926943774484</v>
      </c>
      <c r="V56" s="75">
        <f>[1]!SWTEST(V28:V43)</f>
        <v>0.94231523904168357</v>
      </c>
    </row>
    <row r="57" spans="1:22" s="3" customFormat="1" x14ac:dyDescent="0.35">
      <c r="A57" s="43" t="s">
        <v>39</v>
      </c>
      <c r="B57" s="75" t="str">
        <f>IF(B56&gt;0.05,"Oui","Non")</f>
        <v>Oui</v>
      </c>
      <c r="C57" s="75" t="str">
        <f t="shared" ref="C57:V57" si="53">IF(C56&gt;0.05,"Oui","Non")</f>
        <v>Non</v>
      </c>
      <c r="D57" s="75" t="str">
        <f t="shared" si="53"/>
        <v>Non</v>
      </c>
      <c r="E57" s="75" t="str">
        <f t="shared" si="53"/>
        <v>Oui</v>
      </c>
      <c r="F57" s="75" t="str">
        <f t="shared" si="53"/>
        <v>Oui</v>
      </c>
      <c r="G57" s="75" t="str">
        <f t="shared" si="53"/>
        <v>Oui</v>
      </c>
      <c r="H57" s="75" t="str">
        <f t="shared" si="53"/>
        <v>Oui</v>
      </c>
      <c r="I57" s="75" t="str">
        <f t="shared" si="53"/>
        <v>Non</v>
      </c>
      <c r="J57" s="75" t="str">
        <f t="shared" si="53"/>
        <v>Non</v>
      </c>
      <c r="K57" s="75" t="str">
        <f t="shared" si="53"/>
        <v>Oui</v>
      </c>
      <c r="L57" s="75" t="str">
        <f t="shared" si="53"/>
        <v>Oui</v>
      </c>
      <c r="M57" s="75" t="str">
        <f t="shared" si="53"/>
        <v>Oui</v>
      </c>
      <c r="N57" s="75"/>
      <c r="O57" s="75" t="str">
        <f t="shared" si="53"/>
        <v>Oui</v>
      </c>
      <c r="P57" s="75" t="str">
        <f t="shared" si="53"/>
        <v>Oui</v>
      </c>
      <c r="Q57" s="75" t="str">
        <f t="shared" si="53"/>
        <v>Oui</v>
      </c>
      <c r="R57" s="75" t="str">
        <f t="shared" si="53"/>
        <v>Oui</v>
      </c>
      <c r="S57" s="75" t="str">
        <f t="shared" si="53"/>
        <v>Oui</v>
      </c>
      <c r="T57" s="75" t="str">
        <f t="shared" si="53"/>
        <v>Oui</v>
      </c>
      <c r="U57" s="75" t="str">
        <f t="shared" si="53"/>
        <v>Oui</v>
      </c>
      <c r="V57" s="75" t="str">
        <f t="shared" si="53"/>
        <v>Oui</v>
      </c>
    </row>
    <row r="58" spans="1:22" s="3" customFormat="1" x14ac:dyDescent="0.35">
      <c r="A58" s="43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7"/>
      <c r="O58" s="78"/>
      <c r="P58" s="75"/>
      <c r="Q58" s="75"/>
      <c r="R58" s="75"/>
      <c r="S58" s="75"/>
      <c r="T58" s="75"/>
      <c r="U58" s="75"/>
      <c r="V58" s="75"/>
    </row>
    <row r="59" spans="1:22" s="3" customFormat="1" x14ac:dyDescent="0.35">
      <c r="A59" s="43" t="s">
        <v>40</v>
      </c>
      <c r="B59" s="79"/>
      <c r="C59" s="79" t="str">
        <f t="shared" ref="C59:O59" si="54">IF($B57="Non",IF(C57="Non","MW",IF(C57="Oui","MW","")),IF($B57="Oui",IF(C57="Oui","T-Test Welch",IF(C57="Non","MW",""))))</f>
        <v>MW</v>
      </c>
      <c r="D59" s="79" t="str">
        <f t="shared" si="54"/>
        <v>MW</v>
      </c>
      <c r="E59" s="79" t="str">
        <f t="shared" si="54"/>
        <v>T-Test Welch</v>
      </c>
      <c r="F59" s="79" t="str">
        <f t="shared" si="54"/>
        <v>T-Test Welch</v>
      </c>
      <c r="G59" s="79" t="str">
        <f t="shared" si="54"/>
        <v>T-Test Welch</v>
      </c>
      <c r="H59" s="79" t="str">
        <f t="shared" si="54"/>
        <v>T-Test Welch</v>
      </c>
      <c r="I59" s="79" t="str">
        <f t="shared" si="54"/>
        <v>MW</v>
      </c>
      <c r="J59" s="79" t="str">
        <f t="shared" si="54"/>
        <v>MW</v>
      </c>
      <c r="K59" s="79" t="str">
        <f t="shared" si="54"/>
        <v>T-Test Welch</v>
      </c>
      <c r="L59" s="79" t="str">
        <f t="shared" si="54"/>
        <v>T-Test Welch</v>
      </c>
      <c r="M59" s="79" t="str">
        <f t="shared" si="54"/>
        <v>T-Test Welch</v>
      </c>
      <c r="N59" s="79"/>
      <c r="O59" s="79" t="str">
        <f t="shared" si="54"/>
        <v>T-Test Welch</v>
      </c>
      <c r="P59" s="79" t="str">
        <f t="shared" ref="P59:V59" si="55">IF($O57="Non",IF(P57="Non","MW",IF(P57="Oui","MW","")),IF($O57="Oui",IF(P57="Oui","T-Test Welch",IF(P57="Non","MW",""))))</f>
        <v>T-Test Welch</v>
      </c>
      <c r="Q59" s="79" t="str">
        <f t="shared" si="55"/>
        <v>T-Test Welch</v>
      </c>
      <c r="R59" s="79" t="str">
        <f t="shared" si="55"/>
        <v>T-Test Welch</v>
      </c>
      <c r="S59" s="79" t="str">
        <f t="shared" si="55"/>
        <v>T-Test Welch</v>
      </c>
      <c r="T59" s="79" t="str">
        <f t="shared" si="55"/>
        <v>T-Test Welch</v>
      </c>
      <c r="U59" s="79" t="str">
        <f t="shared" si="55"/>
        <v>T-Test Welch</v>
      </c>
      <c r="V59" s="79" t="str">
        <f t="shared" si="55"/>
        <v>T-Test Welch</v>
      </c>
    </row>
    <row r="60" spans="1:22" s="3" customFormat="1" x14ac:dyDescent="0.35">
      <c r="A60" s="43" t="s">
        <v>41</v>
      </c>
      <c r="B60" s="80"/>
      <c r="C60" s="80">
        <f>IF(C59="MW",[1]!MTEST($B28:$B43,C28:C43,2), IF(C59="T-Test Welch",_xlfn.T.TEST($B28:$B43,C28:C43,2,3),""))</f>
        <v>0.59951017856000322</v>
      </c>
      <c r="D60" s="80">
        <f>IF(D59="MW",[1]!MTEST($B28:$B43,D28:D43,2), IF(D59="T-Test Welch",_xlfn.T.TEST($B28:$B43,D28:D43,2,3),""))</f>
        <v>0.83363488302468225</v>
      </c>
      <c r="E60" s="80">
        <f>IF(E59="MW",[1]!MTEST($B28:$B43,E28:E43,2), IF(E59="T-Test Welch",_xlfn.T.TEST($B28:$B43,E28:E43,2,3),""))</f>
        <v>2.1350047502828162E-2</v>
      </c>
      <c r="F60" s="80">
        <f>IF(F59="MW",[1]!MTEST($B28:$B43,F28:F43,2), IF(F59="T-Test Welch",_xlfn.T.TEST($B28:$B43,F28:F43,2,3),""))</f>
        <v>9.9932322127338873E-3</v>
      </c>
      <c r="G60" s="80">
        <f>IF(G59="MW",[1]!MTEST($B28:$B43,G28:G43,2), IF(G59="T-Test Welch",_xlfn.T.TEST($B28:$B43,G28:G43,2,3),""))</f>
        <v>1.2941055519294164E-5</v>
      </c>
      <c r="H60" s="80">
        <f>IF(H59="MW",[1]!MTEST($B28:$B43,H28:H43,2), IF(H59="T-Test Welch",_xlfn.T.TEST($B28:$B43,H28:H43,2,3),""))</f>
        <v>7.0193721733332018E-5</v>
      </c>
      <c r="I60" s="80">
        <f>IF(I59="MW",[1]!MTEST($B28:$B43,I28:I43,2), IF(I59="T-Test Welch",_xlfn.T.TEST($B28:$B43,I28:I43,2,3),""))</f>
        <v>0.11518373151505124</v>
      </c>
      <c r="J60" s="80">
        <f>IF(J59="MW",[1]!MTEST($B28:$B43,J28:J43,2), IF(J59="T-Test Welch",_xlfn.T.TEST($B28:$B43,J28:J43,2,3),""))</f>
        <v>0.24799581483148536</v>
      </c>
      <c r="K60" s="80">
        <f>IF(K59="MW",[1]!MTEST($B28:$B43,K28:K43,2), IF(K59="T-Test Welch",_xlfn.T.TEST($B28:$B43,K28:K43,2,3),""))</f>
        <v>2.9445228810024308E-2</v>
      </c>
      <c r="L60" s="80">
        <f>IF(L59="MW",[1]!MTEST($B28:$B43,L28:L43,2), IF(L59="T-Test Welch",_xlfn.T.TEST($B28:$B43,L28:L43,2,3),""))</f>
        <v>0.24112823646017781</v>
      </c>
      <c r="M60" s="80">
        <f>IF(M59="MW",[1]!MTEST($B28:$B43,M28:M43,2), IF(M59="T-Test Welch",_xlfn.T.TEST($B28:$B43,M28:M43,2,3),""))</f>
        <v>0.24924910745558765</v>
      </c>
      <c r="N60" s="80"/>
      <c r="O60" s="80">
        <f>IF(O59="MW",[1]!MTEST($B28:$B43,O28:O43,2), IF(O59="T-Test Welch",_xlfn.T.TEST($B28:$B43,O28:O43,2,3),""))</f>
        <v>1.1814445509694831E-7</v>
      </c>
      <c r="P60" s="80">
        <f>IF(P59="MW",[1]!MTEST($O28:$O43,P28:P43,2), IF(P59="T-Test Welch",_xlfn.T.TEST($O28:$O43,P28:P43,2,3),""))</f>
        <v>2.5273640635312399E-6</v>
      </c>
      <c r="Q60" s="80">
        <f>IF(Q59="MW",[1]!MTEST($O28:$O43,Q28:Q43,2), IF(Q59="T-Test Welch",_xlfn.T.TEST($O28:$O43,Q28:Q43,2,3),""))</f>
        <v>1.0432889643114483E-7</v>
      </c>
      <c r="R60" s="80">
        <f>IF(R59="MW",[1]!MTEST($O28:$O43,R28:R43,2), IF(R59="T-Test Welch",_xlfn.T.TEST($O28:$O43,R28:R43,2,3),""))</f>
        <v>2.0319564358064476E-2</v>
      </c>
      <c r="S60" s="80">
        <f>IF(S59="MW",[1]!MTEST($O28:$O43,S28:S43,2), IF(S59="T-Test Welch",_xlfn.T.TEST($O28:$O43,S28:S43,2,3),""))</f>
        <v>0.16969329183900861</v>
      </c>
      <c r="T60" s="80">
        <f>IF(T59="MW",[1]!MTEST($O28:$O43,T28:T43,2), IF(T59="T-Test Welch",_xlfn.T.TEST($O28:$O43,T28:T43,2,3),""))</f>
        <v>5.676266582742951E-4</v>
      </c>
      <c r="U60" s="80">
        <f>IF(U59="MW",[1]!MTEST($O28:$O43,U28:U43,2), IF(U59="T-Test Welch",_xlfn.T.TEST($O28:$O43,U28:U43,2,3),""))</f>
        <v>0.60541047329873587</v>
      </c>
      <c r="V60" s="80">
        <f>IF(V59="MW",[1]!MTEST($O28:$O43,V28:V43,2), IF(V59="T-Test Welch",_xlfn.T.TEST($O28:$O43,V28:V43,2,3),""))</f>
        <v>6.7328220351805287E-2</v>
      </c>
    </row>
    <row r="61" spans="1:22" s="3" customFormat="1" ht="15" thickBot="1" x14ac:dyDescent="0.4">
      <c r="A61" s="44" t="s">
        <v>15</v>
      </c>
      <c r="B61" s="76"/>
      <c r="C61" s="76" t="str">
        <f t="shared" ref="C61:O61" si="56">IF(C60&gt;0.05,"NS",IF(C60&gt;0.01,"*",IF(C60&gt;0.001,"**","***")))</f>
        <v>NS</v>
      </c>
      <c r="D61" s="76" t="str">
        <f t="shared" si="56"/>
        <v>NS</v>
      </c>
      <c r="E61" s="76" t="str">
        <f t="shared" si="56"/>
        <v>*</v>
      </c>
      <c r="F61" s="76" t="str">
        <f t="shared" si="56"/>
        <v>**</v>
      </c>
      <c r="G61" s="76" t="str">
        <f t="shared" si="56"/>
        <v>***</v>
      </c>
      <c r="H61" s="76" t="str">
        <f t="shared" si="56"/>
        <v>***</v>
      </c>
      <c r="I61" s="76" t="str">
        <f t="shared" si="56"/>
        <v>NS</v>
      </c>
      <c r="J61" s="76" t="str">
        <f t="shared" si="56"/>
        <v>NS</v>
      </c>
      <c r="K61" s="76" t="str">
        <f t="shared" si="56"/>
        <v>*</v>
      </c>
      <c r="L61" s="76" t="str">
        <f t="shared" si="56"/>
        <v>NS</v>
      </c>
      <c r="M61" s="76" t="str">
        <f t="shared" si="56"/>
        <v>NS</v>
      </c>
      <c r="N61" s="76"/>
      <c r="O61" s="76" t="str">
        <f t="shared" si="56"/>
        <v>***</v>
      </c>
      <c r="P61" s="76" t="str">
        <f>IF(P60&gt;0.05,"NS",IF(P60&gt;0.01,"*",IF(P60&gt;0.001,"**","***")))</f>
        <v>***</v>
      </c>
      <c r="Q61" s="76" t="str">
        <f t="shared" ref="Q61:V61" si="57">IF(Q60&gt;0.05,"NS",IF(Q60&gt;0.01,"*",IF(Q60&gt;0.001,"**","***")))</f>
        <v>***</v>
      </c>
      <c r="R61" s="76" t="str">
        <f t="shared" si="57"/>
        <v>*</v>
      </c>
      <c r="S61" s="76" t="str">
        <f t="shared" si="57"/>
        <v>NS</v>
      </c>
      <c r="T61" s="76" t="str">
        <f t="shared" si="57"/>
        <v>***</v>
      </c>
      <c r="U61" s="76" t="str">
        <f t="shared" si="57"/>
        <v>NS</v>
      </c>
      <c r="V61" s="76" t="str">
        <f t="shared" si="57"/>
        <v>NS</v>
      </c>
    </row>
    <row r="63" spans="1:22" x14ac:dyDescent="0.35">
      <c r="A63" s="2"/>
    </row>
    <row r="66" spans="1:22" ht="15" thickBot="1" x14ac:dyDescent="0.4"/>
    <row r="67" spans="1:22" ht="26.5" thickBot="1" x14ac:dyDescent="0.65">
      <c r="A67" s="139"/>
      <c r="B67" s="140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</row>
    <row r="68" spans="1:22" ht="16.5" x14ac:dyDescent="0.35">
      <c r="A68" s="11"/>
      <c r="B68" s="11"/>
      <c r="C68" s="11"/>
      <c r="D68" s="11"/>
      <c r="E68" s="11"/>
      <c r="F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ht="16.5" x14ac:dyDescent="0.35">
      <c r="A69" s="11"/>
      <c r="B69" s="11"/>
      <c r="C69" s="11"/>
      <c r="D69" s="11"/>
      <c r="E69" s="11"/>
      <c r="F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ht="16.5" x14ac:dyDescent="0.35">
      <c r="A70" s="11"/>
      <c r="B70" s="11"/>
      <c r="C70" s="11"/>
      <c r="D70" s="11"/>
      <c r="E70" s="11"/>
      <c r="F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 ht="16.5" x14ac:dyDescent="0.35">
      <c r="A71" s="11"/>
      <c r="B71" s="11"/>
      <c r="C71" s="11"/>
      <c r="D71" s="11"/>
      <c r="E71" s="11"/>
      <c r="F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ht="16.5" x14ac:dyDescent="0.35">
      <c r="A72" s="11"/>
      <c r="B72" s="11"/>
      <c r="C72" s="11"/>
      <c r="D72" s="11"/>
      <c r="E72" s="11"/>
      <c r="F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 ht="16.5" x14ac:dyDescent="0.35">
      <c r="A73" s="11"/>
      <c r="B73" s="11"/>
      <c r="C73" s="11"/>
      <c r="D73" s="11"/>
      <c r="E73" s="11"/>
      <c r="F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ht="16.5" x14ac:dyDescent="0.35">
      <c r="A74" s="11"/>
      <c r="B74" s="11"/>
      <c r="C74" s="11"/>
      <c r="D74" s="11"/>
      <c r="E74" s="11"/>
      <c r="F74" s="11"/>
      <c r="N74" s="11"/>
      <c r="O74" s="11"/>
      <c r="P74" s="11"/>
      <c r="Q74" s="11"/>
      <c r="R74" s="11"/>
      <c r="S74" s="11"/>
      <c r="T74" s="11"/>
      <c r="U74" s="11"/>
      <c r="V74" s="11"/>
    </row>
  </sheetData>
  <protectedRanges>
    <protectedRange sqref="O51:V51" name="Plage2"/>
    <protectedRange sqref="R5:V20" name="Plage2_1"/>
    <protectedRange sqref="R12:V20 R5:V7" name="Plage1_3"/>
    <protectedRange sqref="O5:O20 B5:J20" name="Plage1_1_2"/>
  </protectedRanges>
  <mergeCells count="9">
    <mergeCell ref="A1:V1"/>
    <mergeCell ref="A67:V67"/>
    <mergeCell ref="A5:A20"/>
    <mergeCell ref="B3:M3"/>
    <mergeCell ref="O3:V3"/>
    <mergeCell ref="B26:M26"/>
    <mergeCell ref="O26:V26"/>
    <mergeCell ref="A28:A43"/>
    <mergeCell ref="A50:V50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74"/>
  <sheetViews>
    <sheetView showGridLines="0" topLeftCell="J1" zoomScale="85" zoomScaleNormal="85" zoomScaleSheetLayoutView="40" zoomScalePageLayoutView="30" workbookViewId="0">
      <selection activeCell="O5" sqref="O5:R20"/>
    </sheetView>
  </sheetViews>
  <sheetFormatPr baseColWidth="10" defaultColWidth="9.1796875" defaultRowHeight="14.5" x14ac:dyDescent="0.35"/>
  <cols>
    <col min="1" max="1" width="33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1.7265625" style="1" customWidth="1"/>
    <col min="15" max="15" width="14.81640625" style="1" customWidth="1"/>
    <col min="16" max="16" width="17.7265625" style="1" customWidth="1"/>
    <col min="17" max="18" width="25.81640625" style="1" bestFit="1" customWidth="1"/>
    <col min="19" max="22" width="25.81640625" style="1" customWidth="1"/>
    <col min="23" max="16384" width="9.1796875" style="1"/>
  </cols>
  <sheetData>
    <row r="1" spans="1:22" ht="26.5" thickBot="1" x14ac:dyDescent="0.65">
      <c r="A1" s="137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</row>
    <row r="2" spans="1:22" ht="15" thickBot="1" x14ac:dyDescent="0.4"/>
    <row r="3" spans="1:22" ht="15" thickBot="1" x14ac:dyDescent="0.4">
      <c r="A3" s="81" t="s">
        <v>9</v>
      </c>
      <c r="B3" s="145" t="s">
        <v>42</v>
      </c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O3" s="145" t="s">
        <v>43</v>
      </c>
      <c r="P3" s="146"/>
      <c r="Q3" s="146"/>
      <c r="R3" s="146"/>
      <c r="S3" s="146"/>
      <c r="T3" s="146"/>
      <c r="U3" s="146"/>
      <c r="V3" s="146"/>
    </row>
    <row r="4" spans="1:22" x14ac:dyDescent="0.35">
      <c r="A4" s="17" t="s">
        <v>37</v>
      </c>
      <c r="B4" s="18" t="str">
        <f>'Front page'!A7</f>
        <v>Solvent control</v>
      </c>
      <c r="C4" s="18" t="str">
        <f>'Front page'!A8</f>
        <v>EE2-33.8ng/L</v>
      </c>
      <c r="D4" s="18" t="str">
        <f>'Front page'!A9</f>
        <v>EE2-50.6ng/L</v>
      </c>
      <c r="E4" s="18" t="str">
        <f>'Front page'!A10</f>
        <v>EE2-76ng/L</v>
      </c>
      <c r="F4" s="18" t="str">
        <f>'Front page'!A11</f>
        <v>EE2-114ng/L</v>
      </c>
      <c r="G4" s="18" t="str">
        <f>'Front page'!A12</f>
        <v>EE2-170.9ng/L</v>
      </c>
      <c r="H4" s="18" t="str">
        <f>'Front page'!A13</f>
        <v>EE2-488ng/L</v>
      </c>
      <c r="I4" s="18" t="str">
        <f>'Front page'!A14</f>
        <v>Amantadine-0.001mg/L</v>
      </c>
      <c r="J4" s="18" t="str">
        <f>'Front page'!A15</f>
        <v>Amantadine-0.01mg/L</v>
      </c>
      <c r="K4" s="18" t="str">
        <f>'Front page'!A16</f>
        <v>Amantadine-0.1mg/L</v>
      </c>
      <c r="L4" s="18" t="str">
        <f>'Front page'!A17</f>
        <v>Amantadine-1mg/L</v>
      </c>
      <c r="M4" s="18" t="str">
        <f>'Front page'!A18</f>
        <v>Amantadine-10mg/L</v>
      </c>
      <c r="N4" s="3"/>
      <c r="O4" s="19" t="str">
        <f>'Front page'!A35</f>
        <v>Testo -30µg/L</v>
      </c>
      <c r="P4" s="19" t="str">
        <f>'Front page'!A36</f>
        <v>Testo 30µg/L + EE2 -64ng/L</v>
      </c>
      <c r="Q4" s="19" t="str">
        <f>'Front page'!A37</f>
        <v>Testo 30µg/L + FAD-10mg/L</v>
      </c>
      <c r="R4" s="19" t="str">
        <f>'Front page'!A38</f>
        <v>Amantadine-0.001mg/L + Testostérone</v>
      </c>
      <c r="S4" s="19" t="str">
        <f>'Front page'!A39</f>
        <v>Amantadine-0.01mg/L + Testostérone</v>
      </c>
      <c r="T4" s="19" t="str">
        <f>'Front page'!A40</f>
        <v>Amantadine-0.1mg/L + Testostérone</v>
      </c>
      <c r="U4" s="19" t="str">
        <f>'Front page'!A41</f>
        <v>Amantadine-1mg/L + Testostérone</v>
      </c>
      <c r="V4" s="19" t="str">
        <f>'Front page'!A42</f>
        <v>Amantadine-10mg/L + Testostérone</v>
      </c>
    </row>
    <row r="5" spans="1:22" x14ac:dyDescent="0.35">
      <c r="A5" s="141" t="s">
        <v>35</v>
      </c>
      <c r="B5" s="15">
        <v>65828</v>
      </c>
      <c r="C5" s="15">
        <v>19248</v>
      </c>
      <c r="D5" s="15">
        <v>2085088</v>
      </c>
      <c r="E5" s="15">
        <v>2144748</v>
      </c>
      <c r="F5" s="15">
        <v>5298040</v>
      </c>
      <c r="G5" s="15">
        <v>3309152</v>
      </c>
      <c r="H5" s="15">
        <v>9168257</v>
      </c>
      <c r="I5" s="15">
        <v>112487</v>
      </c>
      <c r="J5" s="15">
        <v>37071</v>
      </c>
      <c r="K5" s="12">
        <v>31870</v>
      </c>
      <c r="L5" s="12">
        <v>107222</v>
      </c>
      <c r="M5" s="12">
        <v>127043</v>
      </c>
      <c r="N5" s="3"/>
      <c r="O5" s="15">
        <v>2273734</v>
      </c>
      <c r="P5" s="12">
        <v>4261304</v>
      </c>
      <c r="Q5" s="12">
        <v>145534</v>
      </c>
      <c r="R5" s="15">
        <v>1727134</v>
      </c>
      <c r="S5" s="15">
        <v>2675441</v>
      </c>
      <c r="T5" s="15">
        <v>5359200</v>
      </c>
      <c r="U5" s="15">
        <v>5440499</v>
      </c>
      <c r="V5" s="15">
        <v>4817559</v>
      </c>
    </row>
    <row r="6" spans="1:22" ht="16.5" x14ac:dyDescent="0.35">
      <c r="A6" s="142"/>
      <c r="B6" s="13">
        <v>254319</v>
      </c>
      <c r="C6" s="12">
        <v>717896</v>
      </c>
      <c r="D6" s="15">
        <v>175100</v>
      </c>
      <c r="E6" s="15">
        <v>2079630</v>
      </c>
      <c r="F6" s="15">
        <v>5927998</v>
      </c>
      <c r="G6" s="15">
        <v>4474601</v>
      </c>
      <c r="H6" s="15">
        <v>9456848</v>
      </c>
      <c r="I6" s="15">
        <v>444634</v>
      </c>
      <c r="J6" s="15">
        <v>360306</v>
      </c>
      <c r="K6" s="12">
        <v>75096</v>
      </c>
      <c r="L6" s="12">
        <v>129091</v>
      </c>
      <c r="M6" s="12">
        <v>21613</v>
      </c>
      <c r="N6" s="3"/>
      <c r="O6" s="15">
        <v>7812045</v>
      </c>
      <c r="P6" s="12">
        <v>9290563</v>
      </c>
      <c r="Q6" s="12">
        <v>26099</v>
      </c>
      <c r="R6" s="15">
        <v>4944616</v>
      </c>
      <c r="S6" s="15">
        <v>510818</v>
      </c>
      <c r="T6" s="15">
        <v>2854494</v>
      </c>
      <c r="U6" s="15">
        <v>4889415</v>
      </c>
      <c r="V6" s="15">
        <v>5785092</v>
      </c>
    </row>
    <row r="7" spans="1:22" ht="16.5" x14ac:dyDescent="0.35">
      <c r="A7" s="142"/>
      <c r="B7" s="13">
        <v>45196</v>
      </c>
      <c r="C7" s="12">
        <v>209208</v>
      </c>
      <c r="D7" s="15">
        <v>676196</v>
      </c>
      <c r="E7" s="15">
        <v>3263927</v>
      </c>
      <c r="F7" s="15">
        <v>3848156</v>
      </c>
      <c r="G7" s="15">
        <v>9668809</v>
      </c>
      <c r="H7" s="15">
        <v>6344901</v>
      </c>
      <c r="I7" s="15">
        <v>15344</v>
      </c>
      <c r="J7" s="15">
        <v>252827</v>
      </c>
      <c r="K7" s="12">
        <v>721637</v>
      </c>
      <c r="L7" s="12">
        <v>51333</v>
      </c>
      <c r="M7" s="12">
        <v>52817</v>
      </c>
      <c r="N7" s="3"/>
      <c r="O7" s="15">
        <v>2956671</v>
      </c>
      <c r="P7" s="12">
        <v>5956365</v>
      </c>
      <c r="Q7" s="12">
        <v>135885</v>
      </c>
      <c r="R7" s="15">
        <v>3954361</v>
      </c>
      <c r="S7" s="15">
        <v>4511283</v>
      </c>
      <c r="T7" s="15">
        <v>3897715</v>
      </c>
      <c r="U7" s="15">
        <v>2623659</v>
      </c>
      <c r="V7" s="15">
        <v>5838063</v>
      </c>
    </row>
    <row r="8" spans="1:22" ht="16.5" x14ac:dyDescent="0.35">
      <c r="A8" s="142"/>
      <c r="B8" s="13">
        <v>436295</v>
      </c>
      <c r="C8" s="12">
        <v>319263</v>
      </c>
      <c r="D8" s="15">
        <v>458793</v>
      </c>
      <c r="E8" s="15">
        <v>1896244</v>
      </c>
      <c r="F8" s="15">
        <v>8274130</v>
      </c>
      <c r="G8" s="15">
        <v>4263132</v>
      </c>
      <c r="H8" s="15">
        <v>12348654</v>
      </c>
      <c r="I8" s="15">
        <v>136895</v>
      </c>
      <c r="J8" s="15">
        <v>122104</v>
      </c>
      <c r="K8" s="12">
        <v>10551</v>
      </c>
      <c r="L8" s="12">
        <v>323782</v>
      </c>
      <c r="M8" s="12">
        <v>667978</v>
      </c>
      <c r="N8" s="3"/>
      <c r="O8" s="15">
        <v>2730588</v>
      </c>
      <c r="P8" s="12">
        <v>5008126</v>
      </c>
      <c r="Q8" s="12">
        <v>154345</v>
      </c>
      <c r="R8" s="15">
        <v>1297089</v>
      </c>
      <c r="S8" s="15">
        <v>3174713</v>
      </c>
      <c r="T8" s="15">
        <v>1523173</v>
      </c>
      <c r="U8" s="15">
        <v>7584057</v>
      </c>
      <c r="V8" s="15">
        <v>5254266</v>
      </c>
    </row>
    <row r="9" spans="1:22" ht="16.5" x14ac:dyDescent="0.35">
      <c r="A9" s="142"/>
      <c r="B9" s="13">
        <v>23416</v>
      </c>
      <c r="C9" s="12">
        <v>58253</v>
      </c>
      <c r="D9" s="15">
        <v>388143</v>
      </c>
      <c r="E9" s="15">
        <v>1071499</v>
      </c>
      <c r="F9" s="15">
        <v>5309763</v>
      </c>
      <c r="G9" s="15">
        <v>4052710</v>
      </c>
      <c r="H9" s="15">
        <v>9217348</v>
      </c>
      <c r="I9" s="15">
        <v>38616</v>
      </c>
      <c r="J9" s="15">
        <v>21008</v>
      </c>
      <c r="K9" s="12">
        <v>68024</v>
      </c>
      <c r="L9" s="12">
        <v>231865</v>
      </c>
      <c r="M9" s="12">
        <v>15041</v>
      </c>
      <c r="N9" s="3"/>
      <c r="O9" s="15">
        <v>2975822</v>
      </c>
      <c r="P9" s="12">
        <v>5982476</v>
      </c>
      <c r="Q9" s="12">
        <v>403306</v>
      </c>
      <c r="R9" s="15">
        <v>1765164</v>
      </c>
      <c r="S9" s="15">
        <v>58069</v>
      </c>
      <c r="T9" s="15">
        <v>1328705</v>
      </c>
      <c r="U9" s="15">
        <v>3107950</v>
      </c>
      <c r="V9" s="15">
        <v>7012340</v>
      </c>
    </row>
    <row r="10" spans="1:22" ht="16.5" x14ac:dyDescent="0.35">
      <c r="A10" s="142"/>
      <c r="B10" s="13">
        <v>19735</v>
      </c>
      <c r="C10" s="12">
        <v>675753</v>
      </c>
      <c r="D10" s="15">
        <v>197209</v>
      </c>
      <c r="E10" s="15">
        <v>2794335</v>
      </c>
      <c r="F10" s="15">
        <v>1247961</v>
      </c>
      <c r="G10" s="15">
        <v>6072953</v>
      </c>
      <c r="H10" s="15">
        <v>7591595</v>
      </c>
      <c r="I10" s="15">
        <v>41293</v>
      </c>
      <c r="J10" s="15">
        <v>28031</v>
      </c>
      <c r="K10" s="12">
        <v>173775</v>
      </c>
      <c r="L10" s="12">
        <v>237786</v>
      </c>
      <c r="M10" s="12">
        <v>722958</v>
      </c>
      <c r="N10" s="3"/>
      <c r="O10" s="15">
        <v>2391468</v>
      </c>
      <c r="P10" s="12">
        <v>6396625</v>
      </c>
      <c r="Q10" s="12">
        <v>19909</v>
      </c>
      <c r="R10" s="15">
        <v>5325180</v>
      </c>
      <c r="S10" s="15">
        <v>915693</v>
      </c>
      <c r="T10" s="15">
        <v>7404092</v>
      </c>
      <c r="U10" s="15">
        <v>1181653</v>
      </c>
      <c r="V10" s="15">
        <v>4207882</v>
      </c>
    </row>
    <row r="11" spans="1:22" ht="16.5" x14ac:dyDescent="0.35">
      <c r="A11" s="142"/>
      <c r="B11" s="13">
        <v>591580</v>
      </c>
      <c r="C11" s="12">
        <v>121061</v>
      </c>
      <c r="D11" s="15">
        <v>231176</v>
      </c>
      <c r="E11" s="15">
        <v>1724296</v>
      </c>
      <c r="F11" s="15">
        <v>2405053</v>
      </c>
      <c r="G11" s="15">
        <v>6681931</v>
      </c>
      <c r="H11" s="15">
        <v>11965489</v>
      </c>
      <c r="I11" s="15">
        <v>208888</v>
      </c>
      <c r="J11" s="15">
        <v>211160</v>
      </c>
      <c r="K11" s="12">
        <v>252868</v>
      </c>
      <c r="L11" s="12">
        <v>31808</v>
      </c>
      <c r="M11" s="12">
        <v>93701</v>
      </c>
      <c r="N11" s="3"/>
      <c r="O11" s="15">
        <v>2943625</v>
      </c>
      <c r="P11" s="12">
        <v>6349518</v>
      </c>
      <c r="Q11" s="12">
        <v>94642</v>
      </c>
      <c r="R11" s="15">
        <v>3653806</v>
      </c>
      <c r="S11" s="15">
        <v>4437673</v>
      </c>
      <c r="T11" s="15">
        <v>1504031</v>
      </c>
      <c r="U11" s="15">
        <v>481810</v>
      </c>
      <c r="V11" s="15">
        <v>1817219</v>
      </c>
    </row>
    <row r="12" spans="1:22" ht="16.5" x14ac:dyDescent="0.35">
      <c r="A12" s="142"/>
      <c r="B12" s="13">
        <v>216665</v>
      </c>
      <c r="C12" s="12">
        <v>679918</v>
      </c>
      <c r="D12" s="15">
        <v>443898</v>
      </c>
      <c r="E12" s="15">
        <v>5278261</v>
      </c>
      <c r="F12" s="15">
        <v>4450520</v>
      </c>
      <c r="G12" s="15">
        <v>4708326</v>
      </c>
      <c r="H12" s="15">
        <v>2689861</v>
      </c>
      <c r="I12" s="15">
        <v>157812</v>
      </c>
      <c r="J12" s="15">
        <v>110107</v>
      </c>
      <c r="K12" s="12">
        <v>66418</v>
      </c>
      <c r="L12" s="12">
        <v>66632</v>
      </c>
      <c r="M12" s="12">
        <v>85650</v>
      </c>
      <c r="N12" s="3"/>
      <c r="O12" s="15">
        <v>4977926</v>
      </c>
      <c r="P12" s="12">
        <v>10084312</v>
      </c>
      <c r="Q12" s="12">
        <v>200261</v>
      </c>
      <c r="R12" s="15">
        <v>1924334</v>
      </c>
      <c r="S12" s="15">
        <v>3314090</v>
      </c>
      <c r="T12" s="15">
        <v>2317781</v>
      </c>
      <c r="U12" s="15">
        <v>1776972</v>
      </c>
      <c r="V12" s="15">
        <v>3814759</v>
      </c>
    </row>
    <row r="13" spans="1:22" ht="16.5" x14ac:dyDescent="0.35">
      <c r="A13" s="142"/>
      <c r="B13" s="13"/>
      <c r="C13" s="12"/>
      <c r="D13" s="15"/>
      <c r="E13" s="15"/>
      <c r="F13" s="15"/>
      <c r="G13" s="15"/>
      <c r="H13" s="15"/>
      <c r="I13" s="15"/>
      <c r="J13" s="15"/>
      <c r="K13" s="12"/>
      <c r="L13" s="12"/>
      <c r="M13" s="12"/>
      <c r="N13" s="3"/>
      <c r="O13" s="15">
        <v>1257243</v>
      </c>
      <c r="P13" s="12"/>
      <c r="Q13" s="12"/>
      <c r="R13" s="15"/>
      <c r="S13" s="15"/>
      <c r="T13" s="15"/>
      <c r="U13" s="15"/>
      <c r="V13" s="15"/>
    </row>
    <row r="14" spans="1:22" ht="16.5" x14ac:dyDescent="0.35">
      <c r="A14" s="142"/>
      <c r="B14" s="13"/>
      <c r="C14" s="15"/>
      <c r="D14" s="15"/>
      <c r="E14" s="15"/>
      <c r="F14" s="15"/>
      <c r="G14" s="15"/>
      <c r="H14" s="15"/>
      <c r="I14" s="15"/>
      <c r="J14" s="15"/>
      <c r="K14" s="12"/>
      <c r="L14" s="12"/>
      <c r="M14" s="12"/>
      <c r="N14" s="3"/>
      <c r="O14" s="15">
        <v>3667272</v>
      </c>
      <c r="P14" s="12"/>
      <c r="Q14" s="12"/>
      <c r="R14" s="15"/>
      <c r="S14" s="15"/>
      <c r="T14" s="15"/>
      <c r="U14" s="15"/>
      <c r="V14" s="15"/>
    </row>
    <row r="15" spans="1:22" ht="16.5" x14ac:dyDescent="0.35">
      <c r="A15" s="142"/>
      <c r="B15" s="13"/>
      <c r="C15" s="15"/>
      <c r="D15" s="15"/>
      <c r="E15" s="15"/>
      <c r="F15" s="15"/>
      <c r="G15" s="15"/>
      <c r="H15" s="15"/>
      <c r="I15" s="15"/>
      <c r="J15" s="15"/>
      <c r="K15" s="12"/>
      <c r="L15" s="12"/>
      <c r="M15" s="12"/>
      <c r="N15" s="3"/>
      <c r="O15" s="15">
        <v>5268426</v>
      </c>
      <c r="P15" s="12"/>
      <c r="Q15" s="12"/>
      <c r="R15" s="15"/>
      <c r="S15" s="15"/>
      <c r="T15" s="15"/>
      <c r="U15" s="15"/>
      <c r="V15" s="15"/>
    </row>
    <row r="16" spans="1:22" ht="16.5" x14ac:dyDescent="0.35">
      <c r="A16" s="142"/>
      <c r="B16" s="13"/>
      <c r="C16" s="15"/>
      <c r="D16" s="15"/>
      <c r="E16" s="15"/>
      <c r="F16" s="15"/>
      <c r="G16" s="15"/>
      <c r="H16" s="15"/>
      <c r="I16" s="15"/>
      <c r="J16" s="15"/>
      <c r="K16" s="12"/>
      <c r="L16" s="12"/>
      <c r="M16" s="12"/>
      <c r="N16" s="3"/>
      <c r="O16" s="15">
        <v>4578568</v>
      </c>
      <c r="P16" s="12"/>
      <c r="Q16" s="12"/>
      <c r="R16" s="15"/>
      <c r="S16" s="15"/>
      <c r="T16" s="15"/>
      <c r="U16" s="15"/>
      <c r="V16" s="15"/>
    </row>
    <row r="17" spans="1:22" ht="16.5" x14ac:dyDescent="0.35">
      <c r="A17" s="142"/>
      <c r="B17" s="13"/>
      <c r="C17" s="15"/>
      <c r="D17" s="15"/>
      <c r="E17" s="15"/>
      <c r="F17" s="15"/>
      <c r="G17" s="15"/>
      <c r="H17" s="15"/>
      <c r="I17" s="15"/>
      <c r="J17" s="15"/>
      <c r="K17" s="12"/>
      <c r="L17" s="12"/>
      <c r="M17" s="12"/>
      <c r="N17" s="3"/>
      <c r="O17" s="15">
        <v>807062</v>
      </c>
      <c r="P17" s="12"/>
      <c r="Q17" s="12"/>
      <c r="R17" s="15"/>
      <c r="S17" s="15"/>
      <c r="T17" s="15"/>
      <c r="U17" s="15"/>
      <c r="V17" s="15"/>
    </row>
    <row r="18" spans="1:22" ht="16.5" x14ac:dyDescent="0.35">
      <c r="A18" s="142"/>
      <c r="B18" s="13"/>
      <c r="C18" s="15"/>
      <c r="D18" s="15"/>
      <c r="E18" s="15"/>
      <c r="F18" s="15"/>
      <c r="G18" s="15"/>
      <c r="H18" s="15"/>
      <c r="I18" s="15"/>
      <c r="J18" s="15"/>
      <c r="K18" s="12"/>
      <c r="L18" s="12"/>
      <c r="M18" s="12"/>
      <c r="N18" s="3"/>
      <c r="O18" s="15">
        <v>5879638</v>
      </c>
      <c r="P18" s="12"/>
      <c r="Q18" s="12"/>
      <c r="R18" s="15"/>
      <c r="S18" s="15"/>
      <c r="T18" s="15"/>
      <c r="U18" s="15"/>
      <c r="V18" s="15"/>
    </row>
    <row r="19" spans="1:22" ht="16.5" x14ac:dyDescent="0.35">
      <c r="A19" s="142"/>
      <c r="B19" s="13"/>
      <c r="C19" s="15"/>
      <c r="D19" s="15"/>
      <c r="E19" s="15"/>
      <c r="F19" s="15"/>
      <c r="G19" s="15"/>
      <c r="H19" s="15"/>
      <c r="I19" s="15"/>
      <c r="J19" s="15"/>
      <c r="K19" s="12"/>
      <c r="L19" s="12"/>
      <c r="M19" s="12"/>
      <c r="N19" s="3"/>
      <c r="O19" s="15">
        <v>2095365</v>
      </c>
      <c r="P19" s="12"/>
      <c r="Q19" s="12"/>
      <c r="R19" s="15"/>
      <c r="S19" s="15"/>
      <c r="T19" s="15"/>
      <c r="U19" s="15"/>
      <c r="V19" s="15"/>
    </row>
    <row r="20" spans="1:22" ht="16.5" x14ac:dyDescent="0.35">
      <c r="A20" s="142"/>
      <c r="B20" s="13"/>
      <c r="C20" s="15"/>
      <c r="D20" s="15"/>
      <c r="E20" s="15"/>
      <c r="F20" s="15"/>
      <c r="G20" s="15"/>
      <c r="H20" s="15"/>
      <c r="I20" s="15"/>
      <c r="J20" s="15"/>
      <c r="K20" s="12"/>
      <c r="L20" s="12"/>
      <c r="M20" s="12"/>
      <c r="N20" s="3"/>
      <c r="O20" s="15">
        <v>4222775</v>
      </c>
      <c r="P20" s="12"/>
      <c r="Q20" s="12"/>
      <c r="R20" s="15"/>
      <c r="S20" s="15"/>
      <c r="T20" s="15"/>
      <c r="U20" s="15"/>
      <c r="V20" s="15"/>
    </row>
    <row r="21" spans="1:22" x14ac:dyDescent="0.35">
      <c r="A21" s="47"/>
      <c r="B21" s="6"/>
      <c r="C21" s="6"/>
      <c r="D21" s="6"/>
      <c r="E21" s="6"/>
      <c r="F21" s="6"/>
      <c r="G21" s="6"/>
      <c r="H21" s="6"/>
      <c r="I21" s="6"/>
      <c r="J21" s="6"/>
      <c r="N21" s="3"/>
      <c r="O21" s="6"/>
      <c r="R21" s="6"/>
      <c r="S21" s="6"/>
      <c r="T21" s="6"/>
      <c r="U21" s="6"/>
      <c r="V21" s="6"/>
    </row>
    <row r="22" spans="1:22" x14ac:dyDescent="0.35">
      <c r="A22" s="49" t="str">
        <f t="shared" ref="A22" si="0">A4</f>
        <v>Group names</v>
      </c>
      <c r="B22" s="3" t="str">
        <f t="shared" ref="B22:V22" si="1">B4</f>
        <v>Solvent control</v>
      </c>
      <c r="C22" s="3" t="str">
        <f t="shared" si="1"/>
        <v>EE2-33.8ng/L</v>
      </c>
      <c r="D22" s="3" t="str">
        <f t="shared" si="1"/>
        <v>EE2-50.6ng/L</v>
      </c>
      <c r="E22" s="3" t="str">
        <f t="shared" si="1"/>
        <v>EE2-76ng/L</v>
      </c>
      <c r="F22" s="3" t="str">
        <f t="shared" si="1"/>
        <v>EE2-114ng/L</v>
      </c>
      <c r="G22" s="3" t="str">
        <f t="shared" si="1"/>
        <v>EE2-170.9ng/L</v>
      </c>
      <c r="H22" s="3" t="str">
        <f t="shared" si="1"/>
        <v>EE2-488ng/L</v>
      </c>
      <c r="I22" s="3" t="str">
        <f t="shared" si="1"/>
        <v>Amantadine-0.001mg/L</v>
      </c>
      <c r="J22" s="3" t="str">
        <f t="shared" si="1"/>
        <v>Amantadine-0.01mg/L</v>
      </c>
      <c r="K22" s="3" t="str">
        <f t="shared" si="1"/>
        <v>Amantadine-0.1mg/L</v>
      </c>
      <c r="L22" s="3" t="str">
        <f t="shared" si="1"/>
        <v>Amantadine-1mg/L</v>
      </c>
      <c r="M22" s="3" t="str">
        <f t="shared" si="1"/>
        <v>Amantadine-10mg/L</v>
      </c>
      <c r="N22" s="3" t="s">
        <v>11</v>
      </c>
      <c r="O22" s="3" t="str">
        <f t="shared" si="1"/>
        <v>Testo -30µg/L</v>
      </c>
      <c r="P22" s="3" t="str">
        <f t="shared" si="1"/>
        <v>Testo 30µg/L + EE2 -64ng/L</v>
      </c>
      <c r="Q22" s="3" t="str">
        <f t="shared" si="1"/>
        <v>Testo 30µg/L + FAD-10mg/L</v>
      </c>
      <c r="R22" s="3" t="str">
        <f t="shared" si="1"/>
        <v>Amantadine-0.001mg/L + Testostérone</v>
      </c>
      <c r="S22" s="3" t="str">
        <f t="shared" si="1"/>
        <v>Amantadine-0.01mg/L + Testostérone</v>
      </c>
      <c r="T22" s="3" t="str">
        <f t="shared" si="1"/>
        <v>Amantadine-0.1mg/L + Testostérone</v>
      </c>
      <c r="U22" s="3" t="str">
        <f t="shared" si="1"/>
        <v>Amantadine-1mg/L + Testostérone</v>
      </c>
      <c r="V22" s="3" t="str">
        <f t="shared" si="1"/>
        <v>Amantadine-10mg/L + Testostérone</v>
      </c>
    </row>
    <row r="23" spans="1:22" x14ac:dyDescent="0.35">
      <c r="A23" s="4" t="s">
        <v>0</v>
      </c>
      <c r="B23" s="4">
        <f t="shared" ref="B23:J23" si="2">AVERAGE(B5:B20)</f>
        <v>206629.25</v>
      </c>
      <c r="C23" s="4">
        <f t="shared" si="2"/>
        <v>350075</v>
      </c>
      <c r="D23" s="4">
        <f t="shared" si="2"/>
        <v>581950.375</v>
      </c>
      <c r="E23" s="4">
        <f t="shared" si="2"/>
        <v>2531617.5</v>
      </c>
      <c r="F23" s="4">
        <f t="shared" si="2"/>
        <v>4595202.625</v>
      </c>
      <c r="G23" s="4">
        <f t="shared" si="2"/>
        <v>5403951.75</v>
      </c>
      <c r="H23" s="4">
        <f t="shared" si="2"/>
        <v>8597869.125</v>
      </c>
      <c r="I23" s="4">
        <f t="shared" si="2"/>
        <v>144496.125</v>
      </c>
      <c r="J23" s="4">
        <f t="shared" si="2"/>
        <v>142826.75</v>
      </c>
      <c r="K23" s="4"/>
      <c r="L23" s="4">
        <f>AVERAGE(L5:L20)</f>
        <v>147439.875</v>
      </c>
      <c r="M23" s="4"/>
      <c r="N23" s="4" t="s">
        <v>0</v>
      </c>
      <c r="O23" s="4">
        <f>AVERAGE(O5:O20)</f>
        <v>3552389.25</v>
      </c>
      <c r="P23" s="4">
        <f>AVERAGE(P5:P20)</f>
        <v>6666161.125</v>
      </c>
      <c r="Q23" s="4">
        <f>AVERAGE(Q5:Q20)</f>
        <v>147497.625</v>
      </c>
      <c r="R23" s="4">
        <f>AVERAGE(R5:R20)</f>
        <v>3073960.5</v>
      </c>
      <c r="S23" s="4">
        <f>AVERAGE(S5:S20)</f>
        <v>2449722.5</v>
      </c>
      <c r="T23" s="4">
        <f t="shared" ref="T23:V23" si="3">AVERAGE(T5:T20)</f>
        <v>3273648.875</v>
      </c>
      <c r="U23" s="4">
        <f t="shared" si="3"/>
        <v>3385751.875</v>
      </c>
      <c r="V23" s="4">
        <f t="shared" si="3"/>
        <v>4818397.5</v>
      </c>
    </row>
    <row r="24" spans="1:22" x14ac:dyDescent="0.35">
      <c r="A24" s="3" t="s">
        <v>1</v>
      </c>
      <c r="B24" s="3">
        <f t="shared" ref="B24:J24" si="4">STDEV(B5:B20)</f>
        <v>213036.11600165692</v>
      </c>
      <c r="C24" s="3">
        <f t="shared" si="4"/>
        <v>297129.53866141086</v>
      </c>
      <c r="D24" s="3">
        <f t="shared" si="4"/>
        <v>629817.23752868804</v>
      </c>
      <c r="E24" s="3">
        <f t="shared" si="4"/>
        <v>1292324.7290822181</v>
      </c>
      <c r="F24" s="3">
        <f t="shared" si="4"/>
        <v>2167790.8651529448</v>
      </c>
      <c r="G24" s="3">
        <f t="shared" si="4"/>
        <v>2040059.4865602572</v>
      </c>
      <c r="H24" s="3">
        <f t="shared" si="4"/>
        <v>3113317.1309533888</v>
      </c>
      <c r="I24" s="3">
        <f t="shared" si="4"/>
        <v>138373.45356414234</v>
      </c>
      <c r="J24" s="3">
        <f t="shared" si="4"/>
        <v>122339.61942740731</v>
      </c>
      <c r="K24" s="3"/>
      <c r="L24" s="3">
        <f>STDEV(L5:L20)</f>
        <v>105205.85424156029</v>
      </c>
      <c r="M24" s="3"/>
      <c r="N24" s="3" t="s">
        <v>1</v>
      </c>
      <c r="O24" s="3">
        <f>STDEV(O5:O20)</f>
        <v>1820196.7887602521</v>
      </c>
      <c r="P24" s="3">
        <f>STDEV(P5:P20)</f>
        <v>2008830.767019351</v>
      </c>
      <c r="Q24" s="3">
        <f>STDEV(Q5:Q20)</f>
        <v>120840.91925448042</v>
      </c>
      <c r="R24" s="3">
        <f>STDEV(R5:R20)</f>
        <v>1589450.5069210015</v>
      </c>
      <c r="S24" s="3">
        <f>STDEV(S5:S20)</f>
        <v>1746763.2825989902</v>
      </c>
      <c r="T24" s="3">
        <f t="shared" ref="T24:V24" si="5">STDEV(T5:T20)</f>
        <v>2166875.186770469</v>
      </c>
      <c r="U24" s="3">
        <f t="shared" si="5"/>
        <v>2409677.4190163435</v>
      </c>
      <c r="V24" s="3">
        <f t="shared" si="5"/>
        <v>1575013.5390432137</v>
      </c>
    </row>
    <row r="25" spans="1:22" ht="15" thickBot="1" x14ac:dyDescent="0.4"/>
    <row r="26" spans="1:22" ht="15" thickBot="1" x14ac:dyDescent="0.4">
      <c r="B26" s="145" t="s">
        <v>42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O26" s="145" t="s">
        <v>43</v>
      </c>
      <c r="P26" s="146"/>
      <c r="Q26" s="146"/>
      <c r="R26" s="146"/>
      <c r="S26" s="146"/>
      <c r="T26" s="146"/>
      <c r="U26" s="146"/>
      <c r="V26" s="146"/>
    </row>
    <row r="27" spans="1:22" x14ac:dyDescent="0.35">
      <c r="A27" s="17" t="str">
        <f>A4</f>
        <v>Group names</v>
      </c>
      <c r="B27" s="18" t="str">
        <f>B4</f>
        <v>Solvent control</v>
      </c>
      <c r="C27" s="18" t="str">
        <f t="shared" ref="C27:M27" si="6">C4</f>
        <v>EE2-33.8ng/L</v>
      </c>
      <c r="D27" s="18" t="str">
        <f t="shared" si="6"/>
        <v>EE2-50.6ng/L</v>
      </c>
      <c r="E27" s="18" t="str">
        <f t="shared" si="6"/>
        <v>EE2-76ng/L</v>
      </c>
      <c r="F27" s="18" t="str">
        <f t="shared" si="6"/>
        <v>EE2-114ng/L</v>
      </c>
      <c r="G27" s="18" t="str">
        <f t="shared" si="6"/>
        <v>EE2-170.9ng/L</v>
      </c>
      <c r="H27" s="18" t="str">
        <f t="shared" si="6"/>
        <v>EE2-488ng/L</v>
      </c>
      <c r="I27" s="18" t="str">
        <f t="shared" si="6"/>
        <v>Amantadine-0.001mg/L</v>
      </c>
      <c r="J27" s="18" t="str">
        <f t="shared" si="6"/>
        <v>Amantadine-0.01mg/L</v>
      </c>
      <c r="K27" s="18" t="str">
        <f t="shared" si="6"/>
        <v>Amantadine-0.1mg/L</v>
      </c>
      <c r="L27" s="18" t="str">
        <f t="shared" si="6"/>
        <v>Amantadine-1mg/L</v>
      </c>
      <c r="M27" s="18" t="str">
        <f t="shared" si="6"/>
        <v>Amantadine-10mg/L</v>
      </c>
      <c r="N27" s="3"/>
      <c r="O27" s="19" t="str">
        <f>O4</f>
        <v>Testo -30µg/L</v>
      </c>
      <c r="P27" s="19" t="str">
        <f t="shared" ref="P27:V27" si="7">P4</f>
        <v>Testo 30µg/L + EE2 -64ng/L</v>
      </c>
      <c r="Q27" s="19" t="str">
        <f t="shared" si="7"/>
        <v>Testo 30µg/L + FAD-10mg/L</v>
      </c>
      <c r="R27" s="19" t="str">
        <f t="shared" si="7"/>
        <v>Amantadine-0.001mg/L + Testostérone</v>
      </c>
      <c r="S27" s="19" t="str">
        <f t="shared" si="7"/>
        <v>Amantadine-0.01mg/L + Testostérone</v>
      </c>
      <c r="T27" s="19" t="str">
        <f t="shared" si="7"/>
        <v>Amantadine-0.1mg/L + Testostérone</v>
      </c>
      <c r="U27" s="19" t="str">
        <f t="shared" si="7"/>
        <v>Amantadine-1mg/L + Testostérone</v>
      </c>
      <c r="V27" s="19" t="str">
        <f t="shared" si="7"/>
        <v>Amantadine-10mg/L + Testostérone</v>
      </c>
    </row>
    <row r="28" spans="1:22" ht="14.5" customHeight="1" x14ac:dyDescent="0.35">
      <c r="A28" s="143" t="s">
        <v>36</v>
      </c>
      <c r="B28" s="10">
        <f t="shared" ref="B28:M28" si="8">IF(B5="","",(B5/$O$23))</f>
        <v>1.8530626957617327E-2</v>
      </c>
      <c r="C28" s="10">
        <f t="shared" si="8"/>
        <v>5.4183251455340933E-3</v>
      </c>
      <c r="D28" s="10">
        <f t="shared" si="8"/>
        <v>0.58695369602303571</v>
      </c>
      <c r="E28" s="10">
        <f t="shared" si="8"/>
        <v>0.6037480267681814</v>
      </c>
      <c r="F28" s="10">
        <f t="shared" si="8"/>
        <v>1.4914018783273821</v>
      </c>
      <c r="G28" s="10">
        <f t="shared" si="8"/>
        <v>0.93152854800469853</v>
      </c>
      <c r="H28" s="10">
        <f t="shared" si="8"/>
        <v>2.5808706070147016</v>
      </c>
      <c r="I28" s="10">
        <f t="shared" si="8"/>
        <v>3.166516732365407E-2</v>
      </c>
      <c r="J28" s="10">
        <f t="shared" si="8"/>
        <v>1.0435511817856109E-2</v>
      </c>
      <c r="K28" s="10">
        <f t="shared" si="8"/>
        <v>8.9714267658027626E-3</v>
      </c>
      <c r="L28" s="10">
        <f t="shared" si="8"/>
        <v>3.0183066227891551E-2</v>
      </c>
      <c r="M28" s="10">
        <f t="shared" si="8"/>
        <v>3.5762691264759346E-2</v>
      </c>
      <c r="N28" s="5"/>
      <c r="O28" s="10">
        <f t="shared" ref="O28:V37" si="9">IF(O5="","",(O5/$O$23))</f>
        <v>0.64005767385992396</v>
      </c>
      <c r="P28" s="10">
        <f t="shared" si="9"/>
        <v>1.1995599862824717</v>
      </c>
      <c r="Q28" s="10">
        <f t="shared" si="9"/>
        <v>4.0967920393295866E-2</v>
      </c>
      <c r="R28" s="10">
        <f t="shared" si="9"/>
        <v>0.48618940055625942</v>
      </c>
      <c r="S28" s="10">
        <f t="shared" si="9"/>
        <v>0.75313846870806744</v>
      </c>
      <c r="T28" s="10">
        <f t="shared" si="9"/>
        <v>1.5086184600969614</v>
      </c>
      <c r="U28" s="10">
        <f t="shared" si="9"/>
        <v>1.5315041841205888</v>
      </c>
      <c r="V28" s="10">
        <f t="shared" si="9"/>
        <v>1.356146148680075</v>
      </c>
    </row>
    <row r="29" spans="1:22" x14ac:dyDescent="0.35">
      <c r="A29" s="144"/>
      <c r="B29" s="10">
        <f t="shared" ref="B29:M29" si="10">IF(B6="","",(B6/$O$23))</f>
        <v>7.1590972188647406E-2</v>
      </c>
      <c r="C29" s="10">
        <f t="shared" si="10"/>
        <v>0.20208821429126889</v>
      </c>
      <c r="D29" s="10">
        <f t="shared" si="10"/>
        <v>4.9290769585568363E-2</v>
      </c>
      <c r="E29" s="10">
        <f t="shared" si="10"/>
        <v>0.58541726529546279</v>
      </c>
      <c r="F29" s="10">
        <f t="shared" si="10"/>
        <v>1.6687354855608798</v>
      </c>
      <c r="G29" s="10">
        <f t="shared" si="10"/>
        <v>1.2596032374549044</v>
      </c>
      <c r="H29" s="10">
        <f t="shared" si="10"/>
        <v>2.6621091706096114</v>
      </c>
      <c r="I29" s="10">
        <f t="shared" si="10"/>
        <v>0.12516477466538894</v>
      </c>
      <c r="J29" s="10">
        <f t="shared" si="10"/>
        <v>0.10142638507308849</v>
      </c>
      <c r="K29" s="10">
        <f t="shared" si="10"/>
        <v>2.1139575287252094E-2</v>
      </c>
      <c r="L29" s="10">
        <f t="shared" si="10"/>
        <v>3.6339204663452918E-2</v>
      </c>
      <c r="M29" s="10">
        <f t="shared" si="10"/>
        <v>6.0840742607246659E-3</v>
      </c>
      <c r="N29" s="5"/>
      <c r="O29" s="10">
        <f t="shared" si="9"/>
        <v>2.1990960027817898</v>
      </c>
      <c r="P29" s="10">
        <f t="shared" si="9"/>
        <v>2.6152998295442988</v>
      </c>
      <c r="Q29" s="10">
        <f t="shared" si="9"/>
        <v>7.3468863244645841E-3</v>
      </c>
      <c r="R29" s="10">
        <f t="shared" si="9"/>
        <v>1.3919127809543956</v>
      </c>
      <c r="S29" s="10">
        <f t="shared" si="9"/>
        <v>0.14379561586613854</v>
      </c>
      <c r="T29" s="10">
        <f t="shared" si="9"/>
        <v>0.80354201049336016</v>
      </c>
      <c r="U29" s="10">
        <f t="shared" si="9"/>
        <v>1.3763736617545501</v>
      </c>
      <c r="V29" s="10">
        <f t="shared" si="9"/>
        <v>1.628507348962392</v>
      </c>
    </row>
    <row r="30" spans="1:22" x14ac:dyDescent="0.35">
      <c r="A30" s="144"/>
      <c r="B30" s="10">
        <f t="shared" ref="B30:M30" si="11">IF(B7="","",(B7/$O$23))</f>
        <v>1.2722704866872344E-2</v>
      </c>
      <c r="C30" s="10">
        <f t="shared" si="11"/>
        <v>5.8892194879826304E-2</v>
      </c>
      <c r="D30" s="10">
        <f t="shared" si="11"/>
        <v>0.19034963581201017</v>
      </c>
      <c r="E30" s="10">
        <f t="shared" si="11"/>
        <v>0.9187976796180205</v>
      </c>
      <c r="F30" s="10">
        <f t="shared" si="11"/>
        <v>1.0832585421206304</v>
      </c>
      <c r="G30" s="10">
        <f t="shared" si="11"/>
        <v>2.7217763368696155</v>
      </c>
      <c r="H30" s="10">
        <f t="shared" si="11"/>
        <v>1.7860939647872203</v>
      </c>
      <c r="I30" s="10">
        <f t="shared" si="11"/>
        <v>4.3193464792744768E-3</v>
      </c>
      <c r="J30" s="10">
        <f t="shared" si="11"/>
        <v>7.1170973169677285E-2</v>
      </c>
      <c r="K30" s="10">
        <f t="shared" si="11"/>
        <v>0.20314130834620672</v>
      </c>
      <c r="L30" s="10">
        <f t="shared" si="11"/>
        <v>1.4450274558172363E-2</v>
      </c>
      <c r="M30" s="10">
        <f t="shared" si="11"/>
        <v>1.4868021571678835E-2</v>
      </c>
      <c r="N30" s="5"/>
      <c r="O30" s="10">
        <f t="shared" si="9"/>
        <v>0.83230490577573957</v>
      </c>
      <c r="P30" s="10">
        <f t="shared" si="9"/>
        <v>1.6767208154342883</v>
      </c>
      <c r="Q30" s="10">
        <f t="shared" si="9"/>
        <v>3.8251720303454924E-2</v>
      </c>
      <c r="R30" s="10">
        <f t="shared" si="9"/>
        <v>1.1131553221539559</v>
      </c>
      <c r="S30" s="10">
        <f t="shared" si="9"/>
        <v>1.2699292455070907</v>
      </c>
      <c r="T30" s="10">
        <f t="shared" si="9"/>
        <v>1.0972094344672392</v>
      </c>
      <c r="U30" s="10">
        <f t="shared" si="9"/>
        <v>0.73856180034324781</v>
      </c>
      <c r="V30" s="10">
        <f t="shared" si="9"/>
        <v>1.643418721639246</v>
      </c>
    </row>
    <row r="31" spans="1:22" x14ac:dyDescent="0.35">
      <c r="A31" s="144"/>
      <c r="B31" s="10">
        <f t="shared" ref="B31:M31" si="12">IF(B8="","",(B8/$O$23))</f>
        <v>0.12281734047022015</v>
      </c>
      <c r="C31" s="10">
        <f t="shared" si="12"/>
        <v>8.9872752542531756E-2</v>
      </c>
      <c r="D31" s="10">
        <f t="shared" si="12"/>
        <v>0.12915054283536073</v>
      </c>
      <c r="E31" s="10">
        <f t="shared" si="12"/>
        <v>0.53379398105092224</v>
      </c>
      <c r="F31" s="10">
        <f t="shared" si="12"/>
        <v>2.3291732458654413</v>
      </c>
      <c r="G31" s="10">
        <f t="shared" si="12"/>
        <v>1.200074569530915</v>
      </c>
      <c r="H31" s="10">
        <f t="shared" si="12"/>
        <v>3.4761545345854201</v>
      </c>
      <c r="I31" s="10">
        <f t="shared" si="12"/>
        <v>3.8536035993240327E-2</v>
      </c>
      <c r="J31" s="10">
        <f t="shared" si="12"/>
        <v>3.4372359391640427E-2</v>
      </c>
      <c r="K31" s="10">
        <f t="shared" si="12"/>
        <v>2.9701137058671147E-3</v>
      </c>
      <c r="L31" s="10">
        <f t="shared" si="12"/>
        <v>9.1144854128809225E-2</v>
      </c>
      <c r="M31" s="10">
        <f t="shared" si="12"/>
        <v>0.18803626319947905</v>
      </c>
      <c r="N31" s="5"/>
      <c r="O31" s="10">
        <f t="shared" si="9"/>
        <v>0.76866238687103339</v>
      </c>
      <c r="P31" s="10">
        <f t="shared" si="9"/>
        <v>1.4097908893289213</v>
      </c>
      <c r="Q31" s="10">
        <f t="shared" si="9"/>
        <v>4.344822291081981E-2</v>
      </c>
      <c r="R31" s="10">
        <f t="shared" si="9"/>
        <v>0.36513143935451331</v>
      </c>
      <c r="S31" s="10">
        <f t="shared" si="9"/>
        <v>0.89368387768879776</v>
      </c>
      <c r="T31" s="10">
        <f t="shared" si="9"/>
        <v>0.42877423975990242</v>
      </c>
      <c r="U31" s="10">
        <f t="shared" si="9"/>
        <v>2.1349172250760526</v>
      </c>
      <c r="V31" s="10">
        <f t="shared" si="9"/>
        <v>1.479079467431673</v>
      </c>
    </row>
    <row r="32" spans="1:22" x14ac:dyDescent="0.35">
      <c r="A32" s="144"/>
      <c r="B32" s="10">
        <f t="shared" ref="B32:M32" si="13">IF(B9="","",(B9/$O$23))</f>
        <v>6.5916199920940536E-3</v>
      </c>
      <c r="C32" s="10">
        <f t="shared" si="13"/>
        <v>1.6398259284226807E-2</v>
      </c>
      <c r="D32" s="10">
        <f t="shared" si="13"/>
        <v>0.10926251958453033</v>
      </c>
      <c r="E32" s="10">
        <f t="shared" si="13"/>
        <v>0.30162770028650437</v>
      </c>
      <c r="F32" s="10">
        <f t="shared" si="13"/>
        <v>1.4947019108336734</v>
      </c>
      <c r="G32" s="10">
        <f t="shared" si="13"/>
        <v>1.1408406328219802</v>
      </c>
      <c r="H32" s="10">
        <f t="shared" si="13"/>
        <v>2.5946897570416869</v>
      </c>
      <c r="I32" s="10">
        <f t="shared" si="13"/>
        <v>1.0870430373022889E-2</v>
      </c>
      <c r="J32" s="10">
        <f t="shared" si="13"/>
        <v>5.9137663475363799E-3</v>
      </c>
      <c r="K32" s="10">
        <f t="shared" si="13"/>
        <v>1.9148802457388363E-2</v>
      </c>
      <c r="L32" s="10">
        <f t="shared" si="13"/>
        <v>6.5270155853556874E-2</v>
      </c>
      <c r="M32" s="10">
        <f t="shared" si="13"/>
        <v>4.234051772338856E-3</v>
      </c>
      <c r="N32" s="5"/>
      <c r="O32" s="10">
        <f t="shared" si="9"/>
        <v>0.8376959253550269</v>
      </c>
      <c r="P32" s="10">
        <f t="shared" si="9"/>
        <v>1.6840710797669485</v>
      </c>
      <c r="Q32" s="10">
        <f t="shared" si="9"/>
        <v>0.1135309144401898</v>
      </c>
      <c r="R32" s="10">
        <f t="shared" si="9"/>
        <v>0.49689487152907019</v>
      </c>
      <c r="S32" s="10">
        <f t="shared" si="9"/>
        <v>1.6346463158562932E-2</v>
      </c>
      <c r="T32" s="10">
        <f t="shared" si="9"/>
        <v>0.3740313649468453</v>
      </c>
      <c r="U32" s="10">
        <f t="shared" si="9"/>
        <v>0.87489004759261668</v>
      </c>
      <c r="V32" s="10">
        <f t="shared" si="9"/>
        <v>1.9739784991185862</v>
      </c>
    </row>
    <row r="33" spans="1:22" x14ac:dyDescent="0.35">
      <c r="A33" s="144"/>
      <c r="B33" s="10">
        <f t="shared" ref="B33:M33" si="14">IF(B10="","",(B10/$O$23))</f>
        <v>5.5554159781335899E-3</v>
      </c>
      <c r="C33" s="10">
        <f t="shared" si="14"/>
        <v>0.19022493100946075</v>
      </c>
      <c r="D33" s="10">
        <f t="shared" si="14"/>
        <v>5.5514468185039127E-2</v>
      </c>
      <c r="E33" s="10">
        <f t="shared" si="14"/>
        <v>0.78660721090741959</v>
      </c>
      <c r="F33" s="10">
        <f t="shared" si="14"/>
        <v>0.35130187380225858</v>
      </c>
      <c r="G33" s="10">
        <f t="shared" si="14"/>
        <v>1.7095404170587443</v>
      </c>
      <c r="H33" s="10">
        <f t="shared" si="14"/>
        <v>2.1370391772241737</v>
      </c>
      <c r="I33" s="10">
        <f t="shared" si="14"/>
        <v>1.1624007701295685E-2</v>
      </c>
      <c r="J33" s="10">
        <f t="shared" si="14"/>
        <v>7.890745643935276E-3</v>
      </c>
      <c r="K33" s="10">
        <f t="shared" si="14"/>
        <v>4.8917781180651869E-2</v>
      </c>
      <c r="L33" s="10">
        <f t="shared" si="14"/>
        <v>6.6936921397338423E-2</v>
      </c>
      <c r="M33" s="10">
        <f t="shared" si="14"/>
        <v>0.20351317074839137</v>
      </c>
      <c r="N33" s="5"/>
      <c r="O33" s="10">
        <f t="shared" si="9"/>
        <v>0.67319987526704739</v>
      </c>
      <c r="P33" s="10">
        <f t="shared" si="9"/>
        <v>1.8006543061124285</v>
      </c>
      <c r="Q33" s="10">
        <f t="shared" si="9"/>
        <v>5.6043970969679065E-3</v>
      </c>
      <c r="R33" s="10">
        <f t="shared" si="9"/>
        <v>1.4990418068628037</v>
      </c>
      <c r="S33" s="10">
        <f t="shared" si="9"/>
        <v>0.25776820487788604</v>
      </c>
      <c r="T33" s="10">
        <f t="shared" si="9"/>
        <v>2.0842569546679042</v>
      </c>
      <c r="U33" s="10">
        <f t="shared" si="9"/>
        <v>0.33263612651682245</v>
      </c>
      <c r="V33" s="10">
        <f t="shared" si="9"/>
        <v>1.1845216567976047</v>
      </c>
    </row>
    <row r="34" spans="1:22" x14ac:dyDescent="0.35">
      <c r="A34" s="144"/>
      <c r="B34" s="10">
        <f t="shared" ref="B34:M34" si="15">IF(B11="","",(B11/$O$23))</f>
        <v>0.16653017402301845</v>
      </c>
      <c r="C34" s="10">
        <f t="shared" si="15"/>
        <v>3.407875417931748E-2</v>
      </c>
      <c r="D34" s="10">
        <f t="shared" si="15"/>
        <v>6.5076201883000298E-2</v>
      </c>
      <c r="E34" s="10">
        <f t="shared" si="15"/>
        <v>0.48539050161803071</v>
      </c>
      <c r="F34" s="10">
        <f t="shared" si="15"/>
        <v>0.67702406204500254</v>
      </c>
      <c r="G34" s="10">
        <f t="shared" si="15"/>
        <v>1.8809681399638285</v>
      </c>
      <c r="H34" s="10">
        <f t="shared" si="15"/>
        <v>3.3682933254006442</v>
      </c>
      <c r="I34" s="10">
        <f t="shared" si="15"/>
        <v>5.8802114661280436E-2</v>
      </c>
      <c r="J34" s="10">
        <f t="shared" si="15"/>
        <v>5.9441684212956113E-2</v>
      </c>
      <c r="K34" s="10">
        <f t="shared" si="15"/>
        <v>7.1182514697678473E-2</v>
      </c>
      <c r="L34" s="10">
        <f t="shared" si="15"/>
        <v>8.9539737234594994E-3</v>
      </c>
      <c r="M34" s="10">
        <f t="shared" si="15"/>
        <v>2.637689549364558E-2</v>
      </c>
      <c r="N34" s="5"/>
      <c r="O34" s="10">
        <f t="shared" si="9"/>
        <v>0.82863244786589763</v>
      </c>
      <c r="P34" s="10">
        <f t="shared" si="9"/>
        <v>1.7873936534404276</v>
      </c>
      <c r="Q34" s="10">
        <f t="shared" si="9"/>
        <v>2.6641787636307028E-2</v>
      </c>
      <c r="R34" s="10">
        <f t="shared" si="9"/>
        <v>1.0285488843881621</v>
      </c>
      <c r="S34" s="10">
        <f t="shared" si="9"/>
        <v>1.2492079802347111</v>
      </c>
      <c r="T34" s="10">
        <f t="shared" si="9"/>
        <v>0.42338575368676168</v>
      </c>
      <c r="U34" s="10">
        <f t="shared" si="9"/>
        <v>0.1356298440549554</v>
      </c>
      <c r="V34" s="10">
        <f t="shared" si="9"/>
        <v>0.51154838958033666</v>
      </c>
    </row>
    <row r="35" spans="1:22" x14ac:dyDescent="0.35">
      <c r="A35" s="144"/>
      <c r="B35" s="10">
        <f t="shared" ref="B35:M35" si="16">IF(B12="","",(B12/$O$23))</f>
        <v>6.0991345472628036E-2</v>
      </c>
      <c r="C35" s="10">
        <f t="shared" si="16"/>
        <v>0.19139738135397183</v>
      </c>
      <c r="D35" s="10">
        <f t="shared" si="16"/>
        <v>0.12495759016273343</v>
      </c>
      <c r="E35" s="10">
        <f t="shared" si="16"/>
        <v>1.4858340763191984</v>
      </c>
      <c r="F35" s="10">
        <f t="shared" si="16"/>
        <v>1.2528244195086449</v>
      </c>
      <c r="G35" s="10">
        <f t="shared" si="16"/>
        <v>1.3253969845787592</v>
      </c>
      <c r="H35" s="10">
        <f t="shared" si="16"/>
        <v>0.75719770855629065</v>
      </c>
      <c r="I35" s="10">
        <f t="shared" si="16"/>
        <v>4.4424185778627723E-2</v>
      </c>
      <c r="J35" s="10">
        <f t="shared" si="16"/>
        <v>3.0995195698219163E-2</v>
      </c>
      <c r="K35" s="10">
        <f t="shared" si="16"/>
        <v>1.8696712360561276E-2</v>
      </c>
      <c r="L35" s="10">
        <f t="shared" si="16"/>
        <v>1.8756953506713827E-2</v>
      </c>
      <c r="M35" s="10">
        <f t="shared" si="16"/>
        <v>2.4110533495168077E-2</v>
      </c>
      <c r="N35" s="5"/>
      <c r="O35" s="10">
        <f t="shared" si="9"/>
        <v>1.4012895687036548</v>
      </c>
      <c r="P35" s="10">
        <f t="shared" si="9"/>
        <v>2.8387407151398176</v>
      </c>
      <c r="Q35" s="10">
        <f t="shared" si="9"/>
        <v>5.637360826942036E-2</v>
      </c>
      <c r="R35" s="10">
        <f t="shared" si="9"/>
        <v>0.54170133523515196</v>
      </c>
      <c r="S35" s="10">
        <f t="shared" si="9"/>
        <v>0.93291859837713453</v>
      </c>
      <c r="T35" s="10">
        <f t="shared" si="9"/>
        <v>0.65245693444208008</v>
      </c>
      <c r="U35" s="10">
        <f t="shared" si="9"/>
        <v>0.50021883159341285</v>
      </c>
      <c r="V35" s="10">
        <f t="shared" si="9"/>
        <v>1.0738572638119541</v>
      </c>
    </row>
    <row r="36" spans="1:22" x14ac:dyDescent="0.35">
      <c r="A36" s="144"/>
      <c r="B36" s="10" t="str">
        <f t="shared" ref="B36:M36" si="17">IF(B13="","",(B13/$O$23))</f>
        <v/>
      </c>
      <c r="C36" s="10" t="str">
        <f t="shared" si="17"/>
        <v/>
      </c>
      <c r="D36" s="10" t="str">
        <f t="shared" si="17"/>
        <v/>
      </c>
      <c r="E36" s="10" t="str">
        <f t="shared" si="17"/>
        <v/>
      </c>
      <c r="F36" s="10" t="str">
        <f t="shared" si="17"/>
        <v/>
      </c>
      <c r="G36" s="10" t="str">
        <f t="shared" si="17"/>
        <v/>
      </c>
      <c r="H36" s="10" t="str">
        <f t="shared" si="17"/>
        <v/>
      </c>
      <c r="I36" s="10" t="str">
        <f t="shared" si="17"/>
        <v/>
      </c>
      <c r="J36" s="10" t="str">
        <f t="shared" si="17"/>
        <v/>
      </c>
      <c r="K36" s="10" t="str">
        <f t="shared" si="17"/>
        <v/>
      </c>
      <c r="L36" s="10" t="str">
        <f t="shared" si="17"/>
        <v/>
      </c>
      <c r="M36" s="10" t="str">
        <f t="shared" si="17"/>
        <v/>
      </c>
      <c r="N36" s="5"/>
      <c r="O36" s="10">
        <f t="shared" si="9"/>
        <v>0.3539147631414547</v>
      </c>
      <c r="P36" s="10" t="str">
        <f t="shared" si="9"/>
        <v/>
      </c>
      <c r="Q36" s="10" t="str">
        <f t="shared" si="9"/>
        <v/>
      </c>
      <c r="R36" s="10" t="str">
        <f t="shared" si="9"/>
        <v/>
      </c>
      <c r="S36" s="10" t="str">
        <f t="shared" si="9"/>
        <v/>
      </c>
      <c r="T36" s="10" t="str">
        <f t="shared" si="9"/>
        <v/>
      </c>
      <c r="U36" s="10" t="str">
        <f t="shared" si="9"/>
        <v/>
      </c>
      <c r="V36" s="10" t="str">
        <f t="shared" si="9"/>
        <v/>
      </c>
    </row>
    <row r="37" spans="1:22" x14ac:dyDescent="0.35">
      <c r="A37" s="144"/>
      <c r="B37" s="10" t="str">
        <f t="shared" ref="B37:M37" si="18">IF(B14="","",(B14/$O$23))</f>
        <v/>
      </c>
      <c r="C37" s="10" t="str">
        <f t="shared" si="18"/>
        <v/>
      </c>
      <c r="D37" s="10" t="str">
        <f t="shared" si="18"/>
        <v/>
      </c>
      <c r="E37" s="10" t="str">
        <f t="shared" si="18"/>
        <v/>
      </c>
      <c r="F37" s="10" t="str">
        <f t="shared" si="18"/>
        <v/>
      </c>
      <c r="G37" s="10" t="str">
        <f t="shared" si="18"/>
        <v/>
      </c>
      <c r="H37" s="10" t="str">
        <f t="shared" si="18"/>
        <v/>
      </c>
      <c r="I37" s="10" t="str">
        <f t="shared" si="18"/>
        <v/>
      </c>
      <c r="J37" s="10" t="str">
        <f t="shared" si="18"/>
        <v/>
      </c>
      <c r="K37" s="10" t="str">
        <f t="shared" si="18"/>
        <v/>
      </c>
      <c r="L37" s="10" t="str">
        <f t="shared" si="18"/>
        <v/>
      </c>
      <c r="M37" s="10" t="str">
        <f t="shared" si="18"/>
        <v/>
      </c>
      <c r="N37" s="5"/>
      <c r="O37" s="10">
        <f t="shared" si="9"/>
        <v>1.0323395725848454</v>
      </c>
      <c r="P37" s="10" t="str">
        <f t="shared" si="9"/>
        <v/>
      </c>
      <c r="Q37" s="10" t="str">
        <f t="shared" si="9"/>
        <v/>
      </c>
      <c r="R37" s="10" t="str">
        <f t="shared" si="9"/>
        <v/>
      </c>
      <c r="S37" s="10" t="str">
        <f t="shared" si="9"/>
        <v/>
      </c>
      <c r="T37" s="10" t="str">
        <f t="shared" si="9"/>
        <v/>
      </c>
      <c r="U37" s="10" t="str">
        <f t="shared" si="9"/>
        <v/>
      </c>
      <c r="V37" s="10" t="str">
        <f t="shared" si="9"/>
        <v/>
      </c>
    </row>
    <row r="38" spans="1:22" x14ac:dyDescent="0.35">
      <c r="A38" s="144"/>
      <c r="B38" s="10" t="str">
        <f t="shared" ref="B38:M38" si="19">IF(B15="","",(B15/$O$23))</f>
        <v/>
      </c>
      <c r="C38" s="10" t="str">
        <f t="shared" si="19"/>
        <v/>
      </c>
      <c r="D38" s="10" t="str">
        <f t="shared" si="19"/>
        <v/>
      </c>
      <c r="E38" s="10" t="str">
        <f t="shared" si="19"/>
        <v/>
      </c>
      <c r="F38" s="10" t="str">
        <f t="shared" si="19"/>
        <v/>
      </c>
      <c r="G38" s="10" t="str">
        <f t="shared" si="19"/>
        <v/>
      </c>
      <c r="H38" s="10" t="str">
        <f t="shared" si="19"/>
        <v/>
      </c>
      <c r="I38" s="10" t="str">
        <f t="shared" si="19"/>
        <v/>
      </c>
      <c r="J38" s="10" t="str">
        <f t="shared" si="19"/>
        <v/>
      </c>
      <c r="K38" s="10" t="str">
        <f t="shared" si="19"/>
        <v/>
      </c>
      <c r="L38" s="10" t="str">
        <f t="shared" si="19"/>
        <v/>
      </c>
      <c r="M38" s="10" t="str">
        <f t="shared" si="19"/>
        <v/>
      </c>
      <c r="N38" s="5"/>
      <c r="O38" s="10">
        <f t="shared" ref="O38:V43" si="20">IF(O15="","",(O15/$O$23))</f>
        <v>1.4830655171023277</v>
      </c>
      <c r="P38" s="10" t="str">
        <f t="shared" si="20"/>
        <v/>
      </c>
      <c r="Q38" s="10" t="str">
        <f t="shared" si="20"/>
        <v/>
      </c>
      <c r="R38" s="10" t="str">
        <f t="shared" si="20"/>
        <v/>
      </c>
      <c r="S38" s="10" t="str">
        <f t="shared" si="20"/>
        <v/>
      </c>
      <c r="T38" s="10" t="str">
        <f t="shared" si="20"/>
        <v/>
      </c>
      <c r="U38" s="10" t="str">
        <f t="shared" si="20"/>
        <v/>
      </c>
      <c r="V38" s="10" t="str">
        <f t="shared" si="20"/>
        <v/>
      </c>
    </row>
    <row r="39" spans="1:22" x14ac:dyDescent="0.35">
      <c r="A39" s="144"/>
      <c r="B39" s="10" t="str">
        <f t="shared" ref="B39:M39" si="21">IF(B16="","",(B16/$O$23))</f>
        <v/>
      </c>
      <c r="C39" s="10" t="str">
        <f t="shared" si="21"/>
        <v/>
      </c>
      <c r="D39" s="10" t="str">
        <f t="shared" si="21"/>
        <v/>
      </c>
      <c r="E39" s="10" t="str">
        <f t="shared" si="21"/>
        <v/>
      </c>
      <c r="F39" s="10" t="str">
        <f t="shared" si="21"/>
        <v/>
      </c>
      <c r="G39" s="10" t="str">
        <f t="shared" si="21"/>
        <v/>
      </c>
      <c r="H39" s="10" t="str">
        <f t="shared" si="21"/>
        <v/>
      </c>
      <c r="I39" s="10" t="str">
        <f t="shared" si="21"/>
        <v/>
      </c>
      <c r="J39" s="10" t="str">
        <f t="shared" si="21"/>
        <v/>
      </c>
      <c r="K39" s="10" t="str">
        <f t="shared" si="21"/>
        <v/>
      </c>
      <c r="L39" s="10" t="str">
        <f t="shared" si="21"/>
        <v/>
      </c>
      <c r="M39" s="10" t="str">
        <f t="shared" si="21"/>
        <v/>
      </c>
      <c r="N39" s="5"/>
      <c r="O39" s="10">
        <f t="shared" si="20"/>
        <v>1.2888700189597748</v>
      </c>
      <c r="P39" s="10" t="str">
        <f t="shared" si="20"/>
        <v/>
      </c>
      <c r="Q39" s="10" t="str">
        <f t="shared" si="20"/>
        <v/>
      </c>
      <c r="R39" s="10" t="str">
        <f t="shared" si="20"/>
        <v/>
      </c>
      <c r="S39" s="10" t="str">
        <f t="shared" si="20"/>
        <v/>
      </c>
      <c r="T39" s="10" t="str">
        <f t="shared" si="20"/>
        <v/>
      </c>
      <c r="U39" s="10" t="str">
        <f t="shared" si="20"/>
        <v/>
      </c>
      <c r="V39" s="10" t="str">
        <f t="shared" si="20"/>
        <v/>
      </c>
    </row>
    <row r="40" spans="1:22" x14ac:dyDescent="0.35">
      <c r="A40" s="144"/>
      <c r="B40" s="10" t="str">
        <f t="shared" ref="B40:M40" si="22">IF(B17="","",(B17/$O$23))</f>
        <v/>
      </c>
      <c r="C40" s="10" t="str">
        <f t="shared" si="22"/>
        <v/>
      </c>
      <c r="D40" s="10" t="str">
        <f t="shared" si="22"/>
        <v/>
      </c>
      <c r="E40" s="10" t="str">
        <f t="shared" si="22"/>
        <v/>
      </c>
      <c r="F40" s="10" t="str">
        <f t="shared" si="22"/>
        <v/>
      </c>
      <c r="G40" s="10" t="str">
        <f t="shared" si="22"/>
        <v/>
      </c>
      <c r="H40" s="10" t="str">
        <f t="shared" si="22"/>
        <v/>
      </c>
      <c r="I40" s="10" t="str">
        <f t="shared" si="22"/>
        <v/>
      </c>
      <c r="J40" s="10" t="str">
        <f t="shared" si="22"/>
        <v/>
      </c>
      <c r="K40" s="10" t="str">
        <f t="shared" si="22"/>
        <v/>
      </c>
      <c r="L40" s="10" t="str">
        <f t="shared" si="22"/>
        <v/>
      </c>
      <c r="M40" s="10" t="str">
        <f t="shared" si="22"/>
        <v/>
      </c>
      <c r="N40" s="5"/>
      <c r="O40" s="10">
        <f t="shared" si="20"/>
        <v>0.22718850418770972</v>
      </c>
      <c r="P40" s="10" t="str">
        <f t="shared" si="20"/>
        <v/>
      </c>
      <c r="Q40" s="10" t="str">
        <f t="shared" si="20"/>
        <v/>
      </c>
      <c r="R40" s="10" t="str">
        <f t="shared" si="20"/>
        <v/>
      </c>
      <c r="S40" s="10" t="str">
        <f t="shared" si="20"/>
        <v/>
      </c>
      <c r="T40" s="10" t="str">
        <f t="shared" si="20"/>
        <v/>
      </c>
      <c r="U40" s="10" t="str">
        <f t="shared" si="20"/>
        <v/>
      </c>
      <c r="V40" s="10" t="str">
        <f t="shared" si="20"/>
        <v/>
      </c>
    </row>
    <row r="41" spans="1:22" x14ac:dyDescent="0.35">
      <c r="A41" s="144"/>
      <c r="B41" s="10" t="str">
        <f t="shared" ref="B41:M41" si="23">IF(B18="","",(B18/$O$23))</f>
        <v/>
      </c>
      <c r="C41" s="10" t="str">
        <f t="shared" si="23"/>
        <v/>
      </c>
      <c r="D41" s="10" t="str">
        <f t="shared" si="23"/>
        <v/>
      </c>
      <c r="E41" s="10" t="str">
        <f t="shared" si="23"/>
        <v/>
      </c>
      <c r="F41" s="10" t="str">
        <f t="shared" si="23"/>
        <v/>
      </c>
      <c r="G41" s="10" t="str">
        <f t="shared" si="23"/>
        <v/>
      </c>
      <c r="H41" s="10" t="str">
        <f t="shared" si="23"/>
        <v/>
      </c>
      <c r="I41" s="10" t="str">
        <f t="shared" si="23"/>
        <v/>
      </c>
      <c r="J41" s="10" t="str">
        <f t="shared" si="23"/>
        <v/>
      </c>
      <c r="K41" s="10" t="str">
        <f t="shared" si="23"/>
        <v/>
      </c>
      <c r="L41" s="10" t="str">
        <f t="shared" si="23"/>
        <v/>
      </c>
      <c r="M41" s="10" t="str">
        <f t="shared" si="23"/>
        <v/>
      </c>
      <c r="N41" s="5"/>
      <c r="O41" s="10">
        <f t="shared" si="20"/>
        <v>1.6551221125331352</v>
      </c>
      <c r="P41" s="10" t="str">
        <f t="shared" si="20"/>
        <v/>
      </c>
      <c r="Q41" s="10" t="str">
        <f t="shared" si="20"/>
        <v/>
      </c>
      <c r="R41" s="10" t="str">
        <f t="shared" si="20"/>
        <v/>
      </c>
      <c r="S41" s="10" t="str">
        <f t="shared" si="20"/>
        <v/>
      </c>
      <c r="T41" s="10" t="str">
        <f t="shared" si="20"/>
        <v/>
      </c>
      <c r="U41" s="10" t="str">
        <f t="shared" si="20"/>
        <v/>
      </c>
      <c r="V41" s="10" t="str">
        <f t="shared" si="20"/>
        <v/>
      </c>
    </row>
    <row r="42" spans="1:22" x14ac:dyDescent="0.35">
      <c r="A42" s="144"/>
      <c r="B42" s="10" t="str">
        <f t="shared" ref="B42:M42" si="24">IF(B19="","",(B19/$O$23))</f>
        <v/>
      </c>
      <c r="C42" s="10" t="str">
        <f t="shared" si="24"/>
        <v/>
      </c>
      <c r="D42" s="10" t="str">
        <f t="shared" si="24"/>
        <v/>
      </c>
      <c r="E42" s="10" t="str">
        <f t="shared" si="24"/>
        <v/>
      </c>
      <c r="F42" s="10" t="str">
        <f t="shared" si="24"/>
        <v/>
      </c>
      <c r="G42" s="10" t="str">
        <f t="shared" si="24"/>
        <v/>
      </c>
      <c r="H42" s="10" t="str">
        <f t="shared" si="24"/>
        <v/>
      </c>
      <c r="I42" s="10" t="str">
        <f t="shared" si="24"/>
        <v/>
      </c>
      <c r="J42" s="10" t="str">
        <f t="shared" si="24"/>
        <v/>
      </c>
      <c r="K42" s="10" t="str">
        <f t="shared" si="24"/>
        <v/>
      </c>
      <c r="L42" s="10" t="str">
        <f t="shared" si="24"/>
        <v/>
      </c>
      <c r="M42" s="10" t="str">
        <f t="shared" si="24"/>
        <v/>
      </c>
      <c r="N42" s="5"/>
      <c r="O42" s="10">
        <f t="shared" si="20"/>
        <v>0.58984667854177297</v>
      </c>
      <c r="P42" s="10" t="str">
        <f t="shared" si="20"/>
        <v/>
      </c>
      <c r="Q42" s="10" t="str">
        <f t="shared" si="20"/>
        <v/>
      </c>
      <c r="R42" s="10" t="str">
        <f t="shared" si="20"/>
        <v/>
      </c>
      <c r="S42" s="10" t="str">
        <f t="shared" si="20"/>
        <v/>
      </c>
      <c r="T42" s="10" t="str">
        <f t="shared" si="20"/>
        <v/>
      </c>
      <c r="U42" s="10" t="str">
        <f t="shared" si="20"/>
        <v/>
      </c>
      <c r="V42" s="10" t="str">
        <f t="shared" si="20"/>
        <v/>
      </c>
    </row>
    <row r="43" spans="1:22" x14ac:dyDescent="0.35">
      <c r="A43" s="144"/>
      <c r="B43" s="10" t="str">
        <f t="shared" ref="B43:M43" si="25">IF(B20="","",(B20/$O$23))</f>
        <v/>
      </c>
      <c r="C43" s="10" t="str">
        <f t="shared" si="25"/>
        <v/>
      </c>
      <c r="D43" s="10" t="str">
        <f t="shared" si="25"/>
        <v/>
      </c>
      <c r="E43" s="10" t="str">
        <f t="shared" si="25"/>
        <v/>
      </c>
      <c r="F43" s="10" t="str">
        <f t="shared" si="25"/>
        <v/>
      </c>
      <c r="G43" s="10" t="str">
        <f t="shared" si="25"/>
        <v/>
      </c>
      <c r="H43" s="10" t="str">
        <f t="shared" si="25"/>
        <v/>
      </c>
      <c r="I43" s="10" t="str">
        <f t="shared" si="25"/>
        <v/>
      </c>
      <c r="J43" s="10" t="str">
        <f t="shared" si="25"/>
        <v/>
      </c>
      <c r="K43" s="10" t="str">
        <f t="shared" si="25"/>
        <v/>
      </c>
      <c r="L43" s="10" t="str">
        <f t="shared" si="25"/>
        <v/>
      </c>
      <c r="M43" s="10" t="str">
        <f t="shared" si="25"/>
        <v/>
      </c>
      <c r="N43" s="5"/>
      <c r="O43" s="10">
        <f t="shared" si="20"/>
        <v>1.1887140464688659</v>
      </c>
      <c r="P43" s="10" t="str">
        <f t="shared" si="20"/>
        <v/>
      </c>
      <c r="Q43" s="10" t="str">
        <f t="shared" si="20"/>
        <v/>
      </c>
      <c r="R43" s="10" t="str">
        <f t="shared" si="20"/>
        <v/>
      </c>
      <c r="S43" s="10" t="str">
        <f t="shared" si="20"/>
        <v/>
      </c>
      <c r="T43" s="10" t="str">
        <f t="shared" si="20"/>
        <v/>
      </c>
      <c r="U43" s="10" t="str">
        <f t="shared" si="20"/>
        <v/>
      </c>
      <c r="V43" s="10" t="str">
        <f t="shared" si="20"/>
        <v/>
      </c>
    </row>
    <row r="44" spans="1:22" x14ac:dyDescent="0.35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6"/>
      <c r="O44" s="3"/>
      <c r="P44" s="3"/>
      <c r="Q44" s="3"/>
      <c r="R44" s="3"/>
      <c r="S44" s="3"/>
      <c r="T44" s="3"/>
      <c r="U44" s="3"/>
      <c r="V44" s="3"/>
    </row>
    <row r="45" spans="1:22" x14ac:dyDescent="0.35">
      <c r="A45" s="51" t="str">
        <f t="shared" ref="A45" si="26">A4</f>
        <v>Group names</v>
      </c>
      <c r="B45" s="6" t="str">
        <f t="shared" ref="B45:V45" si="27">B4</f>
        <v>Solvent control</v>
      </c>
      <c r="C45" s="6" t="str">
        <f t="shared" si="27"/>
        <v>EE2-33.8ng/L</v>
      </c>
      <c r="D45" s="6" t="str">
        <f t="shared" si="27"/>
        <v>EE2-50.6ng/L</v>
      </c>
      <c r="E45" s="6" t="str">
        <f t="shared" si="27"/>
        <v>EE2-76ng/L</v>
      </c>
      <c r="F45" s="6" t="str">
        <f t="shared" si="27"/>
        <v>EE2-114ng/L</v>
      </c>
      <c r="G45" s="6" t="str">
        <f t="shared" si="27"/>
        <v>EE2-170.9ng/L</v>
      </c>
      <c r="H45" s="6" t="str">
        <f t="shared" si="27"/>
        <v>EE2-488ng/L</v>
      </c>
      <c r="I45" s="6" t="str">
        <f t="shared" si="27"/>
        <v>Amantadine-0.001mg/L</v>
      </c>
      <c r="J45" s="6" t="str">
        <f t="shared" si="27"/>
        <v>Amantadine-0.01mg/L</v>
      </c>
      <c r="K45" s="6" t="str">
        <f t="shared" si="27"/>
        <v>Amantadine-0.1mg/L</v>
      </c>
      <c r="L45" s="6" t="str">
        <f t="shared" si="27"/>
        <v>Amantadine-1mg/L</v>
      </c>
      <c r="M45" s="6" t="str">
        <f t="shared" si="27"/>
        <v>Amantadine-10mg/L</v>
      </c>
      <c r="N45" s="6"/>
      <c r="O45" s="6" t="str">
        <f t="shared" si="27"/>
        <v>Testo -30µg/L</v>
      </c>
      <c r="P45" s="6" t="str">
        <f t="shared" si="27"/>
        <v>Testo 30µg/L + EE2 -64ng/L</v>
      </c>
      <c r="Q45" s="6" t="str">
        <f t="shared" si="27"/>
        <v>Testo 30µg/L + FAD-10mg/L</v>
      </c>
      <c r="R45" s="6" t="str">
        <f t="shared" si="27"/>
        <v>Amantadine-0.001mg/L + Testostérone</v>
      </c>
      <c r="S45" s="6" t="str">
        <f t="shared" si="27"/>
        <v>Amantadine-0.01mg/L + Testostérone</v>
      </c>
      <c r="T45" s="6" t="str">
        <f t="shared" si="27"/>
        <v>Amantadine-0.1mg/L + Testostérone</v>
      </c>
      <c r="U45" s="6" t="str">
        <f t="shared" si="27"/>
        <v>Amantadine-1mg/L + Testostérone</v>
      </c>
      <c r="V45" s="6" t="str">
        <f t="shared" si="27"/>
        <v>Amantadine-10mg/L + Testostérone</v>
      </c>
    </row>
    <row r="46" spans="1:22" x14ac:dyDescent="0.35">
      <c r="A46" s="7" t="s">
        <v>0</v>
      </c>
      <c r="B46" s="9">
        <f t="shared" ref="B46:H46" si="28">AVERAGE(B28:B43)</f>
        <v>5.816627499365392E-2</v>
      </c>
      <c r="C46" s="9">
        <f t="shared" si="28"/>
        <v>9.8546351585767245E-2</v>
      </c>
      <c r="D46" s="9">
        <f t="shared" si="28"/>
        <v>0.16381942800890972</v>
      </c>
      <c r="E46" s="9">
        <f t="shared" si="28"/>
        <v>0.71265205523296749</v>
      </c>
      <c r="F46" s="9">
        <f t="shared" si="28"/>
        <v>1.2935526772579891</v>
      </c>
      <c r="G46" s="9">
        <f t="shared" si="28"/>
        <v>1.5212161082854307</v>
      </c>
      <c r="H46" s="9">
        <f t="shared" si="28"/>
        <v>2.4203060306524686</v>
      </c>
      <c r="I46" s="9">
        <f>AVERAGE(I28:I43)</f>
        <v>4.067575787197307E-2</v>
      </c>
      <c r="J46" s="8">
        <f>AVERAGE(J28:J43)</f>
        <v>4.0205827669363654E-2</v>
      </c>
      <c r="K46" s="8">
        <f t="shared" ref="K46:M46" si="29">AVERAGE(K28:K43)</f>
        <v>4.9271029350176077E-2</v>
      </c>
      <c r="L46" s="8">
        <f t="shared" si="29"/>
        <v>4.1504425507424336E-2</v>
      </c>
      <c r="M46" s="8">
        <f t="shared" si="29"/>
        <v>6.2873212725773217E-2</v>
      </c>
      <c r="N46" s="7" t="s">
        <v>0</v>
      </c>
      <c r="O46" s="9">
        <f t="shared" ref="O46:V46" si="30">AVERAGE(O28:O43)</f>
        <v>1</v>
      </c>
      <c r="P46" s="9">
        <f t="shared" si="30"/>
        <v>1.8765289093812003</v>
      </c>
      <c r="Q46" s="9">
        <f t="shared" si="30"/>
        <v>4.1520682171865032E-2</v>
      </c>
      <c r="R46" s="9">
        <f t="shared" si="30"/>
        <v>0.86532198012928896</v>
      </c>
      <c r="S46" s="9">
        <f t="shared" si="30"/>
        <v>0.68959855680229865</v>
      </c>
      <c r="T46" s="9">
        <f t="shared" si="30"/>
        <v>0.92153439407013182</v>
      </c>
      <c r="U46" s="9">
        <f t="shared" si="30"/>
        <v>0.95309146513153098</v>
      </c>
      <c r="V46" s="9">
        <f t="shared" si="30"/>
        <v>1.3563821870027337</v>
      </c>
    </row>
    <row r="47" spans="1:22" x14ac:dyDescent="0.35">
      <c r="A47" s="7" t="s">
        <v>1</v>
      </c>
      <c r="B47" s="7">
        <f t="shared" ref="B47:M47" si="31">STDEV(B28:B43)</f>
        <v>5.9969812148726917E-2</v>
      </c>
      <c r="C47" s="7">
        <f t="shared" si="31"/>
        <v>8.364216805954211E-2</v>
      </c>
      <c r="D47" s="7">
        <f t="shared" si="31"/>
        <v>0.17729398250168898</v>
      </c>
      <c r="E47" s="7">
        <f t="shared" si="31"/>
        <v>0.36379029383737105</v>
      </c>
      <c r="F47" s="7">
        <f t="shared" si="31"/>
        <v>0.61023460904599502</v>
      </c>
      <c r="G47" s="7">
        <f t="shared" si="31"/>
        <v>0.57427813873726219</v>
      </c>
      <c r="H47" s="7">
        <f t="shared" si="31"/>
        <v>0.87640089862150905</v>
      </c>
      <c r="I47" s="7">
        <f t="shared" si="31"/>
        <v>3.8952221681264901E-2</v>
      </c>
      <c r="J47" s="7">
        <f t="shared" si="31"/>
        <v>3.4438686421373252E-2</v>
      </c>
      <c r="K47" s="7">
        <f t="shared" si="31"/>
        <v>6.6071011160866777E-2</v>
      </c>
      <c r="L47" s="7">
        <f t="shared" si="31"/>
        <v>2.9615519819952234E-2</v>
      </c>
      <c r="M47" s="7">
        <f t="shared" si="31"/>
        <v>8.2793158504177136E-2</v>
      </c>
      <c r="N47" s="7" t="s">
        <v>1</v>
      </c>
      <c r="O47" s="7">
        <f t="shared" ref="O47:V47" si="32">STDEV(O28:O43)</f>
        <v>0.51238663915004612</v>
      </c>
      <c r="P47" s="7">
        <f t="shared" si="32"/>
        <v>0.56548723285866032</v>
      </c>
      <c r="Q47" s="7">
        <f t="shared" si="32"/>
        <v>3.4016801299148296E-2</v>
      </c>
      <c r="R47" s="7">
        <f t="shared" si="32"/>
        <v>0.44743140322277525</v>
      </c>
      <c r="S47" s="7">
        <f t="shared" si="32"/>
        <v>0.49171505701380847</v>
      </c>
      <c r="T47" s="7">
        <f t="shared" si="32"/>
        <v>0.60997684495596005</v>
      </c>
      <c r="U47" s="7">
        <f t="shared" si="32"/>
        <v>0.6783258391563769</v>
      </c>
      <c r="V47" s="7">
        <f t="shared" si="32"/>
        <v>0.44336738690536537</v>
      </c>
    </row>
    <row r="48" spans="1:22" x14ac:dyDescent="0.35">
      <c r="A48" s="7" t="s">
        <v>2</v>
      </c>
      <c r="B48" s="7">
        <f t="shared" ref="B48:M48" si="33" xml:space="preserve"> B47/SQRT(COUNT(B28:B43))</f>
        <v>2.1202530418424102E-2</v>
      </c>
      <c r="C48" s="7">
        <f t="shared" si="33"/>
        <v>2.9571972114023536E-2</v>
      </c>
      <c r="D48" s="7">
        <f t="shared" si="33"/>
        <v>6.2682888645256687E-2</v>
      </c>
      <c r="E48" s="7">
        <f t="shared" si="33"/>
        <v>0.12861929185112586</v>
      </c>
      <c r="F48" s="7">
        <f t="shared" si="33"/>
        <v>0.21575051508557239</v>
      </c>
      <c r="G48" s="7">
        <f t="shared" si="33"/>
        <v>0.2030379830941535</v>
      </c>
      <c r="H48" s="7">
        <f t="shared" si="33"/>
        <v>0.3098545092266265</v>
      </c>
      <c r="I48" s="7">
        <f t="shared" si="33"/>
        <v>1.3771690046552036E-2</v>
      </c>
      <c r="J48" s="7">
        <f t="shared" si="33"/>
        <v>1.217591435185505E-2</v>
      </c>
      <c r="K48" s="7">
        <f t="shared" si="33"/>
        <v>2.335963001585048E-2</v>
      </c>
      <c r="L48" s="7">
        <f t="shared" si="33"/>
        <v>1.0470667446526413E-2</v>
      </c>
      <c r="M48" s="7">
        <f t="shared" si="33"/>
        <v>2.9271801907078163E-2</v>
      </c>
      <c r="N48" s="7" t="s">
        <v>2</v>
      </c>
      <c r="O48" s="7">
        <f t="shared" ref="O48:V48" si="34" xml:space="preserve"> O47/SQRT(COUNT(O28:O43))</f>
        <v>0.12809665978751153</v>
      </c>
      <c r="P48" s="7">
        <f t="shared" si="34"/>
        <v>0.19992992851438748</v>
      </c>
      <c r="Q48" s="7">
        <f t="shared" si="34"/>
        <v>1.2026755436451559E-2</v>
      </c>
      <c r="R48" s="7">
        <f t="shared" si="34"/>
        <v>0.15819088966731842</v>
      </c>
      <c r="S48" s="7">
        <f t="shared" si="34"/>
        <v>0.17384752561299688</v>
      </c>
      <c r="T48" s="7">
        <f t="shared" si="34"/>
        <v>0.21565938171756732</v>
      </c>
      <c r="U48" s="7">
        <f t="shared" si="34"/>
        <v>0.23982440036076469</v>
      </c>
      <c r="V48" s="7">
        <f t="shared" si="34"/>
        <v>0.15675404291887177</v>
      </c>
    </row>
    <row r="49" spans="1:22" ht="15" thickBot="1" x14ac:dyDescent="0.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26.5" thickBot="1" x14ac:dyDescent="0.65">
      <c r="A50" s="139"/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</row>
    <row r="51" spans="1:22" ht="15" thickBot="1" x14ac:dyDescent="0.4"/>
    <row r="52" spans="1:22" x14ac:dyDescent="0.35">
      <c r="A52" s="27" t="str">
        <f t="shared" ref="A52" si="35">A27</f>
        <v>Group names</v>
      </c>
      <c r="B52" s="28" t="str">
        <f t="shared" ref="B52:H52" si="36">B27</f>
        <v>Solvent control</v>
      </c>
      <c r="C52" s="28" t="str">
        <f t="shared" si="36"/>
        <v>EE2-33.8ng/L</v>
      </c>
      <c r="D52" s="28" t="str">
        <f t="shared" si="36"/>
        <v>EE2-50.6ng/L</v>
      </c>
      <c r="E52" s="28" t="str">
        <f t="shared" si="36"/>
        <v>EE2-76ng/L</v>
      </c>
      <c r="F52" s="28" t="str">
        <f t="shared" si="36"/>
        <v>EE2-114ng/L</v>
      </c>
      <c r="G52" s="28" t="str">
        <f t="shared" si="36"/>
        <v>EE2-170.9ng/L</v>
      </c>
      <c r="H52" s="28" t="str">
        <f t="shared" si="36"/>
        <v>EE2-488ng/L</v>
      </c>
      <c r="I52" s="28" t="str">
        <f>I4</f>
        <v>Amantadine-0.001mg/L</v>
      </c>
      <c r="J52" s="28" t="str">
        <f>J4</f>
        <v>Amantadine-0.01mg/L</v>
      </c>
      <c r="K52" s="28" t="str">
        <f t="shared" ref="K52:M52" si="37">K4</f>
        <v>Amantadine-0.1mg/L</v>
      </c>
      <c r="L52" s="28" t="str">
        <f t="shared" si="37"/>
        <v>Amantadine-1mg/L</v>
      </c>
      <c r="M52" s="28" t="str">
        <f t="shared" si="37"/>
        <v>Amantadine-10mg/L</v>
      </c>
      <c r="N52" s="29"/>
      <c r="O52" s="28" t="str">
        <f>O27</f>
        <v>Testo -30µg/L</v>
      </c>
      <c r="P52" s="28" t="str">
        <f>P27</f>
        <v>Testo 30µg/L + EE2 -64ng/L</v>
      </c>
      <c r="Q52" s="28" t="str">
        <f>Q27</f>
        <v>Testo 30µg/L + FAD-10mg/L</v>
      </c>
      <c r="R52" s="28" t="str">
        <f>R27</f>
        <v>Amantadine-0.001mg/L + Testostérone</v>
      </c>
      <c r="S52" s="28" t="str">
        <f t="shared" ref="S52:V52" si="38">S27</f>
        <v>Amantadine-0.01mg/L + Testostérone</v>
      </c>
      <c r="T52" s="28" t="str">
        <f t="shared" si="38"/>
        <v>Amantadine-0.1mg/L + Testostérone</v>
      </c>
      <c r="U52" s="28" t="str">
        <f t="shared" si="38"/>
        <v>Amantadine-1mg/L + Testostérone</v>
      </c>
      <c r="V52" s="28" t="str">
        <f t="shared" si="38"/>
        <v>Amantadine-10mg/L + Testostérone</v>
      </c>
    </row>
    <row r="53" spans="1:22" s="3" customFormat="1" x14ac:dyDescent="0.35">
      <c r="A53" s="43" t="s">
        <v>10</v>
      </c>
      <c r="B53" s="75">
        <f t="shared" ref="B53:V53" si="39">B46</f>
        <v>5.816627499365392E-2</v>
      </c>
      <c r="C53" s="75">
        <f t="shared" si="39"/>
        <v>9.8546351585767245E-2</v>
      </c>
      <c r="D53" s="75">
        <f t="shared" si="39"/>
        <v>0.16381942800890972</v>
      </c>
      <c r="E53" s="75">
        <f t="shared" si="39"/>
        <v>0.71265205523296749</v>
      </c>
      <c r="F53" s="75">
        <f t="shared" si="39"/>
        <v>1.2935526772579891</v>
      </c>
      <c r="G53" s="75">
        <f t="shared" si="39"/>
        <v>1.5212161082854307</v>
      </c>
      <c r="H53" s="75">
        <f t="shared" si="39"/>
        <v>2.4203060306524686</v>
      </c>
      <c r="I53" s="75">
        <f t="shared" si="39"/>
        <v>4.067575787197307E-2</v>
      </c>
      <c r="J53" s="75">
        <f t="shared" si="39"/>
        <v>4.0205827669363654E-2</v>
      </c>
      <c r="K53" s="75">
        <f t="shared" si="39"/>
        <v>4.9271029350176077E-2</v>
      </c>
      <c r="L53" s="75">
        <f t="shared" si="39"/>
        <v>4.1504425507424336E-2</v>
      </c>
      <c r="M53" s="75">
        <f t="shared" si="39"/>
        <v>6.2873212725773217E-2</v>
      </c>
      <c r="N53" s="75"/>
      <c r="O53" s="75">
        <f t="shared" si="39"/>
        <v>1</v>
      </c>
      <c r="P53" s="75">
        <f t="shared" si="39"/>
        <v>1.8765289093812003</v>
      </c>
      <c r="Q53" s="75">
        <f t="shared" si="39"/>
        <v>4.1520682171865032E-2</v>
      </c>
      <c r="R53" s="75">
        <f t="shared" si="39"/>
        <v>0.86532198012928896</v>
      </c>
      <c r="S53" s="75">
        <f t="shared" si="39"/>
        <v>0.68959855680229865</v>
      </c>
      <c r="T53" s="75">
        <f t="shared" si="39"/>
        <v>0.92153439407013182</v>
      </c>
      <c r="U53" s="75">
        <f t="shared" si="39"/>
        <v>0.95309146513153098</v>
      </c>
      <c r="V53" s="75">
        <f t="shared" si="39"/>
        <v>1.3563821870027337</v>
      </c>
    </row>
    <row r="54" spans="1:22" s="3" customFormat="1" x14ac:dyDescent="0.35">
      <c r="A54" s="43" t="s">
        <v>2</v>
      </c>
      <c r="B54" s="75">
        <f t="shared" ref="B54:V54" si="40">B48</f>
        <v>2.1202530418424102E-2</v>
      </c>
      <c r="C54" s="75">
        <f t="shared" si="40"/>
        <v>2.9571972114023536E-2</v>
      </c>
      <c r="D54" s="75">
        <f t="shared" si="40"/>
        <v>6.2682888645256687E-2</v>
      </c>
      <c r="E54" s="75">
        <f t="shared" si="40"/>
        <v>0.12861929185112586</v>
      </c>
      <c r="F54" s="75">
        <f t="shared" si="40"/>
        <v>0.21575051508557239</v>
      </c>
      <c r="G54" s="75">
        <f t="shared" si="40"/>
        <v>0.2030379830941535</v>
      </c>
      <c r="H54" s="75">
        <f t="shared" si="40"/>
        <v>0.3098545092266265</v>
      </c>
      <c r="I54" s="75">
        <f t="shared" si="40"/>
        <v>1.3771690046552036E-2</v>
      </c>
      <c r="J54" s="75">
        <f t="shared" si="40"/>
        <v>1.217591435185505E-2</v>
      </c>
      <c r="K54" s="75">
        <f t="shared" si="40"/>
        <v>2.335963001585048E-2</v>
      </c>
      <c r="L54" s="75">
        <f t="shared" si="40"/>
        <v>1.0470667446526413E-2</v>
      </c>
      <c r="M54" s="75">
        <f t="shared" si="40"/>
        <v>2.9271801907078163E-2</v>
      </c>
      <c r="N54" s="75"/>
      <c r="O54" s="75">
        <f t="shared" si="40"/>
        <v>0.12809665978751153</v>
      </c>
      <c r="P54" s="75">
        <f t="shared" si="40"/>
        <v>0.19992992851438748</v>
      </c>
      <c r="Q54" s="75">
        <f t="shared" si="40"/>
        <v>1.2026755436451559E-2</v>
      </c>
      <c r="R54" s="75">
        <f t="shared" si="40"/>
        <v>0.15819088966731842</v>
      </c>
      <c r="S54" s="75">
        <f t="shared" si="40"/>
        <v>0.17384752561299688</v>
      </c>
      <c r="T54" s="75">
        <f t="shared" si="40"/>
        <v>0.21565938171756732</v>
      </c>
      <c r="U54" s="75">
        <f t="shared" si="40"/>
        <v>0.23982440036076469</v>
      </c>
      <c r="V54" s="75">
        <f t="shared" si="40"/>
        <v>0.15675404291887177</v>
      </c>
    </row>
    <row r="55" spans="1:22" s="3" customFormat="1" x14ac:dyDescent="0.35">
      <c r="A55" s="43" t="s">
        <v>14</v>
      </c>
      <c r="B55" s="75">
        <f>(B53*100/$B53)-100</f>
        <v>0</v>
      </c>
      <c r="C55" s="75">
        <f t="shared" ref="C55:M55" si="41">(C53*100/$B53)-100</f>
        <v>69.421802576353542</v>
      </c>
      <c r="D55" s="75">
        <f t="shared" si="41"/>
        <v>181.6398815753335</v>
      </c>
      <c r="E55" s="75">
        <f t="shared" si="41"/>
        <v>1125.1980298045894</v>
      </c>
      <c r="F55" s="75">
        <f t="shared" si="41"/>
        <v>2123.8877724233139</v>
      </c>
      <c r="G55" s="75">
        <f t="shared" si="41"/>
        <v>2515.2888567325294</v>
      </c>
      <c r="H55" s="75">
        <f t="shared" si="41"/>
        <v>4061.0125986519333</v>
      </c>
      <c r="I55" s="75">
        <f t="shared" si="41"/>
        <v>-30.069859422129241</v>
      </c>
      <c r="J55" s="75">
        <f t="shared" si="41"/>
        <v>-30.877767789410271</v>
      </c>
      <c r="K55" s="75">
        <f t="shared" si="41"/>
        <v>-15.292788896054176</v>
      </c>
      <c r="L55" s="75">
        <f t="shared" si="41"/>
        <v>-28.645206329694361</v>
      </c>
      <c r="M55" s="75">
        <f t="shared" si="41"/>
        <v>8.0922110495004915</v>
      </c>
      <c r="N55" s="75"/>
      <c r="O55" s="75">
        <f t="shared" ref="O55:V55" si="42">(O53*100/$O53)-100</f>
        <v>0</v>
      </c>
      <c r="P55" s="75">
        <f t="shared" si="42"/>
        <v>87.652890938120038</v>
      </c>
      <c r="Q55" s="75">
        <f t="shared" si="42"/>
        <v>-95.847931782813504</v>
      </c>
      <c r="R55" s="75">
        <f t="shared" si="42"/>
        <v>-13.467801987071098</v>
      </c>
      <c r="S55" s="75">
        <f t="shared" si="42"/>
        <v>-31.040144319770135</v>
      </c>
      <c r="T55" s="75">
        <f t="shared" si="42"/>
        <v>-7.846560592986819</v>
      </c>
      <c r="U55" s="75">
        <f t="shared" si="42"/>
        <v>-4.6908534868469047</v>
      </c>
      <c r="V55" s="75">
        <f t="shared" si="42"/>
        <v>35.63821870027337</v>
      </c>
    </row>
    <row r="56" spans="1:22" s="3" customFormat="1" x14ac:dyDescent="0.35">
      <c r="A56" s="43" t="s">
        <v>38</v>
      </c>
      <c r="B56" s="75">
        <f>[1]!SWTEST(B28:B43)</f>
        <v>0.11163356103100797</v>
      </c>
      <c r="C56" s="75">
        <f>[1]!SWTEST(C28:C43)</f>
        <v>8.5049930433917509E-2</v>
      </c>
      <c r="D56" s="75">
        <f>[1]!SWTEST(D28:D43)</f>
        <v>7.1928805688925568E-4</v>
      </c>
      <c r="E56" s="75">
        <f>[1]!SWTEST(E28:E43)</f>
        <v>0.15848241901709237</v>
      </c>
      <c r="F56" s="75">
        <f>[1]!SWTEST(F28:F43)</f>
        <v>0.94717096552925084</v>
      </c>
      <c r="G56" s="75">
        <f>[1]!SWTEST(G28:G43)</f>
        <v>0.12421468970372729</v>
      </c>
      <c r="H56" s="75">
        <f>[1]!SWTEST(H28:H43)</f>
        <v>0.53291146813748724</v>
      </c>
      <c r="I56" s="75">
        <f>[1]!SWTEST(I28:I43)</f>
        <v>7.3983001036353802E-2</v>
      </c>
      <c r="J56" s="75">
        <f>[1]!SWTEST(J28:J43)</f>
        <v>0.30666621698622132</v>
      </c>
      <c r="K56" s="75">
        <f>[1]!SWTEST(K28:K43)</f>
        <v>2.2208858950691912E-3</v>
      </c>
      <c r="L56" s="75">
        <f>[1]!SWTEST(L28:L43)</f>
        <v>0.36774553441468882</v>
      </c>
      <c r="M56" s="75">
        <f>[1]!SWTEST(M28:M43)</f>
        <v>1.7208071262082569E-3</v>
      </c>
      <c r="N56" s="75"/>
      <c r="O56" s="75">
        <f>[1]!SWTEST(O28:O43)</f>
        <v>0.61097979489751153</v>
      </c>
      <c r="P56" s="75">
        <f>[1]!SWTEST(P28:P43)</f>
        <v>0.17401465676497863</v>
      </c>
      <c r="Q56" s="75">
        <f>[1]!SWTEST(Q28:Q43)</f>
        <v>0.14789777518475722</v>
      </c>
      <c r="R56" s="75">
        <f>[1]!SWTEST(R28:R43)</f>
        <v>0.17245118652197888</v>
      </c>
      <c r="S56" s="75">
        <f>[1]!SWTEST(S28:S43)</f>
        <v>0.28990236514319501</v>
      </c>
      <c r="T56" s="75">
        <f>[1]!SWTEST(T28:T43)</f>
        <v>0.14434689123895439</v>
      </c>
      <c r="U56" s="75">
        <f>[1]!SWTEST(U28:U43)</f>
        <v>0.71977767177344176</v>
      </c>
      <c r="V56" s="75">
        <f>[1]!SWTEST(V28:V43)</f>
        <v>0.81586528544060544</v>
      </c>
    </row>
    <row r="57" spans="1:22" s="3" customFormat="1" x14ac:dyDescent="0.35">
      <c r="A57" s="43" t="s">
        <v>39</v>
      </c>
      <c r="B57" s="75" t="str">
        <f>IF(B56&gt;0.05,"Oui","Non")</f>
        <v>Oui</v>
      </c>
      <c r="C57" s="75" t="str">
        <f t="shared" ref="C57:V57" si="43">IF(C56&gt;0.05,"Oui","Non")</f>
        <v>Oui</v>
      </c>
      <c r="D57" s="75" t="str">
        <f t="shared" si="43"/>
        <v>Non</v>
      </c>
      <c r="E57" s="75" t="str">
        <f t="shared" si="43"/>
        <v>Oui</v>
      </c>
      <c r="F57" s="75" t="str">
        <f t="shared" si="43"/>
        <v>Oui</v>
      </c>
      <c r="G57" s="75" t="str">
        <f t="shared" si="43"/>
        <v>Oui</v>
      </c>
      <c r="H57" s="75" t="str">
        <f t="shared" si="43"/>
        <v>Oui</v>
      </c>
      <c r="I57" s="75" t="str">
        <f t="shared" si="43"/>
        <v>Oui</v>
      </c>
      <c r="J57" s="75" t="str">
        <f t="shared" si="43"/>
        <v>Oui</v>
      </c>
      <c r="K57" s="75" t="str">
        <f t="shared" si="43"/>
        <v>Non</v>
      </c>
      <c r="L57" s="75" t="str">
        <f t="shared" si="43"/>
        <v>Oui</v>
      </c>
      <c r="M57" s="75" t="str">
        <f t="shared" si="43"/>
        <v>Non</v>
      </c>
      <c r="N57" s="75"/>
      <c r="O57" s="75" t="str">
        <f t="shared" si="43"/>
        <v>Oui</v>
      </c>
      <c r="P57" s="75" t="str">
        <f t="shared" si="43"/>
        <v>Oui</v>
      </c>
      <c r="Q57" s="75" t="str">
        <f t="shared" si="43"/>
        <v>Oui</v>
      </c>
      <c r="R57" s="75" t="str">
        <f t="shared" si="43"/>
        <v>Oui</v>
      </c>
      <c r="S57" s="75" t="str">
        <f t="shared" si="43"/>
        <v>Oui</v>
      </c>
      <c r="T57" s="75" t="str">
        <f t="shared" si="43"/>
        <v>Oui</v>
      </c>
      <c r="U57" s="75" t="str">
        <f t="shared" si="43"/>
        <v>Oui</v>
      </c>
      <c r="V57" s="75" t="str">
        <f t="shared" si="43"/>
        <v>Oui</v>
      </c>
    </row>
    <row r="58" spans="1:22" s="3" customFormat="1" x14ac:dyDescent="0.35">
      <c r="A58" s="43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7"/>
      <c r="O58" s="78"/>
      <c r="P58" s="75"/>
      <c r="Q58" s="75"/>
      <c r="R58" s="75"/>
      <c r="S58" s="75"/>
      <c r="T58" s="75"/>
      <c r="U58" s="75"/>
      <c r="V58" s="75"/>
    </row>
    <row r="59" spans="1:22" s="3" customFormat="1" x14ac:dyDescent="0.35">
      <c r="A59" s="43" t="s">
        <v>40</v>
      </c>
      <c r="B59" s="79"/>
      <c r="C59" s="79" t="str">
        <f t="shared" ref="C59:O59" si="44">IF($B57="Non",IF(C57="Non","MW",IF(C57="Oui","MW","")),IF($B57="Oui",IF(C57="Oui","T-Test Welch",IF(C57="Non","MW",""))))</f>
        <v>T-Test Welch</v>
      </c>
      <c r="D59" s="79" t="str">
        <f t="shared" si="44"/>
        <v>MW</v>
      </c>
      <c r="E59" s="79" t="str">
        <f t="shared" si="44"/>
        <v>T-Test Welch</v>
      </c>
      <c r="F59" s="79" t="str">
        <f t="shared" si="44"/>
        <v>T-Test Welch</v>
      </c>
      <c r="G59" s="79" t="str">
        <f t="shared" si="44"/>
        <v>T-Test Welch</v>
      </c>
      <c r="H59" s="79" t="str">
        <f t="shared" si="44"/>
        <v>T-Test Welch</v>
      </c>
      <c r="I59" s="79" t="str">
        <f t="shared" si="44"/>
        <v>T-Test Welch</v>
      </c>
      <c r="J59" s="79" t="str">
        <f t="shared" si="44"/>
        <v>T-Test Welch</v>
      </c>
      <c r="K59" s="79" t="str">
        <f t="shared" si="44"/>
        <v>MW</v>
      </c>
      <c r="L59" s="79" t="str">
        <f t="shared" si="44"/>
        <v>T-Test Welch</v>
      </c>
      <c r="M59" s="79" t="str">
        <f t="shared" si="44"/>
        <v>MW</v>
      </c>
      <c r="N59" s="79"/>
      <c r="O59" s="79" t="str">
        <f t="shared" si="44"/>
        <v>T-Test Welch</v>
      </c>
      <c r="P59" s="79" t="str">
        <f t="shared" ref="P59:V59" si="45">IF($O57="Non",IF(P57="Non","MW",IF(P57="Oui","MW","")),IF($O57="Oui",IF(P57="Oui","T-Test Welch",IF(P57="Non","MW",""))))</f>
        <v>T-Test Welch</v>
      </c>
      <c r="Q59" s="79" t="str">
        <f t="shared" si="45"/>
        <v>T-Test Welch</v>
      </c>
      <c r="R59" s="79" t="str">
        <f t="shared" si="45"/>
        <v>T-Test Welch</v>
      </c>
      <c r="S59" s="79" t="str">
        <f t="shared" si="45"/>
        <v>T-Test Welch</v>
      </c>
      <c r="T59" s="79" t="str">
        <f t="shared" si="45"/>
        <v>T-Test Welch</v>
      </c>
      <c r="U59" s="79" t="str">
        <f t="shared" si="45"/>
        <v>T-Test Welch</v>
      </c>
      <c r="V59" s="79" t="str">
        <f t="shared" si="45"/>
        <v>T-Test Welch</v>
      </c>
    </row>
    <row r="60" spans="1:22" s="3" customFormat="1" x14ac:dyDescent="0.35">
      <c r="A60" s="43" t="s">
        <v>41</v>
      </c>
      <c r="B60" s="80"/>
      <c r="C60" s="80">
        <f>IF(C59="MW",[1]!MTEST($B28:$B43,C28:C43,2), IF(C59="T-Test Welch",_xlfn.T.TEST($B28:$B43,C28:C43,2,3),""))</f>
        <v>0.28770060114372931</v>
      </c>
      <c r="D60" s="80">
        <f>IF(D59="MW",[1]!MTEST($B28:$B43,D28:D43,2), IF(D59="T-Test Welch",_xlfn.T.TEST($B28:$B43,D28:D43,2,3),""))</f>
        <v>7.4203411329755165E-2</v>
      </c>
      <c r="E60" s="80">
        <f>IF(E59="MW",[1]!MTEST($B28:$B43,E28:E43,2), IF(E59="T-Test Welch",_xlfn.T.TEST($B28:$B43,E28:E43,2,3),""))</f>
        <v>1.3064928011035095E-3</v>
      </c>
      <c r="F60" s="80">
        <f>IF(F59="MW",[1]!MTEST($B28:$B43,F28:F43,2), IF(F59="T-Test Welch",_xlfn.T.TEST($B28:$B43,F28:F43,2,3),""))</f>
        <v>6.8793985897743284E-4</v>
      </c>
      <c r="G60" s="80">
        <f>IF(G59="MW",[1]!MTEST($B28:$B43,G28:G43,2), IF(G59="T-Test Welch",_xlfn.T.TEST($B28:$B43,G28:G43,2,3),""))</f>
        <v>1.6480462416694169E-4</v>
      </c>
      <c r="H60" s="80">
        <f>IF(H59="MW",[1]!MTEST($B28:$B43,H28:H43,2), IF(H59="T-Test Welch",_xlfn.T.TEST($B28:$B43,H28:H43,2,3),""))</f>
        <v>1.1986928024102784E-4</v>
      </c>
      <c r="I60" s="80">
        <f>IF(I59="MW",[1]!MTEST($B28:$B43,I28:I43,2), IF(I59="T-Test Welch",_xlfn.T.TEST($B28:$B43,I28:I43,2,3),""))</f>
        <v>0.50221256328165553</v>
      </c>
      <c r="J60" s="80">
        <f>IF(J59="MW",[1]!MTEST($B28:$B43,J28:J43,2), IF(J59="T-Test Welch",_xlfn.T.TEST($B28:$B43,J28:J43,2,3),""))</f>
        <v>0.47774150787915426</v>
      </c>
      <c r="K60" s="80">
        <f>IF(K59="MW",[1]!MTEST($B28:$B43,K28:K43,2), IF(K59="T-Test Welch",_xlfn.T.TEST($B28:$B43,K28:K43,2,3),""))</f>
        <v>0.91635914027348853</v>
      </c>
      <c r="L60" s="80">
        <f>IF(L59="MW",[1]!MTEST($B28:$B43,L28:L43,2), IF(L59="T-Test Welch",_xlfn.T.TEST($B28:$B43,L28:L43,2,3),""))</f>
        <v>0.49679384273616667</v>
      </c>
      <c r="M60" s="80">
        <f>IF(M59="MW",[1]!MTEST($B28:$B43,M28:M43,2), IF(M59="T-Test Welch",_xlfn.T.TEST($B28:$B43,M28:M43,2,3),""))</f>
        <v>1</v>
      </c>
      <c r="N60" s="80"/>
      <c r="O60" s="80">
        <f>IF(O59="MW",[1]!MTEST($B28:$B43,O28:O43,2), IF(O59="T-Test Welch",_xlfn.T.TEST($B28:$B43,O28:O43,2,3),""))</f>
        <v>2.0700704814595262E-6</v>
      </c>
      <c r="P60" s="80">
        <f>IF(P59="MW",[1]!MTEST($O28:$O43,P28:P43,2), IF(P59="T-Test Welch",_xlfn.T.TEST($O28:$O43,P28:P43,2,3),""))</f>
        <v>2.7432281628483909E-3</v>
      </c>
      <c r="Q60" s="80">
        <f>IF(Q59="MW",[1]!MTEST($O28:$O43,Q28:Q43,2), IF(Q59="T-Test Welch",_xlfn.T.TEST($O28:$O43,Q28:Q43,2,3),""))</f>
        <v>1.8420644457850342E-6</v>
      </c>
      <c r="R60" s="80">
        <f>IF(R59="MW",[1]!MTEST($O28:$O43,R28:R43,2), IF(R59="T-Test Welch",_xlfn.T.TEST($O28:$O43,R28:R43,2,3),""))</f>
        <v>0.51762692014377887</v>
      </c>
      <c r="S60" s="80">
        <f>IF(S59="MW",[1]!MTEST($O28:$O43,S28:S43,2), IF(S59="T-Test Welch",_xlfn.T.TEST($O28:$O43,S28:S43,2,3),""))</f>
        <v>0.17161573695651564</v>
      </c>
      <c r="T60" s="80">
        <f>IF(T59="MW",[1]!MTEST($O28:$O43,T28:T43,2), IF(T59="T-Test Welch",_xlfn.T.TEST($O28:$O43,T28:T43,2,3),""))</f>
        <v>0.75974108720273725</v>
      </c>
      <c r="U60" s="80">
        <f>IF(U59="MW",[1]!MTEST($O28:$O43,U28:U43,2), IF(U59="T-Test Welch",_xlfn.T.TEST($O28:$O43,U28:U43,2,3),""))</f>
        <v>0.86611742944177883</v>
      </c>
      <c r="V60" s="80">
        <f>IF(V59="MW",[1]!MTEST($O28:$O43,V28:V43,2), IF(V59="T-Test Welch",_xlfn.T.TEST($O28:$O43,V28:V43,2,3),""))</f>
        <v>9.7290269775797966E-2</v>
      </c>
    </row>
    <row r="61" spans="1:22" s="3" customFormat="1" ht="15" thickBot="1" x14ac:dyDescent="0.4">
      <c r="A61" s="44" t="s">
        <v>15</v>
      </c>
      <c r="B61" s="76"/>
      <c r="C61" s="76" t="str">
        <f t="shared" ref="C61:O61" si="46">IF(C60&gt;0.05,"NS",IF(C60&gt;0.01,"*",IF(C60&gt;0.001,"**","***")))</f>
        <v>NS</v>
      </c>
      <c r="D61" s="76" t="str">
        <f t="shared" si="46"/>
        <v>NS</v>
      </c>
      <c r="E61" s="76" t="str">
        <f t="shared" si="46"/>
        <v>**</v>
      </c>
      <c r="F61" s="76" t="str">
        <f t="shared" si="46"/>
        <v>***</v>
      </c>
      <c r="G61" s="76" t="str">
        <f t="shared" si="46"/>
        <v>***</v>
      </c>
      <c r="H61" s="76" t="str">
        <f t="shared" si="46"/>
        <v>***</v>
      </c>
      <c r="I61" s="76" t="str">
        <f t="shared" si="46"/>
        <v>NS</v>
      </c>
      <c r="J61" s="76" t="str">
        <f t="shared" si="46"/>
        <v>NS</v>
      </c>
      <c r="K61" s="76" t="str">
        <f t="shared" si="46"/>
        <v>NS</v>
      </c>
      <c r="L61" s="76" t="str">
        <f t="shared" si="46"/>
        <v>NS</v>
      </c>
      <c r="M61" s="76" t="str">
        <f t="shared" si="46"/>
        <v>NS</v>
      </c>
      <c r="N61" s="76"/>
      <c r="O61" s="76" t="str">
        <f t="shared" si="46"/>
        <v>***</v>
      </c>
      <c r="P61" s="76" t="str">
        <f>IF(P60&gt;0.05,"NS",IF(P60&gt;0.01,"*",IF(P60&gt;0.001,"**","***")))</f>
        <v>**</v>
      </c>
      <c r="Q61" s="76" t="str">
        <f t="shared" ref="Q61:V61" si="47">IF(Q60&gt;0.05,"NS",IF(Q60&gt;0.01,"*",IF(Q60&gt;0.001,"**","***")))</f>
        <v>***</v>
      </c>
      <c r="R61" s="76" t="str">
        <f t="shared" si="47"/>
        <v>NS</v>
      </c>
      <c r="S61" s="76" t="str">
        <f t="shared" si="47"/>
        <v>NS</v>
      </c>
      <c r="T61" s="76" t="str">
        <f t="shared" si="47"/>
        <v>NS</v>
      </c>
      <c r="U61" s="76" t="str">
        <f t="shared" si="47"/>
        <v>NS</v>
      </c>
      <c r="V61" s="76" t="str">
        <f t="shared" si="47"/>
        <v>NS</v>
      </c>
    </row>
    <row r="63" spans="1:22" x14ac:dyDescent="0.35">
      <c r="A63" s="2"/>
    </row>
    <row r="66" spans="1:22" ht="15" thickBot="1" x14ac:dyDescent="0.4"/>
    <row r="67" spans="1:22" ht="26.5" thickBot="1" x14ac:dyDescent="0.65">
      <c r="A67" s="139"/>
      <c r="B67" s="140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</row>
    <row r="68" spans="1:22" ht="16.5" x14ac:dyDescent="0.35">
      <c r="A68" s="11"/>
      <c r="B68" s="11"/>
      <c r="C68" s="11"/>
      <c r="D68" s="11"/>
      <c r="E68" s="11"/>
      <c r="F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ht="16.5" x14ac:dyDescent="0.35">
      <c r="A69" s="11"/>
      <c r="B69" s="11"/>
      <c r="C69" s="11"/>
      <c r="D69" s="11"/>
      <c r="E69" s="11"/>
      <c r="F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ht="16.5" x14ac:dyDescent="0.35">
      <c r="A70" s="11"/>
      <c r="B70" s="11"/>
      <c r="C70" s="11"/>
      <c r="D70" s="11"/>
      <c r="E70" s="11"/>
      <c r="F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 ht="16.5" x14ac:dyDescent="0.35">
      <c r="A71" s="11"/>
      <c r="B71" s="11"/>
      <c r="C71" s="11"/>
      <c r="D71" s="11"/>
      <c r="E71" s="11"/>
      <c r="F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ht="16.5" x14ac:dyDescent="0.35">
      <c r="A72" s="11"/>
      <c r="B72" s="11"/>
      <c r="C72" s="11"/>
      <c r="D72" s="11"/>
      <c r="E72" s="11"/>
      <c r="F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 ht="16.5" x14ac:dyDescent="0.35">
      <c r="A73" s="11"/>
      <c r="B73" s="11"/>
      <c r="C73" s="11"/>
      <c r="D73" s="11"/>
      <c r="E73" s="11"/>
      <c r="F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ht="16.5" x14ac:dyDescent="0.35">
      <c r="A74" s="11"/>
      <c r="B74" s="11"/>
      <c r="C74" s="11"/>
      <c r="D74" s="11"/>
      <c r="E74" s="11"/>
      <c r="F74" s="11"/>
      <c r="N74" s="11"/>
      <c r="O74" s="11"/>
      <c r="P74" s="11"/>
      <c r="Q74" s="11"/>
      <c r="R74" s="11"/>
      <c r="S74" s="11"/>
      <c r="T74" s="11"/>
      <c r="U74" s="11"/>
      <c r="V74" s="11"/>
    </row>
  </sheetData>
  <protectedRanges>
    <protectedRange sqref="O51:V51" name="Plage2"/>
    <protectedRange sqref="R5:V20" name="Plage1"/>
    <protectedRange sqref="B51:J51" name="Plage2_1"/>
    <protectedRange sqref="O5:O20 B5:J20" name="Plage1_1"/>
  </protectedRanges>
  <mergeCells count="9">
    <mergeCell ref="A28:A43"/>
    <mergeCell ref="A50:V50"/>
    <mergeCell ref="A67:V67"/>
    <mergeCell ref="A1:V1"/>
    <mergeCell ref="B3:M3"/>
    <mergeCell ref="O3:V3"/>
    <mergeCell ref="A5:A20"/>
    <mergeCell ref="B26:M26"/>
    <mergeCell ref="O26:V26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20"/>
  <sheetViews>
    <sheetView showGridLines="0" tabSelected="1" topLeftCell="G71" zoomScale="70" zoomScaleNormal="70" workbookViewId="0">
      <selection activeCell="B94" sqref="B94:W94"/>
    </sheetView>
  </sheetViews>
  <sheetFormatPr baseColWidth="10" defaultRowHeight="14.5" x14ac:dyDescent="0.35"/>
  <cols>
    <col min="1" max="1" width="42.81640625" customWidth="1"/>
    <col min="2" max="2" width="14" bestFit="1" customWidth="1"/>
    <col min="3" max="13" width="22.7265625" bestFit="1" customWidth="1"/>
    <col min="14" max="14" width="8.453125" customWidth="1"/>
    <col min="15" max="15" width="22.7265625" customWidth="1"/>
    <col min="18" max="22" width="29.1796875" customWidth="1"/>
  </cols>
  <sheetData>
    <row r="1" spans="1:22" s="1" customFormat="1" ht="21.5" thickBot="1" x14ac:dyDescent="0.4">
      <c r="A1" s="20"/>
      <c r="B1" s="37"/>
      <c r="C1" s="21"/>
      <c r="D1" s="21"/>
      <c r="E1" s="21"/>
      <c r="F1" s="21"/>
      <c r="G1" s="21"/>
      <c r="H1" s="38"/>
      <c r="I1" s="37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22" s="16" customFormat="1" ht="15" thickBot="1" x14ac:dyDescent="0.4">
      <c r="B3" s="145" t="s">
        <v>42</v>
      </c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53"/>
      <c r="O3" s="145" t="s">
        <v>43</v>
      </c>
      <c r="P3" s="146"/>
      <c r="Q3" s="146"/>
      <c r="R3" s="146"/>
      <c r="S3" s="146"/>
      <c r="T3" s="146"/>
      <c r="U3" s="146"/>
      <c r="V3" s="146"/>
    </row>
    <row r="4" spans="1:22" x14ac:dyDescent="0.35">
      <c r="A4" s="17"/>
      <c r="B4" s="18" t="str">
        <f>'R1'!B4</f>
        <v>Solvent control</v>
      </c>
      <c r="C4" s="18" t="str">
        <f>'R1'!C4</f>
        <v>EE2-33.8ng/L</v>
      </c>
      <c r="D4" s="18" t="str">
        <f>'R1'!D4</f>
        <v>EE2-50.6ng/L</v>
      </c>
      <c r="E4" s="18" t="str">
        <f>'R1'!E4</f>
        <v>EE2-76ng/L</v>
      </c>
      <c r="F4" s="18" t="str">
        <f>'R1'!F4</f>
        <v>EE2-114ng/L</v>
      </c>
      <c r="G4" s="18" t="str">
        <f>'R1'!G4</f>
        <v>EE2-170.9ng/L</v>
      </c>
      <c r="H4" s="18" t="str">
        <f>'R1'!H4</f>
        <v>EE2-488ng/L</v>
      </c>
      <c r="I4" s="18" t="str">
        <f>'R1'!I4</f>
        <v>Amantadine-0.001mg/L</v>
      </c>
      <c r="J4" s="18" t="str">
        <f>'R1'!J4</f>
        <v>Amantadine-0.01mg/L</v>
      </c>
      <c r="K4" s="18" t="str">
        <f>'R1'!K4</f>
        <v>Amantadine-0.1mg/L</v>
      </c>
      <c r="L4" s="18" t="str">
        <f>'R1'!L4</f>
        <v>Amantadine-1mg/L</v>
      </c>
      <c r="M4" s="18" t="str">
        <f>'R1'!M4</f>
        <v>Amantadine-10mg/L</v>
      </c>
      <c r="O4" s="18" t="str">
        <f>'R1'!O4</f>
        <v>Testo -30µg/L</v>
      </c>
      <c r="P4" s="18" t="str">
        <f>'R1'!P4</f>
        <v>Testo 30µg/L + EE2 -64ng/L</v>
      </c>
      <c r="Q4" s="18" t="str">
        <f>'R1'!Q4</f>
        <v>Testo 30µg/L + FAD-10mg/L</v>
      </c>
      <c r="R4" s="18" t="str">
        <f>'R1'!R4</f>
        <v>Amantadine-0.001mg/L + Testostérone</v>
      </c>
      <c r="S4" s="18" t="str">
        <f>'R1'!S4</f>
        <v>Amantadine-0.01mg/L + Testostérone</v>
      </c>
      <c r="T4" s="18" t="str">
        <f>'R1'!T4</f>
        <v>Amantadine-0.1mg/L + Testostérone</v>
      </c>
      <c r="U4" s="18" t="str">
        <f>'R1'!U4</f>
        <v>Amantadine-1mg/L + Testostérone</v>
      </c>
      <c r="V4" s="18" t="str">
        <f>'R1'!V4</f>
        <v>Amantadine-10mg/L + Testostérone</v>
      </c>
    </row>
    <row r="5" spans="1:22" s="1" customFormat="1" x14ac:dyDescent="0.35">
      <c r="A5" s="17"/>
      <c r="B5" s="18"/>
      <c r="C5" s="112"/>
      <c r="D5" s="18"/>
      <c r="E5" s="18"/>
      <c r="F5" s="18"/>
      <c r="G5" s="18"/>
      <c r="H5" s="18"/>
      <c r="I5" s="18"/>
      <c r="J5" s="18"/>
      <c r="K5" s="18"/>
      <c r="L5" s="18"/>
      <c r="M5" s="18"/>
      <c r="O5" s="18"/>
      <c r="P5" s="18"/>
      <c r="Q5" s="18"/>
      <c r="R5" s="18"/>
      <c r="S5" s="18"/>
      <c r="T5" s="18"/>
      <c r="U5" s="18"/>
      <c r="V5" s="18"/>
    </row>
    <row r="6" spans="1:22" s="1" customFormat="1" x14ac:dyDescent="0.35">
      <c r="A6" s="52" t="s">
        <v>3</v>
      </c>
      <c r="B6" s="35">
        <f>'R1'!B28</f>
        <v>0.10923518666534848</v>
      </c>
      <c r="C6" s="35">
        <f>'R1'!C28</f>
        <v>0.16289946579428943</v>
      </c>
      <c r="D6" s="35">
        <f>'R1'!D28</f>
        <v>0.22671754700571131</v>
      </c>
      <c r="E6" s="35">
        <f>'R1'!E28</f>
        <v>0.15644460132474999</v>
      </c>
      <c r="F6" s="35">
        <f>'R1'!F28</f>
        <v>0.8717987250289907</v>
      </c>
      <c r="G6" s="35">
        <f>'R1'!G28</f>
        <v>1.8149978872675989</v>
      </c>
      <c r="H6" s="35">
        <f>'R1'!H28</f>
        <v>2.2779999775006354</v>
      </c>
      <c r="I6" s="35">
        <f>'R1'!I28</f>
        <v>2.1505257263939172E-2</v>
      </c>
      <c r="J6" s="35">
        <f>'R1'!J28</f>
        <v>7.8272836618620251E-2</v>
      </c>
      <c r="K6" s="35">
        <f>'R1'!K28</f>
        <v>0.2892040303020883</v>
      </c>
      <c r="L6" s="35">
        <f>'R1'!L28</f>
        <v>0.17947771264449228</v>
      </c>
      <c r="M6" s="35">
        <f>'R1'!M28</f>
        <v>9.0143389292384121E-2</v>
      </c>
      <c r="N6"/>
      <c r="O6" s="35">
        <f>'R1'!O28</f>
        <v>0.42558291315536101</v>
      </c>
      <c r="P6" s="35">
        <f>'R1'!P28</f>
        <v>3.0084108723238505</v>
      </c>
      <c r="Q6" s="35">
        <f>'R1'!Q28</f>
        <v>2.3126332986602469E-2</v>
      </c>
      <c r="R6" s="35">
        <f>'R1'!R28</f>
        <v>1.1124023752740533</v>
      </c>
      <c r="S6" s="35">
        <f>'R1'!S28</f>
        <v>0.3994926218029568</v>
      </c>
      <c r="T6" s="35">
        <f>'R1'!T28</f>
        <v>1.4723611600826645</v>
      </c>
      <c r="U6" s="35">
        <f>'R1'!U28</f>
        <v>0.47037788664308394</v>
      </c>
      <c r="V6" s="35">
        <f>'R1'!V28</f>
        <v>8.7902144164924687E-2</v>
      </c>
    </row>
    <row r="7" spans="1:22" s="1" customFormat="1" x14ac:dyDescent="0.35">
      <c r="A7" s="147"/>
      <c r="B7" s="35">
        <f>'R1'!B29</f>
        <v>8.3286199734290221E-3</v>
      </c>
      <c r="C7" s="35">
        <f>'R1'!C29</f>
        <v>0.32533184197357418</v>
      </c>
      <c r="D7" s="35">
        <f>'R1'!D29</f>
        <v>0.25601957010162457</v>
      </c>
      <c r="E7" s="35">
        <f>'R1'!E29</f>
        <v>0.44447747310686331</v>
      </c>
      <c r="F7" s="35">
        <f>'R1'!F29</f>
        <v>2.4432790490016187</v>
      </c>
      <c r="G7" s="35">
        <f>'R1'!G29</f>
        <v>2.0869735722532226</v>
      </c>
      <c r="H7" s="35">
        <f>'R1'!H29</f>
        <v>4.2710644957606743</v>
      </c>
      <c r="I7" s="35">
        <f>'R1'!I29</f>
        <v>7.1582464780170871E-2</v>
      </c>
      <c r="J7" s="35">
        <f>'R1'!J29</f>
        <v>9.3682868790959488E-3</v>
      </c>
      <c r="K7" s="35">
        <f>'R1'!K29</f>
        <v>4.3674841564345084E-2</v>
      </c>
      <c r="L7" s="35">
        <f>'R1'!L29</f>
        <v>5.9115293438501859E-2</v>
      </c>
      <c r="M7" s="35">
        <f>'R1'!M29</f>
        <v>6.1046453863563221E-2</v>
      </c>
      <c r="N7"/>
      <c r="O7" s="35">
        <f>'R1'!O29</f>
        <v>0.7609213651058474</v>
      </c>
      <c r="P7" s="35">
        <f>'R1'!P29</f>
        <v>2.5385172477080875</v>
      </c>
      <c r="Q7" s="35">
        <f>'R1'!Q29</f>
        <v>2.1609763658892951E-2</v>
      </c>
      <c r="R7" s="35">
        <f>'R1'!R29</f>
        <v>0.34869270104838279</v>
      </c>
      <c r="S7" s="35">
        <f>'R1'!S29</f>
        <v>1.1751032684042086</v>
      </c>
      <c r="T7" s="35">
        <f>'R1'!T29</f>
        <v>1.3914187493093799</v>
      </c>
      <c r="U7" s="35">
        <f>'R1'!U29</f>
        <v>1.3312363131055049</v>
      </c>
      <c r="V7" s="35">
        <f>'R1'!V29</f>
        <v>0.59750280181925242</v>
      </c>
    </row>
    <row r="8" spans="1:22" s="1" customFormat="1" x14ac:dyDescent="0.35">
      <c r="A8" s="148"/>
      <c r="B8" s="35">
        <f>'R1'!B30</f>
        <v>1.0808316311909745E-2</v>
      </c>
      <c r="C8" s="35">
        <f>'R1'!C30</f>
        <v>2.4518770305282385E-2</v>
      </c>
      <c r="D8" s="35">
        <f>'R1'!D30</f>
        <v>0.87539708136979355</v>
      </c>
      <c r="E8" s="35">
        <f>'R1'!E30</f>
        <v>0.16872631061340243</v>
      </c>
      <c r="F8" s="35">
        <f>'R1'!F30</f>
        <v>2.1126345532977182</v>
      </c>
      <c r="G8" s="35">
        <f>'R1'!G30</f>
        <v>3.2213924520378905</v>
      </c>
      <c r="H8" s="35">
        <f>'R1'!H30</f>
        <v>4.0473138509628761</v>
      </c>
      <c r="I8" s="35">
        <f>'R1'!I30</f>
        <v>0.28581468675119304</v>
      </c>
      <c r="J8" s="35">
        <f>'R1'!J30</f>
        <v>0.14526830474891847</v>
      </c>
      <c r="K8" s="35">
        <f>'R1'!K30</f>
        <v>6.5437685013029476E-2</v>
      </c>
      <c r="L8" s="35">
        <f>'R1'!L30</f>
        <v>4.0610792566756614E-2</v>
      </c>
      <c r="M8" s="35">
        <f>'R1'!M30</f>
        <v>5.2851288065849822E-2</v>
      </c>
      <c r="N8"/>
      <c r="O8" s="35">
        <f>'R1'!O30</f>
        <v>1.8032485227607533</v>
      </c>
      <c r="P8" s="35">
        <f>'R1'!P30</f>
        <v>2.4210653070695423</v>
      </c>
      <c r="Q8" s="35">
        <f>'R1'!Q30</f>
        <v>3.1422080056454478E-2</v>
      </c>
      <c r="R8" s="35">
        <f>'R1'!R30</f>
        <v>0.52436206328146084</v>
      </c>
      <c r="S8" s="35">
        <f>'R1'!S30</f>
        <v>1.3908981798960187</v>
      </c>
      <c r="T8" s="35">
        <f>'R1'!T30</f>
        <v>1.3695464930622228</v>
      </c>
      <c r="U8" s="35">
        <f>'R1'!U30</f>
        <v>0.14092515635393799</v>
      </c>
      <c r="V8" s="35">
        <f>'R1'!V30</f>
        <v>0.73184896169462132</v>
      </c>
    </row>
    <row r="9" spans="1:22" s="1" customFormat="1" x14ac:dyDescent="0.35">
      <c r="A9" s="148"/>
      <c r="B9" s="35">
        <f>'R1'!B31</f>
        <v>0.12458241687264508</v>
      </c>
      <c r="C9" s="35">
        <f>'R1'!C31</f>
        <v>4.6032859095555677E-2</v>
      </c>
      <c r="D9" s="35">
        <f>'R1'!D31</f>
        <v>0.27856694747299016</v>
      </c>
      <c r="E9" s="35">
        <f>'R1'!E31</f>
        <v>0.8694613143925598</v>
      </c>
      <c r="F9" s="35">
        <f>'R1'!F31</f>
        <v>1.1273276547787197</v>
      </c>
      <c r="G9" s="35">
        <f>'R1'!G31</f>
        <v>2.6658178121302347</v>
      </c>
      <c r="H9" s="35">
        <f>'R1'!H31</f>
        <v>3.132915277380544</v>
      </c>
      <c r="I9" s="35">
        <f>'R1'!I31</f>
        <v>3.319132916539027E-2</v>
      </c>
      <c r="J9" s="35">
        <f>'R1'!J31</f>
        <v>0.20122142111945274</v>
      </c>
      <c r="K9" s="35">
        <f>'R1'!K31</f>
        <v>0.12685064721945877</v>
      </c>
      <c r="L9" s="35">
        <f>'R1'!L31</f>
        <v>5.3711380602722937E-2</v>
      </c>
      <c r="M9" s="35">
        <f>'R1'!M31</f>
        <v>8.6051448757574214E-2</v>
      </c>
      <c r="N9"/>
      <c r="O9" s="35">
        <f>'R1'!O31</f>
        <v>0.7465941761901419</v>
      </c>
      <c r="P9" s="35">
        <f>'R1'!P31</f>
        <v>2.8495464327835509</v>
      </c>
      <c r="Q9" s="35">
        <f>'R1'!Q31</f>
        <v>2.1541564649979451E-2</v>
      </c>
      <c r="R9" s="35">
        <f>'R1'!R31</f>
        <v>1.1198326327631614</v>
      </c>
      <c r="S9" s="35">
        <f>'R1'!S31</f>
        <v>0.7209748995755576</v>
      </c>
      <c r="T9" s="35">
        <f>'R1'!T31</f>
        <v>1.0540917320126604</v>
      </c>
      <c r="U9" s="35">
        <f>'R1'!U31</f>
        <v>0.1035879162150293</v>
      </c>
      <c r="V9" s="35">
        <f>'R1'!V31</f>
        <v>0.25797280934252126</v>
      </c>
    </row>
    <row r="10" spans="1:22" s="1" customFormat="1" x14ac:dyDescent="0.35">
      <c r="A10" s="148"/>
      <c r="B10" s="35">
        <f>'R1'!B32</f>
        <v>7.0567329892098726E-2</v>
      </c>
      <c r="C10" s="35">
        <f>'R1'!C32</f>
        <v>5.5181339097002367E-2</v>
      </c>
      <c r="D10" s="35">
        <f>'R1'!D32</f>
        <v>0.23594698266522077</v>
      </c>
      <c r="E10" s="35">
        <f>'R1'!E32</f>
        <v>0.65712688930267005</v>
      </c>
      <c r="F10" s="35">
        <f>'R1'!F32</f>
        <v>1.3485647490537562</v>
      </c>
      <c r="G10" s="35">
        <f>'R1'!G32</f>
        <v>2.4407758019262471</v>
      </c>
      <c r="H10" s="35">
        <f>'R1'!H32</f>
        <v>3.1788504990460726</v>
      </c>
      <c r="I10" s="35">
        <f>'R1'!I32</f>
        <v>3.8913176949197589E-2</v>
      </c>
      <c r="J10" s="35">
        <f>'R1'!J32</f>
        <v>6.6313478041163249E-2</v>
      </c>
      <c r="K10" s="35">
        <f>'R1'!K32</f>
        <v>2.8579800497922858E-2</v>
      </c>
      <c r="L10" s="35">
        <f>'R1'!L32</f>
        <v>8.2908406663330554E-3</v>
      </c>
      <c r="M10" s="35">
        <f>'R1'!M32</f>
        <v>8.1822619564585433E-2</v>
      </c>
      <c r="N10"/>
      <c r="O10" s="35">
        <f>'R1'!O32</f>
        <v>0.84096148827199591</v>
      </c>
      <c r="P10" s="35">
        <f>'R1'!P32</f>
        <v>4.335144088279657</v>
      </c>
      <c r="Q10" s="35">
        <f>'R1'!Q32</f>
        <v>6.073882236292464E-2</v>
      </c>
      <c r="R10" s="35">
        <f>'R1'!R32</f>
        <v>0.26831207347801872</v>
      </c>
      <c r="S10" s="35">
        <f>'R1'!S32</f>
        <v>0.59820490816281513</v>
      </c>
      <c r="T10" s="35">
        <f>'R1'!T32</f>
        <v>0.4232867163084893</v>
      </c>
      <c r="U10" s="35">
        <f>'R1'!U32</f>
        <v>0.54583346636111918</v>
      </c>
      <c r="V10" s="35">
        <f>'R1'!V32</f>
        <v>0.18645952485196768</v>
      </c>
    </row>
    <row r="11" spans="1:22" s="1" customFormat="1" x14ac:dyDescent="0.35">
      <c r="A11" s="148"/>
      <c r="B11" s="35">
        <f>'R1'!B33</f>
        <v>5.8213987112069515E-2</v>
      </c>
      <c r="C11" s="35">
        <f>'R1'!C33</f>
        <v>4.1865850586905742E-2</v>
      </c>
      <c r="D11" s="35">
        <f>'R1'!D33</f>
        <v>0.37353529398591634</v>
      </c>
      <c r="E11" s="35">
        <f>'R1'!E33</f>
        <v>1.2320514034083874</v>
      </c>
      <c r="F11" s="35">
        <f>'R1'!F33</f>
        <v>1.8307302701511337</v>
      </c>
      <c r="G11" s="35">
        <f>'R1'!G33</f>
        <v>2.0321999552886458</v>
      </c>
      <c r="H11" s="35">
        <f>'R1'!H33</f>
        <v>2.8903363090787497</v>
      </c>
      <c r="I11" s="35">
        <f>'R1'!I33</f>
        <v>5.7374010829624122E-2</v>
      </c>
      <c r="J11" s="35">
        <f>'R1'!J33</f>
        <v>5.8148731945267387E-2</v>
      </c>
      <c r="K11" s="35">
        <f>'R1'!K33</f>
        <v>1.0913803987567314E-2</v>
      </c>
      <c r="L11" s="35">
        <f>'R1'!L33</f>
        <v>5.3846797339846139E-2</v>
      </c>
      <c r="M11" s="35">
        <f>'R1'!M33</f>
        <v>9.9447892925733621E-3</v>
      </c>
      <c r="N11"/>
      <c r="O11" s="35">
        <f>'R1'!O33</f>
        <v>1.0268518703157645</v>
      </c>
      <c r="P11" s="35">
        <f>'R1'!P33</f>
        <v>3.3605287336688168</v>
      </c>
      <c r="Q11" s="35">
        <f>'R1'!Q33</f>
        <v>7.5768117622192849E-2</v>
      </c>
      <c r="R11" s="35">
        <f>'R1'!R33</f>
        <v>0.49472640474625851</v>
      </c>
      <c r="S11" s="35">
        <f>'R1'!S33</f>
        <v>2.0131739037228353</v>
      </c>
      <c r="T11" s="35">
        <f>'R1'!T33</f>
        <v>0.99568443260194395</v>
      </c>
      <c r="U11" s="35">
        <f>'R1'!U33</f>
        <v>0.30819868088537733</v>
      </c>
      <c r="V11" s="35">
        <f>'R1'!V33</f>
        <v>4.8175976152635969E-3</v>
      </c>
    </row>
    <row r="12" spans="1:22" s="1" customFormat="1" x14ac:dyDescent="0.35">
      <c r="A12" s="148"/>
      <c r="B12" s="35">
        <f>'R1'!B34</f>
        <v>0.10893148028752506</v>
      </c>
      <c r="C12" s="35">
        <f>'R1'!C34</f>
        <v>5.3278635812350952E-3</v>
      </c>
      <c r="D12" s="35">
        <f>'R1'!D34</f>
        <v>0.21613786909778493</v>
      </c>
      <c r="E12" s="35">
        <f>'R1'!E34</f>
        <v>0.21754404434631794</v>
      </c>
      <c r="F12" s="35">
        <f>'R1'!F34</f>
        <v>1.7821902388573911</v>
      </c>
      <c r="G12" s="35">
        <f>'R1'!G34</f>
        <v>2.5774657507626215</v>
      </c>
      <c r="H12" s="35">
        <f>'R1'!H34</f>
        <v>2.838542841611587</v>
      </c>
      <c r="I12" s="35">
        <f>'R1'!I34</f>
        <v>5.7268523153966557E-2</v>
      </c>
      <c r="J12" s="35">
        <f>'R1'!J34</f>
        <v>6.8905531020228089E-2</v>
      </c>
      <c r="K12" s="35">
        <f>'R1'!K34</f>
        <v>6.4887186538202538E-2</v>
      </c>
      <c r="L12" s="35">
        <f>'R1'!L34</f>
        <v>5.9920434255962655E-2</v>
      </c>
      <c r="M12" s="35">
        <f>'R1'!M34</f>
        <v>3.8327843009386055E-2</v>
      </c>
      <c r="N12"/>
      <c r="O12" s="35">
        <f>'R1'!O34</f>
        <v>2.4045793006054958E-2</v>
      </c>
      <c r="P12" s="35">
        <f>'R1'!P34</f>
        <v>2.4248422564984353</v>
      </c>
      <c r="Q12" s="35">
        <f>'R1'!Q34</f>
        <v>4.03061049082294E-3</v>
      </c>
      <c r="R12" s="35">
        <f>'R1'!R34</f>
        <v>0.33035207405417072</v>
      </c>
      <c r="S12" s="35">
        <f>'R1'!S34</f>
        <v>0.49816922809551045</v>
      </c>
      <c r="T12" s="35">
        <f>'R1'!T34</f>
        <v>1.3292467664785681</v>
      </c>
      <c r="U12" s="35">
        <f>'R1'!U34</f>
        <v>1.5908198947232997</v>
      </c>
      <c r="V12" s="35">
        <f>'R1'!V34</f>
        <v>0.82847321939519536</v>
      </c>
    </row>
    <row r="13" spans="1:22" s="1" customFormat="1" x14ac:dyDescent="0.35">
      <c r="A13" s="148"/>
      <c r="B13" s="35" t="str">
        <f>'R1'!B35</f>
        <v/>
      </c>
      <c r="C13" s="35" t="str">
        <f>'R1'!C35</f>
        <v/>
      </c>
      <c r="D13" s="35" t="str">
        <f>'R1'!D35</f>
        <v/>
      </c>
      <c r="E13" s="35" t="str">
        <f>'R1'!E35</f>
        <v/>
      </c>
      <c r="F13" s="35" t="str">
        <f>'R1'!F35</f>
        <v/>
      </c>
      <c r="G13" s="35" t="str">
        <f>'R1'!G35</f>
        <v/>
      </c>
      <c r="H13" s="35" t="str">
        <f>'R1'!H35</f>
        <v/>
      </c>
      <c r="I13" s="35" t="str">
        <f>'R1'!I35</f>
        <v/>
      </c>
      <c r="J13" s="35" t="str">
        <f>'R1'!J35</f>
        <v/>
      </c>
      <c r="K13" s="35" t="str">
        <f>'R1'!K35</f>
        <v/>
      </c>
      <c r="L13" s="35" t="str">
        <f>'R1'!L35</f>
        <v/>
      </c>
      <c r="M13" s="35" t="str">
        <f>'R1'!M35</f>
        <v/>
      </c>
      <c r="N13"/>
      <c r="O13" s="35">
        <f>'R1'!O35</f>
        <v>1.59275596155188</v>
      </c>
      <c r="P13" s="35" t="str">
        <f>'R1'!P35</f>
        <v/>
      </c>
      <c r="Q13" s="35" t="str">
        <f>'R1'!Q35</f>
        <v/>
      </c>
      <c r="R13" s="35">
        <f>'R1'!R35</f>
        <v>1.8391638871598683</v>
      </c>
      <c r="S13" s="35">
        <f>'R1'!S35</f>
        <v>1.5315785067143606</v>
      </c>
      <c r="T13" s="35">
        <f>'R1'!T35</f>
        <v>0.61128292674259421</v>
      </c>
      <c r="U13" s="35">
        <f>'R1'!U35</f>
        <v>0.25521148544205241</v>
      </c>
      <c r="V13" s="35">
        <f>'R1'!V35</f>
        <v>0.76209448618722997</v>
      </c>
    </row>
    <row r="14" spans="1:22" s="1" customFormat="1" x14ac:dyDescent="0.35">
      <c r="A14" s="148"/>
      <c r="B14" s="35" t="str">
        <f>'R1'!B36</f>
        <v/>
      </c>
      <c r="C14" s="35" t="str">
        <f>'R1'!C36</f>
        <v/>
      </c>
      <c r="D14" s="35" t="str">
        <f>'R1'!D36</f>
        <v/>
      </c>
      <c r="E14" s="35" t="str">
        <f>'R1'!E36</f>
        <v/>
      </c>
      <c r="F14" s="35" t="str">
        <f>'R1'!F36</f>
        <v/>
      </c>
      <c r="G14" s="35" t="str">
        <f>'R1'!G36</f>
        <v/>
      </c>
      <c r="H14" s="35" t="str">
        <f>'R1'!H36</f>
        <v/>
      </c>
      <c r="I14" s="35" t="str">
        <f>'R1'!I36</f>
        <v/>
      </c>
      <c r="J14" s="35" t="str">
        <f>'R1'!J36</f>
        <v/>
      </c>
      <c r="K14" s="35" t="str">
        <f>'R1'!K36</f>
        <v/>
      </c>
      <c r="L14" s="35" t="str">
        <f>'R1'!L36</f>
        <v/>
      </c>
      <c r="M14" s="35" t="str">
        <f>'R1'!M36</f>
        <v/>
      </c>
      <c r="N14"/>
      <c r="O14" s="35">
        <f>'R1'!O36</f>
        <v>1.8720210902456178</v>
      </c>
      <c r="P14" s="35" t="str">
        <f>'R1'!P36</f>
        <v/>
      </c>
      <c r="Q14" s="35" t="str">
        <f>'R1'!Q36</f>
        <v/>
      </c>
      <c r="R14" s="35" t="str">
        <f>'R1'!R36</f>
        <v/>
      </c>
      <c r="S14" s="35" t="str">
        <f>'R1'!S36</f>
        <v/>
      </c>
      <c r="T14" s="35" t="str">
        <f>'R1'!T36</f>
        <v/>
      </c>
      <c r="U14" s="35" t="str">
        <f>'R1'!U36</f>
        <v/>
      </c>
      <c r="V14" s="35" t="str">
        <f>'R1'!V36</f>
        <v/>
      </c>
    </row>
    <row r="15" spans="1:22" s="1" customFormat="1" x14ac:dyDescent="0.35">
      <c r="A15" s="148"/>
      <c r="B15" s="35" t="str">
        <f>'R1'!B37</f>
        <v/>
      </c>
      <c r="C15" s="35" t="str">
        <f>'R1'!C37</f>
        <v/>
      </c>
      <c r="D15" s="35" t="str">
        <f>'R1'!D37</f>
        <v/>
      </c>
      <c r="E15" s="35" t="str">
        <f>'R1'!E37</f>
        <v/>
      </c>
      <c r="F15" s="35" t="str">
        <f>'R1'!F37</f>
        <v/>
      </c>
      <c r="G15" s="35" t="str">
        <f>'R1'!G37</f>
        <v/>
      </c>
      <c r="H15" s="35" t="str">
        <f>'R1'!H37</f>
        <v/>
      </c>
      <c r="I15" s="35" t="str">
        <f>'R1'!I37</f>
        <v/>
      </c>
      <c r="J15" s="35" t="str">
        <f>'R1'!J37</f>
        <v/>
      </c>
      <c r="K15" s="35" t="str">
        <f>'R1'!K37</f>
        <v/>
      </c>
      <c r="L15" s="35" t="str">
        <f>'R1'!L37</f>
        <v/>
      </c>
      <c r="M15" s="35" t="str">
        <f>'R1'!M37</f>
        <v/>
      </c>
      <c r="N15"/>
      <c r="O15" s="35">
        <f>'R1'!O37</f>
        <v>1.4936848804164022</v>
      </c>
      <c r="P15" s="35" t="str">
        <f>'R1'!P37</f>
        <v/>
      </c>
      <c r="Q15" s="35" t="str">
        <f>'R1'!Q37</f>
        <v/>
      </c>
      <c r="R15" s="35" t="str">
        <f>'R1'!R37</f>
        <v/>
      </c>
      <c r="S15" s="35" t="str">
        <f>'R1'!S37</f>
        <v/>
      </c>
      <c r="T15" s="35" t="str">
        <f>'R1'!T37</f>
        <v/>
      </c>
      <c r="U15" s="35" t="str">
        <f>'R1'!U37</f>
        <v/>
      </c>
      <c r="V15" s="35" t="str">
        <f>'R1'!V37</f>
        <v/>
      </c>
    </row>
    <row r="16" spans="1:22" s="1" customFormat="1" x14ac:dyDescent="0.35">
      <c r="A16" s="148"/>
      <c r="B16" s="35" t="str">
        <f>'R1'!B38</f>
        <v/>
      </c>
      <c r="C16" s="35" t="str">
        <f>'R1'!C38</f>
        <v/>
      </c>
      <c r="D16" s="35" t="str">
        <f>'R1'!D38</f>
        <v/>
      </c>
      <c r="E16" s="35" t="str">
        <f>'R1'!E38</f>
        <v/>
      </c>
      <c r="F16" s="35" t="str">
        <f>'R1'!F38</f>
        <v/>
      </c>
      <c r="G16" s="35" t="str">
        <f>'R1'!G38</f>
        <v/>
      </c>
      <c r="H16" s="35" t="str">
        <f>'R1'!H38</f>
        <v/>
      </c>
      <c r="I16" s="35" t="str">
        <f>'R1'!I38</f>
        <v/>
      </c>
      <c r="J16" s="35" t="str">
        <f>'R1'!J38</f>
        <v/>
      </c>
      <c r="K16" s="35" t="str">
        <f>'R1'!K38</f>
        <v/>
      </c>
      <c r="L16" s="35" t="str">
        <f>'R1'!L38</f>
        <v/>
      </c>
      <c r="M16" s="35" t="str">
        <f>'R1'!M38</f>
        <v/>
      </c>
      <c r="N16"/>
      <c r="O16" s="35">
        <f>'R1'!O38</f>
        <v>0.26129002876168789</v>
      </c>
      <c r="P16" s="35" t="str">
        <f>'R1'!P38</f>
        <v/>
      </c>
      <c r="Q16" s="35" t="str">
        <f>'R1'!Q38</f>
        <v/>
      </c>
      <c r="R16" s="35" t="str">
        <f>'R1'!R38</f>
        <v/>
      </c>
      <c r="S16" s="35" t="str">
        <f>'R1'!S38</f>
        <v/>
      </c>
      <c r="T16" s="35" t="str">
        <f>'R1'!T38</f>
        <v/>
      </c>
      <c r="U16" s="35" t="str">
        <f>'R1'!U38</f>
        <v/>
      </c>
      <c r="V16" s="35" t="str">
        <f>'R1'!V38</f>
        <v/>
      </c>
    </row>
    <row r="17" spans="1:22" s="1" customFormat="1" x14ac:dyDescent="0.35">
      <c r="A17" s="148"/>
      <c r="B17" s="35" t="str">
        <f>'R1'!B39</f>
        <v/>
      </c>
      <c r="C17" s="35" t="str">
        <f>'R1'!C39</f>
        <v/>
      </c>
      <c r="D17" s="35" t="str">
        <f>'R1'!D39</f>
        <v/>
      </c>
      <c r="E17" s="35" t="str">
        <f>'R1'!E39</f>
        <v/>
      </c>
      <c r="F17" s="35" t="str">
        <f>'R1'!F39</f>
        <v/>
      </c>
      <c r="G17" s="35" t="str">
        <f>'R1'!G39</f>
        <v/>
      </c>
      <c r="H17" s="35" t="str">
        <f>'R1'!H39</f>
        <v/>
      </c>
      <c r="I17" s="35" t="str">
        <f>'R1'!I39</f>
        <v/>
      </c>
      <c r="J17" s="35" t="str">
        <f>'R1'!J39</f>
        <v/>
      </c>
      <c r="K17" s="35" t="str">
        <f>'R1'!K39</f>
        <v/>
      </c>
      <c r="L17" s="35" t="str">
        <f>'R1'!L39</f>
        <v/>
      </c>
      <c r="M17" s="35" t="str">
        <f>'R1'!M39</f>
        <v/>
      </c>
      <c r="N17"/>
      <c r="O17" s="35">
        <f>'R1'!O39</f>
        <v>1.3779506716498438</v>
      </c>
      <c r="P17" s="35" t="str">
        <f>'R1'!P39</f>
        <v/>
      </c>
      <c r="Q17" s="35" t="str">
        <f>'R1'!Q39</f>
        <v/>
      </c>
      <c r="R17" s="35" t="str">
        <f>'R1'!R39</f>
        <v/>
      </c>
      <c r="S17" s="35" t="str">
        <f>'R1'!S39</f>
        <v/>
      </c>
      <c r="T17" s="35" t="str">
        <f>'R1'!T39</f>
        <v/>
      </c>
      <c r="U17" s="35" t="str">
        <f>'R1'!U39</f>
        <v/>
      </c>
      <c r="V17" s="35" t="str">
        <f>'R1'!V39</f>
        <v/>
      </c>
    </row>
    <row r="18" spans="1:22" s="1" customFormat="1" x14ac:dyDescent="0.35">
      <c r="A18" s="148"/>
      <c r="B18" s="35" t="str">
        <f>'R1'!B40</f>
        <v/>
      </c>
      <c r="C18" s="35" t="str">
        <f>'R1'!C40</f>
        <v/>
      </c>
      <c r="D18" s="35" t="str">
        <f>'R1'!D40</f>
        <v/>
      </c>
      <c r="E18" s="35" t="str">
        <f>'R1'!E40</f>
        <v/>
      </c>
      <c r="F18" s="35" t="str">
        <f>'R1'!F40</f>
        <v/>
      </c>
      <c r="G18" s="35" t="str">
        <f>'R1'!G40</f>
        <v/>
      </c>
      <c r="H18" s="35" t="str">
        <f>'R1'!H40</f>
        <v/>
      </c>
      <c r="I18" s="35" t="str">
        <f>'R1'!I40</f>
        <v/>
      </c>
      <c r="J18" s="35" t="str">
        <f>'R1'!J40</f>
        <v/>
      </c>
      <c r="K18" s="35" t="str">
        <f>'R1'!K40</f>
        <v/>
      </c>
      <c r="L18" s="35" t="str">
        <f>'R1'!L40</f>
        <v/>
      </c>
      <c r="M18" s="35" t="str">
        <f>'R1'!M40</f>
        <v/>
      </c>
      <c r="N18"/>
      <c r="O18" s="35">
        <f>'R1'!O40</f>
        <v>2.1408601114615726E-2</v>
      </c>
      <c r="P18" s="35" t="str">
        <f>'R1'!P40</f>
        <v/>
      </c>
      <c r="Q18" s="35" t="str">
        <f>'R1'!Q40</f>
        <v/>
      </c>
      <c r="R18" s="35" t="str">
        <f>'R1'!R40</f>
        <v/>
      </c>
      <c r="S18" s="35" t="str">
        <f>'R1'!S40</f>
        <v/>
      </c>
      <c r="T18" s="35" t="str">
        <f>'R1'!T40</f>
        <v/>
      </c>
      <c r="U18" s="35" t="str">
        <f>'R1'!U40</f>
        <v/>
      </c>
      <c r="V18" s="35" t="str">
        <f>'R1'!V40</f>
        <v/>
      </c>
    </row>
    <row r="19" spans="1:22" s="1" customFormat="1" x14ac:dyDescent="0.35">
      <c r="A19" s="148"/>
      <c r="B19" s="35" t="str">
        <f>'R1'!B41</f>
        <v/>
      </c>
      <c r="C19" s="35" t="str">
        <f>'R1'!C41</f>
        <v/>
      </c>
      <c r="D19" s="35" t="str">
        <f>'R1'!D41</f>
        <v/>
      </c>
      <c r="E19" s="35" t="str">
        <f>'R1'!E41</f>
        <v/>
      </c>
      <c r="F19" s="35" t="str">
        <f>'R1'!F41</f>
        <v/>
      </c>
      <c r="G19" s="35" t="str">
        <f>'R1'!G41</f>
        <v/>
      </c>
      <c r="H19" s="35" t="str">
        <f>'R1'!H41</f>
        <v/>
      </c>
      <c r="I19" s="35" t="str">
        <f>'R1'!I41</f>
        <v/>
      </c>
      <c r="J19" s="35" t="str">
        <f>'R1'!J41</f>
        <v/>
      </c>
      <c r="K19" s="35" t="str">
        <f>'R1'!K41</f>
        <v/>
      </c>
      <c r="L19" s="35" t="str">
        <f>'R1'!L41</f>
        <v/>
      </c>
      <c r="M19" s="35" t="str">
        <f>'R1'!M41</f>
        <v/>
      </c>
      <c r="N19"/>
      <c r="O19" s="35">
        <f>'R1'!O41</f>
        <v>1.7526826374540336</v>
      </c>
      <c r="P19" s="35" t="str">
        <f>'R1'!P41</f>
        <v/>
      </c>
      <c r="Q19" s="35" t="str">
        <f>'R1'!Q41</f>
        <v/>
      </c>
      <c r="R19" s="35" t="str">
        <f>'R1'!R41</f>
        <v/>
      </c>
      <c r="S19" s="35" t="str">
        <f>'R1'!S41</f>
        <v/>
      </c>
      <c r="T19" s="35" t="str">
        <f>'R1'!T41</f>
        <v/>
      </c>
      <c r="U19" s="35" t="str">
        <f>'R1'!U41</f>
        <v/>
      </c>
      <c r="V19" s="35" t="str">
        <f>'R1'!V41</f>
        <v/>
      </c>
    </row>
    <row r="20" spans="1:22" s="1" customFormat="1" x14ac:dyDescent="0.35">
      <c r="A20" s="148"/>
      <c r="B20" s="35" t="str">
        <f>'R1'!B42</f>
        <v/>
      </c>
      <c r="C20" s="35" t="str">
        <f>'R1'!C42</f>
        <v/>
      </c>
      <c r="D20" s="35" t="str">
        <f>'R1'!D42</f>
        <v/>
      </c>
      <c r="E20" s="35" t="str">
        <f>'R1'!E42</f>
        <v/>
      </c>
      <c r="F20" s="35" t="str">
        <f>'R1'!F42</f>
        <v/>
      </c>
      <c r="G20" s="35" t="str">
        <f>'R1'!G42</f>
        <v/>
      </c>
      <c r="H20" s="35" t="str">
        <f>'R1'!H42</f>
        <v/>
      </c>
      <c r="I20" s="35" t="str">
        <f>'R1'!I42</f>
        <v/>
      </c>
      <c r="J20" s="35" t="str">
        <f>'R1'!J42</f>
        <v/>
      </c>
      <c r="K20" s="35" t="str">
        <f>'R1'!K42</f>
        <v/>
      </c>
      <c r="L20" s="35" t="str">
        <f>'R1'!L42</f>
        <v/>
      </c>
      <c r="M20" s="35" t="str">
        <f>'R1'!M42</f>
        <v/>
      </c>
      <c r="N20"/>
      <c r="O20" s="35" t="str">
        <f>'R1'!O42</f>
        <v/>
      </c>
      <c r="P20" s="35" t="str">
        <f>'R1'!P42</f>
        <v/>
      </c>
      <c r="Q20" s="35" t="str">
        <f>'R1'!Q42</f>
        <v/>
      </c>
      <c r="R20" s="35" t="str">
        <f>'R1'!R42</f>
        <v/>
      </c>
      <c r="S20" s="35" t="str">
        <f>'R1'!S42</f>
        <v/>
      </c>
      <c r="T20" s="35" t="str">
        <f>'R1'!T42</f>
        <v/>
      </c>
      <c r="U20" s="35" t="str">
        <f>'R1'!U42</f>
        <v/>
      </c>
      <c r="V20" s="35" t="str">
        <f>'R1'!V42</f>
        <v/>
      </c>
    </row>
    <row r="21" spans="1:22" s="1" customFormat="1" x14ac:dyDescent="0.35">
      <c r="A21" s="149"/>
      <c r="B21" s="35" t="str">
        <f>'R1'!B43</f>
        <v/>
      </c>
      <c r="C21" s="35" t="str">
        <f>'R1'!C43</f>
        <v/>
      </c>
      <c r="D21" s="35" t="str">
        <f>'R1'!D43</f>
        <v/>
      </c>
      <c r="E21" s="35" t="str">
        <f>'R1'!E43</f>
        <v/>
      </c>
      <c r="F21" s="35" t="str">
        <f>'R1'!F43</f>
        <v/>
      </c>
      <c r="G21" s="35" t="str">
        <f>'R1'!G43</f>
        <v/>
      </c>
      <c r="H21" s="35" t="str">
        <f>'R1'!H43</f>
        <v/>
      </c>
      <c r="I21" s="35" t="str">
        <f>'R1'!I43</f>
        <v/>
      </c>
      <c r="J21" s="35" t="str">
        <f>'R1'!J43</f>
        <v/>
      </c>
      <c r="K21" s="35" t="str">
        <f>'R1'!K43</f>
        <v/>
      </c>
      <c r="L21" s="35" t="str">
        <f>'R1'!L43</f>
        <v/>
      </c>
      <c r="M21" s="35" t="str">
        <f>'R1'!M43</f>
        <v/>
      </c>
      <c r="N21"/>
      <c r="O21" s="35" t="str">
        <f>'R1'!O43</f>
        <v/>
      </c>
      <c r="P21" s="35" t="str">
        <f>'R1'!P43</f>
        <v/>
      </c>
      <c r="Q21" s="35" t="str">
        <f>'R1'!Q43</f>
        <v/>
      </c>
      <c r="R21" s="35" t="str">
        <f>'R1'!R43</f>
        <v/>
      </c>
      <c r="S21" s="35" t="str">
        <f>'R1'!S43</f>
        <v/>
      </c>
      <c r="T21" s="35" t="str">
        <f>'R1'!T43</f>
        <v/>
      </c>
      <c r="U21" s="35" t="str">
        <f>'R1'!U43</f>
        <v/>
      </c>
      <c r="V21" s="35" t="str">
        <f>'R1'!V43</f>
        <v/>
      </c>
    </row>
    <row r="22" spans="1:22" x14ac:dyDescent="0.35">
      <c r="A22" s="22" t="s">
        <v>4</v>
      </c>
      <c r="B22" s="36">
        <f>'R2'!B28</f>
        <v>8.9832952243951159E-2</v>
      </c>
      <c r="C22" s="36">
        <f>'R2'!C28</f>
        <v>1.7244493825616197E-2</v>
      </c>
      <c r="D22" s="36">
        <f>'R2'!D28</f>
        <v>2.8222516955871507E-2</v>
      </c>
      <c r="E22" s="36">
        <f>'R2'!E28</f>
        <v>1.0492089835306844</v>
      </c>
      <c r="F22" s="36">
        <f>'R2'!F28</f>
        <v>0.34836850208878678</v>
      </c>
      <c r="G22" s="36">
        <f>'R2'!G28</f>
        <v>1.363509382524829</v>
      </c>
      <c r="H22" s="36">
        <f>'R2'!H28</f>
        <v>1.2894769663200378</v>
      </c>
      <c r="I22" s="36">
        <f>'R2'!I28</f>
        <v>1.103571080374602E-2</v>
      </c>
      <c r="J22" s="36">
        <f>'R2'!J28</f>
        <v>1.6600511021546419E-2</v>
      </c>
      <c r="K22" s="36">
        <f>'R2'!K28</f>
        <v>0.54371956726886761</v>
      </c>
      <c r="L22" s="36">
        <f>'R2'!L28</f>
        <v>0.12411179194175311</v>
      </c>
      <c r="M22" s="36">
        <f>'R2'!M28</f>
        <v>6.7223799108563562E-3</v>
      </c>
      <c r="O22" s="36">
        <f>'R2'!O28</f>
        <v>1.1943329218916996</v>
      </c>
      <c r="P22" s="36">
        <f>'R2'!P28</f>
        <v>1.8441645496737593</v>
      </c>
      <c r="Q22" s="36">
        <f>'R2'!Q28</f>
        <v>3.4852773184061575E-2</v>
      </c>
      <c r="R22" s="36">
        <f>'R2'!R28</f>
        <v>4.5971483599666678E-2</v>
      </c>
      <c r="S22" s="36">
        <f>'R2'!S28</f>
        <v>0.47678538382721658</v>
      </c>
      <c r="T22" s="36">
        <f>'R2'!T28</f>
        <v>7.2258814569816615E-2</v>
      </c>
      <c r="U22" s="36">
        <f>'R2'!U28</f>
        <v>0.73589957635614778</v>
      </c>
      <c r="V22" s="36">
        <f>'R2'!V28</f>
        <v>1.6306604098105835</v>
      </c>
    </row>
    <row r="23" spans="1:22" x14ac:dyDescent="0.35">
      <c r="A23" s="147"/>
      <c r="B23" s="36">
        <f>'R2'!B29</f>
        <v>7.9299948309195633E-3</v>
      </c>
      <c r="C23" s="36">
        <f>'R2'!C29</f>
        <v>0.23654447892541991</v>
      </c>
      <c r="D23" s="36">
        <f>'R2'!D29</f>
        <v>0.40172077032175224</v>
      </c>
      <c r="E23" s="36">
        <f>'R2'!E29</f>
        <v>0.4623837738702064</v>
      </c>
      <c r="F23" s="36">
        <f>'R2'!F29</f>
        <v>2.7547877273889521</v>
      </c>
      <c r="G23" s="36">
        <f>'R2'!G29</f>
        <v>1.7831130373038371</v>
      </c>
      <c r="H23" s="36">
        <f>'R2'!H29</f>
        <v>1.7669390030113112</v>
      </c>
      <c r="I23" s="36">
        <f>'R2'!I29</f>
        <v>0.15834618858497804</v>
      </c>
      <c r="J23" s="36">
        <f>'R2'!J29</f>
        <v>4.6077440550976144E-2</v>
      </c>
      <c r="K23" s="36">
        <f>'R2'!K29</f>
        <v>0.70309971910370717</v>
      </c>
      <c r="L23" s="36">
        <f>'R2'!L29</f>
        <v>2.007884227314451E-2</v>
      </c>
      <c r="M23" s="36">
        <f>'R2'!M29</f>
        <v>6.6170410417628583E-2</v>
      </c>
      <c r="O23" s="36">
        <f>'R2'!O29</f>
        <v>1.5597110465640331</v>
      </c>
      <c r="P23" s="36">
        <f>'R2'!P29</f>
        <v>2.3060076487674226</v>
      </c>
      <c r="Q23" s="36">
        <f>'R2'!Q29</f>
        <v>2.0847618819867665E-2</v>
      </c>
      <c r="R23" s="36">
        <f>'R2'!R29</f>
        <v>0.76054369160640667</v>
      </c>
      <c r="S23" s="36">
        <f>'R2'!S29</f>
        <v>0.67132941022815695</v>
      </c>
      <c r="T23" s="36">
        <f>'R2'!T29</f>
        <v>0.83787872711854117</v>
      </c>
      <c r="U23" s="36">
        <f>'R2'!U29</f>
        <v>1.3908448043383486</v>
      </c>
      <c r="V23" s="36">
        <f>'R2'!V29</f>
        <v>1.5289437968275459</v>
      </c>
    </row>
    <row r="24" spans="1:22" x14ac:dyDescent="0.35">
      <c r="A24" s="148"/>
      <c r="B24" s="36">
        <f>'R2'!B30</f>
        <v>0.1603208141025759</v>
      </c>
      <c r="C24" s="36">
        <f>'R2'!C30</f>
        <v>7.6568024914599797E-2</v>
      </c>
      <c r="D24" s="36">
        <f>'R2'!D30</f>
        <v>7.8676273920793502E-2</v>
      </c>
      <c r="E24" s="36">
        <f>'R2'!E30</f>
        <v>0.30080472097083055</v>
      </c>
      <c r="F24" s="36">
        <f>'R2'!F30</f>
        <v>1.7744719535996851</v>
      </c>
      <c r="G24" s="36">
        <f>'R2'!G30</f>
        <v>0.80359812147155074</v>
      </c>
      <c r="H24" s="36">
        <f>'R2'!H30</f>
        <v>3.0352990432602365</v>
      </c>
      <c r="I24" s="36">
        <f>'R2'!I30</f>
        <v>1.4500208786700931E-2</v>
      </c>
      <c r="J24" s="36">
        <f>'R2'!J30</f>
        <v>5.7999657847344734E-3</v>
      </c>
      <c r="K24" s="36">
        <f>'R2'!K30</f>
        <v>0.3758384303654963</v>
      </c>
      <c r="L24" s="36">
        <f>'R2'!L30</f>
        <v>3.950428334654729E-3</v>
      </c>
      <c r="M24" s="36">
        <f>'R2'!M30</f>
        <v>3.5559447184322787E-2</v>
      </c>
      <c r="O24" s="36">
        <f>'R2'!O30</f>
        <v>1.2775247278874649</v>
      </c>
      <c r="P24" s="36">
        <f>'R2'!P30</f>
        <v>1.8019701370634105</v>
      </c>
      <c r="Q24" s="36">
        <f>'R2'!Q30</f>
        <v>5.9871563987145361E-2</v>
      </c>
      <c r="R24" s="36">
        <f>'R2'!R30</f>
        <v>0.92626654427657706</v>
      </c>
      <c r="S24" s="36">
        <f>'R2'!S30</f>
        <v>4.0346641109457577E-2</v>
      </c>
      <c r="T24" s="36">
        <f>'R2'!T30</f>
        <v>0.3913893789193495</v>
      </c>
      <c r="U24" s="36">
        <f>'R2'!U30</f>
        <v>1.0800598215287602</v>
      </c>
      <c r="V24" s="36">
        <f>'R2'!V30</f>
        <v>1.0061598515131058</v>
      </c>
    </row>
    <row r="25" spans="1:22" x14ac:dyDescent="0.35">
      <c r="A25" s="148"/>
      <c r="B25" s="36">
        <f>'R2'!B31</f>
        <v>0.33784167897619094</v>
      </c>
      <c r="C25" s="36">
        <f>'R2'!C31</f>
        <v>7.9441224244274928E-3</v>
      </c>
      <c r="D25" s="36">
        <f>'R2'!D31</f>
        <v>1.6850257442280134</v>
      </c>
      <c r="E25" s="36">
        <f>'R2'!E31</f>
        <v>1.1274172809165277</v>
      </c>
      <c r="F25" s="36">
        <f>'R2'!F31</f>
        <v>0.90680460691994547</v>
      </c>
      <c r="G25" s="36">
        <f>'R2'!G31</f>
        <v>1.3183776077642899</v>
      </c>
      <c r="H25" s="36">
        <f>'R2'!H31</f>
        <v>2.0070824863828762</v>
      </c>
      <c r="I25" s="36">
        <f>'R2'!I31</f>
        <v>1.8473005811076547E-2</v>
      </c>
      <c r="J25" s="36">
        <f>'R2'!J31</f>
        <v>0.13781261439579703</v>
      </c>
      <c r="K25" s="36" t="str">
        <f>'R2'!K31</f>
        <v/>
      </c>
      <c r="L25" s="36">
        <f>'R2'!L31</f>
        <v>0.15376561071489669</v>
      </c>
      <c r="M25" s="36">
        <f>'R2'!M31</f>
        <v>9.2159001650058775E-2</v>
      </c>
      <c r="O25" s="36">
        <f>'R2'!O31</f>
        <v>1.0636691641357794</v>
      </c>
      <c r="P25" s="36">
        <f>'R2'!P31</f>
        <v>2.0734489171604271</v>
      </c>
      <c r="Q25" s="36">
        <f>'R2'!Q31</f>
        <v>9.7256413982638512E-2</v>
      </c>
      <c r="R25" s="36">
        <f>'R2'!R31</f>
        <v>0.69064683407619698</v>
      </c>
      <c r="S25" s="36">
        <f>'R2'!S31</f>
        <v>1.2340076193349361</v>
      </c>
      <c r="T25" s="36">
        <f>'R2'!T31</f>
        <v>0.17506737280107135</v>
      </c>
      <c r="U25" s="36">
        <f>'R2'!U31</f>
        <v>0.2442781590715522</v>
      </c>
      <c r="V25" s="36">
        <f>'R2'!V31</f>
        <v>1.1859417199977189</v>
      </c>
    </row>
    <row r="26" spans="1:22" x14ac:dyDescent="0.35">
      <c r="A26" s="148"/>
      <c r="B26" s="36">
        <f>'R2'!B32</f>
        <v>1.9912843049426341E-2</v>
      </c>
      <c r="C26" s="36">
        <f>'R2'!C32</f>
        <v>2.9130803488485461E-2</v>
      </c>
      <c r="D26" s="36">
        <f>'R2'!D32</f>
        <v>3.8616893879330483E-2</v>
      </c>
      <c r="E26" s="36">
        <f>'R2'!E32</f>
        <v>0.11579328828936548</v>
      </c>
      <c r="F26" s="36">
        <f>'R2'!F32</f>
        <v>0.71642233410654932</v>
      </c>
      <c r="G26" s="36">
        <f>'R2'!G32</f>
        <v>1.4558417415202247</v>
      </c>
      <c r="H26" s="36">
        <f>'R2'!H32</f>
        <v>3.4139438612111102</v>
      </c>
      <c r="I26" s="36">
        <f>'R2'!I32</f>
        <v>1.2449647453997943E-2</v>
      </c>
      <c r="J26" s="36">
        <f>'R2'!J32</f>
        <v>0.19197192140790298</v>
      </c>
      <c r="K26" s="36" t="str">
        <f>'R2'!K32</f>
        <v/>
      </c>
      <c r="L26" s="36">
        <f>'R2'!L32</f>
        <v>3.7810738074784273E-2</v>
      </c>
      <c r="M26" s="36">
        <f>'R2'!M32</f>
        <v>8.0466946397923539E-2</v>
      </c>
      <c r="O26" s="36">
        <f>'R2'!O32</f>
        <v>0.91971310683808638</v>
      </c>
      <c r="P26" s="36">
        <f>'R2'!P32</f>
        <v>2.3776239521574931</v>
      </c>
      <c r="Q26" s="36">
        <f>'R2'!Q32</f>
        <v>1.3208711280184394E-2</v>
      </c>
      <c r="R26" s="36">
        <f>'R2'!R32</f>
        <v>0.36918462814812636</v>
      </c>
      <c r="S26" s="36">
        <f>'R2'!S32</f>
        <v>0.81147307755276232</v>
      </c>
      <c r="T26" s="36">
        <f>'R2'!T32</f>
        <v>0.3604475945380663</v>
      </c>
      <c r="U26" s="36">
        <f>'R2'!U32</f>
        <v>0.68967938824576858</v>
      </c>
      <c r="V26" s="36">
        <f>'R2'!V32</f>
        <v>1.3009111929906534</v>
      </c>
    </row>
    <row r="27" spans="1:22" x14ac:dyDescent="0.35">
      <c r="A27" s="148"/>
      <c r="B27" s="36">
        <f>'R2'!B33</f>
        <v>0.16677212081299886</v>
      </c>
      <c r="C27" s="36">
        <f>'R2'!C33</f>
        <v>4.3582154347638132E-2</v>
      </c>
      <c r="D27" s="36">
        <f>'R2'!D33</f>
        <v>5.8208039851586686E-2</v>
      </c>
      <c r="E27" s="36">
        <f>'R2'!E33</f>
        <v>0.15410290700989851</v>
      </c>
      <c r="F27" s="36">
        <f>'R2'!F33</f>
        <v>0.84740278541693881</v>
      </c>
      <c r="G27" s="36">
        <f>'R2'!G33</f>
        <v>1.2910006861448409</v>
      </c>
      <c r="H27" s="36">
        <f>'R2'!H33</f>
        <v>1.7298870344378487</v>
      </c>
      <c r="I27" s="36">
        <f>'R2'!I33</f>
        <v>3.7634731805664651E-2</v>
      </c>
      <c r="J27" s="36">
        <f>'R2'!J33</f>
        <v>1.0155385133283176E-2</v>
      </c>
      <c r="K27" s="36" t="str">
        <f>'R2'!K33</f>
        <v/>
      </c>
      <c r="L27" s="36">
        <f>'R2'!L33</f>
        <v>3.3289908152246896E-2</v>
      </c>
      <c r="M27" s="36">
        <f>'R2'!M33</f>
        <v>1.0415568313720874E-2</v>
      </c>
      <c r="O27" s="36">
        <f>'R2'!O33</f>
        <v>1.2106346931755261</v>
      </c>
      <c r="P27" s="36">
        <f>'R2'!P33</f>
        <v>2.2979922997257258</v>
      </c>
      <c r="Q27" s="36">
        <f>'R2'!Q33</f>
        <v>0.11403234262357505</v>
      </c>
      <c r="R27" s="36">
        <f>'R2'!R33</f>
        <v>0.79536232310615751</v>
      </c>
      <c r="S27" s="36">
        <f>'R2'!S33</f>
        <v>0.82610926442697707</v>
      </c>
      <c r="T27" s="36">
        <f>'R2'!T33</f>
        <v>0.51219237073159962</v>
      </c>
      <c r="U27" s="36">
        <f>'R2'!U33</f>
        <v>1.0735937985750998</v>
      </c>
      <c r="V27" s="36">
        <f>'R2'!V33</f>
        <v>2.0434669261630889</v>
      </c>
    </row>
    <row r="28" spans="1:22" x14ac:dyDescent="0.35">
      <c r="A28" s="148"/>
      <c r="B28" s="36">
        <f>'R2'!B34</f>
        <v>7.3190647091610453E-2</v>
      </c>
      <c r="C28" s="36">
        <f>'R2'!C34</f>
        <v>2.670733255214609E-2</v>
      </c>
      <c r="D28" s="36">
        <f>'R2'!D34</f>
        <v>4.6018869902891189E-2</v>
      </c>
      <c r="E28" s="36">
        <f>'R2'!E34</f>
        <v>0.48480897396512618</v>
      </c>
      <c r="F28" s="36">
        <f>'R2'!F34</f>
        <v>0.24098260356096296</v>
      </c>
      <c r="G28" s="36">
        <f>'R2'!G34</f>
        <v>1.6676629318067684</v>
      </c>
      <c r="H28" s="36">
        <f>'R2'!H34</f>
        <v>2.0227526365069526</v>
      </c>
      <c r="I28" s="36">
        <f>'R2'!I34</f>
        <v>0.1255054201763374</v>
      </c>
      <c r="J28" s="36">
        <f>'R2'!J34</f>
        <v>1.6313544278416605E-2</v>
      </c>
      <c r="K28" s="36" t="str">
        <f>'R2'!K34</f>
        <v/>
      </c>
      <c r="L28" s="36">
        <f>'R2'!L34</f>
        <v>1.4445758686722453E-2</v>
      </c>
      <c r="M28" s="36">
        <f>'R2'!M34</f>
        <v>8.292926821640971E-2</v>
      </c>
      <c r="O28" s="36">
        <f>'R2'!O34</f>
        <v>0.40699242297426313</v>
      </c>
      <c r="P28" s="36">
        <f>'R2'!P34</f>
        <v>3.0381495795753262</v>
      </c>
      <c r="Q28" s="36">
        <f>'R2'!Q34</f>
        <v>2.6697619831609388E-2</v>
      </c>
      <c r="R28" s="36">
        <f>'R2'!R34</f>
        <v>0.12622533879551229</v>
      </c>
      <c r="S28" s="36">
        <f>'R2'!S34</f>
        <v>0.70170932844263512</v>
      </c>
      <c r="T28" s="36">
        <f>'R2'!T34</f>
        <v>0.74574297713279758</v>
      </c>
      <c r="U28" s="36">
        <f>'R2'!U34</f>
        <v>1.3135191872218861</v>
      </c>
      <c r="V28" s="36">
        <f>'R2'!V34</f>
        <v>0.78541149375387453</v>
      </c>
    </row>
    <row r="29" spans="1:22" x14ac:dyDescent="0.35">
      <c r="A29" s="148"/>
      <c r="B29" s="36">
        <f>'R2'!B35</f>
        <v>2.0983302582516735E-2</v>
      </c>
      <c r="C29" s="36">
        <f>'R2'!C35</f>
        <v>0.11457684362335983</v>
      </c>
      <c r="D29" s="36">
        <f>'R2'!D35</f>
        <v>2.0551822330795395E-2</v>
      </c>
      <c r="E29" s="36">
        <f>'R2'!E35</f>
        <v>0.37387027999492289</v>
      </c>
      <c r="F29" s="36">
        <f>'R2'!F35</f>
        <v>1.9048793543984093</v>
      </c>
      <c r="G29" s="36">
        <f>'R2'!G35</f>
        <v>0.80399752031301452</v>
      </c>
      <c r="H29" s="36">
        <f>'R2'!H35</f>
        <v>2.9401264493200174</v>
      </c>
      <c r="I29" s="36">
        <f>'R2'!I35</f>
        <v>6.5325403730935568E-3</v>
      </c>
      <c r="J29" s="36">
        <f>'R2'!J35</f>
        <v>2.3745835763046411E-2</v>
      </c>
      <c r="K29" s="36" t="str">
        <f>'R2'!K35</f>
        <v/>
      </c>
      <c r="L29" s="36">
        <f>'R2'!L35</f>
        <v>5.4815945785359914E-2</v>
      </c>
      <c r="M29" s="36">
        <f>'R2'!M35</f>
        <v>9.4748766134981066E-2</v>
      </c>
      <c r="O29" s="36">
        <f>'R2'!O35</f>
        <v>1.2422984564500374</v>
      </c>
      <c r="P29" s="36">
        <f>'R2'!P35</f>
        <v>2.2873065411861662</v>
      </c>
      <c r="Q29" s="36">
        <f>'R2'!Q35</f>
        <v>0.15193608735561986</v>
      </c>
      <c r="R29" s="36">
        <f>'R2'!R35</f>
        <v>0.9551445227062435</v>
      </c>
      <c r="S29" s="36">
        <f>'R2'!S35</f>
        <v>1.2508450618726052</v>
      </c>
      <c r="T29" s="36">
        <f>'R2'!T35</f>
        <v>1.4607343037469395E-3</v>
      </c>
      <c r="U29" s="36">
        <f>'R2'!U35</f>
        <v>0.76626566130198281</v>
      </c>
      <c r="V29" s="36">
        <f>'R2'!V35</f>
        <v>1.2290117490806947</v>
      </c>
    </row>
    <row r="30" spans="1:22" x14ac:dyDescent="0.35">
      <c r="A30" s="148"/>
      <c r="B30" s="36" t="str">
        <f>'R2'!B36</f>
        <v/>
      </c>
      <c r="C30" s="36" t="str">
        <f>'R2'!C36</f>
        <v/>
      </c>
      <c r="D30" s="36" t="str">
        <f>'R2'!D36</f>
        <v/>
      </c>
      <c r="E30" s="36" t="str">
        <f>'R2'!E36</f>
        <v/>
      </c>
      <c r="F30" s="36" t="str">
        <f>'R2'!F36</f>
        <v/>
      </c>
      <c r="G30" s="36" t="str">
        <f>'R2'!G36</f>
        <v/>
      </c>
      <c r="H30" s="36" t="str">
        <f>'R2'!H36</f>
        <v/>
      </c>
      <c r="I30" s="36" t="str">
        <f>'R2'!I36</f>
        <v/>
      </c>
      <c r="J30" s="36" t="str">
        <f>'R2'!J36</f>
        <v/>
      </c>
      <c r="K30" s="36" t="str">
        <f>'R2'!K36</f>
        <v/>
      </c>
      <c r="L30" s="36" t="str">
        <f>'R2'!L36</f>
        <v/>
      </c>
      <c r="M30" s="36" t="str">
        <f>'R2'!M36</f>
        <v/>
      </c>
      <c r="O30" s="36">
        <f>'R2'!O36</f>
        <v>0.55871865670131726</v>
      </c>
      <c r="P30" s="36" t="str">
        <f>'R2'!P36</f>
        <v/>
      </c>
      <c r="Q30" s="36" t="str">
        <f>'R2'!Q36</f>
        <v/>
      </c>
      <c r="R30" s="36" t="str">
        <f>'R2'!R36</f>
        <v/>
      </c>
      <c r="S30" s="36" t="str">
        <f>'R2'!S36</f>
        <v/>
      </c>
      <c r="T30" s="36" t="str">
        <f>'R2'!T36</f>
        <v/>
      </c>
      <c r="U30" s="36" t="str">
        <f>'R2'!U36</f>
        <v/>
      </c>
      <c r="V30" s="36" t="str">
        <f>'R2'!V36</f>
        <v/>
      </c>
    </row>
    <row r="31" spans="1:22" s="1" customFormat="1" x14ac:dyDescent="0.35">
      <c r="A31" s="148"/>
      <c r="B31" s="36" t="str">
        <f>'R2'!B37</f>
        <v/>
      </c>
      <c r="C31" s="36" t="str">
        <f>'R2'!C37</f>
        <v/>
      </c>
      <c r="D31" s="36" t="str">
        <f>'R2'!D37</f>
        <v/>
      </c>
      <c r="E31" s="36" t="str">
        <f>'R2'!E37</f>
        <v/>
      </c>
      <c r="F31" s="36" t="str">
        <f>'R2'!F37</f>
        <v/>
      </c>
      <c r="G31" s="36" t="str">
        <f>'R2'!G37</f>
        <v/>
      </c>
      <c r="H31" s="36" t="str">
        <f>'R2'!H37</f>
        <v/>
      </c>
      <c r="I31" s="36" t="str">
        <f>'R2'!I37</f>
        <v/>
      </c>
      <c r="J31" s="36" t="str">
        <f>'R2'!J37</f>
        <v/>
      </c>
      <c r="K31" s="36" t="str">
        <f>'R2'!K37</f>
        <v/>
      </c>
      <c r="L31" s="36" t="str">
        <f>'R2'!L37</f>
        <v/>
      </c>
      <c r="M31" s="36" t="str">
        <f>'R2'!M37</f>
        <v/>
      </c>
      <c r="N31"/>
      <c r="O31" s="36">
        <f>'R2'!O37</f>
        <v>1.4340254995704695</v>
      </c>
      <c r="P31" s="36" t="str">
        <f>'R2'!P37</f>
        <v/>
      </c>
      <c r="Q31" s="36" t="str">
        <f>'R2'!Q37</f>
        <v/>
      </c>
      <c r="R31" s="36" t="str">
        <f>'R2'!R37</f>
        <v/>
      </c>
      <c r="S31" s="36" t="str">
        <f>'R2'!S37</f>
        <v/>
      </c>
      <c r="T31" s="36" t="str">
        <f>'R2'!T37</f>
        <v/>
      </c>
      <c r="U31" s="36" t="str">
        <f>'R2'!U37</f>
        <v/>
      </c>
      <c r="V31" s="36" t="str">
        <f>'R2'!V37</f>
        <v/>
      </c>
    </row>
    <row r="32" spans="1:22" s="1" customFormat="1" x14ac:dyDescent="0.35">
      <c r="A32" s="148"/>
      <c r="B32" s="36" t="str">
        <f>'R2'!B38</f>
        <v/>
      </c>
      <c r="C32" s="36" t="str">
        <f>'R2'!C38</f>
        <v/>
      </c>
      <c r="D32" s="36" t="str">
        <f>'R2'!D38</f>
        <v/>
      </c>
      <c r="E32" s="36" t="str">
        <f>'R2'!E38</f>
        <v/>
      </c>
      <c r="F32" s="36" t="str">
        <f>'R2'!F38</f>
        <v/>
      </c>
      <c r="G32" s="36" t="str">
        <f>'R2'!G38</f>
        <v/>
      </c>
      <c r="H32" s="36" t="str">
        <f>'R2'!H38</f>
        <v/>
      </c>
      <c r="I32" s="36" t="str">
        <f>'R2'!I38</f>
        <v/>
      </c>
      <c r="J32" s="36" t="str">
        <f>'R2'!J38</f>
        <v/>
      </c>
      <c r="K32" s="36" t="str">
        <f>'R2'!K38</f>
        <v/>
      </c>
      <c r="L32" s="36" t="str">
        <f>'R2'!L38</f>
        <v/>
      </c>
      <c r="M32" s="36" t="str">
        <f>'R2'!M38</f>
        <v/>
      </c>
      <c r="N32"/>
      <c r="O32" s="36">
        <f>'R2'!O38</f>
        <v>0.99577783623396621</v>
      </c>
      <c r="P32" s="36" t="str">
        <f>'R2'!P38</f>
        <v/>
      </c>
      <c r="Q32" s="36" t="str">
        <f>'R2'!Q38</f>
        <v/>
      </c>
      <c r="R32" s="36" t="str">
        <f>'R2'!R38</f>
        <v/>
      </c>
      <c r="S32" s="36" t="str">
        <f>'R2'!S38</f>
        <v/>
      </c>
      <c r="T32" s="36" t="str">
        <f>'R2'!T38</f>
        <v/>
      </c>
      <c r="U32" s="36" t="str">
        <f>'R2'!U38</f>
        <v/>
      </c>
      <c r="V32" s="36" t="str">
        <f>'R2'!V38</f>
        <v/>
      </c>
    </row>
    <row r="33" spans="1:22" s="1" customFormat="1" x14ac:dyDescent="0.35">
      <c r="A33" s="148"/>
      <c r="B33" s="36" t="str">
        <f>'R2'!B39</f>
        <v/>
      </c>
      <c r="C33" s="36" t="str">
        <f>'R2'!C39</f>
        <v/>
      </c>
      <c r="D33" s="36" t="str">
        <f>'R2'!D39</f>
        <v/>
      </c>
      <c r="E33" s="36" t="str">
        <f>'R2'!E39</f>
        <v/>
      </c>
      <c r="F33" s="36" t="str">
        <f>'R2'!F39</f>
        <v/>
      </c>
      <c r="G33" s="36" t="str">
        <f>'R2'!G39</f>
        <v/>
      </c>
      <c r="H33" s="36" t="str">
        <f>'R2'!H39</f>
        <v/>
      </c>
      <c r="I33" s="36" t="str">
        <f>'R2'!I39</f>
        <v/>
      </c>
      <c r="J33" s="36" t="str">
        <f>'R2'!J39</f>
        <v/>
      </c>
      <c r="K33" s="36" t="str">
        <f>'R2'!K39</f>
        <v/>
      </c>
      <c r="L33" s="36" t="str">
        <f>'R2'!L39</f>
        <v/>
      </c>
      <c r="M33" s="36" t="str">
        <f>'R2'!M39</f>
        <v/>
      </c>
      <c r="N33"/>
      <c r="O33" s="36">
        <f>'R2'!O39</f>
        <v>1.0928093860199368</v>
      </c>
      <c r="P33" s="36" t="str">
        <f>'R2'!P39</f>
        <v/>
      </c>
      <c r="Q33" s="36" t="str">
        <f>'R2'!Q39</f>
        <v/>
      </c>
      <c r="R33" s="36" t="str">
        <f>'R2'!R39</f>
        <v/>
      </c>
      <c r="S33" s="36" t="str">
        <f>'R2'!S39</f>
        <v/>
      </c>
      <c r="T33" s="36" t="str">
        <f>'R2'!T39</f>
        <v/>
      </c>
      <c r="U33" s="36" t="str">
        <f>'R2'!U39</f>
        <v/>
      </c>
      <c r="V33" s="36" t="str">
        <f>'R2'!V39</f>
        <v/>
      </c>
    </row>
    <row r="34" spans="1:22" s="1" customFormat="1" x14ac:dyDescent="0.35">
      <c r="A34" s="148"/>
      <c r="B34" s="36" t="str">
        <f>'R2'!B40</f>
        <v/>
      </c>
      <c r="C34" s="36" t="str">
        <f>'R2'!C40</f>
        <v/>
      </c>
      <c r="D34" s="36" t="str">
        <f>'R2'!D40</f>
        <v/>
      </c>
      <c r="E34" s="36" t="str">
        <f>'R2'!E40</f>
        <v/>
      </c>
      <c r="F34" s="36" t="str">
        <f>'R2'!F40</f>
        <v/>
      </c>
      <c r="G34" s="36" t="str">
        <f>'R2'!G40</f>
        <v/>
      </c>
      <c r="H34" s="36" t="str">
        <f>'R2'!H40</f>
        <v/>
      </c>
      <c r="I34" s="36" t="str">
        <f>'R2'!I40</f>
        <v/>
      </c>
      <c r="J34" s="36" t="str">
        <f>'R2'!J40</f>
        <v/>
      </c>
      <c r="K34" s="36" t="str">
        <f>'R2'!K40</f>
        <v/>
      </c>
      <c r="L34" s="36" t="str">
        <f>'R2'!L40</f>
        <v/>
      </c>
      <c r="M34" s="36" t="str">
        <f>'R2'!M40</f>
        <v/>
      </c>
      <c r="N34"/>
      <c r="O34" s="36">
        <f>'R2'!O40</f>
        <v>0.90635782177525726</v>
      </c>
      <c r="P34" s="36" t="str">
        <f>'R2'!P40</f>
        <v/>
      </c>
      <c r="Q34" s="36" t="str">
        <f>'R2'!Q40</f>
        <v/>
      </c>
      <c r="R34" s="36" t="str">
        <f>'R2'!R40</f>
        <v/>
      </c>
      <c r="S34" s="36" t="str">
        <f>'R2'!S40</f>
        <v/>
      </c>
      <c r="T34" s="36" t="str">
        <f>'R2'!T40</f>
        <v/>
      </c>
      <c r="U34" s="36" t="str">
        <f>'R2'!U40</f>
        <v/>
      </c>
      <c r="V34" s="36" t="str">
        <f>'R2'!V40</f>
        <v/>
      </c>
    </row>
    <row r="35" spans="1:22" s="1" customFormat="1" x14ac:dyDescent="0.35">
      <c r="A35" s="148"/>
      <c r="B35" s="36" t="str">
        <f>'R2'!B41</f>
        <v/>
      </c>
      <c r="C35" s="36" t="str">
        <f>'R2'!C41</f>
        <v/>
      </c>
      <c r="D35" s="36" t="str">
        <f>'R2'!D41</f>
        <v/>
      </c>
      <c r="E35" s="36" t="str">
        <f>'R2'!E41</f>
        <v/>
      </c>
      <c r="F35" s="36" t="str">
        <f>'R2'!F41</f>
        <v/>
      </c>
      <c r="G35" s="36" t="str">
        <f>'R2'!G41</f>
        <v/>
      </c>
      <c r="H35" s="36" t="str">
        <f>'R2'!H41</f>
        <v/>
      </c>
      <c r="I35" s="36" t="str">
        <f>'R2'!I41</f>
        <v/>
      </c>
      <c r="J35" s="36" t="str">
        <f>'R2'!J41</f>
        <v/>
      </c>
      <c r="K35" s="36" t="str">
        <f>'R2'!K41</f>
        <v/>
      </c>
      <c r="L35" s="36" t="str">
        <f>'R2'!L41</f>
        <v/>
      </c>
      <c r="M35" s="36" t="str">
        <f>'R2'!M41</f>
        <v/>
      </c>
      <c r="N35"/>
      <c r="O35" s="36">
        <f>'R2'!O41</f>
        <v>0.63853485082328187</v>
      </c>
      <c r="P35" s="36" t="str">
        <f>'R2'!P41</f>
        <v/>
      </c>
      <c r="Q35" s="36" t="str">
        <f>'R2'!Q41</f>
        <v/>
      </c>
      <c r="R35" s="36" t="str">
        <f>'R2'!R41</f>
        <v/>
      </c>
      <c r="S35" s="36" t="str">
        <f>'R2'!S41</f>
        <v/>
      </c>
      <c r="T35" s="36" t="str">
        <f>'R2'!T41</f>
        <v/>
      </c>
      <c r="U35" s="36" t="str">
        <f>'R2'!U41</f>
        <v/>
      </c>
      <c r="V35" s="36" t="str">
        <f>'R2'!V41</f>
        <v/>
      </c>
    </row>
    <row r="36" spans="1:22" x14ac:dyDescent="0.35">
      <c r="A36" s="148"/>
      <c r="B36" s="36" t="str">
        <f>'R2'!B42</f>
        <v/>
      </c>
      <c r="C36" s="36" t="str">
        <f>'R2'!C42</f>
        <v/>
      </c>
      <c r="D36" s="36" t="str">
        <f>'R2'!D42</f>
        <v/>
      </c>
      <c r="E36" s="36" t="str">
        <f>'R2'!E42</f>
        <v/>
      </c>
      <c r="F36" s="36" t="str">
        <f>'R2'!F42</f>
        <v/>
      </c>
      <c r="G36" s="36" t="str">
        <f>'R2'!G42</f>
        <v/>
      </c>
      <c r="H36" s="36" t="str">
        <f>'R2'!H42</f>
        <v/>
      </c>
      <c r="I36" s="36" t="str">
        <f>'R2'!I42</f>
        <v/>
      </c>
      <c r="J36" s="36" t="str">
        <f>'R2'!J42</f>
        <v/>
      </c>
      <c r="K36" s="36" t="str">
        <f>'R2'!K42</f>
        <v/>
      </c>
      <c r="L36" s="36" t="str">
        <f>'R2'!L42</f>
        <v/>
      </c>
      <c r="M36" s="36" t="str">
        <f>'R2'!M42</f>
        <v/>
      </c>
      <c r="O36" s="36">
        <f>'R2'!O42</f>
        <v>1.4229809590207811</v>
      </c>
      <c r="P36" s="36" t="str">
        <f>'R2'!P42</f>
        <v/>
      </c>
      <c r="Q36" s="36" t="str">
        <f>'R2'!Q42</f>
        <v/>
      </c>
      <c r="R36" s="36" t="str">
        <f>'R2'!R42</f>
        <v/>
      </c>
      <c r="S36" s="36" t="str">
        <f>'R2'!S42</f>
        <v/>
      </c>
      <c r="T36" s="36" t="str">
        <f>'R2'!T42</f>
        <v/>
      </c>
      <c r="U36" s="36" t="str">
        <f>'R2'!U42</f>
        <v/>
      </c>
      <c r="V36" s="36" t="str">
        <f>'R2'!V42</f>
        <v/>
      </c>
    </row>
    <row r="37" spans="1:22" x14ac:dyDescent="0.35">
      <c r="A37" s="149"/>
      <c r="B37" s="36" t="str">
        <f>'R2'!B43</f>
        <v/>
      </c>
      <c r="C37" s="36" t="str">
        <f>'R2'!C43</f>
        <v/>
      </c>
      <c r="D37" s="36" t="str">
        <f>'R2'!D43</f>
        <v/>
      </c>
      <c r="E37" s="36" t="str">
        <f>'R2'!E43</f>
        <v/>
      </c>
      <c r="F37" s="36" t="str">
        <f>'R2'!F43</f>
        <v/>
      </c>
      <c r="G37" s="36" t="str">
        <f>'R2'!G43</f>
        <v/>
      </c>
      <c r="H37" s="36" t="str">
        <f>'R2'!H43</f>
        <v/>
      </c>
      <c r="I37" s="36" t="str">
        <f>'R2'!I43</f>
        <v/>
      </c>
      <c r="J37" s="36" t="str">
        <f>'R2'!J43</f>
        <v/>
      </c>
      <c r="K37" s="36" t="str">
        <f>'R2'!K43</f>
        <v/>
      </c>
      <c r="L37" s="36" t="str">
        <f>'R2'!L43</f>
        <v/>
      </c>
      <c r="M37" s="36" t="str">
        <f>'R2'!M43</f>
        <v/>
      </c>
      <c r="O37" s="36">
        <f>'R2'!O43</f>
        <v>7.5918449938099805E-2</v>
      </c>
      <c r="P37" s="36" t="str">
        <f>'R2'!P43</f>
        <v/>
      </c>
      <c r="Q37" s="36" t="str">
        <f>'R2'!Q43</f>
        <v/>
      </c>
      <c r="R37" s="36" t="str">
        <f>'R2'!R43</f>
        <v/>
      </c>
      <c r="S37" s="36" t="str">
        <f>'R2'!S43</f>
        <v/>
      </c>
      <c r="T37" s="36" t="str">
        <f>'R2'!T43</f>
        <v/>
      </c>
      <c r="U37" s="36" t="str">
        <f>'R2'!U43</f>
        <v/>
      </c>
      <c r="V37" s="36" t="str">
        <f>'R2'!V43</f>
        <v/>
      </c>
    </row>
    <row r="38" spans="1:22" s="1" customFormat="1" x14ac:dyDescent="0.35">
      <c r="A38" s="82" t="s">
        <v>16</v>
      </c>
      <c r="B38" s="83">
        <f>'R3'!B28</f>
        <v>1.8530626957617327E-2</v>
      </c>
      <c r="C38" s="83">
        <f>'R3'!C28</f>
        <v>5.4183251455340933E-3</v>
      </c>
      <c r="D38" s="83">
        <f>'R3'!D28</f>
        <v>0.58695369602303571</v>
      </c>
      <c r="E38" s="83">
        <f>'R3'!E28</f>
        <v>0.6037480267681814</v>
      </c>
      <c r="F38" s="83">
        <f>'R3'!F28</f>
        <v>1.4914018783273821</v>
      </c>
      <c r="G38" s="83">
        <f>'R3'!G28</f>
        <v>0.93152854800469853</v>
      </c>
      <c r="H38" s="83">
        <f>'R3'!H28</f>
        <v>2.5808706070147016</v>
      </c>
      <c r="I38" s="83">
        <f>'R3'!I28</f>
        <v>3.166516732365407E-2</v>
      </c>
      <c r="J38" s="83">
        <f>'R3'!J28</f>
        <v>1.0435511817856109E-2</v>
      </c>
      <c r="K38" s="83">
        <f>'R3'!K28</f>
        <v>8.9714267658027626E-3</v>
      </c>
      <c r="L38" s="83">
        <f>'R3'!L28</f>
        <v>3.0183066227891551E-2</v>
      </c>
      <c r="M38" s="83">
        <f>'R3'!M28</f>
        <v>3.5762691264759346E-2</v>
      </c>
      <c r="N38"/>
      <c r="O38" s="83">
        <f>'R3'!O28</f>
        <v>0.64005767385992396</v>
      </c>
      <c r="P38" s="83">
        <f>'R3'!P28</f>
        <v>1.1995599862824717</v>
      </c>
      <c r="Q38" s="83">
        <f>'R3'!Q28</f>
        <v>4.0967920393295866E-2</v>
      </c>
      <c r="R38" s="83">
        <f>'R3'!R28</f>
        <v>0.48618940055625942</v>
      </c>
      <c r="S38" s="83">
        <f>'R3'!S28</f>
        <v>0.75313846870806744</v>
      </c>
      <c r="T38" s="83">
        <f>'R3'!T28</f>
        <v>1.5086184600969614</v>
      </c>
      <c r="U38" s="83">
        <f>'R3'!U28</f>
        <v>1.5315041841205888</v>
      </c>
      <c r="V38" s="83">
        <f>'R3'!V28</f>
        <v>1.356146148680075</v>
      </c>
    </row>
    <row r="39" spans="1:22" s="1" customFormat="1" x14ac:dyDescent="0.35">
      <c r="A39" s="147"/>
      <c r="B39" s="83">
        <f>'R3'!B29</f>
        <v>7.1590972188647406E-2</v>
      </c>
      <c r="C39" s="83">
        <f>'R3'!C29</f>
        <v>0.20208821429126889</v>
      </c>
      <c r="D39" s="83">
        <f>'R3'!D29</f>
        <v>4.9290769585568363E-2</v>
      </c>
      <c r="E39" s="83">
        <f>'R3'!E29</f>
        <v>0.58541726529546279</v>
      </c>
      <c r="F39" s="83">
        <f>'R3'!F29</f>
        <v>1.6687354855608798</v>
      </c>
      <c r="G39" s="83">
        <f>'R3'!G29</f>
        <v>1.2596032374549044</v>
      </c>
      <c r="H39" s="83">
        <f>'R3'!H29</f>
        <v>2.6621091706096114</v>
      </c>
      <c r="I39" s="83">
        <f>'R3'!I29</f>
        <v>0.12516477466538894</v>
      </c>
      <c r="J39" s="83">
        <f>'R3'!J29</f>
        <v>0.10142638507308849</v>
      </c>
      <c r="K39" s="83">
        <f>'R3'!K29</f>
        <v>2.1139575287252094E-2</v>
      </c>
      <c r="L39" s="83">
        <f>'R3'!L29</f>
        <v>3.6339204663452918E-2</v>
      </c>
      <c r="M39" s="83">
        <f>'R3'!M29</f>
        <v>6.0840742607246659E-3</v>
      </c>
      <c r="N39"/>
      <c r="O39" s="83">
        <f>'R3'!O29</f>
        <v>2.1990960027817898</v>
      </c>
      <c r="P39" s="83">
        <f>'R3'!P29</f>
        <v>2.6152998295442988</v>
      </c>
      <c r="Q39" s="83">
        <f>'R3'!Q29</f>
        <v>7.3468863244645841E-3</v>
      </c>
      <c r="R39" s="83">
        <f>'R3'!R29</f>
        <v>1.3919127809543956</v>
      </c>
      <c r="S39" s="83">
        <f>'R3'!S29</f>
        <v>0.14379561586613854</v>
      </c>
      <c r="T39" s="83">
        <f>'R3'!T29</f>
        <v>0.80354201049336016</v>
      </c>
      <c r="U39" s="83">
        <f>'R3'!U29</f>
        <v>1.3763736617545501</v>
      </c>
      <c r="V39" s="83">
        <f>'R3'!V29</f>
        <v>1.628507348962392</v>
      </c>
    </row>
    <row r="40" spans="1:22" s="1" customFormat="1" x14ac:dyDescent="0.35">
      <c r="A40" s="148"/>
      <c r="B40" s="83">
        <f>'R3'!B30</f>
        <v>1.2722704866872344E-2</v>
      </c>
      <c r="C40" s="83">
        <f>'R3'!C30</f>
        <v>5.8892194879826304E-2</v>
      </c>
      <c r="D40" s="83">
        <f>'R3'!D30</f>
        <v>0.19034963581201017</v>
      </c>
      <c r="E40" s="83">
        <f>'R3'!E30</f>
        <v>0.9187976796180205</v>
      </c>
      <c r="F40" s="83">
        <f>'R3'!F30</f>
        <v>1.0832585421206304</v>
      </c>
      <c r="G40" s="83">
        <f>'R3'!G30</f>
        <v>2.7217763368696155</v>
      </c>
      <c r="H40" s="83">
        <f>'R3'!H30</f>
        <v>1.7860939647872203</v>
      </c>
      <c r="I40" s="83">
        <f>'R3'!I30</f>
        <v>4.3193464792744768E-3</v>
      </c>
      <c r="J40" s="83">
        <f>'R3'!J30</f>
        <v>7.1170973169677285E-2</v>
      </c>
      <c r="K40" s="83">
        <f>'R3'!K30</f>
        <v>0.20314130834620672</v>
      </c>
      <c r="L40" s="83">
        <f>'R3'!L30</f>
        <v>1.4450274558172363E-2</v>
      </c>
      <c r="M40" s="83">
        <f>'R3'!M30</f>
        <v>1.4868021571678835E-2</v>
      </c>
      <c r="N40"/>
      <c r="O40" s="83">
        <f>'R3'!O30</f>
        <v>0.83230490577573957</v>
      </c>
      <c r="P40" s="83">
        <f>'R3'!P30</f>
        <v>1.6767208154342883</v>
      </c>
      <c r="Q40" s="83">
        <f>'R3'!Q30</f>
        <v>3.8251720303454924E-2</v>
      </c>
      <c r="R40" s="83">
        <f>'R3'!R30</f>
        <v>1.1131553221539559</v>
      </c>
      <c r="S40" s="83">
        <f>'R3'!S30</f>
        <v>1.2699292455070907</v>
      </c>
      <c r="T40" s="83">
        <f>'R3'!T30</f>
        <v>1.0972094344672392</v>
      </c>
      <c r="U40" s="83">
        <f>'R3'!U30</f>
        <v>0.73856180034324781</v>
      </c>
      <c r="V40" s="83">
        <f>'R3'!V30</f>
        <v>1.643418721639246</v>
      </c>
    </row>
    <row r="41" spans="1:22" s="1" customFormat="1" x14ac:dyDescent="0.35">
      <c r="A41" s="148"/>
      <c r="B41" s="83">
        <f>'R3'!B31</f>
        <v>0.12281734047022015</v>
      </c>
      <c r="C41" s="83">
        <f>'R3'!C31</f>
        <v>8.9872752542531756E-2</v>
      </c>
      <c r="D41" s="83">
        <f>'R3'!D31</f>
        <v>0.12915054283536073</v>
      </c>
      <c r="E41" s="83">
        <f>'R3'!E31</f>
        <v>0.53379398105092224</v>
      </c>
      <c r="F41" s="83">
        <f>'R3'!F31</f>
        <v>2.3291732458654413</v>
      </c>
      <c r="G41" s="83">
        <f>'R3'!G31</f>
        <v>1.200074569530915</v>
      </c>
      <c r="H41" s="83">
        <f>'R3'!H31</f>
        <v>3.4761545345854201</v>
      </c>
      <c r="I41" s="83">
        <f>'R3'!I31</f>
        <v>3.8536035993240327E-2</v>
      </c>
      <c r="J41" s="83">
        <f>'R3'!J31</f>
        <v>3.4372359391640427E-2</v>
      </c>
      <c r="K41" s="83">
        <f>'R3'!K31</f>
        <v>2.9701137058671147E-3</v>
      </c>
      <c r="L41" s="83">
        <f>'R3'!L31</f>
        <v>9.1144854128809225E-2</v>
      </c>
      <c r="M41" s="83">
        <f>'R3'!M31</f>
        <v>0.18803626319947905</v>
      </c>
      <c r="N41"/>
      <c r="O41" s="83">
        <f>'R3'!O31</f>
        <v>0.76866238687103339</v>
      </c>
      <c r="P41" s="83">
        <f>'R3'!P31</f>
        <v>1.4097908893289213</v>
      </c>
      <c r="Q41" s="83">
        <f>'R3'!Q31</f>
        <v>4.344822291081981E-2</v>
      </c>
      <c r="R41" s="83">
        <f>'R3'!R31</f>
        <v>0.36513143935451331</v>
      </c>
      <c r="S41" s="83">
        <f>'R3'!S31</f>
        <v>0.89368387768879776</v>
      </c>
      <c r="T41" s="83">
        <f>'R3'!T31</f>
        <v>0.42877423975990242</v>
      </c>
      <c r="U41" s="83">
        <f>'R3'!U31</f>
        <v>2.1349172250760526</v>
      </c>
      <c r="V41" s="83">
        <f>'R3'!V31</f>
        <v>1.479079467431673</v>
      </c>
    </row>
    <row r="42" spans="1:22" s="1" customFormat="1" x14ac:dyDescent="0.35">
      <c r="A42" s="148"/>
      <c r="B42" s="83">
        <f>'R3'!B32</f>
        <v>6.5916199920940536E-3</v>
      </c>
      <c r="C42" s="83">
        <f>'R3'!C32</f>
        <v>1.6398259284226807E-2</v>
      </c>
      <c r="D42" s="83">
        <f>'R3'!D32</f>
        <v>0.10926251958453033</v>
      </c>
      <c r="E42" s="83">
        <f>'R3'!E32</f>
        <v>0.30162770028650437</v>
      </c>
      <c r="F42" s="83">
        <f>'R3'!F32</f>
        <v>1.4947019108336734</v>
      </c>
      <c r="G42" s="83">
        <f>'R3'!G32</f>
        <v>1.1408406328219802</v>
      </c>
      <c r="H42" s="83">
        <f>'R3'!H32</f>
        <v>2.5946897570416869</v>
      </c>
      <c r="I42" s="83">
        <f>'R3'!I32</f>
        <v>1.0870430373022889E-2</v>
      </c>
      <c r="J42" s="83">
        <f>'R3'!J32</f>
        <v>5.9137663475363799E-3</v>
      </c>
      <c r="K42" s="83">
        <f>'R3'!K32</f>
        <v>1.9148802457388363E-2</v>
      </c>
      <c r="L42" s="83">
        <f>'R3'!L32</f>
        <v>6.5270155853556874E-2</v>
      </c>
      <c r="M42" s="83">
        <f>'R3'!M32</f>
        <v>4.234051772338856E-3</v>
      </c>
      <c r="N42"/>
      <c r="O42" s="83">
        <f>'R3'!O32</f>
        <v>0.8376959253550269</v>
      </c>
      <c r="P42" s="83">
        <f>'R3'!P32</f>
        <v>1.6840710797669485</v>
      </c>
      <c r="Q42" s="83">
        <f>'R3'!Q32</f>
        <v>0.1135309144401898</v>
      </c>
      <c r="R42" s="83">
        <f>'R3'!R32</f>
        <v>0.49689487152907019</v>
      </c>
      <c r="S42" s="83">
        <f>'R3'!S32</f>
        <v>1.6346463158562932E-2</v>
      </c>
      <c r="T42" s="83">
        <f>'R3'!T32</f>
        <v>0.3740313649468453</v>
      </c>
      <c r="U42" s="83">
        <f>'R3'!U32</f>
        <v>0.87489004759261668</v>
      </c>
      <c r="V42" s="83">
        <f>'R3'!V32</f>
        <v>1.9739784991185862</v>
      </c>
    </row>
    <row r="43" spans="1:22" s="1" customFormat="1" x14ac:dyDescent="0.35">
      <c r="A43" s="148"/>
      <c r="B43" s="83">
        <f>'R3'!B33</f>
        <v>5.5554159781335899E-3</v>
      </c>
      <c r="C43" s="83">
        <f>'R3'!C33</f>
        <v>0.19022493100946075</v>
      </c>
      <c r="D43" s="83">
        <f>'R3'!D33</f>
        <v>5.5514468185039127E-2</v>
      </c>
      <c r="E43" s="83">
        <f>'R3'!E33</f>
        <v>0.78660721090741959</v>
      </c>
      <c r="F43" s="83">
        <f>'R3'!F33</f>
        <v>0.35130187380225858</v>
      </c>
      <c r="G43" s="83">
        <f>'R3'!G33</f>
        <v>1.7095404170587443</v>
      </c>
      <c r="H43" s="83">
        <f>'R3'!H33</f>
        <v>2.1370391772241737</v>
      </c>
      <c r="I43" s="83">
        <f>'R3'!I33</f>
        <v>1.1624007701295685E-2</v>
      </c>
      <c r="J43" s="83">
        <f>'R3'!J33</f>
        <v>7.890745643935276E-3</v>
      </c>
      <c r="K43" s="83">
        <f>'R3'!K33</f>
        <v>4.8917781180651869E-2</v>
      </c>
      <c r="L43" s="83">
        <f>'R3'!L33</f>
        <v>6.6936921397338423E-2</v>
      </c>
      <c r="M43" s="83">
        <f>'R3'!M33</f>
        <v>0.20351317074839137</v>
      </c>
      <c r="N43"/>
      <c r="O43" s="83">
        <f>'R3'!O33</f>
        <v>0.67319987526704739</v>
      </c>
      <c r="P43" s="83">
        <f>'R3'!P33</f>
        <v>1.8006543061124285</v>
      </c>
      <c r="Q43" s="83">
        <f>'R3'!Q33</f>
        <v>5.6043970969679065E-3</v>
      </c>
      <c r="R43" s="83">
        <f>'R3'!R33</f>
        <v>1.4990418068628037</v>
      </c>
      <c r="S43" s="83">
        <f>'R3'!S33</f>
        <v>0.25776820487788604</v>
      </c>
      <c r="T43" s="83">
        <f>'R3'!T33</f>
        <v>2.0842569546679042</v>
      </c>
      <c r="U43" s="83">
        <f>'R3'!U33</f>
        <v>0.33263612651682245</v>
      </c>
      <c r="V43" s="83">
        <f>'R3'!V33</f>
        <v>1.1845216567976047</v>
      </c>
    </row>
    <row r="44" spans="1:22" s="1" customFormat="1" x14ac:dyDescent="0.35">
      <c r="A44" s="148"/>
      <c r="B44" s="83">
        <f>'R3'!B34</f>
        <v>0.16653017402301845</v>
      </c>
      <c r="C44" s="83">
        <f>'R3'!C34</f>
        <v>3.407875417931748E-2</v>
      </c>
      <c r="D44" s="83">
        <f>'R3'!D34</f>
        <v>6.5076201883000298E-2</v>
      </c>
      <c r="E44" s="83">
        <f>'R3'!E34</f>
        <v>0.48539050161803071</v>
      </c>
      <c r="F44" s="83">
        <f>'R3'!F34</f>
        <v>0.67702406204500254</v>
      </c>
      <c r="G44" s="83">
        <f>'R3'!G34</f>
        <v>1.8809681399638285</v>
      </c>
      <c r="H44" s="83">
        <f>'R3'!H34</f>
        <v>3.3682933254006442</v>
      </c>
      <c r="I44" s="83">
        <f>'R3'!I34</f>
        <v>5.8802114661280436E-2</v>
      </c>
      <c r="J44" s="83">
        <f>'R3'!J34</f>
        <v>5.9441684212956113E-2</v>
      </c>
      <c r="K44" s="83">
        <f>'R3'!K34</f>
        <v>7.1182514697678473E-2</v>
      </c>
      <c r="L44" s="83">
        <f>'R3'!L34</f>
        <v>8.9539737234594994E-3</v>
      </c>
      <c r="M44" s="83">
        <f>'R3'!M34</f>
        <v>2.637689549364558E-2</v>
      </c>
      <c r="N44"/>
      <c r="O44" s="83">
        <f>'R3'!O34</f>
        <v>0.82863244786589763</v>
      </c>
      <c r="P44" s="83">
        <f>'R3'!P34</f>
        <v>1.7873936534404276</v>
      </c>
      <c r="Q44" s="83">
        <f>'R3'!Q34</f>
        <v>2.6641787636307028E-2</v>
      </c>
      <c r="R44" s="83">
        <f>'R3'!R34</f>
        <v>1.0285488843881621</v>
      </c>
      <c r="S44" s="83">
        <f>'R3'!S34</f>
        <v>1.2492079802347111</v>
      </c>
      <c r="T44" s="83">
        <f>'R3'!T34</f>
        <v>0.42338575368676168</v>
      </c>
      <c r="U44" s="83">
        <f>'R3'!U34</f>
        <v>0.1356298440549554</v>
      </c>
      <c r="V44" s="83">
        <f>'R3'!V34</f>
        <v>0.51154838958033666</v>
      </c>
    </row>
    <row r="45" spans="1:22" s="1" customFormat="1" x14ac:dyDescent="0.35">
      <c r="A45" s="148"/>
      <c r="B45" s="83">
        <f>'R3'!B35</f>
        <v>6.0991345472628036E-2</v>
      </c>
      <c r="C45" s="83">
        <f>'R3'!C35</f>
        <v>0.19139738135397183</v>
      </c>
      <c r="D45" s="83">
        <f>'R3'!D35</f>
        <v>0.12495759016273343</v>
      </c>
      <c r="E45" s="83">
        <f>'R3'!E35</f>
        <v>1.4858340763191984</v>
      </c>
      <c r="F45" s="83">
        <f>'R3'!F35</f>
        <v>1.2528244195086449</v>
      </c>
      <c r="G45" s="83">
        <f>'R3'!G35</f>
        <v>1.3253969845787592</v>
      </c>
      <c r="H45" s="83">
        <f>'R3'!H35</f>
        <v>0.75719770855629065</v>
      </c>
      <c r="I45" s="83">
        <f>'R3'!I35</f>
        <v>4.4424185778627723E-2</v>
      </c>
      <c r="J45" s="83">
        <f>'R3'!J35</f>
        <v>3.0995195698219163E-2</v>
      </c>
      <c r="K45" s="83">
        <f>'R3'!K35</f>
        <v>1.8696712360561276E-2</v>
      </c>
      <c r="L45" s="83">
        <f>'R3'!L35</f>
        <v>1.8756953506713827E-2</v>
      </c>
      <c r="M45" s="83">
        <f>'R3'!M35</f>
        <v>2.4110533495168077E-2</v>
      </c>
      <c r="N45"/>
      <c r="O45" s="83">
        <f>'R3'!O35</f>
        <v>1.4012895687036548</v>
      </c>
      <c r="P45" s="83">
        <f>'R3'!P35</f>
        <v>2.8387407151398176</v>
      </c>
      <c r="Q45" s="83">
        <f>'R3'!Q35</f>
        <v>5.637360826942036E-2</v>
      </c>
      <c r="R45" s="83">
        <f>'R3'!R35</f>
        <v>0.54170133523515196</v>
      </c>
      <c r="S45" s="83">
        <f>'R3'!S35</f>
        <v>0.93291859837713453</v>
      </c>
      <c r="T45" s="83">
        <f>'R3'!T35</f>
        <v>0.65245693444208008</v>
      </c>
      <c r="U45" s="83">
        <f>'R3'!U35</f>
        <v>0.50021883159341285</v>
      </c>
      <c r="V45" s="83">
        <f>'R3'!V35</f>
        <v>1.0738572638119541</v>
      </c>
    </row>
    <row r="46" spans="1:22" s="1" customFormat="1" x14ac:dyDescent="0.35">
      <c r="A46" s="148"/>
      <c r="B46" s="83" t="str">
        <f>'R3'!B36</f>
        <v/>
      </c>
      <c r="C46" s="83" t="str">
        <f>'R3'!C36</f>
        <v/>
      </c>
      <c r="D46" s="83" t="str">
        <f>'R3'!D36</f>
        <v/>
      </c>
      <c r="E46" s="83" t="str">
        <f>'R3'!E36</f>
        <v/>
      </c>
      <c r="F46" s="83" t="str">
        <f>'R3'!F36</f>
        <v/>
      </c>
      <c r="G46" s="83" t="str">
        <f>'R3'!G36</f>
        <v/>
      </c>
      <c r="H46" s="83" t="str">
        <f>'R3'!H36</f>
        <v/>
      </c>
      <c r="I46" s="83" t="str">
        <f>'R3'!I36</f>
        <v/>
      </c>
      <c r="J46" s="83" t="str">
        <f>'R3'!J36</f>
        <v/>
      </c>
      <c r="K46" s="83" t="str">
        <f>'R3'!K36</f>
        <v/>
      </c>
      <c r="L46" s="83" t="str">
        <f>'R3'!L36</f>
        <v/>
      </c>
      <c r="M46" s="83" t="str">
        <f>'R3'!M36</f>
        <v/>
      </c>
      <c r="N46"/>
      <c r="O46" s="83">
        <f>'R3'!O36</f>
        <v>0.3539147631414547</v>
      </c>
      <c r="P46" s="83" t="str">
        <f>'R3'!P36</f>
        <v/>
      </c>
      <c r="Q46" s="83" t="str">
        <f>'R3'!Q36</f>
        <v/>
      </c>
      <c r="R46" s="83" t="str">
        <f>'R3'!R36</f>
        <v/>
      </c>
      <c r="S46" s="83" t="str">
        <f>'R3'!S36</f>
        <v/>
      </c>
      <c r="T46" s="83" t="str">
        <f>'R3'!T36</f>
        <v/>
      </c>
      <c r="U46" s="83" t="str">
        <f>'R3'!U36</f>
        <v/>
      </c>
      <c r="V46" s="83" t="str">
        <f>'R3'!V36</f>
        <v/>
      </c>
    </row>
    <row r="47" spans="1:22" s="1" customFormat="1" x14ac:dyDescent="0.35">
      <c r="A47" s="148"/>
      <c r="B47" s="83" t="str">
        <f>'R3'!B37</f>
        <v/>
      </c>
      <c r="C47" s="83" t="str">
        <f>'R3'!C37</f>
        <v/>
      </c>
      <c r="D47" s="83" t="str">
        <f>'R3'!D37</f>
        <v/>
      </c>
      <c r="E47" s="83" t="str">
        <f>'R3'!E37</f>
        <v/>
      </c>
      <c r="F47" s="83" t="str">
        <f>'R3'!F37</f>
        <v/>
      </c>
      <c r="G47" s="83" t="str">
        <f>'R3'!G37</f>
        <v/>
      </c>
      <c r="H47" s="83" t="str">
        <f>'R3'!H37</f>
        <v/>
      </c>
      <c r="I47" s="83" t="str">
        <f>'R3'!I37</f>
        <v/>
      </c>
      <c r="J47" s="83" t="str">
        <f>'R3'!J37</f>
        <v/>
      </c>
      <c r="K47" s="83" t="str">
        <f>'R3'!K37</f>
        <v/>
      </c>
      <c r="L47" s="83" t="str">
        <f>'R3'!L37</f>
        <v/>
      </c>
      <c r="M47" s="83" t="str">
        <f>'R3'!M37</f>
        <v/>
      </c>
      <c r="N47"/>
      <c r="O47" s="83">
        <f>'R3'!O37</f>
        <v>1.0323395725848454</v>
      </c>
      <c r="P47" s="83" t="str">
        <f>'R3'!P37</f>
        <v/>
      </c>
      <c r="Q47" s="83" t="str">
        <f>'R3'!Q37</f>
        <v/>
      </c>
      <c r="R47" s="83" t="str">
        <f>'R3'!R37</f>
        <v/>
      </c>
      <c r="S47" s="83" t="str">
        <f>'R3'!S37</f>
        <v/>
      </c>
      <c r="T47" s="83" t="str">
        <f>'R3'!T37</f>
        <v/>
      </c>
      <c r="U47" s="83" t="str">
        <f>'R3'!U37</f>
        <v/>
      </c>
      <c r="V47" s="83" t="str">
        <f>'R3'!V37</f>
        <v/>
      </c>
    </row>
    <row r="48" spans="1:22" s="1" customFormat="1" x14ac:dyDescent="0.35">
      <c r="A48" s="148"/>
      <c r="B48" s="83" t="str">
        <f>'R3'!B38</f>
        <v/>
      </c>
      <c r="C48" s="83" t="str">
        <f>'R3'!C38</f>
        <v/>
      </c>
      <c r="D48" s="83" t="str">
        <f>'R3'!D38</f>
        <v/>
      </c>
      <c r="E48" s="83" t="str">
        <f>'R3'!E38</f>
        <v/>
      </c>
      <c r="F48" s="83" t="str">
        <f>'R3'!F38</f>
        <v/>
      </c>
      <c r="G48" s="83" t="str">
        <f>'R3'!G38</f>
        <v/>
      </c>
      <c r="H48" s="83" t="str">
        <f>'R3'!H38</f>
        <v/>
      </c>
      <c r="I48" s="83" t="str">
        <f>'R3'!I38</f>
        <v/>
      </c>
      <c r="J48" s="83" t="str">
        <f>'R3'!J38</f>
        <v/>
      </c>
      <c r="K48" s="83" t="str">
        <f>'R3'!K38</f>
        <v/>
      </c>
      <c r="L48" s="83" t="str">
        <f>'R3'!L38</f>
        <v/>
      </c>
      <c r="M48" s="83" t="str">
        <f>'R3'!M38</f>
        <v/>
      </c>
      <c r="N48"/>
      <c r="O48" s="83">
        <f>'R3'!O38</f>
        <v>1.4830655171023277</v>
      </c>
      <c r="P48" s="83" t="str">
        <f>'R3'!P38</f>
        <v/>
      </c>
      <c r="Q48" s="83" t="str">
        <f>'R3'!Q38</f>
        <v/>
      </c>
      <c r="R48" s="83" t="str">
        <f>'R3'!R38</f>
        <v/>
      </c>
      <c r="S48" s="83" t="str">
        <f>'R3'!S38</f>
        <v/>
      </c>
      <c r="T48" s="83" t="str">
        <f>'R3'!T38</f>
        <v/>
      </c>
      <c r="U48" s="83" t="str">
        <f>'R3'!U38</f>
        <v/>
      </c>
      <c r="V48" s="83" t="str">
        <f>'R3'!V38</f>
        <v/>
      </c>
    </row>
    <row r="49" spans="1:24" s="1" customFormat="1" x14ac:dyDescent="0.35">
      <c r="A49" s="148"/>
      <c r="B49" s="83" t="str">
        <f>'R3'!B39</f>
        <v/>
      </c>
      <c r="C49" s="83" t="str">
        <f>'R3'!C39</f>
        <v/>
      </c>
      <c r="D49" s="83" t="str">
        <f>'R3'!D39</f>
        <v/>
      </c>
      <c r="E49" s="83" t="str">
        <f>'R3'!E39</f>
        <v/>
      </c>
      <c r="F49" s="83" t="str">
        <f>'R3'!F39</f>
        <v/>
      </c>
      <c r="G49" s="83" t="str">
        <f>'R3'!G39</f>
        <v/>
      </c>
      <c r="H49" s="83" t="str">
        <f>'R3'!H39</f>
        <v/>
      </c>
      <c r="I49" s="83" t="str">
        <f>'R3'!I39</f>
        <v/>
      </c>
      <c r="J49" s="83" t="str">
        <f>'R3'!J39</f>
        <v/>
      </c>
      <c r="K49" s="83" t="str">
        <f>'R3'!K39</f>
        <v/>
      </c>
      <c r="L49" s="83" t="str">
        <f>'R3'!L39</f>
        <v/>
      </c>
      <c r="M49" s="83" t="str">
        <f>'R3'!M39</f>
        <v/>
      </c>
      <c r="N49"/>
      <c r="O49" s="83">
        <f>'R3'!O39</f>
        <v>1.2888700189597748</v>
      </c>
      <c r="P49" s="83" t="str">
        <f>'R3'!P39</f>
        <v/>
      </c>
      <c r="Q49" s="83" t="str">
        <f>'R3'!Q39</f>
        <v/>
      </c>
      <c r="R49" s="83" t="str">
        <f>'R3'!R39</f>
        <v/>
      </c>
      <c r="S49" s="83" t="str">
        <f>'R3'!S39</f>
        <v/>
      </c>
      <c r="T49" s="83" t="str">
        <f>'R3'!T39</f>
        <v/>
      </c>
      <c r="U49" s="83" t="str">
        <f>'R3'!U39</f>
        <v/>
      </c>
      <c r="V49" s="83" t="str">
        <f>'R3'!V39</f>
        <v/>
      </c>
    </row>
    <row r="50" spans="1:24" s="1" customFormat="1" x14ac:dyDescent="0.35">
      <c r="A50" s="148"/>
      <c r="B50" s="83" t="str">
        <f>'R3'!B40</f>
        <v/>
      </c>
      <c r="C50" s="83" t="str">
        <f>'R3'!C40</f>
        <v/>
      </c>
      <c r="D50" s="83" t="str">
        <f>'R3'!D40</f>
        <v/>
      </c>
      <c r="E50" s="83" t="str">
        <f>'R3'!E40</f>
        <v/>
      </c>
      <c r="F50" s="83" t="str">
        <f>'R3'!F40</f>
        <v/>
      </c>
      <c r="G50" s="83" t="str">
        <f>'R3'!G40</f>
        <v/>
      </c>
      <c r="H50" s="83" t="str">
        <f>'R3'!H40</f>
        <v/>
      </c>
      <c r="I50" s="83" t="str">
        <f>'R3'!I40</f>
        <v/>
      </c>
      <c r="J50" s="83" t="str">
        <f>'R3'!J40</f>
        <v/>
      </c>
      <c r="K50" s="83" t="str">
        <f>'R3'!K40</f>
        <v/>
      </c>
      <c r="L50" s="83" t="str">
        <f>'R3'!L40</f>
        <v/>
      </c>
      <c r="M50" s="83" t="str">
        <f>'R3'!M40</f>
        <v/>
      </c>
      <c r="N50"/>
      <c r="O50" s="83">
        <f>'R3'!O40</f>
        <v>0.22718850418770972</v>
      </c>
      <c r="P50" s="83" t="str">
        <f>'R3'!P40</f>
        <v/>
      </c>
      <c r="Q50" s="83" t="str">
        <f>'R3'!Q40</f>
        <v/>
      </c>
      <c r="R50" s="83" t="str">
        <f>'R3'!R40</f>
        <v/>
      </c>
      <c r="S50" s="83" t="str">
        <f>'R3'!S40</f>
        <v/>
      </c>
      <c r="T50" s="83" t="str">
        <f>'R3'!T40</f>
        <v/>
      </c>
      <c r="U50" s="83" t="str">
        <f>'R3'!U40</f>
        <v/>
      </c>
      <c r="V50" s="83" t="str">
        <f>'R3'!V40</f>
        <v/>
      </c>
    </row>
    <row r="51" spans="1:24" s="1" customFormat="1" x14ac:dyDescent="0.35">
      <c r="A51" s="148"/>
      <c r="B51" s="83" t="str">
        <f>'R3'!B41</f>
        <v/>
      </c>
      <c r="C51" s="83" t="str">
        <f>'R3'!C41</f>
        <v/>
      </c>
      <c r="D51" s="83" t="str">
        <f>'R3'!D41</f>
        <v/>
      </c>
      <c r="E51" s="83" t="str">
        <f>'R3'!E41</f>
        <v/>
      </c>
      <c r="F51" s="83" t="str">
        <f>'R3'!F41</f>
        <v/>
      </c>
      <c r="G51" s="83" t="str">
        <f>'R3'!G41</f>
        <v/>
      </c>
      <c r="H51" s="83" t="str">
        <f>'R3'!H41</f>
        <v/>
      </c>
      <c r="I51" s="83" t="str">
        <f>'R3'!I41</f>
        <v/>
      </c>
      <c r="J51" s="83" t="str">
        <f>'R3'!J41</f>
        <v/>
      </c>
      <c r="K51" s="83" t="str">
        <f>'R3'!K41</f>
        <v/>
      </c>
      <c r="L51" s="83" t="str">
        <f>'R3'!L41</f>
        <v/>
      </c>
      <c r="M51" s="83" t="str">
        <f>'R3'!M41</f>
        <v/>
      </c>
      <c r="N51"/>
      <c r="O51" s="83">
        <f>'R3'!O41</f>
        <v>1.6551221125331352</v>
      </c>
      <c r="P51" s="83" t="str">
        <f>'R3'!P41</f>
        <v/>
      </c>
      <c r="Q51" s="83" t="str">
        <f>'R3'!Q41</f>
        <v/>
      </c>
      <c r="R51" s="83" t="str">
        <f>'R3'!R41</f>
        <v/>
      </c>
      <c r="S51" s="83" t="str">
        <f>'R3'!S41</f>
        <v/>
      </c>
      <c r="T51" s="83" t="str">
        <f>'R3'!T41</f>
        <v/>
      </c>
      <c r="U51" s="83" t="str">
        <f>'R3'!U41</f>
        <v/>
      </c>
      <c r="V51" s="83" t="str">
        <f>'R3'!V41</f>
        <v/>
      </c>
    </row>
    <row r="52" spans="1:24" s="1" customFormat="1" x14ac:dyDescent="0.35">
      <c r="A52" s="148"/>
      <c r="B52" s="83" t="str">
        <f>'R3'!B42</f>
        <v/>
      </c>
      <c r="C52" s="83" t="str">
        <f>'R3'!C42</f>
        <v/>
      </c>
      <c r="D52" s="83" t="str">
        <f>'R3'!D42</f>
        <v/>
      </c>
      <c r="E52" s="83" t="str">
        <f>'R3'!E42</f>
        <v/>
      </c>
      <c r="F52" s="83" t="str">
        <f>'R3'!F42</f>
        <v/>
      </c>
      <c r="G52" s="83" t="str">
        <f>'R3'!G42</f>
        <v/>
      </c>
      <c r="H52" s="83" t="str">
        <f>'R3'!H42</f>
        <v/>
      </c>
      <c r="I52" s="83" t="str">
        <f>'R3'!I42</f>
        <v/>
      </c>
      <c r="J52" s="83" t="str">
        <f>'R3'!J42</f>
        <v/>
      </c>
      <c r="K52" s="83" t="str">
        <f>'R3'!K42</f>
        <v/>
      </c>
      <c r="L52" s="83" t="str">
        <f>'R3'!L42</f>
        <v/>
      </c>
      <c r="M52" s="83" t="str">
        <f>'R3'!M42</f>
        <v/>
      </c>
      <c r="N52"/>
      <c r="O52" s="83">
        <f>'R3'!O42</f>
        <v>0.58984667854177297</v>
      </c>
      <c r="P52" s="83" t="str">
        <f>'R3'!P42</f>
        <v/>
      </c>
      <c r="Q52" s="83" t="str">
        <f>'R3'!Q42</f>
        <v/>
      </c>
      <c r="R52" s="83" t="str">
        <f>'R3'!R42</f>
        <v/>
      </c>
      <c r="S52" s="83" t="str">
        <f>'R3'!S42</f>
        <v/>
      </c>
      <c r="T52" s="83" t="str">
        <f>'R3'!T42</f>
        <v/>
      </c>
      <c r="U52" s="83" t="str">
        <f>'R3'!U42</f>
        <v/>
      </c>
      <c r="V52" s="83" t="str">
        <f>'R3'!V42</f>
        <v/>
      </c>
    </row>
    <row r="53" spans="1:24" s="1" customFormat="1" x14ac:dyDescent="0.35">
      <c r="A53" s="149"/>
      <c r="B53" s="83" t="str">
        <f>'R3'!B43</f>
        <v/>
      </c>
      <c r="C53" s="83" t="str">
        <f>'R3'!C43</f>
        <v/>
      </c>
      <c r="D53" s="83" t="str">
        <f>'R3'!D43</f>
        <v/>
      </c>
      <c r="E53" s="83" t="str">
        <f>'R3'!E43</f>
        <v/>
      </c>
      <c r="F53" s="83" t="str">
        <f>'R3'!F43</f>
        <v/>
      </c>
      <c r="G53" s="83" t="str">
        <f>'R3'!G43</f>
        <v/>
      </c>
      <c r="H53" s="83" t="str">
        <f>'R3'!H43</f>
        <v/>
      </c>
      <c r="I53" s="83" t="str">
        <f>'R3'!I43</f>
        <v/>
      </c>
      <c r="J53" s="83" t="str">
        <f>'R3'!J43</f>
        <v/>
      </c>
      <c r="K53" s="83" t="str">
        <f>'R3'!K43</f>
        <v/>
      </c>
      <c r="L53" s="83" t="str">
        <f>'R3'!L43</f>
        <v/>
      </c>
      <c r="M53" s="83" t="str">
        <f>'R3'!M43</f>
        <v/>
      </c>
      <c r="N53"/>
      <c r="O53" s="83">
        <f>'R3'!O43</f>
        <v>1.1887140464688659</v>
      </c>
      <c r="P53" s="83" t="str">
        <f>'R3'!P43</f>
        <v/>
      </c>
      <c r="Q53" s="83" t="str">
        <f>'R3'!Q43</f>
        <v/>
      </c>
      <c r="R53" s="83" t="str">
        <f>'R3'!R43</f>
        <v/>
      </c>
      <c r="S53" s="83" t="str">
        <f>'R3'!S43</f>
        <v/>
      </c>
      <c r="T53" s="83" t="str">
        <f>'R3'!T43</f>
        <v/>
      </c>
      <c r="U53" s="83" t="str">
        <f>'R3'!U43</f>
        <v/>
      </c>
      <c r="V53" s="83" t="str">
        <f>'R3'!V43</f>
        <v/>
      </c>
    </row>
    <row r="54" spans="1:24" s="42" customFormat="1" x14ac:dyDescent="0.35">
      <c r="A54" s="40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/>
      <c r="O54" s="41"/>
      <c r="P54" s="41"/>
      <c r="Q54" s="41"/>
      <c r="R54" s="41"/>
      <c r="S54" s="41"/>
      <c r="T54" s="41"/>
      <c r="U54" s="41"/>
      <c r="V54" s="41"/>
    </row>
    <row r="55" spans="1:24" s="24" customFormat="1" x14ac:dyDescent="0.35">
      <c r="A55" s="24" t="s">
        <v>37</v>
      </c>
      <c r="B55" s="14" t="str">
        <f t="shared" ref="B55:M55" si="0">B4</f>
        <v>Solvent control</v>
      </c>
      <c r="C55" s="14" t="str">
        <f t="shared" si="0"/>
        <v>EE2-33.8ng/L</v>
      </c>
      <c r="D55" s="14" t="str">
        <f t="shared" si="0"/>
        <v>EE2-50.6ng/L</v>
      </c>
      <c r="E55" s="14" t="str">
        <f t="shared" si="0"/>
        <v>EE2-76ng/L</v>
      </c>
      <c r="F55" s="14" t="str">
        <f t="shared" si="0"/>
        <v>EE2-114ng/L</v>
      </c>
      <c r="G55" s="14" t="str">
        <f t="shared" si="0"/>
        <v>EE2-170.9ng/L</v>
      </c>
      <c r="H55" s="14" t="str">
        <f t="shared" si="0"/>
        <v>EE2-488ng/L</v>
      </c>
      <c r="I55" s="14" t="str">
        <f t="shared" si="0"/>
        <v>Amantadine-0.001mg/L</v>
      </c>
      <c r="J55" s="14" t="str">
        <f t="shared" si="0"/>
        <v>Amantadine-0.01mg/L</v>
      </c>
      <c r="K55" s="14" t="str">
        <f t="shared" si="0"/>
        <v>Amantadine-0.1mg/L</v>
      </c>
      <c r="L55" s="14" t="str">
        <f t="shared" si="0"/>
        <v>Amantadine-1mg/L</v>
      </c>
      <c r="M55" s="14" t="str">
        <f t="shared" si="0"/>
        <v>Amantadine-10mg/L</v>
      </c>
      <c r="O55" s="14" t="str">
        <f t="shared" ref="O55:V55" si="1">O4</f>
        <v>Testo -30µg/L</v>
      </c>
      <c r="P55" s="14" t="str">
        <f t="shared" si="1"/>
        <v>Testo 30µg/L + EE2 -64ng/L</v>
      </c>
      <c r="Q55" s="14" t="str">
        <f t="shared" si="1"/>
        <v>Testo 30µg/L + FAD-10mg/L</v>
      </c>
      <c r="R55" s="14" t="str">
        <f t="shared" si="1"/>
        <v>Amantadine-0.001mg/L + Testostérone</v>
      </c>
      <c r="S55" s="14" t="str">
        <f t="shared" si="1"/>
        <v>Amantadine-0.01mg/L + Testostérone</v>
      </c>
      <c r="T55" s="14" t="str">
        <f t="shared" si="1"/>
        <v>Amantadine-0.1mg/L + Testostérone</v>
      </c>
      <c r="U55" s="14" t="str">
        <f t="shared" si="1"/>
        <v>Amantadine-1mg/L + Testostérone</v>
      </c>
      <c r="V55" s="14" t="str">
        <f t="shared" si="1"/>
        <v>Amantadine-10mg/L + Testostérone</v>
      </c>
    </row>
    <row r="56" spans="1:24" x14ac:dyDescent="0.35">
      <c r="A56" t="s">
        <v>10</v>
      </c>
      <c r="B56" s="8">
        <f t="shared" ref="B56:V56" si="2">AVERAGE(B6:B53)</f>
        <v>7.9686169163236842E-2</v>
      </c>
      <c r="C56" s="8">
        <f t="shared" si="2"/>
        <v>8.7035959009638106E-2</v>
      </c>
      <c r="D56" s="8">
        <f t="shared" si="2"/>
        <v>0.26651815857223282</v>
      </c>
      <c r="E56" s="8">
        <f t="shared" si="2"/>
        <v>0.58762776899592406</v>
      </c>
      <c r="F56" s="8">
        <f t="shared" si="2"/>
        <v>1.3634376750310206</v>
      </c>
      <c r="G56" s="8">
        <f t="shared" si="2"/>
        <v>1.717237092469533</v>
      </c>
      <c r="H56" s="8">
        <f t="shared" si="2"/>
        <v>2.6176077816091863</v>
      </c>
      <c r="I56" s="8">
        <f t="shared" si="2"/>
        <v>5.5457955028907026E-2</v>
      </c>
      <c r="J56" s="8">
        <f t="shared" si="2"/>
        <v>6.0766192611450387E-2</v>
      </c>
      <c r="K56" s="8">
        <f t="shared" si="2"/>
        <v>0.14702077481456086</v>
      </c>
      <c r="L56" s="8">
        <f t="shared" si="2"/>
        <v>5.3446855632068385E-2</v>
      </c>
      <c r="M56" s="8">
        <f t="shared" si="2"/>
        <v>6.0536753125130606E-2</v>
      </c>
      <c r="N56" s="8"/>
      <c r="O56" s="8">
        <f t="shared" si="2"/>
        <v>0.99999999999999989</v>
      </c>
      <c r="P56" s="8">
        <f t="shared" si="2"/>
        <v>2.346823906030056</v>
      </c>
      <c r="Q56" s="8">
        <f t="shared" si="2"/>
        <v>4.7352429576847467E-2</v>
      </c>
      <c r="R56" s="8">
        <f t="shared" si="2"/>
        <v>0.73457355913144051</v>
      </c>
      <c r="S56" s="8">
        <f t="shared" si="2"/>
        <v>0.8273745732328085</v>
      </c>
      <c r="T56" s="8">
        <f t="shared" si="2"/>
        <v>0.79648467080310681</v>
      </c>
      <c r="U56" s="8">
        <f t="shared" si="2"/>
        <v>0.81937762155921645</v>
      </c>
      <c r="V56" s="8">
        <f t="shared" si="2"/>
        <v>1.0424431742179214</v>
      </c>
    </row>
    <row r="57" spans="1:24" x14ac:dyDescent="0.35">
      <c r="A57" t="s">
        <v>1</v>
      </c>
      <c r="B57" s="3">
        <f>STDEV(B6:B53)</f>
        <v>7.8638129239631802E-2</v>
      </c>
      <c r="C57" s="3">
        <f t="shared" ref="C57:V57" si="3">STDEV(C6:C53)</f>
        <v>8.8194296367876804E-2</v>
      </c>
      <c r="D57" s="3">
        <f t="shared" si="3"/>
        <v>0.37043409182024423</v>
      </c>
      <c r="E57" s="3">
        <f t="shared" si="3"/>
        <v>0.37773635889414853</v>
      </c>
      <c r="F57" s="3">
        <f t="shared" si="3"/>
        <v>0.69564199767786461</v>
      </c>
      <c r="G57" s="3">
        <f t="shared" si="3"/>
        <v>0.65702403307130652</v>
      </c>
      <c r="H57" s="3">
        <f t="shared" si="3"/>
        <v>0.8581126258062769</v>
      </c>
      <c r="I57" s="3">
        <f t="shared" si="3"/>
        <v>6.491077797358373E-2</v>
      </c>
      <c r="J57" s="3">
        <f t="shared" si="3"/>
        <v>5.8717782044307942E-2</v>
      </c>
      <c r="K57" s="3">
        <f t="shared" si="3"/>
        <v>0.203384218848565</v>
      </c>
      <c r="L57" s="3">
        <f t="shared" si="3"/>
        <v>4.5844033419791243E-2</v>
      </c>
      <c r="M57" s="3">
        <f t="shared" si="3"/>
        <v>5.3194395207443082E-2</v>
      </c>
      <c r="N57" s="3"/>
      <c r="O57" s="3">
        <f t="shared" si="3"/>
        <v>0.51722881287210254</v>
      </c>
      <c r="P57" s="3">
        <f t="shared" si="3"/>
        <v>0.70189273947032205</v>
      </c>
      <c r="Q57" s="3">
        <f t="shared" si="3"/>
        <v>3.9247070293356272E-2</v>
      </c>
      <c r="R57" s="3">
        <f t="shared" si="3"/>
        <v>0.45446121978664339</v>
      </c>
      <c r="S57" s="3">
        <f t="shared" si="3"/>
        <v>0.49640181606836337</v>
      </c>
      <c r="T57" s="3">
        <f t="shared" si="3"/>
        <v>0.5280924405617724</v>
      </c>
      <c r="U57" s="3">
        <f t="shared" si="3"/>
        <v>0.55288133183280053</v>
      </c>
      <c r="V57" s="3">
        <f t="shared" si="3"/>
        <v>0.5783611999160142</v>
      </c>
      <c r="W57" s="3"/>
      <c r="X57" s="3"/>
    </row>
    <row r="58" spans="1:24" x14ac:dyDescent="0.35">
      <c r="A58" t="s">
        <v>2</v>
      </c>
      <c r="B58" s="3">
        <f xml:space="preserve"> B57/SQRT(COUNT(B6:B53))</f>
        <v>1.6397183440946345E-2</v>
      </c>
      <c r="C58" s="3">
        <f t="shared" ref="C58:V58" si="4" xml:space="preserve"> C57/SQRT(COUNT(C6:C53))</f>
        <v>1.8389782030323831E-2</v>
      </c>
      <c r="D58" s="3">
        <f t="shared" si="4"/>
        <v>7.7240847602662865E-2</v>
      </c>
      <c r="E58" s="3">
        <f t="shared" si="4"/>
        <v>7.8763475542866293E-2</v>
      </c>
      <c r="F58" s="3">
        <f t="shared" si="4"/>
        <v>0.14505138353929292</v>
      </c>
      <c r="G58" s="3">
        <f t="shared" si="4"/>
        <v>0.13699898127727961</v>
      </c>
      <c r="H58" s="3">
        <f t="shared" si="4"/>
        <v>0.17892885136497369</v>
      </c>
      <c r="I58" s="3">
        <f t="shared" si="4"/>
        <v>1.3534832835150688E-2</v>
      </c>
      <c r="J58" s="3">
        <f t="shared" si="4"/>
        <v>1.2243503917699898E-2</v>
      </c>
      <c r="K58" s="3">
        <f t="shared" si="4"/>
        <v>4.7938120111383056E-2</v>
      </c>
      <c r="L58" s="3">
        <f t="shared" si="4"/>
        <v>9.5591417665407252E-3</v>
      </c>
      <c r="M58" s="3">
        <f t="shared" si="4"/>
        <v>1.1091798147800461E-2</v>
      </c>
      <c r="N58" s="3"/>
      <c r="O58" s="3">
        <f t="shared" si="4"/>
        <v>7.6261227949538032E-2</v>
      </c>
      <c r="P58" s="3">
        <f t="shared" si="4"/>
        <v>0.14635475330156925</v>
      </c>
      <c r="Q58" s="3">
        <f t="shared" si="4"/>
        <v>8.1835798656760099E-3</v>
      </c>
      <c r="R58" s="3">
        <f t="shared" si="4"/>
        <v>9.2766508030009548E-2</v>
      </c>
      <c r="S58" s="3">
        <f t="shared" si="4"/>
        <v>0.10132759639653316</v>
      </c>
      <c r="T58" s="3">
        <f t="shared" si="4"/>
        <v>0.1077964180331164</v>
      </c>
      <c r="U58" s="3">
        <f t="shared" si="4"/>
        <v>0.1128564292750623</v>
      </c>
      <c r="V58" s="3">
        <f t="shared" si="4"/>
        <v>0.11805748556817067</v>
      </c>
      <c r="W58" s="3"/>
      <c r="X58" s="3"/>
    </row>
    <row r="59" spans="1:24" s="1" customFormat="1" ht="15" thickBot="1" x14ac:dyDescent="0.4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4" s="30" customFormat="1" ht="26.5" thickBot="1" x14ac:dyDescent="0.4">
      <c r="A60" s="150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</row>
    <row r="61" spans="1:24" s="1" customFormat="1" x14ac:dyDescent="0.3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4" s="1" customFormat="1" x14ac:dyDescent="0.35">
      <c r="A62" s="1" t="s">
        <v>37</v>
      </c>
      <c r="B62" s="3" t="str">
        <f t="shared" ref="B62" si="5">B4</f>
        <v>Solvent control</v>
      </c>
      <c r="C62" s="3" t="str">
        <f t="shared" ref="C62:V62" si="6">C4</f>
        <v>EE2-33.8ng/L</v>
      </c>
      <c r="D62" s="3" t="str">
        <f t="shared" si="6"/>
        <v>EE2-50.6ng/L</v>
      </c>
      <c r="E62" s="3" t="str">
        <f t="shared" si="6"/>
        <v>EE2-76ng/L</v>
      </c>
      <c r="F62" s="3" t="str">
        <f t="shared" si="6"/>
        <v>EE2-114ng/L</v>
      </c>
      <c r="G62" s="3" t="str">
        <f t="shared" si="6"/>
        <v>EE2-170.9ng/L</v>
      </c>
      <c r="H62" s="3" t="str">
        <f t="shared" si="6"/>
        <v>EE2-488ng/L</v>
      </c>
      <c r="I62" s="3" t="str">
        <f t="shared" si="6"/>
        <v>Amantadine-0.001mg/L</v>
      </c>
      <c r="J62" s="3" t="str">
        <f t="shared" si="6"/>
        <v>Amantadine-0.01mg/L</v>
      </c>
      <c r="K62" s="3" t="str">
        <f t="shared" si="6"/>
        <v>Amantadine-0.1mg/L</v>
      </c>
      <c r="L62" s="3" t="str">
        <f t="shared" si="6"/>
        <v>Amantadine-1mg/L</v>
      </c>
      <c r="M62" s="3" t="str">
        <f t="shared" si="6"/>
        <v>Amantadine-10mg/L</v>
      </c>
      <c r="N62" s="3"/>
      <c r="O62" s="3" t="str">
        <f t="shared" si="6"/>
        <v>Testo -30µg/L</v>
      </c>
      <c r="P62" s="3" t="str">
        <f t="shared" si="6"/>
        <v>Testo 30µg/L + EE2 -64ng/L</v>
      </c>
      <c r="Q62" s="3" t="str">
        <f t="shared" si="6"/>
        <v>Testo 30µg/L + FAD-10mg/L</v>
      </c>
      <c r="R62" s="3" t="str">
        <f t="shared" si="6"/>
        <v>Amantadine-0.001mg/L + Testostérone</v>
      </c>
      <c r="S62" s="3" t="str">
        <f t="shared" si="6"/>
        <v>Amantadine-0.01mg/L + Testostérone</v>
      </c>
      <c r="T62" s="3" t="str">
        <f t="shared" si="6"/>
        <v>Amantadine-0.1mg/L + Testostérone</v>
      </c>
      <c r="U62" s="3" t="str">
        <f t="shared" si="6"/>
        <v>Amantadine-1mg/L + Testostérone</v>
      </c>
      <c r="V62" s="3" t="str">
        <f t="shared" si="6"/>
        <v>Amantadine-10mg/L + Testostérone</v>
      </c>
    </row>
    <row r="63" spans="1:24" s="1" customFormat="1" x14ac:dyDescent="0.35">
      <c r="A63" s="1" t="s">
        <v>44</v>
      </c>
      <c r="B63" s="3">
        <f>COUNT(B6:B53)</f>
        <v>23</v>
      </c>
      <c r="C63" s="3">
        <f t="shared" ref="C63:V63" si="7">COUNT(C6:C53)</f>
        <v>23</v>
      </c>
      <c r="D63" s="3">
        <f t="shared" si="7"/>
        <v>23</v>
      </c>
      <c r="E63" s="3">
        <f t="shared" si="7"/>
        <v>23</v>
      </c>
      <c r="F63" s="3">
        <f t="shared" si="7"/>
        <v>23</v>
      </c>
      <c r="G63" s="3">
        <f t="shared" si="7"/>
        <v>23</v>
      </c>
      <c r="H63" s="3">
        <f t="shared" si="7"/>
        <v>23</v>
      </c>
      <c r="I63" s="3">
        <f t="shared" si="7"/>
        <v>23</v>
      </c>
      <c r="J63" s="3">
        <f t="shared" si="7"/>
        <v>23</v>
      </c>
      <c r="K63" s="3">
        <f t="shared" si="7"/>
        <v>18</v>
      </c>
      <c r="L63" s="3">
        <f t="shared" si="7"/>
        <v>23</v>
      </c>
      <c r="M63" s="3">
        <f t="shared" si="7"/>
        <v>23</v>
      </c>
      <c r="N63" s="3"/>
      <c r="O63" s="3">
        <f t="shared" si="7"/>
        <v>46</v>
      </c>
      <c r="P63" s="3">
        <f t="shared" si="7"/>
        <v>23</v>
      </c>
      <c r="Q63" s="3">
        <f t="shared" si="7"/>
        <v>23</v>
      </c>
      <c r="R63" s="3">
        <f t="shared" si="7"/>
        <v>24</v>
      </c>
      <c r="S63" s="3">
        <f t="shared" si="7"/>
        <v>24</v>
      </c>
      <c r="T63" s="3">
        <f t="shared" si="7"/>
        <v>24</v>
      </c>
      <c r="U63" s="3">
        <f t="shared" si="7"/>
        <v>24</v>
      </c>
      <c r="V63" s="3">
        <f t="shared" si="7"/>
        <v>24</v>
      </c>
    </row>
    <row r="64" spans="1:24" s="1" customFormat="1" ht="15" thickBot="1" x14ac:dyDescent="0.4">
      <c r="B64" s="3" t="str">
        <f>IF(B63&gt;=21,"OK","ATTENTION")</f>
        <v>OK</v>
      </c>
      <c r="C64" s="3" t="str">
        <f t="shared" ref="C64:V64" si="8">IF(C63&gt;=21,"OK","ATTENTION")</f>
        <v>OK</v>
      </c>
      <c r="D64" s="3" t="str">
        <f t="shared" si="8"/>
        <v>OK</v>
      </c>
      <c r="E64" s="3" t="str">
        <f t="shared" si="8"/>
        <v>OK</v>
      </c>
      <c r="F64" s="3" t="str">
        <f t="shared" si="8"/>
        <v>OK</v>
      </c>
      <c r="G64" s="3" t="str">
        <f t="shared" si="8"/>
        <v>OK</v>
      </c>
      <c r="H64" s="3" t="str">
        <f t="shared" si="8"/>
        <v>OK</v>
      </c>
      <c r="I64" s="3" t="str">
        <f t="shared" si="8"/>
        <v>OK</v>
      </c>
      <c r="J64" s="3" t="str">
        <f t="shared" si="8"/>
        <v>OK</v>
      </c>
      <c r="K64" s="3" t="str">
        <f t="shared" si="8"/>
        <v>ATTENTION</v>
      </c>
      <c r="L64" s="3" t="str">
        <f t="shared" si="8"/>
        <v>OK</v>
      </c>
      <c r="M64" s="3" t="str">
        <f t="shared" si="8"/>
        <v>OK</v>
      </c>
      <c r="N64" s="3"/>
      <c r="O64" s="3" t="str">
        <f>IF(O63&gt;=41,"OK","ATTENTION")</f>
        <v>OK</v>
      </c>
      <c r="P64" s="3" t="str">
        <f t="shared" si="8"/>
        <v>OK</v>
      </c>
      <c r="Q64" s="3" t="str">
        <f t="shared" si="8"/>
        <v>OK</v>
      </c>
      <c r="R64" s="3" t="str">
        <f t="shared" si="8"/>
        <v>OK</v>
      </c>
      <c r="S64" s="3" t="str">
        <f t="shared" si="8"/>
        <v>OK</v>
      </c>
      <c r="T64" s="3" t="str">
        <f t="shared" si="8"/>
        <v>OK</v>
      </c>
      <c r="U64" s="3" t="str">
        <f t="shared" si="8"/>
        <v>OK</v>
      </c>
      <c r="V64" s="3" t="str">
        <f t="shared" si="8"/>
        <v>OK</v>
      </c>
    </row>
    <row r="65" spans="1:22" s="30" customFormat="1" ht="26.5" thickBot="1" x14ac:dyDescent="0.4">
      <c r="A65" s="150"/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</row>
    <row r="66" spans="1:22" s="1" customFormat="1" x14ac:dyDescent="0.35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s="1" customFormat="1" x14ac:dyDescent="0.3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s="1" customFormat="1" x14ac:dyDescent="0.3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s="1" customFormat="1" ht="15" thickBot="1" x14ac:dyDescent="0.4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s="30" customFormat="1" ht="26.5" thickBot="1" x14ac:dyDescent="0.4">
      <c r="A70" s="150"/>
      <c r="B70" s="151"/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</row>
    <row r="71" spans="1:22" ht="15" thickBot="1" x14ac:dyDescent="0.4"/>
    <row r="72" spans="1:22" s="30" customFormat="1" ht="26.5" thickBot="1" x14ac:dyDescent="0.4">
      <c r="A72" s="150"/>
      <c r="B72" s="151"/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</row>
    <row r="73" spans="1:22" ht="15" thickBot="1" x14ac:dyDescent="0.4">
      <c r="J73" s="3">
        <v>1</v>
      </c>
      <c r="K73" s="3">
        <v>2</v>
      </c>
      <c r="L73" s="3">
        <v>3</v>
      </c>
      <c r="M73" s="3">
        <v>4</v>
      </c>
      <c r="R73" s="3">
        <v>1</v>
      </c>
      <c r="S73" s="3">
        <v>2</v>
      </c>
      <c r="T73" s="3">
        <v>3</v>
      </c>
      <c r="U73" s="3">
        <v>4</v>
      </c>
      <c r="V73" s="3">
        <v>5</v>
      </c>
    </row>
    <row r="74" spans="1:22" s="1" customFormat="1" x14ac:dyDescent="0.35">
      <c r="A74" s="27" t="s">
        <v>45</v>
      </c>
      <c r="B74" s="28" t="str">
        <f t="shared" ref="B74:M74" si="9">B4</f>
        <v>Solvent control</v>
      </c>
      <c r="C74" s="28" t="str">
        <f t="shared" si="9"/>
        <v>EE2-33.8ng/L</v>
      </c>
      <c r="D74" s="28" t="str">
        <f t="shared" si="9"/>
        <v>EE2-50.6ng/L</v>
      </c>
      <c r="E74" s="28" t="str">
        <f t="shared" si="9"/>
        <v>EE2-76ng/L</v>
      </c>
      <c r="F74" s="28" t="str">
        <f t="shared" si="9"/>
        <v>EE2-114ng/L</v>
      </c>
      <c r="G74" s="28" t="str">
        <f t="shared" si="9"/>
        <v>EE2-170.9ng/L</v>
      </c>
      <c r="H74" s="28" t="str">
        <f t="shared" si="9"/>
        <v>EE2-488ng/L</v>
      </c>
      <c r="I74" s="28" t="str">
        <f t="shared" si="9"/>
        <v>Amantadine-0.001mg/L</v>
      </c>
      <c r="J74" s="28" t="str">
        <f t="shared" si="9"/>
        <v>Amantadine-0.01mg/L</v>
      </c>
      <c r="K74" s="28" t="str">
        <f t="shared" si="9"/>
        <v>Amantadine-0.1mg/L</v>
      </c>
      <c r="L74" s="28" t="str">
        <f t="shared" si="9"/>
        <v>Amantadine-1mg/L</v>
      </c>
      <c r="M74" s="28" t="str">
        <f t="shared" si="9"/>
        <v>Amantadine-10mg/L</v>
      </c>
      <c r="N74" s="28"/>
      <c r="O74" s="28" t="str">
        <f t="shared" ref="O74:V74" si="10">O4</f>
        <v>Testo -30µg/L</v>
      </c>
      <c r="P74" s="28" t="str">
        <f t="shared" si="10"/>
        <v>Testo 30µg/L + EE2 -64ng/L</v>
      </c>
      <c r="Q74" s="28" t="str">
        <f t="shared" si="10"/>
        <v>Testo 30µg/L + FAD-10mg/L</v>
      </c>
      <c r="R74" s="28" t="str">
        <f t="shared" si="10"/>
        <v>Amantadine-0.001mg/L + Testostérone</v>
      </c>
      <c r="S74" s="28" t="str">
        <f t="shared" si="10"/>
        <v>Amantadine-0.01mg/L + Testostérone</v>
      </c>
      <c r="T74" s="28" t="str">
        <f t="shared" si="10"/>
        <v>Amantadine-0.1mg/L + Testostérone</v>
      </c>
      <c r="U74" s="28" t="str">
        <f t="shared" si="10"/>
        <v>Amantadine-1mg/L + Testostérone</v>
      </c>
      <c r="V74" s="28" t="str">
        <f t="shared" si="10"/>
        <v>Amantadine-10mg/L + Testostérone</v>
      </c>
    </row>
    <row r="75" spans="1:22" s="3" customFormat="1" x14ac:dyDescent="0.35">
      <c r="A75" s="43" t="s">
        <v>10</v>
      </c>
      <c r="B75" s="75">
        <f>B56</f>
        <v>7.9686169163236842E-2</v>
      </c>
      <c r="C75" s="75">
        <f t="shared" ref="C75:V75" si="11">C56</f>
        <v>8.7035959009638106E-2</v>
      </c>
      <c r="D75" s="75">
        <f t="shared" si="11"/>
        <v>0.26651815857223282</v>
      </c>
      <c r="E75" s="75">
        <f t="shared" si="11"/>
        <v>0.58762776899592406</v>
      </c>
      <c r="F75" s="75">
        <f t="shared" si="11"/>
        <v>1.3634376750310206</v>
      </c>
      <c r="G75" s="75">
        <f t="shared" si="11"/>
        <v>1.717237092469533</v>
      </c>
      <c r="H75" s="75">
        <f t="shared" si="11"/>
        <v>2.6176077816091863</v>
      </c>
      <c r="I75" s="75">
        <f t="shared" si="11"/>
        <v>5.5457955028907026E-2</v>
      </c>
      <c r="J75" s="75">
        <f t="shared" si="11"/>
        <v>6.0766192611450387E-2</v>
      </c>
      <c r="K75" s="75">
        <f t="shared" si="11"/>
        <v>0.14702077481456086</v>
      </c>
      <c r="L75" s="75">
        <f t="shared" si="11"/>
        <v>5.3446855632068385E-2</v>
      </c>
      <c r="M75" s="75">
        <f t="shared" si="11"/>
        <v>6.0536753125130606E-2</v>
      </c>
      <c r="N75" s="75"/>
      <c r="O75" s="75">
        <f t="shared" si="11"/>
        <v>0.99999999999999989</v>
      </c>
      <c r="P75" s="75">
        <f t="shared" si="11"/>
        <v>2.346823906030056</v>
      </c>
      <c r="Q75" s="75">
        <f t="shared" si="11"/>
        <v>4.7352429576847467E-2</v>
      </c>
      <c r="R75" s="75">
        <f t="shared" si="11"/>
        <v>0.73457355913144051</v>
      </c>
      <c r="S75" s="75">
        <f t="shared" si="11"/>
        <v>0.8273745732328085</v>
      </c>
      <c r="T75" s="75">
        <f t="shared" si="11"/>
        <v>0.79648467080310681</v>
      </c>
      <c r="U75" s="75">
        <f t="shared" si="11"/>
        <v>0.81937762155921645</v>
      </c>
      <c r="V75" s="75">
        <f t="shared" si="11"/>
        <v>1.0424431742179214</v>
      </c>
    </row>
    <row r="76" spans="1:22" s="3" customFormat="1" x14ac:dyDescent="0.35">
      <c r="A76" s="43" t="s">
        <v>2</v>
      </c>
      <c r="B76" s="75">
        <f>B58</f>
        <v>1.6397183440946345E-2</v>
      </c>
      <c r="C76" s="75">
        <f t="shared" ref="C76:V76" si="12">C58</f>
        <v>1.8389782030323831E-2</v>
      </c>
      <c r="D76" s="75">
        <f t="shared" si="12"/>
        <v>7.7240847602662865E-2</v>
      </c>
      <c r="E76" s="75">
        <f t="shared" si="12"/>
        <v>7.8763475542866293E-2</v>
      </c>
      <c r="F76" s="75">
        <f t="shared" si="12"/>
        <v>0.14505138353929292</v>
      </c>
      <c r="G76" s="75">
        <f t="shared" si="12"/>
        <v>0.13699898127727961</v>
      </c>
      <c r="H76" s="75">
        <f t="shared" si="12"/>
        <v>0.17892885136497369</v>
      </c>
      <c r="I76" s="75">
        <f t="shared" si="12"/>
        <v>1.3534832835150688E-2</v>
      </c>
      <c r="J76" s="75">
        <f t="shared" si="12"/>
        <v>1.2243503917699898E-2</v>
      </c>
      <c r="K76" s="75">
        <f t="shared" si="12"/>
        <v>4.7938120111383056E-2</v>
      </c>
      <c r="L76" s="75">
        <f t="shared" si="12"/>
        <v>9.5591417665407252E-3</v>
      </c>
      <c r="M76" s="75">
        <f t="shared" si="12"/>
        <v>1.1091798147800461E-2</v>
      </c>
      <c r="N76" s="75"/>
      <c r="O76" s="75">
        <f t="shared" si="12"/>
        <v>7.6261227949538032E-2</v>
      </c>
      <c r="P76" s="75">
        <f t="shared" si="12"/>
        <v>0.14635475330156925</v>
      </c>
      <c r="Q76" s="75">
        <f t="shared" si="12"/>
        <v>8.1835798656760099E-3</v>
      </c>
      <c r="R76" s="75">
        <f t="shared" si="12"/>
        <v>9.2766508030009548E-2</v>
      </c>
      <c r="S76" s="75">
        <f t="shared" si="12"/>
        <v>0.10132759639653316</v>
      </c>
      <c r="T76" s="75">
        <f t="shared" si="12"/>
        <v>0.1077964180331164</v>
      </c>
      <c r="U76" s="75">
        <f t="shared" si="12"/>
        <v>0.1128564292750623</v>
      </c>
      <c r="V76" s="75">
        <f t="shared" si="12"/>
        <v>0.11805748556817067</v>
      </c>
    </row>
    <row r="77" spans="1:22" s="3" customFormat="1" x14ac:dyDescent="0.35">
      <c r="A77" s="43" t="s">
        <v>14</v>
      </c>
      <c r="B77" s="75">
        <f>(B75*100/$B$75)-100</f>
        <v>0</v>
      </c>
      <c r="C77" s="75">
        <f t="shared" ref="C77:M77" si="13">(C75*100/$B$75)-100</f>
        <v>9.2234197271363882</v>
      </c>
      <c r="D77" s="75">
        <f t="shared" si="13"/>
        <v>234.45974548766588</v>
      </c>
      <c r="E77" s="75">
        <f t="shared" si="13"/>
        <v>637.42755507818504</v>
      </c>
      <c r="F77" s="75">
        <f t="shared" si="13"/>
        <v>1611.0091868490042</v>
      </c>
      <c r="G77" s="75">
        <f t="shared" si="13"/>
        <v>2055.0001844759017</v>
      </c>
      <c r="H77" s="75">
        <f t="shared" si="13"/>
        <v>3184.895997757184</v>
      </c>
      <c r="I77" s="75">
        <f t="shared" si="13"/>
        <v>-30.40454120049165</v>
      </c>
      <c r="J77" s="75">
        <f t="shared" si="13"/>
        <v>-23.743112199344083</v>
      </c>
      <c r="K77" s="75">
        <f t="shared" si="13"/>
        <v>84.499739865006319</v>
      </c>
      <c r="L77" s="75">
        <f t="shared" si="13"/>
        <v>-32.928315925712667</v>
      </c>
      <c r="M77" s="75">
        <f t="shared" si="13"/>
        <v>-24.031041069220834</v>
      </c>
      <c r="N77" s="75"/>
      <c r="O77" s="75">
        <f>(O75*100/$O$75)-100</f>
        <v>0</v>
      </c>
      <c r="P77" s="75">
        <f t="shared" ref="P77:V77" si="14">(P75*100/$O$75)-100</f>
        <v>134.68239060300562</v>
      </c>
      <c r="Q77" s="75">
        <f t="shared" si="14"/>
        <v>-95.264757042315253</v>
      </c>
      <c r="R77" s="75">
        <f t="shared" si="14"/>
        <v>-26.54264408685593</v>
      </c>
      <c r="S77" s="75">
        <f t="shared" si="14"/>
        <v>-17.262542676719136</v>
      </c>
      <c r="T77" s="75">
        <f t="shared" si="14"/>
        <v>-20.351532919689305</v>
      </c>
      <c r="U77" s="75">
        <f t="shared" si="14"/>
        <v>-18.062237844078339</v>
      </c>
      <c r="V77" s="75">
        <f t="shared" si="14"/>
        <v>4.2443174217921609</v>
      </c>
    </row>
    <row r="78" spans="1:22" s="3" customFormat="1" x14ac:dyDescent="0.35">
      <c r="A78" s="43" t="s">
        <v>38</v>
      </c>
      <c r="B78" s="75">
        <f>[1]!DPTEST(B6:B53)</f>
        <v>2.6717110333707161E-4</v>
      </c>
      <c r="C78" s="75">
        <f>[1]!DPTEST(C6:C53)</f>
        <v>2.4042663981274082E-2</v>
      </c>
      <c r="D78" s="75">
        <f>[1]!DPTEST(D6:D53)</f>
        <v>2.7106747069183257E-8</v>
      </c>
      <c r="E78" s="75">
        <f>[1]!DPTEST(E6:E53)</f>
        <v>0.24810837630476246</v>
      </c>
      <c r="F78" s="75">
        <f>[1]!DPTEST(F6:F53)</f>
        <v>0.6729131769533685</v>
      </c>
      <c r="G78" s="75">
        <f>[1]!DPTEST(G6:G53)</f>
        <v>0.38692947449357484</v>
      </c>
      <c r="H78" s="75">
        <f>[1]!DPTEST(H6:H53)</f>
        <v>0.94938860889272036</v>
      </c>
      <c r="I78" s="75">
        <f>[1]!DPTEST(I6:I53)</f>
        <v>1.7579756268482072E-6</v>
      </c>
      <c r="J78" s="75">
        <f>[1]!DPTEST(J6:J53)</f>
        <v>3.3578067106946774E-2</v>
      </c>
      <c r="K78" s="75">
        <f>[1]!DPTEST(K6:K53)</f>
        <v>1.6140198615975931E-3</v>
      </c>
      <c r="L78" s="75">
        <f>[1]!DPTEST(L6:L53)</f>
        <v>3.7818489996123139E-3</v>
      </c>
      <c r="M78" s="75">
        <f>[1]!DPTEST(M6:M53)</f>
        <v>5.8898410088710218E-3</v>
      </c>
      <c r="N78" s="75"/>
      <c r="O78" s="75">
        <f>[1]!DPTEST(O6:O53)</f>
        <v>0.82426147420910434</v>
      </c>
      <c r="P78" s="75">
        <f>[1]!DPTEST(P6:P53)</f>
        <v>5.4310084925863977E-2</v>
      </c>
      <c r="Q78" s="75">
        <f>[1]!DPTEST(Q6:Q53)</f>
        <v>2.3350207610492557E-2</v>
      </c>
      <c r="R78" s="75">
        <f>[1]!DPTEST(R6:R53)</f>
        <v>0.32796853570908002</v>
      </c>
      <c r="S78" s="75">
        <f>[1]!DPTEST(S6:S53)</f>
        <v>0.75073667844981751</v>
      </c>
      <c r="T78" s="75">
        <f>[1]!DPTEST(T6:T53)</f>
        <v>0.42160378696679757</v>
      </c>
      <c r="U78" s="75">
        <f>[1]!DPTEST(U6:U53)</f>
        <v>0.43929618262973535</v>
      </c>
      <c r="V78" s="75">
        <f>[1]!DPTEST(V6:V53)</f>
        <v>0.59565703134994241</v>
      </c>
    </row>
    <row r="79" spans="1:22" s="3" customFormat="1" x14ac:dyDescent="0.35">
      <c r="A79" s="43" t="s">
        <v>39</v>
      </c>
      <c r="B79" s="75" t="str">
        <f>IF(B78&gt;0.05,"Oui","Non")</f>
        <v>Non</v>
      </c>
      <c r="C79" s="75" t="str">
        <f t="shared" ref="C79:V79" si="15">IF(C78&gt;0.05,"Oui","Non")</f>
        <v>Non</v>
      </c>
      <c r="D79" s="75" t="str">
        <f t="shared" si="15"/>
        <v>Non</v>
      </c>
      <c r="E79" s="75" t="str">
        <f t="shared" si="15"/>
        <v>Oui</v>
      </c>
      <c r="F79" s="75" t="str">
        <f t="shared" si="15"/>
        <v>Oui</v>
      </c>
      <c r="G79" s="75" t="str">
        <f t="shared" si="15"/>
        <v>Oui</v>
      </c>
      <c r="H79" s="75" t="str">
        <f t="shared" si="15"/>
        <v>Oui</v>
      </c>
      <c r="I79" s="75" t="str">
        <f t="shared" si="15"/>
        <v>Non</v>
      </c>
      <c r="J79" s="75" t="str">
        <f t="shared" si="15"/>
        <v>Non</v>
      </c>
      <c r="K79" s="75" t="str">
        <f t="shared" si="15"/>
        <v>Non</v>
      </c>
      <c r="L79" s="75" t="str">
        <f t="shared" si="15"/>
        <v>Non</v>
      </c>
      <c r="M79" s="75" t="str">
        <f t="shared" si="15"/>
        <v>Non</v>
      </c>
      <c r="N79" s="75"/>
      <c r="O79" s="75" t="str">
        <f t="shared" si="15"/>
        <v>Oui</v>
      </c>
      <c r="P79" s="75" t="str">
        <f t="shared" si="15"/>
        <v>Oui</v>
      </c>
      <c r="Q79" s="75" t="str">
        <f t="shared" si="15"/>
        <v>Non</v>
      </c>
      <c r="R79" s="75" t="str">
        <f t="shared" si="15"/>
        <v>Oui</v>
      </c>
      <c r="S79" s="75" t="str">
        <f t="shared" si="15"/>
        <v>Oui</v>
      </c>
      <c r="T79" s="75" t="str">
        <f t="shared" si="15"/>
        <v>Oui</v>
      </c>
      <c r="U79" s="75" t="str">
        <f t="shared" si="15"/>
        <v>Oui</v>
      </c>
      <c r="V79" s="75" t="str">
        <f t="shared" si="15"/>
        <v>Oui</v>
      </c>
    </row>
    <row r="80" spans="1:22" s="3" customFormat="1" x14ac:dyDescent="0.35">
      <c r="A80" s="43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</row>
    <row r="81" spans="1:23" s="3" customFormat="1" x14ac:dyDescent="0.35">
      <c r="A81" s="43" t="s">
        <v>40</v>
      </c>
      <c r="B81" s="75"/>
      <c r="C81" s="75" t="s">
        <v>62</v>
      </c>
      <c r="D81" s="75" t="s">
        <v>62</v>
      </c>
      <c r="E81" s="75" t="s">
        <v>62</v>
      </c>
      <c r="F81" s="75" t="s">
        <v>62</v>
      </c>
      <c r="G81" s="75" t="s">
        <v>62</v>
      </c>
      <c r="H81" s="75" t="s">
        <v>62</v>
      </c>
      <c r="I81" s="75" t="s">
        <v>62</v>
      </c>
      <c r="J81" s="75" t="s">
        <v>62</v>
      </c>
      <c r="K81" s="75" t="s">
        <v>62</v>
      </c>
      <c r="L81" s="75" t="s">
        <v>62</v>
      </c>
      <c r="M81" s="75" t="s">
        <v>62</v>
      </c>
      <c r="N81" s="75"/>
      <c r="O81" s="75" t="str">
        <f>IF($B79="Non",IF(O79="Non","Mann Withney",IF(O79="Oui","Mann Withney","")),IF($B79="Oui",IF(O79="Oui","T-Test Welch",IF(O79="Non","Mann Withney",""))))</f>
        <v>Mann Withney</v>
      </c>
      <c r="P81" s="75" t="str">
        <f t="shared" ref="P81:Q81" si="16">IF($O79="Non",IF(P79="Non","Mann Withney",IF(P$79="Oui","Mann Withney","")),IF($O79="Oui",IF(P79="Oui","T-Test Welch",IF(P79="Non","Mann Withney",""))))</f>
        <v>T-Test Welch</v>
      </c>
      <c r="Q81" s="75" t="str">
        <f t="shared" si="16"/>
        <v>Mann Withney</v>
      </c>
      <c r="R81" s="75" t="s">
        <v>63</v>
      </c>
      <c r="S81" s="75" t="s">
        <v>63</v>
      </c>
      <c r="T81" s="75" t="s">
        <v>63</v>
      </c>
      <c r="U81" s="75" t="s">
        <v>63</v>
      </c>
      <c r="V81" s="75" t="s">
        <v>63</v>
      </c>
    </row>
    <row r="82" spans="1:23" s="3" customFormat="1" x14ac:dyDescent="0.35">
      <c r="A82" s="43" t="s">
        <v>41</v>
      </c>
      <c r="B82" s="75"/>
      <c r="C82" s="75" t="s">
        <v>58</v>
      </c>
      <c r="D82" s="75">
        <v>0.62</v>
      </c>
      <c r="E82" s="75">
        <v>2E-3</v>
      </c>
      <c r="F82" s="75" t="s">
        <v>61</v>
      </c>
      <c r="G82" s="75" t="s">
        <v>61</v>
      </c>
      <c r="H82" s="75" t="s">
        <v>61</v>
      </c>
      <c r="I82" s="75" t="s">
        <v>58</v>
      </c>
      <c r="J82" s="75" t="s">
        <v>58</v>
      </c>
      <c r="K82" s="75" t="s">
        <v>58</v>
      </c>
      <c r="L82" s="75" t="s">
        <v>58</v>
      </c>
      <c r="M82" s="75" t="s">
        <v>58</v>
      </c>
      <c r="N82" s="75"/>
      <c r="O82" s="75">
        <f>IF(O81="Mann Withney",[1]!MTEST($B6:$B37,O6:O53,2), IF(O81="T-Test Welch",_xlfn.T.TEST($B6:$B37,O6:O53,2,3),""))</f>
        <v>1.2068403387743842E-7</v>
      </c>
      <c r="P82" s="75">
        <f>IF(P81="Mann Withney",[1]!MTEST($O6:$O53,P6:P53,2), IF(P81="T-Test Welch",_xlfn.T.TEST($O6:$O53,P6:P53,2,3),""))</f>
        <v>1.4990826543489761E-9</v>
      </c>
      <c r="Q82" s="75">
        <f>IF(Q81="Mann Withney",[1]!MTEST($O6:$O53,Q6:Q53,2), IF(Q81="T-Test Welch",_xlfn.T.TEST($O6:$O53,Q6:Q53,2,3),""))</f>
        <v>3.7828895571578869E-10</v>
      </c>
      <c r="R82" s="75">
        <v>0.17</v>
      </c>
      <c r="S82" s="75">
        <v>0.55000000000000004</v>
      </c>
      <c r="T82" s="75">
        <v>0.39</v>
      </c>
      <c r="U82" s="75">
        <v>0.51</v>
      </c>
      <c r="V82" s="75" t="s">
        <v>58</v>
      </c>
    </row>
    <row r="83" spans="1:23" s="3" customFormat="1" ht="15" thickBot="1" x14ac:dyDescent="0.4">
      <c r="A83" s="44" t="s">
        <v>15</v>
      </c>
      <c r="B83" s="76"/>
      <c r="C83" s="76" t="s">
        <v>57</v>
      </c>
      <c r="D83" s="76" t="s">
        <v>57</v>
      </c>
      <c r="E83" s="76" t="s">
        <v>59</v>
      </c>
      <c r="F83" s="76" t="s">
        <v>60</v>
      </c>
      <c r="G83" s="76" t="s">
        <v>60</v>
      </c>
      <c r="H83" s="76" t="s">
        <v>60</v>
      </c>
      <c r="I83" s="76" t="s">
        <v>57</v>
      </c>
      <c r="J83" s="76" t="s">
        <v>57</v>
      </c>
      <c r="K83" s="76" t="s">
        <v>57</v>
      </c>
      <c r="L83" s="76" t="s">
        <v>57</v>
      </c>
      <c r="M83" s="76" t="s">
        <v>57</v>
      </c>
      <c r="N83" s="76"/>
      <c r="O83" s="76" t="str">
        <f t="shared" ref="O83" si="17">IF(O82&gt;0.05,"NS",IF(O82&gt;0.01,"*",IF(O82&gt;0.001,"**","***")))</f>
        <v>***</v>
      </c>
      <c r="P83" s="76" t="str">
        <f t="shared" ref="P83" si="18">IF(P82&gt;0.05,"NS",IF(P82&gt;0.01,"*",IF(P82&gt;0.001,"**","***")))</f>
        <v>***</v>
      </c>
      <c r="Q83" s="76" t="str">
        <f t="shared" ref="Q83" si="19">IF(Q82&gt;0.05,"NS",IF(Q82&gt;0.01,"*",IF(Q82&gt;0.001,"**","***")))</f>
        <v>***</v>
      </c>
      <c r="R83" s="76" t="s">
        <v>57</v>
      </c>
      <c r="S83" s="76" t="s">
        <v>57</v>
      </c>
      <c r="T83" s="76" t="s">
        <v>57</v>
      </c>
      <c r="U83" s="76" t="s">
        <v>57</v>
      </c>
      <c r="V83" s="76" t="s">
        <v>57</v>
      </c>
    </row>
    <row r="84" spans="1:23" s="1" customFormat="1" x14ac:dyDescent="0.35"/>
    <row r="85" spans="1:23" s="1" customFormat="1" x14ac:dyDescent="0.35">
      <c r="A85" s="2"/>
    </row>
    <row r="86" spans="1:23" x14ac:dyDescent="0.35">
      <c r="A86" s="1"/>
      <c r="B86" s="1"/>
    </row>
    <row r="87" spans="1:23" x14ac:dyDescent="0.35">
      <c r="A87" s="1"/>
      <c r="B87" s="1"/>
    </row>
    <row r="88" spans="1:23" ht="15" thickBot="1" x14ac:dyDescent="0.4"/>
    <row r="89" spans="1:23" s="30" customFormat="1" ht="26.5" thickBot="1" x14ac:dyDescent="0.4">
      <c r="A89" s="31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</row>
    <row r="90" spans="1:23" ht="15" thickBot="1" x14ac:dyDescent="0.4"/>
    <row r="91" spans="1:23" s="30" customFormat="1" ht="26.5" thickBot="1" x14ac:dyDescent="0.4">
      <c r="A91" s="31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</row>
    <row r="92" spans="1:23" ht="15" thickBot="1" x14ac:dyDescent="0.4"/>
    <row r="93" spans="1:23" s="30" customFormat="1" ht="26.5" thickBot="1" x14ac:dyDescent="0.4">
      <c r="A93" s="150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</row>
    <row r="94" spans="1:23" x14ac:dyDescent="0.35">
      <c r="B94" s="1">
        <f t="shared" ref="B94:V94" si="20">B75/$B$75</f>
        <v>1</v>
      </c>
      <c r="C94" s="1">
        <f t="shared" si="20"/>
        <v>1.0922341972713638</v>
      </c>
      <c r="D94" s="1">
        <f t="shared" si="20"/>
        <v>3.3445974548766588</v>
      </c>
      <c r="E94" s="1">
        <f t="shared" si="20"/>
        <v>7.3742755507818503</v>
      </c>
      <c r="F94" s="1">
        <f t="shared" si="20"/>
        <v>17.110091868490041</v>
      </c>
      <c r="G94" s="1">
        <f t="shared" si="20"/>
        <v>21.550001844759016</v>
      </c>
      <c r="H94" s="1">
        <f>H75/$B$75</f>
        <v>32.848959977571837</v>
      </c>
      <c r="I94" s="1">
        <f t="shared" si="20"/>
        <v>0.69595458799508347</v>
      </c>
      <c r="J94" s="1">
        <f t="shared" si="20"/>
        <v>0.76256887800655915</v>
      </c>
      <c r="K94" s="1">
        <f t="shared" si="20"/>
        <v>1.8449973986500632</v>
      </c>
      <c r="L94" s="1">
        <f t="shared" si="20"/>
        <v>0.6707168407428733</v>
      </c>
      <c r="M94" s="1">
        <f t="shared" si="20"/>
        <v>0.75968958930779162</v>
      </c>
      <c r="N94" s="1">
        <f t="shared" si="20"/>
        <v>0</v>
      </c>
      <c r="O94" s="1">
        <f t="shared" si="20"/>
        <v>12.549229188712829</v>
      </c>
      <c r="P94" s="1">
        <f t="shared" si="20"/>
        <v>29.450831062321434</v>
      </c>
      <c r="Q94" s="1">
        <f t="shared" si="20"/>
        <v>0.59423649140224299</v>
      </c>
      <c r="R94" s="1">
        <f t="shared" si="20"/>
        <v>9.2183319495089435</v>
      </c>
      <c r="S94" s="1">
        <f t="shared" si="20"/>
        <v>10.382913144411981</v>
      </c>
      <c r="T94" s="1">
        <f t="shared" si="20"/>
        <v>9.9952686792046777</v>
      </c>
      <c r="U94" s="1">
        <f t="shared" si="20"/>
        <v>10.282557565049014</v>
      </c>
      <c r="V94" s="1">
        <f t="shared" si="20"/>
        <v>13.081858309469993</v>
      </c>
      <c r="W94" s="1"/>
    </row>
    <row r="100" spans="4:17" x14ac:dyDescent="0.35">
      <c r="D100" s="1"/>
      <c r="E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4:17" x14ac:dyDescent="0.35">
      <c r="D101" s="1"/>
      <c r="E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4:17" x14ac:dyDescent="0.35">
      <c r="D102" s="1"/>
      <c r="E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4:17" x14ac:dyDescent="0.35">
      <c r="D103" s="1"/>
      <c r="E103" s="1"/>
    </row>
    <row r="104" spans="4:17" x14ac:dyDescent="0.35">
      <c r="D104" s="1"/>
      <c r="E104" s="1"/>
    </row>
    <row r="105" spans="4:17" x14ac:dyDescent="0.35">
      <c r="D105" s="1"/>
      <c r="E105" s="1"/>
    </row>
    <row r="106" spans="4:17" x14ac:dyDescent="0.35">
      <c r="D106" s="1"/>
      <c r="E106" s="1"/>
    </row>
    <row r="107" spans="4:17" x14ac:dyDescent="0.35">
      <c r="D107" s="1"/>
      <c r="E107" s="1"/>
    </row>
    <row r="108" spans="4:17" x14ac:dyDescent="0.35">
      <c r="D108" s="1"/>
      <c r="E108" s="1"/>
      <c r="G108" s="1"/>
      <c r="H108" s="1"/>
      <c r="I108" s="1"/>
      <c r="J108" s="1"/>
      <c r="K108" s="1"/>
    </row>
    <row r="109" spans="4:17" x14ac:dyDescent="0.35">
      <c r="D109" s="1"/>
      <c r="E109" s="1"/>
      <c r="G109" s="1"/>
      <c r="H109" s="1"/>
      <c r="I109" s="1"/>
      <c r="J109" s="1"/>
      <c r="K109" s="1"/>
    </row>
    <row r="110" spans="4:17" x14ac:dyDescent="0.35">
      <c r="D110" s="1"/>
      <c r="E110" s="1"/>
    </row>
    <row r="116" spans="4:5" x14ac:dyDescent="0.35">
      <c r="D116" s="1"/>
      <c r="E116" s="1"/>
    </row>
    <row r="117" spans="4:5" x14ac:dyDescent="0.35">
      <c r="D117" s="1"/>
      <c r="E117" s="1"/>
    </row>
    <row r="118" spans="4:5" x14ac:dyDescent="0.35">
      <c r="D118" s="1"/>
      <c r="E118" s="1"/>
    </row>
    <row r="119" spans="4:5" x14ac:dyDescent="0.35">
      <c r="D119" s="1"/>
      <c r="E119" s="1"/>
    </row>
    <row r="120" spans="4:5" x14ac:dyDescent="0.35">
      <c r="D120" s="1"/>
      <c r="E120" s="1"/>
    </row>
  </sheetData>
  <mergeCells count="10">
    <mergeCell ref="A7:A21"/>
    <mergeCell ref="A23:A37"/>
    <mergeCell ref="A93:V93"/>
    <mergeCell ref="O3:V3"/>
    <mergeCell ref="B3:M3"/>
    <mergeCell ref="A60:V60"/>
    <mergeCell ref="A72:V72"/>
    <mergeCell ref="A70:V70"/>
    <mergeCell ref="A65:V65"/>
    <mergeCell ref="A39:A53"/>
  </mergeCells>
  <pageMargins left="0.7" right="0.7" top="0.75" bottom="0.75" header="0.3" footer="0.3"/>
  <pageSetup paperSize="9" orientation="portrait" r:id="rId1"/>
  <headerFooter>
    <oddHeader>&amp;C&amp;"-,Gras"&amp;14Données poolées normalisées&amp;R&amp;"-,Gras"&amp;14Page : &amp;P/&amp;P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C436BD700BD428C1C0C71E54D8B5E" ma:contentTypeVersion="18" ma:contentTypeDescription="Create a new document." ma:contentTypeScope="" ma:versionID="782111b43a65dadfbc410eb6ccb7aa06">
  <xsd:schema xmlns:xsd="http://www.w3.org/2001/XMLSchema" xmlns:xs="http://www.w3.org/2001/XMLSchema" xmlns:p="http://schemas.microsoft.com/office/2006/metadata/properties" xmlns:ns2="cc801401-75a6-4297-ad63-d4d786ff6e7c" xmlns:ns3="508cc0b8-c8e1-4e41-95d2-be8416ed53ba" targetNamespace="http://schemas.microsoft.com/office/2006/metadata/properties" ma:root="true" ma:fieldsID="7f493af8791a6264672b29a70f2a6765" ns2:_="" ns3:_="">
    <xsd:import namespace="cc801401-75a6-4297-ad63-d4d786ff6e7c"/>
    <xsd:import namespace="508cc0b8-c8e1-4e41-95d2-be8416ed53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01401-75a6-4297-ad63-d4d786ff6e7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2e281972-ae1b-43a4-854f-cb1565a95e46" ma:internalName="TaxCatchAll" ma:showField="CatchAllData" ma:web="cc801401-75a6-4297-ad63-d4d786ff6e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8cc0b8-c8e1-4e41-95d2-be8416ed5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4f2cd92-8d93-4e4c-83d3-86703d9155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9D0D27-B3AD-4C8F-A8DB-2599FBA8603E}"/>
</file>

<file path=customXml/itemProps2.xml><?xml version="1.0" encoding="utf-8"?>
<ds:datastoreItem xmlns:ds="http://schemas.openxmlformats.org/officeDocument/2006/customXml" ds:itemID="{2DF8F8F8-8849-47F7-BE44-55E1281949B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6</vt:i4>
      </vt:variant>
      <vt:variant>
        <vt:lpstr>Graphiques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11" baseType="lpstr">
      <vt:lpstr>Front page</vt:lpstr>
      <vt:lpstr>Comments</vt:lpstr>
      <vt:lpstr>R1</vt:lpstr>
      <vt:lpstr>R2</vt:lpstr>
      <vt:lpstr>R3</vt:lpstr>
      <vt:lpstr>pooled normalised values</vt:lpstr>
      <vt:lpstr>Graph R1</vt:lpstr>
      <vt:lpstr>Graph R2</vt:lpstr>
      <vt:lpstr>Graph R3</vt:lpstr>
      <vt:lpstr>pooled normalised graphe</vt:lpstr>
      <vt:lpstr>'Front page'!Zone_d_impression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2022-10-05T15:05:28Z</dcterms:modified>
</cp:coreProperties>
</file>