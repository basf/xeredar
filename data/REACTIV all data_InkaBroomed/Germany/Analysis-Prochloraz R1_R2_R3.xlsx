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EADFB8C8-7721-43F4-BF45-38D9F6677177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Front page" sheetId="10" r:id="rId1"/>
    <sheet name="Comments R1" sheetId="35" r:id="rId2"/>
    <sheet name="R1" sheetId="1" r:id="rId3"/>
    <sheet name="Graph R1" sheetId="8" r:id="rId4"/>
    <sheet name="R2" sheetId="23" r:id="rId5"/>
    <sheet name="Graph R2" sheetId="19" r:id="rId6"/>
    <sheet name="R3" sheetId="33" r:id="rId7"/>
    <sheet name="Graph R3" sheetId="34" r:id="rId8"/>
    <sheet name="pooled normalised values" sheetId="4" r:id="rId9"/>
    <sheet name="pooled normalised graphe" sheetId="5" r:id="rId10"/>
  </sheets>
  <externalReferences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A7" i="10"/>
  <c r="Q36" i="1"/>
  <c r="R36" i="1"/>
  <c r="S36" i="1"/>
  <c r="T36" i="1"/>
  <c r="U36" i="1"/>
  <c r="V36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O37" i="33"/>
  <c r="O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V28" i="33"/>
  <c r="U28" i="33"/>
  <c r="T28" i="33"/>
  <c r="S28" i="33"/>
  <c r="R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O41" i="33" l="1"/>
  <c r="O51" i="4" s="1"/>
  <c r="O43" i="33"/>
  <c r="O53" i="4" s="1"/>
  <c r="O36" i="33"/>
  <c r="O46" i="4" s="1"/>
  <c r="O38" i="33"/>
  <c r="O48" i="4" s="1"/>
  <c r="O40" i="33"/>
  <c r="O50" i="4" s="1"/>
  <c r="O42" i="33"/>
  <c r="O52" i="4" s="1"/>
  <c r="O39" i="33"/>
  <c r="O49" i="4" s="1"/>
  <c r="I28" i="33"/>
  <c r="I38" i="4" s="1"/>
  <c r="B28" i="33"/>
  <c r="J28" i="33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G29" i="33"/>
  <c r="G39" i="4" s="1"/>
  <c r="C34" i="33"/>
  <c r="C44" i="4" s="1"/>
  <c r="K34" i="33"/>
  <c r="K44" i="4" s="1"/>
  <c r="G35" i="33"/>
  <c r="G45" i="4" s="1"/>
  <c r="C28" i="33"/>
  <c r="D28" i="33"/>
  <c r="D38" i="4" s="1"/>
  <c r="L28" i="33"/>
  <c r="L47" i="33" s="1"/>
  <c r="H29" i="33"/>
  <c r="H39" i="4" s="1"/>
  <c r="D34" i="33"/>
  <c r="D44" i="4" s="1"/>
  <c r="L34" i="33"/>
  <c r="L44" i="4" s="1"/>
  <c r="H35" i="33"/>
  <c r="H45" i="4" s="1"/>
  <c r="E28" i="33"/>
  <c r="M28" i="33"/>
  <c r="I29" i="33"/>
  <c r="I39" i="4" s="1"/>
  <c r="E34" i="33"/>
  <c r="E44" i="4" s="1"/>
  <c r="M34" i="33"/>
  <c r="M44" i="4" s="1"/>
  <c r="I35" i="33"/>
  <c r="I45" i="4" s="1"/>
  <c r="K28" i="33"/>
  <c r="F28" i="33"/>
  <c r="O28" i="33"/>
  <c r="B29" i="33"/>
  <c r="B39" i="4" s="1"/>
  <c r="J29" i="33"/>
  <c r="J39" i="4" s="1"/>
  <c r="F34" i="33"/>
  <c r="F44" i="4" s="1"/>
  <c r="B35" i="33"/>
  <c r="B45" i="4" s="1"/>
  <c r="J35" i="33"/>
  <c r="J45" i="4" s="1"/>
  <c r="G28" i="33"/>
  <c r="C29" i="33"/>
  <c r="C39" i="4" s="1"/>
  <c r="K29" i="33"/>
  <c r="K39" i="4" s="1"/>
  <c r="G34" i="33"/>
  <c r="G44" i="4" s="1"/>
  <c r="C35" i="33"/>
  <c r="C45" i="4" s="1"/>
  <c r="K35" i="33"/>
  <c r="K45" i="4" s="1"/>
  <c r="H28" i="33"/>
  <c r="D29" i="33"/>
  <c r="D39" i="4" s="1"/>
  <c r="L29" i="33"/>
  <c r="L39" i="4" s="1"/>
  <c r="H34" i="33"/>
  <c r="H44" i="4" s="1"/>
  <c r="D35" i="33"/>
  <c r="D45" i="4" s="1"/>
  <c r="L35" i="33"/>
  <c r="L45" i="4" s="1"/>
  <c r="E29" i="33"/>
  <c r="E39" i="4" s="1"/>
  <c r="M29" i="33"/>
  <c r="M39" i="4" s="1"/>
  <c r="I34" i="33"/>
  <c r="I44" i="4" s="1"/>
  <c r="E35" i="33"/>
  <c r="E45" i="4" s="1"/>
  <c r="M35" i="33"/>
  <c r="M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S47" i="33" s="1"/>
  <c r="S48" i="33" s="1"/>
  <c r="S54" i="33" s="1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H38" i="4"/>
  <c r="U38" i="4"/>
  <c r="V38" i="4"/>
  <c r="E38" i="4"/>
  <c r="M38" i="4"/>
  <c r="R38" i="4"/>
  <c r="B38" i="4"/>
  <c r="B22" i="33"/>
  <c r="E22" i="33"/>
  <c r="I45" i="33"/>
  <c r="I52" i="33"/>
  <c r="I27" i="33"/>
  <c r="C38" i="4"/>
  <c r="G38" i="4"/>
  <c r="K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J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F56" i="33"/>
  <c r="G56" i="33"/>
  <c r="T56" i="33"/>
  <c r="C56" i="33"/>
  <c r="U56" i="33"/>
  <c r="M56" i="33"/>
  <c r="J56" i="33"/>
  <c r="B56" i="33"/>
  <c r="Q56" i="33"/>
  <c r="P56" i="33"/>
  <c r="D56" i="33"/>
  <c r="V56" i="33"/>
  <c r="O56" i="33"/>
  <c r="H56" i="33"/>
  <c r="I56" i="33"/>
  <c r="L56" i="33"/>
  <c r="E56" i="33"/>
  <c r="S56" i="33"/>
  <c r="K56" i="33"/>
  <c r="R56" i="33"/>
  <c r="K47" i="33" l="1"/>
  <c r="I47" i="33"/>
  <c r="I48" i="33" s="1"/>
  <c r="I54" i="33" s="1"/>
  <c r="R47" i="33"/>
  <c r="R48" i="33" s="1"/>
  <c r="R54" i="33" s="1"/>
  <c r="Q46" i="33"/>
  <c r="Q53" i="33" s="1"/>
  <c r="H46" i="33"/>
  <c r="H53" i="33" s="1"/>
  <c r="D46" i="33"/>
  <c r="D53" i="33" s="1"/>
  <c r="G47" i="33"/>
  <c r="G48" i="33" s="1"/>
  <c r="G54" i="33" s="1"/>
  <c r="E46" i="33"/>
  <c r="E53" i="33" s="1"/>
  <c r="C47" i="33"/>
  <c r="C48" i="33" s="1"/>
  <c r="C54" i="33" s="1"/>
  <c r="R46" i="33"/>
  <c r="R53" i="33" s="1"/>
  <c r="I46" i="33"/>
  <c r="I53" i="33" s="1"/>
  <c r="H47" i="33"/>
  <c r="H48" i="33" s="1"/>
  <c r="H54" i="33" s="1"/>
  <c r="G46" i="33"/>
  <c r="G53" i="33" s="1"/>
  <c r="S57" i="33"/>
  <c r="V57" i="33"/>
  <c r="U57" i="33"/>
  <c r="P57" i="33"/>
  <c r="O57" i="33"/>
  <c r="P59" i="33" s="1"/>
  <c r="M57" i="33"/>
  <c r="R57" i="33"/>
  <c r="K57" i="33"/>
  <c r="J57" i="33"/>
  <c r="F57" i="33"/>
  <c r="I57" i="33"/>
  <c r="H57" i="33"/>
  <c r="G57" i="33"/>
  <c r="L57" i="33"/>
  <c r="Q57" i="33"/>
  <c r="B57" i="33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F59" i="33" l="1"/>
  <c r="M55" i="33"/>
  <c r="J59" i="33"/>
  <c r="R59" i="33"/>
  <c r="R60" i="33" s="1"/>
  <c r="R61" i="33" s="1"/>
  <c r="Q59" i="33"/>
  <c r="Q60" i="33" s="1"/>
  <c r="Q61" i="33" s="1"/>
  <c r="T59" i="33"/>
  <c r="T60" i="33" s="1"/>
  <c r="T61" i="33" s="1"/>
  <c r="V59" i="33"/>
  <c r="U59" i="33"/>
  <c r="U60" i="33" s="1"/>
  <c r="U61" i="33" s="1"/>
  <c r="S59" i="33"/>
  <c r="E59" i="33"/>
  <c r="E60" i="33" s="1"/>
  <c r="E61" i="33" s="1"/>
  <c r="S55" i="33"/>
  <c r="H59" i="33"/>
  <c r="H60" i="33" s="1"/>
  <c r="H61" i="33" s="1"/>
  <c r="L59" i="33"/>
  <c r="L60" i="33" s="1"/>
  <c r="L61" i="33" s="1"/>
  <c r="D59" i="33"/>
  <c r="D60" i="33" s="1"/>
  <c r="D61" i="33" s="1"/>
  <c r="O59" i="33"/>
  <c r="O60" i="33" s="1"/>
  <c r="O61" i="33" s="1"/>
  <c r="C59" i="33"/>
  <c r="C60" i="33" s="1"/>
  <c r="C61" i="33" s="1"/>
  <c r="G59" i="33"/>
  <c r="G60" i="33" s="1"/>
  <c r="G61" i="33" s="1"/>
  <c r="I59" i="33"/>
  <c r="K59" i="33"/>
  <c r="M59" i="33"/>
  <c r="M60" i="33" s="1"/>
  <c r="M61" i="33" s="1"/>
  <c r="F60" i="33"/>
  <c r="F61" i="33" s="1"/>
  <c r="P60" i="33"/>
  <c r="P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I60" i="33"/>
  <c r="J60" i="33"/>
  <c r="S60" i="33"/>
  <c r="V60" i="33"/>
  <c r="K60" i="33"/>
  <c r="S61" i="33" l="1"/>
  <c r="I61" i="33"/>
  <c r="K61" i="33"/>
  <c r="V61" i="33"/>
  <c r="J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P24" i="4" s="1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Q31" i="4" s="1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O39" i="23"/>
  <c r="O33" i="4" s="1"/>
  <c r="O40" i="23"/>
  <c r="O34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S22" i="4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J40" i="23"/>
  <c r="J34" i="4" s="1"/>
  <c r="J36" i="23"/>
  <c r="J30" i="4" s="1"/>
  <c r="J42" i="23"/>
  <c r="J36" i="4" s="1"/>
  <c r="J38" i="23"/>
  <c r="J32" i="4" s="1"/>
  <c r="J41" i="23"/>
  <c r="J35" i="4" s="1"/>
  <c r="J37" i="23"/>
  <c r="J31" i="4" s="1"/>
  <c r="J43" i="23"/>
  <c r="J39" i="23"/>
  <c r="J33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Q38" i="1"/>
  <c r="Q16" i="4" s="1"/>
  <c r="P17" i="4"/>
  <c r="Q39" i="1"/>
  <c r="Q17" i="4" s="1"/>
  <c r="R39" i="1"/>
  <c r="R17" i="4" s="1"/>
  <c r="P18" i="4"/>
  <c r="Q40" i="1"/>
  <c r="Q18" i="4" s="1"/>
  <c r="R40" i="1"/>
  <c r="R18" i="4" s="1"/>
  <c r="P19" i="4"/>
  <c r="Q41" i="1"/>
  <c r="Q19" i="4" s="1"/>
  <c r="P20" i="4"/>
  <c r="Q42" i="1"/>
  <c r="Q20" i="4" s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V56" i="1"/>
  <c r="S56" i="1"/>
  <c r="U56" i="1"/>
  <c r="T56" i="1"/>
  <c r="V28" i="1" l="1"/>
  <c r="P16" i="4"/>
  <c r="O43" i="23"/>
  <c r="O42" i="23"/>
  <c r="O36" i="4" s="1"/>
  <c r="O41" i="23"/>
  <c r="O35" i="4" s="1"/>
  <c r="C28" i="23"/>
  <c r="I31" i="23"/>
  <c r="I25" i="4" s="1"/>
  <c r="H31" i="23"/>
  <c r="H25" i="4" s="1"/>
  <c r="H30" i="23"/>
  <c r="H24" i="4" s="1"/>
  <c r="F29" i="23"/>
  <c r="F23" i="4" s="1"/>
  <c r="K31" i="23"/>
  <c r="K25" i="4" s="1"/>
  <c r="L28" i="23"/>
  <c r="L22" i="4" s="1"/>
  <c r="K29" i="23"/>
  <c r="K23" i="4" s="1"/>
  <c r="G28" i="23"/>
  <c r="H28" i="23"/>
  <c r="G30" i="23"/>
  <c r="G24" i="4" s="1"/>
  <c r="C31" i="23"/>
  <c r="C25" i="4" s="1"/>
  <c r="E30" i="23"/>
  <c r="E24" i="4" s="1"/>
  <c r="M30" i="23"/>
  <c r="M24" i="4" s="1"/>
  <c r="K28" i="23"/>
  <c r="K22" i="4" s="1"/>
  <c r="L31" i="23"/>
  <c r="L25" i="4" s="1"/>
  <c r="G29" i="23"/>
  <c r="G23" i="4" s="1"/>
  <c r="G31" i="23"/>
  <c r="G25" i="4" s="1"/>
  <c r="L30" i="23"/>
  <c r="L24" i="4" s="1"/>
  <c r="E31" i="23"/>
  <c r="E25" i="4" s="1"/>
  <c r="D31" i="23"/>
  <c r="D25" i="4" s="1"/>
  <c r="M28" i="23"/>
  <c r="E28" i="23"/>
  <c r="J31" i="23"/>
  <c r="J25" i="4" s="1"/>
  <c r="C29" i="23"/>
  <c r="C23" i="4" s="1"/>
  <c r="J28" i="23"/>
  <c r="K30" i="23"/>
  <c r="K24" i="4" s="1"/>
  <c r="I30" i="23"/>
  <c r="I24" i="4" s="1"/>
  <c r="I34" i="23"/>
  <c r="I28" i="4" s="1"/>
  <c r="F31" i="23"/>
  <c r="F25" i="4" s="1"/>
  <c r="F28" i="23"/>
  <c r="F22" i="4" s="1"/>
  <c r="I28" i="23"/>
  <c r="I22" i="4" s="1"/>
  <c r="I32" i="23"/>
  <c r="I26" i="4" s="1"/>
  <c r="F30" i="23"/>
  <c r="F24" i="4" s="1"/>
  <c r="E29" i="23"/>
  <c r="E23" i="4" s="1"/>
  <c r="M29" i="23"/>
  <c r="M23" i="4" s="1"/>
  <c r="H29" i="23"/>
  <c r="H23" i="4" s="1"/>
  <c r="M31" i="23"/>
  <c r="M25" i="4" s="1"/>
  <c r="D30" i="23"/>
  <c r="D24" i="4" s="1"/>
  <c r="O29" i="23"/>
  <c r="O23" i="4" s="1"/>
  <c r="C30" i="23"/>
  <c r="C24" i="4" s="1"/>
  <c r="D28" i="23"/>
  <c r="D29" i="23"/>
  <c r="D23" i="4" s="1"/>
  <c r="J30" i="23"/>
  <c r="J24" i="4" s="1"/>
  <c r="I29" i="23"/>
  <c r="I23" i="4" s="1"/>
  <c r="J29" i="23"/>
  <c r="J23" i="4" s="1"/>
  <c r="L29" i="23"/>
  <c r="L23" i="4" s="1"/>
  <c r="V30" i="1"/>
  <c r="V8" i="4" s="1"/>
  <c r="U30" i="1"/>
  <c r="U8" i="4" s="1"/>
  <c r="T30" i="1"/>
  <c r="T8" i="4" s="1"/>
  <c r="S30" i="1"/>
  <c r="S8" i="4" s="1"/>
  <c r="V29" i="1"/>
  <c r="V7" i="4" s="1"/>
  <c r="U29" i="1"/>
  <c r="U7" i="4" s="1"/>
  <c r="O38" i="1"/>
  <c r="O16" i="4" s="1"/>
  <c r="T29" i="1"/>
  <c r="T7" i="4" s="1"/>
  <c r="S29" i="1"/>
  <c r="S7" i="4" s="1"/>
  <c r="Q28" i="1"/>
  <c r="T33" i="1"/>
  <c r="Q31" i="1"/>
  <c r="U33" i="1"/>
  <c r="S35" i="1"/>
  <c r="S13" i="4" s="1"/>
  <c r="R31" i="1"/>
  <c r="V33" i="1"/>
  <c r="V11" i="4" s="1"/>
  <c r="U32" i="1"/>
  <c r="U10" i="4" s="1"/>
  <c r="V35" i="1"/>
  <c r="V13" i="4" s="1"/>
  <c r="S31" i="1"/>
  <c r="Q34" i="1"/>
  <c r="T31" i="1"/>
  <c r="R34" i="1"/>
  <c r="S33" i="1"/>
  <c r="U31" i="1"/>
  <c r="U9" i="4" s="1"/>
  <c r="S34" i="1"/>
  <c r="S12" i="4" s="1"/>
  <c r="T35" i="1"/>
  <c r="T13" i="4" s="1"/>
  <c r="V31" i="1"/>
  <c r="T34" i="1"/>
  <c r="U34" i="1"/>
  <c r="V32" i="1"/>
  <c r="Q32" i="1"/>
  <c r="U35" i="1"/>
  <c r="U13" i="4" s="1"/>
  <c r="R32" i="1"/>
  <c r="V34" i="1"/>
  <c r="Q33" i="1"/>
  <c r="S32" i="1"/>
  <c r="Q35" i="1"/>
  <c r="Q13" i="4" s="1"/>
  <c r="T32" i="1"/>
  <c r="R35" i="1"/>
  <c r="R33" i="1"/>
  <c r="U28" i="1"/>
  <c r="U6" i="4" s="1"/>
  <c r="T28" i="1"/>
  <c r="S28" i="1"/>
  <c r="M29" i="1"/>
  <c r="M7" i="4" s="1"/>
  <c r="P11" i="4"/>
  <c r="O36" i="1"/>
  <c r="P12" i="4"/>
  <c r="O41" i="1"/>
  <c r="O19" i="4" s="1"/>
  <c r="P6" i="4"/>
  <c r="O40" i="1"/>
  <c r="O18" i="4" s="1"/>
  <c r="O42" i="1"/>
  <c r="O20" i="4" s="1"/>
  <c r="O43" i="1"/>
  <c r="O39" i="1"/>
  <c r="O17" i="4" s="1"/>
  <c r="E29" i="1"/>
  <c r="E7" i="4" s="1"/>
  <c r="P8" i="4"/>
  <c r="G29" i="1"/>
  <c r="G7" i="4" s="1"/>
  <c r="F29" i="1"/>
  <c r="F7" i="4" s="1"/>
  <c r="M35" i="1"/>
  <c r="M13" i="4" s="1"/>
  <c r="O31" i="1"/>
  <c r="O33" i="1"/>
  <c r="O35" i="1"/>
  <c r="O13" i="4" s="1"/>
  <c r="B34" i="1"/>
  <c r="O34" i="1"/>
  <c r="D35" i="1"/>
  <c r="D13" i="4" s="1"/>
  <c r="C34" i="1"/>
  <c r="C12" i="4" s="1"/>
  <c r="B35" i="1"/>
  <c r="D34" i="1"/>
  <c r="E34" i="1"/>
  <c r="F34" i="1"/>
  <c r="F12" i="4" s="1"/>
  <c r="G35" i="1"/>
  <c r="G13" i="4" s="1"/>
  <c r="G34" i="1"/>
  <c r="G12" i="4" s="1"/>
  <c r="C35" i="1"/>
  <c r="C13" i="4" s="1"/>
  <c r="E35" i="1"/>
  <c r="E13" i="4" s="1"/>
  <c r="H35" i="1"/>
  <c r="H13" i="4" s="1"/>
  <c r="H34" i="1"/>
  <c r="H12" i="4" s="1"/>
  <c r="M34" i="1"/>
  <c r="M12" i="4" s="1"/>
  <c r="O32" i="1"/>
  <c r="O10" i="4" s="1"/>
  <c r="F35" i="1"/>
  <c r="F13" i="4" s="1"/>
  <c r="M28" i="1"/>
  <c r="K35" i="1"/>
  <c r="K13" i="4" s="1"/>
  <c r="J34" i="1"/>
  <c r="J12" i="4" s="1"/>
  <c r="L34" i="1"/>
  <c r="L12" i="4" s="1"/>
  <c r="I35" i="1"/>
  <c r="K34" i="1"/>
  <c r="K12" i="4" s="1"/>
  <c r="I34" i="1"/>
  <c r="I12" i="4" s="1"/>
  <c r="J35" i="1"/>
  <c r="J13" i="4" s="1"/>
  <c r="L35" i="1"/>
  <c r="L13" i="4" s="1"/>
  <c r="I29" i="1"/>
  <c r="I7" i="4" s="1"/>
  <c r="J29" i="1"/>
  <c r="J7" i="4" s="1"/>
  <c r="J28" i="1"/>
  <c r="J6" i="4" s="1"/>
  <c r="L29" i="1"/>
  <c r="L7" i="4" s="1"/>
  <c r="K29" i="1"/>
  <c r="K7" i="4" s="1"/>
  <c r="L28" i="1"/>
  <c r="L6" i="4" s="1"/>
  <c r="K28" i="1"/>
  <c r="K6" i="4" s="1"/>
  <c r="C34" i="23"/>
  <c r="C28" i="4" s="1"/>
  <c r="C33" i="23"/>
  <c r="C27" i="4" s="1"/>
  <c r="U22" i="4"/>
  <c r="C29" i="1"/>
  <c r="C7" i="4" s="1"/>
  <c r="B30" i="1"/>
  <c r="F30" i="1"/>
  <c r="F8" i="4" s="1"/>
  <c r="J30" i="1"/>
  <c r="J8" i="4" s="1"/>
  <c r="B31" i="1"/>
  <c r="B9" i="4" s="1"/>
  <c r="F31" i="1"/>
  <c r="J31" i="1"/>
  <c r="J9" i="4" s="1"/>
  <c r="B32" i="1"/>
  <c r="F32" i="1"/>
  <c r="F10" i="4" s="1"/>
  <c r="J32" i="1"/>
  <c r="J10" i="4" s="1"/>
  <c r="B33" i="1"/>
  <c r="B11" i="4" s="1"/>
  <c r="F33" i="1"/>
  <c r="F11" i="4" s="1"/>
  <c r="J33" i="1"/>
  <c r="J11" i="4" s="1"/>
  <c r="C30" i="1"/>
  <c r="G30" i="1"/>
  <c r="G8" i="4" s="1"/>
  <c r="K30" i="1"/>
  <c r="K8" i="4" s="1"/>
  <c r="C31" i="1"/>
  <c r="G31" i="1"/>
  <c r="G9" i="4" s="1"/>
  <c r="K31" i="1"/>
  <c r="C32" i="1"/>
  <c r="G32" i="1"/>
  <c r="G10" i="4" s="1"/>
  <c r="K32" i="1"/>
  <c r="K10" i="4" s="1"/>
  <c r="C33" i="1"/>
  <c r="C11" i="4" s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32" i="1"/>
  <c r="H10" i="4" s="1"/>
  <c r="H33" i="1"/>
  <c r="H11" i="4" s="1"/>
  <c r="E30" i="1"/>
  <c r="E8" i="4" s="1"/>
  <c r="I30" i="1"/>
  <c r="I8" i="4" s="1"/>
  <c r="M30" i="1"/>
  <c r="M8" i="4" s="1"/>
  <c r="E31" i="1"/>
  <c r="E9" i="4" s="1"/>
  <c r="I31" i="1"/>
  <c r="I9" i="4" s="1"/>
  <c r="M31" i="1"/>
  <c r="M9" i="4" s="1"/>
  <c r="E32" i="1"/>
  <c r="E10" i="4" s="1"/>
  <c r="I32" i="1"/>
  <c r="I10" i="4" s="1"/>
  <c r="M32" i="1"/>
  <c r="E33" i="1"/>
  <c r="E11" i="4" s="1"/>
  <c r="I33" i="1"/>
  <c r="I11" i="4" s="1"/>
  <c r="M33" i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U11" i="4"/>
  <c r="T10" i="4"/>
  <c r="S9" i="4"/>
  <c r="V12" i="4"/>
  <c r="M11" i="4"/>
  <c r="R11" i="4"/>
  <c r="U12" i="4"/>
  <c r="T12" i="4"/>
  <c r="S11" i="4"/>
  <c r="V10" i="4"/>
  <c r="T11" i="4"/>
  <c r="S10" i="4"/>
  <c r="V9" i="4"/>
  <c r="Q12" i="4"/>
  <c r="Q11" i="4"/>
  <c r="Q9" i="4"/>
  <c r="M10" i="4"/>
  <c r="T9" i="4"/>
  <c r="D22" i="4"/>
  <c r="E22" i="4"/>
  <c r="M22" i="4"/>
  <c r="H22" i="4"/>
  <c r="C22" i="4"/>
  <c r="G22" i="4"/>
  <c r="Q22" i="4"/>
  <c r="J22" i="4"/>
  <c r="P22" i="4"/>
  <c r="T6" i="4"/>
  <c r="S6" i="4"/>
  <c r="Q6" i="4"/>
  <c r="M6" i="4"/>
  <c r="T4" i="33"/>
  <c r="T22" i="33" s="1"/>
  <c r="Q22" i="1"/>
  <c r="R13" i="4"/>
  <c r="H29" i="1"/>
  <c r="E28" i="1"/>
  <c r="D12" i="4"/>
  <c r="F28" i="1"/>
  <c r="R41" i="1"/>
  <c r="R19" i="4" s="1"/>
  <c r="R37" i="1"/>
  <c r="R15" i="4" s="1"/>
  <c r="Q29" i="1"/>
  <c r="O37" i="1"/>
  <c r="O15" i="4" s="1"/>
  <c r="B12" i="4"/>
  <c r="B13" i="4"/>
  <c r="I28" i="1"/>
  <c r="H28" i="1"/>
  <c r="G28" i="1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O21" i="4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M46" i="23"/>
  <c r="M53" i="23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1" i="4"/>
  <c r="O30" i="1"/>
  <c r="O8" i="4" s="1"/>
  <c r="O9" i="4"/>
  <c r="K9" i="4"/>
  <c r="D28" i="1"/>
  <c r="B28" i="1"/>
  <c r="B8" i="4"/>
  <c r="C28" i="1"/>
  <c r="O28" i="1"/>
  <c r="C8" i="4"/>
  <c r="C9" i="4"/>
  <c r="D29" i="1"/>
  <c r="D7" i="4" s="1"/>
  <c r="V6" i="4"/>
  <c r="G21" i="4"/>
  <c r="I21" i="4"/>
  <c r="F21" i="4"/>
  <c r="H21" i="4"/>
  <c r="E21" i="4"/>
  <c r="L52" i="23"/>
  <c r="D17" i="4"/>
  <c r="H9" i="4"/>
  <c r="C4" i="4"/>
  <c r="G27" i="23"/>
  <c r="G52" i="23" s="1"/>
  <c r="K27" i="23"/>
  <c r="L22" i="1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P56" i="23"/>
  <c r="F56" i="1"/>
  <c r="O56" i="23"/>
  <c r="H56" i="23"/>
  <c r="B56" i="1"/>
  <c r="D56" i="23"/>
  <c r="B56" i="23"/>
  <c r="D56" i="1"/>
  <c r="E56" i="23"/>
  <c r="H56" i="1"/>
  <c r="T78" i="4"/>
  <c r="G56" i="23"/>
  <c r="M56" i="1"/>
  <c r="Q56" i="23"/>
  <c r="F56" i="23"/>
  <c r="G56" i="1"/>
  <c r="Q56" i="1"/>
  <c r="L56" i="23"/>
  <c r="O56" i="1"/>
  <c r="T56" i="23"/>
  <c r="K56" i="23"/>
  <c r="V56" i="23"/>
  <c r="C56" i="1"/>
  <c r="U56" i="23"/>
  <c r="J56" i="23"/>
  <c r="I56" i="23"/>
  <c r="R56" i="1"/>
  <c r="L56" i="1"/>
  <c r="M56" i="23"/>
  <c r="E56" i="1"/>
  <c r="I56" i="1"/>
  <c r="S56" i="23"/>
  <c r="J56" i="1"/>
  <c r="K56" i="1"/>
  <c r="R56" i="23"/>
  <c r="C56" i="23"/>
  <c r="P56" i="1"/>
  <c r="S47" i="1" l="1"/>
  <c r="S48" i="1" s="1"/>
  <c r="S54" i="1" s="1"/>
  <c r="E47" i="23"/>
  <c r="E48" i="23" s="1"/>
  <c r="E54" i="23" s="1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6" i="4" s="1"/>
  <c r="V75" i="4" s="1"/>
  <c r="I27" i="4"/>
  <c r="U27" i="4"/>
  <c r="U63" i="4" s="1"/>
  <c r="U64" i="4" s="1"/>
  <c r="M26" i="4"/>
  <c r="M63" i="4" s="1"/>
  <c r="M64" i="4" s="1"/>
  <c r="G26" i="4"/>
  <c r="Q27" i="4"/>
  <c r="S27" i="4"/>
  <c r="S63" i="4" s="1"/>
  <c r="S64" i="4" s="1"/>
  <c r="F26" i="4"/>
  <c r="P27" i="4"/>
  <c r="D26" i="4"/>
  <c r="L26" i="4"/>
  <c r="L56" i="4" s="1"/>
  <c r="L75" i="4" s="1"/>
  <c r="H26" i="4"/>
  <c r="K26" i="4"/>
  <c r="V46" i="23"/>
  <c r="V53" i="23" s="1"/>
  <c r="V47" i="23"/>
  <c r="V48" i="23" s="1"/>
  <c r="V54" i="23" s="1"/>
  <c r="R27" i="4"/>
  <c r="J26" i="4"/>
  <c r="J63" i="4" s="1"/>
  <c r="J64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K63" i="4"/>
  <c r="K64" i="4" s="1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M57" i="4"/>
  <c r="M58" i="4" s="1"/>
  <c r="M76" i="4" s="1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S56" i="4"/>
  <c r="S75" i="4" s="1"/>
  <c r="K57" i="4"/>
  <c r="K58" i="4" s="1"/>
  <c r="K76" i="4" s="1"/>
  <c r="J56" i="4"/>
  <c r="J75" i="4" s="1"/>
  <c r="O55" i="4"/>
  <c r="O62" i="4"/>
  <c r="F55" i="4"/>
  <c r="F62" i="4"/>
  <c r="M55" i="4"/>
  <c r="M62" i="4"/>
  <c r="J55" i="4"/>
  <c r="J62" i="4"/>
  <c r="K56" i="4"/>
  <c r="K75" i="4" s="1"/>
  <c r="J57" i="4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M56" i="4"/>
  <c r="M75" i="4" s="1"/>
  <c r="T56" i="4"/>
  <c r="T75" i="4" s="1"/>
  <c r="C74" i="4"/>
  <c r="C62" i="4"/>
  <c r="D55" i="4"/>
  <c r="D62" i="4"/>
  <c r="S27" i="33"/>
  <c r="S52" i="33" s="1"/>
  <c r="S22" i="33"/>
  <c r="S45" i="33"/>
  <c r="V4" i="33"/>
  <c r="S57" i="4"/>
  <c r="S58" i="4" s="1"/>
  <c r="S76" i="4" s="1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U78" i="4"/>
  <c r="R78" i="4"/>
  <c r="I78" i="4"/>
  <c r="F78" i="4"/>
  <c r="G78" i="4"/>
  <c r="D78" i="4"/>
  <c r="V78" i="4"/>
  <c r="E78" i="4"/>
  <c r="C78" i="4"/>
  <c r="L78" i="4"/>
  <c r="O78" i="4"/>
  <c r="B78" i="4"/>
  <c r="H78" i="4"/>
  <c r="P78" i="4"/>
  <c r="S78" i="4"/>
  <c r="Q78" i="4"/>
  <c r="J78" i="4"/>
  <c r="M78" i="4"/>
  <c r="K78" i="4"/>
  <c r="U56" i="4" l="1"/>
  <c r="U75" i="4" s="1"/>
  <c r="U57" i="4"/>
  <c r="U58" i="4" s="1"/>
  <c r="U76" i="4" s="1"/>
  <c r="V63" i="4"/>
  <c r="V64" i="4" s="1"/>
  <c r="J58" i="4"/>
  <c r="J76" i="4" s="1"/>
  <c r="L57" i="4"/>
  <c r="L58" i="4" s="1"/>
  <c r="L76" i="4" s="1"/>
  <c r="L63" i="4"/>
  <c r="L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L60" i="23" s="1"/>
  <c r="F59" i="23"/>
  <c r="F60" i="23" s="1"/>
  <c r="Q59" i="23"/>
  <c r="V59" i="23"/>
  <c r="P59" i="23"/>
  <c r="T59" i="23"/>
  <c r="U59" i="23"/>
  <c r="S59" i="23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J60" i="23" s="1"/>
  <c r="K59" i="23"/>
  <c r="D59" i="23"/>
  <c r="D60" i="23" s="1"/>
  <c r="I59" i="23"/>
  <c r="I60" i="23" s="1"/>
  <c r="O59" i="23"/>
  <c r="G59" i="23"/>
  <c r="G60" i="23" s="1"/>
  <c r="H59" i="23"/>
  <c r="H60" i="23" s="1"/>
  <c r="M59" i="23"/>
  <c r="C55" i="1"/>
  <c r="H55" i="1"/>
  <c r="F55" i="1"/>
  <c r="I55" i="1"/>
  <c r="L55" i="1"/>
  <c r="J55" i="1"/>
  <c r="D55" i="1"/>
  <c r="K55" i="1"/>
  <c r="E55" i="1"/>
  <c r="O59" i="1"/>
  <c r="J59" i="1"/>
  <c r="F59" i="1"/>
  <c r="M59" i="1"/>
  <c r="I59" i="1"/>
  <c r="E59" i="1"/>
  <c r="L59" i="1"/>
  <c r="H59" i="1"/>
  <c r="D59" i="1"/>
  <c r="K59" i="1"/>
  <c r="C59" i="1"/>
  <c r="G59" i="1"/>
  <c r="M55" i="1"/>
  <c r="T59" i="1"/>
  <c r="P59" i="1"/>
  <c r="S59" i="1"/>
  <c r="V59" i="1"/>
  <c r="R59" i="1"/>
  <c r="U59" i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R60" i="23"/>
  <c r="I60" i="1"/>
  <c r="U60" i="23"/>
  <c r="T60" i="1"/>
  <c r="D60" i="1"/>
  <c r="R60" i="1"/>
  <c r="V60" i="1"/>
  <c r="E60" i="1"/>
  <c r="L60" i="1"/>
  <c r="O60" i="1"/>
  <c r="K60" i="1"/>
  <c r="C60" i="1"/>
  <c r="S60" i="1"/>
  <c r="T60" i="23"/>
  <c r="J60" i="1"/>
  <c r="K60" i="23"/>
  <c r="V60" i="23"/>
  <c r="Q60" i="23"/>
  <c r="S60" i="23"/>
  <c r="O60" i="23"/>
  <c r="F60" i="1"/>
  <c r="U60" i="1"/>
  <c r="P60" i="23"/>
  <c r="H60" i="1"/>
  <c r="M60" i="23"/>
  <c r="P60" i="1"/>
  <c r="M60" i="1"/>
  <c r="G60" i="1"/>
  <c r="Q60" i="1"/>
  <c r="V74" i="4" l="1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P82" i="4"/>
  <c r="O82" i="4"/>
  <c r="Q82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<sst xmlns="http://schemas.openxmlformats.org/spreadsheetml/2006/main" count="243" uniqueCount="58">
  <si>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</si>
  <si>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</si>
  <si>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</si>
  <si>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</si>
  <si>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</si>
  <si>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</si>
  <si>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</si>
  <si>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</si>
  <si>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</si>
  <si>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</si>
  <si>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</si>
  <si>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</si>
  <si>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</si>
  <si>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</si>
  <si>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</si>
  <si>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</si>
  <si>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</si>
  <si>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</si>
  <si>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</si>
  <si>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</si>
  <si>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</si>
  <si>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</si>
  <si>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</si>
  <si>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</si>
  <si>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</si>
  <si>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</si>
  <si>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</si>
  <si>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</si>
  <si>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</si>
  <si>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</si>
  <si>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</si>
  <si>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</si>
  <si>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</si>
  <si>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</si>
  <si>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</si>
  <si>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</si>
  <si>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</si>
  <si>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</si>
  <si>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</si>
  <si>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</si>
  <si>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</si>
  <si>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</si>
  <si>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</si>
  <si>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</si>
  <si>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</si>
  <si>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</si>
  <si>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</si>
  <si>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Prochloraz</t>
  </si>
  <si>
    <t>T+EE2: 3 embryos died</t>
  </si>
  <si>
    <t xml:space="preserve"> -&gt; whole replicate invalid?</t>
  </si>
  <si>
    <t>ns</t>
  </si>
  <si>
    <t>**</t>
  </si>
  <si>
    <t>***</t>
  </si>
  <si>
    <t>&lt;0,001</t>
  </si>
  <si>
    <t>&gt;0,99</t>
  </si>
  <si>
    <t>*</t>
  </si>
  <si>
    <t>ANOVA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</si>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</sst>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2.3487589962365062E-2</c:v>
                  </c:pt>
                  <c:pt idx="1">
                    <c:v>2.8329986477280394E-2</c:v>
                  </c:pt>
                  <c:pt idx="2">
                    <c:v>0.18793347310855843</c:v>
                  </c:pt>
                  <c:pt idx="3">
                    <c:v>0.28068517825368799</c:v>
                  </c:pt>
                  <c:pt idx="4">
                    <c:v>0.36953277172046706</c:v>
                  </c:pt>
                  <c:pt idx="5">
                    <c:v>0.47517426085402409</c:v>
                  </c:pt>
                  <c:pt idx="6">
                    <c:v>0.44376874701268099</c:v>
                  </c:pt>
                  <c:pt idx="7">
                    <c:v>3.3277234888803409E-2</c:v>
                  </c:pt>
                  <c:pt idx="8">
                    <c:v>4.0088033366790725E-2</c:v>
                  </c:pt>
                  <c:pt idx="9">
                    <c:v>3.4865851841489215E-2</c:v>
                  </c:pt>
                  <c:pt idx="10">
                    <c:v>0.10671377456777284</c:v>
                  </c:pt>
                  <c:pt idx="11">
                    <c:v>2.4806453716140448E-2</c:v>
                  </c:pt>
                  <c:pt idx="13">
                    <c:v>0.22528728010601323</c:v>
                  </c:pt>
                  <c:pt idx="14">
                    <c:v>0.27312964382318061</c:v>
                  </c:pt>
                  <c:pt idx="15">
                    <c:v>3.1263811474953732E-2</c:v>
                  </c:pt>
                  <c:pt idx="16">
                    <c:v>0.10879166428962803</c:v>
                  </c:pt>
                  <c:pt idx="17">
                    <c:v>5.3176435072306932E-2</c:v>
                  </c:pt>
                  <c:pt idx="18">
                    <c:v>5.3498203427126863E-2</c:v>
                  </c:pt>
                  <c:pt idx="19">
                    <c:v>3.897042871431558E-2</c:v>
                  </c:pt>
                  <c:pt idx="20">
                    <c:v>2.7835489273765512E-2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Prochloraz-0.063mg/L</c:v>
                </c:pt>
                <c:pt idx="8">
                  <c:v>Prochloraz-0.13mg/L</c:v>
                </c:pt>
                <c:pt idx="9">
                  <c:v>Prochloraz-0.25mg/L</c:v>
                </c:pt>
                <c:pt idx="10">
                  <c:v>Prochloraz-0.5mg/L</c:v>
                </c:pt>
                <c:pt idx="11">
                  <c:v>Prochloraz-1mg/L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Prochloraz-0.063mg/L + Testostérone</c:v>
                </c:pt>
                <c:pt idx="17">
                  <c:v>Prochloraz-0.13mg/L + Testostérone</c:v>
                </c:pt>
                <c:pt idx="18">
                  <c:v>Prochloraz-0.25mg/L + Testostérone</c:v>
                </c:pt>
                <c:pt idx="19">
                  <c:v>Prochloraz-0.5mg/L + Testostérone</c:v>
                </c:pt>
                <c:pt idx="20">
                  <c:v>Prochloraz-1mg/L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5.2926265303022725E-2</c:v>
                </c:pt>
                <c:pt idx="1">
                  <c:v>9.1381682073406537E-2</c:v>
                </c:pt>
                <c:pt idx="2">
                  <c:v>0.77759770940450612</c:v>
                </c:pt>
                <c:pt idx="3">
                  <c:v>1.276682370575501</c:v>
                </c:pt>
                <c:pt idx="4">
                  <c:v>2.375698307772085</c:v>
                </c:pt>
                <c:pt idx="5">
                  <c:v>4.1823945421897504</c:v>
                </c:pt>
                <c:pt idx="6">
                  <c:v>4.7305240780315856</c:v>
                </c:pt>
                <c:pt idx="7">
                  <c:v>0.14312987344195746</c:v>
                </c:pt>
                <c:pt idx="8">
                  <c:v>8.7657164312607755E-2</c:v>
                </c:pt>
                <c:pt idx="9">
                  <c:v>8.2500305592127038E-2</c:v>
                </c:pt>
                <c:pt idx="10">
                  <c:v>0.32281570811367427</c:v>
                </c:pt>
                <c:pt idx="11">
                  <c:v>3.8572936653413784E-2</c:v>
                </c:pt>
                <c:pt idx="13">
                  <c:v>1</c:v>
                </c:pt>
                <c:pt idx="14">
                  <c:v>0.77726284961547509</c:v>
                </c:pt>
                <c:pt idx="15">
                  <c:v>8.5227970828294614E-2</c:v>
                </c:pt>
                <c:pt idx="16">
                  <c:v>0.36818242607848867</c:v>
                </c:pt>
                <c:pt idx="17">
                  <c:v>0.12186650145599318</c:v>
                </c:pt>
                <c:pt idx="18">
                  <c:v>0.16693205225879187</c:v>
                </c:pt>
                <c:pt idx="19">
                  <c:v>0.10833706984566935</c:v>
                </c:pt>
                <c:pt idx="20">
                  <c:v>0.11014569006386012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4.4792245256077258E-2</c:v>
                  </c:pt>
                  <c:pt idx="1">
                    <c:v>0.25330232350923576</c:v>
                  </c:pt>
                  <c:pt idx="2">
                    <c:v>0.25330232350923576</c:v>
                  </c:pt>
                  <c:pt idx="3">
                    <c:v>0.22647908979396658</c:v>
                  </c:pt>
                  <c:pt idx="4">
                    <c:v>0.21623772109673151</c:v>
                  </c:pt>
                  <c:pt idx="5">
                    <c:v>0.37015244017493637</c:v>
                  </c:pt>
                  <c:pt idx="6">
                    <c:v>0.23187867080679339</c:v>
                  </c:pt>
                  <c:pt idx="7">
                    <c:v>8.1150576637914612E-2</c:v>
                  </c:pt>
                  <c:pt idx="8">
                    <c:v>1.5519274440567516E-2</c:v>
                  </c:pt>
                  <c:pt idx="9">
                    <c:v>0.11188279834211509</c:v>
                  </c:pt>
                  <c:pt idx="10">
                    <c:v>1.5866654885508764E-2</c:v>
                  </c:pt>
                  <c:pt idx="11">
                    <c:v>6.4387422741164865E-2</c:v>
                  </c:pt>
                  <c:pt idx="13">
                    <c:v>0.22048041385116168</c:v>
                  </c:pt>
                  <c:pt idx="14">
                    <c:v>0.28459971039241172</c:v>
                  </c:pt>
                  <c:pt idx="15">
                    <c:v>6.4234625662185046E-2</c:v>
                  </c:pt>
                  <c:pt idx="16">
                    <c:v>0.13540762006388551</c:v>
                  </c:pt>
                  <c:pt idx="17">
                    <c:v>3.7450694802825577E-2</c:v>
                  </c:pt>
                  <c:pt idx="18">
                    <c:v>7.7136510255727306E-2</c:v>
                  </c:pt>
                  <c:pt idx="19">
                    <c:v>7.4901898653805879E-2</c:v>
                  </c:pt>
                  <c:pt idx="20">
                    <c:v>2.791373217735231E-2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0.22528728010601323</c:v>
                  </c:pt>
                  <c:pt idx="2">
                    <c:v>0.27312964382318061</c:v>
                  </c:pt>
                  <c:pt idx="3">
                    <c:v>3.1263811474953732E-2</c:v>
                  </c:pt>
                  <c:pt idx="4">
                    <c:v>0.10879166428962803</c:v>
                  </c:pt>
                  <c:pt idx="5">
                    <c:v>5.3176435072306932E-2</c:v>
                  </c:pt>
                  <c:pt idx="6">
                    <c:v>5.3498203427126863E-2</c:v>
                  </c:pt>
                  <c:pt idx="7">
                    <c:v>3.897042871431558E-2</c:v>
                  </c:pt>
                  <c:pt idx="8">
                    <c:v>2.7835489273765512E-2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Prochloraz-0.063mg/L</c:v>
                </c:pt>
                <c:pt idx="8">
                  <c:v>Prochloraz-0.13mg/L</c:v>
                </c:pt>
                <c:pt idx="9">
                  <c:v>Prochloraz-0.25mg/L</c:v>
                </c:pt>
                <c:pt idx="10">
                  <c:v>Prochloraz-0.5mg/L</c:v>
                </c:pt>
                <c:pt idx="11">
                  <c:v>Prochloraz-1mg/L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Prochloraz-0.063mg/L + Testostérone</c:v>
                </c:pt>
                <c:pt idx="17">
                  <c:v>Prochloraz-0.13mg/L + Testostérone</c:v>
                </c:pt>
                <c:pt idx="18">
                  <c:v>Prochloraz-0.25mg/L + Testostérone</c:v>
                </c:pt>
                <c:pt idx="19">
                  <c:v>Prochloraz-0.5mg/L + Testostérone</c:v>
                </c:pt>
                <c:pt idx="20">
                  <c:v>Prochloraz-1mg/L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0.40900574617633484</c:v>
                </c:pt>
                <c:pt idx="1">
                  <c:v>1.795768607812704</c:v>
                </c:pt>
                <c:pt idx="2">
                  <c:v>1.795768607812704</c:v>
                </c:pt>
                <c:pt idx="3">
                  <c:v>3.0185493915498181</c:v>
                </c:pt>
                <c:pt idx="4">
                  <c:v>3.1822935482851733</c:v>
                </c:pt>
                <c:pt idx="5">
                  <c:v>4.0893076437304421</c:v>
                </c:pt>
                <c:pt idx="6">
                  <c:v>3.5902953575172045</c:v>
                </c:pt>
                <c:pt idx="7">
                  <c:v>0.29309778820866722</c:v>
                </c:pt>
                <c:pt idx="8">
                  <c:v>7.8721385478998415E-2</c:v>
                </c:pt>
                <c:pt idx="9">
                  <c:v>0.23052993675223121</c:v>
                </c:pt>
                <c:pt idx="10">
                  <c:v>0.104373840427119</c:v>
                </c:pt>
                <c:pt idx="11">
                  <c:v>0.1583830257141921</c:v>
                </c:pt>
                <c:pt idx="13">
                  <c:v>0.99999999999999978</c:v>
                </c:pt>
                <c:pt idx="14">
                  <c:v>2.6650992951258652</c:v>
                </c:pt>
                <c:pt idx="15">
                  <c:v>0.15762478078698036</c:v>
                </c:pt>
                <c:pt idx="16">
                  <c:v>0.26370798715595312</c:v>
                </c:pt>
                <c:pt idx="17">
                  <c:v>0.27205773657065474</c:v>
                </c:pt>
                <c:pt idx="18">
                  <c:v>0.2197592755077413</c:v>
                </c:pt>
                <c:pt idx="19">
                  <c:v>0.16288049246918163</c:v>
                </c:pt>
                <c:pt idx="20">
                  <c:v>0.14944119457436075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2.9113434865691876E-2</c:v>
                  </c:pt>
                  <c:pt idx="1">
                    <c:v>0.17631135873708534</c:v>
                  </c:pt>
                  <c:pt idx="2">
                    <c:v>0.44653436694511461</c:v>
                  </c:pt>
                  <c:pt idx="3">
                    <c:v>0.3539045499849055</c:v>
                  </c:pt>
                  <c:pt idx="4">
                    <c:v>0.33919162730318575</c:v>
                  </c:pt>
                  <c:pt idx="5">
                    <c:v>0.54915513333170984</c:v>
                  </c:pt>
                  <c:pt idx="6">
                    <c:v>0.93400389949517648</c:v>
                  </c:pt>
                  <c:pt idx="7">
                    <c:v>5.0125830751625522E-2</c:v>
                  </c:pt>
                  <c:pt idx="8">
                    <c:v>2.5566067675812463E-2</c:v>
                  </c:pt>
                  <c:pt idx="9">
                    <c:v>4.5416711225203063E-2</c:v>
                  </c:pt>
                  <c:pt idx="10">
                    <c:v>2.2415999647860049E-2</c:v>
                  </c:pt>
                  <c:pt idx="11">
                    <c:v>1.7123797951027191E-2</c:v>
                  </c:pt>
                  <c:pt idx="13">
                    <c:v>0.20069546866008925</c:v>
                  </c:pt>
                  <c:pt idx="14">
                    <c:v>0.43942039193952298</c:v>
                  </c:pt>
                  <c:pt idx="15">
                    <c:v>2.64736066966452E-2</c:v>
                  </c:pt>
                  <c:pt idx="16">
                    <c:v>0.18815389575316163</c:v>
                  </c:pt>
                  <c:pt idx="17">
                    <c:v>0.14536103710712769</c:v>
                  </c:pt>
                  <c:pt idx="18">
                    <c:v>9.0017935061304441E-2</c:v>
                  </c:pt>
                  <c:pt idx="19">
                    <c:v>2.9929967265033549E-2</c:v>
                  </c:pt>
                  <c:pt idx="20">
                    <c:v>1.3399398823510097E-2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0.22528728010601323</c:v>
                  </c:pt>
                  <c:pt idx="2">
                    <c:v>0.27312964382318061</c:v>
                  </c:pt>
                  <c:pt idx="3">
                    <c:v>3.1263811474953732E-2</c:v>
                  </c:pt>
                  <c:pt idx="4">
                    <c:v>0.10879166428962803</c:v>
                  </c:pt>
                  <c:pt idx="5">
                    <c:v>5.3176435072306932E-2</c:v>
                  </c:pt>
                  <c:pt idx="6">
                    <c:v>5.3498203427126863E-2</c:v>
                  </c:pt>
                  <c:pt idx="7">
                    <c:v>3.897042871431558E-2</c:v>
                  </c:pt>
                  <c:pt idx="8">
                    <c:v>2.7835489273765512E-2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Prochloraz-0.063mg/L</c:v>
                </c:pt>
                <c:pt idx="8">
                  <c:v>Prochloraz-0.13mg/L</c:v>
                </c:pt>
                <c:pt idx="9">
                  <c:v>Prochloraz-0.25mg/L</c:v>
                </c:pt>
                <c:pt idx="10">
                  <c:v>Prochloraz-0.5mg/L</c:v>
                </c:pt>
                <c:pt idx="11">
                  <c:v>Prochloraz-1mg/L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Prochloraz-0.063mg/L + Testostérone</c:v>
                </c:pt>
                <c:pt idx="17">
                  <c:v>Prochloraz-0.13mg/L + Testostérone</c:v>
                </c:pt>
                <c:pt idx="18">
                  <c:v>Prochloraz-0.25mg/L + Testostérone</c:v>
                </c:pt>
                <c:pt idx="19">
                  <c:v>Prochloraz-0.5mg/L + Testostérone</c:v>
                </c:pt>
                <c:pt idx="20">
                  <c:v>Prochloraz-1mg/L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9.8424548822777333E-2</c:v>
                </c:pt>
                <c:pt idx="1">
                  <c:v>0.5950882845215697</c:v>
                </c:pt>
                <c:pt idx="2">
                  <c:v>1.56029925152339</c:v>
                </c:pt>
                <c:pt idx="3">
                  <c:v>3.0566317670921519</c:v>
                </c:pt>
                <c:pt idx="4">
                  <c:v>4.0060358903500415</c:v>
                </c:pt>
                <c:pt idx="5">
                  <c:v>5.7049229826247343</c:v>
                </c:pt>
                <c:pt idx="6">
                  <c:v>5.10417896272532</c:v>
                </c:pt>
                <c:pt idx="7">
                  <c:v>0.11208036249636932</c:v>
                </c:pt>
                <c:pt idx="8">
                  <c:v>8.0734643821887206E-2</c:v>
                </c:pt>
                <c:pt idx="9">
                  <c:v>0.12542080931111146</c:v>
                </c:pt>
                <c:pt idx="10">
                  <c:v>6.7704953475906549E-2</c:v>
                </c:pt>
                <c:pt idx="11">
                  <c:v>6.8897507712090689E-2</c:v>
                </c:pt>
                <c:pt idx="13">
                  <c:v>0.99999999999999989</c:v>
                </c:pt>
                <c:pt idx="14">
                  <c:v>4.7258943414371473</c:v>
                </c:pt>
                <c:pt idx="15">
                  <c:v>0.10601559654524868</c:v>
                </c:pt>
                <c:pt idx="16">
                  <c:v>0.55874627801994903</c:v>
                </c:pt>
                <c:pt idx="17">
                  <c:v>0.33503090053293683</c:v>
                </c:pt>
                <c:pt idx="18">
                  <c:v>0.56157309421639501</c:v>
                </c:pt>
                <c:pt idx="19">
                  <c:v>0.11165216240641009</c:v>
                </c:pt>
                <c:pt idx="20">
                  <c:v>5.58813250002285E-2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6.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E07A883-A275-42E6-B7D1-FEAEC06FF56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6CE2BD6-1F9D-4EA6-BC15-F06D8BA6FC1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64E001-9902-4EBC-B7E4-8E9DA682DD2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BE9B257-A9DF-4687-8C4D-D15C10B3140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356344-20BE-44DE-915F-88BE0CA13D3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2E2C87-A039-4934-8238-E7F2B76298A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982BCB7-3C40-4CB3-8AC5-F4EF1A71F32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11EA18B-425F-4A1C-AC32-12FE76FAA28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8287C61-8F5B-4F32-911A-E4B2A564A7E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D6DA21A-0663-4C94-A83D-ED0C37D3DF7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FBE2E0B-C32B-4A31-A072-1EDBC315A92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BF4F8F6-9BA0-43D4-AA63-B9789FF04AA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93D66C-6776-462A-8E94-0A95403C70F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61DF6CF-D0FB-4118-A31A-F22EE72B912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189DFD8-C83E-43BA-A09B-F3419637817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FB0DB7B-B5E4-480B-ABD2-74B3A15604C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A8C14D4-B87F-4D3B-9108-1454A242611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D0C2B38-CE16-4F49-9B69-09A239B8972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1ACD1CC-FB98-4FF4-AD5D-C3B5224AC01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8322657-75B3-4C00-9A2E-51ECA8D908D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3.7510432254409684E-2</c:v>
                  </c:pt>
                  <c:pt idx="1">
                    <c:v>0.1787955642024269</c:v>
                  </c:pt>
                  <c:pt idx="2">
                    <c:v>0.19635683607121365</c:v>
                  </c:pt>
                  <c:pt idx="3">
                    <c:v>0.24262621561051881</c:v>
                  </c:pt>
                  <c:pt idx="4">
                    <c:v>0.2225542952956466</c:v>
                  </c:pt>
                  <c:pt idx="5">
                    <c:v>0.30207687751768542</c:v>
                  </c:pt>
                  <c:pt idx="6">
                    <c:v>0.36326404632920906</c:v>
                  </c:pt>
                  <c:pt idx="7">
                    <c:v>3.6151515061764193E-2</c:v>
                  </c:pt>
                  <c:pt idx="8">
                    <c:v>1.5950373983303786E-2</c:v>
                  </c:pt>
                  <c:pt idx="9">
                    <c:v>4.2078845524547707E-2</c:v>
                  </c:pt>
                  <c:pt idx="10">
                    <c:v>4.2228167936173587E-2</c:v>
                  </c:pt>
                  <c:pt idx="11">
                    <c:v>2.5004590494682327E-2</c:v>
                  </c:pt>
                  <c:pt idx="13">
                    <c:v>0.12188442494282155</c:v>
                  </c:pt>
                  <c:pt idx="14">
                    <c:v>0.39882123860320617</c:v>
                  </c:pt>
                  <c:pt idx="15">
                    <c:v>2.508233727477702E-2</c:v>
                  </c:pt>
                  <c:pt idx="16">
                    <c:v>8.5445821096063038E-2</c:v>
                  </c:pt>
                  <c:pt idx="17">
                    <c:v>5.4040805139102407E-2</c:v>
                  </c:pt>
                  <c:pt idx="18">
                    <c:v>5.5193591403704965E-2</c:v>
                  </c:pt>
                  <c:pt idx="19">
                    <c:v>2.9003659755743288E-2</c:v>
                  </c:pt>
                  <c:pt idx="20">
                    <c:v>1.5486699592171476E-2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3.7510432254409684E-2</c:v>
                  </c:pt>
                  <c:pt idx="1">
                    <c:v>0.1787955642024269</c:v>
                  </c:pt>
                  <c:pt idx="2">
                    <c:v>0.19635683607121365</c:v>
                  </c:pt>
                  <c:pt idx="3">
                    <c:v>0.24262621561051881</c:v>
                  </c:pt>
                  <c:pt idx="4">
                    <c:v>0.2225542952956466</c:v>
                  </c:pt>
                  <c:pt idx="5">
                    <c:v>0.30207687751768542</c:v>
                  </c:pt>
                  <c:pt idx="6">
                    <c:v>0.36326404632920906</c:v>
                  </c:pt>
                  <c:pt idx="7">
                    <c:v>3.6151515061764193E-2</c:v>
                  </c:pt>
                  <c:pt idx="8">
                    <c:v>1.5950373983303786E-2</c:v>
                  </c:pt>
                  <c:pt idx="9">
                    <c:v>4.2078845524547707E-2</c:v>
                  </c:pt>
                  <c:pt idx="10">
                    <c:v>4.2228167936173587E-2</c:v>
                  </c:pt>
                  <c:pt idx="11">
                    <c:v>2.5004590494682327E-2</c:v>
                  </c:pt>
                  <c:pt idx="13">
                    <c:v>0.12188442494282155</c:v>
                  </c:pt>
                  <c:pt idx="14">
                    <c:v>0.39882123860320617</c:v>
                  </c:pt>
                  <c:pt idx="15">
                    <c:v>2.508233727477702E-2</c:v>
                  </c:pt>
                  <c:pt idx="16">
                    <c:v>8.5445821096063038E-2</c:v>
                  </c:pt>
                  <c:pt idx="17">
                    <c:v>5.4040805139102407E-2</c:v>
                  </c:pt>
                  <c:pt idx="18">
                    <c:v>5.5193591403704965E-2</c:v>
                  </c:pt>
                  <c:pt idx="19">
                    <c:v>2.9003659755743288E-2</c:v>
                  </c:pt>
                  <c:pt idx="20">
                    <c:v>1.5486699592171476E-2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Prochloraz-0.063mg/L</c:v>
                </c:pt>
                <c:pt idx="8">
                  <c:v>Prochloraz-0.13mg/L</c:v>
                </c:pt>
                <c:pt idx="9">
                  <c:v>Prochloraz-0.25mg/L</c:v>
                </c:pt>
                <c:pt idx="10">
                  <c:v>Prochloraz-0.5mg/L</c:v>
                </c:pt>
                <c:pt idx="11">
                  <c:v>Prochloraz-1mg/L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Prochloraz-0.063mg/L + Testostérone</c:v>
                </c:pt>
                <c:pt idx="17">
                  <c:v>Prochloraz-0.13mg/L + Testostérone</c:v>
                </c:pt>
                <c:pt idx="18">
                  <c:v>Prochloraz-0.25mg/L + Testostérone</c:v>
                </c:pt>
                <c:pt idx="19">
                  <c:v>Prochloraz-0.5mg/L + Testostérone</c:v>
                </c:pt>
                <c:pt idx="20">
                  <c:v>Prochloraz-1mg/L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0.17712377114090194</c:v>
                </c:pt>
                <c:pt idx="1">
                  <c:v>0.82741285813589327</c:v>
                </c:pt>
                <c:pt idx="2">
                  <c:v>1.3778885229135334</c:v>
                </c:pt>
                <c:pt idx="3">
                  <c:v>2.4259286453126068</c:v>
                </c:pt>
                <c:pt idx="4">
                  <c:v>3.1880092488024334</c:v>
                </c:pt>
                <c:pt idx="5">
                  <c:v>4.6588750561816417</c:v>
                </c:pt>
                <c:pt idx="6">
                  <c:v>4.4749994660913712</c:v>
                </c:pt>
                <c:pt idx="7">
                  <c:v>0.18276934138233128</c:v>
                </c:pt>
                <c:pt idx="8">
                  <c:v>8.2371064537831135E-2</c:v>
                </c:pt>
                <c:pt idx="9">
                  <c:v>0.14615035055182327</c:v>
                </c:pt>
                <c:pt idx="10">
                  <c:v>0.16496483400556661</c:v>
                </c:pt>
                <c:pt idx="11">
                  <c:v>8.8617823359898859E-2</c:v>
                </c:pt>
                <c:pt idx="13">
                  <c:v>1</c:v>
                </c:pt>
                <c:pt idx="14">
                  <c:v>2.9144184499572168</c:v>
                </c:pt>
                <c:pt idx="15">
                  <c:v>0.11628944938684121</c:v>
                </c:pt>
                <c:pt idx="16">
                  <c:v>0.39687889708479696</c:v>
                </c:pt>
                <c:pt idx="17">
                  <c:v>0.24298504618652828</c:v>
                </c:pt>
                <c:pt idx="18">
                  <c:v>0.31608814066097612</c:v>
                </c:pt>
                <c:pt idx="19">
                  <c:v>0.12762324157375368</c:v>
                </c:pt>
                <c:pt idx="20">
                  <c:v>0.1051560698794831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**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*</c:v>
                  </c:pt>
                  <c:pt idx="17">
                    <c:v>***</c:v>
                  </c:pt>
                  <c:pt idx="18">
                    <c:v>**</c:v>
                  </c:pt>
                  <c:pt idx="19">
                    <c:v>***</c:v>
                  </c:pt>
                  <c:pt idx="20">
                    <c:v>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0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64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6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8220" cy="605940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4" zoomScale="55" zoomScaleNormal="55" workbookViewId="0">
      <selection activeCell="D14" sqref="D14:D18"/>
    </sheetView>
  </sheetViews>
  <sheetFormatPr baseColWidth="10" defaultColWidth="10.90625" defaultRowHeight="39" customHeight="1" x14ac:dyDescent="0.35"/>
  <cols>
    <col min="1" max="1" width="42" bestFit="1" customWidth="1"/>
    <col min="2" max="2" width="33.81640625" style="28" bestFit="1" customWidth="1"/>
    <col min="3" max="3" width="21.26953125" customWidth="1"/>
    <col min="4" max="4" width="30.453125" customWidth="1"/>
    <col min="5" max="5" width="62.26953125" style="90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5" thickBot="1" x14ac:dyDescent="0.55000000000000004">
      <c r="A2" s="109" t="s">
        <v>5</v>
      </c>
      <c r="B2" s="27" t="s">
        <v>24</v>
      </c>
      <c r="C2" s="119"/>
      <c r="D2" s="120"/>
      <c r="E2" s="27" t="s">
        <v>23</v>
      </c>
      <c r="F2" s="131"/>
      <c r="G2" s="132"/>
      <c r="H2" s="132"/>
      <c r="I2" s="133"/>
    </row>
    <row r="3" spans="1:9" ht="21.5" thickBot="1" x14ac:dyDescent="0.55000000000000004">
      <c r="A3" s="110" t="s">
        <v>6</v>
      </c>
      <c r="B3" s="27" t="s">
        <v>24</v>
      </c>
      <c r="C3" s="121"/>
      <c r="D3" s="122"/>
      <c r="E3" s="27" t="s">
        <v>23</v>
      </c>
      <c r="F3" s="128"/>
      <c r="G3" s="129"/>
      <c r="H3" s="129"/>
      <c r="I3" s="130"/>
    </row>
    <row r="4" spans="1:9" ht="21.5" thickBot="1" x14ac:dyDescent="0.55000000000000004">
      <c r="A4" s="111" t="s">
        <v>9</v>
      </c>
      <c r="B4" s="27" t="s">
        <v>24</v>
      </c>
      <c r="C4" s="123"/>
      <c r="D4" s="124"/>
      <c r="E4" s="27" t="s">
        <v>23</v>
      </c>
      <c r="F4" s="125"/>
      <c r="G4" s="126"/>
      <c r="H4" s="126"/>
      <c r="I4" s="127"/>
    </row>
    <row r="5" spans="1:9" s="1" customFormat="1" ht="65.25" customHeight="1" thickBot="1" x14ac:dyDescent="0.4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5">
      <c r="A6" s="59" t="s">
        <v>25</v>
      </c>
      <c r="B6" s="60" t="s">
        <v>26</v>
      </c>
      <c r="C6" s="47" t="s">
        <v>7</v>
      </c>
      <c r="D6" s="47" t="s">
        <v>27</v>
      </c>
      <c r="E6" s="87" t="s">
        <v>28</v>
      </c>
      <c r="F6" s="68" t="s">
        <v>29</v>
      </c>
    </row>
    <row r="7" spans="1:9" s="96" customFormat="1" ht="39" customHeight="1" x14ac:dyDescent="0.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46</v>
      </c>
      <c r="C7" s="93"/>
      <c r="D7" s="94"/>
      <c r="E7" s="95" t="s">
        <v>31</v>
      </c>
      <c r="F7" s="70"/>
    </row>
    <row r="8" spans="1:9" s="96" customFormat="1" ht="39" customHeight="1" x14ac:dyDescent="0.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46</v>
      </c>
      <c r="C8" s="93" t="s">
        <v>32</v>
      </c>
      <c r="D8" s="94" t="s">
        <v>17</v>
      </c>
      <c r="E8" s="95" t="s">
        <v>18</v>
      </c>
      <c r="F8" s="70"/>
    </row>
    <row r="9" spans="1:9" s="96" customFormat="1" ht="39" customHeight="1" x14ac:dyDescent="0.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46</v>
      </c>
      <c r="C9" s="93" t="s">
        <v>33</v>
      </c>
      <c r="D9" s="94" t="s">
        <v>17</v>
      </c>
      <c r="E9" s="95" t="s">
        <v>18</v>
      </c>
      <c r="F9" s="70"/>
    </row>
    <row r="10" spans="1:9" s="96" customFormat="1" ht="39" customHeight="1" x14ac:dyDescent="0.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46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46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46</v>
      </c>
      <c r="C12" s="93" t="s">
        <v>34</v>
      </c>
      <c r="D12" s="94" t="s">
        <v>17</v>
      </c>
      <c r="E12" s="95" t="s">
        <v>18</v>
      </c>
      <c r="F12" s="70"/>
    </row>
    <row r="13" spans="1:9" s="96" customFormat="1" ht="39" customHeight="1" x14ac:dyDescent="0.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46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Prochloraz-0.063mg/L</v>
      </c>
      <c r="B14" s="92" t="s">
        <v>30</v>
      </c>
      <c r="C14" s="93">
        <v>6.3E-2</v>
      </c>
      <c r="D14" s="94" t="s">
        <v>21</v>
      </c>
      <c r="E14" s="95" t="s">
        <v>47</v>
      </c>
      <c r="F14" s="70"/>
    </row>
    <row r="15" spans="1:9" s="71" customFormat="1" ht="39" customHeight="1" x14ac:dyDescent="0.3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Prochloraz-0.13mg/L</v>
      </c>
      <c r="B15" s="92" t="s">
        <v>30</v>
      </c>
      <c r="C15" s="65">
        <v>0.13</v>
      </c>
      <c r="D15" s="94" t="s">
        <v>21</v>
      </c>
      <c r="E15" s="95" t="s">
        <v>47</v>
      </c>
      <c r="F15" s="70"/>
    </row>
    <row r="16" spans="1:9" s="71" customFormat="1" ht="39" customHeight="1" x14ac:dyDescent="0.3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Prochloraz-0.25mg/L</v>
      </c>
      <c r="B16" s="92" t="s">
        <v>30</v>
      </c>
      <c r="C16" s="65">
        <v>0.25</v>
      </c>
      <c r="D16" s="94" t="s">
        <v>21</v>
      </c>
      <c r="E16" s="95" t="s">
        <v>47</v>
      </c>
      <c r="F16" s="70"/>
    </row>
    <row r="17" spans="1:6" s="71" customFormat="1" ht="39" customHeight="1" x14ac:dyDescent="0.3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Prochloraz-0.5mg/L</v>
      </c>
      <c r="B17" s="92" t="s">
        <v>30</v>
      </c>
      <c r="C17" s="65">
        <v>0.5</v>
      </c>
      <c r="D17" s="94" t="s">
        <v>21</v>
      </c>
      <c r="E17" s="95" t="s">
        <v>47</v>
      </c>
      <c r="F17" s="70"/>
    </row>
    <row r="18" spans="1:6" s="71" customFormat="1" ht="39" customHeight="1" x14ac:dyDescent="0.3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Prochloraz-1mg/L</v>
      </c>
      <c r="B18" s="92" t="s">
        <v>30</v>
      </c>
      <c r="C18" s="65">
        <v>1</v>
      </c>
      <c r="D18" s="94" t="s">
        <v>21</v>
      </c>
      <c r="E18" s="95" t="s">
        <v>47</v>
      </c>
      <c r="F18" s="70"/>
    </row>
    <row r="19" spans="1:6" s="71" customFormat="1" ht="39" customHeight="1" x14ac:dyDescent="0.3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30</v>
      </c>
      <c r="C19" s="65"/>
      <c r="D19" s="65"/>
      <c r="E19" s="25"/>
      <c r="F19" s="70"/>
    </row>
    <row r="20" spans="1:6" s="71" customFormat="1" ht="39" customHeight="1" x14ac:dyDescent="0.3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30</v>
      </c>
      <c r="C20" s="65"/>
      <c r="D20" s="65"/>
      <c r="E20" s="61"/>
      <c r="F20" s="70"/>
    </row>
    <row r="21" spans="1:6" s="71" customFormat="1" ht="39" customHeight="1" x14ac:dyDescent="0.3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30</v>
      </c>
      <c r="C21" s="65"/>
      <c r="D21" s="65"/>
      <c r="E21" s="25"/>
      <c r="F21" s="70"/>
    </row>
    <row r="22" spans="1:6" s="71" customFormat="1" ht="39" customHeight="1" x14ac:dyDescent="0.3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30</v>
      </c>
      <c r="C22" s="65"/>
      <c r="D22" s="65"/>
      <c r="E22" s="61"/>
      <c r="F22" s="70"/>
    </row>
    <row r="23" spans="1:6" s="71" customFormat="1" ht="39" customHeight="1" x14ac:dyDescent="0.3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30</v>
      </c>
      <c r="C23" s="65"/>
      <c r="D23" s="65"/>
      <c r="E23" s="25"/>
      <c r="F23" s="70"/>
    </row>
    <row r="24" spans="1:6" s="71" customFormat="1" ht="39" customHeight="1" x14ac:dyDescent="0.3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30</v>
      </c>
      <c r="C24" s="65"/>
      <c r="D24" s="65"/>
      <c r="E24" s="61"/>
      <c r="F24" s="70"/>
    </row>
    <row r="25" spans="1:6" s="71" customFormat="1" ht="39" customHeight="1" x14ac:dyDescent="0.3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30</v>
      </c>
      <c r="C25" s="65"/>
      <c r="D25" s="65"/>
      <c r="E25" s="25"/>
      <c r="F25" s="70"/>
    </row>
    <row r="26" spans="1:6" s="71" customFormat="1" ht="39" customHeight="1" x14ac:dyDescent="0.3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30</v>
      </c>
      <c r="C26" s="65"/>
      <c r="D26" s="65"/>
      <c r="E26" s="61"/>
      <c r="F26" s="70"/>
    </row>
    <row r="27" spans="1:6" s="71" customFormat="1" ht="39" customHeight="1" x14ac:dyDescent="0.3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30</v>
      </c>
      <c r="C27" s="65"/>
      <c r="D27" s="65"/>
      <c r="E27" s="25"/>
      <c r="F27" s="70"/>
    </row>
    <row r="28" spans="1:6" s="71" customFormat="1" ht="39" customHeight="1" x14ac:dyDescent="0.3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30</v>
      </c>
      <c r="C28" s="65"/>
      <c r="D28" s="65"/>
      <c r="E28" s="61"/>
      <c r="F28" s="70"/>
    </row>
    <row r="29" spans="1:6" s="71" customFormat="1" ht="39" customHeight="1" x14ac:dyDescent="0.3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30</v>
      </c>
      <c r="C29" s="65"/>
      <c r="D29" s="74"/>
      <c r="E29" s="25"/>
      <c r="F29" s="70"/>
    </row>
    <row r="30" spans="1:6" s="71" customFormat="1" ht="39" customHeight="1" x14ac:dyDescent="0.3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30</v>
      </c>
      <c r="C30" s="65"/>
      <c r="D30" s="74"/>
      <c r="E30" s="61"/>
      <c r="F30" s="70"/>
    </row>
    <row r="31" spans="1:6" s="71" customFormat="1" ht="39" customHeight="1" x14ac:dyDescent="0.3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30</v>
      </c>
      <c r="C31" s="65"/>
      <c r="D31" s="74"/>
      <c r="E31" s="25"/>
      <c r="F31" s="70"/>
    </row>
    <row r="32" spans="1:6" s="71" customFormat="1" ht="39" customHeight="1" x14ac:dyDescent="0.3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30</v>
      </c>
      <c r="C32" s="65"/>
      <c r="D32" s="74"/>
      <c r="E32" s="61"/>
      <c r="F32" s="70"/>
    </row>
    <row r="33" spans="1:6" s="71" customFormat="1" ht="39" customHeight="1" x14ac:dyDescent="0.3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30</v>
      </c>
      <c r="C33" s="65"/>
      <c r="D33" s="74"/>
      <c r="E33" s="25"/>
      <c r="F33" s="70"/>
    </row>
    <row r="34" spans="1:6" s="71" customFormat="1" ht="39" customHeight="1" thickBot="1" x14ac:dyDescent="0.4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30</v>
      </c>
      <c r="C34" s="98"/>
      <c r="D34" s="75"/>
      <c r="E34" s="97"/>
      <c r="F34" s="70"/>
    </row>
    <row r="35" spans="1:6" s="71" customFormat="1" ht="39" customHeight="1" x14ac:dyDescent="0.3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46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3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46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4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46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3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Prochloraz-0.063mg/L + Testostérone</v>
      </c>
      <c r="B38" s="112" t="str">
        <f>B14</f>
        <v>test chemical</v>
      </c>
      <c r="C38" s="112">
        <f t="shared" ref="C38:E38" si="0">C14</f>
        <v>6.3E-2</v>
      </c>
      <c r="D38" s="112" t="str">
        <f t="shared" si="0"/>
        <v>mg/L</v>
      </c>
      <c r="E38" s="112" t="str">
        <f t="shared" si="0"/>
        <v>Prochloraz</v>
      </c>
      <c r="F38" s="72" t="s">
        <v>13</v>
      </c>
    </row>
    <row r="39" spans="1:6" s="71" customFormat="1" ht="39" customHeight="1" x14ac:dyDescent="0.3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Prochloraz-0.13mg/L + Testostérone</v>
      </c>
      <c r="B39" s="114" t="str">
        <f t="shared" ref="B39:E39" si="1">B15</f>
        <v>test chemical</v>
      </c>
      <c r="C39" s="114">
        <f t="shared" si="1"/>
        <v>0.13</v>
      </c>
      <c r="D39" s="114" t="str">
        <f t="shared" si="1"/>
        <v>mg/L</v>
      </c>
      <c r="E39" s="114" t="str">
        <f t="shared" si="1"/>
        <v>Prochloraz</v>
      </c>
      <c r="F39" s="73" t="s">
        <v>13</v>
      </c>
    </row>
    <row r="40" spans="1:6" s="71" customFormat="1" ht="39" customHeight="1" x14ac:dyDescent="0.3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Prochloraz-0.25mg/L + Testostérone</v>
      </c>
      <c r="B40" s="114" t="str">
        <f t="shared" ref="B40:E40" si="2">B16</f>
        <v>test chemical</v>
      </c>
      <c r="C40" s="114">
        <f t="shared" si="2"/>
        <v>0.25</v>
      </c>
      <c r="D40" s="114" t="str">
        <f t="shared" si="2"/>
        <v>mg/L</v>
      </c>
      <c r="E40" s="114" t="str">
        <f t="shared" si="2"/>
        <v>Prochloraz</v>
      </c>
      <c r="F40" s="73" t="s">
        <v>13</v>
      </c>
    </row>
    <row r="41" spans="1:6" s="71" customFormat="1" ht="39" customHeight="1" x14ac:dyDescent="0.3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Prochloraz-0.5mg/L + Testostérone</v>
      </c>
      <c r="B41" s="114" t="str">
        <f t="shared" ref="B41:E41" si="3">B17</f>
        <v>test chemical</v>
      </c>
      <c r="C41" s="114">
        <f t="shared" si="3"/>
        <v>0.5</v>
      </c>
      <c r="D41" s="114" t="str">
        <f t="shared" si="3"/>
        <v>mg/L</v>
      </c>
      <c r="E41" s="114" t="str">
        <f t="shared" si="3"/>
        <v>Prochloraz</v>
      </c>
      <c r="F41" s="73" t="s">
        <v>13</v>
      </c>
    </row>
    <row r="42" spans="1:6" s="71" customFormat="1" ht="39" customHeight="1" x14ac:dyDescent="0.3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Prochloraz-1mg/L + Testostérone</v>
      </c>
      <c r="B42" s="114" t="str">
        <f t="shared" ref="B42:E42" si="4">B18</f>
        <v>test chemical</v>
      </c>
      <c r="C42" s="114">
        <f t="shared" si="4"/>
        <v>1</v>
      </c>
      <c r="D42" s="114" t="str">
        <f t="shared" si="4"/>
        <v>mg/L</v>
      </c>
      <c r="E42" s="114" t="str">
        <f t="shared" si="4"/>
        <v>Prochloraz</v>
      </c>
      <c r="F42" s="73" t="s">
        <v>13</v>
      </c>
    </row>
    <row r="43" spans="1:6" s="71" customFormat="1" ht="39" customHeight="1" x14ac:dyDescent="0.3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3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3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3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3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3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3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3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3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3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3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3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3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3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3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7A6D-69BE-4774-BD62-0BD2ECE449DC}">
  <dimension ref="A1:A2"/>
  <sheetViews>
    <sheetView workbookViewId="0">
      <selection activeCell="A2" sqref="A2"/>
    </sheetView>
  </sheetViews>
  <sheetFormatPr baseColWidth="10" defaultColWidth="10.90625" defaultRowHeight="14.5" x14ac:dyDescent="0.35"/>
  <sheetData>
    <row r="1" spans="1:1" x14ac:dyDescent="0.35">
      <c r="A1" t="s">
        <v>48</v>
      </c>
    </row>
    <row r="2" spans="1:1" x14ac:dyDescent="0.35">
      <c r="A2" t="s">
        <v>49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topLeftCell="A7" zoomScale="55" zoomScaleNormal="55" zoomScaleSheetLayoutView="40" zoomScalePageLayoutView="30" workbookViewId="0">
      <pane xSplit="1" topLeftCell="N1" activePane="topRight" state="frozen"/>
      <selection pane="topRight" activeCell="Q35" sqref="Q35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5" t="s">
        <v>5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Prochloraz-0.063mg/L</v>
      </c>
      <c r="J4" s="20" t="str">
        <f>'Front page'!A15</f>
        <v>Prochloraz-0.13mg/L</v>
      </c>
      <c r="K4" s="20" t="str">
        <f>'Front page'!A16</f>
        <v>Prochloraz-0.25mg/L</v>
      </c>
      <c r="L4" s="20" t="str">
        <f>'Front page'!A17</f>
        <v>Prochloraz-0.5mg/L</v>
      </c>
      <c r="M4" s="20" t="str">
        <f>'Front page'!A18</f>
        <v>Prochloraz-1mg/L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Prochloraz-0.063mg/L + Testostérone</v>
      </c>
      <c r="S4" s="21" t="str">
        <f>'Front page'!A39</f>
        <v>Prochloraz-0.13mg/L + Testostérone</v>
      </c>
      <c r="T4" s="21" t="str">
        <f>'Front page'!A40</f>
        <v>Prochloraz-0.25mg/L + Testostérone</v>
      </c>
      <c r="U4" s="21" t="str">
        <f>'Front page'!A41</f>
        <v>Prochloraz-0.5mg/L + Testostérone</v>
      </c>
      <c r="V4" s="21" t="str">
        <f>'Front page'!A42</f>
        <v>Prochloraz-1mg/L + Testostérone</v>
      </c>
    </row>
    <row r="5" spans="1:22" ht="16.5" x14ac:dyDescent="0.35">
      <c r="A5" s="138" t="s">
        <v>35</v>
      </c>
      <c r="B5" s="56">
        <v>36</v>
      </c>
      <c r="C5" s="13">
        <v>189119</v>
      </c>
      <c r="D5" s="17">
        <v>708631</v>
      </c>
      <c r="E5" s="17">
        <v>2052267</v>
      </c>
      <c r="F5" s="17">
        <v>1762650</v>
      </c>
      <c r="G5" s="17">
        <v>3298199</v>
      </c>
      <c r="H5" s="17">
        <v>5300064</v>
      </c>
      <c r="I5" s="17">
        <v>315634</v>
      </c>
      <c r="J5" s="16">
        <v>2150</v>
      </c>
      <c r="K5" s="13">
        <v>54339</v>
      </c>
      <c r="L5" s="13">
        <v>107979</v>
      </c>
      <c r="M5" s="13">
        <v>650</v>
      </c>
      <c r="N5" s="3"/>
      <c r="O5" s="17">
        <v>3722179</v>
      </c>
      <c r="P5" s="13">
        <v>944785</v>
      </c>
      <c r="Q5" s="13">
        <v>1939</v>
      </c>
      <c r="R5" s="4">
        <v>923310</v>
      </c>
      <c r="S5" s="17">
        <v>537</v>
      </c>
      <c r="T5" s="17">
        <v>183910</v>
      </c>
      <c r="U5" s="17">
        <v>333925</v>
      </c>
      <c r="V5" s="17">
        <v>9723</v>
      </c>
    </row>
    <row r="6" spans="1:22" ht="16.5" x14ac:dyDescent="0.35">
      <c r="A6" s="139"/>
      <c r="B6" s="56">
        <v>521</v>
      </c>
      <c r="C6" s="13">
        <v>648</v>
      </c>
      <c r="D6" s="17">
        <v>950535</v>
      </c>
      <c r="E6" s="17">
        <v>33381</v>
      </c>
      <c r="F6" s="17">
        <v>4777968</v>
      </c>
      <c r="G6" s="17">
        <v>8040228</v>
      </c>
      <c r="H6" s="17">
        <v>6790661</v>
      </c>
      <c r="I6" s="17">
        <v>127409</v>
      </c>
      <c r="J6" s="16">
        <v>85533</v>
      </c>
      <c r="K6" s="13">
        <v>3483</v>
      </c>
      <c r="L6" s="13">
        <v>667098</v>
      </c>
      <c r="M6" s="13">
        <v>2522</v>
      </c>
      <c r="N6" s="3"/>
      <c r="O6" s="17">
        <v>482544</v>
      </c>
      <c r="P6" s="56">
        <v>402066</v>
      </c>
      <c r="Q6" s="13">
        <v>326329</v>
      </c>
      <c r="R6" s="4">
        <v>196064</v>
      </c>
      <c r="S6" s="17">
        <v>643447</v>
      </c>
      <c r="T6" s="17">
        <v>728759</v>
      </c>
      <c r="U6" s="17">
        <v>122946</v>
      </c>
      <c r="V6" s="17">
        <v>190464</v>
      </c>
    </row>
    <row r="7" spans="1:22" ht="16.5" x14ac:dyDescent="0.35">
      <c r="A7" s="139"/>
      <c r="B7" s="56">
        <v>90491</v>
      </c>
      <c r="C7" s="56">
        <v>210539</v>
      </c>
      <c r="D7" s="56">
        <v>1876037</v>
      </c>
      <c r="E7" s="56">
        <v>2978329</v>
      </c>
      <c r="F7" s="56">
        <v>2156052</v>
      </c>
      <c r="G7" s="56">
        <v>4949779</v>
      </c>
      <c r="H7" s="56">
        <v>4446817</v>
      </c>
      <c r="I7" s="56">
        <v>304681</v>
      </c>
      <c r="J7" s="56">
        <v>51874</v>
      </c>
      <c r="K7" s="56">
        <v>402639</v>
      </c>
      <c r="L7" s="56">
        <v>508686</v>
      </c>
      <c r="M7" s="56">
        <v>9600</v>
      </c>
      <c r="N7" s="3"/>
      <c r="O7" s="17">
        <v>393921</v>
      </c>
      <c r="P7" s="56">
        <v>2349898</v>
      </c>
      <c r="Q7" s="13">
        <v>150746</v>
      </c>
      <c r="R7" s="4">
        <v>68408</v>
      </c>
      <c r="S7" s="17">
        <v>147166</v>
      </c>
      <c r="T7" s="17">
        <v>25633</v>
      </c>
      <c r="U7" s="17">
        <v>43301</v>
      </c>
      <c r="V7" s="17">
        <v>262800</v>
      </c>
    </row>
    <row r="8" spans="1:22" ht="16.5" x14ac:dyDescent="0.35">
      <c r="A8" s="139"/>
      <c r="B8" s="56">
        <v>15000</v>
      </c>
      <c r="C8" s="56">
        <v>148344</v>
      </c>
      <c r="D8" s="56">
        <v>478034</v>
      </c>
      <c r="E8" s="56">
        <v>3239837</v>
      </c>
      <c r="F8" s="56">
        <v>2739028</v>
      </c>
      <c r="G8" s="56">
        <v>5339713</v>
      </c>
      <c r="H8" s="56">
        <v>9161996</v>
      </c>
      <c r="I8" s="56">
        <v>24707</v>
      </c>
      <c r="J8" s="56">
        <v>241299</v>
      </c>
      <c r="K8" s="56">
        <v>29656</v>
      </c>
      <c r="L8" s="56">
        <v>1228275</v>
      </c>
      <c r="M8" s="56">
        <v>13451</v>
      </c>
      <c r="N8" s="3"/>
      <c r="O8" s="56">
        <v>3674483</v>
      </c>
      <c r="P8" s="56">
        <v>1445040</v>
      </c>
      <c r="Q8" s="56">
        <v>118047</v>
      </c>
      <c r="R8" s="56">
        <v>197957</v>
      </c>
      <c r="S8" s="56">
        <v>265338</v>
      </c>
      <c r="T8" s="56">
        <v>158152</v>
      </c>
      <c r="U8" s="56">
        <v>149794</v>
      </c>
      <c r="V8" s="56">
        <v>106288</v>
      </c>
    </row>
    <row r="9" spans="1:22" ht="16.5" x14ac:dyDescent="0.35">
      <c r="A9" s="139"/>
      <c r="B9" s="56">
        <v>262828</v>
      </c>
      <c r="C9" s="56">
        <v>8534</v>
      </c>
      <c r="D9" s="56">
        <v>944573</v>
      </c>
      <c r="E9" s="56">
        <v>2432330</v>
      </c>
      <c r="F9" s="56">
        <v>3955423</v>
      </c>
      <c r="G9" s="56">
        <v>7948252</v>
      </c>
      <c r="H9" s="56">
        <v>6079611</v>
      </c>
      <c r="I9" s="56">
        <v>393504</v>
      </c>
      <c r="J9" s="56">
        <v>456047</v>
      </c>
      <c r="K9" s="56">
        <v>211988</v>
      </c>
      <c r="L9" s="56">
        <v>761876</v>
      </c>
      <c r="M9" s="56">
        <v>284455</v>
      </c>
      <c r="N9" s="3"/>
      <c r="O9" s="56">
        <v>376340</v>
      </c>
      <c r="P9" s="56">
        <v>265061</v>
      </c>
      <c r="Q9" s="56">
        <v>269426</v>
      </c>
      <c r="R9" s="56">
        <v>277241</v>
      </c>
      <c r="S9" s="56">
        <v>150330</v>
      </c>
      <c r="T9" s="56">
        <v>246376</v>
      </c>
      <c r="U9" s="56">
        <v>32731</v>
      </c>
      <c r="V9" s="56">
        <v>21859</v>
      </c>
    </row>
    <row r="10" spans="1:22" ht="16.5" x14ac:dyDescent="0.35">
      <c r="A10" s="139"/>
      <c r="B10" s="56">
        <v>152695</v>
      </c>
      <c r="C10" s="56">
        <v>73747</v>
      </c>
      <c r="D10" s="56">
        <v>46515</v>
      </c>
      <c r="E10" s="56">
        <v>742784</v>
      </c>
      <c r="F10" s="56">
        <v>2446038</v>
      </c>
      <c r="G10" s="56">
        <v>4631856</v>
      </c>
      <c r="H10" s="56">
        <v>5485397</v>
      </c>
      <c r="I10" s="56">
        <v>120354</v>
      </c>
      <c r="J10" s="56">
        <v>130066</v>
      </c>
      <c r="K10" s="56">
        <v>30224</v>
      </c>
      <c r="L10" s="56">
        <v>170015</v>
      </c>
      <c r="M10" s="56">
        <v>8560</v>
      </c>
      <c r="N10" s="3"/>
      <c r="O10" s="56">
        <v>1065610</v>
      </c>
      <c r="P10" s="13"/>
      <c r="Q10" s="56">
        <v>14996</v>
      </c>
      <c r="R10" s="56">
        <v>801104</v>
      </c>
      <c r="S10" s="56">
        <v>53033</v>
      </c>
      <c r="T10" s="56">
        <v>205510</v>
      </c>
      <c r="U10" s="56">
        <v>436364</v>
      </c>
      <c r="V10" s="56">
        <v>325121</v>
      </c>
    </row>
    <row r="11" spans="1:22" ht="16.5" x14ac:dyDescent="0.35">
      <c r="A11" s="139"/>
      <c r="B11" s="56">
        <v>40308</v>
      </c>
      <c r="C11" s="13">
        <v>323718</v>
      </c>
      <c r="D11" s="17">
        <v>1334967</v>
      </c>
      <c r="E11" s="17">
        <v>1400809</v>
      </c>
      <c r="F11" s="17">
        <v>2649510</v>
      </c>
      <c r="G11" s="17">
        <v>7904514</v>
      </c>
      <c r="H11" s="17">
        <v>6189957</v>
      </c>
      <c r="I11" s="17">
        <v>77296</v>
      </c>
      <c r="J11" s="16">
        <v>2966</v>
      </c>
      <c r="K11" s="13">
        <v>156450</v>
      </c>
      <c r="L11" s="13">
        <v>32938</v>
      </c>
      <c r="M11" s="13">
        <v>20303</v>
      </c>
      <c r="N11" s="3"/>
      <c r="O11" s="56">
        <v>788986</v>
      </c>
      <c r="P11" s="13"/>
      <c r="Q11" s="56">
        <v>43632</v>
      </c>
      <c r="R11" s="56">
        <v>373114</v>
      </c>
      <c r="S11" s="56">
        <v>60905</v>
      </c>
      <c r="T11" s="56">
        <v>166622</v>
      </c>
      <c r="U11" s="56">
        <v>52782</v>
      </c>
      <c r="V11" s="56">
        <v>177023</v>
      </c>
    </row>
    <row r="12" spans="1:22" ht="16.5" x14ac:dyDescent="0.35">
      <c r="A12" s="139"/>
      <c r="B12" s="56">
        <v>27192</v>
      </c>
      <c r="C12" s="13">
        <v>62432</v>
      </c>
      <c r="D12" s="17">
        <v>2315395</v>
      </c>
      <c r="E12" s="17">
        <v>1329778</v>
      </c>
      <c r="F12" s="17">
        <v>5954928</v>
      </c>
      <c r="G12" s="17">
        <v>4437642</v>
      </c>
      <c r="H12" s="17">
        <v>9196379</v>
      </c>
      <c r="I12" s="17">
        <v>229455</v>
      </c>
      <c r="J12" s="16">
        <v>5692</v>
      </c>
      <c r="K12" s="13">
        <v>29452</v>
      </c>
      <c r="L12" s="13">
        <v>116082</v>
      </c>
      <c r="M12" s="13">
        <v>89777</v>
      </c>
      <c r="N12" s="3"/>
      <c r="O12" s="17">
        <v>469135</v>
      </c>
      <c r="Q12" s="13">
        <v>23475</v>
      </c>
      <c r="R12" s="4">
        <v>1260684</v>
      </c>
      <c r="S12" s="17">
        <v>35622</v>
      </c>
      <c r="T12" s="17">
        <v>142997</v>
      </c>
      <c r="U12" s="17">
        <v>33952</v>
      </c>
      <c r="V12" s="17">
        <v>132647</v>
      </c>
    </row>
    <row r="13" spans="1:22" ht="16.5" x14ac:dyDescent="0.35">
      <c r="A13" s="139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2608127</v>
      </c>
      <c r="Q13" s="13"/>
      <c r="R13" s="4"/>
      <c r="S13" s="17"/>
      <c r="T13" s="17"/>
      <c r="U13" s="17"/>
      <c r="V13" s="17"/>
    </row>
    <row r="14" spans="1:22" ht="16.5" x14ac:dyDescent="0.35">
      <c r="A14" s="139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554767</v>
      </c>
      <c r="Q14" s="13"/>
      <c r="R14" s="4"/>
      <c r="S14" s="17"/>
      <c r="T14" s="17"/>
      <c r="U14" s="17"/>
      <c r="V14" s="17"/>
    </row>
    <row r="15" spans="1:22" ht="16.5" x14ac:dyDescent="0.35">
      <c r="A15" s="139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3412072</v>
      </c>
      <c r="Q15" s="13"/>
      <c r="R15" s="4"/>
      <c r="S15" s="17"/>
      <c r="T15" s="17"/>
      <c r="U15" s="17"/>
      <c r="V15" s="17"/>
    </row>
    <row r="16" spans="1:22" ht="16.5" x14ac:dyDescent="0.35">
      <c r="A16" s="139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1342163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1573527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1063070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10134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>
        <v>723005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3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3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Prochloraz-0.063mg/L</v>
      </c>
      <c r="J22" s="51" t="str">
        <f t="shared" si="0"/>
        <v>Prochloraz-0.13mg/L</v>
      </c>
      <c r="K22" s="51" t="str">
        <f t="shared" si="0"/>
        <v>Prochloraz-0.25mg/L</v>
      </c>
      <c r="L22" s="51" t="str">
        <f t="shared" si="0"/>
        <v>Prochloraz-0.5mg/L</v>
      </c>
      <c r="M22" s="51" t="str">
        <f t="shared" si="0"/>
        <v>Prochloraz-1mg/L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Prochloraz-0.063mg/L + Testostérone</v>
      </c>
      <c r="S22" s="51" t="str">
        <f t="shared" si="1"/>
        <v>Prochloraz-0.13mg/L + Testostérone</v>
      </c>
      <c r="T22" s="51" t="str">
        <f t="shared" si="1"/>
        <v>Prochloraz-0.25mg/L + Testostérone</v>
      </c>
      <c r="U22" s="51" t="str">
        <f t="shared" si="1"/>
        <v>Prochloraz-0.5mg/L + Testostérone</v>
      </c>
      <c r="V22" s="51" t="str">
        <f t="shared" si="1"/>
        <v>Prochloraz-1mg/L + Testostérone</v>
      </c>
    </row>
    <row r="23" spans="1:22" x14ac:dyDescent="0.35">
      <c r="A23" s="5" t="s">
        <v>0</v>
      </c>
      <c r="B23" s="5">
        <f>AVERAGE(B5:B20)</f>
        <v>73633.875</v>
      </c>
      <c r="C23" s="5">
        <f>AVERAGE(C5:C20)</f>
        <v>127135.125</v>
      </c>
      <c r="D23" s="5">
        <f>AVERAGE(D5:D20)</f>
        <v>1081835.875</v>
      </c>
      <c r="E23" s="5">
        <f>AVERAGE(E5:E20)</f>
        <v>1776189.375</v>
      </c>
      <c r="F23" s="5">
        <f t="shared" ref="F23:M23" si="2">AVERAGE(F5:F20)</f>
        <v>3305199.625</v>
      </c>
      <c r="G23" s="5">
        <f t="shared" si="2"/>
        <v>5818772.875</v>
      </c>
      <c r="H23" s="5">
        <f t="shared" si="2"/>
        <v>6581360.25</v>
      </c>
      <c r="I23" s="5">
        <f t="shared" si="2"/>
        <v>199130</v>
      </c>
      <c r="J23" s="5">
        <f t="shared" si="2"/>
        <v>121953.375</v>
      </c>
      <c r="K23" s="5">
        <f t="shared" si="2"/>
        <v>114778.875</v>
      </c>
      <c r="L23" s="5">
        <f t="shared" si="2"/>
        <v>449118.625</v>
      </c>
      <c r="M23" s="5">
        <f t="shared" si="2"/>
        <v>53664.75</v>
      </c>
      <c r="N23" s="5" t="s">
        <v>0</v>
      </c>
      <c r="O23" s="5">
        <f t="shared" ref="O23:V23" si="3">AVERAGE(O5:O20)</f>
        <v>1391253.9375</v>
      </c>
      <c r="P23" s="5">
        <f t="shared" si="3"/>
        <v>1081370</v>
      </c>
      <c r="Q23" s="5">
        <f t="shared" si="3"/>
        <v>118573.75</v>
      </c>
      <c r="R23" s="5">
        <f t="shared" si="3"/>
        <v>512235.25</v>
      </c>
      <c r="S23" s="5">
        <f t="shared" si="3"/>
        <v>169547.25</v>
      </c>
      <c r="T23" s="5">
        <f t="shared" si="3"/>
        <v>232244.875</v>
      </c>
      <c r="U23" s="5">
        <f t="shared" si="3"/>
        <v>150724.375</v>
      </c>
      <c r="V23" s="5">
        <f t="shared" si="3"/>
        <v>153240.625</v>
      </c>
    </row>
    <row r="24" spans="1:22" x14ac:dyDescent="0.35">
      <c r="A24" s="3" t="s">
        <v>1</v>
      </c>
      <c r="B24" s="3">
        <f>STDEV(B5:B20)</f>
        <v>92425.08454718109</v>
      </c>
      <c r="C24" s="3">
        <f>STDEV(C5:C20)</f>
        <v>111480.20718935781</v>
      </c>
      <c r="D24" s="3">
        <f>STDEV(D5:D20)</f>
        <v>739529.5630218361</v>
      </c>
      <c r="E24" s="3">
        <f>STDEV(E5:E20)</f>
        <v>1104513.122581159</v>
      </c>
      <c r="F24" s="3">
        <f t="shared" ref="F24:M24" si="4">STDEV(F5:F20)</f>
        <v>1454133.7669784164</v>
      </c>
      <c r="G24" s="3">
        <f t="shared" si="4"/>
        <v>1869839.4047430488</v>
      </c>
      <c r="H24" s="3">
        <f t="shared" si="4"/>
        <v>1746256.8116934944</v>
      </c>
      <c r="I24" s="3">
        <f t="shared" si="4"/>
        <v>130947.92837503877</v>
      </c>
      <c r="J24" s="3">
        <f t="shared" si="4"/>
        <v>157748.83158266635</v>
      </c>
      <c r="K24" s="3">
        <f t="shared" si="4"/>
        <v>137199.23199539055</v>
      </c>
      <c r="L24" s="3">
        <f t="shared" si="4"/>
        <v>419925.14568668325</v>
      </c>
      <c r="M24" s="3">
        <f t="shared" si="4"/>
        <v>97614.893043677366</v>
      </c>
      <c r="N24" s="3" t="s">
        <v>1</v>
      </c>
      <c r="O24" s="3">
        <f t="shared" ref="O24:V24" si="5">STDEV(O5:O20)</f>
        <v>1253727.2620646257</v>
      </c>
      <c r="P24" s="3">
        <f t="shared" si="5"/>
        <v>849689.4911975197</v>
      </c>
      <c r="Q24" s="3">
        <f t="shared" si="5"/>
        <v>123024.98568264206</v>
      </c>
      <c r="R24" s="3">
        <f t="shared" si="5"/>
        <v>428101.76719318569</v>
      </c>
      <c r="S24" s="3">
        <f t="shared" si="5"/>
        <v>209252.48249611212</v>
      </c>
      <c r="T24" s="3">
        <f t="shared" si="5"/>
        <v>210518.66039884684</v>
      </c>
      <c r="U24" s="3">
        <f t="shared" si="5"/>
        <v>153350.98980065074</v>
      </c>
      <c r="V24" s="3">
        <f t="shared" si="5"/>
        <v>109534.33083863642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s="1" customFormat="1" x14ac:dyDescent="0.3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Prochloraz-0.063mg/L</v>
      </c>
      <c r="J27" s="20" t="str">
        <f t="shared" si="6"/>
        <v>Prochloraz-0.13mg/L</v>
      </c>
      <c r="K27" s="20" t="str">
        <f t="shared" si="6"/>
        <v>Prochloraz-0.25mg/L</v>
      </c>
      <c r="L27" s="20" t="str">
        <f t="shared" si="6"/>
        <v>Prochloraz-0.5mg/L</v>
      </c>
      <c r="M27" s="20" t="str">
        <f t="shared" si="6"/>
        <v>Prochloraz-1mg/L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Prochloraz-0.063mg/L + Testostérone</v>
      </c>
      <c r="S27" s="21" t="str">
        <f t="shared" si="7"/>
        <v>Prochloraz-0.13mg/L + Testostérone</v>
      </c>
      <c r="T27" s="21" t="str">
        <f t="shared" si="7"/>
        <v>Prochloraz-0.25mg/L + Testostérone</v>
      </c>
      <c r="U27" s="21" t="str">
        <f t="shared" si="7"/>
        <v>Prochloraz-0.5mg/L + Testostérone</v>
      </c>
      <c r="V27" s="21" t="str">
        <f t="shared" si="7"/>
        <v>Prochloraz-1mg/L + Testostérone</v>
      </c>
    </row>
    <row r="28" spans="1:22" x14ac:dyDescent="0.35">
      <c r="A28" s="140" t="s">
        <v>36</v>
      </c>
      <c r="B28" s="11">
        <f t="shared" ref="B28:E35" si="8">IF(B5="","",(B5/$O$23))</f>
        <v>2.5875937547885646E-5</v>
      </c>
      <c r="C28" s="11">
        <f t="shared" si="8"/>
        <v>0.13593420647551627</v>
      </c>
      <c r="D28" s="11">
        <f t="shared" si="8"/>
        <v>0.50934698612488205</v>
      </c>
      <c r="E28" s="11">
        <f t="shared" si="8"/>
        <v>1.475120353432962</v>
      </c>
      <c r="F28" s="11">
        <f t="shared" ref="F28:M28" si="9">IF(F5="","",(F5/$O$23))</f>
        <v>1.266950592188351</v>
      </c>
      <c r="G28" s="11">
        <f t="shared" si="9"/>
        <v>2.3706664262360801</v>
      </c>
      <c r="H28" s="11">
        <f t="shared" si="9"/>
        <v>3.8095590295499164</v>
      </c>
      <c r="I28" s="11">
        <f t="shared" ref="I28:L35" si="10">IF(I5="","",(I5/$O$23))</f>
        <v>0.22687015755525938</v>
      </c>
      <c r="J28" s="11">
        <f t="shared" si="10"/>
        <v>1.5453684924431705E-3</v>
      </c>
      <c r="K28" s="11">
        <f t="shared" si="10"/>
        <v>3.9057571400404389E-2</v>
      </c>
      <c r="L28" s="11">
        <f t="shared" si="10"/>
        <v>7.7612718346754012E-2</v>
      </c>
      <c r="M28" s="11">
        <f t="shared" si="9"/>
        <v>4.6720442794793526E-4</v>
      </c>
      <c r="N28" s="6"/>
      <c r="O28" s="11">
        <f t="shared" ref="O28:V37" si="11">IF(O5="","",(O5/$O$23))</f>
        <v>2.6754130929458735</v>
      </c>
      <c r="P28" s="11">
        <f t="shared" ref="P28" si="12">IF(P5="","",(P5/$O$23))</f>
        <v>0.67908882378275393</v>
      </c>
      <c r="Q28" s="11">
        <f t="shared" si="11"/>
        <v>1.3937067473708408E-3</v>
      </c>
      <c r="R28" s="11">
        <f t="shared" si="11"/>
        <v>0.66365310825939716</v>
      </c>
      <c r="S28" s="11">
        <f t="shared" si="11"/>
        <v>3.8598273508929422E-4</v>
      </c>
      <c r="T28" s="11">
        <f t="shared" si="11"/>
        <v>0.13219010206754581</v>
      </c>
      <c r="U28" s="11">
        <f t="shared" si="11"/>
        <v>0.24001729015771428</v>
      </c>
      <c r="V28" s="11">
        <f t="shared" si="11"/>
        <v>6.9886594660581152E-3</v>
      </c>
    </row>
    <row r="29" spans="1:22" x14ac:dyDescent="0.35">
      <c r="A29" s="141"/>
      <c r="B29" s="11">
        <f t="shared" si="8"/>
        <v>3.7448231840134504E-4</v>
      </c>
      <c r="C29" s="11">
        <f t="shared" si="8"/>
        <v>4.6576687586194162E-4</v>
      </c>
      <c r="D29" s="11">
        <f t="shared" si="8"/>
        <v>0.68322178602998562</v>
      </c>
      <c r="E29" s="11">
        <f t="shared" si="8"/>
        <v>2.3993463091276965E-2</v>
      </c>
      <c r="F29" s="11">
        <f t="shared" ref="F29:M29" si="13">IF(F6="","",(F6/$O$23))</f>
        <v>3.4342889326054467</v>
      </c>
      <c r="G29" s="11">
        <f t="shared" si="13"/>
        <v>5.7791232666322641</v>
      </c>
      <c r="H29" s="11">
        <f t="shared" si="13"/>
        <v>4.8809644429128527</v>
      </c>
      <c r="I29" s="11">
        <f t="shared" si="10"/>
        <v>9.1578536862182286E-2</v>
      </c>
      <c r="J29" s="11">
        <f t="shared" si="10"/>
        <v>6.1479071285647308E-2</v>
      </c>
      <c r="K29" s="11">
        <f t="shared" si="10"/>
        <v>2.5034969577579363E-3</v>
      </c>
      <c r="L29" s="11">
        <f t="shared" si="10"/>
        <v>0.47949406073109496</v>
      </c>
      <c r="M29" s="11">
        <f t="shared" si="13"/>
        <v>1.8127531804379888E-3</v>
      </c>
      <c r="N29" s="6"/>
      <c r="O29" s="11">
        <f t="shared" si="11"/>
        <v>0.34684106689185917</v>
      </c>
      <c r="P29" s="11">
        <f t="shared" ref="P29" si="14">IF(P6="","",(P6/$O$23))</f>
        <v>0.28899540850356081</v>
      </c>
      <c r="Q29" s="11">
        <f t="shared" si="11"/>
        <v>0.23455746733511043</v>
      </c>
      <c r="R29" s="11">
        <f t="shared" si="11"/>
        <v>0.1409261060941292</v>
      </c>
      <c r="S29" s="11">
        <f t="shared" si="11"/>
        <v>0.46249428853817709</v>
      </c>
      <c r="T29" s="11">
        <f t="shared" si="11"/>
        <v>0.52381451031832205</v>
      </c>
      <c r="U29" s="11">
        <f t="shared" si="11"/>
        <v>8.8370639382287466E-2</v>
      </c>
      <c r="V29" s="11">
        <f t="shared" si="11"/>
        <v>0.136900960253347</v>
      </c>
    </row>
    <row r="30" spans="1:22" x14ac:dyDescent="0.35">
      <c r="A30" s="141"/>
      <c r="B30" s="11">
        <f t="shared" si="8"/>
        <v>6.5042762906825549E-2</v>
      </c>
      <c r="C30" s="11">
        <f t="shared" si="8"/>
        <v>0.15133038931650822</v>
      </c>
      <c r="D30" s="11">
        <f t="shared" si="8"/>
        <v>1.3484504513756317</v>
      </c>
      <c r="E30" s="11">
        <f t="shared" si="8"/>
        <v>2.1407515333626863</v>
      </c>
      <c r="F30" s="11">
        <f t="shared" ref="F30:M30" si="15">IF(F7="","",(F7/$O$23))</f>
        <v>1.5497185250553873</v>
      </c>
      <c r="G30" s="11">
        <f t="shared" si="15"/>
        <v>3.5577825633287739</v>
      </c>
      <c r="H30" s="11">
        <f t="shared" si="15"/>
        <v>3.1962655271910059</v>
      </c>
      <c r="I30" s="11">
        <f t="shared" si="10"/>
        <v>0.2189974035563152</v>
      </c>
      <c r="J30" s="11">
        <f t="shared" si="10"/>
        <v>3.7285788454417219E-2</v>
      </c>
      <c r="K30" s="11">
        <f t="shared" si="10"/>
        <v>0.28940726717619802</v>
      </c>
      <c r="L30" s="11">
        <f t="shared" si="10"/>
        <v>0.36563131020788214</v>
      </c>
      <c r="M30" s="11">
        <f t="shared" si="15"/>
        <v>6.9002500127695061E-3</v>
      </c>
      <c r="N30" s="6"/>
      <c r="O30" s="11">
        <f t="shared" si="11"/>
        <v>0.28314097763335172</v>
      </c>
      <c r="P30" s="11">
        <f t="shared" ref="P30" si="16">IF(P7="","",(P7/$O$23))</f>
        <v>1.6890503858861496</v>
      </c>
      <c r="Q30" s="11">
        <f t="shared" si="11"/>
        <v>0.10835261337759916</v>
      </c>
      <c r="R30" s="11">
        <f t="shared" si="11"/>
        <v>4.9170031549326705E-2</v>
      </c>
      <c r="S30" s="11">
        <f t="shared" si="11"/>
        <v>0.10577939514367053</v>
      </c>
      <c r="T30" s="11">
        <f t="shared" si="11"/>
        <v>1.8424386310137576E-2</v>
      </c>
      <c r="U30" s="11">
        <f t="shared" si="11"/>
        <v>3.1123721437805455E-2</v>
      </c>
      <c r="V30" s="11">
        <f t="shared" si="11"/>
        <v>0.18889434409956521</v>
      </c>
    </row>
    <row r="31" spans="1:22" x14ac:dyDescent="0.35">
      <c r="A31" s="141"/>
      <c r="B31" s="11">
        <f t="shared" si="8"/>
        <v>1.0781640644952352E-2</v>
      </c>
      <c r="C31" s="11">
        <f t="shared" si="8"/>
        <v>0.10662611332232079</v>
      </c>
      <c r="D31" s="11">
        <f t="shared" si="8"/>
        <v>0.34359938693794351</v>
      </c>
      <c r="E31" s="11">
        <f t="shared" si="8"/>
        <v>2.3287172188146998</v>
      </c>
      <c r="F31" s="11">
        <f t="shared" ref="F31:M31" si="17">IF(F8="","",(F8/$O$23))</f>
        <v>1.9687477074975035</v>
      </c>
      <c r="G31" s="11">
        <f t="shared" si="17"/>
        <v>3.8380577808786973</v>
      </c>
      <c r="H31" s="11">
        <f t="shared" si="17"/>
        <v>6.585423230832725</v>
      </c>
      <c r="I31" s="11">
        <f t="shared" si="10"/>
        <v>1.7758799694322518E-2</v>
      </c>
      <c r="J31" s="11">
        <f t="shared" si="10"/>
        <v>0.17343994039909053</v>
      </c>
      <c r="K31" s="11">
        <f t="shared" si="10"/>
        <v>2.1316022331113797E-2</v>
      </c>
      <c r="L31" s="11">
        <f t="shared" si="10"/>
        <v>0.88285464421192339</v>
      </c>
      <c r="M31" s="11">
        <f t="shared" si="17"/>
        <v>9.6682565543502724E-3</v>
      </c>
      <c r="N31" s="6"/>
      <c r="O31" s="11">
        <f t="shared" si="11"/>
        <v>2.6411303507990969</v>
      </c>
      <c r="P31" s="11">
        <f t="shared" ref="P31" si="18">IF(P8="","",(P8/$O$23))</f>
        <v>1.0386601331721299</v>
      </c>
      <c r="Q31" s="11">
        <f t="shared" si="11"/>
        <v>8.4849355547646027E-2</v>
      </c>
      <c r="R31" s="11">
        <f t="shared" si="11"/>
        <v>0.14228674914352218</v>
      </c>
      <c r="S31" s="11">
        <f t="shared" si="11"/>
        <v>0.19071859769669117</v>
      </c>
      <c r="T31" s="11">
        <f t="shared" si="11"/>
        <v>0.11367586875203363</v>
      </c>
      <c r="U31" s="11">
        <f t="shared" si="11"/>
        <v>0.10766833858466618</v>
      </c>
      <c r="V31" s="11">
        <f t="shared" si="11"/>
        <v>7.6397268058046378E-2</v>
      </c>
    </row>
    <row r="32" spans="1:22" x14ac:dyDescent="0.35">
      <c r="A32" s="141"/>
      <c r="B32" s="11">
        <f t="shared" si="8"/>
        <v>0.18891446982876914</v>
      </c>
      <c r="C32" s="11">
        <f t="shared" si="8"/>
        <v>6.1340347509348915E-3</v>
      </c>
      <c r="D32" s="11">
        <f t="shared" si="8"/>
        <v>0.6789364432616386</v>
      </c>
      <c r="E32" s="11">
        <f t="shared" si="8"/>
        <v>1.7483005326624637</v>
      </c>
      <c r="F32" s="11">
        <f t="shared" ref="F32:M32" si="19">IF(F9="","",(F9/$O$23))</f>
        <v>2.8430632923186248</v>
      </c>
      <c r="G32" s="11">
        <f t="shared" si="19"/>
        <v>5.7130131213015884</v>
      </c>
      <c r="H32" s="11">
        <f t="shared" si="19"/>
        <v>4.3698787375399615</v>
      </c>
      <c r="I32" s="11">
        <f t="shared" si="10"/>
        <v>0.28284124802342203</v>
      </c>
      <c r="J32" s="11">
        <f t="shared" si="10"/>
        <v>0.32779565808057237</v>
      </c>
      <c r="K32" s="11">
        <f t="shared" si="10"/>
        <v>0.15237189580281063</v>
      </c>
      <c r="L32" s="11">
        <f t="shared" si="10"/>
        <v>0.54761821653424791</v>
      </c>
      <c r="M32" s="11">
        <f t="shared" si="19"/>
        <v>0.20445943931066143</v>
      </c>
      <c r="N32" s="6"/>
      <c r="O32" s="11">
        <f t="shared" si="11"/>
        <v>0.27050417602142457</v>
      </c>
      <c r="P32" s="11">
        <f t="shared" ref="P32" si="20">IF(P9="","",(P9/$O$23))</f>
        <v>0.19051949673278104</v>
      </c>
      <c r="Q32" s="11">
        <f t="shared" si="11"/>
        <v>0.19365695416046216</v>
      </c>
      <c r="R32" s="11">
        <f t="shared" si="11"/>
        <v>0.19927418893648235</v>
      </c>
      <c r="S32" s="11">
        <f t="shared" si="11"/>
        <v>0.10805360254371248</v>
      </c>
      <c r="T32" s="11">
        <f t="shared" si="11"/>
        <v>0.17708916636938538</v>
      </c>
      <c r="U32" s="11">
        <f t="shared" si="11"/>
        <v>2.3526258663329028E-2</v>
      </c>
      <c r="V32" s="11">
        <f t="shared" si="11"/>
        <v>1.5711725523867567E-2</v>
      </c>
    </row>
    <row r="33" spans="1:22" x14ac:dyDescent="0.35">
      <c r="A33" s="141"/>
      <c r="B33" s="11">
        <f t="shared" si="8"/>
        <v>0.10975350788539996</v>
      </c>
      <c r="C33" s="11">
        <f t="shared" si="8"/>
        <v>5.300757684288674E-2</v>
      </c>
      <c r="D33" s="11">
        <f t="shared" si="8"/>
        <v>3.3433867639997249E-2</v>
      </c>
      <c r="E33" s="11">
        <f t="shared" si="8"/>
        <v>0.53389534432135255</v>
      </c>
      <c r="F33" s="11">
        <f t="shared" ref="F33:M33" si="21">IF(F10="","",(F10/$O$23))</f>
        <v>1.7581535146598641</v>
      </c>
      <c r="G33" s="11">
        <f t="shared" si="21"/>
        <v>3.3292671274110948</v>
      </c>
      <c r="H33" s="11">
        <f t="shared" si="21"/>
        <v>3.9427719499266467</v>
      </c>
      <c r="I33" s="11">
        <f t="shared" si="10"/>
        <v>8.6507571878839701E-2</v>
      </c>
      <c r="J33" s="11">
        <f t="shared" si="10"/>
        <v>9.3488324808424852E-2</v>
      </c>
      <c r="K33" s="11">
        <f t="shared" si="10"/>
        <v>2.1724287123535992E-2</v>
      </c>
      <c r="L33" s="11">
        <f t="shared" si="10"/>
        <v>0.12220270895010495</v>
      </c>
      <c r="M33" s="11">
        <f t="shared" si="21"/>
        <v>6.1527229280528093E-3</v>
      </c>
      <c r="N33" s="6"/>
      <c r="O33" s="11">
        <f t="shared" si="11"/>
        <v>0.76593493917784505</v>
      </c>
      <c r="P33" s="11" t="str">
        <f t="shared" ref="P33" si="22">IF(P10="","",(P10/$O$23))</f>
        <v/>
      </c>
      <c r="Q33" s="11">
        <f t="shared" si="11"/>
        <v>1.0778765540780366E-2</v>
      </c>
      <c r="R33" s="11">
        <f t="shared" si="11"/>
        <v>0.57581436314892731</v>
      </c>
      <c r="S33" s="11">
        <f t="shared" si="11"/>
        <v>3.8118849888250539E-2</v>
      </c>
      <c r="T33" s="11">
        <f t="shared" si="11"/>
        <v>0.14771566459627719</v>
      </c>
      <c r="U33" s="11">
        <f t="shared" si="11"/>
        <v>0.31364798922626591</v>
      </c>
      <c r="V33" s="11">
        <f t="shared" si="11"/>
        <v>0.23368918587517026</v>
      </c>
    </row>
    <row r="34" spans="1:22" x14ac:dyDescent="0.35">
      <c r="A34" s="141"/>
      <c r="B34" s="11">
        <f t="shared" si="8"/>
        <v>2.897242474111596E-2</v>
      </c>
      <c r="C34" s="11">
        <f t="shared" si="8"/>
        <v>0.23268074308684572</v>
      </c>
      <c r="D34" s="11">
        <f t="shared" si="8"/>
        <v>0.95954229779134048</v>
      </c>
      <c r="E34" s="11">
        <f t="shared" si="8"/>
        <v>1.0068679500143374</v>
      </c>
      <c r="F34" s="11">
        <f t="shared" ref="F34:M34" si="23">IF(F11="","",(F11/$O$23))</f>
        <v>1.9044043136805138</v>
      </c>
      <c r="G34" s="11">
        <f t="shared" si="23"/>
        <v>5.6815752947329932</v>
      </c>
      <c r="H34" s="11">
        <f t="shared" si="23"/>
        <v>4.4491927987804889</v>
      </c>
      <c r="I34" s="11">
        <f t="shared" si="10"/>
        <v>5.5558513019482468E-2</v>
      </c>
      <c r="J34" s="11">
        <f t="shared" si="10"/>
        <v>2.1318897435285786E-3</v>
      </c>
      <c r="K34" s="11">
        <f t="shared" si="10"/>
        <v>0.11245251192685304</v>
      </c>
      <c r="L34" s="11">
        <f t="shared" si="10"/>
        <v>2.3675045304229373E-2</v>
      </c>
      <c r="M34" s="11">
        <f t="shared" si="23"/>
        <v>1.4593310000964508E-2</v>
      </c>
      <c r="N34" s="6"/>
      <c r="O34" s="11">
        <f t="shared" si="11"/>
        <v>0.56710423505989183</v>
      </c>
      <c r="P34" s="11" t="str">
        <f t="shared" ref="P34" si="24">IF(P11="","",(P11/$O$23))</f>
        <v/>
      </c>
      <c r="Q34" s="11">
        <f t="shared" si="11"/>
        <v>3.1361636308037406E-2</v>
      </c>
      <c r="R34" s="11">
        <f t="shared" si="11"/>
        <v>0.2681854045067168</v>
      </c>
      <c r="S34" s="11">
        <f t="shared" si="11"/>
        <v>4.3777054898721537E-2</v>
      </c>
      <c r="T34" s="11">
        <f t="shared" si="11"/>
        <v>0.11976390183621673</v>
      </c>
      <c r="U34" s="11">
        <f t="shared" si="11"/>
        <v>3.793843710145834E-2</v>
      </c>
      <c r="V34" s="11">
        <f t="shared" si="11"/>
        <v>0.12723989145942668</v>
      </c>
    </row>
    <row r="35" spans="1:22" x14ac:dyDescent="0.35">
      <c r="A35" s="141"/>
      <c r="B35" s="11">
        <f t="shared" si="8"/>
        <v>1.9544958161169624E-2</v>
      </c>
      <c r="C35" s="11">
        <f t="shared" si="8"/>
        <v>4.4874625916377683E-2</v>
      </c>
      <c r="D35" s="11">
        <f t="shared" si="8"/>
        <v>1.6642504560746301</v>
      </c>
      <c r="E35" s="11">
        <f t="shared" si="8"/>
        <v>0.95581256890422994</v>
      </c>
      <c r="F35" s="11">
        <f t="shared" ref="F35:M35" si="25">IF(F12="","",(F12/$O$23))</f>
        <v>4.2802595841709881</v>
      </c>
      <c r="G35" s="11">
        <f t="shared" si="25"/>
        <v>3.1896707569965099</v>
      </c>
      <c r="H35" s="11">
        <f t="shared" si="25"/>
        <v>6.6101369075190846</v>
      </c>
      <c r="I35" s="11">
        <f t="shared" si="10"/>
        <v>0.16492675694583614</v>
      </c>
      <c r="J35" s="11">
        <f t="shared" si="10"/>
        <v>4.0912732367379195E-3</v>
      </c>
      <c r="K35" s="11">
        <f t="shared" si="10"/>
        <v>2.1169392018342444E-2</v>
      </c>
      <c r="L35" s="11">
        <f t="shared" si="10"/>
        <v>8.3436960623157266E-2</v>
      </c>
      <c r="M35" s="11">
        <f t="shared" si="25"/>
        <v>6.4529556812125827E-2</v>
      </c>
      <c r="N35" s="6"/>
      <c r="O35" s="11">
        <f t="shared" si="11"/>
        <v>0.33720299893131478</v>
      </c>
      <c r="P35" s="11" t="str">
        <f t="shared" ref="P35" si="26">IF(P12="","",(P12/$O$23))</f>
        <v/>
      </c>
      <c r="Q35" s="11">
        <f t="shared" si="11"/>
        <v>1.6873267609350432E-2</v>
      </c>
      <c r="R35" s="11">
        <f t="shared" si="11"/>
        <v>0.90614945698940741</v>
      </c>
      <c r="S35" s="11">
        <f t="shared" si="11"/>
        <v>2.5604240203632847E-2</v>
      </c>
      <c r="T35" s="11">
        <f t="shared" si="11"/>
        <v>0.10278281782041677</v>
      </c>
      <c r="U35" s="11">
        <f t="shared" si="11"/>
        <v>2.4403884211828153E-2</v>
      </c>
      <c r="V35" s="11">
        <f t="shared" si="11"/>
        <v>9.5343485775399653E-2</v>
      </c>
    </row>
    <row r="36" spans="1:22" s="1" customFormat="1" x14ac:dyDescent="0.35">
      <c r="A36" s="141"/>
      <c r="B36" s="11" t="str">
        <f t="shared" ref="B36:M36" si="27">IF(B13="","",(B13/$O$23))</f>
        <v/>
      </c>
      <c r="C36" s="11" t="str">
        <f t="shared" si="27"/>
        <v/>
      </c>
      <c r="D36" s="11" t="str">
        <f t="shared" si="27"/>
        <v/>
      </c>
      <c r="E36" s="11" t="str">
        <f t="shared" si="27"/>
        <v/>
      </c>
      <c r="F36" s="11" t="str">
        <f t="shared" si="27"/>
        <v/>
      </c>
      <c r="G36" s="11" t="str">
        <f t="shared" si="27"/>
        <v/>
      </c>
      <c r="H36" s="11" t="str">
        <f t="shared" si="27"/>
        <v/>
      </c>
      <c r="I36" s="11" t="str">
        <f t="shared" si="27"/>
        <v/>
      </c>
      <c r="J36" s="11" t="str">
        <f t="shared" si="27"/>
        <v/>
      </c>
      <c r="K36" s="11" t="str">
        <f t="shared" si="27"/>
        <v/>
      </c>
      <c r="L36" s="11" t="str">
        <f t="shared" si="27"/>
        <v/>
      </c>
      <c r="M36" s="11" t="str">
        <f t="shared" si="27"/>
        <v/>
      </c>
      <c r="N36" s="6"/>
      <c r="O36" s="11">
        <f t="shared" si="11"/>
        <v>1.8746592046931763</v>
      </c>
      <c r="P36" s="11" t="str">
        <f t="shared" ref="P36" si="28">IF(P13="","",(P13/$O$23))</f>
        <v/>
      </c>
      <c r="Q36" s="11" t="str">
        <f t="shared" si="11"/>
        <v/>
      </c>
      <c r="R36" s="11" t="str">
        <f t="shared" si="11"/>
        <v/>
      </c>
      <c r="S36" s="11" t="str">
        <f t="shared" si="11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s="1" customFormat="1" x14ac:dyDescent="0.35">
      <c r="A37" s="141"/>
      <c r="B37" s="11" t="str">
        <f t="shared" ref="B37:M37" si="29">IF(B14="","",(B14/$O$23))</f>
        <v/>
      </c>
      <c r="C37" s="11" t="str">
        <f t="shared" si="29"/>
        <v/>
      </c>
      <c r="D37" s="11" t="str">
        <f t="shared" si="29"/>
        <v/>
      </c>
      <c r="E37" s="11" t="str">
        <f t="shared" si="29"/>
        <v/>
      </c>
      <c r="F37" s="11" t="str">
        <f t="shared" si="29"/>
        <v/>
      </c>
      <c r="G37" s="11" t="str">
        <f t="shared" si="29"/>
        <v/>
      </c>
      <c r="H37" s="11" t="str">
        <f t="shared" si="29"/>
        <v/>
      </c>
      <c r="I37" s="11" t="str">
        <f t="shared" si="29"/>
        <v/>
      </c>
      <c r="J37" s="11" t="str">
        <f t="shared" si="29"/>
        <v/>
      </c>
      <c r="K37" s="11" t="str">
        <f t="shared" si="29"/>
        <v/>
      </c>
      <c r="L37" s="11" t="str">
        <f t="shared" si="29"/>
        <v/>
      </c>
      <c r="M37" s="11" t="str">
        <f t="shared" si="29"/>
        <v/>
      </c>
      <c r="N37" s="6"/>
      <c r="O37" s="11">
        <f t="shared" si="11"/>
        <v>0.39875322904521876</v>
      </c>
      <c r="P37" s="11" t="str">
        <f t="shared" ref="P37" si="30">IF(P14="","",(P14/$O$23))</f>
        <v/>
      </c>
      <c r="Q37" s="11" t="str">
        <f t="shared" si="11"/>
        <v/>
      </c>
      <c r="R37" s="11" t="str">
        <f t="shared" si="11"/>
        <v/>
      </c>
      <c r="S37" s="11" t="str">
        <f t="shared" si="11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s="1" customFormat="1" x14ac:dyDescent="0.35">
      <c r="A38" s="141"/>
      <c r="B38" s="11" t="str">
        <f t="shared" ref="B38:M38" si="31">IF(B15="","",(B15/$O$23))</f>
        <v/>
      </c>
      <c r="C38" s="11" t="str">
        <f t="shared" si="31"/>
        <v/>
      </c>
      <c r="D38" s="11" t="str">
        <f t="shared" si="31"/>
        <v/>
      </c>
      <c r="E38" s="11" t="str">
        <f t="shared" si="31"/>
        <v/>
      </c>
      <c r="F38" s="11" t="str">
        <f t="shared" si="31"/>
        <v/>
      </c>
      <c r="G38" s="11" t="str">
        <f t="shared" si="31"/>
        <v/>
      </c>
      <c r="H38" s="11" t="str">
        <f t="shared" si="31"/>
        <v/>
      </c>
      <c r="I38" s="11" t="str">
        <f t="shared" si="31"/>
        <v/>
      </c>
      <c r="J38" s="11" t="str">
        <f t="shared" si="31"/>
        <v/>
      </c>
      <c r="K38" s="11" t="str">
        <f t="shared" si="31"/>
        <v/>
      </c>
      <c r="L38" s="11" t="str">
        <f t="shared" si="31"/>
        <v/>
      </c>
      <c r="M38" s="11" t="str">
        <f t="shared" si="31"/>
        <v/>
      </c>
      <c r="N38" s="6"/>
      <c r="O38" s="11">
        <f t="shared" ref="O38:R38" si="32">IF(O15="","",(O15/$O$23))</f>
        <v>2.4525156105802575</v>
      </c>
      <c r="P38" s="11" t="str">
        <f t="shared" ref="P38" si="33">IF(P15="","",(P15/$O$23))</f>
        <v/>
      </c>
      <c r="Q38" s="11" t="str">
        <f t="shared" si="32"/>
        <v/>
      </c>
      <c r="R38" s="11" t="str">
        <f t="shared" si="32"/>
        <v/>
      </c>
      <c r="S38" s="11" t="str">
        <f t="shared" ref="S38:V43" si="34">IF(S15="","",(S15/$O$23))</f>
        <v/>
      </c>
      <c r="T38" s="11" t="str">
        <f t="shared" si="34"/>
        <v/>
      </c>
      <c r="U38" s="11" t="str">
        <f t="shared" si="34"/>
        <v/>
      </c>
      <c r="V38" s="11" t="str">
        <f t="shared" si="34"/>
        <v/>
      </c>
    </row>
    <row r="39" spans="1:22" s="1" customFormat="1" x14ac:dyDescent="0.35">
      <c r="A39" s="141"/>
      <c r="B39" s="11" t="str">
        <f t="shared" ref="B39:M39" si="35">IF(B16="","",(B16/$O$23))</f>
        <v/>
      </c>
      <c r="C39" s="11" t="str">
        <f t="shared" si="35"/>
        <v/>
      </c>
      <c r="D39" s="11" t="str">
        <f t="shared" si="35"/>
        <v/>
      </c>
      <c r="E39" s="11" t="str">
        <f t="shared" si="35"/>
        <v/>
      </c>
      <c r="F39" s="11" t="str">
        <f t="shared" si="35"/>
        <v/>
      </c>
      <c r="G39" s="11" t="str">
        <f t="shared" si="35"/>
        <v/>
      </c>
      <c r="H39" s="11" t="str">
        <f t="shared" si="35"/>
        <v/>
      </c>
      <c r="I39" s="11" t="str">
        <f t="shared" si="35"/>
        <v/>
      </c>
      <c r="J39" s="11" t="str">
        <f t="shared" si="35"/>
        <v/>
      </c>
      <c r="K39" s="11" t="str">
        <f t="shared" si="35"/>
        <v/>
      </c>
      <c r="L39" s="11" t="str">
        <f t="shared" si="35"/>
        <v/>
      </c>
      <c r="M39" s="11" t="str">
        <f t="shared" si="35"/>
        <v/>
      </c>
      <c r="N39" s="6"/>
      <c r="O39" s="11">
        <f t="shared" ref="O39:R39" si="36">IF(O16="","",(O16/$O$23))</f>
        <v>0.96471461019674565</v>
      </c>
      <c r="P39" s="11" t="str">
        <f t="shared" ref="P39" si="37">IF(P16="","",(P16/$O$23))</f>
        <v/>
      </c>
      <c r="Q39" s="11" t="str">
        <f t="shared" si="36"/>
        <v/>
      </c>
      <c r="R39" s="11" t="str">
        <f t="shared" si="36"/>
        <v/>
      </c>
      <c r="S39" s="11" t="str">
        <f t="shared" si="34"/>
        <v/>
      </c>
      <c r="T39" s="11" t="str">
        <f t="shared" si="34"/>
        <v/>
      </c>
      <c r="U39" s="11" t="str">
        <f t="shared" si="34"/>
        <v/>
      </c>
      <c r="V39" s="11" t="str">
        <f t="shared" si="34"/>
        <v/>
      </c>
    </row>
    <row r="40" spans="1:22" s="1" customFormat="1" x14ac:dyDescent="0.35">
      <c r="A40" s="141"/>
      <c r="B40" s="11" t="str">
        <f t="shared" ref="B40:M40" si="38">IF(B17="","",(B17/$O$23))</f>
        <v/>
      </c>
      <c r="C40" s="11" t="str">
        <f t="shared" si="38"/>
        <v/>
      </c>
      <c r="D40" s="11" t="str">
        <f t="shared" si="38"/>
        <v/>
      </c>
      <c r="E40" s="11" t="str">
        <f t="shared" si="38"/>
        <v/>
      </c>
      <c r="F40" s="11" t="str">
        <f t="shared" si="38"/>
        <v/>
      </c>
      <c r="G40" s="11" t="str">
        <f t="shared" si="38"/>
        <v/>
      </c>
      <c r="H40" s="11" t="str">
        <f t="shared" si="38"/>
        <v/>
      </c>
      <c r="I40" s="11" t="str">
        <f t="shared" si="38"/>
        <v/>
      </c>
      <c r="J40" s="11" t="str">
        <f t="shared" si="38"/>
        <v/>
      </c>
      <c r="K40" s="11" t="str">
        <f t="shared" si="38"/>
        <v/>
      </c>
      <c r="L40" s="11" t="str">
        <f t="shared" si="38"/>
        <v/>
      </c>
      <c r="M40" s="11" t="str">
        <f t="shared" si="38"/>
        <v/>
      </c>
      <c r="N40" s="6"/>
      <c r="O40" s="11">
        <f t="shared" ref="O40:R40" si="39">IF(O17="","",(O17/$O$23))</f>
        <v>1.1310135106086627</v>
      </c>
      <c r="P40" s="11" t="str">
        <f t="shared" ref="P40" si="40">IF(P17="","",(P17/$O$23))</f>
        <v/>
      </c>
      <c r="Q40" s="11" t="str">
        <f t="shared" si="39"/>
        <v/>
      </c>
      <c r="R40" s="11" t="str">
        <f t="shared" si="39"/>
        <v/>
      </c>
      <c r="S40" s="11" t="str">
        <f t="shared" si="34"/>
        <v/>
      </c>
      <c r="T40" s="11" t="str">
        <f t="shared" si="34"/>
        <v/>
      </c>
      <c r="U40" s="11" t="str">
        <f t="shared" si="34"/>
        <v/>
      </c>
      <c r="V40" s="11" t="str">
        <f t="shared" si="34"/>
        <v/>
      </c>
    </row>
    <row r="41" spans="1:22" s="1" customFormat="1" x14ac:dyDescent="0.35">
      <c r="A41" s="141"/>
      <c r="B41" s="11" t="str">
        <f t="shared" ref="B41:M41" si="41">IF(B18="","",(B18/$O$23))</f>
        <v/>
      </c>
      <c r="C41" s="11" t="str">
        <f t="shared" si="41"/>
        <v/>
      </c>
      <c r="D41" s="11" t="str">
        <f t="shared" si="41"/>
        <v/>
      </c>
      <c r="E41" s="11" t="str">
        <f t="shared" si="41"/>
        <v/>
      </c>
      <c r="F41" s="11" t="str">
        <f t="shared" si="41"/>
        <v/>
      </c>
      <c r="G41" s="11" t="str">
        <f t="shared" si="41"/>
        <v/>
      </c>
      <c r="H41" s="11" t="str">
        <f t="shared" si="41"/>
        <v/>
      </c>
      <c r="I41" s="11" t="str">
        <f t="shared" si="41"/>
        <v/>
      </c>
      <c r="J41" s="11" t="str">
        <f t="shared" si="41"/>
        <v/>
      </c>
      <c r="K41" s="11" t="str">
        <f t="shared" si="41"/>
        <v/>
      </c>
      <c r="L41" s="11" t="str">
        <f t="shared" si="41"/>
        <v/>
      </c>
      <c r="M41" s="11" t="str">
        <f t="shared" si="41"/>
        <v/>
      </c>
      <c r="N41" s="6"/>
      <c r="O41" s="11">
        <f t="shared" ref="O41:R41" si="42">IF(O18="","",(O18/$O$23))</f>
        <v>0.76410924802863311</v>
      </c>
      <c r="P41" s="11" t="str">
        <f t="shared" ref="P41" si="43">IF(P18="","",(P18/$O$23))</f>
        <v/>
      </c>
      <c r="Q41" s="11" t="str">
        <f t="shared" si="42"/>
        <v/>
      </c>
      <c r="R41" s="11" t="str">
        <f t="shared" si="42"/>
        <v/>
      </c>
      <c r="S41" s="11" t="str">
        <f t="shared" si="34"/>
        <v/>
      </c>
      <c r="T41" s="11" t="str">
        <f t="shared" si="34"/>
        <v/>
      </c>
      <c r="U41" s="11" t="str">
        <f t="shared" si="34"/>
        <v/>
      </c>
      <c r="V41" s="11" t="str">
        <f t="shared" si="34"/>
        <v/>
      </c>
    </row>
    <row r="42" spans="1:22" s="1" customFormat="1" x14ac:dyDescent="0.35">
      <c r="A42" s="141"/>
      <c r="B42" s="11" t="str">
        <f t="shared" ref="B42:M42" si="44">IF(B19="","",(B19/$O$23))</f>
        <v/>
      </c>
      <c r="C42" s="11" t="str">
        <f t="shared" si="44"/>
        <v/>
      </c>
      <c r="D42" s="11" t="str">
        <f t="shared" si="44"/>
        <v/>
      </c>
      <c r="E42" s="11" t="str">
        <f t="shared" si="44"/>
        <v/>
      </c>
      <c r="F42" s="11" t="str">
        <f t="shared" si="44"/>
        <v/>
      </c>
      <c r="G42" s="11" t="str">
        <f t="shared" si="44"/>
        <v/>
      </c>
      <c r="H42" s="11" t="str">
        <f t="shared" si="44"/>
        <v/>
      </c>
      <c r="I42" s="11" t="str">
        <f t="shared" si="44"/>
        <v/>
      </c>
      <c r="J42" s="11" t="str">
        <f t="shared" si="44"/>
        <v/>
      </c>
      <c r="K42" s="11" t="str">
        <f t="shared" si="44"/>
        <v/>
      </c>
      <c r="L42" s="11" t="str">
        <f t="shared" si="44"/>
        <v/>
      </c>
      <c r="M42" s="11" t="str">
        <f t="shared" si="44"/>
        <v/>
      </c>
      <c r="N42" s="6"/>
      <c r="O42" s="11">
        <f t="shared" ref="O42:R42" si="45">IF(O19="","",(O19/$O$23))</f>
        <v>7.2840764197298095E-3</v>
      </c>
      <c r="P42" s="11" t="str">
        <f t="shared" ref="P42" si="46">IF(P19="","",(P19/$O$23))</f>
        <v/>
      </c>
      <c r="Q42" s="11" t="str">
        <f t="shared" si="45"/>
        <v/>
      </c>
      <c r="R42" s="11" t="str">
        <f t="shared" si="45"/>
        <v/>
      </c>
      <c r="S42" s="11" t="str">
        <f t="shared" si="34"/>
        <v/>
      </c>
      <c r="T42" s="11" t="str">
        <f t="shared" si="34"/>
        <v/>
      </c>
      <c r="U42" s="11" t="str">
        <f t="shared" si="34"/>
        <v/>
      </c>
      <c r="V42" s="11" t="str">
        <f t="shared" si="34"/>
        <v/>
      </c>
    </row>
    <row r="43" spans="1:22" s="1" customFormat="1" x14ac:dyDescent="0.35">
      <c r="A43" s="141"/>
      <c r="B43" s="11" t="str">
        <f t="shared" ref="B43:M43" si="47">IF(B20="","",(B20/$O$23))</f>
        <v/>
      </c>
      <c r="C43" s="11" t="str">
        <f t="shared" si="47"/>
        <v/>
      </c>
      <c r="D43" s="11" t="str">
        <f t="shared" si="47"/>
        <v/>
      </c>
      <c r="E43" s="11" t="str">
        <f t="shared" si="47"/>
        <v/>
      </c>
      <c r="F43" s="11" t="str">
        <f t="shared" si="47"/>
        <v/>
      </c>
      <c r="G43" s="11" t="str">
        <f t="shared" si="47"/>
        <v/>
      </c>
      <c r="H43" s="11" t="str">
        <f t="shared" si="47"/>
        <v/>
      </c>
      <c r="I43" s="11" t="str">
        <f t="shared" si="47"/>
        <v/>
      </c>
      <c r="J43" s="11" t="str">
        <f t="shared" si="47"/>
        <v/>
      </c>
      <c r="K43" s="11" t="str">
        <f t="shared" si="47"/>
        <v/>
      </c>
      <c r="L43" s="11" t="str">
        <f t="shared" si="47"/>
        <v/>
      </c>
      <c r="M43" s="11" t="str">
        <f t="shared" si="47"/>
        <v/>
      </c>
      <c r="N43" s="6"/>
      <c r="O43" s="11">
        <f t="shared" ref="O43:R43" si="48">IF(O20="","",(O20/$O$23))</f>
        <v>0.51967867296691839</v>
      </c>
      <c r="P43" s="11" t="str">
        <f t="shared" ref="P43" si="49">IF(P20="","",(P20/$O$23))</f>
        <v/>
      </c>
      <c r="Q43" s="11" t="str">
        <f t="shared" si="48"/>
        <v/>
      </c>
      <c r="R43" s="11" t="str">
        <f t="shared" si="48"/>
        <v/>
      </c>
      <c r="S43" s="11" t="str">
        <f t="shared" si="34"/>
        <v/>
      </c>
      <c r="T43" s="11" t="str">
        <f t="shared" si="34"/>
        <v/>
      </c>
      <c r="U43" s="11" t="str">
        <f t="shared" si="34"/>
        <v/>
      </c>
      <c r="V43" s="11" t="str">
        <f t="shared" si="34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35">
      <c r="A45" s="53" t="str">
        <f t="shared" ref="A45:M45" si="50">A4</f>
        <v>Group names</v>
      </c>
      <c r="B45" s="53" t="str">
        <f t="shared" si="50"/>
        <v>Solvent control</v>
      </c>
      <c r="C45" s="53" t="str">
        <f t="shared" si="50"/>
        <v>EE2-33.8ng/L</v>
      </c>
      <c r="D45" s="53" t="str">
        <f t="shared" si="50"/>
        <v>EE2-50.6ng/L</v>
      </c>
      <c r="E45" s="53" t="str">
        <f t="shared" si="50"/>
        <v>EE2-76ng/L</v>
      </c>
      <c r="F45" s="53" t="str">
        <f t="shared" si="50"/>
        <v>EE2-114ng/L</v>
      </c>
      <c r="G45" s="53" t="str">
        <f t="shared" si="50"/>
        <v>EE2-170.9ng/L</v>
      </c>
      <c r="H45" s="53" t="str">
        <f t="shared" si="50"/>
        <v>EE2-488ng/L</v>
      </c>
      <c r="I45" s="53" t="str">
        <f t="shared" si="50"/>
        <v>Prochloraz-0.063mg/L</v>
      </c>
      <c r="J45" s="53" t="str">
        <f t="shared" si="50"/>
        <v>Prochloraz-0.13mg/L</v>
      </c>
      <c r="K45" s="53" t="str">
        <f t="shared" si="50"/>
        <v>Prochloraz-0.25mg/L</v>
      </c>
      <c r="L45" s="53" t="str">
        <f t="shared" si="50"/>
        <v>Prochloraz-0.5mg/L</v>
      </c>
      <c r="M45" s="53" t="str">
        <f t="shared" si="50"/>
        <v>Prochloraz-1mg/L</v>
      </c>
      <c r="N45" s="53" t="str">
        <f>N22</f>
        <v>Nom des groupes</v>
      </c>
      <c r="O45" s="53" t="str">
        <f t="shared" ref="O45:V45" si="51">O4</f>
        <v>Testo -30µg/L</v>
      </c>
      <c r="P45" s="53" t="str">
        <f t="shared" si="51"/>
        <v>Testo 30µg/L + EE2 -64ng/L</v>
      </c>
      <c r="Q45" s="53" t="str">
        <f t="shared" si="51"/>
        <v>Testo 30µg/L + FAD-10mg/L</v>
      </c>
      <c r="R45" s="53" t="str">
        <f t="shared" si="51"/>
        <v>Prochloraz-0.063mg/L + Testostérone</v>
      </c>
      <c r="S45" s="53" t="str">
        <f t="shared" si="51"/>
        <v>Prochloraz-0.13mg/L + Testostérone</v>
      </c>
      <c r="T45" s="53" t="str">
        <f t="shared" si="51"/>
        <v>Prochloraz-0.25mg/L + Testostérone</v>
      </c>
      <c r="U45" s="53" t="str">
        <f t="shared" si="51"/>
        <v>Prochloraz-0.5mg/L + Testostérone</v>
      </c>
      <c r="V45" s="53" t="str">
        <f t="shared" si="51"/>
        <v>Prochloraz-1mg/L + Testostérone</v>
      </c>
    </row>
    <row r="46" spans="1:22" x14ac:dyDescent="0.35">
      <c r="A46" s="8" t="s">
        <v>0</v>
      </c>
      <c r="B46" s="10">
        <f t="shared" ref="B46:H46" si="52">AVERAGE(B28:B43)</f>
        <v>5.2926265303022725E-2</v>
      </c>
      <c r="C46" s="10">
        <f t="shared" si="52"/>
        <v>9.1381682073406537E-2</v>
      </c>
      <c r="D46" s="10">
        <f t="shared" si="52"/>
        <v>0.77759770940450612</v>
      </c>
      <c r="E46" s="10">
        <f t="shared" si="52"/>
        <v>1.276682370575501</v>
      </c>
      <c r="F46" s="10">
        <f t="shared" si="52"/>
        <v>2.375698307772085</v>
      </c>
      <c r="G46" s="10">
        <f t="shared" si="52"/>
        <v>4.1823945421897504</v>
      </c>
      <c r="H46" s="10">
        <f t="shared" si="52"/>
        <v>4.7305240780315856</v>
      </c>
      <c r="I46" s="10">
        <f>AVERAGE(I28:I43)</f>
        <v>0.14312987344195746</v>
      </c>
      <c r="J46" s="9">
        <f>AVERAGE(J28:J43)</f>
        <v>8.7657164312607755E-2</v>
      </c>
      <c r="K46" s="9">
        <f>AVERAGE(K28:K43)</f>
        <v>8.2500305592127038E-2</v>
      </c>
      <c r="L46" s="9">
        <f t="shared" ref="L46:M46" si="53">AVERAGE(L28:L43)</f>
        <v>0.32281570811367427</v>
      </c>
      <c r="M46" s="9">
        <f t="shared" si="53"/>
        <v>3.8572936653413784E-2</v>
      </c>
      <c r="N46" s="8" t="s">
        <v>0</v>
      </c>
      <c r="O46" s="10">
        <f>AVERAGE(O28:O43)</f>
        <v>1</v>
      </c>
      <c r="P46" s="10">
        <f>AVERAGE(P28:P43)</f>
        <v>0.77726284961547509</v>
      </c>
      <c r="Q46" s="10">
        <f>AVERAGE(Q28:Q43)</f>
        <v>8.5227970828294614E-2</v>
      </c>
      <c r="R46" s="10">
        <f>AVERAGE(R28:R43)</f>
        <v>0.36818242607848867</v>
      </c>
      <c r="S46" s="10">
        <f t="shared" ref="S46:V46" si="54">AVERAGE(S28:S43)</f>
        <v>0.12186650145599318</v>
      </c>
      <c r="T46" s="10">
        <f t="shared" si="54"/>
        <v>0.16693205225879187</v>
      </c>
      <c r="U46" s="10">
        <f t="shared" si="54"/>
        <v>0.10833706984566935</v>
      </c>
      <c r="V46" s="10">
        <f t="shared" si="54"/>
        <v>0.11014569006386012</v>
      </c>
    </row>
    <row r="47" spans="1:22" x14ac:dyDescent="0.35">
      <c r="A47" s="8" t="s">
        <v>1</v>
      </c>
      <c r="B47" s="8">
        <f t="shared" ref="B47:K47" si="55">STDEV(B28:B43)</f>
        <v>6.643293654446969E-2</v>
      </c>
      <c r="C47" s="8">
        <f t="shared" si="55"/>
        <v>8.0129302196032634E-2</v>
      </c>
      <c r="D47" s="8">
        <f t="shared" si="55"/>
        <v>0.53155613298800541</v>
      </c>
      <c r="E47" s="8">
        <f t="shared" si="55"/>
        <v>0.79389757168695063</v>
      </c>
      <c r="F47" s="8">
        <f t="shared" si="55"/>
        <v>1.045196515016811</v>
      </c>
      <c r="G47" s="8">
        <f t="shared" si="55"/>
        <v>1.3439957683807435</v>
      </c>
      <c r="H47" s="8">
        <f t="shared" si="55"/>
        <v>1.2551675611652968</v>
      </c>
      <c r="I47" s="8">
        <f>STDEV(I28:I43)</f>
        <v>9.4122233796041843E-2</v>
      </c>
      <c r="J47" s="8">
        <f t="shared" si="55"/>
        <v>0.11338608095236123</v>
      </c>
      <c r="K47" s="8">
        <f t="shared" si="55"/>
        <v>9.8615521075850004E-2</v>
      </c>
      <c r="L47" s="8">
        <f t="shared" ref="L47:M47" si="56">STDEV(L28:L43)</f>
        <v>0.30183213457153885</v>
      </c>
      <c r="M47" s="8">
        <f t="shared" si="56"/>
        <v>7.0163246559492576E-2</v>
      </c>
      <c r="N47" s="8" t="s">
        <v>1</v>
      </c>
      <c r="O47" s="8">
        <f>STDEV(O28:O43)</f>
        <v>0.90114912042405293</v>
      </c>
      <c r="P47" s="8">
        <f>STDEV(P28:P43)</f>
        <v>0.61073645025893741</v>
      </c>
      <c r="Q47" s="8">
        <f>STDEV(Q28:Q43)</f>
        <v>8.8427412398710326E-2</v>
      </c>
      <c r="R47" s="8">
        <f>STDEV(R28:R43)</f>
        <v>0.30770929422306537</v>
      </c>
      <c r="S47" s="8">
        <f t="shared" ref="S47:V47" si="57">STDEV(S28:S43)</f>
        <v>0.15040567135581756</v>
      </c>
      <c r="T47" s="8">
        <f t="shared" si="57"/>
        <v>0.15131576969847521</v>
      </c>
      <c r="U47" s="8">
        <f t="shared" si="57"/>
        <v>0.11022501763855799</v>
      </c>
      <c r="V47" s="8">
        <f t="shared" si="57"/>
        <v>7.8730652892500003E-2</v>
      </c>
    </row>
    <row r="48" spans="1:22" x14ac:dyDescent="0.35">
      <c r="A48" s="8" t="s">
        <v>2</v>
      </c>
      <c r="B48" s="8">
        <f t="shared" ref="B48:K48" si="58" xml:space="preserve"> B47/SQRT(COUNT(B28:B43))</f>
        <v>2.3487589962365062E-2</v>
      </c>
      <c r="C48" s="8">
        <f t="shared" si="58"/>
        <v>2.8329986477280394E-2</v>
      </c>
      <c r="D48" s="8">
        <f t="shared" si="58"/>
        <v>0.18793347310855843</v>
      </c>
      <c r="E48" s="8">
        <f t="shared" si="58"/>
        <v>0.28068517825368799</v>
      </c>
      <c r="F48" s="8">
        <f t="shared" si="58"/>
        <v>0.36953277172046706</v>
      </c>
      <c r="G48" s="8">
        <f t="shared" si="58"/>
        <v>0.47517426085402409</v>
      </c>
      <c r="H48" s="8">
        <f t="shared" si="58"/>
        <v>0.44376874701268099</v>
      </c>
      <c r="I48" s="8">
        <f xml:space="preserve"> I47/SQRT(COUNT(I28:I43))</f>
        <v>3.3277234888803409E-2</v>
      </c>
      <c r="J48" s="8">
        <f t="shared" si="58"/>
        <v>4.0088033366790725E-2</v>
      </c>
      <c r="K48" s="8">
        <f t="shared" si="58"/>
        <v>3.4865851841489215E-2</v>
      </c>
      <c r="L48" s="8">
        <f t="shared" ref="L48:M48" si="59" xml:space="preserve"> L47/SQRT(COUNT(L28:L43))</f>
        <v>0.10671377456777284</v>
      </c>
      <c r="M48" s="8">
        <f t="shared" si="59"/>
        <v>2.4806453716140448E-2</v>
      </c>
      <c r="N48" s="8" t="s">
        <v>2</v>
      </c>
      <c r="O48" s="8">
        <f xml:space="preserve"> O47/SQRT(COUNT(O28:O43))</f>
        <v>0.22528728010601323</v>
      </c>
      <c r="P48" s="8">
        <f xml:space="preserve"> P47/SQRT(COUNT(P28:P43))</f>
        <v>0.27312964382318061</v>
      </c>
      <c r="Q48" s="8">
        <f xml:space="preserve"> Q47/SQRT(COUNT(Q28:Q43))</f>
        <v>3.1263811474953732E-2</v>
      </c>
      <c r="R48" s="8">
        <f xml:space="preserve"> R47/SQRT(COUNT(R28:R43))</f>
        <v>0.10879166428962803</v>
      </c>
      <c r="S48" s="8">
        <f t="shared" ref="S48:V48" si="60" xml:space="preserve"> S47/SQRT(COUNT(S28:S43))</f>
        <v>5.3176435072306932E-2</v>
      </c>
      <c r="T48" s="8">
        <f t="shared" si="60"/>
        <v>5.3498203427126863E-2</v>
      </c>
      <c r="U48" s="8">
        <f t="shared" si="60"/>
        <v>3.897042871431558E-2</v>
      </c>
      <c r="V48" s="8">
        <f t="shared" si="60"/>
        <v>2.7835489273765512E-2</v>
      </c>
    </row>
    <row r="49" spans="1:22" s="1" customFormat="1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9" t="str">
        <f t="shared" ref="A52:H52" si="61">A27</f>
        <v>Group names</v>
      </c>
      <c r="B52" s="30" t="str">
        <f t="shared" si="61"/>
        <v>Solvent control</v>
      </c>
      <c r="C52" s="30" t="str">
        <f t="shared" si="61"/>
        <v>EE2-33.8ng/L</v>
      </c>
      <c r="D52" s="30" t="str">
        <f t="shared" si="61"/>
        <v>EE2-50.6ng/L</v>
      </c>
      <c r="E52" s="30" t="str">
        <f t="shared" si="61"/>
        <v>EE2-76ng/L</v>
      </c>
      <c r="F52" s="30" t="str">
        <f t="shared" si="61"/>
        <v>EE2-114ng/L</v>
      </c>
      <c r="G52" s="30" t="str">
        <f t="shared" si="61"/>
        <v>EE2-170.9ng/L</v>
      </c>
      <c r="H52" s="30" t="str">
        <f t="shared" si="61"/>
        <v>EE2-488ng/L</v>
      </c>
      <c r="I52" s="30" t="str">
        <f>I4</f>
        <v>Prochloraz-0.063mg/L</v>
      </c>
      <c r="J52" s="30" t="str">
        <f>J4</f>
        <v>Prochloraz-0.13mg/L</v>
      </c>
      <c r="K52" s="30" t="str">
        <f>K27</f>
        <v>Prochloraz-0.25mg/L</v>
      </c>
      <c r="L52" s="30" t="str">
        <f t="shared" ref="L52:M52" si="62">L27</f>
        <v>Prochloraz-0.5mg/L</v>
      </c>
      <c r="M52" s="30" t="str">
        <f t="shared" si="62"/>
        <v>Prochloraz-1mg/L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Prochloraz-0.063mg/L + Testostérone</v>
      </c>
      <c r="S52" s="30" t="str">
        <f t="shared" ref="S52:V52" si="63">S27</f>
        <v>Prochloraz-0.13mg/L + Testostérone</v>
      </c>
      <c r="T52" s="30" t="str">
        <f t="shared" si="63"/>
        <v>Prochloraz-0.25mg/L + Testostérone</v>
      </c>
      <c r="U52" s="30" t="str">
        <f t="shared" si="63"/>
        <v>Prochloraz-0.5mg/L + Testostérone</v>
      </c>
      <c r="V52" s="30" t="str">
        <f t="shared" si="63"/>
        <v>Prochloraz-1mg/L + Testostérone</v>
      </c>
    </row>
    <row r="53" spans="1:22" s="3" customFormat="1" x14ac:dyDescent="0.35">
      <c r="A53" s="45" t="s">
        <v>10</v>
      </c>
      <c r="B53" s="78">
        <f t="shared" ref="B53:M53" si="64">B46</f>
        <v>5.2926265303022725E-2</v>
      </c>
      <c r="C53" s="78">
        <f t="shared" si="64"/>
        <v>9.1381682073406537E-2</v>
      </c>
      <c r="D53" s="78">
        <f t="shared" si="64"/>
        <v>0.77759770940450612</v>
      </c>
      <c r="E53" s="78">
        <f t="shared" si="64"/>
        <v>1.276682370575501</v>
      </c>
      <c r="F53" s="78">
        <f t="shared" si="64"/>
        <v>2.375698307772085</v>
      </c>
      <c r="G53" s="78">
        <f t="shared" si="64"/>
        <v>4.1823945421897504</v>
      </c>
      <c r="H53" s="78">
        <f t="shared" si="64"/>
        <v>4.7305240780315856</v>
      </c>
      <c r="I53" s="78">
        <f t="shared" si="64"/>
        <v>0.14312987344195746</v>
      </c>
      <c r="J53" s="78">
        <f t="shared" si="64"/>
        <v>8.7657164312607755E-2</v>
      </c>
      <c r="K53" s="78">
        <f t="shared" si="64"/>
        <v>8.2500305592127038E-2</v>
      </c>
      <c r="L53" s="78">
        <f t="shared" si="64"/>
        <v>0.32281570811367427</v>
      </c>
      <c r="M53" s="78">
        <f t="shared" si="64"/>
        <v>3.8572936653413784E-2</v>
      </c>
      <c r="N53" s="78"/>
      <c r="O53" s="78">
        <f t="shared" ref="O53:V53" si="65">O46</f>
        <v>1</v>
      </c>
      <c r="P53" s="78">
        <f t="shared" si="65"/>
        <v>0.77726284961547509</v>
      </c>
      <c r="Q53" s="78">
        <f t="shared" si="65"/>
        <v>8.5227970828294614E-2</v>
      </c>
      <c r="R53" s="78">
        <f t="shared" si="65"/>
        <v>0.36818242607848867</v>
      </c>
      <c r="S53" s="78">
        <f t="shared" si="65"/>
        <v>0.12186650145599318</v>
      </c>
      <c r="T53" s="78">
        <f t="shared" si="65"/>
        <v>0.16693205225879187</v>
      </c>
      <c r="U53" s="78">
        <f t="shared" si="65"/>
        <v>0.10833706984566935</v>
      </c>
      <c r="V53" s="78">
        <f t="shared" si="65"/>
        <v>0.11014569006386012</v>
      </c>
    </row>
    <row r="54" spans="1:22" s="3" customFormat="1" x14ac:dyDescent="0.35">
      <c r="A54" s="45" t="s">
        <v>2</v>
      </c>
      <c r="B54" s="78">
        <f t="shared" ref="B54:M54" si="66">B48</f>
        <v>2.3487589962365062E-2</v>
      </c>
      <c r="C54" s="78">
        <f t="shared" si="66"/>
        <v>2.8329986477280394E-2</v>
      </c>
      <c r="D54" s="78">
        <f t="shared" si="66"/>
        <v>0.18793347310855843</v>
      </c>
      <c r="E54" s="78">
        <f t="shared" si="66"/>
        <v>0.28068517825368799</v>
      </c>
      <c r="F54" s="78">
        <f t="shared" si="66"/>
        <v>0.36953277172046706</v>
      </c>
      <c r="G54" s="78">
        <f t="shared" si="66"/>
        <v>0.47517426085402409</v>
      </c>
      <c r="H54" s="78">
        <f t="shared" si="66"/>
        <v>0.44376874701268099</v>
      </c>
      <c r="I54" s="78">
        <f t="shared" si="66"/>
        <v>3.3277234888803409E-2</v>
      </c>
      <c r="J54" s="78">
        <f t="shared" si="66"/>
        <v>4.0088033366790725E-2</v>
      </c>
      <c r="K54" s="78">
        <f t="shared" si="66"/>
        <v>3.4865851841489215E-2</v>
      </c>
      <c r="L54" s="78">
        <f t="shared" si="66"/>
        <v>0.10671377456777284</v>
      </c>
      <c r="M54" s="78">
        <f t="shared" si="66"/>
        <v>2.4806453716140448E-2</v>
      </c>
      <c r="N54" s="78"/>
      <c r="O54" s="78">
        <f t="shared" ref="O54:V54" si="67">O48</f>
        <v>0.22528728010601323</v>
      </c>
      <c r="P54" s="78">
        <f t="shared" si="67"/>
        <v>0.27312964382318061</v>
      </c>
      <c r="Q54" s="78">
        <f t="shared" si="67"/>
        <v>3.1263811474953732E-2</v>
      </c>
      <c r="R54" s="78">
        <f t="shared" si="67"/>
        <v>0.10879166428962803</v>
      </c>
      <c r="S54" s="78">
        <f t="shared" si="67"/>
        <v>5.3176435072306932E-2</v>
      </c>
      <c r="T54" s="78">
        <f t="shared" si="67"/>
        <v>5.3498203427126863E-2</v>
      </c>
      <c r="U54" s="78">
        <f t="shared" si="67"/>
        <v>3.897042871431558E-2</v>
      </c>
      <c r="V54" s="78">
        <f t="shared" si="67"/>
        <v>2.7835489273765512E-2</v>
      </c>
    </row>
    <row r="55" spans="1:22" s="3" customFormat="1" x14ac:dyDescent="0.35">
      <c r="A55" s="45" t="s">
        <v>14</v>
      </c>
      <c r="B55" s="78">
        <f t="shared" ref="B55:M55" si="68">(B53*100/$B$53)-100</f>
        <v>0</v>
      </c>
      <c r="C55" s="78">
        <f t="shared" si="68"/>
        <v>72.658474105837854</v>
      </c>
      <c r="D55" s="78">
        <f t="shared" si="68"/>
        <v>1369.209484085959</v>
      </c>
      <c r="E55" s="78">
        <f t="shared" si="68"/>
        <v>2312.1905508843588</v>
      </c>
      <c r="F55" s="78">
        <f t="shared" si="68"/>
        <v>4388.694401863273</v>
      </c>
      <c r="G55" s="78">
        <f t="shared" si="68"/>
        <v>7802.3043062720799</v>
      </c>
      <c r="H55" s="78">
        <f t="shared" si="68"/>
        <v>8837.9517918892634</v>
      </c>
      <c r="I55" s="78">
        <f t="shared" si="68"/>
        <v>170.43259641027993</v>
      </c>
      <c r="J55" s="78">
        <f t="shared" si="68"/>
        <v>65.62129183069618</v>
      </c>
      <c r="K55" s="78">
        <f t="shared" si="68"/>
        <v>55.877814389097438</v>
      </c>
      <c r="L55" s="78">
        <f t="shared" si="68"/>
        <v>509.93479563584026</v>
      </c>
      <c r="M55" s="78">
        <f t="shared" si="68"/>
        <v>-27.119481352842016</v>
      </c>
      <c r="N55" s="78"/>
      <c r="O55" s="78">
        <f t="shared" ref="O55:V55" si="69">(O53*100/$O$53)-100</f>
        <v>0</v>
      </c>
      <c r="P55" s="78">
        <f t="shared" si="69"/>
        <v>-22.273715038452494</v>
      </c>
      <c r="Q55" s="78">
        <f t="shared" si="69"/>
        <v>-91.477202917170544</v>
      </c>
      <c r="R55" s="78">
        <f t="shared" si="69"/>
        <v>-63.181757392151134</v>
      </c>
      <c r="S55" s="78">
        <f t="shared" si="69"/>
        <v>-87.813349854400684</v>
      </c>
      <c r="T55" s="78">
        <f t="shared" si="69"/>
        <v>-83.306794774120817</v>
      </c>
      <c r="U55" s="78">
        <f t="shared" si="69"/>
        <v>-89.16629301543307</v>
      </c>
      <c r="V55" s="78">
        <f t="shared" si="69"/>
        <v>-88.985430993613988</v>
      </c>
    </row>
    <row r="56" spans="1:22" s="3" customFormat="1" x14ac:dyDescent="0.35">
      <c r="A56" s="45" t="s">
        <v>38</v>
      </c>
      <c r="B56" s="78">
        <f>[1]!SWTEST(B28:B43)</f>
        <v>4.3930825745636337E-2</v>
      </c>
      <c r="C56" s="78">
        <f>[1]!SWTEST(C28:C43)</f>
        <v>0.59857301451050859</v>
      </c>
      <c r="D56" s="78">
        <f>[1]!SWTEST(D28:D43)</f>
        <v>0.88158451735376187</v>
      </c>
      <c r="E56" s="78">
        <f>[1]!SWTEST(E28:E43)</f>
        <v>0.89253660837084658</v>
      </c>
      <c r="F56" s="78">
        <f>[1]!SWTEST(F28:F43)</f>
        <v>0.24856041649223615</v>
      </c>
      <c r="G56" s="78">
        <f>[1]!SWTEST(G28:G43)</f>
        <v>0.10729066255152697</v>
      </c>
      <c r="H56" s="78">
        <f>[1]!SWTEST(H28:H43)</f>
        <v>0.18173006609813125</v>
      </c>
      <c r="I56" s="78">
        <f>[1]!SWTEST(I28:I43)</f>
        <v>0.64845156358441192</v>
      </c>
      <c r="J56" s="78">
        <f>[1]!SWTEST(J28:J43)</f>
        <v>2.9858125116789647E-2</v>
      </c>
      <c r="K56" s="78">
        <f>[1]!SWTEST(K28:K43)</f>
        <v>2.2840643759361567E-2</v>
      </c>
      <c r="L56" s="78">
        <f>[1]!SWTEST(L28:L43)</f>
        <v>0.21411381773362881</v>
      </c>
      <c r="M56" s="78">
        <f>[1]!SWTEST(M28:M43)</f>
        <v>2.0409117016784162E-4</v>
      </c>
      <c r="N56" s="78"/>
      <c r="O56" s="78">
        <f>[1]!SWTEST(O28:O43)</f>
        <v>5.2674910195595892E-3</v>
      </c>
      <c r="P56" s="78">
        <f>[1]!SWTEST(P28:P43)</f>
        <v>0.58576536228109144</v>
      </c>
      <c r="Q56" s="78">
        <f>[1]!SWTEST(Q28:Q43)</f>
        <v>0.14391760979061718</v>
      </c>
      <c r="R56" s="78">
        <f>[1]!SWTEST(R28:R43)</f>
        <v>0.18792478051919459</v>
      </c>
      <c r="S56" s="78">
        <f>[1]!SWTEST(S28:S43)</f>
        <v>1.133670734275527E-2</v>
      </c>
      <c r="T56" s="78">
        <f>[1]!SWTEST(T28:T43)</f>
        <v>2.51332735495291E-3</v>
      </c>
      <c r="U56" s="78">
        <f>[1]!SWTEST(U28:U43)</f>
        <v>2.5182633887825934E-2</v>
      </c>
      <c r="V56" s="78">
        <f>[1]!SWTEST(V28:V43)</f>
        <v>0.83211143765044204</v>
      </c>
    </row>
    <row r="57" spans="1:22" s="3" customFormat="1" x14ac:dyDescent="0.35">
      <c r="A57" s="45" t="s">
        <v>39</v>
      </c>
      <c r="B57" s="78" t="str">
        <f t="shared" ref="B57:M57" si="70">IF(B56&gt;0.05,"Oui","Non")</f>
        <v>Non</v>
      </c>
      <c r="C57" s="78" t="str">
        <f t="shared" si="70"/>
        <v>Oui</v>
      </c>
      <c r="D57" s="78" t="str">
        <f t="shared" si="70"/>
        <v>Oui</v>
      </c>
      <c r="E57" s="78" t="str">
        <f t="shared" si="70"/>
        <v>Oui</v>
      </c>
      <c r="F57" s="78" t="str">
        <f t="shared" si="70"/>
        <v>Oui</v>
      </c>
      <c r="G57" s="78" t="str">
        <f t="shared" si="70"/>
        <v>Oui</v>
      </c>
      <c r="H57" s="78" t="str">
        <f t="shared" si="70"/>
        <v>Oui</v>
      </c>
      <c r="I57" s="78" t="str">
        <f t="shared" si="70"/>
        <v>Oui</v>
      </c>
      <c r="J57" s="78" t="str">
        <f t="shared" si="70"/>
        <v>Non</v>
      </c>
      <c r="K57" s="78" t="str">
        <f t="shared" si="70"/>
        <v>Non</v>
      </c>
      <c r="L57" s="78" t="str">
        <f t="shared" si="70"/>
        <v>Oui</v>
      </c>
      <c r="M57" s="78" t="str">
        <f t="shared" si="70"/>
        <v>Non</v>
      </c>
      <c r="N57" s="78"/>
      <c r="O57" s="78" t="str">
        <f t="shared" ref="O57:V57" si="71">IF(O56&gt;0.05,"Oui","Non")</f>
        <v>Non</v>
      </c>
      <c r="P57" s="78" t="str">
        <f t="shared" si="71"/>
        <v>Oui</v>
      </c>
      <c r="Q57" s="78" t="str">
        <f t="shared" si="71"/>
        <v>Oui</v>
      </c>
      <c r="R57" s="78" t="str">
        <f t="shared" si="71"/>
        <v>Oui</v>
      </c>
      <c r="S57" s="78" t="str">
        <f t="shared" si="71"/>
        <v>Non</v>
      </c>
      <c r="T57" s="78" t="str">
        <f t="shared" si="71"/>
        <v>Non</v>
      </c>
      <c r="U57" s="78" t="str">
        <f t="shared" si="71"/>
        <v>Non</v>
      </c>
      <c r="V57" s="78" t="str">
        <f t="shared" si="71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M59" si="72">IF($B57="Non",IF(C$57="Non","Mann Withney",IF(C$57="Oui","Mann Withney","")),IF($B$57="Oui",IF(C$57="Oui","T-Test Welch",IF(C$57="Non","Mann Withney",""))))</f>
        <v>Mann Withney</v>
      </c>
      <c r="D59" s="82" t="str">
        <f t="shared" si="72"/>
        <v>Mann Withney</v>
      </c>
      <c r="E59" s="82" t="str">
        <f t="shared" si="72"/>
        <v>Mann Withney</v>
      </c>
      <c r="F59" s="82" t="str">
        <f t="shared" si="72"/>
        <v>Mann Withney</v>
      </c>
      <c r="G59" s="82" t="str">
        <f t="shared" si="72"/>
        <v>Mann Withney</v>
      </c>
      <c r="H59" s="82" t="str">
        <f t="shared" si="72"/>
        <v>Mann Withney</v>
      </c>
      <c r="I59" s="82" t="str">
        <f t="shared" si="72"/>
        <v>Mann Withney</v>
      </c>
      <c r="J59" s="82" t="str">
        <f t="shared" si="72"/>
        <v>Mann Withney</v>
      </c>
      <c r="K59" s="82" t="str">
        <f t="shared" si="72"/>
        <v>Mann Withney</v>
      </c>
      <c r="L59" s="82" t="str">
        <f t="shared" si="72"/>
        <v>Mann Withney</v>
      </c>
      <c r="M59" s="82" t="str">
        <f t="shared" si="72"/>
        <v>Mann Withney</v>
      </c>
      <c r="N59" s="82"/>
      <c r="O59" s="82" t="str">
        <f>IF($B57="Non",IF(O$57="Non","Mann Withney",IF(O$57="Oui","Mann Withney","")),IF($B$57="Oui",IF(O$57="Oui","T-Test Welch",IF(O$57="Non","Mann Withney",""))))</f>
        <v>Mann Withney</v>
      </c>
      <c r="P59" s="82" t="str">
        <f t="shared" ref="P59:V59" si="73">IF($O57="Non",IF(P$57="Non","Mann Withney",IF(P$57="Oui","Mann Withney","")),IF($O$57="Oui",IF(P$57="Oui","T-Test Welch",IF(P$57="Non","Mann Withney",""))))</f>
        <v>Mann Withney</v>
      </c>
      <c r="Q59" s="82" t="str">
        <f t="shared" si="73"/>
        <v>Mann Withney</v>
      </c>
      <c r="R59" s="82" t="str">
        <f t="shared" si="73"/>
        <v>Mann Withney</v>
      </c>
      <c r="S59" s="82" t="str">
        <f t="shared" si="73"/>
        <v>Mann Withney</v>
      </c>
      <c r="T59" s="82" t="str">
        <f t="shared" si="73"/>
        <v>Mann Withney</v>
      </c>
      <c r="U59" s="82" t="str">
        <f t="shared" si="73"/>
        <v>Mann Withney</v>
      </c>
      <c r="V59" s="82" t="str">
        <f t="shared" si="73"/>
        <v>Mann Withney</v>
      </c>
    </row>
    <row r="60" spans="1:22" s="3" customFormat="1" x14ac:dyDescent="0.35">
      <c r="A60" s="45" t="s">
        <v>41</v>
      </c>
      <c r="B60" s="83"/>
      <c r="C60" s="83">
        <f>IF(C59="Mann Withney",[1]!MTEST($B28:$B43,C28:C43,2), IF(C59="T-Test Welch",_xlfn.T.TEST($B28:$B43,C28:C43,2,3),""))</f>
        <v>0.29362154392890583</v>
      </c>
      <c r="D60" s="83">
        <f>IF(D59="Mann Withney",[1]!MTEST($B28:$B43,D28:D43,2), IF(D59="T-Test Welch",_xlfn.T.TEST($B28:$B43,D28:D43,2,3),""))</f>
        <v>2.3220945158779482E-3</v>
      </c>
      <c r="E60" s="83">
        <f>IF(E59="Mann Withney",[1]!MTEST($B28:$B43,E28:E43,2), IF(E59="T-Test Welch",_xlfn.T.TEST($B28:$B43,E28:E43,2,3),""))</f>
        <v>3.2758974829085741E-3</v>
      </c>
      <c r="F60" s="83">
        <f>IF(F59="Mann Withney",[1]!MTEST($B28:$B43,F28:F43,2), IF(F59="T-Test Welch",_xlfn.T.TEST($B28:$B43,F28:F43,2,3),""))</f>
        <v>7.7753044694039986E-4</v>
      </c>
      <c r="G60" s="83">
        <f>IF(G59="Mann Withney",[1]!MTEST($B28:$B43,G28:G43,2), IF(G59="T-Test Welch",_xlfn.T.TEST($B28:$B43,G28:G43,2,3),""))</f>
        <v>7.7753044694039986E-4</v>
      </c>
      <c r="H60" s="83">
        <f>IF(H59="Mann Withney",[1]!MTEST($B28:$B43,H28:H43,2), IF(H59="T-Test Welch",_xlfn.T.TEST($B28:$B43,H28:H43,2,3),""))</f>
        <v>7.7753044694039986E-4</v>
      </c>
      <c r="I60" s="83">
        <f>IF(I59="Mann Withney",[1]!MTEST($B28:$B43,I28:I43,2), IF(I59="T-Test Welch",_xlfn.T.TEST($B28:$B43,I28:I43,2,3),""))</f>
        <v>4.599936687503714E-2</v>
      </c>
      <c r="J60" s="83">
        <f>IF(J59="Mann Withney",[1]!MTEST($B28:$B43,J28:J43,2), IF(J59="T-Test Welch",_xlfn.T.TEST($B28:$B43,J28:J43,2,3),""))</f>
        <v>0.59951017856000322</v>
      </c>
      <c r="K60" s="83">
        <f>IF(K59="Mann Withney",[1]!MTEST($B28:$B43,K28:K43,2), IF(K59="T-Test Welch",_xlfn.T.TEST($B28:$B43,K28:K43,2,3),""))</f>
        <v>0.34456236532569795</v>
      </c>
      <c r="L60" s="83">
        <f>IF(L59="Mann Withney",[1]!MTEST($B28:$B43,L28:L43,2), IF(L59="T-Test Welch",_xlfn.T.TEST($B28:$B43,L28:L43,2,3),""))</f>
        <v>1.5714349772218972E-2</v>
      </c>
      <c r="M60" s="83">
        <f>IF(M59="Mann Withney",[1]!MTEST($B28:$B43,M28:M43,2), IF(M59="T-Test Welch",_xlfn.T.TEST($B28:$B43,M28:M43,2,3),""))</f>
        <v>0.52861212525568768</v>
      </c>
      <c r="N60" s="83"/>
      <c r="O60" s="83">
        <f>IF(O59="Mann Withney",[1]!MTEST($B28:$B43,O28:O43,2), IF(O59="T-Test Welch",_xlfn.T.TEST($B28:$B43,O28:O43,2,3),""))</f>
        <v>3.8266353795202157E-4</v>
      </c>
      <c r="P60" s="83">
        <f>IF(P59="Mann Withney",[1]!MTEST($O28:$O43,P28:P43,2), IF(P59="T-Test Welch",_xlfn.T.TEST($O28:$O43,P28:P43,2,3),""))</f>
        <v>0.67970815434849263</v>
      </c>
      <c r="Q60" s="83">
        <f>IF(Q59="Mann Withney",[1]!MTEST($O28:$O43,Q28:Q43,2), IF(Q59="T-Test Welch",_xlfn.T.TEST($O28:$O43,Q28:Q43,2,3),""))</f>
        <v>4.8207632617347507E-4</v>
      </c>
      <c r="R60" s="83">
        <f>IF(R59="Mann Withney",[1]!MTEST($O28:$O43,R28:R43,2), IF(R59="T-Test Welch",_xlfn.T.TEST($O28:$O43,R28:R43,2,3),""))</f>
        <v>4.3297465779303268E-2</v>
      </c>
      <c r="S60" s="83">
        <f>IF(S59="Mann Withney",[1]!MTEST($O28:$O43,S28:S43,2), IF(S59="T-Test Welch",_xlfn.T.TEST($O28:$O43,S28:S43,2,3),""))</f>
        <v>1.4508616333606117E-3</v>
      </c>
      <c r="T60" s="83">
        <f>IF(T59="Mann Withney",[1]!MTEST($O28:$O43,T28:T43,2), IF(T59="T-Test Welch",_xlfn.T.TEST($O28:$O43,T28:T43,2,3),""))</f>
        <v>2.1996470611129748E-3</v>
      </c>
      <c r="U60" s="83">
        <f>IF(U59="Mann Withney",[1]!MTEST($O28:$O43,U28:U43,2), IF(U59="T-Test Welch",_xlfn.T.TEST($O28:$O43,U28:U43,2,3),""))</f>
        <v>9.436448512079032E-4</v>
      </c>
      <c r="V60" s="83">
        <f>IF(V59="Mann Withney",[1]!MTEST($O28:$O43,V28:V43,2), IF(V59="T-Test Welch",_xlfn.T.TEST($O28:$O43,V28:V43,2,3),""))</f>
        <v>4.8207632617347507E-4</v>
      </c>
    </row>
    <row r="61" spans="1:22" s="3" customFormat="1" ht="15" thickBot="1" x14ac:dyDescent="0.4">
      <c r="A61" s="46" t="s">
        <v>15</v>
      </c>
      <c r="B61" s="79"/>
      <c r="C61" s="79" t="str">
        <f t="shared" ref="C61:M61" si="74">IF(C60&gt;0.05,"NS",IF(C60&gt;0.01,"*",IF(C60&gt;0.001,"**","***")))</f>
        <v>NS</v>
      </c>
      <c r="D61" s="79" t="str">
        <f t="shared" si="74"/>
        <v>**</v>
      </c>
      <c r="E61" s="79" t="str">
        <f t="shared" si="74"/>
        <v>**</v>
      </c>
      <c r="F61" s="79" t="str">
        <f t="shared" si="74"/>
        <v>***</v>
      </c>
      <c r="G61" s="79" t="str">
        <f t="shared" si="74"/>
        <v>***</v>
      </c>
      <c r="H61" s="79" t="str">
        <f t="shared" si="74"/>
        <v>***</v>
      </c>
      <c r="I61" s="79" t="str">
        <f t="shared" si="74"/>
        <v>*</v>
      </c>
      <c r="J61" s="79" t="str">
        <f t="shared" si="74"/>
        <v>NS</v>
      </c>
      <c r="K61" s="79" t="str">
        <f t="shared" si="74"/>
        <v>NS</v>
      </c>
      <c r="L61" s="79" t="str">
        <f t="shared" si="74"/>
        <v>*</v>
      </c>
      <c r="M61" s="79" t="str">
        <f t="shared" si="74"/>
        <v>NS</v>
      </c>
      <c r="N61" s="79"/>
      <c r="O61" s="79" t="str">
        <f>IF(O60&gt;0.05,"NS",IF(O60&gt;0.01,"*",IF(O60&gt;0.001,"**","***")))</f>
        <v>***</v>
      </c>
      <c r="P61" s="79" t="str">
        <f>IF(P60&gt;0.05,"NS",IF(P60&gt;0.01,"*",IF(P60&gt;0.001,"**","***")))</f>
        <v>NS</v>
      </c>
      <c r="Q61" s="79" t="str">
        <f t="shared" ref="Q61" si="75">IF(Q60&gt;0.05,"NS",IF(Q60&gt;0.01,"*",IF(Q60&gt;0.001,"**","***")))</f>
        <v>***</v>
      </c>
      <c r="R61" s="79" t="str">
        <f t="shared" ref="R61" si="76">IF(R60&gt;0.05,"NS",IF(R60&gt;0.01,"*",IF(R60&gt;0.001,"**","***")))</f>
        <v>*</v>
      </c>
      <c r="S61" s="79" t="str">
        <f t="shared" ref="S61" si="77">IF(S60&gt;0.05,"NS",IF(S60&gt;0.01,"*",IF(S60&gt;0.001,"**","***")))</f>
        <v>**</v>
      </c>
      <c r="T61" s="79" t="str">
        <f t="shared" ref="T61" si="78">IF(T60&gt;0.05,"NS",IF(T60&gt;0.01,"*",IF(T60&gt;0.001,"**","***")))</f>
        <v>**</v>
      </c>
      <c r="U61" s="79" t="str">
        <f t="shared" ref="U61" si="79">IF(U60&gt;0.05,"NS",IF(U60&gt;0.01,"*",IF(U60&gt;0.001,"**","***")))</f>
        <v>***</v>
      </c>
      <c r="V61" s="79" t="str">
        <f t="shared" ref="V61" si="80">IF(V60&gt;0.05,"NS",IF(V60&gt;0.01,"*",IF(V60&gt;0.001,"**","***")))</f>
        <v>***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B7:M10 P6:P9 O8:O11 Q8:V11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M1" zoomScale="70" zoomScaleNormal="70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customFormat="1" ht="15" thickBot="1" x14ac:dyDescent="0.4"/>
    <row r="3" spans="1:22" ht="15" thickBot="1" x14ac:dyDescent="0.4">
      <c r="A3" s="84" t="s">
        <v>6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Prochloraz-0.063mg/L</v>
      </c>
      <c r="J4" s="20" t="str">
        <f>'Front page'!A15</f>
        <v>Prochloraz-0.13mg/L</v>
      </c>
      <c r="K4" s="20" t="str">
        <f>'Front page'!A16</f>
        <v>Prochloraz-0.25mg/L</v>
      </c>
      <c r="L4" s="20" t="str">
        <f>'Front page'!A17</f>
        <v>Prochloraz-0.5mg/L</v>
      </c>
      <c r="M4" s="20" t="str">
        <f>'Front page'!A18</f>
        <v>Prochloraz-1mg/L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Prochloraz-0.063mg/L + Testostérone</v>
      </c>
      <c r="S4" s="21" t="str">
        <f>'Front page'!A39</f>
        <v>Prochloraz-0.13mg/L + Testostérone</v>
      </c>
      <c r="T4" s="21" t="str">
        <f>'Front page'!A40</f>
        <v>Prochloraz-0.25mg/L + Testostérone</v>
      </c>
      <c r="U4" s="21" t="str">
        <f>'Front page'!A41</f>
        <v>Prochloraz-0.5mg/L + Testostérone</v>
      </c>
      <c r="V4" s="21" t="str">
        <f>'Front page'!A42</f>
        <v>Prochloraz-1mg/L + Testostérone</v>
      </c>
    </row>
    <row r="5" spans="1:22" x14ac:dyDescent="0.35">
      <c r="A5" s="138" t="s">
        <v>35</v>
      </c>
      <c r="B5" s="17">
        <v>821589</v>
      </c>
      <c r="C5" s="17">
        <v>1775574</v>
      </c>
      <c r="D5" s="17">
        <v>1775574</v>
      </c>
      <c r="E5" s="17">
        <v>7381616</v>
      </c>
      <c r="F5" s="17">
        <v>7115961</v>
      </c>
      <c r="G5" s="17">
        <v>8689624</v>
      </c>
      <c r="H5" s="17">
        <v>7262698</v>
      </c>
      <c r="I5" s="17">
        <v>753107</v>
      </c>
      <c r="J5" s="17">
        <v>230233</v>
      </c>
      <c r="K5" s="13">
        <v>189817</v>
      </c>
      <c r="L5" s="13">
        <v>171967</v>
      </c>
      <c r="M5" s="13">
        <v>210843</v>
      </c>
      <c r="N5" s="3"/>
      <c r="O5" s="17">
        <v>5329072</v>
      </c>
      <c r="P5" s="13">
        <v>2620125</v>
      </c>
      <c r="Q5" s="13">
        <v>260398</v>
      </c>
      <c r="R5" s="17">
        <v>250354</v>
      </c>
      <c r="S5" s="17">
        <v>391139</v>
      </c>
      <c r="T5" s="17">
        <v>875879</v>
      </c>
      <c r="U5" s="17">
        <v>78986</v>
      </c>
      <c r="V5" s="17">
        <v>267050</v>
      </c>
    </row>
    <row r="6" spans="1:22" ht="16.5" x14ac:dyDescent="0.35">
      <c r="A6" s="139"/>
      <c r="B6" s="14">
        <v>782428</v>
      </c>
      <c r="C6" s="13">
        <v>4519207</v>
      </c>
      <c r="D6" s="17">
        <v>4519207</v>
      </c>
      <c r="E6" s="17">
        <v>3627689</v>
      </c>
      <c r="F6" s="17">
        <v>6135873</v>
      </c>
      <c r="G6" s="17">
        <v>10636086</v>
      </c>
      <c r="H6" s="17">
        <v>6266214</v>
      </c>
      <c r="I6" s="17">
        <v>774833</v>
      </c>
      <c r="J6" s="17">
        <v>175110</v>
      </c>
      <c r="K6" s="13">
        <v>218185</v>
      </c>
      <c r="L6" s="13">
        <v>244899</v>
      </c>
      <c r="M6" s="13">
        <v>253002</v>
      </c>
      <c r="N6" s="3"/>
      <c r="O6" s="17">
        <v>1129606</v>
      </c>
      <c r="P6" s="13">
        <v>3592717</v>
      </c>
      <c r="Q6" s="13">
        <v>1036904</v>
      </c>
      <c r="R6" s="17">
        <v>147658</v>
      </c>
      <c r="S6" s="17">
        <v>647988</v>
      </c>
      <c r="T6" s="17">
        <v>833519</v>
      </c>
      <c r="U6" s="17">
        <v>394093</v>
      </c>
      <c r="V6" s="17">
        <v>357797</v>
      </c>
    </row>
    <row r="7" spans="1:22" ht="16.5" x14ac:dyDescent="0.35">
      <c r="A7" s="139"/>
      <c r="B7" s="14">
        <v>925399</v>
      </c>
      <c r="C7" s="13">
        <v>1461279</v>
      </c>
      <c r="D7" s="17">
        <v>1461279</v>
      </c>
      <c r="E7" s="17">
        <v>6627218</v>
      </c>
      <c r="F7" s="17">
        <v>7163260</v>
      </c>
      <c r="G7" s="17">
        <v>6262007</v>
      </c>
      <c r="H7" s="17">
        <v>5667924</v>
      </c>
      <c r="I7" s="17">
        <v>47672</v>
      </c>
      <c r="J7" s="17">
        <v>167579</v>
      </c>
      <c r="K7" s="13">
        <v>68097</v>
      </c>
      <c r="L7" s="13">
        <v>246021</v>
      </c>
      <c r="M7" s="13">
        <v>21473</v>
      </c>
      <c r="N7" s="3"/>
      <c r="O7" s="17">
        <v>1003590</v>
      </c>
      <c r="P7" s="13">
        <v>7361508</v>
      </c>
      <c r="Q7" s="13">
        <v>87551</v>
      </c>
      <c r="R7" s="17">
        <v>596957</v>
      </c>
      <c r="S7" s="17">
        <v>301461</v>
      </c>
      <c r="T7" s="17">
        <v>1059207</v>
      </c>
      <c r="U7" s="17">
        <v>405704</v>
      </c>
      <c r="V7" s="17">
        <v>490082</v>
      </c>
    </row>
    <row r="8" spans="1:22" ht="16.5" x14ac:dyDescent="0.35">
      <c r="A8" s="139"/>
      <c r="B8" s="14">
        <v>1100222</v>
      </c>
      <c r="C8" s="13">
        <v>4196783</v>
      </c>
      <c r="D8" s="17">
        <v>4196783</v>
      </c>
      <c r="E8" s="17">
        <v>6045811</v>
      </c>
      <c r="F8" s="17">
        <v>5047213</v>
      </c>
      <c r="G8" s="17">
        <v>5390358</v>
      </c>
      <c r="H8" s="17">
        <v>8060129</v>
      </c>
      <c r="I8" s="17">
        <v>382587</v>
      </c>
      <c r="J8" s="17">
        <v>64410</v>
      </c>
      <c r="K8" s="13">
        <v>160703</v>
      </c>
      <c r="L8" s="13">
        <v>236931</v>
      </c>
      <c r="M8" s="13">
        <v>979105</v>
      </c>
      <c r="N8" s="3"/>
      <c r="O8" s="17">
        <v>46618</v>
      </c>
      <c r="P8" s="13">
        <v>5046282</v>
      </c>
      <c r="Q8" s="13">
        <v>51683</v>
      </c>
      <c r="R8" s="17">
        <v>375229</v>
      </c>
      <c r="S8" s="17">
        <v>563508</v>
      </c>
      <c r="T8" s="17">
        <v>105733</v>
      </c>
      <c r="U8" s="17">
        <v>175436</v>
      </c>
      <c r="V8" s="17">
        <v>526547</v>
      </c>
    </row>
    <row r="9" spans="1:22" ht="16.5" x14ac:dyDescent="0.35">
      <c r="A9" s="139"/>
      <c r="B9" s="14">
        <v>916778</v>
      </c>
      <c r="C9" s="13">
        <v>3486512</v>
      </c>
      <c r="D9" s="17">
        <v>3486512</v>
      </c>
      <c r="E9" s="17">
        <v>5668827</v>
      </c>
      <c r="F9" s="17">
        <v>7469005</v>
      </c>
      <c r="G9" s="17">
        <v>6345824</v>
      </c>
      <c r="H9" s="17">
        <v>7791399</v>
      </c>
      <c r="I9" s="17">
        <v>1389008</v>
      </c>
      <c r="J9" s="17">
        <v>68111</v>
      </c>
      <c r="K9" s="13">
        <v>1190883</v>
      </c>
      <c r="L9" s="13">
        <v>114338</v>
      </c>
      <c r="M9" s="13">
        <v>39422</v>
      </c>
      <c r="N9" s="3"/>
      <c r="O9" s="17">
        <v>210579</v>
      </c>
      <c r="P9" s="13">
        <v>6568113</v>
      </c>
      <c r="Q9" s="13">
        <v>51452</v>
      </c>
      <c r="R9" s="17">
        <v>78354</v>
      </c>
      <c r="S9" s="17">
        <v>341058</v>
      </c>
      <c r="T9" s="17">
        <v>222000</v>
      </c>
      <c r="U9" s="17">
        <v>41904</v>
      </c>
      <c r="V9" s="17">
        <v>133069</v>
      </c>
    </row>
    <row r="10" spans="1:22" ht="16.5" x14ac:dyDescent="0.35">
      <c r="A10" s="139"/>
      <c r="B10" s="14">
        <v>434153</v>
      </c>
      <c r="C10" s="13">
        <v>4940362</v>
      </c>
      <c r="D10" s="17">
        <v>4940362</v>
      </c>
      <c r="E10" s="17">
        <v>5922209</v>
      </c>
      <c r="F10" s="17">
        <v>6691970</v>
      </c>
      <c r="G10" s="17">
        <v>10822577</v>
      </c>
      <c r="H10" s="17">
        <v>8932646</v>
      </c>
      <c r="I10" s="17">
        <v>304829</v>
      </c>
      <c r="J10" s="17">
        <v>48204</v>
      </c>
      <c r="K10" s="13">
        <v>37007</v>
      </c>
      <c r="L10" s="13">
        <v>348424</v>
      </c>
      <c r="M10" s="13">
        <v>83983</v>
      </c>
      <c r="N10" s="3"/>
      <c r="O10" s="17">
        <v>5239383</v>
      </c>
      <c r="P10" s="13">
        <v>4780956</v>
      </c>
      <c r="Q10" s="13">
        <v>136563</v>
      </c>
      <c r="R10" s="17">
        <v>2292420</v>
      </c>
      <c r="S10" s="17">
        <v>414594</v>
      </c>
      <c r="T10" s="17">
        <v>7889</v>
      </c>
      <c r="U10" s="17">
        <v>117983</v>
      </c>
      <c r="V10" s="17">
        <v>178089</v>
      </c>
    </row>
    <row r="11" spans="1:22" ht="16.5" x14ac:dyDescent="0.35">
      <c r="A11" s="139"/>
      <c r="B11" s="14">
        <v>552508</v>
      </c>
      <c r="C11" s="13">
        <v>4837450</v>
      </c>
      <c r="D11" s="17">
        <v>4837450</v>
      </c>
      <c r="E11" s="17">
        <v>5561915</v>
      </c>
      <c r="F11" s="17">
        <v>5445642</v>
      </c>
      <c r="G11" s="17">
        <v>7121616</v>
      </c>
      <c r="H11" s="17">
        <v>6183314</v>
      </c>
      <c r="I11" s="17">
        <v>770642</v>
      </c>
      <c r="J11" s="17">
        <v>180322</v>
      </c>
      <c r="K11" s="13">
        <v>66059</v>
      </c>
      <c r="L11" s="13">
        <v>71044</v>
      </c>
      <c r="M11" s="13">
        <v>138996</v>
      </c>
      <c r="N11" s="3"/>
      <c r="O11" s="17">
        <v>1606322</v>
      </c>
      <c r="P11" s="13">
        <v>6178533</v>
      </c>
      <c r="Q11" s="13">
        <v>630624</v>
      </c>
      <c r="R11" s="17">
        <v>249571</v>
      </c>
      <c r="S11" s="17">
        <v>913939</v>
      </c>
      <c r="T11" s="17">
        <v>152093</v>
      </c>
      <c r="U11" s="17">
        <v>42512</v>
      </c>
      <c r="V11" s="17">
        <v>183288</v>
      </c>
    </row>
    <row r="12" spans="1:22" ht="16.5" x14ac:dyDescent="0.35">
      <c r="A12" s="139"/>
      <c r="B12" s="14"/>
      <c r="C12" s="13">
        <v>2546679</v>
      </c>
      <c r="D12" s="17">
        <v>2546679</v>
      </c>
      <c r="E12" s="17"/>
      <c r="F12" s="17">
        <v>4131573</v>
      </c>
      <c r="G12" s="17">
        <v>7955481</v>
      </c>
      <c r="H12" s="17">
        <v>5344168</v>
      </c>
      <c r="I12" s="17">
        <v>108820</v>
      </c>
      <c r="J12" s="17">
        <v>283119</v>
      </c>
      <c r="K12" s="13">
        <v>1633404</v>
      </c>
      <c r="L12" s="13">
        <v>180069</v>
      </c>
      <c r="M12" s="13">
        <v>721889</v>
      </c>
      <c r="N12" s="3"/>
      <c r="O12" s="17">
        <v>2810102</v>
      </c>
      <c r="P12" s="13">
        <v>5056076</v>
      </c>
      <c r="Q12" s="13">
        <v>181815</v>
      </c>
      <c r="R12" s="17">
        <v>86568</v>
      </c>
      <c r="S12" s="17">
        <v>632517</v>
      </c>
      <c r="T12" s="17">
        <v>141313</v>
      </c>
      <c r="U12" s="17">
        <v>1261629</v>
      </c>
      <c r="V12" s="17">
        <v>174544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1009960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1380452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76894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4124762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1660367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567867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2855100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1870733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Prochloraz-0.063mg/L</v>
      </c>
      <c r="J22" s="3" t="str">
        <f t="shared" si="1"/>
        <v>Prochloraz-0.13mg/L</v>
      </c>
      <c r="K22" s="3" t="str">
        <f t="shared" si="1"/>
        <v>Prochloraz-0.25mg/L</v>
      </c>
      <c r="L22" s="3" t="str">
        <f t="shared" si="1"/>
        <v>Prochloraz-0.5mg/L</v>
      </c>
      <c r="M22" s="3" t="str">
        <f t="shared" si="1"/>
        <v>Prochloraz-1mg/L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Prochloraz-0.063mg/L + Testostérone</v>
      </c>
      <c r="S22" s="3" t="str">
        <f t="shared" si="1"/>
        <v>Prochloraz-0.13mg/L + Testostérone</v>
      </c>
      <c r="T22" s="3" t="str">
        <f t="shared" si="1"/>
        <v>Prochloraz-0.25mg/L + Testostérone</v>
      </c>
      <c r="U22" s="3" t="str">
        <f t="shared" si="1"/>
        <v>Prochloraz-0.5mg/L + Testostérone</v>
      </c>
      <c r="V22" s="3" t="str">
        <f t="shared" si="1"/>
        <v>Prochloraz-1mg/L + Testostérone</v>
      </c>
    </row>
    <row r="23" spans="1:22" x14ac:dyDescent="0.35">
      <c r="A23" s="5" t="s">
        <v>0</v>
      </c>
      <c r="B23" s="5">
        <f t="shared" ref="B23:J23" si="2">AVERAGE(B5:B20)</f>
        <v>790439.57142857148</v>
      </c>
      <c r="C23" s="5">
        <f t="shared" si="2"/>
        <v>3470480.75</v>
      </c>
      <c r="D23" s="5">
        <f t="shared" si="2"/>
        <v>3470480.75</v>
      </c>
      <c r="E23" s="5">
        <f t="shared" si="2"/>
        <v>5833612.1428571427</v>
      </c>
      <c r="F23" s="5">
        <f t="shared" si="2"/>
        <v>6150062.125</v>
      </c>
      <c r="G23" s="5">
        <f t="shared" si="2"/>
        <v>7902946.625</v>
      </c>
      <c r="H23" s="5">
        <f t="shared" si="2"/>
        <v>6938561.5</v>
      </c>
      <c r="I23" s="5">
        <f t="shared" si="2"/>
        <v>566437.25</v>
      </c>
      <c r="J23" s="5">
        <f t="shared" si="2"/>
        <v>152136</v>
      </c>
      <c r="K23" s="5"/>
      <c r="L23" s="5">
        <f>AVERAGE(L5:L20)</f>
        <v>201711.625</v>
      </c>
      <c r="M23" s="5"/>
      <c r="N23" s="5" t="s">
        <v>0</v>
      </c>
      <c r="O23" s="5">
        <f>AVERAGE(O5:O20)</f>
        <v>1932587.9375</v>
      </c>
      <c r="P23" s="5">
        <f>AVERAGE(P5:P20)</f>
        <v>5150538.75</v>
      </c>
      <c r="Q23" s="5">
        <f>AVERAGE(Q5:Q20)</f>
        <v>304623.75</v>
      </c>
      <c r="R23" s="5">
        <f>AVERAGE(R5:R20)</f>
        <v>509638.875</v>
      </c>
      <c r="S23" s="5">
        <f>AVERAGE(S5:S20)</f>
        <v>525775.5</v>
      </c>
      <c r="T23" s="5">
        <f t="shared" ref="T23:V23" si="3">AVERAGE(T5:T20)</f>
        <v>424704.125</v>
      </c>
      <c r="U23" s="5">
        <f t="shared" si="3"/>
        <v>314780.875</v>
      </c>
      <c r="V23" s="5">
        <f t="shared" si="3"/>
        <v>288808.25</v>
      </c>
    </row>
    <row r="24" spans="1:22" x14ac:dyDescent="0.35">
      <c r="A24" s="3" t="s">
        <v>1</v>
      </c>
      <c r="B24" s="3">
        <f t="shared" ref="B24:J24" si="4">STDEV(B5:B20)</f>
        <v>229029.33756243048</v>
      </c>
      <c r="C24" s="3">
        <f t="shared" si="4"/>
        <v>1384597.1442480765</v>
      </c>
      <c r="D24" s="3">
        <f t="shared" si="4"/>
        <v>1384597.1442480765</v>
      </c>
      <c r="E24" s="3">
        <f t="shared" si="4"/>
        <v>1158020.8942577306</v>
      </c>
      <c r="F24" s="3">
        <f t="shared" si="4"/>
        <v>1181995.2022600765</v>
      </c>
      <c r="G24" s="3">
        <f t="shared" si="4"/>
        <v>2023321.3991184987</v>
      </c>
      <c r="H24" s="3">
        <f t="shared" si="4"/>
        <v>1267491.513552655</v>
      </c>
      <c r="I24" s="3">
        <f t="shared" si="4"/>
        <v>443583.99524449871</v>
      </c>
      <c r="J24" s="3">
        <f t="shared" si="4"/>
        <v>84831.211863828241</v>
      </c>
      <c r="K24" s="3"/>
      <c r="L24" s="3">
        <f>STDEV(L5:L20)</f>
        <v>86730.057343687295</v>
      </c>
      <c r="M24" s="3"/>
      <c r="N24" s="3" t="s">
        <v>1</v>
      </c>
      <c r="O24" s="3">
        <f>STDEV(O5:O20)</f>
        <v>1704391.1530550518</v>
      </c>
      <c r="P24" s="3">
        <f>STDEV(P5:P20)</f>
        <v>1555674.4241581941</v>
      </c>
      <c r="Q24" s="3">
        <f>STDEV(Q5:Q20)</f>
        <v>351118.29225073342</v>
      </c>
      <c r="R24" s="3">
        <f>STDEV(R5:R20)</f>
        <v>740162.98568634526</v>
      </c>
      <c r="S24" s="3">
        <f>STDEV(S5:S20)</f>
        <v>204712.39408985476</v>
      </c>
      <c r="T24" s="3">
        <f t="shared" ref="T24:V24" si="5">STDEV(T5:T20)</f>
        <v>421642.36923570244</v>
      </c>
      <c r="U24" s="3">
        <f t="shared" si="5"/>
        <v>409427.57073066133</v>
      </c>
      <c r="V24" s="3">
        <f t="shared" si="5"/>
        <v>152581.60021046348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Prochloraz-0.063mg/L</v>
      </c>
      <c r="J27" s="20" t="str">
        <f t="shared" si="6"/>
        <v>Prochloraz-0.13mg/L</v>
      </c>
      <c r="K27" s="20" t="str">
        <f t="shared" si="6"/>
        <v>Prochloraz-0.25mg/L</v>
      </c>
      <c r="L27" s="20" t="str">
        <f t="shared" si="6"/>
        <v>Prochloraz-0.5mg/L</v>
      </c>
      <c r="M27" s="20" t="str">
        <f t="shared" si="6"/>
        <v>Prochloraz-1mg/L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Prochloraz-0.063mg/L + Testostérone</v>
      </c>
      <c r="S27" s="21" t="str">
        <f t="shared" ref="S27:V27" si="8">S4</f>
        <v>Prochloraz-0.13mg/L + Testostérone</v>
      </c>
      <c r="T27" s="21" t="str">
        <f t="shared" si="8"/>
        <v>Prochloraz-0.25mg/L + Testostérone</v>
      </c>
      <c r="U27" s="21" t="str">
        <f t="shared" si="8"/>
        <v>Prochloraz-0.5mg/L + Testostérone</v>
      </c>
      <c r="V27" s="21" t="str">
        <f t="shared" si="8"/>
        <v>Prochloraz-1mg/L + Testostérone</v>
      </c>
    </row>
    <row r="28" spans="1:22" ht="14.5" customHeight="1" x14ac:dyDescent="0.35">
      <c r="A28" s="140" t="s">
        <v>36</v>
      </c>
      <c r="B28" s="11">
        <f t="shared" ref="B28:M28" si="9">IF(B5="","",(B5/$O$23))</f>
        <v>0.42512373385855307</v>
      </c>
      <c r="C28" s="11">
        <f t="shared" si="9"/>
        <v>0.91875457025613361</v>
      </c>
      <c r="D28" s="11">
        <f t="shared" si="9"/>
        <v>0.91875457025613361</v>
      </c>
      <c r="E28" s="11">
        <f t="shared" si="9"/>
        <v>3.8195498671842456</v>
      </c>
      <c r="F28" s="11">
        <f t="shared" si="9"/>
        <v>3.6820891106281159</v>
      </c>
      <c r="G28" s="11">
        <f t="shared" si="9"/>
        <v>4.4963666756819958</v>
      </c>
      <c r="H28" s="11">
        <f t="shared" si="9"/>
        <v>3.7580168328045356</v>
      </c>
      <c r="I28" s="11">
        <f t="shared" si="9"/>
        <v>0.38968834762273269</v>
      </c>
      <c r="J28" s="11">
        <f t="shared" si="9"/>
        <v>0.11913196576080771</v>
      </c>
      <c r="K28" s="11">
        <f t="shared" si="9"/>
        <v>9.8219075218666477E-2</v>
      </c>
      <c r="L28" s="11">
        <f t="shared" si="9"/>
        <v>8.8982755538905459E-2</v>
      </c>
      <c r="M28" s="11">
        <f t="shared" si="9"/>
        <v>0.109098787128283</v>
      </c>
      <c r="N28" s="6"/>
      <c r="O28" s="11">
        <f t="shared" ref="O28:S37" si="10">IF(O5="","",(O5/$O$23))</f>
        <v>2.7574796968326831</v>
      </c>
      <c r="P28" s="11">
        <f t="shared" si="10"/>
        <v>1.3557597815649203</v>
      </c>
      <c r="Q28" s="11">
        <f t="shared" si="10"/>
        <v>0.1347405698582862</v>
      </c>
      <c r="R28" s="11">
        <f t="shared" si="10"/>
        <v>0.12954339367545598</v>
      </c>
      <c r="S28" s="11">
        <f t="shared" si="10"/>
        <v>0.20239130774353184</v>
      </c>
      <c r="T28" s="11">
        <f t="shared" ref="T28:V43" si="11">IF(T5="","",(T5/$O$23))</f>
        <v>0.45321559914786541</v>
      </c>
      <c r="U28" s="11">
        <f t="shared" si="11"/>
        <v>4.0870585222722883E-2</v>
      </c>
      <c r="V28" s="11">
        <f t="shared" si="11"/>
        <v>0.13818258658152263</v>
      </c>
    </row>
    <row r="29" spans="1:22" x14ac:dyDescent="0.35">
      <c r="A29" s="141"/>
      <c r="B29" s="11">
        <f t="shared" ref="B29:M29" si="12">IF(B6="","",(B6/$O$23))</f>
        <v>0.40486023161882639</v>
      </c>
      <c r="C29" s="11">
        <f t="shared" si="12"/>
        <v>2.3384224398327023</v>
      </c>
      <c r="D29" s="11">
        <f t="shared" si="12"/>
        <v>2.3384224398327023</v>
      </c>
      <c r="E29" s="11">
        <f t="shared" si="12"/>
        <v>1.877114582787258</v>
      </c>
      <c r="F29" s="11">
        <f t="shared" si="12"/>
        <v>3.1749515149811907</v>
      </c>
      <c r="G29" s="11">
        <f t="shared" si="12"/>
        <v>5.5035456827692224</v>
      </c>
      <c r="H29" s="11">
        <f t="shared" si="12"/>
        <v>3.2423952765150692</v>
      </c>
      <c r="I29" s="11">
        <f t="shared" si="12"/>
        <v>0.40093026814724181</v>
      </c>
      <c r="J29" s="11">
        <f t="shared" si="12"/>
        <v>9.0609072219773185E-2</v>
      </c>
      <c r="K29" s="11">
        <f t="shared" si="12"/>
        <v>0.11289783805762785</v>
      </c>
      <c r="L29" s="11">
        <f t="shared" si="12"/>
        <v>0.12672075368368588</v>
      </c>
      <c r="M29" s="11">
        <f t="shared" si="12"/>
        <v>0.13091357712150678</v>
      </c>
      <c r="N29" s="6"/>
      <c r="O29" s="11">
        <f t="shared" si="10"/>
        <v>0.58450432090622528</v>
      </c>
      <c r="P29" s="11">
        <f t="shared" si="10"/>
        <v>1.8590186403872242</v>
      </c>
      <c r="Q29" s="11">
        <f t="shared" si="10"/>
        <v>0.53653651659512125</v>
      </c>
      <c r="R29" s="11">
        <f t="shared" si="10"/>
        <v>7.6404285225442681E-2</v>
      </c>
      <c r="S29" s="11">
        <f t="shared" si="10"/>
        <v>0.33529547992431263</v>
      </c>
      <c r="T29" s="11">
        <f t="shared" si="11"/>
        <v>0.43129680353807964</v>
      </c>
      <c r="U29" s="11">
        <f t="shared" si="11"/>
        <v>0.20391982809837858</v>
      </c>
      <c r="V29" s="11">
        <f t="shared" si="11"/>
        <v>0.18513879397531943</v>
      </c>
    </row>
    <row r="30" spans="1:22" x14ac:dyDescent="0.35">
      <c r="A30" s="141"/>
      <c r="B30" s="11">
        <f t="shared" ref="B30:M30" si="13">IF(B7="","",(B7/$O$23))</f>
        <v>0.47883927144712402</v>
      </c>
      <c r="C30" s="11">
        <f t="shared" si="13"/>
        <v>0.75612548937375323</v>
      </c>
      <c r="D30" s="11">
        <f t="shared" si="13"/>
        <v>0.75612548937375323</v>
      </c>
      <c r="E30" s="11">
        <f t="shared" si="13"/>
        <v>3.4291935033874754</v>
      </c>
      <c r="F30" s="11">
        <f t="shared" si="13"/>
        <v>3.7065635467364082</v>
      </c>
      <c r="G30" s="11">
        <f t="shared" si="13"/>
        <v>3.2402184027395649</v>
      </c>
      <c r="H30" s="11">
        <f t="shared" si="13"/>
        <v>2.9328155733663737</v>
      </c>
      <c r="I30" s="11">
        <f t="shared" si="13"/>
        <v>2.4667441555942134E-2</v>
      </c>
      <c r="J30" s="11">
        <f t="shared" si="13"/>
        <v>8.671222496440735E-2</v>
      </c>
      <c r="K30" s="11">
        <f t="shared" si="13"/>
        <v>3.5236171497629455E-2</v>
      </c>
      <c r="L30" s="11">
        <f t="shared" si="13"/>
        <v>0.12730132234927086</v>
      </c>
      <c r="M30" s="11">
        <f t="shared" si="13"/>
        <v>1.1111007982269371E-2</v>
      </c>
      <c r="N30" s="6"/>
      <c r="O30" s="11">
        <f t="shared" si="10"/>
        <v>0.51929849117150462</v>
      </c>
      <c r="P30" s="11">
        <f t="shared" si="10"/>
        <v>3.8091451660010165</v>
      </c>
      <c r="Q30" s="11">
        <f t="shared" si="10"/>
        <v>4.5302466346372916E-2</v>
      </c>
      <c r="R30" s="11">
        <f t="shared" si="10"/>
        <v>0.30888995445776446</v>
      </c>
      <c r="S30" s="11">
        <f t="shared" si="10"/>
        <v>0.15598824464876387</v>
      </c>
      <c r="T30" s="11">
        <f t="shared" si="11"/>
        <v>0.54807700050647756</v>
      </c>
      <c r="U30" s="11">
        <f t="shared" si="11"/>
        <v>0.20992783413768978</v>
      </c>
      <c r="V30" s="11">
        <f t="shared" si="11"/>
        <v>0.25358846057684242</v>
      </c>
    </row>
    <row r="31" spans="1:22" x14ac:dyDescent="0.35">
      <c r="A31" s="141"/>
      <c r="B31" s="11">
        <f t="shared" ref="B31:M31" si="14">IF(B8="","",(B8/$O$23))</f>
        <v>0.56929983813479124</v>
      </c>
      <c r="C31" s="11">
        <f t="shared" si="14"/>
        <v>2.1715870820496623</v>
      </c>
      <c r="D31" s="11">
        <f t="shared" si="14"/>
        <v>2.1715870820496623</v>
      </c>
      <c r="E31" s="11">
        <f t="shared" si="14"/>
        <v>3.1283497545891104</v>
      </c>
      <c r="F31" s="11">
        <f t="shared" si="14"/>
        <v>2.6116343282826682</v>
      </c>
      <c r="G31" s="11">
        <f t="shared" si="14"/>
        <v>2.7891915785074075</v>
      </c>
      <c r="H31" s="11">
        <f t="shared" si="14"/>
        <v>4.1706402299222667</v>
      </c>
      <c r="I31" s="11">
        <f t="shared" si="14"/>
        <v>0.19796615335130124</v>
      </c>
      <c r="J31" s="11">
        <f t="shared" si="14"/>
        <v>3.3328366978902353E-2</v>
      </c>
      <c r="K31" s="11">
        <f t="shared" si="14"/>
        <v>8.315430148440528E-2</v>
      </c>
      <c r="L31" s="11">
        <f t="shared" si="14"/>
        <v>0.12259778476445138</v>
      </c>
      <c r="M31" s="11">
        <f t="shared" si="14"/>
        <v>0.50662895126344021</v>
      </c>
      <c r="N31" s="6"/>
      <c r="O31" s="11">
        <f t="shared" si="10"/>
        <v>2.4122058870089579E-2</v>
      </c>
      <c r="P31" s="11">
        <f t="shared" si="10"/>
        <v>2.6111525908248612</v>
      </c>
      <c r="Q31" s="11">
        <f t="shared" si="10"/>
        <v>2.6742896919276667E-2</v>
      </c>
      <c r="R31" s="11">
        <f t="shared" si="10"/>
        <v>0.19415882336790172</v>
      </c>
      <c r="S31" s="11">
        <f t="shared" si="10"/>
        <v>0.29158207451556134</v>
      </c>
      <c r="T31" s="11">
        <f t="shared" si="11"/>
        <v>5.4710576397768704E-2</v>
      </c>
      <c r="U31" s="11">
        <f t="shared" si="11"/>
        <v>9.0777757946137447E-2</v>
      </c>
      <c r="V31" s="11">
        <f t="shared" si="11"/>
        <v>0.27245694220835426</v>
      </c>
    </row>
    <row r="32" spans="1:22" x14ac:dyDescent="0.35">
      <c r="A32" s="141"/>
      <c r="B32" s="11">
        <f t="shared" ref="B32:M32" si="15">IF(B9="","",(B9/$O$23))</f>
        <v>0.47437841363428257</v>
      </c>
      <c r="C32" s="11">
        <f t="shared" si="15"/>
        <v>1.8040638318948423</v>
      </c>
      <c r="D32" s="11">
        <f t="shared" si="15"/>
        <v>1.8040638318948423</v>
      </c>
      <c r="E32" s="11">
        <f t="shared" si="15"/>
        <v>2.9332828224795851</v>
      </c>
      <c r="F32" s="11">
        <f t="shared" si="15"/>
        <v>3.8647685081083147</v>
      </c>
      <c r="G32" s="11">
        <f t="shared" si="15"/>
        <v>3.2835887448459249</v>
      </c>
      <c r="H32" s="11">
        <f t="shared" si="15"/>
        <v>4.0315883426650023</v>
      </c>
      <c r="I32" s="11">
        <f t="shared" si="15"/>
        <v>0.71872951964960718</v>
      </c>
      <c r="J32" s="11">
        <f t="shared" si="15"/>
        <v>3.5243415669927308E-2</v>
      </c>
      <c r="K32" s="11">
        <f t="shared" si="15"/>
        <v>0.61621154561304403</v>
      </c>
      <c r="L32" s="11">
        <f t="shared" si="15"/>
        <v>5.9163155156555458E-2</v>
      </c>
      <c r="M32" s="11">
        <f t="shared" si="15"/>
        <v>2.0398554308993767E-2</v>
      </c>
      <c r="N32" s="6"/>
      <c r="O32" s="11">
        <f t="shared" si="10"/>
        <v>0.10896218273638066</v>
      </c>
      <c r="P32" s="11">
        <f t="shared" si="10"/>
        <v>3.3986101602685803</v>
      </c>
      <c r="Q32" s="11">
        <f t="shared" si="10"/>
        <v>2.6623368076362112E-2</v>
      </c>
      <c r="R32" s="11">
        <f t="shared" si="10"/>
        <v>4.0543562587562719E-2</v>
      </c>
      <c r="S32" s="11">
        <f t="shared" si="10"/>
        <v>0.1764773511114808</v>
      </c>
      <c r="T32" s="11">
        <f t="shared" si="11"/>
        <v>0.11487187500879245</v>
      </c>
      <c r="U32" s="11">
        <f t="shared" si="11"/>
        <v>2.1682842569227201E-2</v>
      </c>
      <c r="V32" s="11">
        <f t="shared" si="11"/>
        <v>6.8855340250202721E-2</v>
      </c>
    </row>
    <row r="33" spans="1:22" x14ac:dyDescent="0.35">
      <c r="A33" s="141"/>
      <c r="B33" s="11">
        <f t="shared" ref="B33:M33" si="16">IF(B10="","",(B10/$O$23))</f>
        <v>0.22464850968780301</v>
      </c>
      <c r="C33" s="11">
        <f t="shared" si="16"/>
        <v>2.5563452529828283</v>
      </c>
      <c r="D33" s="11">
        <f t="shared" si="16"/>
        <v>2.5563452529828283</v>
      </c>
      <c r="E33" s="11">
        <f t="shared" si="16"/>
        <v>3.0643930271348907</v>
      </c>
      <c r="F33" s="11">
        <f t="shared" si="16"/>
        <v>3.4626988351467967</v>
      </c>
      <c r="G33" s="11">
        <f t="shared" si="16"/>
        <v>5.6000437496262698</v>
      </c>
      <c r="H33" s="11">
        <f t="shared" si="16"/>
        <v>4.6221161928368915</v>
      </c>
      <c r="I33" s="11">
        <f t="shared" si="16"/>
        <v>0.15773098552727566</v>
      </c>
      <c r="J33" s="11">
        <f t="shared" si="16"/>
        <v>2.4942720103260502E-2</v>
      </c>
      <c r="K33" s="11">
        <f t="shared" si="16"/>
        <v>1.9148934587614335E-2</v>
      </c>
      <c r="L33" s="11">
        <f t="shared" si="16"/>
        <v>0.18028882062190765</v>
      </c>
      <c r="M33" s="11">
        <f t="shared" si="16"/>
        <v>4.3456237292177555E-2</v>
      </c>
      <c r="N33" s="6"/>
      <c r="O33" s="11">
        <f t="shared" si="10"/>
        <v>2.7110709418882522</v>
      </c>
      <c r="P33" s="11">
        <f t="shared" si="10"/>
        <v>2.4738620723177314</v>
      </c>
      <c r="Q33" s="11">
        <f t="shared" si="10"/>
        <v>7.0663278679395147E-2</v>
      </c>
      <c r="R33" s="11">
        <f t="shared" si="10"/>
        <v>1.186191818502955</v>
      </c>
      <c r="S33" s="11">
        <f t="shared" si="10"/>
        <v>0.21452788354682567</v>
      </c>
      <c r="T33" s="11">
        <f t="shared" si="11"/>
        <v>4.0820910898394756E-3</v>
      </c>
      <c r="U33" s="11">
        <f t="shared" si="11"/>
        <v>6.1049227158389008E-2</v>
      </c>
      <c r="V33" s="11">
        <f t="shared" si="11"/>
        <v>9.215052859658035E-2</v>
      </c>
    </row>
    <row r="34" spans="1:22" x14ac:dyDescent="0.35">
      <c r="A34" s="141"/>
      <c r="B34" s="11">
        <f t="shared" ref="B34:M34" si="17">IF(B11="","",(B11/$O$23))</f>
        <v>0.2858902248529635</v>
      </c>
      <c r="C34" s="11">
        <f t="shared" si="17"/>
        <v>2.5030943773030767</v>
      </c>
      <c r="D34" s="11">
        <f t="shared" si="17"/>
        <v>2.5030943773030767</v>
      </c>
      <c r="E34" s="11">
        <f t="shared" si="17"/>
        <v>2.8779621832861615</v>
      </c>
      <c r="F34" s="11">
        <f t="shared" si="17"/>
        <v>2.8177977800298675</v>
      </c>
      <c r="G34" s="11">
        <f t="shared" si="17"/>
        <v>3.6850152387955695</v>
      </c>
      <c r="H34" s="11">
        <f t="shared" si="17"/>
        <v>3.1994994276942186</v>
      </c>
      <c r="I34" s="11">
        <f t="shared" si="17"/>
        <v>0.39876167342579205</v>
      </c>
      <c r="J34" s="11">
        <f t="shared" si="17"/>
        <v>9.3305974078087717E-2</v>
      </c>
      <c r="K34" s="11">
        <f t="shared" si="17"/>
        <v>3.4181626987413609E-2</v>
      </c>
      <c r="L34" s="11">
        <f t="shared" si="17"/>
        <v>3.6761069766327259E-2</v>
      </c>
      <c r="M34" s="11">
        <f t="shared" si="17"/>
        <v>7.1922212336586105E-2</v>
      </c>
      <c r="N34" s="6"/>
      <c r="O34" s="11">
        <f t="shared" si="10"/>
        <v>0.83117666670213297</v>
      </c>
      <c r="P34" s="11">
        <f t="shared" si="10"/>
        <v>3.1970255428545022</v>
      </c>
      <c r="Q34" s="11">
        <f t="shared" si="10"/>
        <v>0.32631063651146275</v>
      </c>
      <c r="R34" s="11">
        <f t="shared" si="10"/>
        <v>0.12913823746765468</v>
      </c>
      <c r="S34" s="11">
        <f t="shared" si="10"/>
        <v>0.47290939898045392</v>
      </c>
      <c r="T34" s="11">
        <f t="shared" si="11"/>
        <v>7.869913552122644E-2</v>
      </c>
      <c r="U34" s="11">
        <f t="shared" si="11"/>
        <v>2.1997446623305338E-2</v>
      </c>
      <c r="V34" s="11">
        <f t="shared" si="11"/>
        <v>9.4840703723475459E-2</v>
      </c>
    </row>
    <row r="35" spans="1:22" x14ac:dyDescent="0.35">
      <c r="A35" s="141"/>
      <c r="B35" s="11" t="str">
        <f t="shared" ref="B35:M35" si="18">IF(B12="","",(B12/$O$23))</f>
        <v/>
      </c>
      <c r="C35" s="11">
        <f t="shared" si="18"/>
        <v>1.3177558188086331</v>
      </c>
      <c r="D35" s="11">
        <f t="shared" si="18"/>
        <v>1.3177558188086331</v>
      </c>
      <c r="E35" s="11" t="str">
        <f t="shared" si="18"/>
        <v/>
      </c>
      <c r="F35" s="11">
        <f t="shared" si="18"/>
        <v>2.1378447623680255</v>
      </c>
      <c r="G35" s="11">
        <f t="shared" si="18"/>
        <v>4.1164910768775815</v>
      </c>
      <c r="H35" s="11">
        <f t="shared" si="18"/>
        <v>2.7652909843332809</v>
      </c>
      <c r="I35" s="11">
        <f t="shared" si="18"/>
        <v>5.6307916389445024E-2</v>
      </c>
      <c r="J35" s="11">
        <f t="shared" si="18"/>
        <v>0.14649734405682122</v>
      </c>
      <c r="K35" s="11">
        <f t="shared" si="18"/>
        <v>0.84519000057144877</v>
      </c>
      <c r="L35" s="11">
        <f t="shared" si="18"/>
        <v>9.3175061535847967E-2</v>
      </c>
      <c r="M35" s="11">
        <f t="shared" si="18"/>
        <v>0.37353487828028009</v>
      </c>
      <c r="N35" s="6"/>
      <c r="O35" s="11">
        <f t="shared" si="10"/>
        <v>1.4540616473241337</v>
      </c>
      <c r="P35" s="11">
        <f t="shared" si="10"/>
        <v>2.616220406788087</v>
      </c>
      <c r="Q35" s="11">
        <f t="shared" si="10"/>
        <v>9.4078513309565764E-2</v>
      </c>
      <c r="R35" s="11">
        <f t="shared" si="10"/>
        <v>4.4793821962888038E-2</v>
      </c>
      <c r="S35" s="11">
        <f t="shared" si="10"/>
        <v>0.32729015209430801</v>
      </c>
      <c r="T35" s="11">
        <f t="shared" si="11"/>
        <v>7.3121122851880577E-2</v>
      </c>
      <c r="U35" s="11">
        <f t="shared" si="11"/>
        <v>0.65281841799760276</v>
      </c>
      <c r="V35" s="11">
        <f t="shared" si="11"/>
        <v>9.0316200682588596E-2</v>
      </c>
    </row>
    <row r="36" spans="1:22" x14ac:dyDescent="0.35">
      <c r="A36" s="141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0.52259458956702709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35">
      <c r="A37" s="141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0.71430229549386293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35">
      <c r="A38" s="141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3.9788098905072462E-2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35">
      <c r="A39" s="141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2.1343204725451206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35">
      <c r="A40" s="141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0.85914175897623291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35">
      <c r="A41" s="141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0.29383759930458531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35">
      <c r="A42" s="141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1.4773454519711862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35">
      <c r="A43" s="141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0.96799372680551055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Prochloraz-0.063mg/L</v>
      </c>
      <c r="J45" s="7" t="str">
        <f t="shared" si="29"/>
        <v>Prochloraz-0.13mg/L</v>
      </c>
      <c r="K45" s="7" t="str">
        <f t="shared" ref="K45:M45" si="30">K4</f>
        <v>Prochloraz-0.25mg/L</v>
      </c>
      <c r="L45" s="7" t="str">
        <f t="shared" si="30"/>
        <v>Prochloraz-0.5mg/L</v>
      </c>
      <c r="M45" s="7" t="str">
        <f t="shared" si="30"/>
        <v>Prochloraz-1mg/L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Prochloraz-0.063mg/L + Testostérone</v>
      </c>
      <c r="S45" s="7" t="str">
        <f t="shared" ref="S45:V45" si="31">S4</f>
        <v>Prochloraz-0.13mg/L + Testostérone</v>
      </c>
      <c r="T45" s="7" t="str">
        <f t="shared" si="31"/>
        <v>Prochloraz-0.25mg/L + Testostérone</v>
      </c>
      <c r="U45" s="7" t="str">
        <f t="shared" si="31"/>
        <v>Prochloraz-0.5mg/L + Testostérone</v>
      </c>
      <c r="V45" s="7" t="str">
        <f t="shared" si="31"/>
        <v>Prochloraz-1mg/L + Testostérone</v>
      </c>
    </row>
    <row r="46" spans="1:22" x14ac:dyDescent="0.35">
      <c r="A46" s="8" t="s">
        <v>0</v>
      </c>
      <c r="B46" s="10">
        <f t="shared" ref="B46:H46" si="32">AVERAGE(B28:B43)</f>
        <v>0.40900574617633484</v>
      </c>
      <c r="C46" s="10">
        <f t="shared" si="32"/>
        <v>1.795768607812704</v>
      </c>
      <c r="D46" s="10">
        <f t="shared" si="32"/>
        <v>1.795768607812704</v>
      </c>
      <c r="E46" s="10">
        <f t="shared" si="32"/>
        <v>3.0185493915498181</v>
      </c>
      <c r="F46" s="10">
        <f t="shared" si="32"/>
        <v>3.1822935482851733</v>
      </c>
      <c r="G46" s="10">
        <f t="shared" si="32"/>
        <v>4.0893076437304421</v>
      </c>
      <c r="H46" s="10">
        <f t="shared" si="32"/>
        <v>3.5902953575172045</v>
      </c>
      <c r="I46" s="10">
        <f>AVERAGE(I28:I43)</f>
        <v>0.29309778820866722</v>
      </c>
      <c r="J46" s="9">
        <f>AVERAGE(J28:J43)</f>
        <v>7.8721385478998415E-2</v>
      </c>
      <c r="K46" s="9">
        <f t="shared" ref="K46:M46" si="33">AVERAGE(K28:K43)</f>
        <v>0.23052993675223121</v>
      </c>
      <c r="L46" s="9">
        <f t="shared" si="33"/>
        <v>0.104373840427119</v>
      </c>
      <c r="M46" s="9">
        <f t="shared" si="33"/>
        <v>0.1583830257141921</v>
      </c>
      <c r="N46" s="8" t="s">
        <v>0</v>
      </c>
      <c r="O46" s="10">
        <f t="shared" ref="O46:R46" si="34">AVERAGE(O28:O43)</f>
        <v>0.99999999999999978</v>
      </c>
      <c r="P46" s="10">
        <f t="shared" si="34"/>
        <v>2.6650992951258652</v>
      </c>
      <c r="Q46" s="10">
        <f t="shared" si="34"/>
        <v>0.15762478078698036</v>
      </c>
      <c r="R46" s="10">
        <f t="shared" si="34"/>
        <v>0.26370798715595312</v>
      </c>
      <c r="S46" s="10">
        <f t="shared" ref="S46:V46" si="35">AVERAGE(S28:S43)</f>
        <v>0.27205773657065474</v>
      </c>
      <c r="T46" s="10">
        <f t="shared" si="35"/>
        <v>0.2197592755077413</v>
      </c>
      <c r="U46" s="10">
        <f t="shared" si="35"/>
        <v>0.16288049246918163</v>
      </c>
      <c r="V46" s="10">
        <f t="shared" si="35"/>
        <v>0.14944119457436075</v>
      </c>
    </row>
    <row r="47" spans="1:22" x14ac:dyDescent="0.35">
      <c r="A47" s="8" t="s">
        <v>1</v>
      </c>
      <c r="B47" s="8">
        <f t="shared" ref="B47:J47" si="36">STDEV(B28:B43)</f>
        <v>0.1185091416117931</v>
      </c>
      <c r="C47" s="8">
        <f t="shared" si="36"/>
        <v>0.71644716257475705</v>
      </c>
      <c r="D47" s="8">
        <f t="shared" si="36"/>
        <v>0.71644716257475705</v>
      </c>
      <c r="E47" s="8">
        <f t="shared" si="36"/>
        <v>0.59920734875110226</v>
      </c>
      <c r="F47" s="8">
        <f t="shared" si="36"/>
        <v>0.61161263574329694</v>
      </c>
      <c r="G47" s="8">
        <f t="shared" si="36"/>
        <v>1.0469492020817814</v>
      </c>
      <c r="H47" s="8">
        <f t="shared" si="36"/>
        <v>0.65585192216002697</v>
      </c>
      <c r="I47" s="8">
        <f t="shared" si="36"/>
        <v>0.22952849215147217</v>
      </c>
      <c r="J47" s="8">
        <f t="shared" si="36"/>
        <v>4.3895136784081419E-2</v>
      </c>
      <c r="K47" s="8">
        <f t="shared" ref="K47:M47" si="37">STDEV(K28:K43)</f>
        <v>0.3164523416233464</v>
      </c>
      <c r="L47" s="8">
        <f t="shared" si="37"/>
        <v>4.487767705715965E-2</v>
      </c>
      <c r="M47" s="8">
        <f t="shared" si="37"/>
        <v>0.1821151329736104</v>
      </c>
      <c r="N47" s="8" t="s">
        <v>1</v>
      </c>
      <c r="O47" s="8">
        <f t="shared" ref="O47:R47" si="38">STDEV(O28:O43)</f>
        <v>0.88192165540464673</v>
      </c>
      <c r="P47" s="8">
        <f t="shared" si="38"/>
        <v>0.80496954056880754</v>
      </c>
      <c r="Q47" s="8">
        <f t="shared" si="38"/>
        <v>0.18168295757084191</v>
      </c>
      <c r="R47" s="8">
        <f t="shared" si="38"/>
        <v>0.38299058548602027</v>
      </c>
      <c r="S47" s="8">
        <f t="shared" ref="S47:V47" si="39">STDEV(S28:S43)</f>
        <v>0.10592656102090305</v>
      </c>
      <c r="T47" s="8">
        <f t="shared" si="39"/>
        <v>0.2181749979155618</v>
      </c>
      <c r="U47" s="8">
        <f t="shared" si="39"/>
        <v>0.21185456184741469</v>
      </c>
      <c r="V47" s="8">
        <f t="shared" si="39"/>
        <v>7.8951957243323809E-2</v>
      </c>
    </row>
    <row r="48" spans="1:22" x14ac:dyDescent="0.35">
      <c r="A48" s="8" t="s">
        <v>2</v>
      </c>
      <c r="B48" s="8">
        <f t="shared" ref="B48:J48" si="40" xml:space="preserve"> B47/SQRT(COUNT(B28:B43))</f>
        <v>4.4792245256077258E-2</v>
      </c>
      <c r="C48" s="8">
        <f t="shared" si="40"/>
        <v>0.25330232350923576</v>
      </c>
      <c r="D48" s="8">
        <f t="shared" si="40"/>
        <v>0.25330232350923576</v>
      </c>
      <c r="E48" s="8">
        <f t="shared" si="40"/>
        <v>0.22647908979396658</v>
      </c>
      <c r="F48" s="8">
        <f t="shared" si="40"/>
        <v>0.21623772109673151</v>
      </c>
      <c r="G48" s="8">
        <f t="shared" si="40"/>
        <v>0.37015244017493637</v>
      </c>
      <c r="H48" s="8">
        <f t="shared" si="40"/>
        <v>0.23187867080679339</v>
      </c>
      <c r="I48" s="8">
        <f t="shared" si="40"/>
        <v>8.1150576637914612E-2</v>
      </c>
      <c r="J48" s="8">
        <f t="shared" si="40"/>
        <v>1.5519274440567516E-2</v>
      </c>
      <c r="K48" s="8">
        <f t="shared" ref="K48:M48" si="41" xml:space="preserve"> K47/SQRT(COUNT(K28:K43))</f>
        <v>0.11188279834211509</v>
      </c>
      <c r="L48" s="8">
        <f t="shared" si="41"/>
        <v>1.5866654885508764E-2</v>
      </c>
      <c r="M48" s="8">
        <f t="shared" si="41"/>
        <v>6.4387422741164865E-2</v>
      </c>
      <c r="N48" s="8" t="s">
        <v>2</v>
      </c>
      <c r="O48" s="8">
        <f t="shared" ref="O48:R48" si="42" xml:space="preserve"> O47/SQRT(COUNT(O28:O43))</f>
        <v>0.22048041385116168</v>
      </c>
      <c r="P48" s="8">
        <f t="shared" si="42"/>
        <v>0.28459971039241172</v>
      </c>
      <c r="Q48" s="8">
        <f t="shared" si="42"/>
        <v>6.4234625662185046E-2</v>
      </c>
      <c r="R48" s="8">
        <f t="shared" si="42"/>
        <v>0.13540762006388551</v>
      </c>
      <c r="S48" s="8">
        <f t="shared" ref="S48:V48" si="43" xml:space="preserve"> S47/SQRT(COUNT(S28:S43))</f>
        <v>3.7450694802825577E-2</v>
      </c>
      <c r="T48" s="8">
        <f t="shared" si="43"/>
        <v>7.7136510255727306E-2</v>
      </c>
      <c r="U48" s="8">
        <f t="shared" si="43"/>
        <v>7.4901898653805879E-2</v>
      </c>
      <c r="V48" s="8">
        <f t="shared" si="43"/>
        <v>2.791373217735231E-2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customFormat="1" ht="15" thickBot="1" x14ac:dyDescent="0.4"/>
    <row r="52" spans="1:22" x14ac:dyDescent="0.3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Prochloraz-0.063mg/L</v>
      </c>
      <c r="J52" s="30" t="str">
        <f>J4</f>
        <v>Prochloraz-0.13mg/L</v>
      </c>
      <c r="K52" s="30" t="str">
        <f t="shared" ref="K52:M52" si="46">K4</f>
        <v>Prochloraz-0.25mg/L</v>
      </c>
      <c r="L52" s="30" t="str">
        <f t="shared" si="46"/>
        <v>Prochloraz-0.5mg/L</v>
      </c>
      <c r="M52" s="30" t="str">
        <f t="shared" si="46"/>
        <v>Prochloraz-1mg/L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Prochloraz-0.063mg/L + Testostérone</v>
      </c>
      <c r="S52" s="30" t="str">
        <f t="shared" ref="S52:V52" si="47">S27</f>
        <v>Prochloraz-0.13mg/L + Testostérone</v>
      </c>
      <c r="T52" s="30" t="str">
        <f t="shared" si="47"/>
        <v>Prochloraz-0.25mg/L + Testostérone</v>
      </c>
      <c r="U52" s="30" t="str">
        <f t="shared" si="47"/>
        <v>Prochloraz-0.5mg/L + Testostérone</v>
      </c>
      <c r="V52" s="30" t="str">
        <f t="shared" si="47"/>
        <v>Prochloraz-1mg/L + Testostérone</v>
      </c>
    </row>
    <row r="53" spans="1:22" s="3" customFormat="1" x14ac:dyDescent="0.35">
      <c r="A53" s="45" t="s">
        <v>10</v>
      </c>
      <c r="B53" s="78">
        <f t="shared" ref="B53" si="48">B46</f>
        <v>0.40900574617633484</v>
      </c>
      <c r="C53" s="78">
        <f t="shared" ref="C53:V53" si="49">C46</f>
        <v>1.795768607812704</v>
      </c>
      <c r="D53" s="78">
        <f t="shared" si="49"/>
        <v>1.795768607812704</v>
      </c>
      <c r="E53" s="78">
        <f t="shared" si="49"/>
        <v>3.0185493915498181</v>
      </c>
      <c r="F53" s="78">
        <f t="shared" si="49"/>
        <v>3.1822935482851733</v>
      </c>
      <c r="G53" s="78">
        <f t="shared" si="49"/>
        <v>4.0893076437304421</v>
      </c>
      <c r="H53" s="78">
        <f t="shared" si="49"/>
        <v>3.5902953575172045</v>
      </c>
      <c r="I53" s="78">
        <f t="shared" si="49"/>
        <v>0.29309778820866722</v>
      </c>
      <c r="J53" s="78">
        <f t="shared" si="49"/>
        <v>7.8721385478998415E-2</v>
      </c>
      <c r="K53" s="78">
        <f t="shared" si="49"/>
        <v>0.23052993675223121</v>
      </c>
      <c r="L53" s="78">
        <f t="shared" si="49"/>
        <v>0.104373840427119</v>
      </c>
      <c r="M53" s="78">
        <f t="shared" si="49"/>
        <v>0.1583830257141921</v>
      </c>
      <c r="N53" s="78"/>
      <c r="O53" s="78">
        <f t="shared" si="49"/>
        <v>0.99999999999999978</v>
      </c>
      <c r="P53" s="78">
        <f t="shared" si="49"/>
        <v>2.6650992951258652</v>
      </c>
      <c r="Q53" s="78">
        <f t="shared" si="49"/>
        <v>0.15762478078698036</v>
      </c>
      <c r="R53" s="78">
        <f t="shared" si="49"/>
        <v>0.26370798715595312</v>
      </c>
      <c r="S53" s="78">
        <f t="shared" si="49"/>
        <v>0.27205773657065474</v>
      </c>
      <c r="T53" s="78">
        <f t="shared" si="49"/>
        <v>0.2197592755077413</v>
      </c>
      <c r="U53" s="78">
        <f t="shared" si="49"/>
        <v>0.16288049246918163</v>
      </c>
      <c r="V53" s="78">
        <f t="shared" si="49"/>
        <v>0.14944119457436075</v>
      </c>
    </row>
    <row r="54" spans="1:22" s="3" customFormat="1" x14ac:dyDescent="0.35">
      <c r="A54" s="45" t="s">
        <v>2</v>
      </c>
      <c r="B54" s="78">
        <f t="shared" ref="B54" si="50">B48</f>
        <v>4.4792245256077258E-2</v>
      </c>
      <c r="C54" s="78">
        <f t="shared" ref="C54:V54" si="51">C48</f>
        <v>0.25330232350923576</v>
      </c>
      <c r="D54" s="78">
        <f t="shared" si="51"/>
        <v>0.25330232350923576</v>
      </c>
      <c r="E54" s="78">
        <f t="shared" si="51"/>
        <v>0.22647908979396658</v>
      </c>
      <c r="F54" s="78">
        <f t="shared" si="51"/>
        <v>0.21623772109673151</v>
      </c>
      <c r="G54" s="78">
        <f t="shared" si="51"/>
        <v>0.37015244017493637</v>
      </c>
      <c r="H54" s="78">
        <f t="shared" si="51"/>
        <v>0.23187867080679339</v>
      </c>
      <c r="I54" s="78">
        <f t="shared" si="51"/>
        <v>8.1150576637914612E-2</v>
      </c>
      <c r="J54" s="78">
        <f t="shared" si="51"/>
        <v>1.5519274440567516E-2</v>
      </c>
      <c r="K54" s="78">
        <f t="shared" si="51"/>
        <v>0.11188279834211509</v>
      </c>
      <c r="L54" s="78">
        <f t="shared" si="51"/>
        <v>1.5866654885508764E-2</v>
      </c>
      <c r="M54" s="78">
        <f t="shared" si="51"/>
        <v>6.4387422741164865E-2</v>
      </c>
      <c r="N54" s="78"/>
      <c r="O54" s="78">
        <f t="shared" si="51"/>
        <v>0.22048041385116168</v>
      </c>
      <c r="P54" s="78">
        <f t="shared" si="51"/>
        <v>0.28459971039241172</v>
      </c>
      <c r="Q54" s="78">
        <f t="shared" si="51"/>
        <v>6.4234625662185046E-2</v>
      </c>
      <c r="R54" s="78">
        <f t="shared" si="51"/>
        <v>0.13540762006388551</v>
      </c>
      <c r="S54" s="78">
        <f t="shared" si="51"/>
        <v>3.7450694802825577E-2</v>
      </c>
      <c r="T54" s="78">
        <f t="shared" si="51"/>
        <v>7.7136510255727306E-2</v>
      </c>
      <c r="U54" s="78">
        <f t="shared" si="51"/>
        <v>7.4901898653805879E-2</v>
      </c>
      <c r="V54" s="78">
        <f t="shared" si="51"/>
        <v>2.791373217735231E-2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52">(C53*100/$B53)-100</f>
        <v>339.05706083613148</v>
      </c>
      <c r="D55" s="78">
        <f t="shared" si="52"/>
        <v>339.05706083613148</v>
      </c>
      <c r="E55" s="78">
        <f t="shared" si="52"/>
        <v>638.02126737075957</v>
      </c>
      <c r="F55" s="78">
        <f t="shared" si="52"/>
        <v>678.05595105580483</v>
      </c>
      <c r="G55" s="78">
        <f t="shared" si="52"/>
        <v>899.81667298322429</v>
      </c>
      <c r="H55" s="78">
        <f t="shared" si="52"/>
        <v>777.81049314874883</v>
      </c>
      <c r="I55" s="78">
        <f t="shared" si="52"/>
        <v>-28.33895588295627</v>
      </c>
      <c r="J55" s="78">
        <f t="shared" si="52"/>
        <v>-80.752987894439201</v>
      </c>
      <c r="K55" s="78">
        <f t="shared" si="52"/>
        <v>-43.636504154921404</v>
      </c>
      <c r="L55" s="78">
        <f t="shared" si="52"/>
        <v>-74.481082135672423</v>
      </c>
      <c r="M55" s="78">
        <f t="shared" si="52"/>
        <v>-61.276087880215655</v>
      </c>
      <c r="N55" s="78"/>
      <c r="O55" s="78">
        <f t="shared" ref="O55:V55" si="53">(O53*100/$O53)-100</f>
        <v>0</v>
      </c>
      <c r="P55" s="78">
        <f t="shared" si="53"/>
        <v>166.50992951258655</v>
      </c>
      <c r="Q55" s="78">
        <f t="shared" si="53"/>
        <v>-84.237521921301962</v>
      </c>
      <c r="R55" s="78">
        <f t="shared" si="53"/>
        <v>-73.629201284404672</v>
      </c>
      <c r="S55" s="78">
        <f t="shared" si="53"/>
        <v>-72.794226342934522</v>
      </c>
      <c r="T55" s="78">
        <f t="shared" si="53"/>
        <v>-78.024072449225869</v>
      </c>
      <c r="U55" s="78">
        <f t="shared" si="53"/>
        <v>-83.711950753081837</v>
      </c>
      <c r="V55" s="78">
        <f t="shared" si="53"/>
        <v>-85.055880542563926</v>
      </c>
    </row>
    <row r="56" spans="1:22" s="3" customFormat="1" x14ac:dyDescent="0.35">
      <c r="A56" s="45" t="s">
        <v>38</v>
      </c>
      <c r="B56" s="78">
        <f>[1]!SWTEST(B28:B43)</f>
        <v>0.7355806882111261</v>
      </c>
      <c r="C56" s="78">
        <f>[1]!SWTEST(C28:C43)</f>
        <v>0.24219636788491372</v>
      </c>
      <c r="D56" s="78">
        <f>[1]!SWTEST(D28:D43)</f>
        <v>0.24219636788491372</v>
      </c>
      <c r="E56" s="78">
        <f>[1]!SWTEST(E28:E43)</f>
        <v>0.44045214697224111</v>
      </c>
      <c r="F56" s="78">
        <f>[1]!SWTEST(F28:F43)</f>
        <v>0.49794337833107138</v>
      </c>
      <c r="G56" s="78">
        <f>[1]!SWTEST(G28:G43)</f>
        <v>0.41059981785942601</v>
      </c>
      <c r="H56" s="78">
        <f>[1]!SWTEST(H28:H43)</f>
        <v>0.69499456117329561</v>
      </c>
      <c r="I56" s="78">
        <f>[1]!SWTEST(I28:I43)</f>
        <v>0.41750889880720932</v>
      </c>
      <c r="J56" s="78">
        <f>[1]!SWTEST(J28:J43)</f>
        <v>0.38875441421407309</v>
      </c>
      <c r="K56" s="78">
        <f>[1]!SWTEST(K28:K43)</f>
        <v>2.0147805094978821E-3</v>
      </c>
      <c r="L56" s="78">
        <f>[1]!SWTEST(L28:L43)</f>
        <v>0.86004427940928252</v>
      </c>
      <c r="M56" s="78">
        <f>[1]!SWTEST(M28:M43)</f>
        <v>2.3765780257296365E-2</v>
      </c>
      <c r="N56" s="78"/>
      <c r="O56" s="78">
        <f>[1]!SWTEST(O28:O43)</f>
        <v>3.5453459531298304E-2</v>
      </c>
      <c r="P56" s="78">
        <f>[1]!SWTEST(P28:P43)</f>
        <v>0.90363808057059947</v>
      </c>
      <c r="Q56" s="78">
        <f>[1]!SWTEST(Q28:Q43)</f>
        <v>1.17703704629879E-2</v>
      </c>
      <c r="R56" s="78">
        <f>[1]!SWTEST(R28:R43)</f>
        <v>2.6638608171547506E-4</v>
      </c>
      <c r="S56" s="78">
        <f>[1]!SWTEST(S28:S43)</f>
        <v>0.39763040379578785</v>
      </c>
      <c r="T56" s="78">
        <f>[1]!SWTEST(T28:T43)</f>
        <v>3.7860163461199248E-2</v>
      </c>
      <c r="U56" s="78">
        <f>[1]!SWTEST(U28:U43)</f>
        <v>2.7554111939105397E-3</v>
      </c>
      <c r="V56" s="78">
        <f>[1]!SWTEST(V28:V43)</f>
        <v>0.11650669470312502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54">IF(C56&gt;0.05,"Oui","Non")</f>
        <v>Oui</v>
      </c>
      <c r="D57" s="78" t="str">
        <f t="shared" si="54"/>
        <v>Oui</v>
      </c>
      <c r="E57" s="78" t="str">
        <f t="shared" si="54"/>
        <v>Oui</v>
      </c>
      <c r="F57" s="78" t="str">
        <f t="shared" si="54"/>
        <v>Oui</v>
      </c>
      <c r="G57" s="78" t="str">
        <f t="shared" si="54"/>
        <v>Oui</v>
      </c>
      <c r="H57" s="78" t="str">
        <f t="shared" si="54"/>
        <v>Oui</v>
      </c>
      <c r="I57" s="78" t="str">
        <f t="shared" si="54"/>
        <v>Oui</v>
      </c>
      <c r="J57" s="78" t="str">
        <f t="shared" si="54"/>
        <v>Oui</v>
      </c>
      <c r="K57" s="78" t="str">
        <f t="shared" si="54"/>
        <v>Non</v>
      </c>
      <c r="L57" s="78" t="str">
        <f t="shared" si="54"/>
        <v>Oui</v>
      </c>
      <c r="M57" s="78" t="str">
        <f t="shared" si="54"/>
        <v>Non</v>
      </c>
      <c r="N57" s="78"/>
      <c r="O57" s="78" t="str">
        <f t="shared" si="54"/>
        <v>Non</v>
      </c>
      <c r="P57" s="78" t="str">
        <f t="shared" si="54"/>
        <v>Oui</v>
      </c>
      <c r="Q57" s="78" t="str">
        <f t="shared" si="54"/>
        <v>Non</v>
      </c>
      <c r="R57" s="78" t="str">
        <f t="shared" si="54"/>
        <v>Non</v>
      </c>
      <c r="S57" s="78" t="str">
        <f t="shared" si="54"/>
        <v>Oui</v>
      </c>
      <c r="T57" s="78" t="str">
        <f t="shared" si="54"/>
        <v>Non</v>
      </c>
      <c r="U57" s="78" t="str">
        <f t="shared" si="54"/>
        <v>Non</v>
      </c>
      <c r="V57" s="78" t="str">
        <f t="shared" si="54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55">IF($B57="Non",IF(C57="Non","MW",IF(C57="Oui","MW","")),IF($B57="Oui",IF(C57="Oui","T-Test Welch",IF(C57="Non","MW",""))))</f>
        <v>T-Test Welch</v>
      </c>
      <c r="D59" s="82" t="str">
        <f t="shared" si="55"/>
        <v>T-Test Welch</v>
      </c>
      <c r="E59" s="82" t="str">
        <f t="shared" si="55"/>
        <v>T-Test Welch</v>
      </c>
      <c r="F59" s="82" t="str">
        <f t="shared" si="55"/>
        <v>T-Test Welch</v>
      </c>
      <c r="G59" s="82" t="str">
        <f t="shared" si="55"/>
        <v>T-Test Welch</v>
      </c>
      <c r="H59" s="82" t="str">
        <f t="shared" si="55"/>
        <v>T-Test Welch</v>
      </c>
      <c r="I59" s="82" t="str">
        <f t="shared" si="55"/>
        <v>T-Test Welch</v>
      </c>
      <c r="J59" s="82" t="str">
        <f t="shared" si="55"/>
        <v>T-Test Welch</v>
      </c>
      <c r="K59" s="82" t="str">
        <f t="shared" si="55"/>
        <v>MW</v>
      </c>
      <c r="L59" s="82" t="str">
        <f t="shared" si="55"/>
        <v>T-Test Welch</v>
      </c>
      <c r="M59" s="82" t="str">
        <f t="shared" si="55"/>
        <v>MW</v>
      </c>
      <c r="N59" s="82"/>
      <c r="O59" s="82" t="str">
        <f t="shared" si="55"/>
        <v>MW</v>
      </c>
      <c r="P59" s="82" t="str">
        <f t="shared" ref="P59:V59" si="56">IF($O57="Non",IF(P57="Non","MW",IF(P57="Oui","MW","")),IF($O57="Oui",IF(P57="Oui","T-Test Welch",IF(P57="Non","MW",""))))</f>
        <v>MW</v>
      </c>
      <c r="Q59" s="82" t="str">
        <f t="shared" si="56"/>
        <v>MW</v>
      </c>
      <c r="R59" s="82" t="str">
        <f t="shared" si="56"/>
        <v>MW</v>
      </c>
      <c r="S59" s="82" t="str">
        <f t="shared" si="56"/>
        <v>MW</v>
      </c>
      <c r="T59" s="82" t="str">
        <f t="shared" si="56"/>
        <v>MW</v>
      </c>
      <c r="U59" s="82" t="str">
        <f t="shared" si="56"/>
        <v>MW</v>
      </c>
      <c r="V59" s="82" t="str">
        <f t="shared" si="56"/>
        <v>MW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8.3367741391728479E-4</v>
      </c>
      <c r="D60" s="83">
        <f>IF(D59="MW",[1]!MTEST($B28:$B43,D28:D43,2), IF(D59="T-Test Welch",_xlfn.T.TEST($B28:$B43,D28:D43,2,3),""))</f>
        <v>8.3367741391728479E-4</v>
      </c>
      <c r="E60" s="83">
        <f>IF(E59="MW",[1]!MTEST($B28:$B43,E28:E43,2), IF(E59="T-Test Welch",_xlfn.T.TEST($B28:$B43,E28:E43,2,3),""))</f>
        <v>1.6912598545535967E-5</v>
      </c>
      <c r="F60" s="83">
        <f>IF(F59="MW",[1]!MTEST($B28:$B43,F28:F43,2), IF(F59="T-Test Welch",_xlfn.T.TEST($B28:$B43,F28:F43,2,3),""))</f>
        <v>2.3667188572422068E-6</v>
      </c>
      <c r="G60" s="83">
        <f>IF(G59="MW",[1]!MTEST($B28:$B43,G28:G43,2), IF(G59="T-Test Welch",_xlfn.T.TEST($B28:$B43,G28:G43,2,3),""))</f>
        <v>1.9231728288285313E-5</v>
      </c>
      <c r="H60" s="83">
        <f>IF(H59="MW",[1]!MTEST($B28:$B43,H28:H43,2), IF(H59="T-Test Welch",_xlfn.T.TEST($B28:$B43,H28:H43,2,3),""))</f>
        <v>1.5548486850807962E-6</v>
      </c>
      <c r="I60" s="83">
        <f>IF(I59="MW",[1]!MTEST($B28:$B43,I28:I43,2), IF(I59="T-Test Welch",_xlfn.T.TEST($B28:$B43,I28:I43,2,3),""))</f>
        <v>0.23766085142029286</v>
      </c>
      <c r="J60" s="83">
        <f>IF(J59="MW",[1]!MTEST($B28:$B43,J28:J43,2), IF(J59="T-Test Welch",_xlfn.T.TEST($B28:$B43,J28:J43,2,3),""))</f>
        <v>1.646317322585261E-4</v>
      </c>
      <c r="K60" s="83">
        <f>IF(K59="MW",[1]!MTEST($B28:$B43,K28:K43,2), IF(K59="T-Test Welch",_xlfn.T.TEST($B28:$B43,K28:K43,2,3),""))</f>
        <v>0.10519250512004152</v>
      </c>
      <c r="L60" s="83">
        <f>IF(L59="MW",[1]!MTEST($B28:$B43,L28:L43,2), IF(L59="T-Test Welch",_xlfn.T.TEST($B28:$B43,L28:L43,2,3),""))</f>
        <v>2.7244361023625625E-4</v>
      </c>
      <c r="M60" s="83">
        <f>IF(M59="MW",[1]!MTEST($B28:$B43,M28:M43,2), IF(M59="T-Test Welch",_xlfn.T.TEST($B28:$B43,M28:M43,2,3),""))</f>
        <v>2.0637558243972176E-2</v>
      </c>
      <c r="N60" s="83"/>
      <c r="O60" s="83">
        <f>IF(O59="MW",[1]!MTEST($B28:$B43,O28:O43,2), IF(O59="T-Test Welch",_xlfn.T.TEST($B28:$B43,O28:O43,2,3),""))</f>
        <v>6.1368829139402115E-2</v>
      </c>
      <c r="P60" s="83">
        <f>IF(P59="MW",[1]!MTEST($O28:$O43,P28:P43,2), IF(P59="T-Test Welch",_xlfn.T.TEST($O28:$O43,P28:P43,2,3),""))</f>
        <v>2.1996470611129748E-3</v>
      </c>
      <c r="Q60" s="83">
        <f>IF(Q59="MW",[1]!MTEST($O28:$O43,Q28:Q43,2), IF(Q59="T-Test Welch",_xlfn.T.TEST($O28:$O43,Q28:Q43,2,3),""))</f>
        <v>8.4584156046332293E-3</v>
      </c>
      <c r="R60" s="83">
        <f>IF(R59="MW",[1]!MTEST($O28:$O43,R28:R43,2), IF(R59="T-Test Welch",_xlfn.T.TEST($O28:$O43,R28:R43,2,3),""))</f>
        <v>3.7336415920662835E-2</v>
      </c>
      <c r="S60" s="83">
        <f>IF(S59="MW",[1]!MTEST($O28:$O43,S28:S43,2), IF(S59="T-Test Welch",_xlfn.T.TEST($O28:$O43,S28:S43,2,3),""))</f>
        <v>2.3464978288685545E-2</v>
      </c>
      <c r="T60" s="83">
        <f>IF(T59="MW",[1]!MTEST($O28:$O43,T28:T43,2), IF(T59="T-Test Welch",_xlfn.T.TEST($O28:$O43,T28:T43,2,3),""))</f>
        <v>1.2048283642041469E-2</v>
      </c>
      <c r="U60" s="83">
        <f>IF(U59="MW",[1]!MTEST($O28:$O43,U28:U43,2), IF(U59="T-Test Welch",_xlfn.T.TEST($O28:$O43,U28:U43,2,3),""))</f>
        <v>5.8570990852842009E-3</v>
      </c>
      <c r="V60" s="83">
        <f>IF(V59="MW",[1]!MTEST($O28:$O43,V28:V43,2), IF(V59="T-Test Welch",_xlfn.T.TEST($O28:$O43,V28:V43,2,3),""))</f>
        <v>7.0507291104227043E-3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57">IF(C60&gt;0.05,"NS",IF(C60&gt;0.01,"*",IF(C60&gt;0.001,"**","***")))</f>
        <v>***</v>
      </c>
      <c r="D61" s="79" t="str">
        <f t="shared" si="57"/>
        <v>***</v>
      </c>
      <c r="E61" s="79" t="str">
        <f t="shared" si="57"/>
        <v>***</v>
      </c>
      <c r="F61" s="79" t="str">
        <f t="shared" si="57"/>
        <v>***</v>
      </c>
      <c r="G61" s="79" t="str">
        <f t="shared" si="57"/>
        <v>***</v>
      </c>
      <c r="H61" s="79" t="str">
        <f t="shared" si="57"/>
        <v>***</v>
      </c>
      <c r="I61" s="79" t="str">
        <f t="shared" si="57"/>
        <v>NS</v>
      </c>
      <c r="J61" s="79" t="str">
        <f t="shared" si="57"/>
        <v>***</v>
      </c>
      <c r="K61" s="79" t="str">
        <f t="shared" si="57"/>
        <v>NS</v>
      </c>
      <c r="L61" s="79" t="str">
        <f t="shared" si="57"/>
        <v>***</v>
      </c>
      <c r="M61" s="79" t="str">
        <f t="shared" si="57"/>
        <v>*</v>
      </c>
      <c r="N61" s="79"/>
      <c r="O61" s="79" t="str">
        <f t="shared" si="57"/>
        <v>NS</v>
      </c>
      <c r="P61" s="79" t="str">
        <f>IF(P60&gt;0.05,"NS",IF(P60&gt;0.01,"*",IF(P60&gt;0.001,"**","***")))</f>
        <v>**</v>
      </c>
      <c r="Q61" s="79" t="str">
        <f t="shared" ref="Q61:V61" si="58">IF(Q60&gt;0.05,"NS",IF(Q60&gt;0.01,"*",IF(Q60&gt;0.001,"**","***")))</f>
        <v>**</v>
      </c>
      <c r="R61" s="79" t="str">
        <f t="shared" si="58"/>
        <v>*</v>
      </c>
      <c r="S61" s="79" t="str">
        <f t="shared" si="58"/>
        <v>*</v>
      </c>
      <c r="T61" s="79" t="str">
        <f t="shared" si="58"/>
        <v>*</v>
      </c>
      <c r="U61" s="79" t="str">
        <f t="shared" si="58"/>
        <v>**</v>
      </c>
      <c r="V61" s="79" t="str">
        <f t="shared" si="58"/>
        <v>**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S1" zoomScale="70" zoomScaleNormal="70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/>
    <row r="3" spans="1:22" ht="15" thickBot="1" x14ac:dyDescent="0.4">
      <c r="A3" s="84" t="s">
        <v>9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Prochloraz-0.063mg/L</v>
      </c>
      <c r="J4" s="20" t="str">
        <f>'Front page'!A15</f>
        <v>Prochloraz-0.13mg/L</v>
      </c>
      <c r="K4" s="20" t="str">
        <f>'Front page'!A16</f>
        <v>Prochloraz-0.25mg/L</v>
      </c>
      <c r="L4" s="20" t="str">
        <f>'Front page'!A17</f>
        <v>Prochloraz-0.5mg/L</v>
      </c>
      <c r="M4" s="20" t="str">
        <f>'Front page'!A18</f>
        <v>Prochloraz-1mg/L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Prochloraz-0.063mg/L + Testostérone</v>
      </c>
      <c r="S4" s="21" t="str">
        <f>'Front page'!A39</f>
        <v>Prochloraz-0.13mg/L + Testostérone</v>
      </c>
      <c r="T4" s="21" t="str">
        <f>'Front page'!A40</f>
        <v>Prochloraz-0.25mg/L + Testostérone</v>
      </c>
      <c r="U4" s="21" t="str">
        <f>'Front page'!A41</f>
        <v>Prochloraz-0.5mg/L + Testostérone</v>
      </c>
      <c r="V4" s="21" t="str">
        <f>'Front page'!A42</f>
        <v>Prochloraz-1mg/L + Testostérone</v>
      </c>
    </row>
    <row r="5" spans="1:22" x14ac:dyDescent="0.35">
      <c r="A5" s="138" t="s">
        <v>35</v>
      </c>
      <c r="B5" s="17">
        <v>309020</v>
      </c>
      <c r="C5" s="17">
        <v>70186</v>
      </c>
      <c r="D5" s="17">
        <v>603642</v>
      </c>
      <c r="E5" s="17">
        <v>3558042</v>
      </c>
      <c r="F5" s="17">
        <v>7846805</v>
      </c>
      <c r="G5" s="17">
        <v>12075497</v>
      </c>
      <c r="H5" s="17">
        <v>13090870</v>
      </c>
      <c r="I5" s="17">
        <v>15554</v>
      </c>
      <c r="J5" s="17">
        <v>11677</v>
      </c>
      <c r="K5" s="13">
        <v>63827</v>
      </c>
      <c r="L5" s="13">
        <v>10225</v>
      </c>
      <c r="M5" s="13">
        <v>47207</v>
      </c>
      <c r="N5" s="3"/>
      <c r="O5" s="17">
        <v>290046</v>
      </c>
      <c r="P5" s="13">
        <v>9116504</v>
      </c>
      <c r="Q5" s="13">
        <v>372080</v>
      </c>
      <c r="R5" s="17">
        <v>403381</v>
      </c>
      <c r="S5" s="17">
        <v>177850</v>
      </c>
      <c r="T5" s="17">
        <v>1215712</v>
      </c>
      <c r="U5" s="17">
        <v>76684</v>
      </c>
      <c r="V5" s="17">
        <v>106193</v>
      </c>
    </row>
    <row r="6" spans="1:22" ht="16.5" x14ac:dyDescent="0.35">
      <c r="A6" s="139"/>
      <c r="B6" s="14">
        <v>44860</v>
      </c>
      <c r="C6" s="13">
        <v>799558</v>
      </c>
      <c r="D6" s="17">
        <v>2672634</v>
      </c>
      <c r="E6" s="17">
        <v>4753026</v>
      </c>
      <c r="F6" s="17">
        <v>5403427</v>
      </c>
      <c r="G6" s="17">
        <v>11675712</v>
      </c>
      <c r="H6" s="17">
        <v>7901021</v>
      </c>
      <c r="I6" s="17">
        <v>163847</v>
      </c>
      <c r="J6" s="17">
        <v>69419</v>
      </c>
      <c r="K6" s="13">
        <v>221275</v>
      </c>
      <c r="L6" s="13">
        <v>112573</v>
      </c>
      <c r="M6" s="13">
        <v>135914</v>
      </c>
      <c r="N6" s="3"/>
      <c r="O6" s="17">
        <v>224789</v>
      </c>
      <c r="P6" s="13">
        <v>4872997</v>
      </c>
      <c r="Q6" s="13">
        <v>170089</v>
      </c>
      <c r="R6" s="17">
        <v>45826</v>
      </c>
      <c r="S6" s="17">
        <v>1015786</v>
      </c>
      <c r="T6" s="17">
        <v>1057676</v>
      </c>
      <c r="U6" s="17">
        <v>45183</v>
      </c>
      <c r="V6" s="17">
        <v>63516</v>
      </c>
    </row>
    <row r="7" spans="1:22" ht="16.5" x14ac:dyDescent="0.35">
      <c r="A7" s="139"/>
      <c r="B7" s="14">
        <v>303056</v>
      </c>
      <c r="C7" s="13">
        <v>1303947</v>
      </c>
      <c r="D7" s="17">
        <v>5817673</v>
      </c>
      <c r="E7" s="17">
        <v>6961478</v>
      </c>
      <c r="F7" s="17">
        <v>5112306</v>
      </c>
      <c r="G7" s="17">
        <v>6349734</v>
      </c>
      <c r="H7" s="17">
        <v>4858878</v>
      </c>
      <c r="I7" s="17">
        <v>25627</v>
      </c>
      <c r="J7" s="17">
        <v>375867</v>
      </c>
      <c r="K7" s="13">
        <v>127798</v>
      </c>
      <c r="L7" s="13">
        <v>282909</v>
      </c>
      <c r="M7" s="13">
        <v>202939</v>
      </c>
      <c r="N7" s="3"/>
      <c r="O7" s="17">
        <v>385776</v>
      </c>
      <c r="P7" s="13">
        <v>6307969</v>
      </c>
      <c r="Q7" s="13">
        <v>271906</v>
      </c>
      <c r="R7" s="17">
        <v>2324184</v>
      </c>
      <c r="S7" s="17">
        <v>286457</v>
      </c>
      <c r="T7" s="17">
        <v>388511</v>
      </c>
      <c r="U7" s="17">
        <v>267657</v>
      </c>
      <c r="V7" s="17">
        <v>57098</v>
      </c>
    </row>
    <row r="8" spans="1:22" ht="16.5" x14ac:dyDescent="0.35">
      <c r="A8" s="139"/>
      <c r="B8" s="14">
        <v>226214</v>
      </c>
      <c r="C8" s="13">
        <v>665776</v>
      </c>
      <c r="D8" s="17">
        <v>2407352</v>
      </c>
      <c r="E8" s="17">
        <v>4225669</v>
      </c>
      <c r="F8" s="17">
        <v>5120208</v>
      </c>
      <c r="G8" s="17">
        <v>9815847</v>
      </c>
      <c r="H8" s="17">
        <v>11633961</v>
      </c>
      <c r="I8" s="17">
        <v>40935</v>
      </c>
      <c r="J8" s="17">
        <v>109189</v>
      </c>
      <c r="K8" s="13">
        <v>243258</v>
      </c>
      <c r="L8" s="13">
        <v>171029</v>
      </c>
      <c r="M8" s="13">
        <v>9400</v>
      </c>
      <c r="N8" s="3"/>
      <c r="O8" s="17">
        <v>1938954</v>
      </c>
      <c r="P8" s="13">
        <v>7892644</v>
      </c>
      <c r="Q8" s="13">
        <v>189071</v>
      </c>
      <c r="R8" s="17">
        <v>1561238</v>
      </c>
      <c r="S8" s="17">
        <v>240330</v>
      </c>
      <c r="T8" s="17">
        <v>1134849</v>
      </c>
      <c r="U8" s="17">
        <v>220721</v>
      </c>
      <c r="V8" s="17">
        <v>222276</v>
      </c>
    </row>
    <row r="9" spans="1:22" ht="16.5" x14ac:dyDescent="0.35">
      <c r="A9" s="139"/>
      <c r="B9" s="14">
        <v>85884</v>
      </c>
      <c r="C9" s="13">
        <v>2307280</v>
      </c>
      <c r="D9" s="17">
        <v>3787989</v>
      </c>
      <c r="E9" s="17">
        <v>4723370</v>
      </c>
      <c r="F9" s="17">
        <v>6779712</v>
      </c>
      <c r="G9" s="17">
        <v>7862618</v>
      </c>
      <c r="H9" s="17">
        <v>8445331</v>
      </c>
      <c r="I9" s="17">
        <v>670172</v>
      </c>
      <c r="J9" s="17">
        <v>73623</v>
      </c>
      <c r="K9" s="13">
        <v>648202</v>
      </c>
      <c r="L9" s="13">
        <v>172369</v>
      </c>
      <c r="M9" s="13">
        <v>184199</v>
      </c>
      <c r="N9" s="3"/>
      <c r="O9" s="17">
        <v>1083669</v>
      </c>
      <c r="P9" s="13">
        <v>9136282</v>
      </c>
      <c r="Q9" s="13">
        <v>62172</v>
      </c>
      <c r="R9" s="17">
        <v>973364</v>
      </c>
      <c r="S9" s="17">
        <v>166856</v>
      </c>
      <c r="T9" s="17">
        <v>711069</v>
      </c>
      <c r="U9" s="17">
        <v>3644</v>
      </c>
      <c r="V9" s="17">
        <v>86250</v>
      </c>
    </row>
    <row r="10" spans="1:22" ht="16.5" x14ac:dyDescent="0.35">
      <c r="A10" s="139"/>
      <c r="B10" s="14">
        <v>5835</v>
      </c>
      <c r="C10" s="13">
        <v>236022</v>
      </c>
      <c r="D10" s="17">
        <v>71175</v>
      </c>
      <c r="E10" s="17">
        <v>5532953</v>
      </c>
      <c r="F10" s="17">
        <v>4447551</v>
      </c>
      <c r="G10" s="17">
        <v>6367780</v>
      </c>
      <c r="H10" s="17">
        <v>7379078</v>
      </c>
      <c r="I10" s="17">
        <v>77920</v>
      </c>
      <c r="J10" s="17">
        <v>172245</v>
      </c>
      <c r="K10" s="13">
        <v>17259</v>
      </c>
      <c r="L10" s="13">
        <v>14655</v>
      </c>
      <c r="M10" s="13">
        <v>22321</v>
      </c>
      <c r="N10" s="3"/>
      <c r="O10" s="17">
        <v>3581623</v>
      </c>
      <c r="P10" s="13">
        <v>8503763</v>
      </c>
      <c r="Q10" s="13">
        <v>67993</v>
      </c>
      <c r="R10" s="17">
        <v>124277</v>
      </c>
      <c r="S10" s="17">
        <v>199113</v>
      </c>
      <c r="T10" s="17">
        <v>1439659</v>
      </c>
      <c r="U10" s="17">
        <v>265949</v>
      </c>
      <c r="V10" s="17">
        <v>40432</v>
      </c>
    </row>
    <row r="11" spans="1:22" ht="16.5" x14ac:dyDescent="0.35">
      <c r="A11" s="139"/>
      <c r="B11" s="14">
        <v>224060</v>
      </c>
      <c r="C11" s="13">
        <v>1622659</v>
      </c>
      <c r="D11" s="17">
        <v>558095</v>
      </c>
      <c r="E11" s="17">
        <v>1958149</v>
      </c>
      <c r="F11" s="17">
        <v>8705592</v>
      </c>
      <c r="G11" s="17">
        <v>10032221</v>
      </c>
      <c r="H11" s="17">
        <v>9794126</v>
      </c>
      <c r="I11" s="17">
        <v>109920</v>
      </c>
      <c r="J11" s="17">
        <v>119463</v>
      </c>
      <c r="K11" s="13">
        <v>89990</v>
      </c>
      <c r="L11" s="13">
        <v>44086</v>
      </c>
      <c r="M11" s="13">
        <v>158874</v>
      </c>
      <c r="N11" s="3"/>
      <c r="O11" s="17">
        <v>3738535</v>
      </c>
      <c r="P11" s="13">
        <v>5294361</v>
      </c>
      <c r="Q11" s="13">
        <v>148715</v>
      </c>
      <c r="R11" s="17">
        <v>170388</v>
      </c>
      <c r="S11" s="17">
        <v>137095</v>
      </c>
      <c r="T11" s="17">
        <v>488719</v>
      </c>
      <c r="U11" s="17">
        <v>380079</v>
      </c>
      <c r="V11" s="17">
        <v>57946</v>
      </c>
    </row>
    <row r="12" spans="1:22" ht="16.5" x14ac:dyDescent="0.35">
      <c r="A12" s="139"/>
      <c r="B12" s="14">
        <v>17931</v>
      </c>
      <c r="C12" s="13">
        <v>351874</v>
      </c>
      <c r="D12" s="17">
        <v>3372011</v>
      </c>
      <c r="E12" s="17">
        <v>6077610</v>
      </c>
      <c r="F12" s="17">
        <v>6112539</v>
      </c>
      <c r="G12" s="17">
        <v>6352716</v>
      </c>
      <c r="H12" s="17">
        <v>1634</v>
      </c>
      <c r="I12" s="17">
        <v>281717</v>
      </c>
      <c r="J12" s="17">
        <v>66670</v>
      </c>
      <c r="K12" s="13">
        <v>139016</v>
      </c>
      <c r="L12" s="13">
        <v>29216</v>
      </c>
      <c r="M12" s="13">
        <v>90952</v>
      </c>
      <c r="N12" s="3"/>
      <c r="O12" s="17">
        <v>533295</v>
      </c>
      <c r="P12" s="13"/>
      <c r="Q12" s="13">
        <v>28685</v>
      </c>
      <c r="R12" s="17">
        <v>1305334</v>
      </c>
      <c r="S12" s="17">
        <v>1918627</v>
      </c>
      <c r="T12" s="17">
        <v>506746</v>
      </c>
      <c r="U12" s="17">
        <v>120481</v>
      </c>
      <c r="V12" s="17">
        <v>57171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96461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1961523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381122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1534672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3540730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1489258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2192115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1754190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Prochloraz-0.063mg/L</v>
      </c>
      <c r="J22" s="3" t="str">
        <f t="shared" si="1"/>
        <v>Prochloraz-0.13mg/L</v>
      </c>
      <c r="K22" s="3" t="str">
        <f t="shared" si="1"/>
        <v>Prochloraz-0.25mg/L</v>
      </c>
      <c r="L22" s="3" t="str">
        <f t="shared" si="1"/>
        <v>Prochloraz-0.5mg/L</v>
      </c>
      <c r="M22" s="3" t="str">
        <f t="shared" si="1"/>
        <v>Prochloraz-1mg/L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Prochloraz-0.063mg/L + Testostérone</v>
      </c>
      <c r="S22" s="3" t="str">
        <f t="shared" si="1"/>
        <v>Prochloraz-0.13mg/L + Testostérone</v>
      </c>
      <c r="T22" s="3" t="str">
        <f t="shared" si="1"/>
        <v>Prochloraz-0.25mg/L + Testostérone</v>
      </c>
      <c r="U22" s="3" t="str">
        <f t="shared" si="1"/>
        <v>Prochloraz-0.5mg/L + Testostérone</v>
      </c>
      <c r="V22" s="3" t="str">
        <f t="shared" si="1"/>
        <v>Prochloraz-1mg/L + Testostérone</v>
      </c>
    </row>
    <row r="23" spans="1:22" x14ac:dyDescent="0.35">
      <c r="A23" s="5" t="s">
        <v>0</v>
      </c>
      <c r="B23" s="5">
        <f t="shared" ref="B23:J23" si="2">AVERAGE(B5:B20)</f>
        <v>152107.5</v>
      </c>
      <c r="C23" s="5">
        <f t="shared" si="2"/>
        <v>919662.75</v>
      </c>
      <c r="D23" s="5">
        <f t="shared" si="2"/>
        <v>2411321.375</v>
      </c>
      <c r="E23" s="5">
        <f t="shared" si="2"/>
        <v>4723787.125</v>
      </c>
      <c r="F23" s="5">
        <f t="shared" si="2"/>
        <v>6191017.5</v>
      </c>
      <c r="G23" s="5">
        <f t="shared" si="2"/>
        <v>8816515.625</v>
      </c>
      <c r="H23" s="5">
        <f t="shared" si="2"/>
        <v>7888112.375</v>
      </c>
      <c r="I23" s="5">
        <f t="shared" si="2"/>
        <v>173211.5</v>
      </c>
      <c r="J23" s="5">
        <f t="shared" si="2"/>
        <v>124769.125</v>
      </c>
      <c r="K23" s="5"/>
      <c r="L23" s="5">
        <f>AVERAGE(L5:L20)</f>
        <v>104632.75</v>
      </c>
      <c r="M23" s="5"/>
      <c r="N23" s="5" t="s">
        <v>0</v>
      </c>
      <c r="O23" s="5">
        <f>AVERAGE(O5:O20)</f>
        <v>1545422.375</v>
      </c>
      <c r="P23" s="5">
        <f>AVERAGE(P5:P20)</f>
        <v>7303502.8571428573</v>
      </c>
      <c r="Q23" s="5">
        <f>AVERAGE(Q5:Q20)</f>
        <v>163838.875</v>
      </c>
      <c r="R23" s="5">
        <f>AVERAGE(R5:R20)</f>
        <v>863499</v>
      </c>
      <c r="S23" s="5">
        <f>AVERAGE(S5:S20)</f>
        <v>517764.25</v>
      </c>
      <c r="T23" s="5">
        <f t="shared" ref="T23:V23" si="3">AVERAGE(T5:T20)</f>
        <v>867867.625</v>
      </c>
      <c r="U23" s="5">
        <f t="shared" si="3"/>
        <v>172549.75</v>
      </c>
      <c r="V23" s="5">
        <f t="shared" si="3"/>
        <v>86360.25</v>
      </c>
    </row>
    <row r="24" spans="1:22" x14ac:dyDescent="0.35">
      <c r="A24" s="3" t="s">
        <v>1</v>
      </c>
      <c r="B24" s="3">
        <f t="shared" ref="B24:J24" si="4">STDEV(B5:B20)</f>
        <v>127258.15916811442</v>
      </c>
      <c r="C24" s="3">
        <f t="shared" si="4"/>
        <v>770677.14808708511</v>
      </c>
      <c r="D24" s="3">
        <f t="shared" si="4"/>
        <v>1951852.8749659488</v>
      </c>
      <c r="E24" s="3">
        <f t="shared" si="4"/>
        <v>1546957.3329312736</v>
      </c>
      <c r="F24" s="3">
        <f t="shared" si="4"/>
        <v>1482645.4623087938</v>
      </c>
      <c r="G24" s="3">
        <f t="shared" si="4"/>
        <v>2400420.0015528793</v>
      </c>
      <c r="H24" s="3">
        <f t="shared" si="4"/>
        <v>4082638.048513623</v>
      </c>
      <c r="I24" s="3">
        <f t="shared" si="4"/>
        <v>219105.74886309382</v>
      </c>
      <c r="J24" s="3">
        <f t="shared" si="4"/>
        <v>111752.21077830758</v>
      </c>
      <c r="K24" s="3"/>
      <c r="L24" s="3">
        <f>STDEV(L5:L20)</f>
        <v>97982.902541718984</v>
      </c>
      <c r="M24" s="3"/>
      <c r="N24" s="3" t="s">
        <v>1</v>
      </c>
      <c r="O24" s="3">
        <f>STDEV(O5:O20)</f>
        <v>1240637.0713136524</v>
      </c>
      <c r="P24" s="3">
        <f>STDEV(P5:P20)</f>
        <v>1796703.5375783283</v>
      </c>
      <c r="Q24" s="3">
        <f>STDEV(Q5:Q20)</f>
        <v>115719.1678102484</v>
      </c>
      <c r="R24" s="3">
        <f>STDEV(R5:R20)</f>
        <v>822442.23412034067</v>
      </c>
      <c r="S24" s="3">
        <f>STDEV(S5:S20)</f>
        <v>635389.7464300947</v>
      </c>
      <c r="T24" s="3">
        <f t="shared" ref="T24:V24" si="5">STDEV(T5:T20)</f>
        <v>393478.70702525676</v>
      </c>
      <c r="U24" s="3">
        <f t="shared" si="5"/>
        <v>130827.31583137697</v>
      </c>
      <c r="V24" s="3">
        <f t="shared" si="5"/>
        <v>58570.307354860764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Prochloraz-0.063mg/L</v>
      </c>
      <c r="J27" s="20" t="str">
        <f t="shared" si="6"/>
        <v>Prochloraz-0.13mg/L</v>
      </c>
      <c r="K27" s="20" t="str">
        <f t="shared" si="6"/>
        <v>Prochloraz-0.25mg/L</v>
      </c>
      <c r="L27" s="20" t="str">
        <f t="shared" si="6"/>
        <v>Prochloraz-0.5mg/L</v>
      </c>
      <c r="M27" s="20" t="str">
        <f t="shared" si="6"/>
        <v>Prochloraz-1mg/L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Prochloraz-0.063mg/L + Testostérone</v>
      </c>
      <c r="S27" s="21" t="str">
        <f t="shared" si="7"/>
        <v>Prochloraz-0.13mg/L + Testostérone</v>
      </c>
      <c r="T27" s="21" t="str">
        <f t="shared" si="7"/>
        <v>Prochloraz-0.25mg/L + Testostérone</v>
      </c>
      <c r="U27" s="21" t="str">
        <f t="shared" si="7"/>
        <v>Prochloraz-0.5mg/L + Testostérone</v>
      </c>
      <c r="V27" s="21" t="str">
        <f t="shared" si="7"/>
        <v>Prochloraz-1mg/L + Testostérone</v>
      </c>
    </row>
    <row r="28" spans="1:22" ht="14.5" customHeight="1" x14ac:dyDescent="0.35">
      <c r="A28" s="140" t="s">
        <v>36</v>
      </c>
      <c r="B28" s="11">
        <f t="shared" ref="B28:M28" si="8">IF(B5="","",(B5/$O$23))</f>
        <v>0.19995828001390234</v>
      </c>
      <c r="C28" s="11">
        <f t="shared" si="8"/>
        <v>4.5415415963548478E-2</v>
      </c>
      <c r="D28" s="11">
        <f t="shared" si="8"/>
        <v>0.39060001315174436</v>
      </c>
      <c r="E28" s="11">
        <f t="shared" si="8"/>
        <v>2.302310395887726</v>
      </c>
      <c r="F28" s="11">
        <f t="shared" si="8"/>
        <v>5.077450104862109</v>
      </c>
      <c r="G28" s="11">
        <f t="shared" si="8"/>
        <v>7.8137195341176549</v>
      </c>
      <c r="H28" s="11">
        <f t="shared" si="8"/>
        <v>8.4707392695799424</v>
      </c>
      <c r="I28" s="11">
        <f t="shared" si="8"/>
        <v>1.0064562446884464E-2</v>
      </c>
      <c r="J28" s="11">
        <f t="shared" si="8"/>
        <v>7.5558631665340031E-3</v>
      </c>
      <c r="K28" s="11">
        <f t="shared" si="8"/>
        <v>4.1300683251722689E-2</v>
      </c>
      <c r="L28" s="11">
        <f t="shared" si="8"/>
        <v>6.6163141969521437E-3</v>
      </c>
      <c r="M28" s="11">
        <f t="shared" si="8"/>
        <v>3.054634174039314E-2</v>
      </c>
      <c r="N28" s="6"/>
      <c r="O28" s="11">
        <f t="shared" ref="O28:V37" si="9">IF(O5="","",(O5/$O$23))</f>
        <v>0.18768073032461433</v>
      </c>
      <c r="P28" s="11">
        <f t="shared" si="9"/>
        <v>5.8990371483394632</v>
      </c>
      <c r="Q28" s="11">
        <f t="shared" si="9"/>
        <v>0.24076265881681699</v>
      </c>
      <c r="R28" s="11">
        <f t="shared" si="9"/>
        <v>0.26101666866315432</v>
      </c>
      <c r="S28" s="11">
        <f t="shared" si="9"/>
        <v>0.11508180732791577</v>
      </c>
      <c r="T28" s="11">
        <f t="shared" si="9"/>
        <v>0.78665355158973937</v>
      </c>
      <c r="U28" s="11">
        <f t="shared" si="9"/>
        <v>4.9620091724115231E-2</v>
      </c>
      <c r="V28" s="11">
        <f t="shared" si="9"/>
        <v>6.8714548021216529E-2</v>
      </c>
    </row>
    <row r="29" spans="1:22" x14ac:dyDescent="0.35">
      <c r="A29" s="141"/>
      <c r="B29" s="11">
        <f t="shared" ref="B29:M29" si="10">IF(B6="","",(B6/$O$23))</f>
        <v>2.9027663068486375E-2</v>
      </c>
      <c r="C29" s="11">
        <f t="shared" si="10"/>
        <v>0.51737182852681296</v>
      </c>
      <c r="D29" s="11">
        <f t="shared" si="10"/>
        <v>1.7293874109982392</v>
      </c>
      <c r="E29" s="11">
        <f t="shared" si="10"/>
        <v>3.0755514329860794</v>
      </c>
      <c r="F29" s="11">
        <f t="shared" si="10"/>
        <v>3.4964078994909076</v>
      </c>
      <c r="G29" s="11">
        <f t="shared" si="10"/>
        <v>7.5550297374204902</v>
      </c>
      <c r="H29" s="11">
        <f t="shared" si="10"/>
        <v>5.1125317763048432</v>
      </c>
      <c r="I29" s="11">
        <f t="shared" si="10"/>
        <v>0.10602085400763012</v>
      </c>
      <c r="J29" s="11">
        <f t="shared" si="10"/>
        <v>4.4919111514740429E-2</v>
      </c>
      <c r="K29" s="11">
        <f t="shared" si="10"/>
        <v>0.14318092165580298</v>
      </c>
      <c r="L29" s="11">
        <f t="shared" si="10"/>
        <v>7.2842869251197429E-2</v>
      </c>
      <c r="M29" s="11">
        <f t="shared" si="10"/>
        <v>8.7946183644455125E-2</v>
      </c>
      <c r="N29" s="6"/>
      <c r="O29" s="11">
        <f t="shared" si="9"/>
        <v>0.145454733693758</v>
      </c>
      <c r="P29" s="11">
        <f t="shared" si="9"/>
        <v>3.1531813430616338</v>
      </c>
      <c r="Q29" s="11">
        <f t="shared" si="9"/>
        <v>0.11005987926116315</v>
      </c>
      <c r="R29" s="11">
        <f t="shared" si="9"/>
        <v>2.9652734903621414E-2</v>
      </c>
      <c r="S29" s="11">
        <f t="shared" si="9"/>
        <v>0.65728697631933797</v>
      </c>
      <c r="T29" s="11">
        <f t="shared" si="9"/>
        <v>0.68439283467731593</v>
      </c>
      <c r="U29" s="11">
        <f t="shared" si="9"/>
        <v>2.923666741915782E-2</v>
      </c>
      <c r="V29" s="11">
        <f t="shared" si="9"/>
        <v>4.1099443768568444E-2</v>
      </c>
    </row>
    <row r="30" spans="1:22" x14ac:dyDescent="0.35">
      <c r="A30" s="141"/>
      <c r="B30" s="11">
        <f t="shared" ref="B30:M30" si="11">IF(B7="","",(B7/$O$23))</f>
        <v>0.19609914085785124</v>
      </c>
      <c r="C30" s="11">
        <f t="shared" si="11"/>
        <v>0.84374797537145796</v>
      </c>
      <c r="D30" s="11">
        <f t="shared" si="11"/>
        <v>3.7644550086185986</v>
      </c>
      <c r="E30" s="11">
        <f t="shared" si="11"/>
        <v>4.5045795328283633</v>
      </c>
      <c r="F30" s="11">
        <f t="shared" si="11"/>
        <v>3.3080315664512105</v>
      </c>
      <c r="G30" s="11">
        <f t="shared" si="11"/>
        <v>4.108736939957919</v>
      </c>
      <c r="H30" s="11">
        <f t="shared" si="11"/>
        <v>3.1440453293553485</v>
      </c>
      <c r="I30" s="11">
        <f t="shared" si="11"/>
        <v>1.6582521655285339E-2</v>
      </c>
      <c r="J30" s="11">
        <f t="shared" si="11"/>
        <v>0.24321312159078839</v>
      </c>
      <c r="K30" s="11">
        <f t="shared" si="11"/>
        <v>8.2694544913651843E-2</v>
      </c>
      <c r="L30" s="11">
        <f t="shared" si="11"/>
        <v>0.18306257536875639</v>
      </c>
      <c r="M30" s="11">
        <f t="shared" si="11"/>
        <v>0.13131620408951306</v>
      </c>
      <c r="N30" s="6"/>
      <c r="O30" s="11">
        <f t="shared" si="9"/>
        <v>0.24962496094312081</v>
      </c>
      <c r="P30" s="11">
        <f t="shared" si="9"/>
        <v>4.081711965636579</v>
      </c>
      <c r="Q30" s="11">
        <f t="shared" si="9"/>
        <v>0.1759428389277721</v>
      </c>
      <c r="R30" s="11">
        <f t="shared" si="9"/>
        <v>1.503915070467386</v>
      </c>
      <c r="S30" s="11">
        <f t="shared" si="9"/>
        <v>0.18535838786467679</v>
      </c>
      <c r="T30" s="11">
        <f t="shared" si="9"/>
        <v>0.25139470366475053</v>
      </c>
      <c r="U30" s="11">
        <f t="shared" si="9"/>
        <v>0.17319342875438826</v>
      </c>
      <c r="V30" s="11">
        <f t="shared" si="9"/>
        <v>3.6946533791449736E-2</v>
      </c>
    </row>
    <row r="31" spans="1:22" x14ac:dyDescent="0.35">
      <c r="A31" s="141"/>
      <c r="B31" s="11">
        <f t="shared" ref="B31:M31" si="12">IF(B8="","",(B8/$O$23))</f>
        <v>0.14637681171142614</v>
      </c>
      <c r="C31" s="11">
        <f t="shared" si="12"/>
        <v>0.43080520301124797</v>
      </c>
      <c r="D31" s="11">
        <f t="shared" si="12"/>
        <v>1.5577307789399646</v>
      </c>
      <c r="E31" s="11">
        <f t="shared" si="12"/>
        <v>2.7343133297135029</v>
      </c>
      <c r="F31" s="11">
        <f t="shared" si="12"/>
        <v>3.3131447317112901</v>
      </c>
      <c r="G31" s="11">
        <f t="shared" si="12"/>
        <v>6.3515626270132142</v>
      </c>
      <c r="H31" s="11">
        <f t="shared" si="12"/>
        <v>7.5280138221112534</v>
      </c>
      <c r="I31" s="11">
        <f t="shared" si="12"/>
        <v>2.6487904318067093E-2</v>
      </c>
      <c r="J31" s="11">
        <f t="shared" si="12"/>
        <v>7.0653176611345486E-2</v>
      </c>
      <c r="K31" s="11">
        <f t="shared" si="12"/>
        <v>0.15740551187503027</v>
      </c>
      <c r="L31" s="11">
        <f t="shared" si="12"/>
        <v>0.11066812721667757</v>
      </c>
      <c r="M31" s="11">
        <f t="shared" si="12"/>
        <v>6.0824795551442691E-3</v>
      </c>
      <c r="N31" s="6"/>
      <c r="O31" s="11">
        <f t="shared" si="9"/>
        <v>1.2546434109962981</v>
      </c>
      <c r="P31" s="11">
        <f t="shared" si="9"/>
        <v>5.1071112517055406</v>
      </c>
      <c r="Q31" s="11">
        <f t="shared" si="9"/>
        <v>0.12234260552879597</v>
      </c>
      <c r="R31" s="11">
        <f t="shared" si="9"/>
        <v>1.0102338527355668</v>
      </c>
      <c r="S31" s="11">
        <f t="shared" si="9"/>
        <v>0.15551088420083214</v>
      </c>
      <c r="T31" s="11">
        <f t="shared" si="9"/>
        <v>0.73432934475275735</v>
      </c>
      <c r="U31" s="11">
        <f t="shared" si="9"/>
        <v>0.14282244360542534</v>
      </c>
      <c r="V31" s="11">
        <f t="shared" si="9"/>
        <v>0.14382864102119655</v>
      </c>
    </row>
    <row r="32" spans="1:22" x14ac:dyDescent="0.35">
      <c r="A32" s="141"/>
      <c r="B32" s="11">
        <f t="shared" ref="B32:M32" si="13">IF(B9="","",(B9/$O$23))</f>
        <v>5.5573156820639409E-2</v>
      </c>
      <c r="C32" s="11">
        <f t="shared" si="13"/>
        <v>1.492976960424816</v>
      </c>
      <c r="D32" s="11">
        <f t="shared" si="13"/>
        <v>2.4511027284692961</v>
      </c>
      <c r="E32" s="11">
        <f t="shared" si="13"/>
        <v>3.056361857061892</v>
      </c>
      <c r="F32" s="11">
        <f t="shared" si="13"/>
        <v>4.3869637904006664</v>
      </c>
      <c r="G32" s="11">
        <f t="shared" si="13"/>
        <v>5.0876822590329072</v>
      </c>
      <c r="H32" s="11">
        <f t="shared" si="13"/>
        <v>5.4647396961623516</v>
      </c>
      <c r="I32" s="11">
        <f t="shared" si="13"/>
        <v>0.43364973281171759</v>
      </c>
      <c r="J32" s="11">
        <f t="shared" si="13"/>
        <v>4.7639403434934738E-2</v>
      </c>
      <c r="K32" s="11">
        <f t="shared" si="13"/>
        <v>0.41943355453230058</v>
      </c>
      <c r="L32" s="11">
        <f t="shared" si="13"/>
        <v>0.11153520408943218</v>
      </c>
      <c r="M32" s="11">
        <f t="shared" si="13"/>
        <v>0.11919006931681056</v>
      </c>
      <c r="N32" s="6"/>
      <c r="O32" s="11">
        <f t="shared" si="9"/>
        <v>0.70121218479187608</v>
      </c>
      <c r="P32" s="11">
        <f t="shared" si="9"/>
        <v>5.9118349441524041</v>
      </c>
      <c r="Q32" s="11">
        <f t="shared" si="9"/>
        <v>4.0229778606641439E-2</v>
      </c>
      <c r="R32" s="11">
        <f t="shared" si="9"/>
        <v>0.62983687550143053</v>
      </c>
      <c r="S32" s="11">
        <f t="shared" si="9"/>
        <v>0.10796789453756939</v>
      </c>
      <c r="T32" s="11">
        <f t="shared" si="9"/>
        <v>0.46011304838264683</v>
      </c>
      <c r="U32" s="11">
        <f t="shared" si="9"/>
        <v>2.3579314360580549E-3</v>
      </c>
      <c r="V32" s="11">
        <f t="shared" si="9"/>
        <v>5.5809985279914175E-2</v>
      </c>
    </row>
    <row r="33" spans="1:22" x14ac:dyDescent="0.35">
      <c r="A33" s="141"/>
      <c r="B33" s="11">
        <f t="shared" ref="B33:M33" si="14">IF(B10="","",(B10/$O$23))</f>
        <v>3.7756668302411501E-3</v>
      </c>
      <c r="C33" s="11">
        <f t="shared" si="14"/>
        <v>0.1527232967621554</v>
      </c>
      <c r="D33" s="11">
        <f t="shared" si="14"/>
        <v>4.6055370461424827E-2</v>
      </c>
      <c r="E33" s="11">
        <f t="shared" si="14"/>
        <v>3.5802205853270372</v>
      </c>
      <c r="F33" s="11">
        <f t="shared" si="14"/>
        <v>2.8778870242512182</v>
      </c>
      <c r="G33" s="11">
        <f t="shared" si="14"/>
        <v>4.1204140065592103</v>
      </c>
      <c r="H33" s="11">
        <f t="shared" si="14"/>
        <v>4.7747969224271127</v>
      </c>
      <c r="I33" s="11">
        <f t="shared" si="14"/>
        <v>5.0419873078387391E-2</v>
      </c>
      <c r="J33" s="11">
        <f t="shared" si="14"/>
        <v>0.11145496712508773</v>
      </c>
      <c r="K33" s="11">
        <f t="shared" si="14"/>
        <v>1.1167820706620738E-2</v>
      </c>
      <c r="L33" s="11">
        <f t="shared" si="14"/>
        <v>9.4828444553871558E-3</v>
      </c>
      <c r="M33" s="11">
        <f t="shared" si="14"/>
        <v>1.4443300654295237E-2</v>
      </c>
      <c r="N33" s="6"/>
      <c r="O33" s="11">
        <f t="shared" si="9"/>
        <v>2.3175690076313278</v>
      </c>
      <c r="P33" s="11">
        <f t="shared" si="9"/>
        <v>5.5025494243927975</v>
      </c>
      <c r="Q33" s="11">
        <f t="shared" si="9"/>
        <v>4.3996386424779182E-2</v>
      </c>
      <c r="R33" s="11">
        <f t="shared" si="9"/>
        <v>8.0416203369645139E-2</v>
      </c>
      <c r="S33" s="11">
        <f t="shared" si="9"/>
        <v>0.12884050549611073</v>
      </c>
      <c r="T33" s="11">
        <f t="shared" si="9"/>
        <v>0.93156345041270672</v>
      </c>
      <c r="U33" s="11">
        <f t="shared" si="9"/>
        <v>0.17208822927777268</v>
      </c>
      <c r="V33" s="11">
        <f t="shared" si="9"/>
        <v>2.6162426954637562E-2</v>
      </c>
    </row>
    <row r="34" spans="1:22" x14ac:dyDescent="0.35">
      <c r="A34" s="141"/>
      <c r="B34" s="11">
        <f t="shared" ref="B34:M34" si="15">IF(B11="","",(B11/$O$23))</f>
        <v>0.14498301799208776</v>
      </c>
      <c r="C34" s="11">
        <f t="shared" si="15"/>
        <v>1.04997768005009</v>
      </c>
      <c r="D34" s="11">
        <f t="shared" si="15"/>
        <v>0.36112781141789796</v>
      </c>
      <c r="E34" s="11">
        <f t="shared" si="15"/>
        <v>1.2670639636623613</v>
      </c>
      <c r="F34" s="11">
        <f t="shared" si="15"/>
        <v>5.633147378236969</v>
      </c>
      <c r="G34" s="11">
        <f t="shared" si="15"/>
        <v>6.4915722473605317</v>
      </c>
      <c r="H34" s="11">
        <f t="shared" si="15"/>
        <v>6.3375075697347789</v>
      </c>
      <c r="I34" s="11">
        <f t="shared" si="15"/>
        <v>7.1126186457601923E-2</v>
      </c>
      <c r="J34" s="11">
        <f t="shared" si="15"/>
        <v>7.7301197350659559E-2</v>
      </c>
      <c r="K34" s="11">
        <f t="shared" si="15"/>
        <v>5.8230035656109874E-2</v>
      </c>
      <c r="L34" s="11">
        <f t="shared" si="15"/>
        <v>2.8526829113626622E-2</v>
      </c>
      <c r="M34" s="11">
        <f t="shared" si="15"/>
        <v>0.10280296349404155</v>
      </c>
      <c r="N34" s="6"/>
      <c r="O34" s="11">
        <f t="shared" si="9"/>
        <v>2.4191024152863063</v>
      </c>
      <c r="P34" s="11">
        <f t="shared" si="9"/>
        <v>3.4258343127716135</v>
      </c>
      <c r="Q34" s="11">
        <f t="shared" si="9"/>
        <v>9.6229356068434038E-2</v>
      </c>
      <c r="R34" s="11">
        <f t="shared" si="9"/>
        <v>0.11025335387680019</v>
      </c>
      <c r="S34" s="11">
        <f t="shared" si="9"/>
        <v>8.8710376022606771E-2</v>
      </c>
      <c r="T34" s="11">
        <f t="shared" si="9"/>
        <v>0.31623652401176089</v>
      </c>
      <c r="U34" s="11">
        <f t="shared" si="9"/>
        <v>0.24593859008932753</v>
      </c>
      <c r="V34" s="11">
        <f t="shared" si="9"/>
        <v>3.7495251095998917E-2</v>
      </c>
    </row>
    <row r="35" spans="1:22" x14ac:dyDescent="0.35">
      <c r="A35" s="141"/>
      <c r="B35" s="11">
        <f t="shared" ref="B35:M35" si="16">IF(B12="","",(B12/$O$23))</f>
        <v>1.1602653287584244E-2</v>
      </c>
      <c r="C35" s="11">
        <f t="shared" si="16"/>
        <v>0.22768791606242922</v>
      </c>
      <c r="D35" s="11">
        <f t="shared" si="16"/>
        <v>2.1819348901299556</v>
      </c>
      <c r="E35" s="11">
        <f t="shared" si="16"/>
        <v>3.9326530392702512</v>
      </c>
      <c r="F35" s="11">
        <f t="shared" si="16"/>
        <v>3.955254627395957</v>
      </c>
      <c r="G35" s="11">
        <f t="shared" si="16"/>
        <v>4.1106665095359451</v>
      </c>
      <c r="H35" s="11">
        <f t="shared" si="16"/>
        <v>1.0573161269261421E-3</v>
      </c>
      <c r="I35" s="11">
        <f t="shared" si="16"/>
        <v>0.18229126519538064</v>
      </c>
      <c r="J35" s="11">
        <f t="shared" si="16"/>
        <v>4.3140309781007281E-2</v>
      </c>
      <c r="K35" s="11">
        <f t="shared" si="16"/>
        <v>8.9953401897652732E-2</v>
      </c>
      <c r="L35" s="11">
        <f t="shared" si="16"/>
        <v>1.890486411522287E-2</v>
      </c>
      <c r="M35" s="11">
        <f t="shared" si="16"/>
        <v>5.885251920207251E-2</v>
      </c>
      <c r="N35" s="6"/>
      <c r="O35" s="11">
        <f t="shared" si="9"/>
        <v>0.34508041854900673</v>
      </c>
      <c r="P35" s="11" t="str">
        <f t="shared" si="9"/>
        <v/>
      </c>
      <c r="Q35" s="11">
        <f t="shared" si="9"/>
        <v>1.8561268727586528E-2</v>
      </c>
      <c r="R35" s="11">
        <f t="shared" si="9"/>
        <v>0.8446454646419882</v>
      </c>
      <c r="S35" s="11">
        <f t="shared" si="9"/>
        <v>1.241490372494445</v>
      </c>
      <c r="T35" s="11">
        <f t="shared" si="9"/>
        <v>0.32790129623948278</v>
      </c>
      <c r="U35" s="11">
        <f t="shared" si="9"/>
        <v>7.7959916945035818E-2</v>
      </c>
      <c r="V35" s="11">
        <f t="shared" si="9"/>
        <v>3.6993770068846063E-2</v>
      </c>
    </row>
    <row r="36" spans="1:22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6.2417240464762908E-2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1.2692471855792822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0.24661348649103129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35">
      <c r="A39" s="141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0.99304373019706016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35">
      <c r="A40" s="141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2.291108280349571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35">
      <c r="A41" s="141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0.96365758907819621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35">
      <c r="A42" s="141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1.4184568797899022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35">
      <c r="A43" s="141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1.1350877458338857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Prochloraz-0.063mg/L</v>
      </c>
      <c r="J45" s="7" t="str">
        <f t="shared" si="27"/>
        <v>Prochloraz-0.13mg/L</v>
      </c>
      <c r="K45" s="7" t="str">
        <f t="shared" si="27"/>
        <v>Prochloraz-0.25mg/L</v>
      </c>
      <c r="L45" s="7" t="str">
        <f t="shared" si="27"/>
        <v>Prochloraz-0.5mg/L</v>
      </c>
      <c r="M45" s="7" t="str">
        <f t="shared" si="27"/>
        <v>Prochloraz-1mg/L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Prochloraz-0.063mg/L + Testostérone</v>
      </c>
      <c r="S45" s="7" t="str">
        <f t="shared" si="27"/>
        <v>Prochloraz-0.13mg/L + Testostérone</v>
      </c>
      <c r="T45" s="7" t="str">
        <f t="shared" si="27"/>
        <v>Prochloraz-0.25mg/L + Testostérone</v>
      </c>
      <c r="U45" s="7" t="str">
        <f t="shared" si="27"/>
        <v>Prochloraz-0.5mg/L + Testostérone</v>
      </c>
      <c r="V45" s="7" t="str">
        <f t="shared" si="27"/>
        <v>Prochloraz-1mg/L + Testostérone</v>
      </c>
    </row>
    <row r="46" spans="1:22" x14ac:dyDescent="0.35">
      <c r="A46" s="8" t="s">
        <v>0</v>
      </c>
      <c r="B46" s="10">
        <f t="shared" ref="B46:H46" si="28">AVERAGE(B28:B43)</f>
        <v>9.8424548822777333E-2</v>
      </c>
      <c r="C46" s="10">
        <f t="shared" si="28"/>
        <v>0.5950882845215697</v>
      </c>
      <c r="D46" s="10">
        <f t="shared" si="28"/>
        <v>1.56029925152339</v>
      </c>
      <c r="E46" s="10">
        <f t="shared" si="28"/>
        <v>3.0566317670921519</v>
      </c>
      <c r="F46" s="10">
        <f t="shared" si="28"/>
        <v>4.0060358903500415</v>
      </c>
      <c r="G46" s="10">
        <f t="shared" si="28"/>
        <v>5.7049229826247343</v>
      </c>
      <c r="H46" s="10">
        <f t="shared" si="28"/>
        <v>5.10417896272532</v>
      </c>
      <c r="I46" s="10">
        <f>AVERAGE(I28:I43)</f>
        <v>0.11208036249636932</v>
      </c>
      <c r="J46" s="9">
        <f>AVERAGE(J28:J43)</f>
        <v>8.0734643821887206E-2</v>
      </c>
      <c r="K46" s="9">
        <f t="shared" ref="K46:M46" si="29">AVERAGE(K28:K43)</f>
        <v>0.12542080931111146</v>
      </c>
      <c r="L46" s="9">
        <f t="shared" si="29"/>
        <v>6.7704953475906549E-2</v>
      </c>
      <c r="M46" s="9">
        <f t="shared" si="29"/>
        <v>6.8897507712090689E-2</v>
      </c>
      <c r="N46" s="8" t="s">
        <v>0</v>
      </c>
      <c r="O46" s="10">
        <f t="shared" ref="O46:V46" si="30">AVERAGE(O28:O43)</f>
        <v>0.99999999999999989</v>
      </c>
      <c r="P46" s="10">
        <f t="shared" si="30"/>
        <v>4.7258943414371473</v>
      </c>
      <c r="Q46" s="10">
        <f t="shared" si="30"/>
        <v>0.10601559654524868</v>
      </c>
      <c r="R46" s="10">
        <f t="shared" si="30"/>
        <v>0.55874627801994903</v>
      </c>
      <c r="S46" s="10">
        <f t="shared" si="30"/>
        <v>0.33503090053293683</v>
      </c>
      <c r="T46" s="10">
        <f t="shared" si="30"/>
        <v>0.56157309421639501</v>
      </c>
      <c r="U46" s="10">
        <f t="shared" si="30"/>
        <v>0.11165216240641009</v>
      </c>
      <c r="V46" s="10">
        <f t="shared" si="30"/>
        <v>5.58813250002285E-2</v>
      </c>
    </row>
    <row r="47" spans="1:22" x14ac:dyDescent="0.35">
      <c r="A47" s="8" t="s">
        <v>1</v>
      </c>
      <c r="B47" s="8">
        <f t="shared" ref="B47:M47" si="31">STDEV(B28:B43)</f>
        <v>8.2345228868654363E-2</v>
      </c>
      <c r="C47" s="8">
        <f t="shared" si="31"/>
        <v>0.49868382945282841</v>
      </c>
      <c r="D47" s="8">
        <f t="shared" si="31"/>
        <v>1.2629899155989308</v>
      </c>
      <c r="E47" s="8">
        <f t="shared" si="31"/>
        <v>1.0009932287484007</v>
      </c>
      <c r="F47" s="8">
        <f t="shared" si="31"/>
        <v>0.95937879915113111</v>
      </c>
      <c r="G47" s="8">
        <f t="shared" si="31"/>
        <v>1.5532452748090189</v>
      </c>
      <c r="H47" s="8">
        <f t="shared" si="31"/>
        <v>2.6417619639508718</v>
      </c>
      <c r="I47" s="8">
        <f t="shared" si="31"/>
        <v>0.14177725934833435</v>
      </c>
      <c r="J47" s="8">
        <f t="shared" si="31"/>
        <v>7.231175928736476E-2</v>
      </c>
      <c r="K47" s="8">
        <f t="shared" si="31"/>
        <v>0.12845785794612913</v>
      </c>
      <c r="L47" s="8">
        <f t="shared" si="31"/>
        <v>6.3402021432308414E-2</v>
      </c>
      <c r="M47" s="8">
        <f t="shared" si="31"/>
        <v>4.8433414603358538E-2</v>
      </c>
      <c r="N47" s="8" t="s">
        <v>1</v>
      </c>
      <c r="O47" s="8">
        <f t="shared" ref="O47:V47" si="32">STDEV(O28:O43)</f>
        <v>0.802781874640357</v>
      </c>
      <c r="P47" s="8">
        <f t="shared" si="32"/>
        <v>1.1625970780825092</v>
      </c>
      <c r="Q47" s="8">
        <f t="shared" si="32"/>
        <v>7.4878667270653676E-2</v>
      </c>
      <c r="R47" s="8">
        <f t="shared" si="32"/>
        <v>0.53217958237490937</v>
      </c>
      <c r="S47" s="8">
        <f t="shared" si="32"/>
        <v>0.41114310023503747</v>
      </c>
      <c r="T47" s="8">
        <f t="shared" si="32"/>
        <v>0.25460916924103461</v>
      </c>
      <c r="U47" s="8">
        <f t="shared" si="32"/>
        <v>8.4654731255186438E-2</v>
      </c>
      <c r="V47" s="8">
        <f t="shared" si="32"/>
        <v>3.7899223087708149E-2</v>
      </c>
    </row>
    <row r="48" spans="1:22" x14ac:dyDescent="0.35">
      <c r="A48" s="8" t="s">
        <v>2</v>
      </c>
      <c r="B48" s="8">
        <f t="shared" ref="B48:M48" si="33" xml:space="preserve"> B47/SQRT(COUNT(B28:B43))</f>
        <v>2.9113434865691876E-2</v>
      </c>
      <c r="C48" s="8">
        <f t="shared" si="33"/>
        <v>0.17631135873708534</v>
      </c>
      <c r="D48" s="8">
        <f t="shared" si="33"/>
        <v>0.44653436694511461</v>
      </c>
      <c r="E48" s="8">
        <f t="shared" si="33"/>
        <v>0.3539045499849055</v>
      </c>
      <c r="F48" s="8">
        <f t="shared" si="33"/>
        <v>0.33919162730318575</v>
      </c>
      <c r="G48" s="8">
        <f t="shared" si="33"/>
        <v>0.54915513333170984</v>
      </c>
      <c r="H48" s="8">
        <f t="shared" si="33"/>
        <v>0.93400389949517648</v>
      </c>
      <c r="I48" s="8">
        <f t="shared" si="33"/>
        <v>5.0125830751625522E-2</v>
      </c>
      <c r="J48" s="8">
        <f t="shared" si="33"/>
        <v>2.5566067675812463E-2</v>
      </c>
      <c r="K48" s="8">
        <f t="shared" si="33"/>
        <v>4.5416711225203063E-2</v>
      </c>
      <c r="L48" s="8">
        <f t="shared" si="33"/>
        <v>2.2415999647860049E-2</v>
      </c>
      <c r="M48" s="8">
        <f t="shared" si="33"/>
        <v>1.7123797951027191E-2</v>
      </c>
      <c r="N48" s="8" t="s">
        <v>2</v>
      </c>
      <c r="O48" s="8">
        <f t="shared" ref="O48:V48" si="34" xml:space="preserve"> O47/SQRT(COUNT(O28:O43))</f>
        <v>0.20069546866008925</v>
      </c>
      <c r="P48" s="8">
        <f t="shared" si="34"/>
        <v>0.43942039193952298</v>
      </c>
      <c r="Q48" s="8">
        <f t="shared" si="34"/>
        <v>2.64736066966452E-2</v>
      </c>
      <c r="R48" s="8">
        <f t="shared" si="34"/>
        <v>0.18815389575316163</v>
      </c>
      <c r="S48" s="8">
        <f t="shared" si="34"/>
        <v>0.14536103710712769</v>
      </c>
      <c r="T48" s="8">
        <f t="shared" si="34"/>
        <v>9.0017935061304441E-2</v>
      </c>
      <c r="U48" s="8">
        <f t="shared" si="34"/>
        <v>2.9929967265033549E-2</v>
      </c>
      <c r="V48" s="8">
        <f t="shared" si="34"/>
        <v>1.3399398823510097E-2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/>
    <row r="52" spans="1:22" x14ac:dyDescent="0.3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Prochloraz-0.063mg/L</v>
      </c>
      <c r="J52" s="30" t="str">
        <f>J4</f>
        <v>Prochloraz-0.13mg/L</v>
      </c>
      <c r="K52" s="30" t="str">
        <f t="shared" ref="K52:M52" si="37">K4</f>
        <v>Prochloraz-0.25mg/L</v>
      </c>
      <c r="L52" s="30" t="str">
        <f t="shared" si="37"/>
        <v>Prochloraz-0.5mg/L</v>
      </c>
      <c r="M52" s="30" t="str">
        <f t="shared" si="37"/>
        <v>Prochloraz-1mg/L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Prochloraz-0.063mg/L + Testostérone</v>
      </c>
      <c r="S52" s="30" t="str">
        <f t="shared" ref="S52:V52" si="38">S27</f>
        <v>Prochloraz-0.13mg/L + Testostérone</v>
      </c>
      <c r="T52" s="30" t="str">
        <f t="shared" si="38"/>
        <v>Prochloraz-0.25mg/L + Testostérone</v>
      </c>
      <c r="U52" s="30" t="str">
        <f t="shared" si="38"/>
        <v>Prochloraz-0.5mg/L + Testostérone</v>
      </c>
      <c r="V52" s="30" t="str">
        <f t="shared" si="38"/>
        <v>Prochloraz-1mg/L + Testostérone</v>
      </c>
    </row>
    <row r="53" spans="1:22" s="3" customFormat="1" x14ac:dyDescent="0.35">
      <c r="A53" s="45" t="s">
        <v>10</v>
      </c>
      <c r="B53" s="78">
        <f t="shared" ref="B53:V53" si="39">B46</f>
        <v>9.8424548822777333E-2</v>
      </c>
      <c r="C53" s="78">
        <f t="shared" si="39"/>
        <v>0.5950882845215697</v>
      </c>
      <c r="D53" s="78">
        <f t="shared" si="39"/>
        <v>1.56029925152339</v>
      </c>
      <c r="E53" s="78">
        <f t="shared" si="39"/>
        <v>3.0566317670921519</v>
      </c>
      <c r="F53" s="78">
        <f t="shared" si="39"/>
        <v>4.0060358903500415</v>
      </c>
      <c r="G53" s="78">
        <f t="shared" si="39"/>
        <v>5.7049229826247343</v>
      </c>
      <c r="H53" s="78">
        <f t="shared" si="39"/>
        <v>5.10417896272532</v>
      </c>
      <c r="I53" s="78">
        <f t="shared" si="39"/>
        <v>0.11208036249636932</v>
      </c>
      <c r="J53" s="78">
        <f t="shared" si="39"/>
        <v>8.0734643821887206E-2</v>
      </c>
      <c r="K53" s="78">
        <f t="shared" si="39"/>
        <v>0.12542080931111146</v>
      </c>
      <c r="L53" s="78">
        <f t="shared" si="39"/>
        <v>6.7704953475906549E-2</v>
      </c>
      <c r="M53" s="78">
        <f t="shared" si="39"/>
        <v>6.8897507712090689E-2</v>
      </c>
      <c r="N53" s="78"/>
      <c r="O53" s="78">
        <f t="shared" si="39"/>
        <v>0.99999999999999989</v>
      </c>
      <c r="P53" s="78">
        <f t="shared" si="39"/>
        <v>4.7258943414371473</v>
      </c>
      <c r="Q53" s="78">
        <f t="shared" si="39"/>
        <v>0.10601559654524868</v>
      </c>
      <c r="R53" s="78">
        <f t="shared" si="39"/>
        <v>0.55874627801994903</v>
      </c>
      <c r="S53" s="78">
        <f t="shared" si="39"/>
        <v>0.33503090053293683</v>
      </c>
      <c r="T53" s="78">
        <f t="shared" si="39"/>
        <v>0.56157309421639501</v>
      </c>
      <c r="U53" s="78">
        <f t="shared" si="39"/>
        <v>0.11165216240641009</v>
      </c>
      <c r="V53" s="78">
        <f t="shared" si="39"/>
        <v>5.58813250002285E-2</v>
      </c>
    </row>
    <row r="54" spans="1:22" s="3" customFormat="1" x14ac:dyDescent="0.35">
      <c r="A54" s="45" t="s">
        <v>2</v>
      </c>
      <c r="B54" s="78">
        <f t="shared" ref="B54:V54" si="40">B48</f>
        <v>2.9113434865691876E-2</v>
      </c>
      <c r="C54" s="78">
        <f t="shared" si="40"/>
        <v>0.17631135873708534</v>
      </c>
      <c r="D54" s="78">
        <f t="shared" si="40"/>
        <v>0.44653436694511461</v>
      </c>
      <c r="E54" s="78">
        <f t="shared" si="40"/>
        <v>0.3539045499849055</v>
      </c>
      <c r="F54" s="78">
        <f t="shared" si="40"/>
        <v>0.33919162730318575</v>
      </c>
      <c r="G54" s="78">
        <f t="shared" si="40"/>
        <v>0.54915513333170984</v>
      </c>
      <c r="H54" s="78">
        <f t="shared" si="40"/>
        <v>0.93400389949517648</v>
      </c>
      <c r="I54" s="78">
        <f t="shared" si="40"/>
        <v>5.0125830751625522E-2</v>
      </c>
      <c r="J54" s="78">
        <f t="shared" si="40"/>
        <v>2.5566067675812463E-2</v>
      </c>
      <c r="K54" s="78">
        <f t="shared" si="40"/>
        <v>4.5416711225203063E-2</v>
      </c>
      <c r="L54" s="78">
        <f t="shared" si="40"/>
        <v>2.2415999647860049E-2</v>
      </c>
      <c r="M54" s="78">
        <f t="shared" si="40"/>
        <v>1.7123797951027191E-2</v>
      </c>
      <c r="N54" s="78"/>
      <c r="O54" s="78">
        <f t="shared" si="40"/>
        <v>0.20069546866008925</v>
      </c>
      <c r="P54" s="78">
        <f t="shared" si="40"/>
        <v>0.43942039193952298</v>
      </c>
      <c r="Q54" s="78">
        <f t="shared" si="40"/>
        <v>2.64736066966452E-2</v>
      </c>
      <c r="R54" s="78">
        <f t="shared" si="40"/>
        <v>0.18815389575316163</v>
      </c>
      <c r="S54" s="78">
        <f t="shared" si="40"/>
        <v>0.14536103710712769</v>
      </c>
      <c r="T54" s="78">
        <f t="shared" si="40"/>
        <v>9.0017935061304441E-2</v>
      </c>
      <c r="U54" s="78">
        <f t="shared" si="40"/>
        <v>2.9929967265033549E-2</v>
      </c>
      <c r="V54" s="78">
        <f t="shared" si="40"/>
        <v>1.3399398823510097E-2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41">(C53*100/$B53)-100</f>
        <v>504.61367782653713</v>
      </c>
      <c r="D55" s="78">
        <f t="shared" si="41"/>
        <v>1485.2744769324324</v>
      </c>
      <c r="E55" s="78">
        <f t="shared" si="41"/>
        <v>3005.5583222392061</v>
      </c>
      <c r="F55" s="78">
        <f t="shared" si="41"/>
        <v>3970.1592623637889</v>
      </c>
      <c r="G55" s="78">
        <f t="shared" si="41"/>
        <v>5696.2399125618404</v>
      </c>
      <c r="H55" s="78">
        <f t="shared" si="41"/>
        <v>5085.8799697582308</v>
      </c>
      <c r="I55" s="78">
        <f t="shared" si="41"/>
        <v>13.874398040859276</v>
      </c>
      <c r="J55" s="78">
        <f t="shared" si="41"/>
        <v>-17.973061814834892</v>
      </c>
      <c r="K55" s="78">
        <f t="shared" si="41"/>
        <v>27.42838124352842</v>
      </c>
      <c r="L55" s="78">
        <f t="shared" si="41"/>
        <v>-31.211314366484217</v>
      </c>
      <c r="M55" s="78">
        <f t="shared" si="41"/>
        <v>-29.99967128511085</v>
      </c>
      <c r="N55" s="78"/>
      <c r="O55" s="78">
        <f t="shared" ref="O55:V55" si="42">(O53*100/$O53)-100</f>
        <v>0</v>
      </c>
      <c r="P55" s="78">
        <f t="shared" si="42"/>
        <v>372.58943414371475</v>
      </c>
      <c r="Q55" s="78">
        <f t="shared" si="42"/>
        <v>-89.398440345475137</v>
      </c>
      <c r="R55" s="78">
        <f t="shared" si="42"/>
        <v>-44.125372198005088</v>
      </c>
      <c r="S55" s="78">
        <f t="shared" si="42"/>
        <v>-66.49690994670631</v>
      </c>
      <c r="T55" s="78">
        <f t="shared" si="42"/>
        <v>-43.842690578360489</v>
      </c>
      <c r="U55" s="78">
        <f t="shared" si="42"/>
        <v>-88.834783759358984</v>
      </c>
      <c r="V55" s="78">
        <f t="shared" si="42"/>
        <v>-94.411867499977149</v>
      </c>
    </row>
    <row r="56" spans="1:22" s="3" customFormat="1" x14ac:dyDescent="0.35">
      <c r="A56" s="45" t="s">
        <v>38</v>
      </c>
      <c r="B56" s="78">
        <f>[1]!SWTEST(B28:B43)</f>
        <v>0.13545032609704211</v>
      </c>
      <c r="C56" s="78">
        <f>[1]!SWTEST(C28:C43)</f>
        <v>0.51684376579984959</v>
      </c>
      <c r="D56" s="78">
        <f>[1]!SWTEST(D28:D43)</f>
        <v>0.58022044672034301</v>
      </c>
      <c r="E56" s="78">
        <f>[1]!SWTEST(E28:E43)</f>
        <v>0.97000636943790763</v>
      </c>
      <c r="F56" s="78">
        <f>[1]!SWTEST(F28:F43)</f>
        <v>0.46839541432717891</v>
      </c>
      <c r="G56" s="78">
        <f>[1]!SWTEST(G28:G43)</f>
        <v>0.12883306278694606</v>
      </c>
      <c r="H56" s="78">
        <f>[1]!SWTEST(H28:H43)</f>
        <v>0.68987514320426235</v>
      </c>
      <c r="I56" s="78">
        <f>[1]!SWTEST(I28:I43)</f>
        <v>7.2226895033843386E-3</v>
      </c>
      <c r="J56" s="78">
        <f>[1]!SWTEST(J28:J43)</f>
        <v>2.8921164122422183E-2</v>
      </c>
      <c r="K56" s="78">
        <f>[1]!SWTEST(K28:K43)</f>
        <v>1.5045217931643595E-2</v>
      </c>
      <c r="L56" s="78">
        <f>[1]!SWTEST(L28:L43)</f>
        <v>0.20036427344078656</v>
      </c>
      <c r="M56" s="78">
        <f>[1]!SWTEST(M28:M43)</f>
        <v>0.46632789410694619</v>
      </c>
      <c r="N56" s="78"/>
      <c r="O56" s="78">
        <f>[1]!SWTEST(O28:O43)</f>
        <v>5.0611072966919357E-2</v>
      </c>
      <c r="P56" s="78">
        <f>[1]!SWTEST(P28:P43)</f>
        <v>0.2190747048355941</v>
      </c>
      <c r="Q56" s="78">
        <f>[1]!SWTEST(Q28:Q43)</f>
        <v>0.59166048114130154</v>
      </c>
      <c r="R56" s="78">
        <f>[1]!SWTEST(R28:R43)</f>
        <v>0.28730035019287148</v>
      </c>
      <c r="S56" s="78">
        <f>[1]!SWTEST(S28:S43)</f>
        <v>8.3162927589552904E-4</v>
      </c>
      <c r="T56" s="78">
        <f>[1]!SWTEST(T28:T43)</f>
        <v>0.38650426098685875</v>
      </c>
      <c r="U56" s="78">
        <f>[1]!SWTEST(U28:U43)</f>
        <v>0.6866564200960954</v>
      </c>
      <c r="V56" s="78">
        <f>[1]!SWTEST(V28:V43)</f>
        <v>3.2596039076975281E-3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43">IF(C56&gt;0.05,"Oui","Non")</f>
        <v>Oui</v>
      </c>
      <c r="D57" s="78" t="str">
        <f t="shared" si="43"/>
        <v>Oui</v>
      </c>
      <c r="E57" s="78" t="str">
        <f t="shared" si="43"/>
        <v>Oui</v>
      </c>
      <c r="F57" s="78" t="str">
        <f t="shared" si="43"/>
        <v>Oui</v>
      </c>
      <c r="G57" s="78" t="str">
        <f t="shared" si="43"/>
        <v>Oui</v>
      </c>
      <c r="H57" s="78" t="str">
        <f t="shared" si="43"/>
        <v>Oui</v>
      </c>
      <c r="I57" s="78" t="str">
        <f t="shared" si="43"/>
        <v>Non</v>
      </c>
      <c r="J57" s="78" t="str">
        <f t="shared" si="43"/>
        <v>Non</v>
      </c>
      <c r="K57" s="78" t="str">
        <f t="shared" si="43"/>
        <v>Non</v>
      </c>
      <c r="L57" s="78" t="str">
        <f t="shared" si="43"/>
        <v>Oui</v>
      </c>
      <c r="M57" s="78" t="str">
        <f t="shared" si="43"/>
        <v>Oui</v>
      </c>
      <c r="N57" s="78"/>
      <c r="O57" s="78" t="str">
        <f t="shared" si="43"/>
        <v>Oui</v>
      </c>
      <c r="P57" s="78" t="str">
        <f t="shared" si="43"/>
        <v>Oui</v>
      </c>
      <c r="Q57" s="78" t="str">
        <f t="shared" si="43"/>
        <v>Oui</v>
      </c>
      <c r="R57" s="78" t="str">
        <f t="shared" si="43"/>
        <v>Oui</v>
      </c>
      <c r="S57" s="78" t="str">
        <f t="shared" si="43"/>
        <v>Non</v>
      </c>
      <c r="T57" s="78" t="str">
        <f t="shared" si="43"/>
        <v>Oui</v>
      </c>
      <c r="U57" s="78" t="str">
        <f t="shared" si="43"/>
        <v>Oui</v>
      </c>
      <c r="V57" s="78" t="str">
        <f t="shared" si="43"/>
        <v>Non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44">IF($B57="Non",IF(C57="Non","MW",IF(C57="Oui","MW","")),IF($B57="Oui",IF(C57="Oui","T-Test Welch",IF(C57="Non","MW",""))))</f>
        <v>T-Test Welch</v>
      </c>
      <c r="D59" s="82" t="str">
        <f t="shared" si="44"/>
        <v>T-Test Welch</v>
      </c>
      <c r="E59" s="82" t="str">
        <f t="shared" si="44"/>
        <v>T-Test Welch</v>
      </c>
      <c r="F59" s="82" t="str">
        <f t="shared" si="44"/>
        <v>T-Test Welch</v>
      </c>
      <c r="G59" s="82" t="str">
        <f t="shared" si="44"/>
        <v>T-Test Welch</v>
      </c>
      <c r="H59" s="82" t="str">
        <f t="shared" si="44"/>
        <v>T-Test Welch</v>
      </c>
      <c r="I59" s="82" t="str">
        <f t="shared" si="44"/>
        <v>MW</v>
      </c>
      <c r="J59" s="82" t="str">
        <f t="shared" si="44"/>
        <v>MW</v>
      </c>
      <c r="K59" s="82" t="str">
        <f t="shared" si="44"/>
        <v>MW</v>
      </c>
      <c r="L59" s="82" t="str">
        <f t="shared" si="44"/>
        <v>T-Test Welch</v>
      </c>
      <c r="M59" s="82" t="str">
        <f t="shared" si="44"/>
        <v>T-Test Welch</v>
      </c>
      <c r="N59" s="82"/>
      <c r="O59" s="82" t="str">
        <f t="shared" si="44"/>
        <v>T-Test Welch</v>
      </c>
      <c r="P59" s="82" t="str">
        <f t="shared" ref="P59:V59" si="45">IF($O57="Non",IF(P57="Non","MW",IF(P57="Oui","MW","")),IF($O57="Oui",IF(P57="Oui","T-Test Welch",IF(P57="Non","MW",""))))</f>
        <v>T-Test Welch</v>
      </c>
      <c r="Q59" s="82" t="str">
        <f t="shared" si="45"/>
        <v>T-Test Welch</v>
      </c>
      <c r="R59" s="82" t="str">
        <f t="shared" si="45"/>
        <v>T-Test Welch</v>
      </c>
      <c r="S59" s="82" t="str">
        <f t="shared" si="45"/>
        <v>MW</v>
      </c>
      <c r="T59" s="82" t="str">
        <f t="shared" si="45"/>
        <v>T-Test Welch</v>
      </c>
      <c r="U59" s="82" t="str">
        <f t="shared" si="45"/>
        <v>T-Test Welch</v>
      </c>
      <c r="V59" s="82" t="str">
        <f t="shared" si="45"/>
        <v>MW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2.591240934401199E-2</v>
      </c>
      <c r="D60" s="83">
        <f>IF(D59="MW",[1]!MTEST($B28:$B43,D28:D43,2), IF(D59="T-Test Welch",_xlfn.T.TEST($B28:$B43,D28:D43,2,3),""))</f>
        <v>1.3570823023994058E-2</v>
      </c>
      <c r="E60" s="83">
        <f>IF(E59="MW",[1]!MTEST($B28:$B43,E28:E43,2), IF(E59="T-Test Welch",_xlfn.T.TEST($B28:$B43,E28:E43,2,3),""))</f>
        <v>6.5198440592947375E-5</v>
      </c>
      <c r="F60" s="83">
        <f>IF(F59="MW",[1]!MTEST($B28:$B43,F28:F43,2), IF(F59="T-Test Welch",_xlfn.T.TEST($B28:$B43,F28:F43,2,3),""))</f>
        <v>7.6632075757570804E-6</v>
      </c>
      <c r="G60" s="83">
        <f>IF(G59="MW",[1]!MTEST($B28:$B43,G28:G43,2), IF(G59="T-Test Welch",_xlfn.T.TEST($B28:$B43,G28:G43,2,3),""))</f>
        <v>1.8126042321536865E-5</v>
      </c>
      <c r="H60" s="83">
        <f>IF(H59="MW",[1]!MTEST($B28:$B43,H28:H43,2), IF(H59="T-Test Welch",_xlfn.T.TEST($B28:$B43,H28:H43,2,3),""))</f>
        <v>1.0496962910248487E-3</v>
      </c>
      <c r="I60" s="83">
        <f>IF(I59="MW",[1]!MTEST($B28:$B43,I28:I43,2), IF(I59="T-Test Welch",_xlfn.T.TEST($B28:$B43,I28:I43,2,3),""))</f>
        <v>0.83363488302468225</v>
      </c>
      <c r="J60" s="83">
        <f>IF(J59="MW",[1]!MTEST($B28:$B43,J28:J43,2), IF(J59="T-Test Welch",_xlfn.T.TEST($B28:$B43,J28:J43,2,3),""))</f>
        <v>0.83363488302468225</v>
      </c>
      <c r="K60" s="83">
        <f>IF(K59="MW",[1]!MTEST($B28:$B43,K28:K43,2), IF(K59="T-Test Welch",_xlfn.T.TEST($B28:$B43,K28:K43,2,3),""))</f>
        <v>0.83363488302468225</v>
      </c>
      <c r="L60" s="83">
        <f>IF(L59="MW",[1]!MTEST($B28:$B43,L28:L43,2), IF(L59="T-Test Welch",_xlfn.T.TEST($B28:$B43,L28:L43,2,3),""))</f>
        <v>0.41806426506218364</v>
      </c>
      <c r="M60" s="83">
        <f>IF(M59="MW",[1]!MTEST($B28:$B43,M28:M43,2), IF(M59="T-Test Welch",_xlfn.T.TEST($B28:$B43,M28:M43,2,3),""))</f>
        <v>0.40016590908436467</v>
      </c>
      <c r="N60" s="83"/>
      <c r="O60" s="83">
        <f>IF(O59="MW",[1]!MTEST($B28:$B43,O28:O43,2), IF(O59="T-Test Welch",_xlfn.T.TEST($B28:$B43,O28:O43,2,3),""))</f>
        <v>4.2954041963506222E-4</v>
      </c>
      <c r="P60" s="83">
        <f>IF(P59="MW",[1]!MTEST($O28:$O43,P28:P43,2), IF(P59="T-Test Welch",_xlfn.T.TEST($O28:$O43,P28:P43,2,3),""))</f>
        <v>3.7827834928166374E-5</v>
      </c>
      <c r="Q60" s="83">
        <f>IF(Q59="MW",[1]!MTEST($O28:$O43,Q28:Q43,2), IF(Q59="T-Test Welch",_xlfn.T.TEST($O28:$O43,Q28:Q43,2,3),""))</f>
        <v>4.6342723687774862E-4</v>
      </c>
      <c r="R60" s="83">
        <f>IF(R59="MW",[1]!MTEST($O28:$O43,R28:R43,2), IF(R59="T-Test Welch",_xlfn.T.TEST($O28:$O43,R28:R43,2,3),""))</f>
        <v>0.12444112730783204</v>
      </c>
      <c r="S60" s="83">
        <f>IF(S59="MW",[1]!MTEST($O28:$O43,S28:S43,2), IF(S59="T-Test Welch",_xlfn.T.TEST($O28:$O43,S28:S43,2,3),""))</f>
        <v>1.4305878435429742E-2</v>
      </c>
      <c r="T60" s="83">
        <f>IF(T59="MW",[1]!MTEST($O28:$O43,T28:T43,2), IF(T59="T-Test Welch",_xlfn.T.TEST($O28:$O43,T28:T43,2,3),""))</f>
        <v>6.0117323525064874E-2</v>
      </c>
      <c r="U60" s="83">
        <f>IF(U59="MW",[1]!MTEST($O28:$O43,U28:U43,2), IF(U59="T-Test Welch",_xlfn.T.TEST($O28:$O43,U28:U43,2,3),""))</f>
        <v>4.9108186745004201E-4</v>
      </c>
      <c r="V60" s="83">
        <f>IF(V59="MW",[1]!MTEST($O28:$O43,V28:V43,2), IF(V59="T-Test Welch",_xlfn.T.TEST($O28:$O43,V28:V43,2,3),""))</f>
        <v>1.4662968489798089E-4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46">IF(C60&gt;0.05,"NS",IF(C60&gt;0.01,"*",IF(C60&gt;0.001,"**","***")))</f>
        <v>*</v>
      </c>
      <c r="D61" s="79" t="str">
        <f t="shared" si="46"/>
        <v>*</v>
      </c>
      <c r="E61" s="79" t="str">
        <f t="shared" si="46"/>
        <v>***</v>
      </c>
      <c r="F61" s="79" t="str">
        <f t="shared" si="46"/>
        <v>***</v>
      </c>
      <c r="G61" s="79" t="str">
        <f t="shared" si="46"/>
        <v>***</v>
      </c>
      <c r="H61" s="79" t="str">
        <f t="shared" si="46"/>
        <v>**</v>
      </c>
      <c r="I61" s="79" t="str">
        <f t="shared" si="46"/>
        <v>NS</v>
      </c>
      <c r="J61" s="79" t="str">
        <f t="shared" si="46"/>
        <v>NS</v>
      </c>
      <c r="K61" s="79" t="str">
        <f t="shared" si="46"/>
        <v>NS</v>
      </c>
      <c r="L61" s="79" t="str">
        <f t="shared" si="46"/>
        <v>NS</v>
      </c>
      <c r="M61" s="79" t="str">
        <f t="shared" si="46"/>
        <v>NS</v>
      </c>
      <c r="N61" s="79"/>
      <c r="O61" s="79" t="str">
        <f t="shared" si="46"/>
        <v>***</v>
      </c>
      <c r="P61" s="79" t="str">
        <f>IF(P60&gt;0.05,"NS",IF(P60&gt;0.01,"*",IF(P60&gt;0.001,"**","***")))</f>
        <v>***</v>
      </c>
      <c r="Q61" s="79" t="str">
        <f t="shared" ref="Q61:V61" si="47">IF(Q60&gt;0.05,"NS",IF(Q60&gt;0.01,"*",IF(Q60&gt;0.001,"**","***")))</f>
        <v>***</v>
      </c>
      <c r="R61" s="79" t="str">
        <f t="shared" si="47"/>
        <v>NS</v>
      </c>
      <c r="S61" s="79" t="str">
        <f t="shared" si="47"/>
        <v>*</v>
      </c>
      <c r="T61" s="79" t="str">
        <f t="shared" si="47"/>
        <v>NS</v>
      </c>
      <c r="U61" s="79" t="str">
        <f t="shared" si="47"/>
        <v>***</v>
      </c>
      <c r="V61" s="79" t="str">
        <f t="shared" si="47"/>
        <v>***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20"/>
  <sheetViews>
    <sheetView showGridLines="0" tabSelected="1" topLeftCell="F71" zoomScale="70" zoomScaleNormal="70" workbookViewId="0">
      <selection activeCell="B94" sqref="B94:W94"/>
    </sheetView>
  </sheetViews>
  <sheetFormatPr baseColWidth="10" defaultColWidth="10.90625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" thickBot="1" x14ac:dyDescent="0.4"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55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Prochloraz-0.063mg/L</v>
      </c>
      <c r="J4" s="20" t="str">
        <f>'R1'!J4</f>
        <v>Prochloraz-0.13mg/L</v>
      </c>
      <c r="K4" s="20" t="str">
        <f>'R1'!K4</f>
        <v>Prochloraz-0.25mg/L</v>
      </c>
      <c r="L4" s="20" t="str">
        <f>'R1'!L4</f>
        <v>Prochloraz-0.5mg/L</v>
      </c>
      <c r="M4" s="20" t="str">
        <f>'R1'!M4</f>
        <v>Prochloraz-1mg/L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Prochloraz-0.063mg/L + Testostérone</v>
      </c>
      <c r="S4" s="20" t="str">
        <f>'R1'!S4</f>
        <v>Prochloraz-0.13mg/L + Testostérone</v>
      </c>
      <c r="T4" s="20" t="str">
        <f>'R1'!T4</f>
        <v>Prochloraz-0.25mg/L + Testostérone</v>
      </c>
      <c r="U4" s="20" t="str">
        <f>'R1'!U4</f>
        <v>Prochloraz-0.5mg/L + Testostérone</v>
      </c>
      <c r="V4" s="20" t="str">
        <f>'R1'!V4</f>
        <v>Prochloraz-1mg/L + Testostérone</v>
      </c>
    </row>
    <row r="5" spans="1:22" s="1" customFormat="1" x14ac:dyDescent="0.35">
      <c r="A5" s="19"/>
      <c r="B5" s="20"/>
      <c r="C5" s="115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35">
      <c r="A6" s="54" t="s">
        <v>3</v>
      </c>
      <c r="B6" s="37">
        <f>'R1'!B28</f>
        <v>2.5875937547885646E-5</v>
      </c>
      <c r="C6" s="37">
        <f>'R1'!C28</f>
        <v>0.13593420647551627</v>
      </c>
      <c r="D6" s="37">
        <f>'R1'!D28</f>
        <v>0.50934698612488205</v>
      </c>
      <c r="E6" s="37">
        <f>'R1'!E28</f>
        <v>1.475120353432962</v>
      </c>
      <c r="F6" s="37">
        <f>'R1'!F28</f>
        <v>1.266950592188351</v>
      </c>
      <c r="G6" s="37">
        <f>'R1'!G28</f>
        <v>2.3706664262360801</v>
      </c>
      <c r="H6" s="37">
        <f>'R1'!H28</f>
        <v>3.8095590295499164</v>
      </c>
      <c r="I6" s="37">
        <f>'R1'!I28</f>
        <v>0.22687015755525938</v>
      </c>
      <c r="J6" s="37">
        <f>'R1'!J28</f>
        <v>1.5453684924431705E-3</v>
      </c>
      <c r="K6" s="37">
        <f>'R1'!K28</f>
        <v>3.9057571400404389E-2</v>
      </c>
      <c r="L6" s="37">
        <f>'R1'!L28</f>
        <v>7.7612718346754012E-2</v>
      </c>
      <c r="M6" s="37">
        <f>'R1'!M28</f>
        <v>4.6720442794793526E-4</v>
      </c>
      <c r="N6"/>
      <c r="O6" s="37">
        <f>'R1'!O28</f>
        <v>2.6754130929458735</v>
      </c>
      <c r="P6" s="37">
        <f>'R1'!P28</f>
        <v>0.67908882378275393</v>
      </c>
      <c r="Q6" s="37">
        <f>'R1'!Q28</f>
        <v>1.3937067473708408E-3</v>
      </c>
      <c r="R6" s="37">
        <f>'R1'!R28</f>
        <v>0.66365310825939716</v>
      </c>
      <c r="S6" s="37">
        <f>'R1'!S28</f>
        <v>3.8598273508929422E-4</v>
      </c>
      <c r="T6" s="37">
        <f>'R1'!T28</f>
        <v>0.13219010206754581</v>
      </c>
      <c r="U6" s="37">
        <f>'R1'!U28</f>
        <v>0.24001729015771428</v>
      </c>
      <c r="V6" s="37">
        <f>'R1'!V28</f>
        <v>6.9886594660581152E-3</v>
      </c>
    </row>
    <row r="7" spans="1:22" s="1" customFormat="1" x14ac:dyDescent="0.35">
      <c r="A7" s="144"/>
      <c r="B7" s="37">
        <f>'R1'!B29</f>
        <v>3.7448231840134504E-4</v>
      </c>
      <c r="C7" s="37">
        <f>'R1'!C29</f>
        <v>4.6576687586194162E-4</v>
      </c>
      <c r="D7" s="37">
        <f>'R1'!D29</f>
        <v>0.68322178602998562</v>
      </c>
      <c r="E7" s="37">
        <f>'R1'!E29</f>
        <v>2.3993463091276965E-2</v>
      </c>
      <c r="F7" s="37">
        <f>'R1'!F29</f>
        <v>3.4342889326054467</v>
      </c>
      <c r="G7" s="37">
        <f>'R1'!G29</f>
        <v>5.7791232666322641</v>
      </c>
      <c r="H7" s="37">
        <f>'R1'!H29</f>
        <v>4.8809644429128527</v>
      </c>
      <c r="I7" s="37">
        <f>'R1'!I29</f>
        <v>9.1578536862182286E-2</v>
      </c>
      <c r="J7" s="37">
        <f>'R1'!J29</f>
        <v>6.1479071285647308E-2</v>
      </c>
      <c r="K7" s="37">
        <f>'R1'!K29</f>
        <v>2.5034969577579363E-3</v>
      </c>
      <c r="L7" s="37">
        <f>'R1'!L29</f>
        <v>0.47949406073109496</v>
      </c>
      <c r="M7" s="37">
        <f>'R1'!M29</f>
        <v>1.8127531804379888E-3</v>
      </c>
      <c r="N7"/>
      <c r="O7" s="37">
        <f>'R1'!O29</f>
        <v>0.34684106689185917</v>
      </c>
      <c r="P7" s="37">
        <f>'R1'!P29</f>
        <v>0.28899540850356081</v>
      </c>
      <c r="Q7" s="37">
        <f>'R1'!Q29</f>
        <v>0.23455746733511043</v>
      </c>
      <c r="R7" s="37">
        <f>'R1'!R29</f>
        <v>0.1409261060941292</v>
      </c>
      <c r="S7" s="37">
        <f>'R1'!S29</f>
        <v>0.46249428853817709</v>
      </c>
      <c r="T7" s="37">
        <f>'R1'!T29</f>
        <v>0.52381451031832205</v>
      </c>
      <c r="U7" s="37">
        <f>'R1'!U29</f>
        <v>8.8370639382287466E-2</v>
      </c>
      <c r="V7" s="37">
        <f>'R1'!V29</f>
        <v>0.136900960253347</v>
      </c>
    </row>
    <row r="8" spans="1:22" s="1" customFormat="1" x14ac:dyDescent="0.35">
      <c r="A8" s="145"/>
      <c r="B8" s="37">
        <f>'R1'!B30</f>
        <v>6.5042762906825549E-2</v>
      </c>
      <c r="C8" s="37">
        <f>'R1'!C30</f>
        <v>0.15133038931650822</v>
      </c>
      <c r="D8" s="37">
        <f>'R1'!D30</f>
        <v>1.3484504513756317</v>
      </c>
      <c r="E8" s="37">
        <f>'R1'!E30</f>
        <v>2.1407515333626863</v>
      </c>
      <c r="F8" s="37">
        <f>'R1'!F30</f>
        <v>1.5497185250553873</v>
      </c>
      <c r="G8" s="37">
        <f>'R1'!G30</f>
        <v>3.5577825633287739</v>
      </c>
      <c r="H8" s="37">
        <f>'R1'!H30</f>
        <v>3.1962655271910059</v>
      </c>
      <c r="I8" s="37">
        <f>'R1'!I30</f>
        <v>0.2189974035563152</v>
      </c>
      <c r="J8" s="37">
        <f>'R1'!J30</f>
        <v>3.7285788454417219E-2</v>
      </c>
      <c r="K8" s="37">
        <f>'R1'!K30</f>
        <v>0.28940726717619802</v>
      </c>
      <c r="L8" s="37">
        <f>'R1'!L30</f>
        <v>0.36563131020788214</v>
      </c>
      <c r="M8" s="37">
        <f>'R1'!M30</f>
        <v>6.9002500127695061E-3</v>
      </c>
      <c r="N8"/>
      <c r="O8" s="37">
        <f>'R1'!O30</f>
        <v>0.28314097763335172</v>
      </c>
      <c r="P8" s="37">
        <f>'R1'!P30</f>
        <v>1.6890503858861496</v>
      </c>
      <c r="Q8" s="37">
        <f>'R1'!Q30</f>
        <v>0.10835261337759916</v>
      </c>
      <c r="R8" s="37">
        <f>'R1'!R30</f>
        <v>4.9170031549326705E-2</v>
      </c>
      <c r="S8" s="37">
        <f>'R1'!S30</f>
        <v>0.10577939514367053</v>
      </c>
      <c r="T8" s="37">
        <f>'R1'!T30</f>
        <v>1.8424386310137576E-2</v>
      </c>
      <c r="U8" s="37">
        <f>'R1'!U30</f>
        <v>3.1123721437805455E-2</v>
      </c>
      <c r="V8" s="37">
        <f>'R1'!V30</f>
        <v>0.18889434409956521</v>
      </c>
    </row>
    <row r="9" spans="1:22" s="1" customFormat="1" x14ac:dyDescent="0.35">
      <c r="A9" s="145"/>
      <c r="B9" s="37">
        <f>'R1'!B31</f>
        <v>1.0781640644952352E-2</v>
      </c>
      <c r="C9" s="37">
        <f>'R1'!C31</f>
        <v>0.10662611332232079</v>
      </c>
      <c r="D9" s="37">
        <f>'R1'!D31</f>
        <v>0.34359938693794351</v>
      </c>
      <c r="E9" s="37">
        <f>'R1'!E31</f>
        <v>2.3287172188146998</v>
      </c>
      <c r="F9" s="37">
        <f>'R1'!F31</f>
        <v>1.9687477074975035</v>
      </c>
      <c r="G9" s="37">
        <f>'R1'!G31</f>
        <v>3.8380577808786973</v>
      </c>
      <c r="H9" s="37">
        <f>'R1'!H31</f>
        <v>6.585423230832725</v>
      </c>
      <c r="I9" s="37">
        <f>'R1'!I31</f>
        <v>1.7758799694322518E-2</v>
      </c>
      <c r="J9" s="37">
        <f>'R1'!J31</f>
        <v>0.17343994039909053</v>
      </c>
      <c r="K9" s="37">
        <f>'R1'!K31</f>
        <v>2.1316022331113797E-2</v>
      </c>
      <c r="L9" s="37">
        <f>'R1'!L31</f>
        <v>0.88285464421192339</v>
      </c>
      <c r="M9" s="37">
        <f>'R1'!M31</f>
        <v>9.6682565543502724E-3</v>
      </c>
      <c r="N9"/>
      <c r="O9" s="37">
        <f>'R1'!O31</f>
        <v>2.6411303507990969</v>
      </c>
      <c r="P9" s="37">
        <f>'R1'!P31</f>
        <v>1.0386601331721299</v>
      </c>
      <c r="Q9" s="37">
        <f>'R1'!Q31</f>
        <v>8.4849355547646027E-2</v>
      </c>
      <c r="R9" s="37">
        <f>'R1'!R31</f>
        <v>0.14228674914352218</v>
      </c>
      <c r="S9" s="37">
        <f>'R1'!S31</f>
        <v>0.19071859769669117</v>
      </c>
      <c r="T9" s="37">
        <f>'R1'!T31</f>
        <v>0.11367586875203363</v>
      </c>
      <c r="U9" s="37">
        <f>'R1'!U31</f>
        <v>0.10766833858466618</v>
      </c>
      <c r="V9" s="37">
        <f>'R1'!V31</f>
        <v>7.6397268058046378E-2</v>
      </c>
    </row>
    <row r="10" spans="1:22" s="1" customFormat="1" x14ac:dyDescent="0.35">
      <c r="A10" s="145"/>
      <c r="B10" s="37">
        <f>'R1'!B32</f>
        <v>0.18891446982876914</v>
      </c>
      <c r="C10" s="37">
        <f>'R1'!C32</f>
        <v>6.1340347509348915E-3</v>
      </c>
      <c r="D10" s="37">
        <f>'R1'!D32</f>
        <v>0.6789364432616386</v>
      </c>
      <c r="E10" s="37">
        <f>'R1'!E32</f>
        <v>1.7483005326624637</v>
      </c>
      <c r="F10" s="37">
        <f>'R1'!F32</f>
        <v>2.8430632923186248</v>
      </c>
      <c r="G10" s="37">
        <f>'R1'!G32</f>
        <v>5.7130131213015884</v>
      </c>
      <c r="H10" s="37">
        <f>'R1'!H32</f>
        <v>4.3698787375399615</v>
      </c>
      <c r="I10" s="37">
        <f>'R1'!I32</f>
        <v>0.28284124802342203</v>
      </c>
      <c r="J10" s="37">
        <f>'R1'!J32</f>
        <v>0.32779565808057237</v>
      </c>
      <c r="K10" s="37">
        <f>'R1'!K32</f>
        <v>0.15237189580281063</v>
      </c>
      <c r="L10" s="37">
        <f>'R1'!L32</f>
        <v>0.54761821653424791</v>
      </c>
      <c r="M10" s="37">
        <f>'R1'!M32</f>
        <v>0.20445943931066143</v>
      </c>
      <c r="N10"/>
      <c r="O10" s="37">
        <f>'R1'!O32</f>
        <v>0.27050417602142457</v>
      </c>
      <c r="P10" s="37">
        <f>'R1'!P32</f>
        <v>0.19051949673278104</v>
      </c>
      <c r="Q10" s="37">
        <f>'R1'!Q32</f>
        <v>0.19365695416046216</v>
      </c>
      <c r="R10" s="37">
        <f>'R1'!R32</f>
        <v>0.19927418893648235</v>
      </c>
      <c r="S10" s="37">
        <f>'R1'!S32</f>
        <v>0.10805360254371248</v>
      </c>
      <c r="T10" s="37">
        <f>'R1'!T32</f>
        <v>0.17708916636938538</v>
      </c>
      <c r="U10" s="37">
        <f>'R1'!U32</f>
        <v>2.3526258663329028E-2</v>
      </c>
      <c r="V10" s="37">
        <f>'R1'!V32</f>
        <v>1.5711725523867567E-2</v>
      </c>
    </row>
    <row r="11" spans="1:22" s="1" customFormat="1" x14ac:dyDescent="0.35">
      <c r="A11" s="145"/>
      <c r="B11" s="37">
        <f>'R1'!B33</f>
        <v>0.10975350788539996</v>
      </c>
      <c r="C11" s="37">
        <f>'R1'!C33</f>
        <v>5.300757684288674E-2</v>
      </c>
      <c r="D11" s="37">
        <f>'R1'!D33</f>
        <v>3.3433867639997249E-2</v>
      </c>
      <c r="E11" s="37">
        <f>'R1'!E33</f>
        <v>0.53389534432135255</v>
      </c>
      <c r="F11" s="37">
        <f>'R1'!F33</f>
        <v>1.7581535146598641</v>
      </c>
      <c r="G11" s="37">
        <f>'R1'!G33</f>
        <v>3.3292671274110948</v>
      </c>
      <c r="H11" s="37">
        <f>'R1'!H33</f>
        <v>3.9427719499266467</v>
      </c>
      <c r="I11" s="37">
        <f>'R1'!I33</f>
        <v>8.6507571878839701E-2</v>
      </c>
      <c r="J11" s="37">
        <f>'R1'!J33</f>
        <v>9.3488324808424852E-2</v>
      </c>
      <c r="K11" s="37">
        <f>'R1'!K33</f>
        <v>2.1724287123535992E-2</v>
      </c>
      <c r="L11" s="37">
        <f>'R1'!L33</f>
        <v>0.12220270895010495</v>
      </c>
      <c r="M11" s="37">
        <f>'R1'!M33</f>
        <v>6.1527229280528093E-3</v>
      </c>
      <c r="N11"/>
      <c r="O11" s="37">
        <f>'R1'!O33</f>
        <v>0.76593493917784505</v>
      </c>
      <c r="P11" s="37" t="str">
        <f>'R1'!P33</f>
        <v/>
      </c>
      <c r="Q11" s="37">
        <f>'R1'!Q33</f>
        <v>1.0778765540780366E-2</v>
      </c>
      <c r="R11" s="37">
        <f>'R1'!R33</f>
        <v>0.57581436314892731</v>
      </c>
      <c r="S11" s="37">
        <f>'R1'!S33</f>
        <v>3.8118849888250539E-2</v>
      </c>
      <c r="T11" s="37">
        <f>'R1'!T33</f>
        <v>0.14771566459627719</v>
      </c>
      <c r="U11" s="37">
        <f>'R1'!U33</f>
        <v>0.31364798922626591</v>
      </c>
      <c r="V11" s="37">
        <f>'R1'!V33</f>
        <v>0.23368918587517026</v>
      </c>
    </row>
    <row r="12" spans="1:22" s="1" customFormat="1" x14ac:dyDescent="0.35">
      <c r="A12" s="145"/>
      <c r="B12" s="37">
        <f>'R1'!B34</f>
        <v>2.897242474111596E-2</v>
      </c>
      <c r="C12" s="37">
        <f>'R1'!C34</f>
        <v>0.23268074308684572</v>
      </c>
      <c r="D12" s="37">
        <f>'R1'!D34</f>
        <v>0.95954229779134048</v>
      </c>
      <c r="E12" s="37">
        <f>'R1'!E34</f>
        <v>1.0068679500143374</v>
      </c>
      <c r="F12" s="37">
        <f>'R1'!F34</f>
        <v>1.9044043136805138</v>
      </c>
      <c r="G12" s="37">
        <f>'R1'!G34</f>
        <v>5.6815752947329932</v>
      </c>
      <c r="H12" s="37">
        <f>'R1'!H34</f>
        <v>4.4491927987804889</v>
      </c>
      <c r="I12" s="37">
        <f>'R1'!I34</f>
        <v>5.5558513019482468E-2</v>
      </c>
      <c r="J12" s="37">
        <f>'R1'!J34</f>
        <v>2.1318897435285786E-3</v>
      </c>
      <c r="K12" s="37">
        <f>'R1'!K34</f>
        <v>0.11245251192685304</v>
      </c>
      <c r="L12" s="37">
        <f>'R1'!L34</f>
        <v>2.3675045304229373E-2</v>
      </c>
      <c r="M12" s="37">
        <f>'R1'!M34</f>
        <v>1.4593310000964508E-2</v>
      </c>
      <c r="N12"/>
      <c r="O12" s="37">
        <f>'R1'!O34</f>
        <v>0.56710423505989183</v>
      </c>
      <c r="P12" s="37" t="str">
        <f>'R1'!P34</f>
        <v/>
      </c>
      <c r="Q12" s="37">
        <f>'R1'!Q34</f>
        <v>3.1361636308037406E-2</v>
      </c>
      <c r="R12" s="37">
        <f>'R1'!R34</f>
        <v>0.2681854045067168</v>
      </c>
      <c r="S12" s="37">
        <f>'R1'!S34</f>
        <v>4.3777054898721537E-2</v>
      </c>
      <c r="T12" s="37">
        <f>'R1'!T34</f>
        <v>0.11976390183621673</v>
      </c>
      <c r="U12" s="37">
        <f>'R1'!U34</f>
        <v>3.793843710145834E-2</v>
      </c>
      <c r="V12" s="37">
        <f>'R1'!V34</f>
        <v>0.12723989145942668</v>
      </c>
    </row>
    <row r="13" spans="1:22" s="1" customFormat="1" x14ac:dyDescent="0.35">
      <c r="A13" s="145"/>
      <c r="B13" s="37">
        <f>'R1'!B35</f>
        <v>1.9544958161169624E-2</v>
      </c>
      <c r="C13" s="37">
        <f>'R1'!C35</f>
        <v>4.4874625916377683E-2</v>
      </c>
      <c r="D13" s="37">
        <f>'R1'!D35</f>
        <v>1.6642504560746301</v>
      </c>
      <c r="E13" s="37">
        <f>'R1'!E35</f>
        <v>0.95581256890422994</v>
      </c>
      <c r="F13" s="37">
        <f>'R1'!F35</f>
        <v>4.2802595841709881</v>
      </c>
      <c r="G13" s="37">
        <f>'R1'!G35</f>
        <v>3.1896707569965099</v>
      </c>
      <c r="H13" s="37">
        <f>'R1'!H35</f>
        <v>6.6101369075190846</v>
      </c>
      <c r="I13" s="37">
        <f>'R1'!I35</f>
        <v>0.16492675694583614</v>
      </c>
      <c r="J13" s="37">
        <f>'R1'!J35</f>
        <v>4.0912732367379195E-3</v>
      </c>
      <c r="K13" s="37">
        <f>'R1'!K35</f>
        <v>2.1169392018342444E-2</v>
      </c>
      <c r="L13" s="37">
        <f>'R1'!L35</f>
        <v>8.3436960623157266E-2</v>
      </c>
      <c r="M13" s="37">
        <f>'R1'!M35</f>
        <v>6.4529556812125827E-2</v>
      </c>
      <c r="N13"/>
      <c r="O13" s="37">
        <f>'R1'!O35</f>
        <v>0.33720299893131478</v>
      </c>
      <c r="P13" s="37" t="str">
        <f>'R1'!P35</f>
        <v/>
      </c>
      <c r="Q13" s="37">
        <f>'R1'!Q35</f>
        <v>1.6873267609350432E-2</v>
      </c>
      <c r="R13" s="37">
        <f>'R1'!R35</f>
        <v>0.90614945698940741</v>
      </c>
      <c r="S13" s="37">
        <f>'R1'!S35</f>
        <v>2.5604240203632847E-2</v>
      </c>
      <c r="T13" s="37">
        <f>'R1'!T35</f>
        <v>0.10278281782041677</v>
      </c>
      <c r="U13" s="37">
        <f>'R1'!U35</f>
        <v>2.4403884211828153E-2</v>
      </c>
      <c r="V13" s="37">
        <f>'R1'!V35</f>
        <v>9.5343485775399653E-2</v>
      </c>
    </row>
    <row r="14" spans="1:22" s="1" customFormat="1" x14ac:dyDescent="0.35">
      <c r="A14" s="145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1.8746592046931763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35">
      <c r="A15" s="145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0.39875322904521876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35">
      <c r="A16" s="145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2.4525156105802575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35">
      <c r="A17" s="145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0.96471461019674565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35">
      <c r="A18" s="145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1.1310135106086627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35">
      <c r="A19" s="145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0.76410924802863311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35">
      <c r="A20" s="145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7.2840764197298095E-3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35">
      <c r="A21" s="146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>
        <f>'R1'!O43</f>
        <v>0.51967867296691839</v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35">
      <c r="A22" s="24" t="s">
        <v>4</v>
      </c>
      <c r="B22" s="38">
        <f>'R2'!B28</f>
        <v>0.42512373385855307</v>
      </c>
      <c r="C22" s="38">
        <f>'R2'!C28</f>
        <v>0.91875457025613361</v>
      </c>
      <c r="D22" s="38">
        <f>'R2'!D28</f>
        <v>0.91875457025613361</v>
      </c>
      <c r="E22" s="38">
        <f>'R2'!E28</f>
        <v>3.8195498671842456</v>
      </c>
      <c r="F22" s="38">
        <f>'R2'!F28</f>
        <v>3.6820891106281159</v>
      </c>
      <c r="G22" s="38">
        <f>'R2'!G28</f>
        <v>4.4963666756819958</v>
      </c>
      <c r="H22" s="38">
        <f>'R2'!H28</f>
        <v>3.7580168328045356</v>
      </c>
      <c r="I22" s="38">
        <f>'R2'!I28</f>
        <v>0.38968834762273269</v>
      </c>
      <c r="J22" s="38">
        <f>'R2'!J28</f>
        <v>0.11913196576080771</v>
      </c>
      <c r="K22" s="38">
        <f>'R2'!K28</f>
        <v>9.8219075218666477E-2</v>
      </c>
      <c r="L22" s="38">
        <f>'R2'!L28</f>
        <v>8.8982755538905459E-2</v>
      </c>
      <c r="M22" s="38">
        <f>'R2'!M28</f>
        <v>0.109098787128283</v>
      </c>
      <c r="O22" s="38">
        <f>'R2'!O28</f>
        <v>2.7574796968326831</v>
      </c>
      <c r="P22" s="38">
        <f>'R2'!P28</f>
        <v>1.3557597815649203</v>
      </c>
      <c r="Q22" s="38">
        <f>'R2'!Q28</f>
        <v>0.1347405698582862</v>
      </c>
      <c r="R22" s="38">
        <f>'R2'!R28</f>
        <v>0.12954339367545598</v>
      </c>
      <c r="S22" s="38">
        <f>'R2'!S28</f>
        <v>0.20239130774353184</v>
      </c>
      <c r="T22" s="38">
        <f>'R2'!T28</f>
        <v>0.45321559914786541</v>
      </c>
      <c r="U22" s="38">
        <f>'R2'!U28</f>
        <v>4.0870585222722883E-2</v>
      </c>
      <c r="V22" s="38">
        <f>'R2'!V28</f>
        <v>0.13818258658152263</v>
      </c>
    </row>
    <row r="23" spans="1:22" x14ac:dyDescent="0.35">
      <c r="A23" s="144"/>
      <c r="B23" s="38">
        <f>'R2'!B29</f>
        <v>0.40486023161882639</v>
      </c>
      <c r="C23" s="38">
        <f>'R2'!C29</f>
        <v>2.3384224398327023</v>
      </c>
      <c r="D23" s="38">
        <f>'R2'!D29</f>
        <v>2.3384224398327023</v>
      </c>
      <c r="E23" s="38">
        <f>'R2'!E29</f>
        <v>1.877114582787258</v>
      </c>
      <c r="F23" s="38">
        <f>'R2'!F29</f>
        <v>3.1749515149811907</v>
      </c>
      <c r="G23" s="38">
        <f>'R2'!G29</f>
        <v>5.5035456827692224</v>
      </c>
      <c r="H23" s="38">
        <f>'R2'!H29</f>
        <v>3.2423952765150692</v>
      </c>
      <c r="I23" s="38">
        <f>'R2'!I29</f>
        <v>0.40093026814724181</v>
      </c>
      <c r="J23" s="38">
        <f>'R2'!J29</f>
        <v>9.0609072219773185E-2</v>
      </c>
      <c r="K23" s="38">
        <f>'R2'!K29</f>
        <v>0.11289783805762785</v>
      </c>
      <c r="L23" s="38">
        <f>'R2'!L29</f>
        <v>0.12672075368368588</v>
      </c>
      <c r="M23" s="38">
        <f>'R2'!M29</f>
        <v>0.13091357712150678</v>
      </c>
      <c r="O23" s="38">
        <f>'R2'!O29</f>
        <v>0.58450432090622528</v>
      </c>
      <c r="P23" s="38">
        <f>'R2'!P29</f>
        <v>1.8590186403872242</v>
      </c>
      <c r="Q23" s="38">
        <f>'R2'!Q29</f>
        <v>0.53653651659512125</v>
      </c>
      <c r="R23" s="38">
        <f>'R2'!R29</f>
        <v>7.6404285225442681E-2</v>
      </c>
      <c r="S23" s="38">
        <f>'R2'!S29</f>
        <v>0.33529547992431263</v>
      </c>
      <c r="T23" s="38">
        <f>'R2'!T29</f>
        <v>0.43129680353807964</v>
      </c>
      <c r="U23" s="38">
        <f>'R2'!U29</f>
        <v>0.20391982809837858</v>
      </c>
      <c r="V23" s="38">
        <f>'R2'!V29</f>
        <v>0.18513879397531943</v>
      </c>
    </row>
    <row r="24" spans="1:22" x14ac:dyDescent="0.35">
      <c r="A24" s="145"/>
      <c r="B24" s="38">
        <f>'R2'!B30</f>
        <v>0.47883927144712402</v>
      </c>
      <c r="C24" s="38">
        <f>'R2'!C30</f>
        <v>0.75612548937375323</v>
      </c>
      <c r="D24" s="38">
        <f>'R2'!D30</f>
        <v>0.75612548937375323</v>
      </c>
      <c r="E24" s="38">
        <f>'R2'!E30</f>
        <v>3.4291935033874754</v>
      </c>
      <c r="F24" s="38">
        <f>'R2'!F30</f>
        <v>3.7065635467364082</v>
      </c>
      <c r="G24" s="38">
        <f>'R2'!G30</f>
        <v>3.2402184027395649</v>
      </c>
      <c r="H24" s="38">
        <f>'R2'!H30</f>
        <v>2.9328155733663737</v>
      </c>
      <c r="I24" s="38">
        <f>'R2'!I30</f>
        <v>2.4667441555942134E-2</v>
      </c>
      <c r="J24" s="38">
        <f>'R2'!J30</f>
        <v>8.671222496440735E-2</v>
      </c>
      <c r="K24" s="38">
        <f>'R2'!K30</f>
        <v>3.5236171497629455E-2</v>
      </c>
      <c r="L24" s="38">
        <f>'R2'!L30</f>
        <v>0.12730132234927086</v>
      </c>
      <c r="M24" s="38">
        <f>'R2'!M30</f>
        <v>1.1111007982269371E-2</v>
      </c>
      <c r="O24" s="38">
        <f>'R2'!O30</f>
        <v>0.51929849117150462</v>
      </c>
      <c r="P24" s="38">
        <f>'R2'!P30</f>
        <v>3.8091451660010165</v>
      </c>
      <c r="Q24" s="38">
        <f>'R2'!Q30</f>
        <v>4.5302466346372916E-2</v>
      </c>
      <c r="R24" s="38">
        <f>'R2'!R30</f>
        <v>0.30888995445776446</v>
      </c>
      <c r="S24" s="38">
        <f>'R2'!S30</f>
        <v>0.15598824464876387</v>
      </c>
      <c r="T24" s="38">
        <f>'R2'!T30</f>
        <v>0.54807700050647756</v>
      </c>
      <c r="U24" s="38">
        <f>'R2'!U30</f>
        <v>0.20992783413768978</v>
      </c>
      <c r="V24" s="38">
        <f>'R2'!V30</f>
        <v>0.25358846057684242</v>
      </c>
    </row>
    <row r="25" spans="1:22" x14ac:dyDescent="0.35">
      <c r="A25" s="145"/>
      <c r="B25" s="38">
        <f>'R2'!B31</f>
        <v>0.56929983813479124</v>
      </c>
      <c r="C25" s="38">
        <f>'R2'!C31</f>
        <v>2.1715870820496623</v>
      </c>
      <c r="D25" s="38">
        <f>'R2'!D31</f>
        <v>2.1715870820496623</v>
      </c>
      <c r="E25" s="38">
        <f>'R2'!E31</f>
        <v>3.1283497545891104</v>
      </c>
      <c r="F25" s="38">
        <f>'R2'!F31</f>
        <v>2.6116343282826682</v>
      </c>
      <c r="G25" s="38">
        <f>'R2'!G31</f>
        <v>2.7891915785074075</v>
      </c>
      <c r="H25" s="38">
        <f>'R2'!H31</f>
        <v>4.1706402299222667</v>
      </c>
      <c r="I25" s="38">
        <f>'R2'!I31</f>
        <v>0.19796615335130124</v>
      </c>
      <c r="J25" s="38">
        <f>'R2'!J31</f>
        <v>3.3328366978902353E-2</v>
      </c>
      <c r="K25" s="38">
        <f>'R2'!K31</f>
        <v>8.315430148440528E-2</v>
      </c>
      <c r="L25" s="38">
        <f>'R2'!L31</f>
        <v>0.12259778476445138</v>
      </c>
      <c r="M25" s="38">
        <f>'R2'!M31</f>
        <v>0.50662895126344021</v>
      </c>
      <c r="O25" s="38">
        <f>'R2'!O31</f>
        <v>2.4122058870089579E-2</v>
      </c>
      <c r="P25" s="38">
        <f>'R2'!P31</f>
        <v>2.6111525908248612</v>
      </c>
      <c r="Q25" s="38">
        <f>'R2'!Q31</f>
        <v>2.6742896919276667E-2</v>
      </c>
      <c r="R25" s="38">
        <f>'R2'!R31</f>
        <v>0.19415882336790172</v>
      </c>
      <c r="S25" s="38">
        <f>'R2'!S31</f>
        <v>0.29158207451556134</v>
      </c>
      <c r="T25" s="38">
        <f>'R2'!T31</f>
        <v>5.4710576397768704E-2</v>
      </c>
      <c r="U25" s="38">
        <f>'R2'!U31</f>
        <v>9.0777757946137447E-2</v>
      </c>
      <c r="V25" s="38">
        <f>'R2'!V31</f>
        <v>0.27245694220835426</v>
      </c>
    </row>
    <row r="26" spans="1:22" x14ac:dyDescent="0.35">
      <c r="A26" s="145"/>
      <c r="B26" s="38">
        <f>'R2'!B32</f>
        <v>0.47437841363428257</v>
      </c>
      <c r="C26" s="38">
        <f>'R2'!C32</f>
        <v>1.8040638318948423</v>
      </c>
      <c r="D26" s="38">
        <f>'R2'!D32</f>
        <v>1.8040638318948423</v>
      </c>
      <c r="E26" s="38">
        <f>'R2'!E32</f>
        <v>2.9332828224795851</v>
      </c>
      <c r="F26" s="38">
        <f>'R2'!F32</f>
        <v>3.8647685081083147</v>
      </c>
      <c r="G26" s="38">
        <f>'R2'!G32</f>
        <v>3.2835887448459249</v>
      </c>
      <c r="H26" s="38">
        <f>'R2'!H32</f>
        <v>4.0315883426650023</v>
      </c>
      <c r="I26" s="38">
        <f>'R2'!I32</f>
        <v>0.71872951964960718</v>
      </c>
      <c r="J26" s="38">
        <f>'R2'!J32</f>
        <v>3.5243415669927308E-2</v>
      </c>
      <c r="K26" s="38">
        <f>'R2'!K32</f>
        <v>0.61621154561304403</v>
      </c>
      <c r="L26" s="38">
        <f>'R2'!L32</f>
        <v>5.9163155156555458E-2</v>
      </c>
      <c r="M26" s="38">
        <f>'R2'!M32</f>
        <v>2.0398554308993767E-2</v>
      </c>
      <c r="O26" s="38">
        <f>'R2'!O32</f>
        <v>0.10896218273638066</v>
      </c>
      <c r="P26" s="38">
        <f>'R2'!P32</f>
        <v>3.3986101602685803</v>
      </c>
      <c r="Q26" s="38">
        <f>'R2'!Q32</f>
        <v>2.6623368076362112E-2</v>
      </c>
      <c r="R26" s="38">
        <f>'R2'!R32</f>
        <v>4.0543562587562719E-2</v>
      </c>
      <c r="S26" s="38">
        <f>'R2'!S32</f>
        <v>0.1764773511114808</v>
      </c>
      <c r="T26" s="38">
        <f>'R2'!T32</f>
        <v>0.11487187500879245</v>
      </c>
      <c r="U26" s="38">
        <f>'R2'!U32</f>
        <v>2.1682842569227201E-2</v>
      </c>
      <c r="V26" s="38">
        <f>'R2'!V32</f>
        <v>6.8855340250202721E-2</v>
      </c>
    </row>
    <row r="27" spans="1:22" x14ac:dyDescent="0.35">
      <c r="A27" s="145"/>
      <c r="B27" s="38">
        <f>'R2'!B33</f>
        <v>0.22464850968780301</v>
      </c>
      <c r="C27" s="38">
        <f>'R2'!C33</f>
        <v>2.5563452529828283</v>
      </c>
      <c r="D27" s="38">
        <f>'R2'!D33</f>
        <v>2.5563452529828283</v>
      </c>
      <c r="E27" s="38">
        <f>'R2'!E33</f>
        <v>3.0643930271348907</v>
      </c>
      <c r="F27" s="38">
        <f>'R2'!F33</f>
        <v>3.4626988351467967</v>
      </c>
      <c r="G27" s="38">
        <f>'R2'!G33</f>
        <v>5.6000437496262698</v>
      </c>
      <c r="H27" s="38">
        <f>'R2'!H33</f>
        <v>4.6221161928368915</v>
      </c>
      <c r="I27" s="38">
        <f>'R2'!I33</f>
        <v>0.15773098552727566</v>
      </c>
      <c r="J27" s="38">
        <f>'R2'!J33</f>
        <v>2.4942720103260502E-2</v>
      </c>
      <c r="K27" s="38">
        <f>'R2'!K33</f>
        <v>1.9148934587614335E-2</v>
      </c>
      <c r="L27" s="38">
        <f>'R2'!L33</f>
        <v>0.18028882062190765</v>
      </c>
      <c r="M27" s="38">
        <f>'R2'!M33</f>
        <v>4.3456237292177555E-2</v>
      </c>
      <c r="O27" s="38">
        <f>'R2'!O33</f>
        <v>2.7110709418882522</v>
      </c>
      <c r="P27" s="38">
        <f>'R2'!P33</f>
        <v>2.4738620723177314</v>
      </c>
      <c r="Q27" s="38">
        <f>'R2'!Q33</f>
        <v>7.0663278679395147E-2</v>
      </c>
      <c r="R27" s="38">
        <f>'R2'!R33</f>
        <v>1.186191818502955</v>
      </c>
      <c r="S27" s="38">
        <f>'R2'!S33</f>
        <v>0.21452788354682567</v>
      </c>
      <c r="T27" s="38">
        <f>'R2'!T33</f>
        <v>4.0820910898394756E-3</v>
      </c>
      <c r="U27" s="38">
        <f>'R2'!U33</f>
        <v>6.1049227158389008E-2</v>
      </c>
      <c r="V27" s="38">
        <f>'R2'!V33</f>
        <v>9.215052859658035E-2</v>
      </c>
    </row>
    <row r="28" spans="1:22" x14ac:dyDescent="0.35">
      <c r="A28" s="145"/>
      <c r="B28" s="38">
        <f>'R2'!B34</f>
        <v>0.2858902248529635</v>
      </c>
      <c r="C28" s="38">
        <f>'R2'!C34</f>
        <v>2.5030943773030767</v>
      </c>
      <c r="D28" s="38">
        <f>'R2'!D34</f>
        <v>2.5030943773030767</v>
      </c>
      <c r="E28" s="38">
        <f>'R2'!E34</f>
        <v>2.8779621832861615</v>
      </c>
      <c r="F28" s="38">
        <f>'R2'!F34</f>
        <v>2.8177977800298675</v>
      </c>
      <c r="G28" s="38">
        <f>'R2'!G34</f>
        <v>3.6850152387955695</v>
      </c>
      <c r="H28" s="38">
        <f>'R2'!H34</f>
        <v>3.1994994276942186</v>
      </c>
      <c r="I28" s="38">
        <f>'R2'!I34</f>
        <v>0.39876167342579205</v>
      </c>
      <c r="J28" s="38">
        <f>'R2'!J34</f>
        <v>9.3305974078087717E-2</v>
      </c>
      <c r="K28" s="38">
        <f>'R2'!K34</f>
        <v>3.4181626987413609E-2</v>
      </c>
      <c r="L28" s="38">
        <f>'R2'!L34</f>
        <v>3.6761069766327259E-2</v>
      </c>
      <c r="M28" s="38">
        <f>'R2'!M34</f>
        <v>7.1922212336586105E-2</v>
      </c>
      <c r="O28" s="38">
        <f>'R2'!O34</f>
        <v>0.83117666670213297</v>
      </c>
      <c r="P28" s="38">
        <f>'R2'!P34</f>
        <v>3.1970255428545022</v>
      </c>
      <c r="Q28" s="38">
        <f>'R2'!Q34</f>
        <v>0.32631063651146275</v>
      </c>
      <c r="R28" s="38">
        <f>'R2'!R34</f>
        <v>0.12913823746765468</v>
      </c>
      <c r="S28" s="38">
        <f>'R2'!S34</f>
        <v>0.47290939898045392</v>
      </c>
      <c r="T28" s="38">
        <f>'R2'!T34</f>
        <v>7.869913552122644E-2</v>
      </c>
      <c r="U28" s="38">
        <f>'R2'!U34</f>
        <v>2.1997446623305338E-2</v>
      </c>
      <c r="V28" s="38">
        <f>'R2'!V34</f>
        <v>9.4840703723475459E-2</v>
      </c>
    </row>
    <row r="29" spans="1:22" x14ac:dyDescent="0.35">
      <c r="A29" s="145"/>
      <c r="B29" s="38" t="str">
        <f>'R2'!B35</f>
        <v/>
      </c>
      <c r="C29" s="38">
        <f>'R2'!C35</f>
        <v>1.3177558188086331</v>
      </c>
      <c r="D29" s="38">
        <f>'R2'!D35</f>
        <v>1.3177558188086331</v>
      </c>
      <c r="E29" s="38" t="str">
        <f>'R2'!E35</f>
        <v/>
      </c>
      <c r="F29" s="38">
        <f>'R2'!F35</f>
        <v>2.1378447623680255</v>
      </c>
      <c r="G29" s="38">
        <f>'R2'!G35</f>
        <v>4.1164910768775815</v>
      </c>
      <c r="H29" s="38">
        <f>'R2'!H35</f>
        <v>2.7652909843332809</v>
      </c>
      <c r="I29" s="38">
        <f>'R2'!I35</f>
        <v>5.6307916389445024E-2</v>
      </c>
      <c r="J29" s="38">
        <f>'R2'!J35</f>
        <v>0.14649734405682122</v>
      </c>
      <c r="K29" s="38">
        <f>'R2'!K35</f>
        <v>0.84519000057144877</v>
      </c>
      <c r="L29" s="38">
        <f>'R2'!L35</f>
        <v>9.3175061535847967E-2</v>
      </c>
      <c r="M29" s="38">
        <f>'R2'!M35</f>
        <v>0.37353487828028009</v>
      </c>
      <c r="O29" s="38">
        <f>'R2'!O35</f>
        <v>1.4540616473241337</v>
      </c>
      <c r="P29" s="38">
        <f>'R2'!P35</f>
        <v>2.616220406788087</v>
      </c>
      <c r="Q29" s="38">
        <f>'R2'!Q35</f>
        <v>9.4078513309565764E-2</v>
      </c>
      <c r="R29" s="38">
        <f>'R2'!R35</f>
        <v>4.4793821962888038E-2</v>
      </c>
      <c r="S29" s="38">
        <f>'R2'!S35</f>
        <v>0.32729015209430801</v>
      </c>
      <c r="T29" s="38">
        <f>'R2'!T35</f>
        <v>7.3121122851880577E-2</v>
      </c>
      <c r="U29" s="38">
        <f>'R2'!U35</f>
        <v>0.65281841799760276</v>
      </c>
      <c r="V29" s="38">
        <f>'R2'!V35</f>
        <v>9.0316200682588596E-2</v>
      </c>
    </row>
    <row r="30" spans="1:22" x14ac:dyDescent="0.35">
      <c r="A30" s="145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0.52259458956702709</v>
      </c>
      <c r="P30" s="38" t="str">
        <f>'R2'!P36</f>
        <v/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35">
      <c r="A31" s="145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0.71430229549386293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35">
      <c r="A32" s="145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3.9788098905072462E-2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35">
      <c r="A33" s="145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2.1343204725451206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35">
      <c r="A34" s="145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0.85914175897623291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35">
      <c r="A35" s="145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0.29383759930458531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35">
      <c r="A36" s="145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1.4773454519711862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35">
      <c r="A37" s="146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>
        <f>'R2'!O43</f>
        <v>0.96799372680551055</v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35">
      <c r="A38" s="85" t="s">
        <v>16</v>
      </c>
      <c r="B38" s="86">
        <f>'R3'!B28</f>
        <v>0.19995828001390234</v>
      </c>
      <c r="C38" s="86">
        <f>'R3'!C28</f>
        <v>4.5415415963548478E-2</v>
      </c>
      <c r="D38" s="86">
        <f>'R3'!D28</f>
        <v>0.39060001315174436</v>
      </c>
      <c r="E38" s="86">
        <f>'R3'!E28</f>
        <v>2.302310395887726</v>
      </c>
      <c r="F38" s="86">
        <f>'R3'!F28</f>
        <v>5.077450104862109</v>
      </c>
      <c r="G38" s="86">
        <f>'R3'!G28</f>
        <v>7.8137195341176549</v>
      </c>
      <c r="H38" s="86">
        <f>'R3'!H28</f>
        <v>8.4707392695799424</v>
      </c>
      <c r="I38" s="86">
        <f>'R3'!I28</f>
        <v>1.0064562446884464E-2</v>
      </c>
      <c r="J38" s="86">
        <f>'R3'!J28</f>
        <v>7.5558631665340031E-3</v>
      </c>
      <c r="K38" s="86">
        <f>'R3'!K28</f>
        <v>4.1300683251722689E-2</v>
      </c>
      <c r="L38" s="86">
        <f>'R3'!L28</f>
        <v>6.6163141969521437E-3</v>
      </c>
      <c r="M38" s="86">
        <f>'R3'!M28</f>
        <v>3.054634174039314E-2</v>
      </c>
      <c r="N38"/>
      <c r="O38" s="86">
        <f>'R3'!O28</f>
        <v>0.18768073032461433</v>
      </c>
      <c r="P38" s="86">
        <f>'R3'!P28</f>
        <v>5.8990371483394632</v>
      </c>
      <c r="Q38" s="86">
        <f>'R3'!Q28</f>
        <v>0.24076265881681699</v>
      </c>
      <c r="R38" s="86">
        <f>'R3'!R28</f>
        <v>0.26101666866315432</v>
      </c>
      <c r="S38" s="86">
        <f>'R3'!S28</f>
        <v>0.11508180732791577</v>
      </c>
      <c r="T38" s="86">
        <f>'R3'!T28</f>
        <v>0.78665355158973937</v>
      </c>
      <c r="U38" s="86">
        <f>'R3'!U28</f>
        <v>4.9620091724115231E-2</v>
      </c>
      <c r="V38" s="86">
        <f>'R3'!V28</f>
        <v>6.8714548021216529E-2</v>
      </c>
    </row>
    <row r="39" spans="1:22" s="1" customFormat="1" x14ac:dyDescent="0.35">
      <c r="A39" s="144"/>
      <c r="B39" s="86">
        <f>'R3'!B29</f>
        <v>2.9027663068486375E-2</v>
      </c>
      <c r="C39" s="86">
        <f>'R3'!C29</f>
        <v>0.51737182852681296</v>
      </c>
      <c r="D39" s="86">
        <f>'R3'!D29</f>
        <v>1.7293874109982392</v>
      </c>
      <c r="E39" s="86">
        <f>'R3'!E29</f>
        <v>3.0755514329860794</v>
      </c>
      <c r="F39" s="86">
        <f>'R3'!F29</f>
        <v>3.4964078994909076</v>
      </c>
      <c r="G39" s="86">
        <f>'R3'!G29</f>
        <v>7.5550297374204902</v>
      </c>
      <c r="H39" s="86">
        <f>'R3'!H29</f>
        <v>5.1125317763048432</v>
      </c>
      <c r="I39" s="86">
        <f>'R3'!I29</f>
        <v>0.10602085400763012</v>
      </c>
      <c r="J39" s="86">
        <f>'R3'!J29</f>
        <v>4.4919111514740429E-2</v>
      </c>
      <c r="K39" s="86">
        <f>'R3'!K29</f>
        <v>0.14318092165580298</v>
      </c>
      <c r="L39" s="86">
        <f>'R3'!L29</f>
        <v>7.2842869251197429E-2</v>
      </c>
      <c r="M39" s="86">
        <f>'R3'!M29</f>
        <v>8.7946183644455125E-2</v>
      </c>
      <c r="N39"/>
      <c r="O39" s="86">
        <f>'R3'!O29</f>
        <v>0.145454733693758</v>
      </c>
      <c r="P39" s="86">
        <f>'R3'!P29</f>
        <v>3.1531813430616338</v>
      </c>
      <c r="Q39" s="86">
        <f>'R3'!Q29</f>
        <v>0.11005987926116315</v>
      </c>
      <c r="R39" s="86">
        <f>'R3'!R29</f>
        <v>2.9652734903621414E-2</v>
      </c>
      <c r="S39" s="86">
        <f>'R3'!S29</f>
        <v>0.65728697631933797</v>
      </c>
      <c r="T39" s="86">
        <f>'R3'!T29</f>
        <v>0.68439283467731593</v>
      </c>
      <c r="U39" s="86">
        <f>'R3'!U29</f>
        <v>2.923666741915782E-2</v>
      </c>
      <c r="V39" s="86">
        <f>'R3'!V29</f>
        <v>4.1099443768568444E-2</v>
      </c>
    </row>
    <row r="40" spans="1:22" s="1" customFormat="1" x14ac:dyDescent="0.35">
      <c r="A40" s="145"/>
      <c r="B40" s="86">
        <f>'R3'!B30</f>
        <v>0.19609914085785124</v>
      </c>
      <c r="C40" s="86">
        <f>'R3'!C30</f>
        <v>0.84374797537145796</v>
      </c>
      <c r="D40" s="86">
        <f>'R3'!D30</f>
        <v>3.7644550086185986</v>
      </c>
      <c r="E40" s="86">
        <f>'R3'!E30</f>
        <v>4.5045795328283633</v>
      </c>
      <c r="F40" s="86">
        <f>'R3'!F30</f>
        <v>3.3080315664512105</v>
      </c>
      <c r="G40" s="86">
        <f>'R3'!G30</f>
        <v>4.108736939957919</v>
      </c>
      <c r="H40" s="86">
        <f>'R3'!H30</f>
        <v>3.1440453293553485</v>
      </c>
      <c r="I40" s="86">
        <f>'R3'!I30</f>
        <v>1.6582521655285339E-2</v>
      </c>
      <c r="J40" s="86">
        <f>'R3'!J30</f>
        <v>0.24321312159078839</v>
      </c>
      <c r="K40" s="86">
        <f>'R3'!K30</f>
        <v>8.2694544913651843E-2</v>
      </c>
      <c r="L40" s="86">
        <f>'R3'!L30</f>
        <v>0.18306257536875639</v>
      </c>
      <c r="M40" s="86">
        <f>'R3'!M30</f>
        <v>0.13131620408951306</v>
      </c>
      <c r="N40"/>
      <c r="O40" s="86">
        <f>'R3'!O30</f>
        <v>0.24962496094312081</v>
      </c>
      <c r="P40" s="86">
        <f>'R3'!P30</f>
        <v>4.081711965636579</v>
      </c>
      <c r="Q40" s="86">
        <f>'R3'!Q30</f>
        <v>0.1759428389277721</v>
      </c>
      <c r="R40" s="86">
        <f>'R3'!R30</f>
        <v>1.503915070467386</v>
      </c>
      <c r="S40" s="86">
        <f>'R3'!S30</f>
        <v>0.18535838786467679</v>
      </c>
      <c r="T40" s="86">
        <f>'R3'!T30</f>
        <v>0.25139470366475053</v>
      </c>
      <c r="U40" s="86">
        <f>'R3'!U30</f>
        <v>0.17319342875438826</v>
      </c>
      <c r="V40" s="86">
        <f>'R3'!V30</f>
        <v>3.6946533791449736E-2</v>
      </c>
    </row>
    <row r="41" spans="1:22" s="1" customFormat="1" x14ac:dyDescent="0.35">
      <c r="A41" s="145"/>
      <c r="B41" s="86">
        <f>'R3'!B31</f>
        <v>0.14637681171142614</v>
      </c>
      <c r="C41" s="86">
        <f>'R3'!C31</f>
        <v>0.43080520301124797</v>
      </c>
      <c r="D41" s="86">
        <f>'R3'!D31</f>
        <v>1.5577307789399646</v>
      </c>
      <c r="E41" s="86">
        <f>'R3'!E31</f>
        <v>2.7343133297135029</v>
      </c>
      <c r="F41" s="86">
        <f>'R3'!F31</f>
        <v>3.3131447317112901</v>
      </c>
      <c r="G41" s="86">
        <f>'R3'!G31</f>
        <v>6.3515626270132142</v>
      </c>
      <c r="H41" s="86">
        <f>'R3'!H31</f>
        <v>7.5280138221112534</v>
      </c>
      <c r="I41" s="86">
        <f>'R3'!I31</f>
        <v>2.6487904318067093E-2</v>
      </c>
      <c r="J41" s="86">
        <f>'R3'!J31</f>
        <v>7.0653176611345486E-2</v>
      </c>
      <c r="K41" s="86">
        <f>'R3'!K31</f>
        <v>0.15740551187503027</v>
      </c>
      <c r="L41" s="86">
        <f>'R3'!L31</f>
        <v>0.11066812721667757</v>
      </c>
      <c r="M41" s="86">
        <f>'R3'!M31</f>
        <v>6.0824795551442691E-3</v>
      </c>
      <c r="N41"/>
      <c r="O41" s="86">
        <f>'R3'!O31</f>
        <v>1.2546434109962981</v>
      </c>
      <c r="P41" s="86">
        <f>'R3'!P31</f>
        <v>5.1071112517055406</v>
      </c>
      <c r="Q41" s="86">
        <f>'R3'!Q31</f>
        <v>0.12234260552879597</v>
      </c>
      <c r="R41" s="86">
        <f>'R3'!R31</f>
        <v>1.0102338527355668</v>
      </c>
      <c r="S41" s="86">
        <f>'R3'!S31</f>
        <v>0.15551088420083214</v>
      </c>
      <c r="T41" s="86">
        <f>'R3'!T31</f>
        <v>0.73432934475275735</v>
      </c>
      <c r="U41" s="86">
        <f>'R3'!U31</f>
        <v>0.14282244360542534</v>
      </c>
      <c r="V41" s="86">
        <f>'R3'!V31</f>
        <v>0.14382864102119655</v>
      </c>
    </row>
    <row r="42" spans="1:22" s="1" customFormat="1" x14ac:dyDescent="0.35">
      <c r="A42" s="145"/>
      <c r="B42" s="86">
        <f>'R3'!B32</f>
        <v>5.5573156820639409E-2</v>
      </c>
      <c r="C42" s="86">
        <f>'R3'!C32</f>
        <v>1.492976960424816</v>
      </c>
      <c r="D42" s="86">
        <f>'R3'!D32</f>
        <v>2.4511027284692961</v>
      </c>
      <c r="E42" s="86">
        <f>'R3'!E32</f>
        <v>3.056361857061892</v>
      </c>
      <c r="F42" s="86">
        <f>'R3'!F32</f>
        <v>4.3869637904006664</v>
      </c>
      <c r="G42" s="86">
        <f>'R3'!G32</f>
        <v>5.0876822590329072</v>
      </c>
      <c r="H42" s="86">
        <f>'R3'!H32</f>
        <v>5.4647396961623516</v>
      </c>
      <c r="I42" s="86">
        <f>'R3'!I32</f>
        <v>0.43364973281171759</v>
      </c>
      <c r="J42" s="86">
        <f>'R3'!J32</f>
        <v>4.7639403434934738E-2</v>
      </c>
      <c r="K42" s="86">
        <f>'R3'!K32</f>
        <v>0.41943355453230058</v>
      </c>
      <c r="L42" s="86">
        <f>'R3'!L32</f>
        <v>0.11153520408943218</v>
      </c>
      <c r="M42" s="86">
        <f>'R3'!M32</f>
        <v>0.11919006931681056</v>
      </c>
      <c r="N42"/>
      <c r="O42" s="86">
        <f>'R3'!O32</f>
        <v>0.70121218479187608</v>
      </c>
      <c r="P42" s="86">
        <f>'R3'!P32</f>
        <v>5.9118349441524041</v>
      </c>
      <c r="Q42" s="86">
        <f>'R3'!Q32</f>
        <v>4.0229778606641439E-2</v>
      </c>
      <c r="R42" s="86">
        <f>'R3'!R32</f>
        <v>0.62983687550143053</v>
      </c>
      <c r="S42" s="86">
        <f>'R3'!S32</f>
        <v>0.10796789453756939</v>
      </c>
      <c r="T42" s="86">
        <f>'R3'!T32</f>
        <v>0.46011304838264683</v>
      </c>
      <c r="U42" s="86">
        <f>'R3'!U32</f>
        <v>2.3579314360580549E-3</v>
      </c>
      <c r="V42" s="86">
        <f>'R3'!V32</f>
        <v>5.5809985279914175E-2</v>
      </c>
    </row>
    <row r="43" spans="1:22" s="1" customFormat="1" x14ac:dyDescent="0.35">
      <c r="A43" s="145"/>
      <c r="B43" s="86">
        <f>'R3'!B33</f>
        <v>3.7756668302411501E-3</v>
      </c>
      <c r="C43" s="86">
        <f>'R3'!C33</f>
        <v>0.1527232967621554</v>
      </c>
      <c r="D43" s="86">
        <f>'R3'!D33</f>
        <v>4.6055370461424827E-2</v>
      </c>
      <c r="E43" s="86">
        <f>'R3'!E33</f>
        <v>3.5802205853270372</v>
      </c>
      <c r="F43" s="86">
        <f>'R3'!F33</f>
        <v>2.8778870242512182</v>
      </c>
      <c r="G43" s="86">
        <f>'R3'!G33</f>
        <v>4.1204140065592103</v>
      </c>
      <c r="H43" s="86">
        <f>'R3'!H33</f>
        <v>4.7747969224271127</v>
      </c>
      <c r="I43" s="86">
        <f>'R3'!I33</f>
        <v>5.0419873078387391E-2</v>
      </c>
      <c r="J43" s="86">
        <f>'R3'!J33</f>
        <v>0.11145496712508773</v>
      </c>
      <c r="K43" s="86">
        <f>'R3'!K33</f>
        <v>1.1167820706620738E-2</v>
      </c>
      <c r="L43" s="86">
        <f>'R3'!L33</f>
        <v>9.4828444553871558E-3</v>
      </c>
      <c r="M43" s="86">
        <f>'R3'!M33</f>
        <v>1.4443300654295237E-2</v>
      </c>
      <c r="N43"/>
      <c r="O43" s="86">
        <f>'R3'!O33</f>
        <v>2.3175690076313278</v>
      </c>
      <c r="P43" s="86">
        <f>'R3'!P33</f>
        <v>5.5025494243927975</v>
      </c>
      <c r="Q43" s="86">
        <f>'R3'!Q33</f>
        <v>4.3996386424779182E-2</v>
      </c>
      <c r="R43" s="86">
        <f>'R3'!R33</f>
        <v>8.0416203369645139E-2</v>
      </c>
      <c r="S43" s="86">
        <f>'R3'!S33</f>
        <v>0.12884050549611073</v>
      </c>
      <c r="T43" s="86">
        <f>'R3'!T33</f>
        <v>0.93156345041270672</v>
      </c>
      <c r="U43" s="86">
        <f>'R3'!U33</f>
        <v>0.17208822927777268</v>
      </c>
      <c r="V43" s="86">
        <f>'R3'!V33</f>
        <v>2.6162426954637562E-2</v>
      </c>
    </row>
    <row r="44" spans="1:22" s="1" customFormat="1" x14ac:dyDescent="0.35">
      <c r="A44" s="145"/>
      <c r="B44" s="86">
        <f>'R3'!B34</f>
        <v>0.14498301799208776</v>
      </c>
      <c r="C44" s="86">
        <f>'R3'!C34</f>
        <v>1.04997768005009</v>
      </c>
      <c r="D44" s="86">
        <f>'R3'!D34</f>
        <v>0.36112781141789796</v>
      </c>
      <c r="E44" s="86">
        <f>'R3'!E34</f>
        <v>1.2670639636623613</v>
      </c>
      <c r="F44" s="86">
        <f>'R3'!F34</f>
        <v>5.633147378236969</v>
      </c>
      <c r="G44" s="86">
        <f>'R3'!G34</f>
        <v>6.4915722473605317</v>
      </c>
      <c r="H44" s="86">
        <f>'R3'!H34</f>
        <v>6.3375075697347789</v>
      </c>
      <c r="I44" s="86">
        <f>'R3'!I34</f>
        <v>7.1126186457601923E-2</v>
      </c>
      <c r="J44" s="86">
        <f>'R3'!J34</f>
        <v>7.7301197350659559E-2</v>
      </c>
      <c r="K44" s="86">
        <f>'R3'!K34</f>
        <v>5.8230035656109874E-2</v>
      </c>
      <c r="L44" s="86">
        <f>'R3'!L34</f>
        <v>2.8526829113626622E-2</v>
      </c>
      <c r="M44" s="86">
        <f>'R3'!M34</f>
        <v>0.10280296349404155</v>
      </c>
      <c r="N44"/>
      <c r="O44" s="86">
        <f>'R3'!O34</f>
        <v>2.4191024152863063</v>
      </c>
      <c r="P44" s="86">
        <f>'R3'!P34</f>
        <v>3.4258343127716135</v>
      </c>
      <c r="Q44" s="86">
        <f>'R3'!Q34</f>
        <v>9.6229356068434038E-2</v>
      </c>
      <c r="R44" s="86">
        <f>'R3'!R34</f>
        <v>0.11025335387680019</v>
      </c>
      <c r="S44" s="86">
        <f>'R3'!S34</f>
        <v>8.8710376022606771E-2</v>
      </c>
      <c r="T44" s="86">
        <f>'R3'!T34</f>
        <v>0.31623652401176089</v>
      </c>
      <c r="U44" s="86">
        <f>'R3'!U34</f>
        <v>0.24593859008932753</v>
      </c>
      <c r="V44" s="86">
        <f>'R3'!V34</f>
        <v>3.7495251095998917E-2</v>
      </c>
    </row>
    <row r="45" spans="1:22" s="1" customFormat="1" x14ac:dyDescent="0.35">
      <c r="A45" s="145"/>
      <c r="B45" s="86">
        <f>'R3'!B35</f>
        <v>1.1602653287584244E-2</v>
      </c>
      <c r="C45" s="86">
        <f>'R3'!C35</f>
        <v>0.22768791606242922</v>
      </c>
      <c r="D45" s="86">
        <f>'R3'!D35</f>
        <v>2.1819348901299556</v>
      </c>
      <c r="E45" s="86">
        <f>'R3'!E35</f>
        <v>3.9326530392702512</v>
      </c>
      <c r="F45" s="86">
        <f>'R3'!F35</f>
        <v>3.955254627395957</v>
      </c>
      <c r="G45" s="86">
        <f>'R3'!G35</f>
        <v>4.1106665095359451</v>
      </c>
      <c r="H45" s="86">
        <f>'R3'!H35</f>
        <v>1.0573161269261421E-3</v>
      </c>
      <c r="I45" s="86">
        <f>'R3'!I35</f>
        <v>0.18229126519538064</v>
      </c>
      <c r="J45" s="86">
        <f>'R3'!J35</f>
        <v>4.3140309781007281E-2</v>
      </c>
      <c r="K45" s="86">
        <f>'R3'!K35</f>
        <v>8.9953401897652732E-2</v>
      </c>
      <c r="L45" s="86">
        <f>'R3'!L35</f>
        <v>1.890486411522287E-2</v>
      </c>
      <c r="M45" s="86">
        <f>'R3'!M35</f>
        <v>5.885251920207251E-2</v>
      </c>
      <c r="N45"/>
      <c r="O45" s="86">
        <f>'R3'!O35</f>
        <v>0.34508041854900673</v>
      </c>
      <c r="P45" s="86" t="str">
        <f>'R3'!P35</f>
        <v/>
      </c>
      <c r="Q45" s="86">
        <f>'R3'!Q35</f>
        <v>1.8561268727586528E-2</v>
      </c>
      <c r="R45" s="86">
        <f>'R3'!R35</f>
        <v>0.8446454646419882</v>
      </c>
      <c r="S45" s="86">
        <f>'R3'!S35</f>
        <v>1.241490372494445</v>
      </c>
      <c r="T45" s="86">
        <f>'R3'!T35</f>
        <v>0.32790129623948278</v>
      </c>
      <c r="U45" s="86">
        <f>'R3'!U35</f>
        <v>7.7959916945035818E-2</v>
      </c>
      <c r="V45" s="86">
        <f>'R3'!V35</f>
        <v>3.6993770068846063E-2</v>
      </c>
    </row>
    <row r="46" spans="1:22" s="1" customFormat="1" x14ac:dyDescent="0.35">
      <c r="A46" s="145"/>
      <c r="B46" s="86" t="str">
        <f>'R3'!B36</f>
        <v/>
      </c>
      <c r="C46" s="86" t="str">
        <f>'R3'!C36</f>
        <v/>
      </c>
      <c r="D46" s="86" t="str">
        <f>'R3'!D36</f>
        <v/>
      </c>
      <c r="E46" s="86" t="str">
        <f>'R3'!E36</f>
        <v/>
      </c>
      <c r="F46" s="86" t="str">
        <f>'R3'!F36</f>
        <v/>
      </c>
      <c r="G46" s="86" t="str">
        <f>'R3'!G36</f>
        <v/>
      </c>
      <c r="H46" s="86" t="str">
        <f>'R3'!H36</f>
        <v/>
      </c>
      <c r="I46" s="86" t="str">
        <f>'R3'!I36</f>
        <v/>
      </c>
      <c r="J46" s="86" t="str">
        <f>'R3'!J36</f>
        <v/>
      </c>
      <c r="K46" s="86" t="str">
        <f>'R3'!K36</f>
        <v/>
      </c>
      <c r="L46" s="86" t="str">
        <f>'R3'!L36</f>
        <v/>
      </c>
      <c r="M46" s="86" t="str">
        <f>'R3'!M36</f>
        <v/>
      </c>
      <c r="N46"/>
      <c r="O46" s="86">
        <f>'R3'!O36</f>
        <v>6.2417240464762908E-2</v>
      </c>
      <c r="P46" s="86" t="str">
        <f>'R3'!P36</f>
        <v/>
      </c>
      <c r="Q46" s="86" t="str">
        <f>'R3'!Q36</f>
        <v/>
      </c>
      <c r="R46" s="86" t="str">
        <f>'R3'!R36</f>
        <v/>
      </c>
      <c r="S46" s="86" t="str">
        <f>'R3'!S36</f>
        <v/>
      </c>
      <c r="T46" s="86" t="str">
        <f>'R3'!T36</f>
        <v/>
      </c>
      <c r="U46" s="86" t="str">
        <f>'R3'!U36</f>
        <v/>
      </c>
      <c r="V46" s="86" t="str">
        <f>'R3'!V36</f>
        <v/>
      </c>
    </row>
    <row r="47" spans="1:22" s="1" customFormat="1" x14ac:dyDescent="0.35">
      <c r="A47" s="145"/>
      <c r="B47" s="86" t="str">
        <f>'R3'!B37</f>
        <v/>
      </c>
      <c r="C47" s="86" t="str">
        <f>'R3'!C37</f>
        <v/>
      </c>
      <c r="D47" s="86" t="str">
        <f>'R3'!D37</f>
        <v/>
      </c>
      <c r="E47" s="86" t="str">
        <f>'R3'!E37</f>
        <v/>
      </c>
      <c r="F47" s="86" t="str">
        <f>'R3'!F37</f>
        <v/>
      </c>
      <c r="G47" s="86" t="str">
        <f>'R3'!G37</f>
        <v/>
      </c>
      <c r="H47" s="86" t="str">
        <f>'R3'!H37</f>
        <v/>
      </c>
      <c r="I47" s="86" t="str">
        <f>'R3'!I37</f>
        <v/>
      </c>
      <c r="J47" s="86" t="str">
        <f>'R3'!J37</f>
        <v/>
      </c>
      <c r="K47" s="86" t="str">
        <f>'R3'!K37</f>
        <v/>
      </c>
      <c r="L47" s="86" t="str">
        <f>'R3'!L37</f>
        <v/>
      </c>
      <c r="M47" s="86" t="str">
        <f>'R3'!M37</f>
        <v/>
      </c>
      <c r="N47"/>
      <c r="O47" s="86">
        <f>'R3'!O37</f>
        <v>1.2692471855792822</v>
      </c>
      <c r="P47" s="86" t="str">
        <f>'R3'!P37</f>
        <v/>
      </c>
      <c r="Q47" s="86" t="str">
        <f>'R3'!Q37</f>
        <v/>
      </c>
      <c r="R47" s="86" t="str">
        <f>'R3'!R37</f>
        <v/>
      </c>
      <c r="S47" s="86" t="str">
        <f>'R3'!S37</f>
        <v/>
      </c>
      <c r="T47" s="86" t="str">
        <f>'R3'!T37</f>
        <v/>
      </c>
      <c r="U47" s="86" t="str">
        <f>'R3'!U37</f>
        <v/>
      </c>
      <c r="V47" s="86" t="str">
        <f>'R3'!V37</f>
        <v/>
      </c>
    </row>
    <row r="48" spans="1:22" s="1" customFormat="1" x14ac:dyDescent="0.35">
      <c r="A48" s="145"/>
      <c r="B48" s="86" t="str">
        <f>'R3'!B38</f>
        <v/>
      </c>
      <c r="C48" s="86" t="str">
        <f>'R3'!C38</f>
        <v/>
      </c>
      <c r="D48" s="86" t="str">
        <f>'R3'!D38</f>
        <v/>
      </c>
      <c r="E48" s="86" t="str">
        <f>'R3'!E38</f>
        <v/>
      </c>
      <c r="F48" s="86" t="str">
        <f>'R3'!F38</f>
        <v/>
      </c>
      <c r="G48" s="86" t="str">
        <f>'R3'!G38</f>
        <v/>
      </c>
      <c r="H48" s="86" t="str">
        <f>'R3'!H38</f>
        <v/>
      </c>
      <c r="I48" s="86" t="str">
        <f>'R3'!I38</f>
        <v/>
      </c>
      <c r="J48" s="86" t="str">
        <f>'R3'!J38</f>
        <v/>
      </c>
      <c r="K48" s="86" t="str">
        <f>'R3'!K38</f>
        <v/>
      </c>
      <c r="L48" s="86" t="str">
        <f>'R3'!L38</f>
        <v/>
      </c>
      <c r="M48" s="86" t="str">
        <f>'R3'!M38</f>
        <v/>
      </c>
      <c r="N48"/>
      <c r="O48" s="86">
        <f>'R3'!O38</f>
        <v>0.24661348649103129</v>
      </c>
      <c r="P48" s="86" t="str">
        <f>'R3'!P38</f>
        <v/>
      </c>
      <c r="Q48" s="86" t="str">
        <f>'R3'!Q38</f>
        <v/>
      </c>
      <c r="R48" s="86" t="str">
        <f>'R3'!R38</f>
        <v/>
      </c>
      <c r="S48" s="86" t="str">
        <f>'R3'!S38</f>
        <v/>
      </c>
      <c r="T48" s="86" t="str">
        <f>'R3'!T38</f>
        <v/>
      </c>
      <c r="U48" s="86" t="str">
        <f>'R3'!U38</f>
        <v/>
      </c>
      <c r="V48" s="86" t="str">
        <f>'R3'!V38</f>
        <v/>
      </c>
    </row>
    <row r="49" spans="1:24" s="1" customFormat="1" x14ac:dyDescent="0.35">
      <c r="A49" s="145"/>
      <c r="B49" s="86" t="str">
        <f>'R3'!B39</f>
        <v/>
      </c>
      <c r="C49" s="86" t="str">
        <f>'R3'!C39</f>
        <v/>
      </c>
      <c r="D49" s="86" t="str">
        <f>'R3'!D39</f>
        <v/>
      </c>
      <c r="E49" s="86" t="str">
        <f>'R3'!E39</f>
        <v/>
      </c>
      <c r="F49" s="86" t="str">
        <f>'R3'!F39</f>
        <v/>
      </c>
      <c r="G49" s="86" t="str">
        <f>'R3'!G39</f>
        <v/>
      </c>
      <c r="H49" s="86" t="str">
        <f>'R3'!H39</f>
        <v/>
      </c>
      <c r="I49" s="86" t="str">
        <f>'R3'!I39</f>
        <v/>
      </c>
      <c r="J49" s="86" t="str">
        <f>'R3'!J39</f>
        <v/>
      </c>
      <c r="K49" s="86" t="str">
        <f>'R3'!K39</f>
        <v/>
      </c>
      <c r="L49" s="86" t="str">
        <f>'R3'!L39</f>
        <v/>
      </c>
      <c r="M49" s="86" t="str">
        <f>'R3'!M39</f>
        <v/>
      </c>
      <c r="N49"/>
      <c r="O49" s="86">
        <f>'R3'!O39</f>
        <v>0.99304373019706016</v>
      </c>
      <c r="P49" s="86" t="str">
        <f>'R3'!P39</f>
        <v/>
      </c>
      <c r="Q49" s="86" t="str">
        <f>'R3'!Q39</f>
        <v/>
      </c>
      <c r="R49" s="86" t="str">
        <f>'R3'!R39</f>
        <v/>
      </c>
      <c r="S49" s="86" t="str">
        <f>'R3'!S39</f>
        <v/>
      </c>
      <c r="T49" s="86" t="str">
        <f>'R3'!T39</f>
        <v/>
      </c>
      <c r="U49" s="86" t="str">
        <f>'R3'!U39</f>
        <v/>
      </c>
      <c r="V49" s="86" t="str">
        <f>'R3'!V39</f>
        <v/>
      </c>
    </row>
    <row r="50" spans="1:24" s="1" customFormat="1" x14ac:dyDescent="0.35">
      <c r="A50" s="145"/>
      <c r="B50" s="86" t="str">
        <f>'R3'!B40</f>
        <v/>
      </c>
      <c r="C50" s="86" t="str">
        <f>'R3'!C40</f>
        <v/>
      </c>
      <c r="D50" s="86" t="str">
        <f>'R3'!D40</f>
        <v/>
      </c>
      <c r="E50" s="86" t="str">
        <f>'R3'!E40</f>
        <v/>
      </c>
      <c r="F50" s="86" t="str">
        <f>'R3'!F40</f>
        <v/>
      </c>
      <c r="G50" s="86" t="str">
        <f>'R3'!G40</f>
        <v/>
      </c>
      <c r="H50" s="86" t="str">
        <f>'R3'!H40</f>
        <v/>
      </c>
      <c r="I50" s="86" t="str">
        <f>'R3'!I40</f>
        <v/>
      </c>
      <c r="J50" s="86" t="str">
        <f>'R3'!J40</f>
        <v/>
      </c>
      <c r="K50" s="86" t="str">
        <f>'R3'!K40</f>
        <v/>
      </c>
      <c r="L50" s="86" t="str">
        <f>'R3'!L40</f>
        <v/>
      </c>
      <c r="M50" s="86" t="str">
        <f>'R3'!M40</f>
        <v/>
      </c>
      <c r="N50"/>
      <c r="O50" s="86">
        <f>'R3'!O40</f>
        <v>2.291108280349571</v>
      </c>
      <c r="P50" s="86" t="str">
        <f>'R3'!P40</f>
        <v/>
      </c>
      <c r="Q50" s="86" t="str">
        <f>'R3'!Q40</f>
        <v/>
      </c>
      <c r="R50" s="86" t="str">
        <f>'R3'!R40</f>
        <v/>
      </c>
      <c r="S50" s="86" t="str">
        <f>'R3'!S40</f>
        <v/>
      </c>
      <c r="T50" s="86" t="str">
        <f>'R3'!T40</f>
        <v/>
      </c>
      <c r="U50" s="86" t="str">
        <f>'R3'!U40</f>
        <v/>
      </c>
      <c r="V50" s="86" t="str">
        <f>'R3'!V40</f>
        <v/>
      </c>
    </row>
    <row r="51" spans="1:24" s="1" customFormat="1" x14ac:dyDescent="0.35">
      <c r="A51" s="145"/>
      <c r="B51" s="86" t="str">
        <f>'R3'!B41</f>
        <v/>
      </c>
      <c r="C51" s="86" t="str">
        <f>'R3'!C41</f>
        <v/>
      </c>
      <c r="D51" s="86" t="str">
        <f>'R3'!D41</f>
        <v/>
      </c>
      <c r="E51" s="86" t="str">
        <f>'R3'!E41</f>
        <v/>
      </c>
      <c r="F51" s="86" t="str">
        <f>'R3'!F41</f>
        <v/>
      </c>
      <c r="G51" s="86" t="str">
        <f>'R3'!G41</f>
        <v/>
      </c>
      <c r="H51" s="86" t="str">
        <f>'R3'!H41</f>
        <v/>
      </c>
      <c r="I51" s="86" t="str">
        <f>'R3'!I41</f>
        <v/>
      </c>
      <c r="J51" s="86" t="str">
        <f>'R3'!J41</f>
        <v/>
      </c>
      <c r="K51" s="86" t="str">
        <f>'R3'!K41</f>
        <v/>
      </c>
      <c r="L51" s="86" t="str">
        <f>'R3'!L41</f>
        <v/>
      </c>
      <c r="M51" s="86" t="str">
        <f>'R3'!M41</f>
        <v/>
      </c>
      <c r="N51"/>
      <c r="O51" s="86">
        <f>'R3'!O41</f>
        <v>0.96365758907819621</v>
      </c>
      <c r="P51" s="86" t="str">
        <f>'R3'!P41</f>
        <v/>
      </c>
      <c r="Q51" s="86" t="str">
        <f>'R3'!Q41</f>
        <v/>
      </c>
      <c r="R51" s="86" t="str">
        <f>'R3'!R41</f>
        <v/>
      </c>
      <c r="S51" s="86" t="str">
        <f>'R3'!S41</f>
        <v/>
      </c>
      <c r="T51" s="86" t="str">
        <f>'R3'!T41</f>
        <v/>
      </c>
      <c r="U51" s="86" t="str">
        <f>'R3'!U41</f>
        <v/>
      </c>
      <c r="V51" s="86" t="str">
        <f>'R3'!V41</f>
        <v/>
      </c>
    </row>
    <row r="52" spans="1:24" s="1" customFormat="1" x14ac:dyDescent="0.35">
      <c r="A52" s="145"/>
      <c r="B52" s="86" t="str">
        <f>'R3'!B42</f>
        <v/>
      </c>
      <c r="C52" s="86" t="str">
        <f>'R3'!C42</f>
        <v/>
      </c>
      <c r="D52" s="86" t="str">
        <f>'R3'!D42</f>
        <v/>
      </c>
      <c r="E52" s="86" t="str">
        <f>'R3'!E42</f>
        <v/>
      </c>
      <c r="F52" s="86" t="str">
        <f>'R3'!F42</f>
        <v/>
      </c>
      <c r="G52" s="86" t="str">
        <f>'R3'!G42</f>
        <v/>
      </c>
      <c r="H52" s="86" t="str">
        <f>'R3'!H42</f>
        <v/>
      </c>
      <c r="I52" s="86" t="str">
        <f>'R3'!I42</f>
        <v/>
      </c>
      <c r="J52" s="86" t="str">
        <f>'R3'!J42</f>
        <v/>
      </c>
      <c r="K52" s="86" t="str">
        <f>'R3'!K42</f>
        <v/>
      </c>
      <c r="L52" s="86" t="str">
        <f>'R3'!L42</f>
        <v/>
      </c>
      <c r="M52" s="86" t="str">
        <f>'R3'!M42</f>
        <v/>
      </c>
      <c r="N52"/>
      <c r="O52" s="86">
        <f>'R3'!O42</f>
        <v>1.4184568797899022</v>
      </c>
      <c r="P52" s="86" t="str">
        <f>'R3'!P42</f>
        <v/>
      </c>
      <c r="Q52" s="86" t="str">
        <f>'R3'!Q42</f>
        <v/>
      </c>
      <c r="R52" s="86" t="str">
        <f>'R3'!R42</f>
        <v/>
      </c>
      <c r="S52" s="86" t="str">
        <f>'R3'!S42</f>
        <v/>
      </c>
      <c r="T52" s="86" t="str">
        <f>'R3'!T42</f>
        <v/>
      </c>
      <c r="U52" s="86" t="str">
        <f>'R3'!U42</f>
        <v/>
      </c>
      <c r="V52" s="86" t="str">
        <f>'R3'!V42</f>
        <v/>
      </c>
    </row>
    <row r="53" spans="1:24" s="1" customFormat="1" x14ac:dyDescent="0.35">
      <c r="A53" s="146"/>
      <c r="B53" s="86" t="str">
        <f>'R3'!B43</f>
        <v/>
      </c>
      <c r="C53" s="86" t="str">
        <f>'R3'!C43</f>
        <v/>
      </c>
      <c r="D53" s="86" t="str">
        <f>'R3'!D43</f>
        <v/>
      </c>
      <c r="E53" s="86" t="str">
        <f>'R3'!E43</f>
        <v/>
      </c>
      <c r="F53" s="86" t="str">
        <f>'R3'!F43</f>
        <v/>
      </c>
      <c r="G53" s="86" t="str">
        <f>'R3'!G43</f>
        <v/>
      </c>
      <c r="H53" s="86" t="str">
        <f>'R3'!H43</f>
        <v/>
      </c>
      <c r="I53" s="86" t="str">
        <f>'R3'!I43</f>
        <v/>
      </c>
      <c r="J53" s="86" t="str">
        <f>'R3'!J43</f>
        <v/>
      </c>
      <c r="K53" s="86" t="str">
        <f>'R3'!K43</f>
        <v/>
      </c>
      <c r="L53" s="86" t="str">
        <f>'R3'!L43</f>
        <v/>
      </c>
      <c r="M53" s="86" t="str">
        <f>'R3'!M43</f>
        <v/>
      </c>
      <c r="N53"/>
      <c r="O53" s="86">
        <f>'R3'!O43</f>
        <v>1.1350877458338857</v>
      </c>
      <c r="P53" s="86" t="str">
        <f>'R3'!P43</f>
        <v/>
      </c>
      <c r="Q53" s="86" t="str">
        <f>'R3'!Q43</f>
        <v/>
      </c>
      <c r="R53" s="86" t="str">
        <f>'R3'!R43</f>
        <v/>
      </c>
      <c r="S53" s="86" t="str">
        <f>'R3'!S43</f>
        <v/>
      </c>
      <c r="T53" s="86" t="str">
        <f>'R3'!T43</f>
        <v/>
      </c>
      <c r="U53" s="86" t="str">
        <f>'R3'!U43</f>
        <v/>
      </c>
      <c r="V53" s="86" t="str">
        <f>'R3'!V43</f>
        <v/>
      </c>
    </row>
    <row r="54" spans="1:24" s="44" customFormat="1" x14ac:dyDescent="0.3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35">
      <c r="A55" s="26" t="s">
        <v>37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Prochloraz-0.063mg/L</v>
      </c>
      <c r="J55" s="15" t="str">
        <f t="shared" si="0"/>
        <v>Prochloraz-0.13mg/L</v>
      </c>
      <c r="K55" s="15" t="str">
        <f t="shared" si="0"/>
        <v>Prochloraz-0.25mg/L</v>
      </c>
      <c r="L55" s="15" t="str">
        <f t="shared" si="0"/>
        <v>Prochloraz-0.5mg/L</v>
      </c>
      <c r="M55" s="15" t="str">
        <f t="shared" si="0"/>
        <v>Prochloraz-1mg/L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Prochloraz-0.063mg/L + Testostérone</v>
      </c>
      <c r="S55" s="15" t="str">
        <f t="shared" si="1"/>
        <v>Prochloraz-0.13mg/L + Testostérone</v>
      </c>
      <c r="T55" s="15" t="str">
        <f t="shared" si="1"/>
        <v>Prochloraz-0.25mg/L + Testostérone</v>
      </c>
      <c r="U55" s="15" t="str">
        <f t="shared" si="1"/>
        <v>Prochloraz-0.5mg/L + Testostérone</v>
      </c>
      <c r="V55" s="15" t="str">
        <f t="shared" si="1"/>
        <v>Prochloraz-1mg/L + Testostérone</v>
      </c>
    </row>
    <row r="56" spans="1:24" x14ac:dyDescent="0.35">
      <c r="A56" t="s">
        <v>10</v>
      </c>
      <c r="B56" s="9">
        <f t="shared" ref="B56:V56" si="2">AVERAGE(B6:B53)</f>
        <v>0.17712377114090194</v>
      </c>
      <c r="C56" s="9">
        <f t="shared" si="2"/>
        <v>0.82741285813589327</v>
      </c>
      <c r="D56" s="9">
        <f t="shared" si="2"/>
        <v>1.3778885229135334</v>
      </c>
      <c r="E56" s="9">
        <f t="shared" si="2"/>
        <v>2.4259286453126068</v>
      </c>
      <c r="F56" s="9">
        <f t="shared" si="2"/>
        <v>3.1880092488024334</v>
      </c>
      <c r="G56" s="9">
        <f t="shared" si="2"/>
        <v>4.6588750561816417</v>
      </c>
      <c r="H56" s="9">
        <f t="shared" si="2"/>
        <v>4.4749994660913712</v>
      </c>
      <c r="I56" s="9">
        <f t="shared" si="2"/>
        <v>0.18276934138233128</v>
      </c>
      <c r="J56" s="9">
        <f t="shared" si="2"/>
        <v>8.2371064537831135E-2</v>
      </c>
      <c r="K56" s="9">
        <f t="shared" si="2"/>
        <v>0.14615035055182327</v>
      </c>
      <c r="L56" s="9">
        <f t="shared" si="2"/>
        <v>0.16496483400556661</v>
      </c>
      <c r="M56" s="9">
        <f t="shared" si="2"/>
        <v>8.8617823359898859E-2</v>
      </c>
      <c r="N56" s="9"/>
      <c r="O56" s="9">
        <f t="shared" si="2"/>
        <v>1</v>
      </c>
      <c r="P56" s="9">
        <f t="shared" si="2"/>
        <v>2.9144184499572168</v>
      </c>
      <c r="Q56" s="9">
        <f t="shared" si="2"/>
        <v>0.11628944938684121</v>
      </c>
      <c r="R56" s="9">
        <f t="shared" si="2"/>
        <v>0.39687889708479696</v>
      </c>
      <c r="S56" s="9">
        <f t="shared" si="2"/>
        <v>0.24298504618652828</v>
      </c>
      <c r="T56" s="9">
        <f t="shared" si="2"/>
        <v>0.31608814066097612</v>
      </c>
      <c r="U56" s="9">
        <f t="shared" si="2"/>
        <v>0.12762324157375368</v>
      </c>
      <c r="V56" s="9">
        <f t="shared" si="2"/>
        <v>0.1051560698794831</v>
      </c>
    </row>
    <row r="57" spans="1:24" x14ac:dyDescent="0.35">
      <c r="A57" t="s">
        <v>1</v>
      </c>
      <c r="B57" s="3">
        <f>STDEV(B6:B53)</f>
        <v>0.17989371345878416</v>
      </c>
      <c r="C57" s="3">
        <f t="shared" ref="C57:V57" si="3">STDEV(C6:C53)</f>
        <v>0.87591580113795164</v>
      </c>
      <c r="D57" s="3">
        <f t="shared" si="3"/>
        <v>0.96194811176359152</v>
      </c>
      <c r="E57" s="3">
        <f t="shared" si="3"/>
        <v>1.1635944532069946</v>
      </c>
      <c r="F57" s="3">
        <f t="shared" si="3"/>
        <v>1.0902889270780496</v>
      </c>
      <c r="G57" s="3">
        <f t="shared" si="3"/>
        <v>1.4798684260230817</v>
      </c>
      <c r="H57" s="3">
        <f t="shared" si="3"/>
        <v>1.7796231108106213</v>
      </c>
      <c r="I57" s="3">
        <f t="shared" si="3"/>
        <v>0.1771055306597259</v>
      </c>
      <c r="J57" s="3">
        <f t="shared" si="3"/>
        <v>7.8140554931316566E-2</v>
      </c>
      <c r="K57" s="3">
        <f t="shared" si="3"/>
        <v>0.20614340100107489</v>
      </c>
      <c r="L57" s="3">
        <f t="shared" si="3"/>
        <v>0.20687492843236535</v>
      </c>
      <c r="M57" s="3">
        <f t="shared" si="3"/>
        <v>0.12249697587843621</v>
      </c>
      <c r="N57" s="3"/>
      <c r="O57" s="3">
        <f t="shared" si="3"/>
        <v>0.84444006660912907</v>
      </c>
      <c r="P57" s="3">
        <f t="shared" si="3"/>
        <v>1.7835828007748646</v>
      </c>
      <c r="Q57" s="3">
        <f t="shared" si="3"/>
        <v>0.12287785575918896</v>
      </c>
      <c r="R57" s="3">
        <f t="shared" si="3"/>
        <v>0.41859732467698574</v>
      </c>
      <c r="S57" s="3">
        <f t="shared" si="3"/>
        <v>0.26474479575995158</v>
      </c>
      <c r="T57" s="3">
        <f t="shared" si="3"/>
        <v>0.27039227202148219</v>
      </c>
      <c r="U57" s="3">
        <f t="shared" si="3"/>
        <v>0.14208833414973288</v>
      </c>
      <c r="V57" s="3">
        <f t="shared" si="3"/>
        <v>7.5869023601176908E-2</v>
      </c>
      <c r="W57" s="3"/>
      <c r="X57" s="3"/>
    </row>
    <row r="58" spans="1:24" x14ac:dyDescent="0.35">
      <c r="A58" t="s">
        <v>2</v>
      </c>
      <c r="B58" s="3">
        <f xml:space="preserve"> B57/SQRT(COUNT(B6:B53))</f>
        <v>3.7510432254409684E-2</v>
      </c>
      <c r="C58" s="3">
        <f t="shared" ref="C58:V58" si="4" xml:space="preserve"> C57/SQRT(COUNT(C6:C53))</f>
        <v>0.1787955642024269</v>
      </c>
      <c r="D58" s="3">
        <f t="shared" si="4"/>
        <v>0.19635683607121365</v>
      </c>
      <c r="E58" s="3">
        <f t="shared" si="4"/>
        <v>0.24262621561051881</v>
      </c>
      <c r="F58" s="3">
        <f t="shared" si="4"/>
        <v>0.2225542952956466</v>
      </c>
      <c r="G58" s="3">
        <f t="shared" si="4"/>
        <v>0.30207687751768542</v>
      </c>
      <c r="H58" s="3">
        <f t="shared" si="4"/>
        <v>0.36326404632920906</v>
      </c>
      <c r="I58" s="3">
        <f t="shared" si="4"/>
        <v>3.6151515061764193E-2</v>
      </c>
      <c r="J58" s="3">
        <f t="shared" si="4"/>
        <v>1.5950373983303786E-2</v>
      </c>
      <c r="K58" s="3">
        <f t="shared" si="4"/>
        <v>4.2078845524547707E-2</v>
      </c>
      <c r="L58" s="3">
        <f t="shared" si="4"/>
        <v>4.2228167936173587E-2</v>
      </c>
      <c r="M58" s="3">
        <f t="shared" si="4"/>
        <v>2.5004590494682327E-2</v>
      </c>
      <c r="N58" s="3"/>
      <c r="O58" s="3">
        <f t="shared" si="4"/>
        <v>0.12188442494282155</v>
      </c>
      <c r="P58" s="3">
        <f t="shared" si="4"/>
        <v>0.39882123860320617</v>
      </c>
      <c r="Q58" s="3">
        <f t="shared" si="4"/>
        <v>2.508233727477702E-2</v>
      </c>
      <c r="R58" s="3">
        <f t="shared" si="4"/>
        <v>8.5445821096063038E-2</v>
      </c>
      <c r="S58" s="3">
        <f t="shared" si="4"/>
        <v>5.4040805139102407E-2</v>
      </c>
      <c r="T58" s="3">
        <f t="shared" si="4"/>
        <v>5.5193591403704965E-2</v>
      </c>
      <c r="U58" s="3">
        <f t="shared" si="4"/>
        <v>2.9003659755743288E-2</v>
      </c>
      <c r="V58" s="3">
        <f t="shared" si="4"/>
        <v>1.5486699592171476E-2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6.5" thickBot="1" x14ac:dyDescent="0.4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Prochloraz-0.063mg/L</v>
      </c>
      <c r="J62" s="3" t="str">
        <f t="shared" si="6"/>
        <v>Prochloraz-0.13mg/L</v>
      </c>
      <c r="K62" s="3" t="str">
        <f t="shared" si="6"/>
        <v>Prochloraz-0.25mg/L</v>
      </c>
      <c r="L62" s="3" t="str">
        <f t="shared" si="6"/>
        <v>Prochloraz-0.5mg/L</v>
      </c>
      <c r="M62" s="3" t="str">
        <f t="shared" si="6"/>
        <v>Prochloraz-1mg/L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Prochloraz-0.063mg/L + Testostérone</v>
      </c>
      <c r="S62" s="3" t="str">
        <f t="shared" si="6"/>
        <v>Prochloraz-0.13mg/L + Testostérone</v>
      </c>
      <c r="T62" s="3" t="str">
        <f t="shared" si="6"/>
        <v>Prochloraz-0.25mg/L + Testostérone</v>
      </c>
      <c r="U62" s="3" t="str">
        <f t="shared" si="6"/>
        <v>Prochloraz-0.5mg/L + Testostérone</v>
      </c>
      <c r="V62" s="3" t="str">
        <f t="shared" si="6"/>
        <v>Prochloraz-1mg/L + Testostérone</v>
      </c>
    </row>
    <row r="63" spans="1:24" s="1" customFormat="1" x14ac:dyDescent="0.35">
      <c r="A63" s="1" t="s">
        <v>44</v>
      </c>
      <c r="B63" s="3">
        <f>COUNT(B6:B53)</f>
        <v>23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23</v>
      </c>
      <c r="F63" s="3">
        <f t="shared" si="7"/>
        <v>24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24</v>
      </c>
      <c r="K63" s="3">
        <f t="shared" si="7"/>
        <v>24</v>
      </c>
      <c r="L63" s="3">
        <f t="shared" si="7"/>
        <v>24</v>
      </c>
      <c r="M63" s="3">
        <f t="shared" si="7"/>
        <v>24</v>
      </c>
      <c r="N63" s="3"/>
      <c r="O63" s="3">
        <f t="shared" si="7"/>
        <v>48</v>
      </c>
      <c r="P63" s="3">
        <f t="shared" si="7"/>
        <v>20</v>
      </c>
      <c r="Q63" s="3">
        <f t="shared" si="7"/>
        <v>24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ATTENTION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6.5" thickBot="1" x14ac:dyDescent="0.4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6.5" thickBot="1" x14ac:dyDescent="0.4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spans="1:22" ht="15" thickBot="1" x14ac:dyDescent="0.4"/>
    <row r="72" spans="1:22" s="32" customFormat="1" ht="26.5" thickBot="1" x14ac:dyDescent="0.4">
      <c r="A72" s="147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9" t="s">
        <v>45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Prochloraz-0.063mg/L</v>
      </c>
      <c r="J74" s="30" t="str">
        <f t="shared" si="9"/>
        <v>Prochloraz-0.13mg/L</v>
      </c>
      <c r="K74" s="30" t="str">
        <f t="shared" si="9"/>
        <v>Prochloraz-0.25mg/L</v>
      </c>
      <c r="L74" s="30" t="str">
        <f t="shared" si="9"/>
        <v>Prochloraz-0.5mg/L</v>
      </c>
      <c r="M74" s="30" t="str">
        <f t="shared" si="9"/>
        <v>Prochloraz-1mg/L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Prochloraz-0.063mg/L + Testostérone</v>
      </c>
      <c r="S74" s="30" t="str">
        <f t="shared" si="10"/>
        <v>Prochloraz-0.13mg/L + Testostérone</v>
      </c>
      <c r="T74" s="30" t="str">
        <f t="shared" si="10"/>
        <v>Prochloraz-0.25mg/L + Testostérone</v>
      </c>
      <c r="U74" s="30" t="str">
        <f t="shared" si="10"/>
        <v>Prochloraz-0.5mg/L + Testostérone</v>
      </c>
      <c r="V74" s="30" t="str">
        <f t="shared" si="10"/>
        <v>Prochloraz-1mg/L + Testostérone</v>
      </c>
    </row>
    <row r="75" spans="1:22" s="3" customFormat="1" x14ac:dyDescent="0.35">
      <c r="A75" s="45" t="s">
        <v>10</v>
      </c>
      <c r="B75" s="78">
        <f>B56</f>
        <v>0.17712377114090194</v>
      </c>
      <c r="C75" s="78">
        <f t="shared" ref="C75:V75" si="11">C56</f>
        <v>0.82741285813589327</v>
      </c>
      <c r="D75" s="78">
        <f t="shared" si="11"/>
        <v>1.3778885229135334</v>
      </c>
      <c r="E75" s="78">
        <f t="shared" si="11"/>
        <v>2.4259286453126068</v>
      </c>
      <c r="F75" s="78">
        <f t="shared" si="11"/>
        <v>3.1880092488024334</v>
      </c>
      <c r="G75" s="78">
        <f t="shared" si="11"/>
        <v>4.6588750561816417</v>
      </c>
      <c r="H75" s="78">
        <f t="shared" si="11"/>
        <v>4.4749994660913712</v>
      </c>
      <c r="I75" s="78">
        <f t="shared" si="11"/>
        <v>0.18276934138233128</v>
      </c>
      <c r="J75" s="78">
        <f t="shared" si="11"/>
        <v>8.2371064537831135E-2</v>
      </c>
      <c r="K75" s="78">
        <f t="shared" si="11"/>
        <v>0.14615035055182327</v>
      </c>
      <c r="L75" s="78">
        <f t="shared" si="11"/>
        <v>0.16496483400556661</v>
      </c>
      <c r="M75" s="78">
        <f t="shared" si="11"/>
        <v>8.8617823359898859E-2</v>
      </c>
      <c r="N75" s="78"/>
      <c r="O75" s="78">
        <f t="shared" si="11"/>
        <v>1</v>
      </c>
      <c r="P75" s="78">
        <f t="shared" si="11"/>
        <v>2.9144184499572168</v>
      </c>
      <c r="Q75" s="78">
        <f t="shared" si="11"/>
        <v>0.11628944938684121</v>
      </c>
      <c r="R75" s="78">
        <f t="shared" si="11"/>
        <v>0.39687889708479696</v>
      </c>
      <c r="S75" s="78">
        <f t="shared" si="11"/>
        <v>0.24298504618652828</v>
      </c>
      <c r="T75" s="78">
        <f t="shared" si="11"/>
        <v>0.31608814066097612</v>
      </c>
      <c r="U75" s="78">
        <f t="shared" si="11"/>
        <v>0.12762324157375368</v>
      </c>
      <c r="V75" s="78">
        <f t="shared" si="11"/>
        <v>0.1051560698794831</v>
      </c>
    </row>
    <row r="76" spans="1:22" s="3" customFormat="1" x14ac:dyDescent="0.35">
      <c r="A76" s="45" t="s">
        <v>2</v>
      </c>
      <c r="B76" s="78">
        <f>B58</f>
        <v>3.7510432254409684E-2</v>
      </c>
      <c r="C76" s="78">
        <f t="shared" ref="C76:V76" si="12">C58</f>
        <v>0.1787955642024269</v>
      </c>
      <c r="D76" s="78">
        <f t="shared" si="12"/>
        <v>0.19635683607121365</v>
      </c>
      <c r="E76" s="78">
        <f t="shared" si="12"/>
        <v>0.24262621561051881</v>
      </c>
      <c r="F76" s="78">
        <f t="shared" si="12"/>
        <v>0.2225542952956466</v>
      </c>
      <c r="G76" s="78">
        <f t="shared" si="12"/>
        <v>0.30207687751768542</v>
      </c>
      <c r="H76" s="78">
        <f t="shared" si="12"/>
        <v>0.36326404632920906</v>
      </c>
      <c r="I76" s="78">
        <f t="shared" si="12"/>
        <v>3.6151515061764193E-2</v>
      </c>
      <c r="J76" s="78">
        <f t="shared" si="12"/>
        <v>1.5950373983303786E-2</v>
      </c>
      <c r="K76" s="78">
        <f t="shared" si="12"/>
        <v>4.2078845524547707E-2</v>
      </c>
      <c r="L76" s="78">
        <f t="shared" si="12"/>
        <v>4.2228167936173587E-2</v>
      </c>
      <c r="M76" s="78">
        <f t="shared" si="12"/>
        <v>2.5004590494682327E-2</v>
      </c>
      <c r="N76" s="78"/>
      <c r="O76" s="78">
        <f t="shared" si="12"/>
        <v>0.12188442494282155</v>
      </c>
      <c r="P76" s="78">
        <f t="shared" si="12"/>
        <v>0.39882123860320617</v>
      </c>
      <c r="Q76" s="78">
        <f t="shared" si="12"/>
        <v>2.508233727477702E-2</v>
      </c>
      <c r="R76" s="78">
        <f t="shared" si="12"/>
        <v>8.5445821096063038E-2</v>
      </c>
      <c r="S76" s="78">
        <f t="shared" si="12"/>
        <v>5.4040805139102407E-2</v>
      </c>
      <c r="T76" s="78">
        <f t="shared" si="12"/>
        <v>5.5193591403704965E-2</v>
      </c>
      <c r="U76" s="78">
        <f t="shared" si="12"/>
        <v>2.9003659755743288E-2</v>
      </c>
      <c r="V76" s="78">
        <f t="shared" si="12"/>
        <v>1.5486699592171476E-2</v>
      </c>
    </row>
    <row r="77" spans="1:22" s="3" customFormat="1" x14ac:dyDescent="0.35">
      <c r="A77" s="45" t="s">
        <v>14</v>
      </c>
      <c r="B77" s="78">
        <f>(B75*100/$B$75)-100</f>
        <v>0</v>
      </c>
      <c r="C77" s="78">
        <f t="shared" ref="C77:M77" si="13">(C75*100/$B$75)-100</f>
        <v>367.13823492256523</v>
      </c>
      <c r="D77" s="78">
        <f t="shared" si="13"/>
        <v>677.92411150585951</v>
      </c>
      <c r="E77" s="78">
        <f t="shared" si="13"/>
        <v>1269.6234162622818</v>
      </c>
      <c r="F77" s="78">
        <f t="shared" si="13"/>
        <v>1699.8765655606846</v>
      </c>
      <c r="G77" s="78">
        <f t="shared" si="13"/>
        <v>2530.2935095456537</v>
      </c>
      <c r="H77" s="78">
        <f t="shared" si="13"/>
        <v>2426.4815881384488</v>
      </c>
      <c r="I77" s="78">
        <f t="shared" si="13"/>
        <v>3.1873588762618823</v>
      </c>
      <c r="J77" s="78">
        <f t="shared" si="13"/>
        <v>-53.495194909606482</v>
      </c>
      <c r="K77" s="78">
        <f t="shared" si="13"/>
        <v>-17.486879592485252</v>
      </c>
      <c r="L77" s="78">
        <f t="shared" si="13"/>
        <v>-6.8646557472305147</v>
      </c>
      <c r="M77" s="78">
        <f t="shared" si="13"/>
        <v>-49.96841881296475</v>
      </c>
      <c r="N77" s="78"/>
      <c r="O77" s="78">
        <f>(O75*100/$O$75)-100</f>
        <v>0</v>
      </c>
      <c r="P77" s="78">
        <f t="shared" ref="P77:V77" si="14">(P75*100/$O$75)-100</f>
        <v>191.44184499572168</v>
      </c>
      <c r="Q77" s="78">
        <f t="shared" si="14"/>
        <v>-88.371055061315872</v>
      </c>
      <c r="R77" s="78">
        <f t="shared" si="14"/>
        <v>-60.312110291520305</v>
      </c>
      <c r="S77" s="78">
        <f t="shared" si="14"/>
        <v>-75.701495381347172</v>
      </c>
      <c r="T77" s="78">
        <f t="shared" si="14"/>
        <v>-68.391185933902392</v>
      </c>
      <c r="U77" s="78">
        <f t="shared" si="14"/>
        <v>-87.23767584262464</v>
      </c>
      <c r="V77" s="78">
        <f t="shared" si="14"/>
        <v>-89.484393012051697</v>
      </c>
    </row>
    <row r="78" spans="1:22" s="3" customFormat="1" x14ac:dyDescent="0.35">
      <c r="A78" s="45" t="s">
        <v>38</v>
      </c>
      <c r="B78" s="78">
        <f>[1]!DPTEST(B6:B53)</f>
        <v>0.17742518499529081</v>
      </c>
      <c r="C78" s="78">
        <f>[1]!DPTEST(C6:C53)</f>
        <v>0.14138471758838156</v>
      </c>
      <c r="D78" s="78">
        <f>[1]!DPTEST(D6:D53)</f>
        <v>0.48624439247294471</v>
      </c>
      <c r="E78" s="78">
        <f>[1]!DPTEST(E6:E53)</f>
        <v>0.66583623896475963</v>
      </c>
      <c r="F78" s="78">
        <f>[1]!DPTEST(F6:F53)</f>
        <v>0.88889279816211686</v>
      </c>
      <c r="G78" s="78">
        <f>[1]!DPTEST(G6:G53)</f>
        <v>0.42663171674927292</v>
      </c>
      <c r="H78" s="78">
        <f>[1]!DPTEST(H6:H53)</f>
        <v>0.41238877266397145</v>
      </c>
      <c r="I78" s="78">
        <f>[1]!DPTEST(I6:I53)</f>
        <v>3.4616240907001661E-3</v>
      </c>
      <c r="J78" s="78">
        <f>[1]!DPTEST(J6:J53)</f>
        <v>2.8847560241562764E-4</v>
      </c>
      <c r="K78" s="78">
        <f>[1]!DPTEST(K6:K53)</f>
        <v>2.1788150752488633E-6</v>
      </c>
      <c r="L78" s="78">
        <f>[1]!DPTEST(L6:L53)</f>
        <v>2.7339535234593981E-6</v>
      </c>
      <c r="M78" s="78">
        <f>[1]!DPTEST(M6:M53)</f>
        <v>2.2529885341793232E-6</v>
      </c>
      <c r="N78" s="78"/>
      <c r="O78" s="78">
        <f>[1]!DPTEST(O6:O53)</f>
        <v>4.4536384122213057E-2</v>
      </c>
      <c r="P78" s="78">
        <f>[1]!DPTEST(P6:P53)</f>
        <v>0.59123553822711228</v>
      </c>
      <c r="Q78" s="78">
        <f>[1]!DPTEST(Q6:Q53)</f>
        <v>2.0273696176520417E-5</v>
      </c>
      <c r="R78" s="78">
        <f>[1]!DPTEST(R6:R53)</f>
        <v>2.5294286676958433E-2</v>
      </c>
      <c r="S78" s="78">
        <f>[1]!DPTEST(S6:S53)</f>
        <v>1.5332078073804212E-7</v>
      </c>
      <c r="T78" s="78">
        <f>[1]!DPTEST(T6:T53)</f>
        <v>0.21301752268558116</v>
      </c>
      <c r="U78" s="78">
        <f>[1]!DPTEST(U6:U53)</f>
        <v>8.1500235071807481E-7</v>
      </c>
      <c r="V78" s="78">
        <f>[1]!DPTEST(V6:V53)</f>
        <v>0.20851955543887946</v>
      </c>
    </row>
    <row r="79" spans="1:22" s="3" customFormat="1" x14ac:dyDescent="0.35">
      <c r="A79" s="45" t="s">
        <v>39</v>
      </c>
      <c r="B79" s="78" t="str">
        <f>IF(B78&gt;0.05,"Oui","Non")</f>
        <v>Oui</v>
      </c>
      <c r="C79" s="78" t="str">
        <f t="shared" ref="C79:V79" si="15">IF(C78&gt;0.05,"Oui","Non")</f>
        <v>Oui</v>
      </c>
      <c r="D79" s="78" t="str">
        <f t="shared" si="15"/>
        <v>Oui</v>
      </c>
      <c r="E79" s="78" t="str">
        <f t="shared" si="15"/>
        <v>Oui</v>
      </c>
      <c r="F79" s="78" t="str">
        <f t="shared" si="15"/>
        <v>Oui</v>
      </c>
      <c r="G79" s="78" t="str">
        <f t="shared" si="15"/>
        <v>Oui</v>
      </c>
      <c r="H79" s="78" t="str">
        <f t="shared" si="15"/>
        <v>Oui</v>
      </c>
      <c r="I79" s="78" t="str">
        <f t="shared" si="15"/>
        <v>Non</v>
      </c>
      <c r="J79" s="78" t="str">
        <f t="shared" si="15"/>
        <v>Non</v>
      </c>
      <c r="K79" s="78" t="str">
        <f t="shared" si="15"/>
        <v>Non</v>
      </c>
      <c r="L79" s="78" t="str">
        <f t="shared" si="15"/>
        <v>Non</v>
      </c>
      <c r="M79" s="78" t="str">
        <f t="shared" si="15"/>
        <v>Non</v>
      </c>
      <c r="N79" s="78"/>
      <c r="O79" s="78" t="str">
        <f t="shared" si="15"/>
        <v>Non</v>
      </c>
      <c r="P79" s="78" t="str">
        <f t="shared" si="15"/>
        <v>Oui</v>
      </c>
      <c r="Q79" s="78" t="str">
        <f t="shared" si="15"/>
        <v>Non</v>
      </c>
      <c r="R79" s="78" t="str">
        <f t="shared" si="15"/>
        <v>Non</v>
      </c>
      <c r="S79" s="78" t="str">
        <f t="shared" si="15"/>
        <v>Non</v>
      </c>
      <c r="T79" s="78" t="str">
        <f t="shared" si="15"/>
        <v>Oui</v>
      </c>
      <c r="U79" s="78" t="str">
        <f t="shared" si="15"/>
        <v>Non</v>
      </c>
      <c r="V79" s="78" t="str">
        <f t="shared" si="15"/>
        <v>Oui</v>
      </c>
    </row>
    <row r="80" spans="1:22" s="3" customFormat="1" x14ac:dyDescent="0.3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 spans="1:23" s="3" customFormat="1" x14ac:dyDescent="0.35">
      <c r="A81" s="45" t="s">
        <v>40</v>
      </c>
      <c r="B81" s="78"/>
      <c r="C81" s="78" t="s">
        <v>56</v>
      </c>
      <c r="D81" s="78" t="s">
        <v>56</v>
      </c>
      <c r="E81" s="78" t="s">
        <v>56</v>
      </c>
      <c r="F81" s="78" t="s">
        <v>56</v>
      </c>
      <c r="G81" s="78" t="s">
        <v>56</v>
      </c>
      <c r="H81" s="78" t="s">
        <v>56</v>
      </c>
      <c r="I81" s="78" t="s">
        <v>57</v>
      </c>
      <c r="J81" s="78" t="s">
        <v>57</v>
      </c>
      <c r="K81" s="78" t="s">
        <v>57</v>
      </c>
      <c r="L81" s="78" t="s">
        <v>57</v>
      </c>
      <c r="M81" s="78" t="s">
        <v>57</v>
      </c>
      <c r="N81" s="78"/>
      <c r="O81" s="78" t="str">
        <f>IF($B79="Non",IF(O79="Non","Mann Withney",IF(O79="Oui","Mann Withney","")),IF($B79="Oui",IF(O79="Oui","T-Test Welch",IF(O79="Non","Mann Withney",""))))</f>
        <v>Mann Withney</v>
      </c>
      <c r="P81" s="78" t="str">
        <f t="shared" ref="P81:Q81" si="16">IF($O79="Non",IF(P79="Non","Mann Withney",IF(P$79="Oui","Mann Withney","")),IF($O79="Oui",IF(P79="Oui","T-Test Welch",IF(P79="Non","Mann Withney",""))))</f>
        <v>Mann Withney</v>
      </c>
      <c r="Q81" s="78" t="str">
        <f t="shared" si="16"/>
        <v>Mann Withney</v>
      </c>
      <c r="R81" s="78" t="s">
        <v>57</v>
      </c>
      <c r="S81" s="78" t="s">
        <v>57</v>
      </c>
      <c r="T81" s="78" t="s">
        <v>57</v>
      </c>
      <c r="U81" s="78" t="s">
        <v>57</v>
      </c>
      <c r="V81" s="78" t="s">
        <v>57</v>
      </c>
    </row>
    <row r="82" spans="1:23" s="3" customFormat="1" x14ac:dyDescent="0.35">
      <c r="A82" s="45" t="s">
        <v>41</v>
      </c>
      <c r="B82" s="78"/>
      <c r="C82" s="78">
        <v>0.06</v>
      </c>
      <c r="D82" s="78">
        <v>1E-3</v>
      </c>
      <c r="E82" s="78" t="s">
        <v>53</v>
      </c>
      <c r="F82" s="78" t="s">
        <v>53</v>
      </c>
      <c r="G82" s="78" t="s">
        <v>53</v>
      </c>
      <c r="H82" s="78" t="s">
        <v>53</v>
      </c>
      <c r="I82" s="78" t="s">
        <v>54</v>
      </c>
      <c r="J82" s="78">
        <v>0.83</v>
      </c>
      <c r="K82" s="78" t="s">
        <v>54</v>
      </c>
      <c r="L82" s="78" t="s">
        <v>54</v>
      </c>
      <c r="M82" s="78">
        <v>0.28000000000000003</v>
      </c>
      <c r="N82" s="78"/>
      <c r="O82" s="78">
        <f>IF(O81="Mann Withney",[1]!MTEST($B6:$B37,O6:O53,2), IF(O81="T-Test Welch",_xlfn.T.TEST($B6:$B37,O6:O53,2,3),""))</f>
        <v>1.2267973081270256E-4</v>
      </c>
      <c r="P82" s="78">
        <f>IF(P81="Mann Withney",[1]!MTEST($O6:$O53,P6:P53,2), IF(P81="T-Test Welch",_xlfn.T.TEST($O6:$O53,P6:P53,2,3),""))</f>
        <v>2.5218150910610859E-5</v>
      </c>
      <c r="Q82" s="78">
        <f>IF(Q81="Mann Withney",[1]!MTEST($O6:$O53,Q6:Q53,2), IF(Q81="T-Test Welch",_xlfn.T.TEST($O6:$O53,Q6:Q53,2,3),""))</f>
        <v>2.7818470416107743E-8</v>
      </c>
      <c r="R82" s="78">
        <v>0.01</v>
      </c>
      <c r="S82" s="78" t="s">
        <v>53</v>
      </c>
      <c r="T82" s="78">
        <v>5.0000000000000001E-3</v>
      </c>
      <c r="U82" s="78" t="s">
        <v>53</v>
      </c>
      <c r="V82" s="78" t="s">
        <v>53</v>
      </c>
    </row>
    <row r="83" spans="1:23" s="3" customFormat="1" ht="15" thickBot="1" x14ac:dyDescent="0.4">
      <c r="A83" s="46" t="s">
        <v>15</v>
      </c>
      <c r="B83" s="79"/>
      <c r="C83" s="79" t="s">
        <v>50</v>
      </c>
      <c r="D83" s="79" t="s">
        <v>51</v>
      </c>
      <c r="E83" s="79" t="s">
        <v>52</v>
      </c>
      <c r="F83" s="79" t="s">
        <v>52</v>
      </c>
      <c r="G83" s="79" t="s">
        <v>52</v>
      </c>
      <c r="H83" s="79" t="s">
        <v>52</v>
      </c>
      <c r="I83" s="79" t="s">
        <v>50</v>
      </c>
      <c r="J83" s="79" t="s">
        <v>50</v>
      </c>
      <c r="K83" s="79" t="s">
        <v>50</v>
      </c>
      <c r="L83" s="79" t="s">
        <v>50</v>
      </c>
      <c r="M83" s="79" t="s">
        <v>50</v>
      </c>
      <c r="N83" s="79"/>
      <c r="O83" s="79" t="str">
        <f t="shared" ref="O83" si="17">IF(O82&gt;0.05,"NS",IF(O82&gt;0.01,"*",IF(O82&gt;0.001,"**","***")))</f>
        <v>***</v>
      </c>
      <c r="P83" s="79" t="str">
        <f t="shared" ref="P83" si="18">IF(P82&gt;0.05,"NS",IF(P82&gt;0.01,"*",IF(P82&gt;0.001,"**","***")))</f>
        <v>***</v>
      </c>
      <c r="Q83" s="79" t="str">
        <f t="shared" ref="Q83" si="19">IF(Q82&gt;0.05,"NS",IF(Q82&gt;0.01,"*",IF(Q82&gt;0.001,"**","***")))</f>
        <v>***</v>
      </c>
      <c r="R83" s="79" t="s">
        <v>55</v>
      </c>
      <c r="S83" s="79" t="s">
        <v>52</v>
      </c>
      <c r="T83" s="79" t="s">
        <v>51</v>
      </c>
      <c r="U83" s="79" t="s">
        <v>52</v>
      </c>
      <c r="V83" s="79" t="s">
        <v>52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2" customFormat="1" ht="26.5" thickBot="1" x14ac:dyDescent="0.4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3" ht="15" thickBot="1" x14ac:dyDescent="0.4"/>
    <row r="91" spans="1:23" s="32" customFormat="1" ht="26.5" thickBot="1" x14ac:dyDescent="0.4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3" ht="15" thickBot="1" x14ac:dyDescent="0.4"/>
    <row r="93" spans="1:23" s="32" customFormat="1" ht="26.5" thickBot="1" x14ac:dyDescent="0.4">
      <c r="A93" s="14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</row>
    <row r="94" spans="1:23" x14ac:dyDescent="0.35">
      <c r="B94" s="1">
        <f t="shared" ref="B94:V94" si="20">B75/$B$75</f>
        <v>1</v>
      </c>
      <c r="C94" s="1">
        <f t="shared" si="20"/>
        <v>4.6713823492256523</v>
      </c>
      <c r="D94" s="1">
        <f t="shared" si="20"/>
        <v>7.7792411150585945</v>
      </c>
      <c r="E94" s="1">
        <f t="shared" si="20"/>
        <v>13.696234162622819</v>
      </c>
      <c r="F94" s="1">
        <f t="shared" si="20"/>
        <v>17.998765655606849</v>
      </c>
      <c r="G94" s="1">
        <f t="shared" si="20"/>
        <v>26.302935095456537</v>
      </c>
      <c r="H94" s="1">
        <f>H75/$B$75</f>
        <v>25.264815881384489</v>
      </c>
      <c r="I94" s="1">
        <f t="shared" si="20"/>
        <v>1.0318735887626189</v>
      </c>
      <c r="J94" s="1">
        <f t="shared" si="20"/>
        <v>0.4650480509039352</v>
      </c>
      <c r="K94" s="1">
        <f t="shared" si="20"/>
        <v>0.8251312040751474</v>
      </c>
      <c r="L94" s="1">
        <f t="shared" si="20"/>
        <v>0.93135344252769492</v>
      </c>
      <c r="M94" s="1">
        <f t="shared" si="20"/>
        <v>0.50031581187035246</v>
      </c>
      <c r="N94" s="1">
        <f t="shared" si="20"/>
        <v>0</v>
      </c>
      <c r="O94" s="1">
        <f t="shared" si="20"/>
        <v>5.6457695856334276</v>
      </c>
      <c r="P94" s="1">
        <f t="shared" si="20"/>
        <v>16.45413504457737</v>
      </c>
      <c r="Q94" s="1">
        <f t="shared" si="20"/>
        <v>0.65654343647828595</v>
      </c>
      <c r="R94" s="1">
        <f t="shared" si="20"/>
        <v>2.2406868063410856</v>
      </c>
      <c r="S94" s="1">
        <f t="shared" si="20"/>
        <v>1.3718375835236349</v>
      </c>
      <c r="T94" s="1">
        <f t="shared" si="20"/>
        <v>1.7845608109231597</v>
      </c>
      <c r="U94" s="1">
        <f t="shared" si="20"/>
        <v>0.72053141569704615</v>
      </c>
      <c r="V94" s="1">
        <f t="shared" si="20"/>
        <v>0.59368694107032904</v>
      </c>
      <c r="W94" s="1"/>
    </row>
    <row r="100" spans="3:16" x14ac:dyDescent="0.35">
      <c r="C100" s="1"/>
      <c r="D100" s="1"/>
    </row>
    <row r="101" spans="3:16" x14ac:dyDescent="0.35"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3:16" x14ac:dyDescent="0.35"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3:16" x14ac:dyDescent="0.35">
      <c r="C103" s="1"/>
      <c r="D103" s="1"/>
      <c r="F103" s="1"/>
      <c r="G103" s="1"/>
      <c r="H103" s="1"/>
      <c r="I103" s="1"/>
      <c r="J103" s="1"/>
      <c r="K103" s="1"/>
    </row>
    <row r="104" spans="3:16" x14ac:dyDescent="0.35">
      <c r="C104" s="1"/>
      <c r="D104" s="1"/>
      <c r="F104" s="1"/>
      <c r="G104" s="1"/>
      <c r="H104" s="1"/>
      <c r="I104" s="1"/>
      <c r="J104" s="1"/>
      <c r="K104" s="1"/>
    </row>
    <row r="105" spans="3:16" x14ac:dyDescent="0.35">
      <c r="C105" s="1"/>
      <c r="D105" s="1"/>
    </row>
    <row r="106" spans="3:16" x14ac:dyDescent="0.35">
      <c r="C106" s="1"/>
      <c r="D106" s="1"/>
    </row>
    <row r="107" spans="3:16" x14ac:dyDescent="0.35">
      <c r="C107" s="1"/>
      <c r="D107" s="1"/>
    </row>
    <row r="108" spans="3:16" x14ac:dyDescent="0.35">
      <c r="C108" s="1"/>
      <c r="D108" s="1"/>
    </row>
    <row r="109" spans="3:16" x14ac:dyDescent="0.35">
      <c r="C109" s="1"/>
      <c r="D109" s="1"/>
    </row>
    <row r="110" spans="3:16" x14ac:dyDescent="0.35">
      <c r="C110" s="1"/>
      <c r="D110" s="1"/>
    </row>
    <row r="116" spans="3:4" x14ac:dyDescent="0.35">
      <c r="C116" s="1"/>
      <c r="D116" s="1"/>
    </row>
    <row r="117" spans="3:4" x14ac:dyDescent="0.35">
      <c r="C117" s="1"/>
      <c r="D117" s="1"/>
    </row>
    <row r="118" spans="3:4" x14ac:dyDescent="0.35">
      <c r="C118" s="1"/>
      <c r="D118" s="1"/>
    </row>
    <row r="119" spans="3:4" x14ac:dyDescent="0.35">
      <c r="C119" s="1"/>
      <c r="D119" s="1"/>
    </row>
    <row r="120" spans="3:4" x14ac:dyDescent="0.35">
      <c r="C120" s="1"/>
      <c r="D120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D2CA6D-5334-4ADF-9D11-F87DA5FDBD46}"/>
</file>

<file path=customXml/itemProps2.xml><?xml version="1.0" encoding="utf-8"?>
<ds:datastoreItem xmlns:ds="http://schemas.openxmlformats.org/officeDocument/2006/customXml" ds:itemID="{D074C072-0AFD-4994-9070-B6C43F70661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Front page</vt:lpstr>
      <vt:lpstr>Comments R1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2022-10-05T15:03:49Z</dcterms:modified>
</cp:coreProperties>
</file>