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 hidePivotFieldList="1" defaultThemeVersion="124226"/>
  <xr:revisionPtr revIDLastSave="0" documentId="13_ncr:1_{36633258-B800-498E-990E-BC46A57E96C6}" xr6:coauthVersionLast="47" xr6:coauthVersionMax="47" xr10:uidLastSave="{00000000-0000-0000-0000-000000000000}"/>
  <bookViews>
    <workbookView xWindow="-110" yWindow="-110" windowWidth="19420" windowHeight="10420" firstSheet="3" activeTab="7" xr2:uid="{00000000-000D-0000-FFFF-FFFF00000000}"/>
  </bookViews>
  <sheets>
    <sheet name="Front page" sheetId="10" r:id="rId1"/>
    <sheet name="R1" sheetId="1" r:id="rId2"/>
    <sheet name="Graph R1" sheetId="8" r:id="rId3"/>
    <sheet name="R2" sheetId="23" r:id="rId4"/>
    <sheet name="Graph R2" sheetId="19" r:id="rId5"/>
    <sheet name="R3" sheetId="33" r:id="rId6"/>
    <sheet name="Graph R3" sheetId="34" r:id="rId7"/>
    <sheet name="pooled normalised values" sheetId="4" r:id="rId8"/>
    <sheet name="pooled normalised graphe" sheetId="5" r:id="rId9"/>
  </sheets>
  <externalReferences>
    <externalReference r:id="rId10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10" l="1"/>
  <c r="R31" i="1"/>
  <c r="S31" i="1"/>
  <c r="T31" i="1"/>
  <c r="U31" i="1"/>
  <c r="V31" i="1"/>
  <c r="R32" i="1"/>
  <c r="S32" i="1"/>
  <c r="T32" i="1"/>
  <c r="U32" i="1"/>
  <c r="V32" i="1"/>
  <c r="R33" i="1"/>
  <c r="S33" i="1"/>
  <c r="T33" i="1"/>
  <c r="U33" i="1"/>
  <c r="V33" i="1"/>
  <c r="R34" i="1"/>
  <c r="S34" i="1"/>
  <c r="T34" i="1"/>
  <c r="U34" i="1"/>
  <c r="V34" i="1"/>
  <c r="R35" i="1"/>
  <c r="S35" i="1"/>
  <c r="T35" i="1"/>
  <c r="U35" i="1"/>
  <c r="V35" i="1"/>
  <c r="P36" i="1"/>
  <c r="Q36" i="1"/>
  <c r="R36" i="1"/>
  <c r="S36" i="1"/>
  <c r="T36" i="1"/>
  <c r="U36" i="1"/>
  <c r="V36" i="1"/>
  <c r="I34" i="1"/>
  <c r="J34" i="1"/>
  <c r="K34" i="1"/>
  <c r="L34" i="1"/>
  <c r="M34" i="1"/>
  <c r="B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A45" i="33"/>
  <c r="A27" i="33"/>
  <c r="A52" i="33" s="1"/>
  <c r="A22" i="33"/>
  <c r="A45" i="23"/>
  <c r="A27" i="23"/>
  <c r="A52" i="23" s="1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U43" i="33"/>
  <c r="T43" i="33"/>
  <c r="S43" i="33"/>
  <c r="R43" i="33"/>
  <c r="Q43" i="33"/>
  <c r="L53" i="4" s="1"/>
  <c r="P43" i="33"/>
  <c r="K53" i="4" s="1"/>
  <c r="O43" i="33"/>
  <c r="J53" i="4" s="1"/>
  <c r="M43" i="33"/>
  <c r="L43" i="33"/>
  <c r="K43" i="33"/>
  <c r="J43" i="33"/>
  <c r="I43" i="33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U42" i="33"/>
  <c r="T42" i="33"/>
  <c r="S42" i="33"/>
  <c r="R42" i="33"/>
  <c r="Q42" i="33"/>
  <c r="L52" i="4" s="1"/>
  <c r="P42" i="33"/>
  <c r="K52" i="4" s="1"/>
  <c r="O42" i="33"/>
  <c r="J52" i="4" s="1"/>
  <c r="M42" i="33"/>
  <c r="L42" i="33"/>
  <c r="K42" i="33"/>
  <c r="J42" i="33"/>
  <c r="I42" i="33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U41" i="33"/>
  <c r="T41" i="33"/>
  <c r="S41" i="33"/>
  <c r="R41" i="33"/>
  <c r="Q41" i="33"/>
  <c r="L51" i="4" s="1"/>
  <c r="P41" i="33"/>
  <c r="K51" i="4" s="1"/>
  <c r="O41" i="33"/>
  <c r="J51" i="4" s="1"/>
  <c r="M41" i="33"/>
  <c r="L41" i="33"/>
  <c r="K41" i="33"/>
  <c r="J41" i="33"/>
  <c r="I41" i="33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U40" i="33"/>
  <c r="T40" i="33"/>
  <c r="S40" i="33"/>
  <c r="R40" i="33"/>
  <c r="Q40" i="33"/>
  <c r="L50" i="4" s="1"/>
  <c r="P40" i="33"/>
  <c r="K50" i="4" s="1"/>
  <c r="O40" i="33"/>
  <c r="J50" i="4" s="1"/>
  <c r="M40" i="33"/>
  <c r="L40" i="33"/>
  <c r="K40" i="33"/>
  <c r="J40" i="33"/>
  <c r="I40" i="33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U39" i="33"/>
  <c r="T39" i="33"/>
  <c r="S39" i="33"/>
  <c r="R39" i="33"/>
  <c r="Q39" i="33"/>
  <c r="L49" i="4" s="1"/>
  <c r="P39" i="33"/>
  <c r="K49" i="4" s="1"/>
  <c r="O39" i="33"/>
  <c r="J49" i="4" s="1"/>
  <c r="M39" i="33"/>
  <c r="L39" i="33"/>
  <c r="K39" i="33"/>
  <c r="J39" i="33"/>
  <c r="I39" i="33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U38" i="33"/>
  <c r="T38" i="33"/>
  <c r="S38" i="33"/>
  <c r="R38" i="33"/>
  <c r="Q38" i="33"/>
  <c r="L48" i="4" s="1"/>
  <c r="P38" i="33"/>
  <c r="K48" i="4" s="1"/>
  <c r="O38" i="33"/>
  <c r="J48" i="4" s="1"/>
  <c r="M38" i="33"/>
  <c r="L38" i="33"/>
  <c r="K38" i="33"/>
  <c r="J38" i="33"/>
  <c r="I38" i="33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U37" i="33"/>
  <c r="T37" i="33"/>
  <c r="S37" i="33"/>
  <c r="R37" i="33"/>
  <c r="Q37" i="33"/>
  <c r="L47" i="4" s="1"/>
  <c r="P37" i="33"/>
  <c r="K47" i="4" s="1"/>
  <c r="O37" i="33"/>
  <c r="J47" i="4" s="1"/>
  <c r="M37" i="33"/>
  <c r="L37" i="33"/>
  <c r="K37" i="33"/>
  <c r="J37" i="33"/>
  <c r="I37" i="33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U36" i="33"/>
  <c r="T36" i="33"/>
  <c r="S36" i="33"/>
  <c r="R36" i="33"/>
  <c r="Q36" i="33"/>
  <c r="L46" i="4" s="1"/>
  <c r="P36" i="33"/>
  <c r="K46" i="4" s="1"/>
  <c r="O36" i="33"/>
  <c r="J46" i="4" s="1"/>
  <c r="M36" i="33"/>
  <c r="L36" i="33"/>
  <c r="K36" i="33"/>
  <c r="J36" i="33"/>
  <c r="I36" i="33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U35" i="33"/>
  <c r="T35" i="33"/>
  <c r="S35" i="33"/>
  <c r="R35" i="33"/>
  <c r="Q35" i="33"/>
  <c r="L45" i="4" s="1"/>
  <c r="P35" i="33"/>
  <c r="K45" i="4" s="1"/>
  <c r="O35" i="33"/>
  <c r="J45" i="4" s="1"/>
  <c r="M35" i="33"/>
  <c r="L35" i="33"/>
  <c r="K35" i="33"/>
  <c r="J35" i="33"/>
  <c r="I35" i="33"/>
  <c r="G35" i="33"/>
  <c r="G45" i="4" s="1"/>
  <c r="F35" i="33"/>
  <c r="F45" i="4" s="1"/>
  <c r="C35" i="33"/>
  <c r="C45" i="4" s="1"/>
  <c r="B35" i="33"/>
  <c r="B45" i="4" s="1"/>
  <c r="M34" i="33"/>
  <c r="L34" i="33"/>
  <c r="K34" i="33"/>
  <c r="J34" i="33"/>
  <c r="I34" i="33"/>
  <c r="G34" i="33"/>
  <c r="G44" i="4" s="1"/>
  <c r="F34" i="33"/>
  <c r="F44" i="4" s="1"/>
  <c r="C34" i="33"/>
  <c r="C44" i="4" s="1"/>
  <c r="B34" i="33"/>
  <c r="B44" i="4" s="1"/>
  <c r="V30" i="33"/>
  <c r="U30" i="33"/>
  <c r="T30" i="33"/>
  <c r="S30" i="33"/>
  <c r="R30" i="33"/>
  <c r="Q30" i="33"/>
  <c r="L40" i="4" s="1"/>
  <c r="P30" i="33"/>
  <c r="K40" i="4" s="1"/>
  <c r="O30" i="33"/>
  <c r="J40" i="4" s="1"/>
  <c r="V29" i="33"/>
  <c r="U29" i="33"/>
  <c r="T29" i="33"/>
  <c r="S29" i="33"/>
  <c r="R29" i="33"/>
  <c r="Q29" i="33"/>
  <c r="L39" i="4" s="1"/>
  <c r="P29" i="33"/>
  <c r="K39" i="4" s="1"/>
  <c r="O29" i="33"/>
  <c r="J39" i="4" s="1"/>
  <c r="M29" i="33"/>
  <c r="L29" i="33"/>
  <c r="K29" i="33"/>
  <c r="J29" i="33"/>
  <c r="I29" i="33"/>
  <c r="G29" i="33"/>
  <c r="G39" i="4" s="1"/>
  <c r="F29" i="33"/>
  <c r="F39" i="4" s="1"/>
  <c r="C29" i="33"/>
  <c r="C39" i="4" s="1"/>
  <c r="B29" i="33"/>
  <c r="B39" i="4" s="1"/>
  <c r="V28" i="33"/>
  <c r="U28" i="33"/>
  <c r="T28" i="33"/>
  <c r="S28" i="33"/>
  <c r="R28" i="33"/>
  <c r="Q28" i="33"/>
  <c r="P28" i="33"/>
  <c r="O28" i="33"/>
  <c r="M28" i="33"/>
  <c r="L28" i="33"/>
  <c r="K28" i="33"/>
  <c r="J28" i="33"/>
  <c r="I28" i="33"/>
  <c r="G28" i="33"/>
  <c r="F28" i="33"/>
  <c r="C28" i="33"/>
  <c r="B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H28" i="33" l="1"/>
  <c r="D29" i="33"/>
  <c r="D39" i="4" s="1"/>
  <c r="D34" i="33"/>
  <c r="D44" i="4" s="1"/>
  <c r="H34" i="33"/>
  <c r="H44" i="4" s="1"/>
  <c r="D35" i="33"/>
  <c r="D45" i="4" s="1"/>
  <c r="H35" i="33"/>
  <c r="H45" i="4" s="1"/>
  <c r="D28" i="33"/>
  <c r="H29" i="33"/>
  <c r="H39" i="4" s="1"/>
  <c r="E28" i="33"/>
  <c r="E29" i="33"/>
  <c r="E39" i="4" s="1"/>
  <c r="E34" i="33"/>
  <c r="E44" i="4" s="1"/>
  <c r="E35" i="33"/>
  <c r="E45" i="4" s="1"/>
  <c r="L32" i="33"/>
  <c r="M33" i="33"/>
  <c r="F30" i="33"/>
  <c r="P31" i="33"/>
  <c r="Q32" i="33"/>
  <c r="L42" i="4" s="1"/>
  <c r="R33" i="33"/>
  <c r="B30" i="33"/>
  <c r="V33" i="33"/>
  <c r="O34" i="33"/>
  <c r="J44" i="4" s="1"/>
  <c r="K31" i="33"/>
  <c r="J30" i="33"/>
  <c r="C31" i="33"/>
  <c r="C41" i="4" s="1"/>
  <c r="T31" i="33"/>
  <c r="D32" i="33"/>
  <c r="D42" i="4" s="1"/>
  <c r="U32" i="33"/>
  <c r="E33" i="33"/>
  <c r="E43" i="4" s="1"/>
  <c r="G31" i="33"/>
  <c r="G41" i="4" s="1"/>
  <c r="H32" i="33"/>
  <c r="H42" i="4" s="1"/>
  <c r="I33" i="33"/>
  <c r="S34" i="33"/>
  <c r="C30" i="33"/>
  <c r="G30" i="33"/>
  <c r="K30" i="33"/>
  <c r="D31" i="33"/>
  <c r="D41" i="4" s="1"/>
  <c r="H31" i="33"/>
  <c r="H41" i="4" s="1"/>
  <c r="L31" i="33"/>
  <c r="Q31" i="33"/>
  <c r="U31" i="33"/>
  <c r="I32" i="33"/>
  <c r="M32" i="33"/>
  <c r="V32" i="33"/>
  <c r="B33" i="33"/>
  <c r="B43" i="4" s="1"/>
  <c r="E32" i="33"/>
  <c r="E42" i="4" s="1"/>
  <c r="R32" i="33"/>
  <c r="F33" i="33"/>
  <c r="F43" i="4" s="1"/>
  <c r="J33" i="33"/>
  <c r="O33" i="33"/>
  <c r="J43" i="4" s="1"/>
  <c r="S33" i="33"/>
  <c r="P34" i="33"/>
  <c r="K44" i="4" s="1"/>
  <c r="T34" i="33"/>
  <c r="D30" i="33"/>
  <c r="H30" i="33"/>
  <c r="L30" i="33"/>
  <c r="E31" i="33"/>
  <c r="E41" i="4" s="1"/>
  <c r="I31" i="33"/>
  <c r="M31" i="33"/>
  <c r="R31" i="33"/>
  <c r="R47" i="33" s="1"/>
  <c r="R48" i="33" s="1"/>
  <c r="R54" i="33" s="1"/>
  <c r="V31" i="33"/>
  <c r="B32" i="33"/>
  <c r="B42" i="4" s="1"/>
  <c r="F32" i="33"/>
  <c r="F42" i="4" s="1"/>
  <c r="J32" i="33"/>
  <c r="O32" i="33"/>
  <c r="J42" i="4" s="1"/>
  <c r="S32" i="33"/>
  <c r="C33" i="33"/>
  <c r="C43" i="4" s="1"/>
  <c r="G33" i="33"/>
  <c r="G43" i="4" s="1"/>
  <c r="K33" i="33"/>
  <c r="P33" i="33"/>
  <c r="K43" i="4" s="1"/>
  <c r="T33" i="33"/>
  <c r="Q34" i="33"/>
  <c r="L44" i="4" s="1"/>
  <c r="U34" i="33"/>
  <c r="E30" i="33"/>
  <c r="I30" i="33"/>
  <c r="M30" i="33"/>
  <c r="B31" i="33"/>
  <c r="B41" i="4" s="1"/>
  <c r="F31" i="33"/>
  <c r="F41" i="4" s="1"/>
  <c r="J31" i="33"/>
  <c r="O31" i="33"/>
  <c r="S31" i="33"/>
  <c r="S47" i="33" s="1"/>
  <c r="S48" i="33" s="1"/>
  <c r="S54" i="33" s="1"/>
  <c r="C32" i="33"/>
  <c r="C42" i="4" s="1"/>
  <c r="G32" i="33"/>
  <c r="G42" i="4" s="1"/>
  <c r="K32" i="33"/>
  <c r="P32" i="33"/>
  <c r="K42" i="4" s="1"/>
  <c r="T32" i="33"/>
  <c r="D33" i="33"/>
  <c r="D43" i="4" s="1"/>
  <c r="H33" i="33"/>
  <c r="H43" i="4" s="1"/>
  <c r="L33" i="33"/>
  <c r="Q33" i="33"/>
  <c r="L43" i="4" s="1"/>
  <c r="U33" i="33"/>
  <c r="R34" i="33"/>
  <c r="D38" i="4"/>
  <c r="H38" i="4"/>
  <c r="E38" i="4"/>
  <c r="B38" i="4"/>
  <c r="B22" i="33"/>
  <c r="E22" i="33"/>
  <c r="I45" i="33"/>
  <c r="I52" i="33"/>
  <c r="I27" i="33"/>
  <c r="C38" i="4"/>
  <c r="G38" i="4"/>
  <c r="K47" i="33"/>
  <c r="K38" i="4"/>
  <c r="B27" i="33"/>
  <c r="B52" i="33" s="1"/>
  <c r="L38" i="4"/>
  <c r="D27" i="33"/>
  <c r="D52" i="33" s="1"/>
  <c r="I22" i="33"/>
  <c r="E27" i="33"/>
  <c r="E52" i="33" s="1"/>
  <c r="F38" i="4"/>
  <c r="J38" i="4"/>
  <c r="D45" i="33"/>
  <c r="F22" i="33"/>
  <c r="R46" i="33"/>
  <c r="R53" i="33" s="1"/>
  <c r="F45" i="33"/>
  <c r="G22" i="33"/>
  <c r="G27" i="33"/>
  <c r="G52" i="33" s="1"/>
  <c r="C22" i="33"/>
  <c r="C27" i="33"/>
  <c r="C52" i="33" s="1"/>
  <c r="H27" i="33"/>
  <c r="H52" i="33" s="1"/>
  <c r="H45" i="33"/>
  <c r="C56" i="33"/>
  <c r="Q56" i="33"/>
  <c r="I56" i="33"/>
  <c r="R56" i="33"/>
  <c r="U56" i="33"/>
  <c r="D56" i="33"/>
  <c r="L56" i="33"/>
  <c r="F56" i="33"/>
  <c r="M56" i="33"/>
  <c r="V56" i="33"/>
  <c r="E56" i="33"/>
  <c r="G56" i="33"/>
  <c r="J56" i="33"/>
  <c r="O56" i="33"/>
  <c r="S56" i="33"/>
  <c r="B56" i="33"/>
  <c r="H56" i="33"/>
  <c r="K56" i="33"/>
  <c r="P56" i="33"/>
  <c r="T56" i="33"/>
  <c r="L47" i="33" l="1"/>
  <c r="I47" i="33"/>
  <c r="I48" i="33" s="1"/>
  <c r="I54" i="33" s="1"/>
  <c r="I46" i="33"/>
  <c r="I53" i="33" s="1"/>
  <c r="Q46" i="33"/>
  <c r="Q53" i="33" s="1"/>
  <c r="H46" i="33"/>
  <c r="H53" i="33" s="1"/>
  <c r="G47" i="33"/>
  <c r="G48" i="33" s="1"/>
  <c r="G54" i="33" s="1"/>
  <c r="E46" i="33"/>
  <c r="E53" i="33" s="1"/>
  <c r="D46" i="33"/>
  <c r="D53" i="33" s="1"/>
  <c r="C47" i="33"/>
  <c r="C48" i="33" s="1"/>
  <c r="C54" i="33" s="1"/>
  <c r="H47" i="33"/>
  <c r="H48" i="33" s="1"/>
  <c r="H54" i="33" s="1"/>
  <c r="G46" i="33"/>
  <c r="G53" i="33" s="1"/>
  <c r="S57" i="33"/>
  <c r="V57" i="33"/>
  <c r="U57" i="33"/>
  <c r="P57" i="33"/>
  <c r="O57" i="33"/>
  <c r="M57" i="33"/>
  <c r="R57" i="33"/>
  <c r="K57" i="33"/>
  <c r="J57" i="33"/>
  <c r="F57" i="33"/>
  <c r="I57" i="33"/>
  <c r="H57" i="33"/>
  <c r="G57" i="33"/>
  <c r="L57" i="33"/>
  <c r="Q57" i="33"/>
  <c r="Q59" i="33" s="1"/>
  <c r="B57" i="33"/>
  <c r="F59" i="33" s="1"/>
  <c r="E57" i="33"/>
  <c r="D57" i="33"/>
  <c r="C57" i="33"/>
  <c r="T57" i="33"/>
  <c r="K41" i="4"/>
  <c r="L48" i="33"/>
  <c r="L54" i="33" s="1"/>
  <c r="K48" i="33"/>
  <c r="K54" i="33" s="1"/>
  <c r="J41" i="4"/>
  <c r="F40" i="4"/>
  <c r="O47" i="33"/>
  <c r="O48" i="33" s="1"/>
  <c r="O54" i="33" s="1"/>
  <c r="H40" i="4"/>
  <c r="G40" i="4"/>
  <c r="L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P55" i="33" s="1"/>
  <c r="L46" i="33"/>
  <c r="L53" i="33" s="1"/>
  <c r="K46" i="33"/>
  <c r="K53" i="33" s="1"/>
  <c r="S59" i="33"/>
  <c r="U59" i="33"/>
  <c r="P59" i="33"/>
  <c r="V59" i="33"/>
  <c r="T59" i="33"/>
  <c r="R59" i="33"/>
  <c r="S55" i="33" l="1"/>
  <c r="M55" i="33"/>
  <c r="E59" i="33"/>
  <c r="H59" i="33"/>
  <c r="J59" i="33"/>
  <c r="J60" i="33" s="1"/>
  <c r="J61" i="33" s="1"/>
  <c r="L59" i="33"/>
  <c r="L60" i="33" s="1"/>
  <c r="L61" i="33" s="1"/>
  <c r="D59" i="33"/>
  <c r="D60" i="33" s="1"/>
  <c r="D61" i="33" s="1"/>
  <c r="O59" i="33"/>
  <c r="O60" i="33" s="1"/>
  <c r="O61" i="33" s="1"/>
  <c r="C59" i="33"/>
  <c r="C60" i="33" s="1"/>
  <c r="C61" i="33" s="1"/>
  <c r="G59" i="33"/>
  <c r="G60" i="33" s="1"/>
  <c r="G61" i="33" s="1"/>
  <c r="I59" i="33"/>
  <c r="K59" i="33"/>
  <c r="K60" i="33" s="1"/>
  <c r="K61" i="33" s="1"/>
  <c r="M59" i="33"/>
  <c r="M60" i="33" s="1"/>
  <c r="M61" i="33" s="1"/>
  <c r="F60" i="33"/>
  <c r="F61" i="33" s="1"/>
  <c r="U60" i="33"/>
  <c r="U61" i="33" s="1"/>
  <c r="H60" i="33"/>
  <c r="H61" i="33" s="1"/>
  <c r="T60" i="33"/>
  <c r="T61" i="33" s="1"/>
  <c r="S60" i="33"/>
  <c r="S61" i="33" s="1"/>
  <c r="P60" i="33"/>
  <c r="P61" i="33" s="1"/>
  <c r="R60" i="33"/>
  <c r="R61" i="33" s="1"/>
  <c r="E60" i="33"/>
  <c r="E61" i="33" s="1"/>
  <c r="V60" i="33"/>
  <c r="V61" i="33" s="1"/>
  <c r="I60" i="33"/>
  <c r="I61" i="33" s="1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Q60" i="33"/>
  <c r="Q61" i="33" l="1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28" i="23"/>
  <c r="Q28" i="23"/>
  <c r="R28" i="23"/>
  <c r="S28" i="23"/>
  <c r="T28" i="23"/>
  <c r="U28" i="23"/>
  <c r="V28" i="23"/>
  <c r="P29" i="23"/>
  <c r="Q29" i="23"/>
  <c r="L23" i="4" s="1"/>
  <c r="R29" i="23"/>
  <c r="S29" i="23"/>
  <c r="T29" i="23"/>
  <c r="U29" i="23"/>
  <c r="V29" i="23"/>
  <c r="P30" i="23"/>
  <c r="K24" i="4" s="1"/>
  <c r="Q30" i="23"/>
  <c r="L24" i="4" s="1"/>
  <c r="R30" i="23"/>
  <c r="S30" i="23"/>
  <c r="T30" i="23"/>
  <c r="U30" i="23"/>
  <c r="V30" i="23"/>
  <c r="P31" i="23"/>
  <c r="K25" i="4" s="1"/>
  <c r="Q31" i="23"/>
  <c r="L25" i="4" s="1"/>
  <c r="R31" i="23"/>
  <c r="S31" i="23"/>
  <c r="T31" i="23"/>
  <c r="U31" i="23"/>
  <c r="V31" i="23"/>
  <c r="P32" i="23"/>
  <c r="K26" i="4" s="1"/>
  <c r="Q32" i="23"/>
  <c r="L26" i="4" s="1"/>
  <c r="R32" i="23"/>
  <c r="S32" i="23"/>
  <c r="T32" i="23"/>
  <c r="U32" i="23"/>
  <c r="V32" i="23"/>
  <c r="P37" i="23"/>
  <c r="K31" i="4" s="1"/>
  <c r="Q37" i="23"/>
  <c r="R37" i="23"/>
  <c r="S37" i="23"/>
  <c r="T37" i="23"/>
  <c r="U37" i="23"/>
  <c r="V37" i="23"/>
  <c r="P38" i="23"/>
  <c r="K32" i="4" s="1"/>
  <c r="Q38" i="23"/>
  <c r="L32" i="4" s="1"/>
  <c r="R38" i="23"/>
  <c r="S38" i="23"/>
  <c r="T38" i="23"/>
  <c r="U38" i="23"/>
  <c r="V38" i="23"/>
  <c r="P39" i="23"/>
  <c r="K33" i="4" s="1"/>
  <c r="Q39" i="23"/>
  <c r="L33" i="4" s="1"/>
  <c r="R39" i="23"/>
  <c r="S39" i="23"/>
  <c r="T39" i="23"/>
  <c r="U39" i="23"/>
  <c r="V39" i="23"/>
  <c r="P40" i="23"/>
  <c r="K34" i="4" s="1"/>
  <c r="Q40" i="23"/>
  <c r="L34" i="4" s="1"/>
  <c r="R40" i="23"/>
  <c r="S40" i="23"/>
  <c r="T40" i="23"/>
  <c r="U40" i="23"/>
  <c r="V40" i="23"/>
  <c r="P41" i="23"/>
  <c r="K35" i="4" s="1"/>
  <c r="Q41" i="23"/>
  <c r="L35" i="4" s="1"/>
  <c r="R41" i="23"/>
  <c r="S41" i="23"/>
  <c r="T41" i="23"/>
  <c r="U41" i="23"/>
  <c r="V41" i="23"/>
  <c r="P42" i="23"/>
  <c r="K36" i="4" s="1"/>
  <c r="Q42" i="23"/>
  <c r="L36" i="4" s="1"/>
  <c r="R42" i="23"/>
  <c r="S42" i="23"/>
  <c r="T42" i="23"/>
  <c r="U42" i="23"/>
  <c r="V42" i="23"/>
  <c r="P43" i="23"/>
  <c r="Q43" i="23"/>
  <c r="L37" i="4" s="1"/>
  <c r="R43" i="23"/>
  <c r="S43" i="23"/>
  <c r="T43" i="23"/>
  <c r="U43" i="23"/>
  <c r="V43" i="23"/>
  <c r="K28" i="23"/>
  <c r="L28" i="23"/>
  <c r="M28" i="23"/>
  <c r="K29" i="23"/>
  <c r="L29" i="23"/>
  <c r="M29" i="23"/>
  <c r="K30" i="23"/>
  <c r="L30" i="23"/>
  <c r="M30" i="23"/>
  <c r="K31" i="23"/>
  <c r="L31" i="23"/>
  <c r="M31" i="23"/>
  <c r="K36" i="23"/>
  <c r="L36" i="23"/>
  <c r="M36" i="23"/>
  <c r="K37" i="23"/>
  <c r="L37" i="23"/>
  <c r="M37" i="23"/>
  <c r="K38" i="23"/>
  <c r="L38" i="23"/>
  <c r="M38" i="23"/>
  <c r="K39" i="23"/>
  <c r="L39" i="23"/>
  <c r="M39" i="23"/>
  <c r="K40" i="23"/>
  <c r="L40" i="23"/>
  <c r="M40" i="23"/>
  <c r="K41" i="23"/>
  <c r="L41" i="23"/>
  <c r="M41" i="23"/>
  <c r="K42" i="23"/>
  <c r="L42" i="23"/>
  <c r="M42" i="23"/>
  <c r="K43" i="23"/>
  <c r="L43" i="23"/>
  <c r="M43" i="23"/>
  <c r="S28" i="1"/>
  <c r="T28" i="1"/>
  <c r="U28" i="1"/>
  <c r="V28" i="1"/>
  <c r="S29" i="1"/>
  <c r="T29" i="1"/>
  <c r="U29" i="1"/>
  <c r="V29" i="1"/>
  <c r="S30" i="1"/>
  <c r="T30" i="1"/>
  <c r="U30" i="1"/>
  <c r="V30" i="1"/>
  <c r="S37" i="1"/>
  <c r="T37" i="1"/>
  <c r="U37" i="1"/>
  <c r="V37" i="1"/>
  <c r="S38" i="1"/>
  <c r="T38" i="1"/>
  <c r="U38" i="1"/>
  <c r="V38" i="1"/>
  <c r="S39" i="1"/>
  <c r="T39" i="1"/>
  <c r="U39" i="1"/>
  <c r="V39" i="1"/>
  <c r="S40" i="1"/>
  <c r="T40" i="1"/>
  <c r="U40" i="1"/>
  <c r="V40" i="1"/>
  <c r="S41" i="1"/>
  <c r="T41" i="1"/>
  <c r="U41" i="1"/>
  <c r="V41" i="1"/>
  <c r="S42" i="1"/>
  <c r="T42" i="1"/>
  <c r="U42" i="1"/>
  <c r="V42" i="1"/>
  <c r="S43" i="1"/>
  <c r="T43" i="1"/>
  <c r="U43" i="1"/>
  <c r="V43" i="1"/>
  <c r="K28" i="1"/>
  <c r="L28" i="1"/>
  <c r="M28" i="1"/>
  <c r="K29" i="1"/>
  <c r="L29" i="1"/>
  <c r="M29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J28" i="1"/>
  <c r="N45" i="1"/>
  <c r="A22" i="1"/>
  <c r="I43" i="23"/>
  <c r="H43" i="23"/>
  <c r="G43" i="23"/>
  <c r="F43" i="23"/>
  <c r="E43" i="23"/>
  <c r="D43" i="23"/>
  <c r="C43" i="23"/>
  <c r="B43" i="23"/>
  <c r="I42" i="23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I39" i="23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L31" i="4"/>
  <c r="I37" i="23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C28" i="23"/>
  <c r="J29" i="23"/>
  <c r="J40" i="23"/>
  <c r="J36" i="23"/>
  <c r="G31" i="23"/>
  <c r="G25" i="4" s="1"/>
  <c r="I29" i="23"/>
  <c r="J28" i="23"/>
  <c r="F28" i="23"/>
  <c r="J42" i="23"/>
  <c r="J38" i="23"/>
  <c r="I31" i="23"/>
  <c r="E31" i="23"/>
  <c r="E25" i="4" s="1"/>
  <c r="J30" i="23"/>
  <c r="D28" i="23"/>
  <c r="J41" i="23"/>
  <c r="J37" i="23"/>
  <c r="I34" i="23"/>
  <c r="J43" i="23"/>
  <c r="J39" i="23"/>
  <c r="I32" i="23"/>
  <c r="J31" i="23"/>
  <c r="F31" i="23"/>
  <c r="F25" i="4" s="1"/>
  <c r="H29" i="23"/>
  <c r="H23" i="4" s="1"/>
  <c r="I28" i="23"/>
  <c r="G29" i="23"/>
  <c r="G23" i="4" s="1"/>
  <c r="G28" i="23"/>
  <c r="I30" i="23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I23" i="1"/>
  <c r="I24" i="1"/>
  <c r="J29" i="1"/>
  <c r="C14" i="4"/>
  <c r="D14" i="4"/>
  <c r="E14" i="4"/>
  <c r="F14" i="4"/>
  <c r="G14" i="4"/>
  <c r="H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J37" i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J38" i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J39" i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J40" i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J41" i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J42" i="1"/>
  <c r="C43" i="1"/>
  <c r="D43" i="1"/>
  <c r="E43" i="1"/>
  <c r="F43" i="1"/>
  <c r="G43" i="1"/>
  <c r="H43" i="1"/>
  <c r="I43" i="1"/>
  <c r="J43" i="1"/>
  <c r="I45" i="1"/>
  <c r="L14" i="4"/>
  <c r="Q37" i="1"/>
  <c r="L15" i="4" s="1"/>
  <c r="P38" i="1"/>
  <c r="K16" i="4" s="1"/>
  <c r="Q38" i="1"/>
  <c r="L16" i="4" s="1"/>
  <c r="P39" i="1"/>
  <c r="K17" i="4" s="1"/>
  <c r="Q39" i="1"/>
  <c r="L17" i="4" s="1"/>
  <c r="R39" i="1"/>
  <c r="P40" i="1"/>
  <c r="K18" i="4" s="1"/>
  <c r="Q40" i="1"/>
  <c r="L18" i="4" s="1"/>
  <c r="R40" i="1"/>
  <c r="P41" i="1"/>
  <c r="K19" i="4" s="1"/>
  <c r="Q41" i="1"/>
  <c r="L19" i="4" s="1"/>
  <c r="P42" i="1"/>
  <c r="K20" i="4" s="1"/>
  <c r="Q42" i="1"/>
  <c r="L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H27" i="1"/>
  <c r="H52" i="1" s="1"/>
  <c r="G27" i="1"/>
  <c r="G52" i="1" s="1"/>
  <c r="F27" i="1"/>
  <c r="F52" i="1" s="1"/>
  <c r="E4" i="4"/>
  <c r="D22" i="1"/>
  <c r="C45" i="1"/>
  <c r="E29" i="1"/>
  <c r="I29" i="1"/>
  <c r="O39" i="1"/>
  <c r="J17" i="4" s="1"/>
  <c r="O43" i="1"/>
  <c r="O40" i="1"/>
  <c r="J18" i="4" s="1"/>
  <c r="P28" i="1"/>
  <c r="O41" i="1"/>
  <c r="J19" i="4" s="1"/>
  <c r="Q28" i="1"/>
  <c r="O38" i="1"/>
  <c r="J16" i="4" s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L4" i="1"/>
  <c r="K4" i="23"/>
  <c r="K52" i="23" s="1"/>
  <c r="L4" i="23"/>
  <c r="L27" i="23" s="1"/>
  <c r="V56" i="1"/>
  <c r="S56" i="1"/>
  <c r="U56" i="1"/>
  <c r="T56" i="1"/>
  <c r="O40" i="23" l="1"/>
  <c r="J34" i="4" s="1"/>
  <c r="H31" i="23"/>
  <c r="H25" i="4" s="1"/>
  <c r="E28" i="23"/>
  <c r="C29" i="23"/>
  <c r="C23" i="4" s="1"/>
  <c r="D30" i="23"/>
  <c r="D24" i="4" s="1"/>
  <c r="D31" i="23"/>
  <c r="D25" i="4" s="1"/>
  <c r="O43" i="23"/>
  <c r="O39" i="23"/>
  <c r="J33" i="4" s="1"/>
  <c r="C30" i="23"/>
  <c r="C24" i="4" s="1"/>
  <c r="F30" i="23"/>
  <c r="F24" i="4" s="1"/>
  <c r="E29" i="23"/>
  <c r="E23" i="4" s="1"/>
  <c r="H30" i="23"/>
  <c r="H24" i="4" s="1"/>
  <c r="F29" i="23"/>
  <c r="F23" i="4" s="1"/>
  <c r="O42" i="23"/>
  <c r="J36" i="4" s="1"/>
  <c r="O29" i="23"/>
  <c r="J23" i="4" s="1"/>
  <c r="H28" i="23"/>
  <c r="H22" i="4" s="1"/>
  <c r="D29" i="23"/>
  <c r="D23" i="4" s="1"/>
  <c r="G30" i="23"/>
  <c r="G24" i="4" s="1"/>
  <c r="C31" i="23"/>
  <c r="C25" i="4" s="1"/>
  <c r="E30" i="23"/>
  <c r="E24" i="4" s="1"/>
  <c r="O41" i="23"/>
  <c r="J35" i="4" s="1"/>
  <c r="E34" i="1"/>
  <c r="O31" i="1"/>
  <c r="O32" i="1"/>
  <c r="J10" i="4" s="1"/>
  <c r="O33" i="1"/>
  <c r="O34" i="1"/>
  <c r="O35" i="1"/>
  <c r="O36" i="1"/>
  <c r="B34" i="1"/>
  <c r="F34" i="1"/>
  <c r="F12" i="4" s="1"/>
  <c r="F35" i="1"/>
  <c r="F13" i="4" s="1"/>
  <c r="Q32" i="1"/>
  <c r="Q33" i="1"/>
  <c r="Q34" i="1"/>
  <c r="Q35" i="1"/>
  <c r="L13" i="4" s="1"/>
  <c r="D34" i="1"/>
  <c r="D35" i="1"/>
  <c r="D13" i="4" s="1"/>
  <c r="E35" i="1"/>
  <c r="E13" i="4" s="1"/>
  <c r="P31" i="1"/>
  <c r="P32" i="1"/>
  <c r="P33" i="1"/>
  <c r="K11" i="4" s="1"/>
  <c r="P34" i="1"/>
  <c r="P35" i="1"/>
  <c r="C34" i="1"/>
  <c r="G34" i="1"/>
  <c r="G12" i="4" s="1"/>
  <c r="C35" i="1"/>
  <c r="C13" i="4" s="1"/>
  <c r="G35" i="1"/>
  <c r="G13" i="4" s="1"/>
  <c r="Q31" i="1"/>
  <c r="H34" i="1"/>
  <c r="H12" i="4" s="1"/>
  <c r="H35" i="1"/>
  <c r="H13" i="4" s="1"/>
  <c r="P30" i="1"/>
  <c r="K8" i="4" s="1"/>
  <c r="O42" i="1"/>
  <c r="J20" i="4" s="1"/>
  <c r="F29" i="1"/>
  <c r="F7" i="4" s="1"/>
  <c r="G29" i="1"/>
  <c r="C34" i="23"/>
  <c r="C28" i="4" s="1"/>
  <c r="C33" i="23"/>
  <c r="C27" i="4" s="1"/>
  <c r="C29" i="1"/>
  <c r="C7" i="4" s="1"/>
  <c r="B30" i="1"/>
  <c r="F30" i="1"/>
  <c r="F8" i="4" s="1"/>
  <c r="J30" i="1"/>
  <c r="B31" i="1"/>
  <c r="F31" i="1"/>
  <c r="J31" i="1"/>
  <c r="B32" i="1"/>
  <c r="F32" i="1"/>
  <c r="J32" i="1"/>
  <c r="B33" i="1"/>
  <c r="F33" i="1"/>
  <c r="F11" i="4" s="1"/>
  <c r="J33" i="1"/>
  <c r="C30" i="1"/>
  <c r="G30" i="1"/>
  <c r="G8" i="4" s="1"/>
  <c r="K30" i="1"/>
  <c r="C31" i="1"/>
  <c r="G31" i="1"/>
  <c r="G9" i="4" s="1"/>
  <c r="K31" i="1"/>
  <c r="C32" i="1"/>
  <c r="G32" i="1"/>
  <c r="K32" i="1"/>
  <c r="C33" i="1"/>
  <c r="C11" i="4" s="1"/>
  <c r="G33" i="1"/>
  <c r="K33" i="1"/>
  <c r="H30" i="1"/>
  <c r="H8" i="4" s="1"/>
  <c r="L30" i="1"/>
  <c r="D31" i="1"/>
  <c r="D9" i="4" s="1"/>
  <c r="L31" i="1"/>
  <c r="D32" i="1"/>
  <c r="L32" i="1"/>
  <c r="D33" i="1"/>
  <c r="D11" i="4" s="1"/>
  <c r="L33" i="1"/>
  <c r="D30" i="1"/>
  <c r="H31" i="1"/>
  <c r="H9" i="4" s="1"/>
  <c r="H32" i="1"/>
  <c r="H10" i="4" s="1"/>
  <c r="H33" i="1"/>
  <c r="E30" i="1"/>
  <c r="I30" i="1"/>
  <c r="M30" i="1"/>
  <c r="E31" i="1"/>
  <c r="I31" i="1"/>
  <c r="M31" i="1"/>
  <c r="E32" i="1"/>
  <c r="E10" i="4" s="1"/>
  <c r="I32" i="1"/>
  <c r="M32" i="1"/>
  <c r="E33" i="1"/>
  <c r="E11" i="4" s="1"/>
  <c r="I33" i="1"/>
  <c r="M33" i="1"/>
  <c r="F33" i="23"/>
  <c r="F27" i="4" s="1"/>
  <c r="E35" i="23"/>
  <c r="E29" i="4" s="1"/>
  <c r="H34" i="23"/>
  <c r="H28" i="4" s="1"/>
  <c r="M33" i="23"/>
  <c r="L35" i="23"/>
  <c r="M32" i="23"/>
  <c r="O36" i="23"/>
  <c r="J30" i="4" s="1"/>
  <c r="S36" i="23"/>
  <c r="S34" i="23"/>
  <c r="U33" i="23"/>
  <c r="J33" i="23"/>
  <c r="I35" i="23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L32" i="23"/>
  <c r="V36" i="23"/>
  <c r="R36" i="23"/>
  <c r="T35" i="23"/>
  <c r="P35" i="23"/>
  <c r="K29" i="4" s="1"/>
  <c r="V34" i="23"/>
  <c r="T33" i="23"/>
  <c r="D35" i="23"/>
  <c r="D29" i="4" s="1"/>
  <c r="D32" i="23"/>
  <c r="H33" i="23"/>
  <c r="H27" i="4" s="1"/>
  <c r="F35" i="23"/>
  <c r="F29" i="4" s="1"/>
  <c r="C32" i="23"/>
  <c r="J34" i="23"/>
  <c r="F32" i="23"/>
  <c r="I33" i="23"/>
  <c r="G35" i="23"/>
  <c r="G29" i="4" s="1"/>
  <c r="M34" i="23"/>
  <c r="L33" i="23"/>
  <c r="K32" i="23"/>
  <c r="O33" i="23"/>
  <c r="J27" i="4" s="1"/>
  <c r="U36" i="23"/>
  <c r="Q36" i="23"/>
  <c r="L30" i="4" s="1"/>
  <c r="S35" i="23"/>
  <c r="U34" i="23"/>
  <c r="Q34" i="23"/>
  <c r="L28" i="4" s="1"/>
  <c r="S33" i="23"/>
  <c r="K34" i="23"/>
  <c r="U35" i="23"/>
  <c r="Q35" i="23"/>
  <c r="L29" i="4" s="1"/>
  <c r="Q33" i="23"/>
  <c r="O35" i="23"/>
  <c r="J29" i="4" s="1"/>
  <c r="R34" i="23"/>
  <c r="P33" i="23"/>
  <c r="G32" i="23"/>
  <c r="G33" i="23"/>
  <c r="G27" i="4" s="1"/>
  <c r="E32" i="23"/>
  <c r="J35" i="23"/>
  <c r="E34" i="23"/>
  <c r="E28" i="4" s="1"/>
  <c r="H32" i="23"/>
  <c r="J32" i="23"/>
  <c r="D34" i="23"/>
  <c r="D28" i="4" s="1"/>
  <c r="M35" i="23"/>
  <c r="L34" i="23"/>
  <c r="K33" i="23"/>
  <c r="T36" i="23"/>
  <c r="P36" i="23"/>
  <c r="K30" i="4" s="1"/>
  <c r="V35" i="23"/>
  <c r="R35" i="23"/>
  <c r="T34" i="23"/>
  <c r="P34" i="23"/>
  <c r="K28" i="4" s="1"/>
  <c r="V33" i="23"/>
  <c r="R33" i="23"/>
  <c r="H11" i="4"/>
  <c r="E8" i="4"/>
  <c r="B11" i="4"/>
  <c r="F10" i="4"/>
  <c r="L12" i="4"/>
  <c r="L11" i="4"/>
  <c r="K12" i="4"/>
  <c r="L9" i="4"/>
  <c r="D22" i="4"/>
  <c r="E22" i="4"/>
  <c r="C22" i="4"/>
  <c r="G22" i="4"/>
  <c r="L22" i="4"/>
  <c r="F22" i="4"/>
  <c r="K22" i="4"/>
  <c r="L6" i="4"/>
  <c r="K6" i="4"/>
  <c r="T4" i="33"/>
  <c r="T22" i="33" s="1"/>
  <c r="Q22" i="1"/>
  <c r="G10" i="4"/>
  <c r="H29" i="1"/>
  <c r="E28" i="1"/>
  <c r="D12" i="4"/>
  <c r="F28" i="1"/>
  <c r="R41" i="1"/>
  <c r="R37" i="1"/>
  <c r="Q29" i="1"/>
  <c r="O37" i="1"/>
  <c r="J15" i="4" s="1"/>
  <c r="P29" i="1"/>
  <c r="B12" i="4"/>
  <c r="B13" i="4"/>
  <c r="C12" i="4"/>
  <c r="I28" i="1"/>
  <c r="H28" i="1"/>
  <c r="G28" i="1"/>
  <c r="E9" i="4"/>
  <c r="R42" i="1"/>
  <c r="R38" i="1"/>
  <c r="E55" i="4"/>
  <c r="E62" i="4"/>
  <c r="K21" i="4"/>
  <c r="I52" i="23"/>
  <c r="R4" i="33"/>
  <c r="I45" i="23"/>
  <c r="U4" i="33"/>
  <c r="J21" i="4"/>
  <c r="L21" i="4"/>
  <c r="S4" i="33"/>
  <c r="C27" i="23"/>
  <c r="C52" i="23" s="1"/>
  <c r="I27" i="23"/>
  <c r="B21" i="4"/>
  <c r="O37" i="23"/>
  <c r="J31" i="4" s="1"/>
  <c r="O34" i="23"/>
  <c r="J28" i="4" s="1"/>
  <c r="O38" i="23"/>
  <c r="B38" i="23"/>
  <c r="F37" i="4"/>
  <c r="K37" i="4"/>
  <c r="H37" i="4"/>
  <c r="J37" i="4"/>
  <c r="L4" i="4"/>
  <c r="L62" i="4" s="1"/>
  <c r="P27" i="23"/>
  <c r="P52" i="23" s="1"/>
  <c r="J4" i="1"/>
  <c r="J4" i="23"/>
  <c r="J45" i="23" s="1"/>
  <c r="M4" i="23"/>
  <c r="M27" i="23" s="1"/>
  <c r="M4" i="1"/>
  <c r="L45" i="1"/>
  <c r="L27" i="1"/>
  <c r="L52" i="1" s="1"/>
  <c r="O32" i="23"/>
  <c r="O31" i="23"/>
  <c r="J25" i="4" s="1"/>
  <c r="O30" i="23"/>
  <c r="J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K10" i="4"/>
  <c r="D4" i="4"/>
  <c r="K23" i="4"/>
  <c r="O29" i="1"/>
  <c r="J7" i="4" s="1"/>
  <c r="B27" i="23"/>
  <c r="B52" i="23" s="1"/>
  <c r="K45" i="23"/>
  <c r="E27" i="23"/>
  <c r="E52" i="23" s="1"/>
  <c r="Q30" i="1"/>
  <c r="L8" i="4" s="1"/>
  <c r="B29" i="1"/>
  <c r="B7" i="4" s="1"/>
  <c r="K13" i="4"/>
  <c r="K9" i="4"/>
  <c r="H22" i="23"/>
  <c r="P37" i="1"/>
  <c r="F22" i="23"/>
  <c r="H45" i="23"/>
  <c r="V57" i="1"/>
  <c r="U57" i="1"/>
  <c r="T57" i="1"/>
  <c r="S57" i="1"/>
  <c r="E37" i="4"/>
  <c r="R28" i="1"/>
  <c r="R30" i="1"/>
  <c r="R29" i="1"/>
  <c r="D21" i="4"/>
  <c r="C37" i="4"/>
  <c r="K14" i="4"/>
  <c r="C21" i="4"/>
  <c r="B37" i="4"/>
  <c r="D37" i="4"/>
  <c r="G37" i="4"/>
  <c r="J12" i="4"/>
  <c r="J13" i="4"/>
  <c r="J11" i="4"/>
  <c r="O30" i="1"/>
  <c r="J8" i="4" s="1"/>
  <c r="B9" i="4"/>
  <c r="J9" i="4"/>
  <c r="D28" i="1"/>
  <c r="B28" i="1"/>
  <c r="B8" i="4"/>
  <c r="C28" i="1"/>
  <c r="O28" i="1"/>
  <c r="C8" i="4"/>
  <c r="C9" i="4"/>
  <c r="D29" i="1"/>
  <c r="D7" i="4" s="1"/>
  <c r="S47" i="1"/>
  <c r="S48" i="1" s="1"/>
  <c r="S54" i="1" s="1"/>
  <c r="G21" i="4"/>
  <c r="F21" i="4"/>
  <c r="H21" i="4"/>
  <c r="E21" i="4"/>
  <c r="L52" i="23"/>
  <c r="E7" i="4"/>
  <c r="D17" i="4"/>
  <c r="G7" i="4"/>
  <c r="C4" i="4"/>
  <c r="G27" i="23"/>
  <c r="G52" i="23" s="1"/>
  <c r="K27" i="23"/>
  <c r="L22" i="1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G4" i="4"/>
  <c r="C27" i="1"/>
  <c r="C52" i="1" s="1"/>
  <c r="B45" i="1"/>
  <c r="K22" i="1"/>
  <c r="H22" i="1"/>
  <c r="J4" i="4"/>
  <c r="H45" i="1"/>
  <c r="O45" i="1"/>
  <c r="K4" i="4"/>
  <c r="K45" i="1"/>
  <c r="P45" i="1"/>
  <c r="O27" i="1"/>
  <c r="O52" i="1" s="1"/>
  <c r="I52" i="1"/>
  <c r="B55" i="4"/>
  <c r="E74" i="4"/>
  <c r="B74" i="4"/>
  <c r="R56" i="23"/>
  <c r="H56" i="23"/>
  <c r="F56" i="23"/>
  <c r="M56" i="23"/>
  <c r="V56" i="23"/>
  <c r="B56" i="1"/>
  <c r="G56" i="1"/>
  <c r="E56" i="1"/>
  <c r="C56" i="1"/>
  <c r="D56" i="23"/>
  <c r="Q56" i="1"/>
  <c r="I56" i="1"/>
  <c r="I56" i="23"/>
  <c r="C56" i="23"/>
  <c r="B56" i="23"/>
  <c r="L56" i="23"/>
  <c r="S56" i="23"/>
  <c r="U56" i="23"/>
  <c r="D56" i="1"/>
  <c r="O56" i="1"/>
  <c r="J56" i="1"/>
  <c r="P56" i="1"/>
  <c r="E56" i="23"/>
  <c r="Q56" i="23"/>
  <c r="L56" i="1"/>
  <c r="K56" i="23"/>
  <c r="P56" i="23"/>
  <c r="H56" i="1"/>
  <c r="M56" i="1"/>
  <c r="O56" i="23"/>
  <c r="T56" i="23"/>
  <c r="K56" i="1"/>
  <c r="J56" i="23"/>
  <c r="G56" i="23"/>
  <c r="F56" i="1"/>
  <c r="R56" i="1"/>
  <c r="E47" i="23" l="1"/>
  <c r="M46" i="23"/>
  <c r="M53" i="23" s="1"/>
  <c r="E48" i="23"/>
  <c r="E54" i="23" s="1"/>
  <c r="P47" i="23"/>
  <c r="P48" i="23" s="1"/>
  <c r="P54" i="23" s="1"/>
  <c r="S46" i="23"/>
  <c r="S53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G26" i="4"/>
  <c r="L27" i="4"/>
  <c r="F26" i="4"/>
  <c r="K27" i="4"/>
  <c r="D26" i="4"/>
  <c r="H26" i="4"/>
  <c r="V46" i="23"/>
  <c r="V53" i="23" s="1"/>
  <c r="V47" i="23"/>
  <c r="V48" i="23" s="1"/>
  <c r="V54" i="23" s="1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K7" i="4"/>
  <c r="E6" i="4"/>
  <c r="J6" i="4"/>
  <c r="B6" i="4"/>
  <c r="C6" i="4"/>
  <c r="H6" i="4"/>
  <c r="F6" i="4"/>
  <c r="P47" i="1"/>
  <c r="P48" i="1" s="1"/>
  <c r="P54" i="1" s="1"/>
  <c r="G6" i="4"/>
  <c r="L7" i="4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L74" i="4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E12" i="4"/>
  <c r="J55" i="4"/>
  <c r="J62" i="4"/>
  <c r="F55" i="4"/>
  <c r="F62" i="4"/>
  <c r="K55" i="4"/>
  <c r="K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C74" i="4"/>
  <c r="C62" i="4"/>
  <c r="D55" i="4"/>
  <c r="D62" i="4"/>
  <c r="S27" i="33"/>
  <c r="S52" i="33" s="1"/>
  <c r="S22" i="33"/>
  <c r="S45" i="33"/>
  <c r="V4" i="33"/>
  <c r="L55" i="4"/>
  <c r="V4" i="1"/>
  <c r="V45" i="1" s="1"/>
  <c r="J32" i="4"/>
  <c r="L10" i="4"/>
  <c r="B32" i="4"/>
  <c r="H55" i="4"/>
  <c r="J14" i="4"/>
  <c r="K15" i="4"/>
  <c r="V4" i="23"/>
  <c r="V45" i="23" s="1"/>
  <c r="B10" i="4"/>
  <c r="J26" i="4"/>
  <c r="P46" i="1"/>
  <c r="P53" i="1" s="1"/>
  <c r="U4" i="1"/>
  <c r="U22" i="1" s="1"/>
  <c r="M27" i="1"/>
  <c r="M52" i="1" s="1"/>
  <c r="M22" i="1"/>
  <c r="J52" i="1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J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J74" i="4"/>
  <c r="K74" i="4"/>
  <c r="H78" i="4"/>
  <c r="E78" i="4"/>
  <c r="F78" i="4"/>
  <c r="J78" i="4"/>
  <c r="K78" i="4"/>
  <c r="B78" i="4"/>
  <c r="G78" i="4"/>
  <c r="C78" i="4"/>
  <c r="L78" i="4"/>
  <c r="D78" i="4"/>
  <c r="C63" i="4" l="1"/>
  <c r="C64" i="4" s="1"/>
  <c r="F55" i="23"/>
  <c r="C55" i="23"/>
  <c r="H56" i="4"/>
  <c r="H75" i="4" s="1"/>
  <c r="F63" i="4"/>
  <c r="F64" i="4" s="1"/>
  <c r="G55" i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J63" i="4"/>
  <c r="J64" i="4" s="1"/>
  <c r="G56" i="4"/>
  <c r="G75" i="4" s="1"/>
  <c r="H57" i="4"/>
  <c r="H58" i="4" s="1"/>
  <c r="H76" i="4" s="1"/>
  <c r="H63" i="4"/>
  <c r="H64" i="4" s="1"/>
  <c r="K63" i="4"/>
  <c r="K64" i="4" s="1"/>
  <c r="G63" i="4"/>
  <c r="G64" i="4" s="1"/>
  <c r="E63" i="4"/>
  <c r="E64" i="4" s="1"/>
  <c r="L63" i="4"/>
  <c r="L64" i="4" s="1"/>
  <c r="V27" i="23"/>
  <c r="V52" i="23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H79" i="4"/>
  <c r="F79" i="4"/>
  <c r="E57" i="4"/>
  <c r="E58" i="4" s="1"/>
  <c r="E76" i="4" s="1"/>
  <c r="E56" i="4"/>
  <c r="E75" i="4" s="1"/>
  <c r="F56" i="4"/>
  <c r="F75" i="4" s="1"/>
  <c r="K57" i="4"/>
  <c r="K58" i="4" s="1"/>
  <c r="K76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J57" i="4"/>
  <c r="J58" i="4" s="1"/>
  <c r="J76" i="4" s="1"/>
  <c r="C57" i="4"/>
  <c r="C58" i="4" s="1"/>
  <c r="C76" i="4" s="1"/>
  <c r="L56" i="4"/>
  <c r="L75" i="4" s="1"/>
  <c r="J56" i="4"/>
  <c r="J75" i="4" s="1"/>
  <c r="C56" i="4"/>
  <c r="C75" i="4" s="1"/>
  <c r="K56" i="4"/>
  <c r="L57" i="4"/>
  <c r="L58" i="4" s="1"/>
  <c r="L76" i="4" s="1"/>
  <c r="L79" i="4"/>
  <c r="K79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R60" i="23" s="1"/>
  <c r="J79" i="4"/>
  <c r="B79" i="4"/>
  <c r="L59" i="23"/>
  <c r="L60" i="23" s="1"/>
  <c r="F59" i="23"/>
  <c r="F60" i="23" s="1"/>
  <c r="Q59" i="23"/>
  <c r="Q60" i="23" s="1"/>
  <c r="V59" i="23"/>
  <c r="V60" i="23" s="1"/>
  <c r="P59" i="23"/>
  <c r="P60" i="23" s="1"/>
  <c r="T59" i="23"/>
  <c r="T60" i="23" s="1"/>
  <c r="U59" i="23"/>
  <c r="U60" i="23" s="1"/>
  <c r="S59" i="23"/>
  <c r="S60" i="23" s="1"/>
  <c r="R45" i="23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27" i="1"/>
  <c r="R52" i="1" s="1"/>
  <c r="R27" i="23"/>
  <c r="R52" i="23" s="1"/>
  <c r="C59" i="23"/>
  <c r="C60" i="23" s="1"/>
  <c r="E59" i="23"/>
  <c r="J59" i="23"/>
  <c r="J60" i="23" s="1"/>
  <c r="K59" i="23"/>
  <c r="K60" i="23" s="1"/>
  <c r="D59" i="23"/>
  <c r="I59" i="23"/>
  <c r="I60" i="23" s="1"/>
  <c r="O59" i="23"/>
  <c r="O60" i="23" s="1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J59" i="1"/>
  <c r="J60" i="1" s="1"/>
  <c r="F59" i="1"/>
  <c r="M59" i="1"/>
  <c r="M60" i="1" s="1"/>
  <c r="I59" i="1"/>
  <c r="I60" i="1" s="1"/>
  <c r="E59" i="1"/>
  <c r="L59" i="1"/>
  <c r="L60" i="1" s="1"/>
  <c r="H59" i="1"/>
  <c r="D59" i="1"/>
  <c r="K59" i="1"/>
  <c r="K60" i="1" s="1"/>
  <c r="C59" i="1"/>
  <c r="G59" i="1"/>
  <c r="M55" i="1"/>
  <c r="T59" i="1"/>
  <c r="T60" i="1" s="1"/>
  <c r="P59" i="1"/>
  <c r="S59" i="1"/>
  <c r="S60" i="1" s="1"/>
  <c r="V59" i="1"/>
  <c r="V60" i="1" s="1"/>
  <c r="R59" i="1"/>
  <c r="R60" i="1" s="1"/>
  <c r="U59" i="1"/>
  <c r="U60" i="1" s="1"/>
  <c r="Q59" i="1"/>
  <c r="B55" i="1"/>
  <c r="T27" i="23"/>
  <c r="T52" i="23" s="1"/>
  <c r="T45" i="23"/>
  <c r="T22" i="23"/>
  <c r="T27" i="1"/>
  <c r="T52" i="1" s="1"/>
  <c r="T45" i="1"/>
  <c r="T22" i="1"/>
  <c r="E60" i="23"/>
  <c r="D60" i="23"/>
  <c r="H60" i="1"/>
  <c r="G60" i="1"/>
  <c r="Q60" i="1"/>
  <c r="F60" i="1"/>
  <c r="O60" i="1"/>
  <c r="D60" i="1"/>
  <c r="E60" i="1"/>
  <c r="C60" i="1"/>
  <c r="P60" i="1"/>
  <c r="K75" i="4" l="1"/>
  <c r="K77" i="4" s="1"/>
  <c r="J81" i="4"/>
  <c r="R61" i="23"/>
  <c r="J77" i="4"/>
  <c r="L77" i="4"/>
  <c r="K81" i="4"/>
  <c r="L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O61" i="1"/>
  <c r="Q61" i="1"/>
  <c r="P61" i="1"/>
  <c r="C61" i="1"/>
  <c r="R61" i="1"/>
  <c r="J82" i="4"/>
  <c r="K82" i="4"/>
  <c r="L82" i="4"/>
  <c r="G77" i="4" l="1"/>
  <c r="F77" i="4"/>
  <c r="B77" i="4"/>
  <c r="H77" i="4"/>
  <c r="D77" i="4"/>
  <c r="C77" i="4"/>
  <c r="E77" i="4"/>
  <c r="K83" i="4"/>
  <c r="L83" i="4"/>
  <c r="J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<sst xmlns="http://schemas.openxmlformats.org/spreadsheetml/2006/main" count="206" uniqueCount="52">
  <si>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</si>
  <si>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</si>
  <si>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</si>
  <si>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</si>
  <si>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</si>
  <si>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</si>
  <si>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</si>
  <si>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</si>
  <si>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</si>
  <si>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</si>
  <si>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</si>
  <si>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</si>
  <si>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</si>
  <si>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</si>
  <si>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</si>
  <si>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</si>
  <si>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</si>
  <si>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</si>
  <si>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</si>
  <si>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</si>
  <si>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</si>
  <si>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</si>
  <si>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</si>
  <si>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Date performed :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</si>
  <si>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</si>
  <si>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</si>
  <si>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</si>
  <si>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</si>
  <si>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</si>
  <si>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</si>
  <si>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</si>
  <si>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</si>
  <si>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</si>
  <si>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</si>
  <si>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</si>
  <si>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</si>
  <si>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</si>
  <si>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</si>
  <si>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</si>
  <si>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</si>
  <si>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</si>
  <si>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</si>
  <si>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</si>
  <si>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</si>
  <si>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</si>
  <si>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</si>
  <si>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</si>
  <si>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ns</t>
  </si>
  <si>
    <t>&gt;0,99</t>
  </si>
  <si>
    <t>***</t>
  </si>
  <si>
    <t>&lt;0,001</t>
  </si>
  <si>
    <t>Kruskal-Wallis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</si>
</sst>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9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theme" Target="theme/theme1.xml"/><Relationship Id="rId5" Type="http://schemas.openxmlformats.org/officeDocument/2006/relationships/chartsheet" Target="chartsheets/sheet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9.9075085689657102E-3</c:v>
                  </c:pt>
                  <c:pt idx="1">
                    <c:v>6.0846763141170414E-2</c:v>
                  </c:pt>
                  <c:pt idx="2">
                    <c:v>5.769191170594646E-2</c:v>
                  </c:pt>
                  <c:pt idx="3">
                    <c:v>0.13180075796606677</c:v>
                  </c:pt>
                  <c:pt idx="4">
                    <c:v>0.13643350741207141</c:v>
                  </c:pt>
                  <c:pt idx="5">
                    <c:v>0.14787784951650781</c:v>
                  </c:pt>
                  <c:pt idx="6">
                    <c:v>0.26832738968655534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3">
                    <c:v>0.21055263874018193</c:v>
                  </c:pt>
                  <c:pt idx="14">
                    <c:v>0.16921538385179638</c:v>
                  </c:pt>
                  <c:pt idx="15">
                    <c:v>9.0690292248928137E-3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0-00 + Testostérone</c:v>
                </c:pt>
                <c:pt idx="17">
                  <c:v>0-00 + Testostérone</c:v>
                </c:pt>
                <c:pt idx="18">
                  <c:v>0-00 + Testostérone</c:v>
                </c:pt>
                <c:pt idx="19">
                  <c:v>0-00 + Testostérone</c:v>
                </c:pt>
                <c:pt idx="20">
                  <c:v>0-00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1.9339585847952395E-2</c:v>
                </c:pt>
                <c:pt idx="1">
                  <c:v>0.10922354833286467</c:v>
                </c:pt>
                <c:pt idx="2">
                  <c:v>0.25634641764153654</c:v>
                </c:pt>
                <c:pt idx="3">
                  <c:v>0.78776142208256894</c:v>
                </c:pt>
                <c:pt idx="4">
                  <c:v>1.165956994142598</c:v>
                </c:pt>
                <c:pt idx="5">
                  <c:v>2.3398379209124274</c:v>
                </c:pt>
                <c:pt idx="6">
                  <c:v>3.9140454718578392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1</c:v>
                </c:pt>
                <c:pt idx="14">
                  <c:v>2.2441393435305983</c:v>
                </c:pt>
                <c:pt idx="15">
                  <c:v>1.9497304137078383E-2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2.976611413194827E-3</c:v>
                  </c:pt>
                  <c:pt idx="1">
                    <c:v>6.0536688301547157E-3</c:v>
                  </c:pt>
                  <c:pt idx="2">
                    <c:v>2.001684918838452E-2</c:v>
                  </c:pt>
                  <c:pt idx="3">
                    <c:v>3.7162355304393838E-2</c:v>
                  </c:pt>
                  <c:pt idx="4">
                    <c:v>9.4645655183023883E-2</c:v>
                  </c:pt>
                  <c:pt idx="5">
                    <c:v>0.15856495744528634</c:v>
                  </c:pt>
                  <c:pt idx="6">
                    <c:v>0.26818703569163732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3">
                    <c:v>8.1007794965931537E-2</c:v>
                  </c:pt>
                  <c:pt idx="14">
                    <c:v>7.570853782475713E-2</c:v>
                  </c:pt>
                  <c:pt idx="15">
                    <c:v>1.775509872864968E-3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0.21055263874018193</c:v>
                  </c:pt>
                  <c:pt idx="2">
                    <c:v>0.16921538385179638</c:v>
                  </c:pt>
                  <c:pt idx="3">
                    <c:v>9.0690292248928137E-3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0-00 + Testostérone</c:v>
                </c:pt>
                <c:pt idx="17">
                  <c:v>0-00 + Testostérone</c:v>
                </c:pt>
                <c:pt idx="18">
                  <c:v>0-00 + Testostérone</c:v>
                </c:pt>
                <c:pt idx="19">
                  <c:v>0-00 + Testostérone</c:v>
                </c:pt>
                <c:pt idx="20">
                  <c:v>0-00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1.3804512682693608E-2</c:v>
                </c:pt>
                <c:pt idx="1">
                  <c:v>2.2619061449633229E-2</c:v>
                </c:pt>
                <c:pt idx="2">
                  <c:v>4.8111226409571127E-2</c:v>
                </c:pt>
                <c:pt idx="3">
                  <c:v>0.1042698271737407</c:v>
                </c:pt>
                <c:pt idx="4">
                  <c:v>0.71369316841837482</c:v>
                </c:pt>
                <c:pt idx="5">
                  <c:v>1.013609757457929</c:v>
                </c:pt>
                <c:pt idx="6">
                  <c:v>2.7209139833971738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1</c:v>
                </c:pt>
                <c:pt idx="14">
                  <c:v>1.5204671827277616</c:v>
                </c:pt>
                <c:pt idx="15">
                  <c:v>1.3324399489258809E-2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2.1128884387970419E-3</c:v>
                  </c:pt>
                  <c:pt idx="1">
                    <c:v>3.1393940503326259E-3</c:v>
                  </c:pt>
                  <c:pt idx="2">
                    <c:v>5.2415888737561952E-3</c:v>
                  </c:pt>
                  <c:pt idx="3">
                    <c:v>6.4364449163768156E-2</c:v>
                  </c:pt>
                  <c:pt idx="4">
                    <c:v>0.16045984067650534</c:v>
                  </c:pt>
                  <c:pt idx="5">
                    <c:v>9.6246094179370231E-2</c:v>
                  </c:pt>
                  <c:pt idx="6">
                    <c:v>0.20499577423516369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3">
                    <c:v>0.10904204768021995</c:v>
                  </c:pt>
                  <c:pt idx="14">
                    <c:v>0.10342039112633647</c:v>
                  </c:pt>
                  <c:pt idx="15">
                    <c:v>4.8356422855541179E-3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0.21055263874018193</c:v>
                  </c:pt>
                  <c:pt idx="2">
                    <c:v>0.16921538385179638</c:v>
                  </c:pt>
                  <c:pt idx="3">
                    <c:v>9.0690292248928137E-3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0-00 + Testostérone</c:v>
                </c:pt>
                <c:pt idx="17">
                  <c:v>0-00 + Testostérone</c:v>
                </c:pt>
                <c:pt idx="18">
                  <c:v>0-00 + Testostérone</c:v>
                </c:pt>
                <c:pt idx="19">
                  <c:v>0-00 + Testostérone</c:v>
                </c:pt>
                <c:pt idx="20">
                  <c:v>0-00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7.8273764123061966E-3</c:v>
                </c:pt>
                <c:pt idx="1">
                  <c:v>1.5533470719150906E-2</c:v>
                </c:pt>
                <c:pt idx="2">
                  <c:v>2.2659117661563088E-2</c:v>
                </c:pt>
                <c:pt idx="3">
                  <c:v>0.50327362124808706</c:v>
                </c:pt>
                <c:pt idx="4">
                  <c:v>1.4183370733821128</c:v>
                </c:pt>
                <c:pt idx="5">
                  <c:v>1.0329349185999244</c:v>
                </c:pt>
                <c:pt idx="6">
                  <c:v>2.8680260106413282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0.99999999999999967</c:v>
                </c:pt>
                <c:pt idx="14">
                  <c:v>1.4651264166829563</c:v>
                </c:pt>
                <c:pt idx="15">
                  <c:v>1.700995751945563E-2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5CCCE4D-EC81-4526-9AA2-8B79129DD54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A8AFE83-1541-4E6C-B47B-B4BF8F88542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D95005E-2C7D-44B5-AA5B-4F4A4741EF8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6A0208-6285-46A4-8DF3-5C2810D1AEB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470CD4E-2B13-41B7-AF71-E11693DFC27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FCA9EF2-BE98-4ACC-85D3-4528E4F3128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FDBFEBD-7E29-4144-808D-C8E6EFE703B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12ED9F8-D787-4539-81A8-5AA45A62D61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94EB88D-FF49-439D-8912-F1914B9F204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FD80444-E860-41D6-AF6C-3C1309963B9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values'!$B$76:$L$76</c:f>
                <c:numCache>
                  <c:formatCode>General</c:formatCode>
                  <c:ptCount val="11"/>
                  <c:pt idx="0">
                    <c:v>3.2563497575853512E-3</c:v>
                  </c:pt>
                  <c:pt idx="1">
                    <c:v>2.1428888171924204E-2</c:v>
                  </c:pt>
                  <c:pt idx="2">
                    <c:v>2.9283395213570942E-2</c:v>
                  </c:pt>
                  <c:pt idx="3">
                    <c:v>7.5760192948113772E-2</c:v>
                  </c:pt>
                  <c:pt idx="4">
                    <c:v>9.5413309336850646E-2</c:v>
                  </c:pt>
                  <c:pt idx="5">
                    <c:v>0.14986313193132919</c:v>
                  </c:pt>
                  <c:pt idx="6">
                    <c:v>0.17644163114528344</c:v>
                  </c:pt>
                  <c:pt idx="8">
                    <c:v>8.1726610088727003E-2</c:v>
                  </c:pt>
                  <c:pt idx="9">
                    <c:v>0.10023919859849989</c:v>
                  </c:pt>
                  <c:pt idx="10">
                    <c:v>3.3638612215356055E-3</c:v>
                  </c:pt>
                </c:numCache>
              </c:numRef>
            </c:plus>
            <c:minus>
              <c:numRef>
                <c:f>'pooled normalised values'!$B$76:$L$76</c:f>
                <c:numCache>
                  <c:formatCode>General</c:formatCode>
                  <c:ptCount val="11"/>
                  <c:pt idx="0">
                    <c:v>3.2563497575853512E-3</c:v>
                  </c:pt>
                  <c:pt idx="1">
                    <c:v>2.1428888171924204E-2</c:v>
                  </c:pt>
                  <c:pt idx="2">
                    <c:v>2.9283395213570942E-2</c:v>
                  </c:pt>
                  <c:pt idx="3">
                    <c:v>7.5760192948113772E-2</c:v>
                  </c:pt>
                  <c:pt idx="4">
                    <c:v>9.5413309336850646E-2</c:v>
                  </c:pt>
                  <c:pt idx="5">
                    <c:v>0.14986313193132919</c:v>
                  </c:pt>
                  <c:pt idx="6">
                    <c:v>0.17644163114528344</c:v>
                  </c:pt>
                  <c:pt idx="8">
                    <c:v>8.1726610088727003E-2</c:v>
                  </c:pt>
                  <c:pt idx="9">
                    <c:v>0.10023919859849989</c:v>
                  </c:pt>
                  <c:pt idx="10">
                    <c:v>3.3638612215356055E-3</c:v>
                  </c:pt>
                </c:numCache>
              </c:numRef>
            </c:minus>
          </c:errBars>
          <c:cat>
            <c:strRef>
              <c:f>'pooled normalised values'!$B$74:$L$74</c:f>
              <c:strCache>
                <c:ptCount val="1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8">
                  <c:v>Testo -30µg/L</c:v>
                </c:pt>
                <c:pt idx="9">
                  <c:v>Testo 30µg/L + EE2 -64ng/L</c:v>
                </c:pt>
                <c:pt idx="10">
                  <c:v>Testo 30µg/L + FAD-10mg/L</c:v>
                </c:pt>
              </c:strCache>
            </c:strRef>
          </c:cat>
          <c:val>
            <c:numRef>
              <c:f>'pooled normalised values'!$B$75:$L$75</c:f>
              <c:numCache>
                <c:formatCode>0.0000</c:formatCode>
                <c:ptCount val="11"/>
                <c:pt idx="0">
                  <c:v>1.3410096247637617E-2</c:v>
                </c:pt>
                <c:pt idx="1">
                  <c:v>4.9125360167216282E-2</c:v>
                </c:pt>
                <c:pt idx="2">
                  <c:v>0.10903892057089026</c:v>
                </c:pt>
                <c:pt idx="3">
                  <c:v>0.46510162350146556</c:v>
                </c:pt>
                <c:pt idx="4">
                  <c:v>1.0993290786476952</c:v>
                </c:pt>
                <c:pt idx="5">
                  <c:v>1.4621275323234268</c:v>
                </c:pt>
                <c:pt idx="6">
                  <c:v>3.1676618219654471</c:v>
                </c:pt>
                <c:pt idx="8">
                  <c:v>1.0000000000000002</c:v>
                </c:pt>
                <c:pt idx="9">
                  <c:v>1.7432443143137712</c:v>
                </c:pt>
                <c:pt idx="10">
                  <c:v>1.6610553715264272E-2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values'!$B$83:$L$83</c15:f>
                <c15:dlblRangeCache>
                  <c:ptCount val="11"/>
                  <c:pt idx="1">
                    <c:v>ns</c:v>
                  </c:pt>
                  <c:pt idx="2">
                    <c:v>ns</c:v>
                  </c:pt>
                  <c:pt idx="3">
                    <c:v>***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8">
                    <c:v>***</c:v>
                  </c:pt>
                  <c:pt idx="9">
                    <c:v>***</c:v>
                  </c:pt>
                  <c:pt idx="10">
                    <c:v>***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70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61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61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61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5984" cy="606893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5984" cy="606893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5984" cy="606893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alStats/RealStats%202013%20201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28" zoomScale="55" zoomScaleNormal="55" workbookViewId="0">
      <selection activeCell="B38" sqref="B38"/>
    </sheetView>
  </sheetViews>
  <sheetFormatPr baseColWidth="10" defaultRowHeight="39" customHeight="1" x14ac:dyDescent="0.35"/>
  <cols>
    <col min="1" max="1" width="42" bestFit="1" customWidth="1"/>
    <col min="2" max="2" width="33.81640625" style="28" bestFit="1" customWidth="1"/>
    <col min="3" max="3" width="21.26953125" customWidth="1"/>
    <col min="4" max="4" width="30.453125" customWidth="1"/>
    <col min="5" max="5" width="62.26953125" style="90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16"/>
      <c r="B1" s="117"/>
      <c r="C1" s="117"/>
      <c r="D1" s="117"/>
      <c r="E1" s="117"/>
      <c r="F1" s="117"/>
      <c r="G1" s="117"/>
      <c r="H1" s="117"/>
      <c r="I1" s="118"/>
    </row>
    <row r="2" spans="1:9" ht="21.5" thickBot="1" x14ac:dyDescent="0.55000000000000004">
      <c r="A2" s="109" t="s">
        <v>5</v>
      </c>
      <c r="B2" s="27" t="s">
        <v>24</v>
      </c>
      <c r="C2" s="119"/>
      <c r="D2" s="120"/>
      <c r="E2" s="27" t="s">
        <v>23</v>
      </c>
      <c r="F2" s="131"/>
      <c r="G2" s="132"/>
      <c r="H2" s="132"/>
      <c r="I2" s="133"/>
    </row>
    <row r="3" spans="1:9" ht="21.5" thickBot="1" x14ac:dyDescent="0.55000000000000004">
      <c r="A3" s="110" t="s">
        <v>6</v>
      </c>
      <c r="B3" s="27" t="s">
        <v>24</v>
      </c>
      <c r="C3" s="121"/>
      <c r="D3" s="122"/>
      <c r="E3" s="27" t="s">
        <v>23</v>
      </c>
      <c r="F3" s="128"/>
      <c r="G3" s="129"/>
      <c r="H3" s="129"/>
      <c r="I3" s="130"/>
    </row>
    <row r="4" spans="1:9" ht="21.5" thickBot="1" x14ac:dyDescent="0.55000000000000004">
      <c r="A4" s="111" t="s">
        <v>9</v>
      </c>
      <c r="B4" s="27" t="s">
        <v>24</v>
      </c>
      <c r="C4" s="123"/>
      <c r="D4" s="124"/>
      <c r="E4" s="27" t="s">
        <v>23</v>
      </c>
      <c r="F4" s="125"/>
      <c r="G4" s="126"/>
      <c r="H4" s="126"/>
      <c r="I4" s="127"/>
    </row>
    <row r="5" spans="1:9" s="1" customFormat="1" ht="65.25" customHeight="1" thickBot="1" x14ac:dyDescent="0.4">
      <c r="A5" s="116"/>
      <c r="B5" s="117"/>
      <c r="C5" s="117"/>
      <c r="D5" s="117"/>
      <c r="E5" s="117"/>
      <c r="F5" s="117"/>
      <c r="G5" s="117"/>
      <c r="H5" s="117"/>
      <c r="I5" s="118"/>
    </row>
    <row r="6" spans="1:9" s="69" customFormat="1" ht="39" customHeight="1" x14ac:dyDescent="0.5">
      <c r="A6" s="59" t="s">
        <v>25</v>
      </c>
      <c r="B6" s="60" t="s">
        <v>26</v>
      </c>
      <c r="C6" s="47" t="s">
        <v>7</v>
      </c>
      <c r="D6" s="47" t="s">
        <v>27</v>
      </c>
      <c r="E6" s="87" t="s">
        <v>28</v>
      </c>
      <c r="F6" s="68" t="s">
        <v>29</v>
      </c>
    </row>
    <row r="7" spans="1:9" s="96" customFormat="1" ht="39" customHeight="1" x14ac:dyDescent="0.5">
      <c r="A7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2" t="s">
        <v>46</v>
      </c>
      <c r="C7" s="93"/>
      <c r="D7" s="94"/>
      <c r="E7" s="95" t="s">
        <v>31</v>
      </c>
      <c r="F7" s="70"/>
    </row>
    <row r="8" spans="1:9" s="96" customFormat="1" ht="39" customHeight="1" x14ac:dyDescent="0.5">
      <c r="A8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2" t="s">
        <v>46</v>
      </c>
      <c r="C8" s="93" t="s">
        <v>32</v>
      </c>
      <c r="D8" s="94" t="s">
        <v>17</v>
      </c>
      <c r="E8" s="95" t="s">
        <v>18</v>
      </c>
      <c r="F8" s="70"/>
    </row>
    <row r="9" spans="1:9" s="96" customFormat="1" ht="39" customHeight="1" x14ac:dyDescent="0.5">
      <c r="A9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2" t="s">
        <v>46</v>
      </c>
      <c r="C9" s="93" t="s">
        <v>33</v>
      </c>
      <c r="D9" s="94" t="s">
        <v>17</v>
      </c>
      <c r="E9" s="95" t="s">
        <v>18</v>
      </c>
      <c r="F9" s="70"/>
    </row>
    <row r="10" spans="1:9" s="96" customFormat="1" ht="39" customHeight="1" x14ac:dyDescent="0.5">
      <c r="A10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2" t="s">
        <v>46</v>
      </c>
      <c r="C10" s="93">
        <v>76</v>
      </c>
      <c r="D10" s="94" t="s">
        <v>17</v>
      </c>
      <c r="E10" s="95" t="s">
        <v>18</v>
      </c>
      <c r="F10" s="70"/>
    </row>
    <row r="11" spans="1:9" s="96" customFormat="1" ht="39" customHeight="1" x14ac:dyDescent="0.5">
      <c r="A11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2" t="s">
        <v>46</v>
      </c>
      <c r="C11" s="93">
        <v>114</v>
      </c>
      <c r="D11" s="94" t="s">
        <v>17</v>
      </c>
      <c r="E11" s="95" t="s">
        <v>18</v>
      </c>
      <c r="F11" s="70"/>
    </row>
    <row r="12" spans="1:9" s="96" customFormat="1" ht="39" customHeight="1" x14ac:dyDescent="0.5">
      <c r="A12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2" t="s">
        <v>46</v>
      </c>
      <c r="C12" s="93" t="s">
        <v>34</v>
      </c>
      <c r="D12" s="94" t="s">
        <v>17</v>
      </c>
      <c r="E12" s="95" t="s">
        <v>18</v>
      </c>
      <c r="F12" s="70"/>
    </row>
    <row r="13" spans="1:9" s="96" customFormat="1" ht="39" customHeight="1" x14ac:dyDescent="0.5">
      <c r="A13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2" t="s">
        <v>46</v>
      </c>
      <c r="C13" s="93">
        <v>488</v>
      </c>
      <c r="D13" s="94" t="s">
        <v>17</v>
      </c>
      <c r="E13" s="95" t="s">
        <v>18</v>
      </c>
      <c r="F13" s="70"/>
    </row>
    <row r="14" spans="1:9" s="96" customFormat="1" ht="39" customHeight="1" x14ac:dyDescent="0.5">
      <c r="A14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4" s="92" t="s">
        <v>30</v>
      </c>
      <c r="C14" s="93"/>
      <c r="D14" s="94"/>
      <c r="E14" s="95"/>
      <c r="F14" s="70"/>
    </row>
    <row r="15" spans="1:9" s="71" customFormat="1" ht="39" customHeight="1" x14ac:dyDescent="0.35">
      <c r="A1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5" s="92" t="s">
        <v>30</v>
      </c>
      <c r="C15" s="65"/>
      <c r="D15" s="65"/>
      <c r="E15" s="25"/>
      <c r="F15" s="70"/>
    </row>
    <row r="16" spans="1:9" s="71" customFormat="1" ht="39" customHeight="1" x14ac:dyDescent="0.35">
      <c r="A1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6" s="92" t="s">
        <v>30</v>
      </c>
      <c r="C16" s="65"/>
      <c r="D16" s="65"/>
      <c r="E16" s="61"/>
      <c r="F16" s="70"/>
    </row>
    <row r="17" spans="1:6" s="71" customFormat="1" ht="39" customHeight="1" x14ac:dyDescent="0.35">
      <c r="A1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7" s="92" t="s">
        <v>30</v>
      </c>
      <c r="C17" s="65"/>
      <c r="D17" s="65"/>
      <c r="E17" s="25"/>
      <c r="F17" s="70"/>
    </row>
    <row r="18" spans="1:6" s="71" customFormat="1" ht="39" customHeight="1" x14ac:dyDescent="0.35">
      <c r="A1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8" s="92" t="s">
        <v>30</v>
      </c>
      <c r="C18" s="65"/>
      <c r="D18" s="65"/>
      <c r="E18" s="61"/>
      <c r="F18" s="70"/>
    </row>
    <row r="19" spans="1:6" s="71" customFormat="1" ht="39" customHeight="1" x14ac:dyDescent="0.35">
      <c r="A1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2" t="s">
        <v>30</v>
      </c>
      <c r="C19" s="65"/>
      <c r="D19" s="65"/>
      <c r="E19" s="25"/>
      <c r="F19" s="70"/>
    </row>
    <row r="20" spans="1:6" s="71" customFormat="1" ht="39" customHeight="1" x14ac:dyDescent="0.35">
      <c r="A2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2" t="s">
        <v>30</v>
      </c>
      <c r="C20" s="65"/>
      <c r="D20" s="65"/>
      <c r="E20" s="61"/>
      <c r="F20" s="70"/>
    </row>
    <row r="21" spans="1:6" s="71" customFormat="1" ht="39" customHeight="1" x14ac:dyDescent="0.35">
      <c r="A2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2" t="s">
        <v>30</v>
      </c>
      <c r="C21" s="65"/>
      <c r="D21" s="65"/>
      <c r="E21" s="25"/>
      <c r="F21" s="70"/>
    </row>
    <row r="22" spans="1:6" s="71" customFormat="1" ht="39" customHeight="1" x14ac:dyDescent="0.35">
      <c r="A2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2" t="s">
        <v>30</v>
      </c>
      <c r="C22" s="65"/>
      <c r="D22" s="65"/>
      <c r="E22" s="61"/>
      <c r="F22" s="70"/>
    </row>
    <row r="23" spans="1:6" s="71" customFormat="1" ht="39" customHeight="1" x14ac:dyDescent="0.35">
      <c r="A2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2" t="s">
        <v>30</v>
      </c>
      <c r="C23" s="65"/>
      <c r="D23" s="65"/>
      <c r="E23" s="25"/>
      <c r="F23" s="70"/>
    </row>
    <row r="24" spans="1:6" s="71" customFormat="1" ht="39" customHeight="1" x14ac:dyDescent="0.35">
      <c r="A24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2" t="s">
        <v>30</v>
      </c>
      <c r="C24" s="65"/>
      <c r="D24" s="65"/>
      <c r="E24" s="61"/>
      <c r="F24" s="70"/>
    </row>
    <row r="25" spans="1:6" s="71" customFormat="1" ht="39" customHeight="1" x14ac:dyDescent="0.35">
      <c r="A2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2" t="s">
        <v>30</v>
      </c>
      <c r="C25" s="65"/>
      <c r="D25" s="65"/>
      <c r="E25" s="25"/>
      <c r="F25" s="70"/>
    </row>
    <row r="26" spans="1:6" s="71" customFormat="1" ht="39" customHeight="1" x14ac:dyDescent="0.35">
      <c r="A2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2" t="s">
        <v>30</v>
      </c>
      <c r="C26" s="65"/>
      <c r="D26" s="65"/>
      <c r="E26" s="61"/>
      <c r="F26" s="70"/>
    </row>
    <row r="27" spans="1:6" s="71" customFormat="1" ht="39" customHeight="1" x14ac:dyDescent="0.35">
      <c r="A2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2" t="s">
        <v>30</v>
      </c>
      <c r="C27" s="65"/>
      <c r="D27" s="65"/>
      <c r="E27" s="25"/>
      <c r="F27" s="70"/>
    </row>
    <row r="28" spans="1:6" s="71" customFormat="1" ht="39" customHeight="1" x14ac:dyDescent="0.35">
      <c r="A2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2" t="s">
        <v>30</v>
      </c>
      <c r="C28" s="65"/>
      <c r="D28" s="65"/>
      <c r="E28" s="61"/>
      <c r="F28" s="70"/>
    </row>
    <row r="29" spans="1:6" s="71" customFormat="1" ht="39" customHeight="1" x14ac:dyDescent="0.35">
      <c r="A2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2" t="s">
        <v>30</v>
      </c>
      <c r="C29" s="65"/>
      <c r="D29" s="74"/>
      <c r="E29" s="25"/>
      <c r="F29" s="70"/>
    </row>
    <row r="30" spans="1:6" s="71" customFormat="1" ht="39" customHeight="1" x14ac:dyDescent="0.35">
      <c r="A3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2" t="s">
        <v>30</v>
      </c>
      <c r="C30" s="65"/>
      <c r="D30" s="74"/>
      <c r="E30" s="61"/>
      <c r="F30" s="70"/>
    </row>
    <row r="31" spans="1:6" s="71" customFormat="1" ht="39" customHeight="1" x14ac:dyDescent="0.35">
      <c r="A3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2" t="s">
        <v>30</v>
      </c>
      <c r="C31" s="65"/>
      <c r="D31" s="74"/>
      <c r="E31" s="25"/>
      <c r="F31" s="70"/>
    </row>
    <row r="32" spans="1:6" s="71" customFormat="1" ht="39" customHeight="1" x14ac:dyDescent="0.35">
      <c r="A3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2" t="s">
        <v>30</v>
      </c>
      <c r="C32" s="65"/>
      <c r="D32" s="74"/>
      <c r="E32" s="61"/>
      <c r="F32" s="70"/>
    </row>
    <row r="33" spans="1:6" s="71" customFormat="1" ht="39" customHeight="1" x14ac:dyDescent="0.35">
      <c r="A3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2" t="s">
        <v>30</v>
      </c>
      <c r="C33" s="65"/>
      <c r="D33" s="74"/>
      <c r="E33" s="25"/>
      <c r="F33" s="70"/>
    </row>
    <row r="34" spans="1:6" s="71" customFormat="1" ht="39" customHeight="1" thickBot="1" x14ac:dyDescent="0.4">
      <c r="A3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2" t="s">
        <v>30</v>
      </c>
      <c r="C34" s="98"/>
      <c r="D34" s="75"/>
      <c r="E34" s="97"/>
      <c r="F34" s="70"/>
    </row>
    <row r="35" spans="1:6" s="71" customFormat="1" ht="39" customHeight="1" x14ac:dyDescent="0.35">
      <c r="A35" s="9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2" t="s">
        <v>46</v>
      </c>
      <c r="C35" s="66">
        <v>30</v>
      </c>
      <c r="D35" s="76" t="s">
        <v>19</v>
      </c>
      <c r="E35" s="88" t="s">
        <v>8</v>
      </c>
      <c r="F35" s="100"/>
    </row>
    <row r="36" spans="1:6" s="71" customFormat="1" ht="39" customHeight="1" x14ac:dyDescent="0.35">
      <c r="A36" s="10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3" t="s">
        <v>46</v>
      </c>
      <c r="C36" s="67">
        <v>64</v>
      </c>
      <c r="D36" s="77" t="s">
        <v>17</v>
      </c>
      <c r="E36" s="89" t="s">
        <v>20</v>
      </c>
      <c r="F36" s="102"/>
    </row>
    <row r="37" spans="1:6" s="71" customFormat="1" ht="39" customHeight="1" thickBot="1" x14ac:dyDescent="0.4">
      <c r="A37" s="103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4" t="s">
        <v>46</v>
      </c>
      <c r="C37" s="105">
        <v>10</v>
      </c>
      <c r="D37" s="106" t="s">
        <v>21</v>
      </c>
      <c r="E37" s="107" t="s">
        <v>22</v>
      </c>
      <c r="F37" s="108"/>
    </row>
    <row r="38" spans="1:6" s="71" customFormat="1" ht="39" customHeight="1" x14ac:dyDescent="0.35">
      <c r="A38" s="3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38" s="112" t="str">
        <f>B14</f>
        <v>test chemical</v>
      </c>
      <c r="C38" s="112">
        <f t="shared" ref="C38:E38" si="0">C14</f>
        <v>0</v>
      </c>
      <c r="D38" s="112">
        <f t="shared" si="0"/>
        <v>0</v>
      </c>
      <c r="E38" s="112">
        <f t="shared" si="0"/>
        <v>0</v>
      </c>
      <c r="F38" s="72" t="s">
        <v>13</v>
      </c>
    </row>
    <row r="39" spans="1:6" s="71" customFormat="1" ht="39" customHeight="1" x14ac:dyDescent="0.35">
      <c r="A3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39" s="114" t="str">
        <f t="shared" ref="B39:E39" si="1">B15</f>
        <v>test chemical</v>
      </c>
      <c r="C39" s="114">
        <f t="shared" si="1"/>
        <v>0</v>
      </c>
      <c r="D39" s="114">
        <f t="shared" si="1"/>
        <v>0</v>
      </c>
      <c r="E39" s="114">
        <f t="shared" si="1"/>
        <v>0</v>
      </c>
      <c r="F39" s="73" t="s">
        <v>13</v>
      </c>
    </row>
    <row r="40" spans="1:6" s="71" customFormat="1" ht="39" customHeight="1" x14ac:dyDescent="0.35">
      <c r="A4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0" s="114" t="str">
        <f t="shared" ref="B40:E40" si="2">B16</f>
        <v>test chemical</v>
      </c>
      <c r="C40" s="114">
        <f t="shared" si="2"/>
        <v>0</v>
      </c>
      <c r="D40" s="114">
        <f t="shared" si="2"/>
        <v>0</v>
      </c>
      <c r="E40" s="114">
        <f t="shared" si="2"/>
        <v>0</v>
      </c>
      <c r="F40" s="73" t="s">
        <v>13</v>
      </c>
    </row>
    <row r="41" spans="1:6" s="71" customFormat="1" ht="39" customHeight="1" x14ac:dyDescent="0.35">
      <c r="A4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1" s="114" t="str">
        <f t="shared" ref="B41:E41" si="3">B17</f>
        <v>test chemical</v>
      </c>
      <c r="C41" s="114">
        <f t="shared" si="3"/>
        <v>0</v>
      </c>
      <c r="D41" s="114">
        <f t="shared" si="3"/>
        <v>0</v>
      </c>
      <c r="E41" s="114">
        <f t="shared" si="3"/>
        <v>0</v>
      </c>
      <c r="F41" s="73" t="s">
        <v>13</v>
      </c>
    </row>
    <row r="42" spans="1:6" s="71" customFormat="1" ht="39" customHeight="1" x14ac:dyDescent="0.35">
      <c r="A4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2" s="114" t="str">
        <f t="shared" ref="B42:E42" si="4">B18</f>
        <v>test chemical</v>
      </c>
      <c r="C42" s="114">
        <f t="shared" si="4"/>
        <v>0</v>
      </c>
      <c r="D42" s="114">
        <f t="shared" si="4"/>
        <v>0</v>
      </c>
      <c r="E42" s="114">
        <f t="shared" si="4"/>
        <v>0</v>
      </c>
      <c r="F42" s="73" t="s">
        <v>13</v>
      </c>
    </row>
    <row r="43" spans="1:6" s="71" customFormat="1" ht="39" customHeight="1" x14ac:dyDescent="0.35">
      <c r="A4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4" t="str">
        <f t="shared" ref="B43:E43" si="5">B19</f>
        <v>test chemical</v>
      </c>
      <c r="C43" s="114">
        <f t="shared" si="5"/>
        <v>0</v>
      </c>
      <c r="D43" s="114">
        <f t="shared" si="5"/>
        <v>0</v>
      </c>
      <c r="E43" s="114">
        <f t="shared" si="5"/>
        <v>0</v>
      </c>
      <c r="F43" s="73" t="s">
        <v>13</v>
      </c>
    </row>
    <row r="44" spans="1:6" s="71" customFormat="1" ht="39" customHeight="1" x14ac:dyDescent="0.35">
      <c r="A4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4" t="str">
        <f t="shared" ref="B44:E44" si="6">B20</f>
        <v>test chemical</v>
      </c>
      <c r="C44" s="114">
        <f t="shared" si="6"/>
        <v>0</v>
      </c>
      <c r="D44" s="114">
        <f t="shared" si="6"/>
        <v>0</v>
      </c>
      <c r="E44" s="114">
        <f t="shared" si="6"/>
        <v>0</v>
      </c>
      <c r="F44" s="73" t="s">
        <v>13</v>
      </c>
    </row>
    <row r="45" spans="1:6" s="71" customFormat="1" ht="39" customHeight="1" x14ac:dyDescent="0.35">
      <c r="A4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4" t="str">
        <f t="shared" ref="B45:E45" si="7">B21</f>
        <v>test chemical</v>
      </c>
      <c r="C45" s="114">
        <f t="shared" si="7"/>
        <v>0</v>
      </c>
      <c r="D45" s="114">
        <f t="shared" si="7"/>
        <v>0</v>
      </c>
      <c r="E45" s="114">
        <f t="shared" si="7"/>
        <v>0</v>
      </c>
      <c r="F45" s="73" t="s">
        <v>13</v>
      </c>
    </row>
    <row r="46" spans="1:6" s="71" customFormat="1" ht="39" customHeight="1" x14ac:dyDescent="0.35">
      <c r="A4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4" t="str">
        <f t="shared" ref="B46:E46" si="8">B22</f>
        <v>test chemical</v>
      </c>
      <c r="C46" s="114">
        <f t="shared" si="8"/>
        <v>0</v>
      </c>
      <c r="D46" s="114">
        <f t="shared" si="8"/>
        <v>0</v>
      </c>
      <c r="E46" s="114">
        <f t="shared" si="8"/>
        <v>0</v>
      </c>
      <c r="F46" s="73" t="s">
        <v>13</v>
      </c>
    </row>
    <row r="47" spans="1:6" s="71" customFormat="1" ht="39" customHeight="1" x14ac:dyDescent="0.35">
      <c r="A47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4" t="str">
        <f t="shared" ref="B47:E47" si="9">B23</f>
        <v>test chemical</v>
      </c>
      <c r="C47" s="114">
        <f t="shared" si="9"/>
        <v>0</v>
      </c>
      <c r="D47" s="114">
        <f t="shared" si="9"/>
        <v>0</v>
      </c>
      <c r="E47" s="114">
        <f t="shared" si="9"/>
        <v>0</v>
      </c>
      <c r="F47" s="73" t="s">
        <v>13</v>
      </c>
    </row>
    <row r="48" spans="1:6" s="71" customFormat="1" ht="39" customHeight="1" x14ac:dyDescent="0.35">
      <c r="A48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4" t="str">
        <f t="shared" ref="B48:E48" si="10">B24</f>
        <v>test chemical</v>
      </c>
      <c r="C48" s="114">
        <f t="shared" si="10"/>
        <v>0</v>
      </c>
      <c r="D48" s="114">
        <f t="shared" si="10"/>
        <v>0</v>
      </c>
      <c r="E48" s="114">
        <f t="shared" si="10"/>
        <v>0</v>
      </c>
      <c r="F48" s="73" t="s">
        <v>13</v>
      </c>
    </row>
    <row r="49" spans="1:6" s="71" customFormat="1" ht="39" customHeight="1" x14ac:dyDescent="0.35">
      <c r="A4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4" t="str">
        <f t="shared" ref="B49:E49" si="11">B25</f>
        <v>test chemical</v>
      </c>
      <c r="C49" s="114">
        <f t="shared" si="11"/>
        <v>0</v>
      </c>
      <c r="D49" s="114">
        <f t="shared" si="11"/>
        <v>0</v>
      </c>
      <c r="E49" s="114">
        <f t="shared" si="11"/>
        <v>0</v>
      </c>
      <c r="F49" s="73" t="s">
        <v>13</v>
      </c>
    </row>
    <row r="50" spans="1:6" s="71" customFormat="1" ht="39" customHeight="1" x14ac:dyDescent="0.35">
      <c r="A5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4" t="str">
        <f t="shared" ref="B50:E50" si="12">B26</f>
        <v>test chemical</v>
      </c>
      <c r="C50" s="114">
        <f t="shared" si="12"/>
        <v>0</v>
      </c>
      <c r="D50" s="114">
        <f t="shared" si="12"/>
        <v>0</v>
      </c>
      <c r="E50" s="114">
        <f t="shared" si="12"/>
        <v>0</v>
      </c>
      <c r="F50" s="73" t="s">
        <v>13</v>
      </c>
    </row>
    <row r="51" spans="1:6" s="71" customFormat="1" ht="39" customHeight="1" x14ac:dyDescent="0.35">
      <c r="A5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4" t="str">
        <f t="shared" ref="B51:E51" si="13">B27</f>
        <v>test chemical</v>
      </c>
      <c r="C51" s="114">
        <f t="shared" si="13"/>
        <v>0</v>
      </c>
      <c r="D51" s="114">
        <f t="shared" si="13"/>
        <v>0</v>
      </c>
      <c r="E51" s="114">
        <f t="shared" si="13"/>
        <v>0</v>
      </c>
      <c r="F51" s="73" t="s">
        <v>13</v>
      </c>
    </row>
    <row r="52" spans="1:6" s="71" customFormat="1" ht="39" customHeight="1" x14ac:dyDescent="0.35">
      <c r="A5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4" t="str">
        <f t="shared" ref="B52:E52" si="14">B28</f>
        <v>test chemical</v>
      </c>
      <c r="C52" s="114">
        <f t="shared" si="14"/>
        <v>0</v>
      </c>
      <c r="D52" s="114">
        <f t="shared" si="14"/>
        <v>0</v>
      </c>
      <c r="E52" s="114">
        <f t="shared" si="14"/>
        <v>0</v>
      </c>
      <c r="F52" s="73" t="s">
        <v>13</v>
      </c>
    </row>
    <row r="53" spans="1:6" s="71" customFormat="1" ht="39" customHeight="1" x14ac:dyDescent="0.35">
      <c r="A5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4" t="str">
        <f t="shared" ref="B53:E53" si="15">B29</f>
        <v>test chemical</v>
      </c>
      <c r="C53" s="114">
        <f t="shared" si="15"/>
        <v>0</v>
      </c>
      <c r="D53" s="114">
        <f t="shared" si="15"/>
        <v>0</v>
      </c>
      <c r="E53" s="114">
        <f t="shared" si="15"/>
        <v>0</v>
      </c>
      <c r="F53" s="73" t="s">
        <v>13</v>
      </c>
    </row>
    <row r="54" spans="1:6" s="71" customFormat="1" ht="39" customHeight="1" x14ac:dyDescent="0.35">
      <c r="A5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4" t="str">
        <f t="shared" ref="B54:E54" si="16">B30</f>
        <v>test chemical</v>
      </c>
      <c r="C54" s="114">
        <f t="shared" si="16"/>
        <v>0</v>
      </c>
      <c r="D54" s="114">
        <f t="shared" si="16"/>
        <v>0</v>
      </c>
      <c r="E54" s="114">
        <f t="shared" si="16"/>
        <v>0</v>
      </c>
      <c r="F54" s="73" t="s">
        <v>13</v>
      </c>
    </row>
    <row r="55" spans="1:6" s="71" customFormat="1" ht="39" customHeight="1" x14ac:dyDescent="0.35">
      <c r="A5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4" t="str">
        <f t="shared" ref="B55:E55" si="17">B31</f>
        <v>test chemical</v>
      </c>
      <c r="C55" s="114">
        <f t="shared" si="17"/>
        <v>0</v>
      </c>
      <c r="D55" s="114">
        <f t="shared" si="17"/>
        <v>0</v>
      </c>
      <c r="E55" s="114">
        <f t="shared" si="17"/>
        <v>0</v>
      </c>
      <c r="F55" s="73" t="s">
        <v>13</v>
      </c>
    </row>
    <row r="56" spans="1:6" s="71" customFormat="1" ht="39" customHeight="1" x14ac:dyDescent="0.35">
      <c r="A5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4" t="str">
        <f t="shared" ref="B56:E56" si="18">B32</f>
        <v>test chemical</v>
      </c>
      <c r="C56" s="114">
        <f t="shared" si="18"/>
        <v>0</v>
      </c>
      <c r="D56" s="114">
        <f t="shared" si="18"/>
        <v>0</v>
      </c>
      <c r="E56" s="114">
        <f t="shared" si="18"/>
        <v>0</v>
      </c>
      <c r="F56" s="73" t="s">
        <v>13</v>
      </c>
    </row>
    <row r="57" spans="1:6" s="71" customFormat="1" ht="39" customHeight="1" x14ac:dyDescent="0.35">
      <c r="A57" s="6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3" t="str">
        <f t="shared" ref="B57:E57" si="19">B33</f>
        <v>test chemical</v>
      </c>
      <c r="C57" s="113">
        <f t="shared" si="19"/>
        <v>0</v>
      </c>
      <c r="D57" s="113">
        <f t="shared" si="19"/>
        <v>0</v>
      </c>
      <c r="E57" s="113">
        <f t="shared" si="19"/>
        <v>0</v>
      </c>
      <c r="F57" s="73" t="s">
        <v>13</v>
      </c>
    </row>
  </sheetData>
  <protectedRanges>
    <protectedRange sqref="C15:D37 A15:A51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85" zoomScaleNormal="85" zoomScaleSheetLayoutView="40" zoomScalePageLayoutView="30" workbookViewId="0">
      <pane xSplit="1" topLeftCell="N1" activePane="topRight" state="frozen"/>
      <selection pane="topRight" activeCell="R11" sqref="R11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5" t="s">
        <v>5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/>
      </c>
      <c r="J4" s="20" t="str">
        <f>'Front page'!A15</f>
        <v/>
      </c>
      <c r="K4" s="20" t="str">
        <f>'Front page'!A16</f>
        <v/>
      </c>
      <c r="L4" s="20" t="str">
        <f>'Front page'!A17</f>
        <v/>
      </c>
      <c r="M4" s="20" t="str">
        <f>'Front page'!A18</f>
        <v/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0-00 + Testostérone</v>
      </c>
      <c r="S4" s="21" t="str">
        <f>'Front page'!A39</f>
        <v>0-00 + Testostérone</v>
      </c>
      <c r="T4" s="21" t="str">
        <f>'Front page'!A40</f>
        <v>0-00 + Testostérone</v>
      </c>
      <c r="U4" s="21" t="str">
        <f>'Front page'!A41</f>
        <v>0-00 + Testostérone</v>
      </c>
      <c r="V4" s="21" t="str">
        <f>'Front page'!A42</f>
        <v>0-00 + Testostérone</v>
      </c>
    </row>
    <row r="5" spans="1:22" ht="16.5" x14ac:dyDescent="0.35">
      <c r="A5" s="138" t="s">
        <v>35</v>
      </c>
      <c r="B5" s="56">
        <v>9621</v>
      </c>
      <c r="C5" s="13">
        <v>0</v>
      </c>
      <c r="D5" s="17">
        <v>220859</v>
      </c>
      <c r="E5" s="17">
        <v>1661818</v>
      </c>
      <c r="F5" s="17">
        <v>1712944</v>
      </c>
      <c r="G5" s="17">
        <v>2978520</v>
      </c>
      <c r="H5" s="17">
        <v>4759292</v>
      </c>
      <c r="I5" s="17"/>
      <c r="J5" s="16"/>
      <c r="K5" s="13"/>
      <c r="L5" s="13"/>
      <c r="M5" s="13"/>
      <c r="N5" s="3"/>
      <c r="O5" s="17">
        <v>25553</v>
      </c>
      <c r="P5" s="13">
        <v>2470247</v>
      </c>
      <c r="Q5" s="13">
        <v>534</v>
      </c>
      <c r="R5" s="4"/>
      <c r="S5" s="17"/>
      <c r="T5" s="17"/>
      <c r="U5" s="17"/>
      <c r="V5" s="17"/>
    </row>
    <row r="6" spans="1:22" ht="16.5" x14ac:dyDescent="0.35">
      <c r="A6" s="139"/>
      <c r="B6" s="56">
        <v>80</v>
      </c>
      <c r="C6" s="13">
        <v>691325</v>
      </c>
      <c r="D6" s="17">
        <v>728223</v>
      </c>
      <c r="E6" s="17">
        <v>1659623</v>
      </c>
      <c r="F6" s="17">
        <v>907323</v>
      </c>
      <c r="G6" s="17">
        <v>3058448</v>
      </c>
      <c r="H6" s="17">
        <v>6160032</v>
      </c>
      <c r="I6" s="17"/>
      <c r="J6" s="16"/>
      <c r="K6" s="13"/>
      <c r="L6" s="13"/>
      <c r="M6" s="13"/>
      <c r="N6" s="3"/>
      <c r="O6" s="17">
        <v>1380826</v>
      </c>
      <c r="P6" s="13">
        <v>4260792</v>
      </c>
      <c r="Q6" s="13">
        <v>8839</v>
      </c>
      <c r="R6" s="4"/>
      <c r="S6" s="17"/>
      <c r="T6" s="17"/>
      <c r="U6" s="17"/>
      <c r="V6" s="17"/>
    </row>
    <row r="7" spans="1:22" ht="16.5" x14ac:dyDescent="0.35">
      <c r="A7" s="139"/>
      <c r="B7" s="56">
        <v>14185</v>
      </c>
      <c r="C7" s="56">
        <v>139151</v>
      </c>
      <c r="D7" s="56">
        <v>61959</v>
      </c>
      <c r="E7" s="56">
        <v>751304</v>
      </c>
      <c r="F7" s="56">
        <v>1736873</v>
      </c>
      <c r="G7" s="56">
        <v>1942354</v>
      </c>
      <c r="H7" s="56">
        <v>6151823</v>
      </c>
      <c r="I7" s="56"/>
      <c r="J7" s="56"/>
      <c r="K7" s="56"/>
      <c r="L7" s="56"/>
      <c r="M7" s="56"/>
      <c r="N7" s="3"/>
      <c r="O7" s="17">
        <v>382790</v>
      </c>
      <c r="P7" s="13">
        <v>3583948</v>
      </c>
      <c r="Q7" s="13">
        <v>102339</v>
      </c>
      <c r="R7" s="4"/>
      <c r="S7" s="17"/>
      <c r="T7" s="17"/>
      <c r="U7" s="17"/>
      <c r="V7" s="17"/>
    </row>
    <row r="8" spans="1:22" ht="16.5" x14ac:dyDescent="0.35">
      <c r="A8" s="139"/>
      <c r="B8" s="56">
        <v>3986</v>
      </c>
      <c r="C8" s="56">
        <v>10017</v>
      </c>
      <c r="D8" s="56">
        <v>105048</v>
      </c>
      <c r="E8" s="56">
        <v>932901</v>
      </c>
      <c r="F8" s="56">
        <v>1887601</v>
      </c>
      <c r="G8" s="56">
        <v>3054189</v>
      </c>
      <c r="H8" s="56">
        <v>5230018</v>
      </c>
      <c r="I8" s="56"/>
      <c r="J8" s="56"/>
      <c r="K8" s="56"/>
      <c r="L8" s="56"/>
      <c r="M8" s="56"/>
      <c r="N8" s="3"/>
      <c r="O8" s="56">
        <v>978105</v>
      </c>
      <c r="P8" s="56">
        <v>3049802</v>
      </c>
      <c r="Q8" s="56">
        <v>2171</v>
      </c>
      <c r="R8" s="56"/>
      <c r="S8" s="56"/>
      <c r="T8" s="56"/>
      <c r="U8" s="56"/>
      <c r="V8" s="56"/>
    </row>
    <row r="9" spans="1:22" ht="16.5" x14ac:dyDescent="0.35">
      <c r="A9" s="139"/>
      <c r="B9" s="56">
        <v>88332</v>
      </c>
      <c r="C9" s="56">
        <v>199264</v>
      </c>
      <c r="D9" s="56">
        <v>483982</v>
      </c>
      <c r="E9" s="56">
        <v>1091106</v>
      </c>
      <c r="F9" s="56">
        <v>1968204</v>
      </c>
      <c r="G9" s="56">
        <v>3436693</v>
      </c>
      <c r="H9" s="56">
        <v>3351111</v>
      </c>
      <c r="I9" s="56"/>
      <c r="J9" s="56"/>
      <c r="K9" s="56"/>
      <c r="L9" s="56"/>
      <c r="M9" s="56"/>
      <c r="N9" s="3"/>
      <c r="O9" s="56">
        <v>3812296</v>
      </c>
      <c r="P9" s="56">
        <v>2728553</v>
      </c>
      <c r="Q9" s="56">
        <v>161</v>
      </c>
      <c r="R9" s="56"/>
      <c r="S9" s="56"/>
      <c r="T9" s="56"/>
      <c r="U9" s="56"/>
      <c r="V9" s="56"/>
    </row>
    <row r="10" spans="1:22" ht="16.5" x14ac:dyDescent="0.35">
      <c r="A10" s="139"/>
      <c r="B10" s="56">
        <v>63757</v>
      </c>
      <c r="C10" s="56">
        <v>8819</v>
      </c>
      <c r="D10" s="56">
        <v>443040</v>
      </c>
      <c r="E10" s="56">
        <v>171922</v>
      </c>
      <c r="F10" s="56">
        <v>2293058</v>
      </c>
      <c r="G10" s="56">
        <v>3339876</v>
      </c>
      <c r="H10" s="56">
        <v>6349996</v>
      </c>
      <c r="I10" s="56"/>
      <c r="J10" s="56"/>
      <c r="K10" s="56"/>
      <c r="L10" s="56"/>
      <c r="M10" s="56"/>
      <c r="N10" s="3"/>
      <c r="O10" s="56">
        <v>806872</v>
      </c>
      <c r="P10" s="56">
        <v>2334006</v>
      </c>
      <c r="Q10" s="56">
        <v>31746</v>
      </c>
      <c r="R10" s="56"/>
      <c r="S10" s="56"/>
      <c r="T10" s="56"/>
      <c r="U10" s="56"/>
      <c r="V10" s="56"/>
    </row>
    <row r="11" spans="1:22" ht="16.5" x14ac:dyDescent="0.35">
      <c r="A11" s="139"/>
      <c r="B11" s="56">
        <v>2024</v>
      </c>
      <c r="C11" s="13">
        <v>94728</v>
      </c>
      <c r="D11" s="17">
        <v>294993</v>
      </c>
      <c r="E11" s="17">
        <v>1358137</v>
      </c>
      <c r="F11" s="17">
        <v>1042513</v>
      </c>
      <c r="G11" s="17">
        <v>3544342</v>
      </c>
      <c r="H11" s="17">
        <v>5547647</v>
      </c>
      <c r="I11" s="17"/>
      <c r="J11" s="16"/>
      <c r="K11" s="13"/>
      <c r="L11" s="13"/>
      <c r="M11" s="13"/>
      <c r="N11" s="3"/>
      <c r="O11" s="56">
        <v>917857</v>
      </c>
      <c r="P11" s="56">
        <v>2602393</v>
      </c>
      <c r="Q11" s="56">
        <v>21607</v>
      </c>
      <c r="R11" s="56"/>
      <c r="S11" s="56"/>
      <c r="T11" s="56"/>
      <c r="U11" s="56"/>
      <c r="V11" s="56"/>
    </row>
    <row r="12" spans="1:22" ht="16.5" x14ac:dyDescent="0.35">
      <c r="A12" s="139"/>
      <c r="B12" s="56"/>
      <c r="C12" s="13">
        <v>31314</v>
      </c>
      <c r="D12" s="17">
        <v>418711</v>
      </c>
      <c r="E12" s="17">
        <v>844977</v>
      </c>
      <c r="F12" s="17">
        <v>990484</v>
      </c>
      <c r="G12" s="17">
        <v>3808794</v>
      </c>
      <c r="H12" s="17">
        <v>4542728</v>
      </c>
      <c r="I12" s="17"/>
      <c r="J12" s="16"/>
      <c r="K12" s="13"/>
      <c r="L12" s="13"/>
      <c r="M12" s="13"/>
      <c r="N12" s="3"/>
      <c r="O12" s="17">
        <v>1200236</v>
      </c>
      <c r="P12" s="13">
        <v>3104308</v>
      </c>
      <c r="Q12" s="13">
        <v>42282</v>
      </c>
      <c r="R12" s="4"/>
      <c r="S12" s="17"/>
      <c r="T12" s="17"/>
      <c r="U12" s="17"/>
      <c r="V12" s="17"/>
    </row>
    <row r="13" spans="1:22" ht="16.5" x14ac:dyDescent="0.35">
      <c r="A13" s="139"/>
      <c r="B13" s="14"/>
      <c r="C13" s="13"/>
      <c r="D13" s="16"/>
      <c r="E13" s="16"/>
      <c r="F13" s="16"/>
      <c r="G13" s="16"/>
      <c r="H13" s="16"/>
      <c r="I13" s="17"/>
      <c r="J13" s="16"/>
      <c r="K13" s="13"/>
      <c r="L13" s="13"/>
      <c r="M13" s="13"/>
      <c r="N13" s="3"/>
      <c r="O13" s="17">
        <v>472804</v>
      </c>
      <c r="P13" s="13"/>
      <c r="Q13" s="13"/>
      <c r="R13" s="4"/>
      <c r="S13" s="17"/>
      <c r="T13" s="17"/>
      <c r="U13" s="17"/>
      <c r="V13" s="17"/>
    </row>
    <row r="14" spans="1:22" ht="16.5" x14ac:dyDescent="0.35">
      <c r="A14" s="139"/>
      <c r="B14" s="14"/>
      <c r="C14" s="16"/>
      <c r="D14" s="16"/>
      <c r="E14" s="16"/>
      <c r="F14" s="16"/>
      <c r="G14" s="16"/>
      <c r="H14" s="16"/>
      <c r="I14" s="17"/>
      <c r="J14" s="16"/>
      <c r="K14" s="13"/>
      <c r="L14" s="13"/>
      <c r="M14" s="13"/>
      <c r="N14" s="3"/>
      <c r="O14" s="17">
        <v>665329</v>
      </c>
      <c r="P14" s="13"/>
      <c r="Q14" s="13"/>
      <c r="R14" s="4"/>
      <c r="S14" s="17"/>
      <c r="T14" s="17"/>
      <c r="U14" s="17"/>
      <c r="V14" s="17"/>
    </row>
    <row r="15" spans="1:22" ht="16.5" x14ac:dyDescent="0.35">
      <c r="A15" s="139"/>
      <c r="B15" s="14"/>
      <c r="C15" s="16"/>
      <c r="D15" s="16"/>
      <c r="E15" s="16"/>
      <c r="F15" s="16"/>
      <c r="G15" s="16"/>
      <c r="H15" s="16"/>
      <c r="I15" s="17"/>
      <c r="J15" s="16"/>
      <c r="K15" s="13"/>
      <c r="L15" s="13"/>
      <c r="M15" s="13"/>
      <c r="N15" s="3"/>
      <c r="O15" s="17">
        <v>1634223</v>
      </c>
      <c r="P15" s="13"/>
      <c r="Q15" s="13"/>
      <c r="R15" s="4"/>
      <c r="S15" s="17"/>
      <c r="T15" s="17"/>
      <c r="U15" s="17"/>
      <c r="V15" s="17"/>
    </row>
    <row r="16" spans="1:22" ht="16.5" x14ac:dyDescent="0.35">
      <c r="A16" s="139"/>
      <c r="B16" s="14"/>
      <c r="C16" s="16"/>
      <c r="D16" s="16"/>
      <c r="E16" s="16"/>
      <c r="F16" s="16"/>
      <c r="G16" s="16"/>
      <c r="H16" s="16"/>
      <c r="I16" s="17"/>
      <c r="J16" s="16"/>
      <c r="K16" s="13"/>
      <c r="L16" s="13"/>
      <c r="M16" s="13"/>
      <c r="N16" s="3"/>
      <c r="O16" s="17">
        <v>605645</v>
      </c>
      <c r="P16" s="13"/>
      <c r="Q16" s="13"/>
      <c r="R16" s="4"/>
      <c r="S16" s="17"/>
      <c r="T16" s="17"/>
      <c r="U16" s="17"/>
      <c r="V16" s="17"/>
    </row>
    <row r="17" spans="1:22" s="1" customFormat="1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604155</v>
      </c>
      <c r="P17" s="13"/>
      <c r="Q17" s="13"/>
      <c r="R17" s="17"/>
      <c r="S17" s="17"/>
      <c r="T17" s="17"/>
      <c r="U17" s="17"/>
      <c r="V17" s="17"/>
    </row>
    <row r="18" spans="1:22" s="1" customFormat="1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3840707</v>
      </c>
      <c r="P18" s="13"/>
      <c r="Q18" s="13"/>
      <c r="R18" s="17"/>
      <c r="S18" s="17"/>
      <c r="T18" s="17"/>
      <c r="U18" s="17"/>
      <c r="V18" s="17"/>
    </row>
    <row r="19" spans="1:22" s="1" customFormat="1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2316143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6"/>
      <c r="D20" s="16"/>
      <c r="E20" s="16"/>
      <c r="F20" s="16"/>
      <c r="G20" s="16"/>
      <c r="H20" s="16"/>
      <c r="I20" s="17"/>
      <c r="J20" s="16"/>
      <c r="K20" s="13"/>
      <c r="L20" s="13"/>
      <c r="M20" s="13"/>
      <c r="N20" s="3"/>
      <c r="O20" s="17">
        <v>1864971</v>
      </c>
      <c r="P20" s="13"/>
      <c r="Q20" s="13"/>
      <c r="R20" s="4"/>
      <c r="S20" s="17"/>
      <c r="T20" s="17"/>
      <c r="U20" s="17"/>
      <c r="V20" s="17"/>
    </row>
    <row r="21" spans="1:22" s="1" customFormat="1" ht="16.5" x14ac:dyDescent="0.35">
      <c r="A21" s="49"/>
      <c r="B21" s="50"/>
      <c r="C21" s="7"/>
      <c r="D21" s="7"/>
      <c r="E21" s="7"/>
      <c r="F21" s="7"/>
      <c r="G21" s="7"/>
      <c r="H21" s="7"/>
      <c r="I21" s="7"/>
      <c r="J21" s="7"/>
      <c r="K21" s="18"/>
      <c r="L21" s="18"/>
      <c r="M21" s="18"/>
      <c r="N21" s="3"/>
      <c r="O21" s="7"/>
      <c r="P21" s="18"/>
      <c r="Q21" s="18"/>
      <c r="R21" s="7"/>
      <c r="S21" s="7"/>
      <c r="T21" s="7"/>
      <c r="U21" s="7"/>
      <c r="V21" s="7"/>
    </row>
    <row r="22" spans="1:22" s="52" customFormat="1" x14ac:dyDescent="0.35">
      <c r="A22" s="51" t="str">
        <f t="shared" ref="A22:M22" si="0">A4</f>
        <v>Group names</v>
      </c>
      <c r="B22" s="51" t="str">
        <f t="shared" si="0"/>
        <v>Solvent control</v>
      </c>
      <c r="C22" s="51" t="str">
        <f t="shared" si="0"/>
        <v>EE2-33.8ng/L</v>
      </c>
      <c r="D22" s="51" t="str">
        <f t="shared" si="0"/>
        <v>EE2-50.6ng/L</v>
      </c>
      <c r="E22" s="51" t="str">
        <f t="shared" si="0"/>
        <v>EE2-76ng/L</v>
      </c>
      <c r="F22" s="51" t="str">
        <f t="shared" si="0"/>
        <v>EE2-114ng/L</v>
      </c>
      <c r="G22" s="51" t="str">
        <f t="shared" si="0"/>
        <v>EE2-170.9ng/L</v>
      </c>
      <c r="H22" s="51" t="str">
        <f t="shared" si="0"/>
        <v>EE2-488ng/L</v>
      </c>
      <c r="I22" s="51" t="str">
        <f t="shared" si="0"/>
        <v/>
      </c>
      <c r="J22" s="51" t="str">
        <f t="shared" si="0"/>
        <v/>
      </c>
      <c r="K22" s="51" t="str">
        <f t="shared" si="0"/>
        <v/>
      </c>
      <c r="L22" s="51" t="str">
        <f t="shared" si="0"/>
        <v/>
      </c>
      <c r="M22" s="51" t="str">
        <f t="shared" si="0"/>
        <v/>
      </c>
      <c r="N22" s="51" t="s">
        <v>12</v>
      </c>
      <c r="O22" s="51" t="str">
        <f t="shared" ref="O22:V22" si="1">O4</f>
        <v>Testo -30µg/L</v>
      </c>
      <c r="P22" s="51" t="str">
        <f t="shared" si="1"/>
        <v>Testo 30µg/L + EE2 -64ng/L</v>
      </c>
      <c r="Q22" s="51" t="str">
        <f t="shared" si="1"/>
        <v>Testo 30µg/L + FAD-10mg/L</v>
      </c>
      <c r="R22" s="51" t="str">
        <f t="shared" si="1"/>
        <v>0-00 + Testostérone</v>
      </c>
      <c r="S22" s="51" t="str">
        <f t="shared" si="1"/>
        <v>0-00 + Testostérone</v>
      </c>
      <c r="T22" s="51" t="str">
        <f t="shared" si="1"/>
        <v>0-00 + Testostérone</v>
      </c>
      <c r="U22" s="51" t="str">
        <f t="shared" si="1"/>
        <v>0-00 + Testostérone</v>
      </c>
      <c r="V22" s="51" t="str">
        <f t="shared" si="1"/>
        <v>0-00 + Testostérone</v>
      </c>
    </row>
    <row r="23" spans="1:22" x14ac:dyDescent="0.35">
      <c r="A23" s="5" t="s">
        <v>0</v>
      </c>
      <c r="B23" s="5">
        <f t="shared" ref="B23:M23" si="2">AVERAGE(B5:B20)</f>
        <v>25997.857142857141</v>
      </c>
      <c r="C23" s="5">
        <f t="shared" si="2"/>
        <v>146827.25</v>
      </c>
      <c r="D23" s="5">
        <f t="shared" si="2"/>
        <v>344601.875</v>
      </c>
      <c r="E23" s="5">
        <f t="shared" si="2"/>
        <v>1058973.5</v>
      </c>
      <c r="F23" s="5">
        <f t="shared" si="2"/>
        <v>1567375</v>
      </c>
      <c r="G23" s="5">
        <f t="shared" si="2"/>
        <v>3145402</v>
      </c>
      <c r="H23" s="5">
        <f t="shared" si="2"/>
        <v>5261580.875</v>
      </c>
      <c r="I23" s="5" t="e">
        <f t="shared" si="2"/>
        <v>#DIV/0!</v>
      </c>
      <c r="J23" s="5" t="e">
        <f t="shared" si="2"/>
        <v>#DIV/0!</v>
      </c>
      <c r="K23" s="5" t="e">
        <f t="shared" si="2"/>
        <v>#DIV/0!</v>
      </c>
      <c r="L23" s="5" t="e">
        <f t="shared" si="2"/>
        <v>#DIV/0!</v>
      </c>
      <c r="M23" s="5" t="e">
        <f t="shared" si="2"/>
        <v>#DIV/0!</v>
      </c>
      <c r="N23" s="5" t="s">
        <v>0</v>
      </c>
      <c r="O23" s="5">
        <f t="shared" ref="O23:V23" si="3">AVERAGE(O5:O20)</f>
        <v>1344282</v>
      </c>
      <c r="P23" s="5">
        <f t="shared" si="3"/>
        <v>3016756.125</v>
      </c>
      <c r="Q23" s="5">
        <f t="shared" si="3"/>
        <v>26209.875</v>
      </c>
      <c r="R23" s="5" t="e">
        <f t="shared" si="3"/>
        <v>#DIV/0!</v>
      </c>
      <c r="S23" s="5" t="e">
        <f t="shared" si="3"/>
        <v>#DIV/0!</v>
      </c>
      <c r="T23" s="5" t="e">
        <f t="shared" si="3"/>
        <v>#DIV/0!</v>
      </c>
      <c r="U23" s="5" t="e">
        <f t="shared" si="3"/>
        <v>#DIV/0!</v>
      </c>
      <c r="V23" s="5" t="e">
        <f t="shared" si="3"/>
        <v>#DIV/0!</v>
      </c>
    </row>
    <row r="24" spans="1:22" x14ac:dyDescent="0.35">
      <c r="A24" s="3" t="s">
        <v>1</v>
      </c>
      <c r="B24" s="3">
        <f t="shared" ref="B24:M24" si="4">STDEV(B5:B20)</f>
        <v>35237.400298681569</v>
      </c>
      <c r="C24" s="3">
        <f t="shared" si="4"/>
        <v>231351.78625124739</v>
      </c>
      <c r="D24" s="3">
        <f t="shared" si="4"/>
        <v>219356.39853928355</v>
      </c>
      <c r="E24" s="3">
        <f t="shared" si="4"/>
        <v>501133.32592520438</v>
      </c>
      <c r="F24" s="3">
        <f t="shared" si="4"/>
        <v>518747.98288075987</v>
      </c>
      <c r="G24" s="3">
        <f t="shared" si="4"/>
        <v>562261.70245510607</v>
      </c>
      <c r="H24" s="3">
        <f t="shared" si="4"/>
        <v>1020235.3863933891</v>
      </c>
      <c r="I24" s="3" t="e">
        <f t="shared" si="4"/>
        <v>#DIV/0!</v>
      </c>
      <c r="J24" s="3" t="e">
        <f t="shared" si="4"/>
        <v>#DIV/0!</v>
      </c>
      <c r="K24" s="3" t="e">
        <f t="shared" si="4"/>
        <v>#DIV/0!</v>
      </c>
      <c r="L24" s="3" t="e">
        <f t="shared" si="4"/>
        <v>#DIV/0!</v>
      </c>
      <c r="M24" s="3" t="e">
        <f t="shared" si="4"/>
        <v>#DIV/0!</v>
      </c>
      <c r="N24" s="3" t="s">
        <v>1</v>
      </c>
      <c r="O24" s="3">
        <f t="shared" ref="O24:V24" si="5">STDEV(O5:O20)</f>
        <v>1132168.4892437167</v>
      </c>
      <c r="P24" s="3">
        <f t="shared" si="5"/>
        <v>643391.35385847336</v>
      </c>
      <c r="Q24" s="3">
        <f t="shared" si="5"/>
        <v>34482.296221342753</v>
      </c>
      <c r="R24" s="3" t="e">
        <f t="shared" si="5"/>
        <v>#DIV/0!</v>
      </c>
      <c r="S24" s="3" t="e">
        <f t="shared" si="5"/>
        <v>#DIV/0!</v>
      </c>
      <c r="T24" s="3" t="e">
        <f t="shared" si="5"/>
        <v>#DIV/0!</v>
      </c>
      <c r="U24" s="3" t="e">
        <f t="shared" si="5"/>
        <v>#DIV/0!</v>
      </c>
      <c r="V24" s="3" t="e">
        <f t="shared" si="5"/>
        <v>#DIV/0!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s="1" customFormat="1" x14ac:dyDescent="0.35">
      <c r="A27" s="19" t="str">
        <f>A4</f>
        <v>Group names</v>
      </c>
      <c r="B27" s="20" t="str">
        <f t="shared" ref="B27:M27" si="6">B4</f>
        <v>Solvent control</v>
      </c>
      <c r="C27" s="20" t="str">
        <f t="shared" si="6"/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/>
      </c>
      <c r="J27" s="20" t="str">
        <f t="shared" si="6"/>
        <v/>
      </c>
      <c r="K27" s="20" t="str">
        <f t="shared" si="6"/>
        <v/>
      </c>
      <c r="L27" s="20" t="str">
        <f t="shared" si="6"/>
        <v/>
      </c>
      <c r="M27" s="20" t="str">
        <f t="shared" si="6"/>
        <v/>
      </c>
      <c r="N27" s="3"/>
      <c r="O27" s="21" t="str">
        <f t="shared" ref="O27:V27" si="7">O4</f>
        <v>Testo -30µg/L</v>
      </c>
      <c r="P27" s="21" t="str">
        <f t="shared" si="7"/>
        <v>Testo 30µg/L + EE2 -64ng/L</v>
      </c>
      <c r="Q27" s="21" t="str">
        <f t="shared" si="7"/>
        <v>Testo 30µg/L + FAD-10mg/L</v>
      </c>
      <c r="R27" s="21" t="str">
        <f t="shared" si="7"/>
        <v>0-00 + Testostérone</v>
      </c>
      <c r="S27" s="21" t="str">
        <f t="shared" si="7"/>
        <v>0-00 + Testostérone</v>
      </c>
      <c r="T27" s="21" t="str">
        <f t="shared" si="7"/>
        <v>0-00 + Testostérone</v>
      </c>
      <c r="U27" s="21" t="str">
        <f t="shared" si="7"/>
        <v>0-00 + Testostérone</v>
      </c>
      <c r="V27" s="21" t="str">
        <f t="shared" si="7"/>
        <v>0-00 + Testostérone</v>
      </c>
    </row>
    <row r="28" spans="1:22" x14ac:dyDescent="0.35">
      <c r="A28" s="140" t="s">
        <v>36</v>
      </c>
      <c r="B28" s="11">
        <f t="shared" ref="B28:M28" si="8">IF(B5="","",(B5/$O$23))</f>
        <v>7.1569804549938181E-3</v>
      </c>
      <c r="C28" s="11">
        <f t="shared" si="8"/>
        <v>0</v>
      </c>
      <c r="D28" s="11">
        <f t="shared" si="8"/>
        <v>0.16429514045416066</v>
      </c>
      <c r="E28" s="11">
        <f t="shared" si="8"/>
        <v>1.2362123423507865</v>
      </c>
      <c r="F28" s="11">
        <f t="shared" si="8"/>
        <v>1.2742445409519729</v>
      </c>
      <c r="G28" s="11">
        <f t="shared" si="8"/>
        <v>2.215695813824778</v>
      </c>
      <c r="H28" s="11">
        <f t="shared" si="8"/>
        <v>3.5403970297898804</v>
      </c>
      <c r="I28" s="11" t="str">
        <f t="shared" si="8"/>
        <v/>
      </c>
      <c r="J28" s="11" t="str">
        <f t="shared" si="8"/>
        <v/>
      </c>
      <c r="K28" s="11" t="str">
        <f t="shared" si="8"/>
        <v/>
      </c>
      <c r="L28" s="11" t="str">
        <f t="shared" si="8"/>
        <v/>
      </c>
      <c r="M28" s="11" t="str">
        <f t="shared" si="8"/>
        <v/>
      </c>
      <c r="N28" s="6"/>
      <c r="O28" s="11">
        <f t="shared" ref="O28:V37" si="9">IF(O5="","",(O5/$O$23))</f>
        <v>1.9008660385246547E-2</v>
      </c>
      <c r="P28" s="11">
        <f t="shared" si="9"/>
        <v>1.837595831826953</v>
      </c>
      <c r="Q28" s="11">
        <f t="shared" si="9"/>
        <v>3.9723807951010277E-4</v>
      </c>
      <c r="R28" s="11" t="str">
        <f t="shared" si="9"/>
        <v/>
      </c>
      <c r="S28" s="11" t="str">
        <f t="shared" si="9"/>
        <v/>
      </c>
      <c r="T28" s="11" t="str">
        <f t="shared" si="9"/>
        <v/>
      </c>
      <c r="U28" s="11" t="str">
        <f t="shared" si="9"/>
        <v/>
      </c>
      <c r="V28" s="11" t="str">
        <f t="shared" si="9"/>
        <v/>
      </c>
    </row>
    <row r="29" spans="1:22" x14ac:dyDescent="0.35">
      <c r="A29" s="141"/>
      <c r="B29" s="11">
        <f t="shared" ref="B29:M29" si="10">IF(B6="","",(B6/$O$23))</f>
        <v>5.9511322773049106E-5</v>
      </c>
      <c r="C29" s="11">
        <f t="shared" si="10"/>
        <v>0.51427081520097717</v>
      </c>
      <c r="D29" s="11">
        <f t="shared" si="10"/>
        <v>0.54171892504697672</v>
      </c>
      <c r="E29" s="11">
        <f t="shared" si="10"/>
        <v>1.2345795004322009</v>
      </c>
      <c r="F29" s="11">
        <f t="shared" si="10"/>
        <v>0.67494989890514046</v>
      </c>
      <c r="G29" s="11">
        <f t="shared" si="10"/>
        <v>2.2751535764073312</v>
      </c>
      <c r="H29" s="11">
        <f t="shared" si="10"/>
        <v>4.5823956580538905</v>
      </c>
      <c r="I29" s="11" t="str">
        <f t="shared" si="10"/>
        <v/>
      </c>
      <c r="J29" s="11" t="str">
        <f t="shared" si="10"/>
        <v/>
      </c>
      <c r="K29" s="11" t="str">
        <f t="shared" si="10"/>
        <v/>
      </c>
      <c r="L29" s="11" t="str">
        <f t="shared" si="10"/>
        <v/>
      </c>
      <c r="M29" s="11" t="str">
        <f t="shared" si="10"/>
        <v/>
      </c>
      <c r="N29" s="6"/>
      <c r="O29" s="11">
        <f t="shared" si="9"/>
        <v>1.0271847722427287</v>
      </c>
      <c r="P29" s="11">
        <f t="shared" si="9"/>
        <v>3.169567099760318</v>
      </c>
      <c r="Q29" s="11">
        <f t="shared" si="9"/>
        <v>6.5752572748872633E-3</v>
      </c>
      <c r="R29" s="11" t="str">
        <f t="shared" si="9"/>
        <v/>
      </c>
      <c r="S29" s="11" t="str">
        <f t="shared" si="9"/>
        <v/>
      </c>
      <c r="T29" s="11" t="str">
        <f t="shared" si="9"/>
        <v/>
      </c>
      <c r="U29" s="11" t="str">
        <f t="shared" si="9"/>
        <v/>
      </c>
      <c r="V29" s="11" t="str">
        <f t="shared" si="9"/>
        <v/>
      </c>
    </row>
    <row r="30" spans="1:22" x14ac:dyDescent="0.35">
      <c r="A30" s="141"/>
      <c r="B30" s="11">
        <f t="shared" ref="B30:M30" si="11">IF(B7="","",(B7/$O$23))</f>
        <v>1.0552101419196269E-2</v>
      </c>
      <c r="C30" s="11">
        <f t="shared" si="11"/>
        <v>0.10351325093990696</v>
      </c>
      <c r="D30" s="11">
        <f t="shared" si="11"/>
        <v>4.6090775596191867E-2</v>
      </c>
      <c r="E30" s="11">
        <f t="shared" si="11"/>
        <v>0.5588886855585361</v>
      </c>
      <c r="F30" s="11">
        <f t="shared" si="11"/>
        <v>1.2920451214849265</v>
      </c>
      <c r="G30" s="11">
        <f t="shared" si="11"/>
        <v>1.4449006979190377</v>
      </c>
      <c r="H30" s="11">
        <f t="shared" si="11"/>
        <v>4.5762890524458406</v>
      </c>
      <c r="I30" s="11" t="str">
        <f t="shared" si="11"/>
        <v/>
      </c>
      <c r="J30" s="11" t="str">
        <f t="shared" si="11"/>
        <v/>
      </c>
      <c r="K30" s="11" t="str">
        <f t="shared" si="11"/>
        <v/>
      </c>
      <c r="L30" s="11" t="str">
        <f t="shared" si="11"/>
        <v/>
      </c>
      <c r="M30" s="11" t="str">
        <f t="shared" si="11"/>
        <v/>
      </c>
      <c r="N30" s="6"/>
      <c r="O30" s="11">
        <f t="shared" si="9"/>
        <v>0.28475424055369336</v>
      </c>
      <c r="P30" s="11">
        <f t="shared" si="9"/>
        <v>2.6660685778727977</v>
      </c>
      <c r="Q30" s="11">
        <f t="shared" si="9"/>
        <v>7.6129115765888405E-2</v>
      </c>
      <c r="R30" s="11" t="str">
        <f t="shared" si="9"/>
        <v/>
      </c>
      <c r="S30" s="11" t="str">
        <f t="shared" si="9"/>
        <v/>
      </c>
      <c r="T30" s="11" t="str">
        <f t="shared" si="9"/>
        <v/>
      </c>
      <c r="U30" s="11" t="str">
        <f t="shared" si="9"/>
        <v/>
      </c>
      <c r="V30" s="11" t="str">
        <f t="shared" si="9"/>
        <v/>
      </c>
    </row>
    <row r="31" spans="1:22" x14ac:dyDescent="0.35">
      <c r="A31" s="141"/>
      <c r="B31" s="11">
        <f t="shared" ref="B31:M31" si="12">IF(B8="","",(B8/$O$23))</f>
        <v>2.9651516571671719E-3</v>
      </c>
      <c r="C31" s="11">
        <f t="shared" si="12"/>
        <v>7.4515615027204111E-3</v>
      </c>
      <c r="D31" s="11">
        <f t="shared" si="12"/>
        <v>7.8144317933290783E-2</v>
      </c>
      <c r="E31" s="11">
        <f t="shared" si="12"/>
        <v>0.69397715657875358</v>
      </c>
      <c r="F31" s="11">
        <f t="shared" si="12"/>
        <v>1.4041704047216284</v>
      </c>
      <c r="G31" s="11">
        <f t="shared" si="12"/>
        <v>2.2719853423612011</v>
      </c>
      <c r="H31" s="11">
        <f t="shared" si="12"/>
        <v>3.8905661163357093</v>
      </c>
      <c r="I31" s="11" t="str">
        <f t="shared" si="12"/>
        <v/>
      </c>
      <c r="J31" s="11" t="str">
        <f t="shared" si="12"/>
        <v/>
      </c>
      <c r="K31" s="11" t="str">
        <f t="shared" si="12"/>
        <v/>
      </c>
      <c r="L31" s="11" t="str">
        <f t="shared" si="12"/>
        <v/>
      </c>
      <c r="M31" s="11" t="str">
        <f t="shared" si="12"/>
        <v/>
      </c>
      <c r="N31" s="6"/>
      <c r="O31" s="11">
        <f t="shared" si="9"/>
        <v>0.72760402951166492</v>
      </c>
      <c r="P31" s="11">
        <f t="shared" si="9"/>
        <v>2.2687218901986341</v>
      </c>
      <c r="Q31" s="11">
        <f t="shared" si="9"/>
        <v>1.6149885217536201E-3</v>
      </c>
      <c r="R31" s="11" t="str">
        <f t="shared" si="9"/>
        <v/>
      </c>
      <c r="S31" s="11" t="str">
        <f t="shared" si="9"/>
        <v/>
      </c>
      <c r="T31" s="11" t="str">
        <f t="shared" si="9"/>
        <v/>
      </c>
      <c r="U31" s="11" t="str">
        <f t="shared" si="9"/>
        <v/>
      </c>
      <c r="V31" s="11" t="str">
        <f t="shared" si="9"/>
        <v/>
      </c>
    </row>
    <row r="32" spans="1:22" x14ac:dyDescent="0.35">
      <c r="A32" s="141"/>
      <c r="B32" s="11">
        <f t="shared" ref="B32:M32" si="13">IF(B9="","",(B9/$O$23))</f>
        <v>6.570942703986217E-2</v>
      </c>
      <c r="C32" s="11">
        <f t="shared" si="13"/>
        <v>0.14823080276311071</v>
      </c>
      <c r="D32" s="11">
        <f t="shared" si="13"/>
        <v>0.36003011272932317</v>
      </c>
      <c r="E32" s="11">
        <f t="shared" si="13"/>
        <v>0.81166451682013152</v>
      </c>
      <c r="F32" s="11">
        <f t="shared" si="13"/>
        <v>1.4641302940900793</v>
      </c>
      <c r="G32" s="11">
        <f t="shared" si="13"/>
        <v>2.5565268299359807</v>
      </c>
      <c r="H32" s="11">
        <f t="shared" si="13"/>
        <v>2.492863104616442</v>
      </c>
      <c r="I32" s="11" t="str">
        <f t="shared" si="13"/>
        <v/>
      </c>
      <c r="J32" s="11" t="str">
        <f t="shared" si="13"/>
        <v/>
      </c>
      <c r="K32" s="11" t="str">
        <f t="shared" si="13"/>
        <v/>
      </c>
      <c r="L32" s="11" t="str">
        <f t="shared" si="13"/>
        <v/>
      </c>
      <c r="M32" s="11" t="str">
        <f t="shared" si="13"/>
        <v/>
      </c>
      <c r="N32" s="6"/>
      <c r="O32" s="11">
        <f t="shared" si="9"/>
        <v>2.8359347220300504</v>
      </c>
      <c r="P32" s="11">
        <f t="shared" si="9"/>
        <v>2.0297474785796434</v>
      </c>
      <c r="Q32" s="11">
        <f t="shared" si="9"/>
        <v>1.1976653708076133E-4</v>
      </c>
      <c r="R32" s="11" t="str">
        <f t="shared" si="9"/>
        <v/>
      </c>
      <c r="S32" s="11" t="str">
        <f t="shared" si="9"/>
        <v/>
      </c>
      <c r="T32" s="11" t="str">
        <f t="shared" si="9"/>
        <v/>
      </c>
      <c r="U32" s="11" t="str">
        <f t="shared" si="9"/>
        <v/>
      </c>
      <c r="V32" s="11" t="str">
        <f t="shared" si="9"/>
        <v/>
      </c>
    </row>
    <row r="33" spans="1:22" x14ac:dyDescent="0.35">
      <c r="A33" s="141"/>
      <c r="B33" s="11">
        <f t="shared" ref="B33:M33" si="14">IF(B10="","",(B10/$O$23))</f>
        <v>4.7428292575516152E-2</v>
      </c>
      <c r="C33" s="11">
        <f t="shared" si="14"/>
        <v>6.5603794441940009E-3</v>
      </c>
      <c r="D33" s="11">
        <f t="shared" si="14"/>
        <v>0.32957370551714593</v>
      </c>
      <c r="E33" s="11">
        <f t="shared" si="14"/>
        <v>0.12789132042235185</v>
      </c>
      <c r="F33" s="11">
        <f t="shared" si="14"/>
        <v>1.7057864346915306</v>
      </c>
      <c r="G33" s="11">
        <f t="shared" si="14"/>
        <v>2.4845054832245022</v>
      </c>
      <c r="H33" s="11">
        <f t="shared" si="14"/>
        <v>4.723708269544634</v>
      </c>
      <c r="I33" s="11" t="str">
        <f t="shared" si="14"/>
        <v/>
      </c>
      <c r="J33" s="11" t="str">
        <f t="shared" si="14"/>
        <v/>
      </c>
      <c r="K33" s="11" t="str">
        <f t="shared" si="14"/>
        <v/>
      </c>
      <c r="L33" s="11" t="str">
        <f t="shared" si="14"/>
        <v/>
      </c>
      <c r="M33" s="11" t="str">
        <f t="shared" si="14"/>
        <v/>
      </c>
      <c r="N33" s="6"/>
      <c r="O33" s="11">
        <f t="shared" si="9"/>
        <v>0.60022525035669594</v>
      </c>
      <c r="P33" s="11">
        <f t="shared" si="9"/>
        <v>1.7362473052529157</v>
      </c>
      <c r="Q33" s="11">
        <f t="shared" si="9"/>
        <v>2.3615580659415211E-2</v>
      </c>
      <c r="R33" s="11" t="str">
        <f t="shared" si="9"/>
        <v/>
      </c>
      <c r="S33" s="11" t="str">
        <f t="shared" si="9"/>
        <v/>
      </c>
      <c r="T33" s="11" t="str">
        <f t="shared" si="9"/>
        <v/>
      </c>
      <c r="U33" s="11" t="str">
        <f t="shared" si="9"/>
        <v/>
      </c>
      <c r="V33" s="11" t="str">
        <f t="shared" si="9"/>
        <v/>
      </c>
    </row>
    <row r="34" spans="1:22" x14ac:dyDescent="0.35">
      <c r="A34" s="141"/>
      <c r="B34" s="11">
        <f t="shared" ref="B34:M34" si="15">IF(B11="","",(B11/$O$23))</f>
        <v>1.5056364661581423E-3</v>
      </c>
      <c r="C34" s="11">
        <f t="shared" si="15"/>
        <v>7.0467357295567454E-2</v>
      </c>
      <c r="D34" s="11">
        <f t="shared" si="15"/>
        <v>0.21944279548487594</v>
      </c>
      <c r="E34" s="11">
        <f t="shared" si="15"/>
        <v>1.0103066172127575</v>
      </c>
      <c r="F34" s="11">
        <f t="shared" si="15"/>
        <v>0.77551659547624685</v>
      </c>
      <c r="G34" s="11">
        <f t="shared" si="15"/>
        <v>2.6366060097509303</v>
      </c>
      <c r="H34" s="11">
        <f t="shared" si="15"/>
        <v>4.1268476405992196</v>
      </c>
      <c r="I34" s="11" t="str">
        <f t="shared" si="15"/>
        <v/>
      </c>
      <c r="J34" s="11" t="str">
        <f t="shared" si="15"/>
        <v/>
      </c>
      <c r="K34" s="11" t="str">
        <f t="shared" si="15"/>
        <v/>
      </c>
      <c r="L34" s="11" t="str">
        <f t="shared" si="15"/>
        <v/>
      </c>
      <c r="M34" s="11" t="str">
        <f t="shared" si="15"/>
        <v/>
      </c>
      <c r="N34" s="6"/>
      <c r="O34" s="11">
        <f t="shared" si="9"/>
        <v>0.68278605233128165</v>
      </c>
      <c r="P34" s="11">
        <f t="shared" si="9"/>
        <v>1.9358981225665448</v>
      </c>
      <c r="Q34" s="11">
        <f t="shared" si="9"/>
        <v>1.6073264389465901E-2</v>
      </c>
      <c r="R34" s="11" t="str">
        <f t="shared" si="9"/>
        <v/>
      </c>
      <c r="S34" s="11" t="str">
        <f t="shared" si="9"/>
        <v/>
      </c>
      <c r="T34" s="11" t="str">
        <f t="shared" si="9"/>
        <v/>
      </c>
      <c r="U34" s="11" t="str">
        <f t="shared" si="9"/>
        <v/>
      </c>
      <c r="V34" s="11" t="str">
        <f t="shared" si="9"/>
        <v/>
      </c>
    </row>
    <row r="35" spans="1:22" x14ac:dyDescent="0.35">
      <c r="A35" s="141"/>
      <c r="B35" s="11" t="str">
        <f t="shared" ref="B35:M35" si="16">IF(B12="","",(B12/$O$23))</f>
        <v/>
      </c>
      <c r="C35" s="11">
        <f t="shared" si="16"/>
        <v>2.3294219516440746E-2</v>
      </c>
      <c r="D35" s="11">
        <f t="shared" si="16"/>
        <v>0.31147556837032708</v>
      </c>
      <c r="E35" s="11">
        <f t="shared" si="16"/>
        <v>0.62857123728503395</v>
      </c>
      <c r="F35" s="11">
        <f t="shared" si="16"/>
        <v>0.73681266281925961</v>
      </c>
      <c r="G35" s="11">
        <f t="shared" si="16"/>
        <v>2.8333296138756601</v>
      </c>
      <c r="H35" s="11">
        <f t="shared" si="16"/>
        <v>3.3792969034770977</v>
      </c>
      <c r="I35" s="11" t="str">
        <f t="shared" si="16"/>
        <v/>
      </c>
      <c r="J35" s="11" t="str">
        <f t="shared" si="16"/>
        <v/>
      </c>
      <c r="K35" s="11" t="str">
        <f t="shared" si="16"/>
        <v/>
      </c>
      <c r="L35" s="11" t="str">
        <f t="shared" si="16"/>
        <v/>
      </c>
      <c r="M35" s="11" t="str">
        <f t="shared" si="16"/>
        <v/>
      </c>
      <c r="N35" s="6"/>
      <c r="O35" s="11">
        <f t="shared" si="9"/>
        <v>0.89284539999791712</v>
      </c>
      <c r="P35" s="11">
        <f t="shared" si="9"/>
        <v>2.3092684421869816</v>
      </c>
      <c r="Q35" s="11">
        <f t="shared" si="9"/>
        <v>3.1453221868625779E-2</v>
      </c>
      <c r="R35" s="11" t="str">
        <f t="shared" si="9"/>
        <v/>
      </c>
      <c r="S35" s="11" t="str">
        <f t="shared" si="9"/>
        <v/>
      </c>
      <c r="T35" s="11" t="str">
        <f t="shared" si="9"/>
        <v/>
      </c>
      <c r="U35" s="11" t="str">
        <f t="shared" si="9"/>
        <v/>
      </c>
      <c r="V35" s="11" t="str">
        <f t="shared" si="9"/>
        <v/>
      </c>
    </row>
    <row r="36" spans="1:22" s="1" customFormat="1" x14ac:dyDescent="0.35">
      <c r="A36" s="141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0.35171489315485888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s="1" customFormat="1" x14ac:dyDescent="0.35">
      <c r="A37" s="141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0.49493261086587487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s="1" customFormat="1" x14ac:dyDescent="0.35">
      <c r="A38" s="141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R38" si="20">IF(O15="","",(O15/$O$23))</f>
        <v>1.215684655451758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ref="S38:V43" si="21">IF(S15="","",(S15/$O$23))</f>
        <v/>
      </c>
      <c r="T38" s="11" t="str">
        <f t="shared" si="21"/>
        <v/>
      </c>
      <c r="U38" s="11" t="str">
        <f t="shared" si="21"/>
        <v/>
      </c>
      <c r="V38" s="11" t="str">
        <f t="shared" si="21"/>
        <v/>
      </c>
    </row>
    <row r="39" spans="1:22" s="1" customFormat="1" x14ac:dyDescent="0.35">
      <c r="A39" s="141"/>
      <c r="B39" s="11" t="str">
        <f t="shared" ref="B39:M39" si="22">IF(B16="","",(B16/$O$23))</f>
        <v/>
      </c>
      <c r="C39" s="11" t="str">
        <f t="shared" si="22"/>
        <v/>
      </c>
      <c r="D39" s="11" t="str">
        <f t="shared" si="22"/>
        <v/>
      </c>
      <c r="E39" s="11" t="str">
        <f t="shared" si="22"/>
        <v/>
      </c>
      <c r="F39" s="11" t="str">
        <f t="shared" si="22"/>
        <v/>
      </c>
      <c r="G39" s="11" t="str">
        <f t="shared" si="22"/>
        <v/>
      </c>
      <c r="H39" s="11" t="str">
        <f t="shared" si="22"/>
        <v/>
      </c>
      <c r="I39" s="11" t="str">
        <f t="shared" si="22"/>
        <v/>
      </c>
      <c r="J39" s="11" t="str">
        <f t="shared" si="22"/>
        <v/>
      </c>
      <c r="K39" s="11" t="str">
        <f t="shared" si="22"/>
        <v/>
      </c>
      <c r="L39" s="11" t="str">
        <f t="shared" si="22"/>
        <v/>
      </c>
      <c r="M39" s="11" t="str">
        <f t="shared" si="22"/>
        <v/>
      </c>
      <c r="N39" s="6"/>
      <c r="O39" s="11">
        <f t="shared" ref="O39:R39" si="23">IF(O16="","",(O16/$O$23))</f>
        <v>0.4505341885110416</v>
      </c>
      <c r="P39" s="11" t="str">
        <f t="shared" si="23"/>
        <v/>
      </c>
      <c r="Q39" s="11" t="str">
        <f t="shared" si="23"/>
        <v/>
      </c>
      <c r="R39" s="11" t="str">
        <f t="shared" si="23"/>
        <v/>
      </c>
      <c r="S39" s="11" t="str">
        <f t="shared" si="21"/>
        <v/>
      </c>
      <c r="T39" s="11" t="str">
        <f t="shared" si="21"/>
        <v/>
      </c>
      <c r="U39" s="11" t="str">
        <f t="shared" si="21"/>
        <v/>
      </c>
      <c r="V39" s="11" t="str">
        <f t="shared" si="21"/>
        <v/>
      </c>
    </row>
    <row r="40" spans="1:22" s="1" customFormat="1" x14ac:dyDescent="0.35">
      <c r="A40" s="141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ref="O40:R40" si="25">IF(O17="","",(O17/$O$23))</f>
        <v>0.44942579012439354</v>
      </c>
      <c r="P40" s="11" t="str">
        <f t="shared" si="25"/>
        <v/>
      </c>
      <c r="Q40" s="11" t="str">
        <f t="shared" si="25"/>
        <v/>
      </c>
      <c r="R40" s="11" t="str">
        <f t="shared" si="25"/>
        <v/>
      </c>
      <c r="S40" s="11" t="str">
        <f t="shared" si="21"/>
        <v/>
      </c>
      <c r="T40" s="11" t="str">
        <f t="shared" si="21"/>
        <v/>
      </c>
      <c r="U40" s="11" t="str">
        <f t="shared" si="21"/>
        <v/>
      </c>
      <c r="V40" s="11" t="str">
        <f t="shared" si="21"/>
        <v/>
      </c>
    </row>
    <row r="41" spans="1:22" s="1" customFormat="1" x14ac:dyDescent="0.35">
      <c r="A41" s="141"/>
      <c r="B41" s="11" t="str">
        <f t="shared" ref="B41:M41" si="26">IF(B18="","",(B18/$O$23))</f>
        <v/>
      </c>
      <c r="C41" s="11" t="str">
        <f t="shared" si="26"/>
        <v/>
      </c>
      <c r="D41" s="11" t="str">
        <f t="shared" si="26"/>
        <v/>
      </c>
      <c r="E41" s="11" t="str">
        <f t="shared" si="26"/>
        <v/>
      </c>
      <c r="F41" s="11" t="str">
        <f t="shared" si="26"/>
        <v/>
      </c>
      <c r="G41" s="11" t="str">
        <f t="shared" si="26"/>
        <v/>
      </c>
      <c r="H41" s="11" t="str">
        <f t="shared" si="26"/>
        <v/>
      </c>
      <c r="I41" s="11" t="str">
        <f t="shared" si="26"/>
        <v/>
      </c>
      <c r="J41" s="11" t="str">
        <f t="shared" si="26"/>
        <v/>
      </c>
      <c r="K41" s="11" t="str">
        <f t="shared" si="26"/>
        <v/>
      </c>
      <c r="L41" s="11" t="str">
        <f t="shared" si="26"/>
        <v/>
      </c>
      <c r="M41" s="11" t="str">
        <f t="shared" si="26"/>
        <v/>
      </c>
      <c r="N41" s="6"/>
      <c r="O41" s="11">
        <f t="shared" ref="O41:R41" si="27">IF(O18="","",(O18/$O$23))</f>
        <v>2.8570694244213639</v>
      </c>
      <c r="P41" s="11" t="str">
        <f t="shared" si="27"/>
        <v/>
      </c>
      <c r="Q41" s="11" t="str">
        <f t="shared" si="27"/>
        <v/>
      </c>
      <c r="R41" s="11" t="str">
        <f t="shared" si="27"/>
        <v/>
      </c>
      <c r="S41" s="11" t="str">
        <f t="shared" si="21"/>
        <v/>
      </c>
      <c r="T41" s="11" t="str">
        <f t="shared" si="21"/>
        <v/>
      </c>
      <c r="U41" s="11" t="str">
        <f t="shared" si="21"/>
        <v/>
      </c>
      <c r="V41" s="11" t="str">
        <f t="shared" si="21"/>
        <v/>
      </c>
    </row>
    <row r="42" spans="1:22" s="1" customFormat="1" x14ac:dyDescent="0.35">
      <c r="A42" s="141"/>
      <c r="B42" s="11" t="str">
        <f t="shared" ref="B42:M42" si="28">IF(B19="","",(B19/$O$23))</f>
        <v/>
      </c>
      <c r="C42" s="11" t="str">
        <f t="shared" si="28"/>
        <v/>
      </c>
      <c r="D42" s="11" t="str">
        <f t="shared" si="28"/>
        <v/>
      </c>
      <c r="E42" s="11" t="str">
        <f t="shared" si="28"/>
        <v/>
      </c>
      <c r="F42" s="11" t="str">
        <f t="shared" si="28"/>
        <v/>
      </c>
      <c r="G42" s="11" t="str">
        <f t="shared" si="28"/>
        <v/>
      </c>
      <c r="H42" s="11" t="str">
        <f t="shared" si="28"/>
        <v/>
      </c>
      <c r="I42" s="11" t="str">
        <f t="shared" si="28"/>
        <v/>
      </c>
      <c r="J42" s="11" t="str">
        <f t="shared" si="28"/>
        <v/>
      </c>
      <c r="K42" s="11" t="str">
        <f t="shared" si="28"/>
        <v/>
      </c>
      <c r="L42" s="11" t="str">
        <f t="shared" si="28"/>
        <v/>
      </c>
      <c r="M42" s="11" t="str">
        <f t="shared" si="28"/>
        <v/>
      </c>
      <c r="N42" s="6"/>
      <c r="O42" s="11">
        <f t="shared" ref="O42:R42" si="29">IF(O19="","",(O19/$O$23))</f>
        <v>1.7229591707692284</v>
      </c>
      <c r="P42" s="11" t="str">
        <f t="shared" si="29"/>
        <v/>
      </c>
      <c r="Q42" s="11" t="str">
        <f t="shared" si="29"/>
        <v/>
      </c>
      <c r="R42" s="11" t="str">
        <f t="shared" si="29"/>
        <v/>
      </c>
      <c r="S42" s="11" t="str">
        <f t="shared" si="21"/>
        <v/>
      </c>
      <c r="T42" s="11" t="str">
        <f t="shared" si="21"/>
        <v/>
      </c>
      <c r="U42" s="11" t="str">
        <f t="shared" si="21"/>
        <v/>
      </c>
      <c r="V42" s="11" t="str">
        <f t="shared" si="21"/>
        <v/>
      </c>
    </row>
    <row r="43" spans="1:22" s="1" customFormat="1" x14ac:dyDescent="0.35">
      <c r="A43" s="141"/>
      <c r="B43" s="11" t="str">
        <f t="shared" ref="B43:M43" si="30">IF(B20="","",(B20/$O$23))</f>
        <v/>
      </c>
      <c r="C43" s="11" t="str">
        <f t="shared" si="30"/>
        <v/>
      </c>
      <c r="D43" s="11" t="str">
        <f t="shared" si="30"/>
        <v/>
      </c>
      <c r="E43" s="11" t="str">
        <f t="shared" si="30"/>
        <v/>
      </c>
      <c r="F43" s="11" t="str">
        <f t="shared" si="30"/>
        <v/>
      </c>
      <c r="G43" s="11" t="str">
        <f t="shared" si="30"/>
        <v/>
      </c>
      <c r="H43" s="11" t="str">
        <f t="shared" si="30"/>
        <v/>
      </c>
      <c r="I43" s="11" t="str">
        <f t="shared" si="30"/>
        <v/>
      </c>
      <c r="J43" s="11" t="str">
        <f t="shared" si="30"/>
        <v/>
      </c>
      <c r="K43" s="11" t="str">
        <f t="shared" si="30"/>
        <v/>
      </c>
      <c r="L43" s="11" t="str">
        <f t="shared" si="30"/>
        <v/>
      </c>
      <c r="M43" s="11" t="str">
        <f t="shared" si="30"/>
        <v/>
      </c>
      <c r="N43" s="6"/>
      <c r="O43" s="11">
        <f t="shared" ref="O43:R43" si="31">IF(O20="","",(O20/$O$23))</f>
        <v>1.3873361392922021</v>
      </c>
      <c r="P43" s="11" t="str">
        <f t="shared" si="31"/>
        <v/>
      </c>
      <c r="Q43" s="11" t="str">
        <f t="shared" si="31"/>
        <v/>
      </c>
      <c r="R43" s="11" t="str">
        <f t="shared" si="31"/>
        <v/>
      </c>
      <c r="S43" s="11" t="str">
        <f t="shared" si="21"/>
        <v/>
      </c>
      <c r="T43" s="11" t="str">
        <f t="shared" si="21"/>
        <v/>
      </c>
      <c r="U43" s="11" t="str">
        <f t="shared" si="21"/>
        <v/>
      </c>
      <c r="V43" s="11" t="str">
        <f t="shared" si="21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N44" s="7"/>
      <c r="O44" s="3"/>
      <c r="P44" s="3"/>
      <c r="Q44" s="3"/>
      <c r="R44" s="3"/>
      <c r="S44" s="3"/>
      <c r="T44" s="3"/>
      <c r="U44" s="3"/>
      <c r="V44" s="3"/>
    </row>
    <row r="45" spans="1:22" s="52" customFormat="1" x14ac:dyDescent="0.35">
      <c r="A45" s="53" t="str">
        <f t="shared" ref="A45:M45" si="32">A4</f>
        <v>Group names</v>
      </c>
      <c r="B45" s="53" t="str">
        <f t="shared" si="32"/>
        <v>Solvent control</v>
      </c>
      <c r="C45" s="53" t="str">
        <f t="shared" si="32"/>
        <v>EE2-33.8ng/L</v>
      </c>
      <c r="D45" s="53" t="str">
        <f t="shared" si="32"/>
        <v>EE2-50.6ng/L</v>
      </c>
      <c r="E45" s="53" t="str">
        <f t="shared" si="32"/>
        <v>EE2-76ng/L</v>
      </c>
      <c r="F45" s="53" t="str">
        <f t="shared" si="32"/>
        <v>EE2-114ng/L</v>
      </c>
      <c r="G45" s="53" t="str">
        <f t="shared" si="32"/>
        <v>EE2-170.9ng/L</v>
      </c>
      <c r="H45" s="53" t="str">
        <f t="shared" si="32"/>
        <v>EE2-488ng/L</v>
      </c>
      <c r="I45" s="53" t="str">
        <f t="shared" si="32"/>
        <v/>
      </c>
      <c r="J45" s="53" t="str">
        <f t="shared" si="32"/>
        <v/>
      </c>
      <c r="K45" s="53" t="str">
        <f t="shared" si="32"/>
        <v/>
      </c>
      <c r="L45" s="53" t="str">
        <f t="shared" si="32"/>
        <v/>
      </c>
      <c r="M45" s="53" t="str">
        <f t="shared" si="32"/>
        <v/>
      </c>
      <c r="N45" s="53" t="str">
        <f>N22</f>
        <v>Nom des groupes</v>
      </c>
      <c r="O45" s="53" t="str">
        <f t="shared" ref="O45:V45" si="33">O4</f>
        <v>Testo -30µg/L</v>
      </c>
      <c r="P45" s="53" t="str">
        <f t="shared" si="33"/>
        <v>Testo 30µg/L + EE2 -64ng/L</v>
      </c>
      <c r="Q45" s="53" t="str">
        <f t="shared" si="33"/>
        <v>Testo 30µg/L + FAD-10mg/L</v>
      </c>
      <c r="R45" s="53" t="str">
        <f t="shared" si="33"/>
        <v>0-00 + Testostérone</v>
      </c>
      <c r="S45" s="53" t="str">
        <f t="shared" si="33"/>
        <v>0-00 + Testostérone</v>
      </c>
      <c r="T45" s="53" t="str">
        <f t="shared" si="33"/>
        <v>0-00 + Testostérone</v>
      </c>
      <c r="U45" s="53" t="str">
        <f t="shared" si="33"/>
        <v>0-00 + Testostérone</v>
      </c>
      <c r="V45" s="53" t="str">
        <f t="shared" si="33"/>
        <v>0-00 + Testostérone</v>
      </c>
    </row>
    <row r="46" spans="1:22" x14ac:dyDescent="0.35">
      <c r="A46" s="8" t="s">
        <v>0</v>
      </c>
      <c r="B46" s="10">
        <f t="shared" ref="B46:H46" si="34">AVERAGE(B28:B43)</f>
        <v>1.9339585847952395E-2</v>
      </c>
      <c r="C46" s="10">
        <f t="shared" si="34"/>
        <v>0.10922354833286467</v>
      </c>
      <c r="D46" s="10">
        <f t="shared" si="34"/>
        <v>0.25634641764153654</v>
      </c>
      <c r="E46" s="10">
        <f t="shared" si="34"/>
        <v>0.78776142208256894</v>
      </c>
      <c r="F46" s="10">
        <f t="shared" si="34"/>
        <v>1.165956994142598</v>
      </c>
      <c r="G46" s="10">
        <f t="shared" si="34"/>
        <v>2.3398379209124274</v>
      </c>
      <c r="H46" s="10">
        <f t="shared" si="34"/>
        <v>3.9140454718578392</v>
      </c>
      <c r="I46" s="10" t="e">
        <f>AVERAGE(I28:I43)</f>
        <v>#DIV/0!</v>
      </c>
      <c r="J46" s="9" t="e">
        <f>AVERAGE(J28:J43)</f>
        <v>#DIV/0!</v>
      </c>
      <c r="K46" s="9" t="e">
        <f>AVERAGE(K28:K43)</f>
        <v>#DIV/0!</v>
      </c>
      <c r="L46" s="9" t="e">
        <f t="shared" ref="L46:M46" si="35">AVERAGE(L28:L43)</f>
        <v>#DIV/0!</v>
      </c>
      <c r="M46" s="9" t="e">
        <f t="shared" si="35"/>
        <v>#DIV/0!</v>
      </c>
      <c r="N46" s="8" t="s">
        <v>0</v>
      </c>
      <c r="O46" s="10">
        <f>AVERAGE(O28:O43)</f>
        <v>1</v>
      </c>
      <c r="P46" s="10">
        <f>AVERAGE(P28:P43)</f>
        <v>2.2441393435305983</v>
      </c>
      <c r="Q46" s="10">
        <f>AVERAGE(Q28:Q43)</f>
        <v>1.9497304137078383E-2</v>
      </c>
      <c r="R46" s="10" t="e">
        <f>AVERAGE(R28:R43)</f>
        <v>#DIV/0!</v>
      </c>
      <c r="S46" s="10" t="e">
        <f t="shared" ref="S46:V46" si="36">AVERAGE(S28:S43)</f>
        <v>#DIV/0!</v>
      </c>
      <c r="T46" s="10" t="e">
        <f t="shared" si="36"/>
        <v>#DIV/0!</v>
      </c>
      <c r="U46" s="10" t="e">
        <f t="shared" si="36"/>
        <v>#DIV/0!</v>
      </c>
      <c r="V46" s="10" t="e">
        <f t="shared" si="36"/>
        <v>#DIV/0!</v>
      </c>
    </row>
    <row r="47" spans="1:22" x14ac:dyDescent="0.35">
      <c r="A47" s="8" t="s">
        <v>1</v>
      </c>
      <c r="B47" s="8">
        <f t="shared" ref="B47:K47" si="37">STDEV(B28:B43)</f>
        <v>2.6212803785724697E-2</v>
      </c>
      <c r="C47" s="8">
        <f t="shared" si="37"/>
        <v>0.17210063532149311</v>
      </c>
      <c r="D47" s="8">
        <f t="shared" si="37"/>
        <v>0.16317736794756121</v>
      </c>
      <c r="E47" s="8">
        <f t="shared" si="37"/>
        <v>0.37278883889333081</v>
      </c>
      <c r="F47" s="8">
        <f t="shared" si="37"/>
        <v>0.38589223308856319</v>
      </c>
      <c r="G47" s="8">
        <f t="shared" si="37"/>
        <v>0.41826172072162598</v>
      </c>
      <c r="H47" s="8">
        <f t="shared" si="37"/>
        <v>0.75894446730179421</v>
      </c>
      <c r="I47" s="8" t="e">
        <f>STDEV(I28:I43)</f>
        <v>#DIV/0!</v>
      </c>
      <c r="J47" s="8" t="e">
        <f t="shared" si="37"/>
        <v>#DIV/0!</v>
      </c>
      <c r="K47" s="8" t="e">
        <f t="shared" si="37"/>
        <v>#DIV/0!</v>
      </c>
      <c r="L47" s="8" t="e">
        <f t="shared" ref="L47:M47" si="38">STDEV(L28:L43)</f>
        <v>#DIV/0!</v>
      </c>
      <c r="M47" s="8" t="e">
        <f t="shared" si="38"/>
        <v>#DIV/0!</v>
      </c>
      <c r="N47" s="8" t="s">
        <v>1</v>
      </c>
      <c r="O47" s="8">
        <f>STDEV(O28:O43)</f>
        <v>0.84221055496072772</v>
      </c>
      <c r="P47" s="8">
        <f>STDEV(P28:P43)</f>
        <v>0.47861338161075934</v>
      </c>
      <c r="Q47" s="8">
        <f>STDEV(Q28:Q43)</f>
        <v>2.5651088254802751E-2</v>
      </c>
      <c r="R47" s="8" t="e">
        <f>STDEV(R28:R43)</f>
        <v>#DIV/0!</v>
      </c>
      <c r="S47" s="8" t="e">
        <f t="shared" ref="S47:V47" si="39">STDEV(S28:S43)</f>
        <v>#DIV/0!</v>
      </c>
      <c r="T47" s="8" t="e">
        <f t="shared" si="39"/>
        <v>#DIV/0!</v>
      </c>
      <c r="U47" s="8" t="e">
        <f t="shared" si="39"/>
        <v>#DIV/0!</v>
      </c>
      <c r="V47" s="8" t="e">
        <f t="shared" si="39"/>
        <v>#DIV/0!</v>
      </c>
    </row>
    <row r="48" spans="1:22" x14ac:dyDescent="0.35">
      <c r="A48" s="8" t="s">
        <v>2</v>
      </c>
      <c r="B48" s="8">
        <f t="shared" ref="B48:K48" si="40" xml:space="preserve"> B47/SQRT(COUNT(B28:B43))</f>
        <v>9.9075085689657102E-3</v>
      </c>
      <c r="C48" s="8">
        <f t="shared" si="40"/>
        <v>6.0846763141170414E-2</v>
      </c>
      <c r="D48" s="8">
        <f t="shared" si="40"/>
        <v>5.769191170594646E-2</v>
      </c>
      <c r="E48" s="8">
        <f t="shared" si="40"/>
        <v>0.13180075796606677</v>
      </c>
      <c r="F48" s="8">
        <f t="shared" si="40"/>
        <v>0.13643350741207141</v>
      </c>
      <c r="G48" s="8">
        <f t="shared" si="40"/>
        <v>0.14787784951650781</v>
      </c>
      <c r="H48" s="8">
        <f t="shared" si="40"/>
        <v>0.26832738968655534</v>
      </c>
      <c r="I48" s="8" t="e">
        <f xml:space="preserve"> I47/SQRT(COUNT(I28:I43))</f>
        <v>#DIV/0!</v>
      </c>
      <c r="J48" s="8" t="e">
        <f t="shared" si="40"/>
        <v>#DIV/0!</v>
      </c>
      <c r="K48" s="8" t="e">
        <f t="shared" si="40"/>
        <v>#DIV/0!</v>
      </c>
      <c r="L48" s="8" t="e">
        <f t="shared" ref="L48:M48" si="41" xml:space="preserve"> L47/SQRT(COUNT(L28:L43))</f>
        <v>#DIV/0!</v>
      </c>
      <c r="M48" s="8" t="e">
        <f t="shared" si="41"/>
        <v>#DIV/0!</v>
      </c>
      <c r="N48" s="8" t="s">
        <v>2</v>
      </c>
      <c r="O48" s="8">
        <f xml:space="preserve"> O47/SQRT(COUNT(O28:O43))</f>
        <v>0.21055263874018193</v>
      </c>
      <c r="P48" s="8">
        <f xml:space="preserve"> P47/SQRT(COUNT(P28:P43))</f>
        <v>0.16921538385179638</v>
      </c>
      <c r="Q48" s="8">
        <f xml:space="preserve"> Q47/SQRT(COUNT(Q28:Q43))</f>
        <v>9.0690292248928137E-3</v>
      </c>
      <c r="R48" s="8" t="e">
        <f xml:space="preserve"> R47/SQRT(COUNT(R28:R43))</f>
        <v>#DIV/0!</v>
      </c>
      <c r="S48" s="8" t="e">
        <f t="shared" ref="S48:V48" si="42" xml:space="preserve"> S47/SQRT(COUNT(S28:S43))</f>
        <v>#DIV/0!</v>
      </c>
      <c r="T48" s="8" t="e">
        <f t="shared" si="42"/>
        <v>#DIV/0!</v>
      </c>
      <c r="U48" s="8" t="e">
        <f t="shared" si="42"/>
        <v>#DIV/0!</v>
      </c>
      <c r="V48" s="8" t="e">
        <f t="shared" si="42"/>
        <v>#DIV/0!</v>
      </c>
    </row>
    <row r="49" spans="1:22" s="1" customFormat="1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9" t="str">
        <f t="shared" ref="A52:H52" si="43">A27</f>
        <v>Group names</v>
      </c>
      <c r="B52" s="30" t="str">
        <f t="shared" si="43"/>
        <v>Solvent control</v>
      </c>
      <c r="C52" s="30" t="str">
        <f t="shared" si="43"/>
        <v>EE2-33.8ng/L</v>
      </c>
      <c r="D52" s="30" t="str">
        <f t="shared" si="43"/>
        <v>EE2-50.6ng/L</v>
      </c>
      <c r="E52" s="30" t="str">
        <f t="shared" si="43"/>
        <v>EE2-76ng/L</v>
      </c>
      <c r="F52" s="30" t="str">
        <f t="shared" si="43"/>
        <v>EE2-114ng/L</v>
      </c>
      <c r="G52" s="30" t="str">
        <f t="shared" si="43"/>
        <v>EE2-170.9ng/L</v>
      </c>
      <c r="H52" s="30" t="str">
        <f t="shared" si="43"/>
        <v>EE2-488ng/L</v>
      </c>
      <c r="I52" s="30" t="str">
        <f>I4</f>
        <v/>
      </c>
      <c r="J52" s="30" t="str">
        <f>J4</f>
        <v/>
      </c>
      <c r="K52" s="30" t="str">
        <f>K27</f>
        <v/>
      </c>
      <c r="L52" s="30" t="str">
        <f t="shared" ref="L52:M52" si="44">L27</f>
        <v/>
      </c>
      <c r="M52" s="30" t="str">
        <f t="shared" si="44"/>
        <v/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0-00 + Testostérone</v>
      </c>
      <c r="S52" s="30" t="str">
        <f t="shared" ref="S52:V52" si="45">S27</f>
        <v>0-00 + Testostérone</v>
      </c>
      <c r="T52" s="30" t="str">
        <f t="shared" si="45"/>
        <v>0-00 + Testostérone</v>
      </c>
      <c r="U52" s="30" t="str">
        <f t="shared" si="45"/>
        <v>0-00 + Testostérone</v>
      </c>
      <c r="V52" s="30" t="str">
        <f t="shared" si="45"/>
        <v>0-00 + Testostérone</v>
      </c>
    </row>
    <row r="53" spans="1:22" s="3" customFormat="1" x14ac:dyDescent="0.35">
      <c r="A53" s="45" t="s">
        <v>10</v>
      </c>
      <c r="B53" s="78">
        <f t="shared" ref="B53:M53" si="46">B46</f>
        <v>1.9339585847952395E-2</v>
      </c>
      <c r="C53" s="78">
        <f t="shared" si="46"/>
        <v>0.10922354833286467</v>
      </c>
      <c r="D53" s="78">
        <f t="shared" si="46"/>
        <v>0.25634641764153654</v>
      </c>
      <c r="E53" s="78">
        <f t="shared" si="46"/>
        <v>0.78776142208256894</v>
      </c>
      <c r="F53" s="78">
        <f t="shared" si="46"/>
        <v>1.165956994142598</v>
      </c>
      <c r="G53" s="78">
        <f t="shared" si="46"/>
        <v>2.3398379209124274</v>
      </c>
      <c r="H53" s="78">
        <f t="shared" si="46"/>
        <v>3.9140454718578392</v>
      </c>
      <c r="I53" s="78" t="e">
        <f t="shared" si="46"/>
        <v>#DIV/0!</v>
      </c>
      <c r="J53" s="78" t="e">
        <f t="shared" si="46"/>
        <v>#DIV/0!</v>
      </c>
      <c r="K53" s="78" t="e">
        <f t="shared" si="46"/>
        <v>#DIV/0!</v>
      </c>
      <c r="L53" s="78" t="e">
        <f t="shared" si="46"/>
        <v>#DIV/0!</v>
      </c>
      <c r="M53" s="78" t="e">
        <f t="shared" si="46"/>
        <v>#DIV/0!</v>
      </c>
      <c r="N53" s="78"/>
      <c r="O53" s="78">
        <f t="shared" ref="O53:V53" si="47">O46</f>
        <v>1</v>
      </c>
      <c r="P53" s="78">
        <f t="shared" si="47"/>
        <v>2.2441393435305983</v>
      </c>
      <c r="Q53" s="78">
        <f t="shared" si="47"/>
        <v>1.9497304137078383E-2</v>
      </c>
      <c r="R53" s="78" t="e">
        <f t="shared" si="47"/>
        <v>#DIV/0!</v>
      </c>
      <c r="S53" s="78" t="e">
        <f t="shared" si="47"/>
        <v>#DIV/0!</v>
      </c>
      <c r="T53" s="78" t="e">
        <f t="shared" si="47"/>
        <v>#DIV/0!</v>
      </c>
      <c r="U53" s="78" t="e">
        <f t="shared" si="47"/>
        <v>#DIV/0!</v>
      </c>
      <c r="V53" s="78" t="e">
        <f t="shared" si="47"/>
        <v>#DIV/0!</v>
      </c>
    </row>
    <row r="54" spans="1:22" s="3" customFormat="1" x14ac:dyDescent="0.35">
      <c r="A54" s="45" t="s">
        <v>2</v>
      </c>
      <c r="B54" s="78">
        <f t="shared" ref="B54:M54" si="48">B48</f>
        <v>9.9075085689657102E-3</v>
      </c>
      <c r="C54" s="78">
        <f t="shared" si="48"/>
        <v>6.0846763141170414E-2</v>
      </c>
      <c r="D54" s="78">
        <f t="shared" si="48"/>
        <v>5.769191170594646E-2</v>
      </c>
      <c r="E54" s="78">
        <f t="shared" si="48"/>
        <v>0.13180075796606677</v>
      </c>
      <c r="F54" s="78">
        <f t="shared" si="48"/>
        <v>0.13643350741207141</v>
      </c>
      <c r="G54" s="78">
        <f t="shared" si="48"/>
        <v>0.14787784951650781</v>
      </c>
      <c r="H54" s="78">
        <f t="shared" si="48"/>
        <v>0.26832738968655534</v>
      </c>
      <c r="I54" s="78" t="e">
        <f t="shared" si="48"/>
        <v>#DIV/0!</v>
      </c>
      <c r="J54" s="78" t="e">
        <f t="shared" si="48"/>
        <v>#DIV/0!</v>
      </c>
      <c r="K54" s="78" t="e">
        <f t="shared" si="48"/>
        <v>#DIV/0!</v>
      </c>
      <c r="L54" s="78" t="e">
        <f t="shared" si="48"/>
        <v>#DIV/0!</v>
      </c>
      <c r="M54" s="78" t="e">
        <f t="shared" si="48"/>
        <v>#DIV/0!</v>
      </c>
      <c r="N54" s="78"/>
      <c r="O54" s="78">
        <f t="shared" ref="O54:V54" si="49">O48</f>
        <v>0.21055263874018193</v>
      </c>
      <c r="P54" s="78">
        <f t="shared" si="49"/>
        <v>0.16921538385179638</v>
      </c>
      <c r="Q54" s="78">
        <f t="shared" si="49"/>
        <v>9.0690292248928137E-3</v>
      </c>
      <c r="R54" s="78" t="e">
        <f t="shared" si="49"/>
        <v>#DIV/0!</v>
      </c>
      <c r="S54" s="78" t="e">
        <f t="shared" si="49"/>
        <v>#DIV/0!</v>
      </c>
      <c r="T54" s="78" t="e">
        <f t="shared" si="49"/>
        <v>#DIV/0!</v>
      </c>
      <c r="U54" s="78" t="e">
        <f t="shared" si="49"/>
        <v>#DIV/0!</v>
      </c>
      <c r="V54" s="78" t="e">
        <f t="shared" si="49"/>
        <v>#DIV/0!</v>
      </c>
    </row>
    <row r="55" spans="1:22" s="3" customFormat="1" x14ac:dyDescent="0.35">
      <c r="A55" s="45" t="s">
        <v>14</v>
      </c>
      <c r="B55" s="78">
        <f t="shared" ref="B55:M55" si="50">(B53*100/$B$53)-100</f>
        <v>0</v>
      </c>
      <c r="C55" s="78">
        <f t="shared" si="50"/>
        <v>464.76673901695199</v>
      </c>
      <c r="D55" s="78">
        <f t="shared" si="50"/>
        <v>1225.5010715168833</v>
      </c>
      <c r="E55" s="78">
        <f t="shared" si="50"/>
        <v>3973.3107124213539</v>
      </c>
      <c r="F55" s="78">
        <f t="shared" si="50"/>
        <v>5928.8622688683135</v>
      </c>
      <c r="G55" s="78">
        <f t="shared" si="50"/>
        <v>11998.697145369124</v>
      </c>
      <c r="H55" s="78">
        <f t="shared" si="50"/>
        <v>20138.517528917218</v>
      </c>
      <c r="I55" s="78" t="e">
        <f t="shared" si="50"/>
        <v>#DIV/0!</v>
      </c>
      <c r="J55" s="78" t="e">
        <f t="shared" si="50"/>
        <v>#DIV/0!</v>
      </c>
      <c r="K55" s="78" t="e">
        <f t="shared" si="50"/>
        <v>#DIV/0!</v>
      </c>
      <c r="L55" s="78" t="e">
        <f t="shared" si="50"/>
        <v>#DIV/0!</v>
      </c>
      <c r="M55" s="78" t="e">
        <f t="shared" si="50"/>
        <v>#DIV/0!</v>
      </c>
      <c r="N55" s="78"/>
      <c r="O55" s="78">
        <f t="shared" ref="O55:V55" si="51">(O53*100/$O$53)-100</f>
        <v>0</v>
      </c>
      <c r="P55" s="78">
        <f t="shared" si="51"/>
        <v>124.41393435305983</v>
      </c>
      <c r="Q55" s="78">
        <f t="shared" si="51"/>
        <v>-98.05026958629216</v>
      </c>
      <c r="R55" s="78" t="e">
        <f t="shared" si="51"/>
        <v>#DIV/0!</v>
      </c>
      <c r="S55" s="78" t="e">
        <f t="shared" si="51"/>
        <v>#DIV/0!</v>
      </c>
      <c r="T55" s="78" t="e">
        <f t="shared" si="51"/>
        <v>#DIV/0!</v>
      </c>
      <c r="U55" s="78" t="e">
        <f t="shared" si="51"/>
        <v>#DIV/0!</v>
      </c>
      <c r="V55" s="78" t="e">
        <f t="shared" si="51"/>
        <v>#DIV/0!</v>
      </c>
    </row>
    <row r="56" spans="1:22" s="3" customFormat="1" x14ac:dyDescent="0.35">
      <c r="A56" s="45" t="s">
        <v>38</v>
      </c>
      <c r="B56" s="78">
        <f>[1]!SWTEST(B28:B43)</f>
        <v>1.5285698764035294E-2</v>
      </c>
      <c r="C56" s="78">
        <f>[1]!SWTEST(C28:C43)</f>
        <v>1.3330742123460748E-3</v>
      </c>
      <c r="D56" s="78">
        <f>[1]!SWTEST(D28:D43)</f>
        <v>0.81796273399971509</v>
      </c>
      <c r="E56" s="78">
        <f>[1]!SWTEST(E28:E43)</f>
        <v>0.64147054540839987</v>
      </c>
      <c r="F56" s="78">
        <f>[1]!SWTEST(F28:F43)</f>
        <v>0.25000599549560809</v>
      </c>
      <c r="G56" s="78">
        <f>[1]!SWTEST(G28:G43)</f>
        <v>0.16685365836460986</v>
      </c>
      <c r="H56" s="78">
        <f>[1]!SWTEST(H28:H43)</f>
        <v>0.4228996279605961</v>
      </c>
      <c r="I56" s="78" t="e">
        <f>[1]!SWTEST(I28:I43)</f>
        <v>#VALUE!</v>
      </c>
      <c r="J56" s="78" t="e">
        <f>[1]!SWTEST(J28:J43)</f>
        <v>#VALUE!</v>
      </c>
      <c r="K56" s="78" t="e">
        <f>[1]!SWTEST(K28:K43)</f>
        <v>#VALUE!</v>
      </c>
      <c r="L56" s="78" t="e">
        <f>[1]!SWTEST(L28:L43)</f>
        <v>#VALUE!</v>
      </c>
      <c r="M56" s="78" t="e">
        <f>[1]!SWTEST(M28:M43)</f>
        <v>#VALUE!</v>
      </c>
      <c r="N56" s="78"/>
      <c r="O56" s="78">
        <f>[1]!SWTEST(O28:O43)</f>
        <v>8.9013908151055476E-3</v>
      </c>
      <c r="P56" s="78">
        <f>[1]!SWTEST(P28:P43)</f>
        <v>0.35627053166920364</v>
      </c>
      <c r="Q56" s="78">
        <f>[1]!SWTEST(Q28:Q43)</f>
        <v>2.0690972556982712E-2</v>
      </c>
      <c r="R56" s="78" t="e">
        <f>[1]!SWTEST(R28:R43)</f>
        <v>#VALUE!</v>
      </c>
      <c r="S56" s="78" t="e">
        <f>[1]!SWTEST(S28:S43)</f>
        <v>#VALUE!</v>
      </c>
      <c r="T56" s="78" t="e">
        <f>[1]!SWTEST(T28:T43)</f>
        <v>#VALUE!</v>
      </c>
      <c r="U56" s="78" t="e">
        <f>[1]!SWTEST(U28:U43)</f>
        <v>#VALUE!</v>
      </c>
      <c r="V56" s="78" t="e">
        <f>[1]!SWTEST(V28:V43)</f>
        <v>#VALUE!</v>
      </c>
    </row>
    <row r="57" spans="1:22" s="3" customFormat="1" x14ac:dyDescent="0.35">
      <c r="A57" s="45" t="s">
        <v>39</v>
      </c>
      <c r="B57" s="78" t="str">
        <f t="shared" ref="B57:M57" si="52">IF(B56&gt;0.05,"Oui","Non")</f>
        <v>Non</v>
      </c>
      <c r="C57" s="78" t="str">
        <f t="shared" si="52"/>
        <v>Non</v>
      </c>
      <c r="D57" s="78" t="str">
        <f t="shared" si="52"/>
        <v>Oui</v>
      </c>
      <c r="E57" s="78" t="str">
        <f t="shared" si="52"/>
        <v>Oui</v>
      </c>
      <c r="F57" s="78" t="str">
        <f t="shared" si="52"/>
        <v>Oui</v>
      </c>
      <c r="G57" s="78" t="str">
        <f t="shared" si="52"/>
        <v>Oui</v>
      </c>
      <c r="H57" s="78" t="str">
        <f t="shared" si="52"/>
        <v>Oui</v>
      </c>
      <c r="I57" s="78" t="e">
        <f t="shared" si="52"/>
        <v>#VALUE!</v>
      </c>
      <c r="J57" s="78" t="e">
        <f t="shared" si="52"/>
        <v>#VALUE!</v>
      </c>
      <c r="K57" s="78" t="e">
        <f t="shared" si="52"/>
        <v>#VALUE!</v>
      </c>
      <c r="L57" s="78" t="e">
        <f t="shared" si="52"/>
        <v>#VALUE!</v>
      </c>
      <c r="M57" s="78" t="e">
        <f t="shared" si="52"/>
        <v>#VALUE!</v>
      </c>
      <c r="N57" s="78"/>
      <c r="O57" s="78" t="str">
        <f t="shared" ref="O57:V57" si="53">IF(O56&gt;0.05,"Oui","Non")</f>
        <v>Non</v>
      </c>
      <c r="P57" s="78" t="str">
        <f t="shared" si="53"/>
        <v>Oui</v>
      </c>
      <c r="Q57" s="78" t="str">
        <f t="shared" si="53"/>
        <v>Non</v>
      </c>
      <c r="R57" s="78" t="e">
        <f t="shared" si="53"/>
        <v>#VALUE!</v>
      </c>
      <c r="S57" s="78" t="e">
        <f t="shared" si="53"/>
        <v>#VALUE!</v>
      </c>
      <c r="T57" s="78" t="e">
        <f t="shared" si="53"/>
        <v>#VALUE!</v>
      </c>
      <c r="U57" s="78" t="e">
        <f t="shared" si="53"/>
        <v>#VALUE!</v>
      </c>
      <c r="V57" s="78" t="e">
        <f t="shared" si="53"/>
        <v>#VALUE!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M59" si="54">IF($B57="Non",IF(C$57="Non","Mann Withney",IF(C$57="Oui","Mann Withney","")),IF($B$57="Oui",IF(C$57="Oui","T-Test Welch",IF(C$57="Non","Mann Withney",""))))</f>
        <v>Mann Withney</v>
      </c>
      <c r="D59" s="82" t="str">
        <f t="shared" si="54"/>
        <v>Mann Withney</v>
      </c>
      <c r="E59" s="82" t="str">
        <f t="shared" si="54"/>
        <v>Mann Withney</v>
      </c>
      <c r="F59" s="82" t="str">
        <f t="shared" si="54"/>
        <v>Mann Withney</v>
      </c>
      <c r="G59" s="82" t="str">
        <f t="shared" si="54"/>
        <v>Mann Withney</v>
      </c>
      <c r="H59" s="82" t="str">
        <f t="shared" si="54"/>
        <v>Mann Withney</v>
      </c>
      <c r="I59" s="82" t="e">
        <f t="shared" si="54"/>
        <v>#VALUE!</v>
      </c>
      <c r="J59" s="82" t="e">
        <f t="shared" si="54"/>
        <v>#VALUE!</v>
      </c>
      <c r="K59" s="82" t="e">
        <f t="shared" si="54"/>
        <v>#VALUE!</v>
      </c>
      <c r="L59" s="82" t="e">
        <f t="shared" si="54"/>
        <v>#VALUE!</v>
      </c>
      <c r="M59" s="82" t="e">
        <f t="shared" si="54"/>
        <v>#VALUE!</v>
      </c>
      <c r="N59" s="82"/>
      <c r="O59" s="82" t="str">
        <f>IF($B57="Non",IF(O$57="Non","Mann Withney",IF(O$57="Oui","Mann Withney","")),IF($B$57="Oui",IF(O$57="Oui","T-Test Welch",IF(O$57="Non","Mann Withney",""))))</f>
        <v>Mann Withney</v>
      </c>
      <c r="P59" s="82" t="str">
        <f t="shared" ref="P59:V59" si="55">IF($O57="Non",IF(P$57="Non","Mann Withney",IF(P$57="Oui","Mann Withney","")),IF($O$57="Oui",IF(P$57="Oui","T-Test Welch",IF(P$57="Non","Mann Withney",""))))</f>
        <v>Mann Withney</v>
      </c>
      <c r="Q59" s="82" t="str">
        <f t="shared" si="55"/>
        <v>Mann Withney</v>
      </c>
      <c r="R59" s="82" t="e">
        <f t="shared" si="55"/>
        <v>#VALUE!</v>
      </c>
      <c r="S59" s="82" t="e">
        <f t="shared" si="55"/>
        <v>#VALUE!</v>
      </c>
      <c r="T59" s="82" t="e">
        <f t="shared" si="55"/>
        <v>#VALUE!</v>
      </c>
      <c r="U59" s="82" t="e">
        <f t="shared" si="55"/>
        <v>#VALUE!</v>
      </c>
      <c r="V59" s="82" t="e">
        <f t="shared" si="55"/>
        <v>#VALUE!</v>
      </c>
    </row>
    <row r="60" spans="1:22" s="3" customFormat="1" x14ac:dyDescent="0.35">
      <c r="A60" s="45" t="s">
        <v>41</v>
      </c>
      <c r="B60" s="83"/>
      <c r="C60" s="83">
        <f>IF(C59="Mann Withney",[1]!MTEST($B28:$B43,C28:C43,2), IF(C59="T-Test Welch",_xlfn.T.TEST($B28:$B43,C28:C43,2,3),""))</f>
        <v>0.16491482255330125</v>
      </c>
      <c r="D60" s="83">
        <f>IF(D59="Mann Withney",[1]!MTEST($B28:$B43,D28:D43,2), IF(D59="T-Test Welch",_xlfn.T.TEST($B28:$B43,D28:D43,2,3),""))</f>
        <v>2.6218217690905377E-3</v>
      </c>
      <c r="E60" s="83">
        <f>IF(E59="Mann Withney",[1]!MTEST($B28:$B43,E28:E43,2), IF(E59="T-Test Welch",_xlfn.T.TEST($B28:$B43,E28:E43,2,3),""))</f>
        <v>1.1937454448720519E-3</v>
      </c>
      <c r="F60" s="83">
        <f>IF(F59="Mann Withney",[1]!MTEST($B28:$B43,F28:F43,2), IF(F59="T-Test Welch",_xlfn.T.TEST($B28:$B43,F28:F43,2,3),""))</f>
        <v>1.1937454448720519E-3</v>
      </c>
      <c r="G60" s="83">
        <f>IF(G59="Mann Withney",[1]!MTEST($B28:$B43,G28:G43,2), IF(G59="T-Test Welch",_xlfn.T.TEST($B28:$B43,G28:G43,2,3),""))</f>
        <v>1.1937454448720519E-3</v>
      </c>
      <c r="H60" s="83">
        <f>IF(H59="Mann Withney",[1]!MTEST($B28:$B43,H28:H43,2), IF(H59="T-Test Welch",_xlfn.T.TEST($B28:$B43,H28:H43,2,3),""))</f>
        <v>1.1937454448720519E-3</v>
      </c>
      <c r="I60" s="83" t="e">
        <f>IF(I59="Mann Withney",[1]!MTEST($B28:$B43,I28:I43,2), IF(I59="T-Test Welch",_xlfn.T.TEST($B28:$B43,I28:I43,2,3),""))</f>
        <v>#VALUE!</v>
      </c>
      <c r="J60" s="83" t="e">
        <f>IF(J59="Mann Withney",[1]!MTEST($B28:$B43,J28:J43,2), IF(J59="T-Test Welch",_xlfn.T.TEST($B28:$B43,J28:J43,2,3),""))</f>
        <v>#VALUE!</v>
      </c>
      <c r="K60" s="83" t="e">
        <f>IF(K59="Mann Withney",[1]!MTEST($B28:$B43,K28:K43,2), IF(K59="T-Test Welch",_xlfn.T.TEST($B28:$B43,K28:K43,2,3),""))</f>
        <v>#VALUE!</v>
      </c>
      <c r="L60" s="83" t="e">
        <f>IF(L59="Mann Withney",[1]!MTEST($B28:$B43,L28:L43,2), IF(L59="T-Test Welch",_xlfn.T.TEST($B28:$B43,L28:L43,2,3),""))</f>
        <v>#VALUE!</v>
      </c>
      <c r="M60" s="83" t="e">
        <f>IF(M59="Mann Withney",[1]!MTEST($B28:$B43,M28:M43,2), IF(M59="T-Test Welch",_xlfn.T.TEST($B28:$B43,M28:M43,2,3),""))</f>
        <v>#VALUE!</v>
      </c>
      <c r="N60" s="83"/>
      <c r="O60" s="83">
        <f>IF(O59="Mann Withney",[1]!MTEST($B28:$B43,O28:O43,2), IF(O59="T-Test Welch",_xlfn.T.TEST($B28:$B43,O28:O43,2,3),""))</f>
        <v>3.0853466646285632E-4</v>
      </c>
      <c r="P60" s="83">
        <f>IF(P59="Mann Withney",[1]!MTEST($O28:$O43,P28:P43,2), IF(P59="T-Test Welch",_xlfn.T.TEST($O28:$O43,P28:P43,2,3),""))</f>
        <v>2.1996470611129748E-3</v>
      </c>
      <c r="Q60" s="83">
        <f>IF(Q59="Mann Withney",[1]!MTEST($O28:$O43,Q28:Q43,2), IF(Q59="T-Test Welch",_xlfn.T.TEST($O28:$O43,Q28:Q43,2,3),""))</f>
        <v>1.8736353316595178E-4</v>
      </c>
      <c r="R60" s="83" t="e">
        <f>IF(R59="Mann Withney",[1]!MTEST($O28:$O43,R28:R43,2), IF(R59="T-Test Welch",_xlfn.T.TEST($O28:$O43,R28:R43,2,3),""))</f>
        <v>#VALUE!</v>
      </c>
      <c r="S60" s="83" t="e">
        <f>IF(S59="Mann Withney",[1]!MTEST($O28:$O43,S28:S43,2), IF(S59="T-Test Welch",_xlfn.T.TEST($O28:$O43,S28:S43,2,3),""))</f>
        <v>#VALUE!</v>
      </c>
      <c r="T60" s="83" t="e">
        <f>IF(T59="Mann Withney",[1]!MTEST($O28:$O43,T28:T43,2), IF(T59="T-Test Welch",_xlfn.T.TEST($O28:$O43,T28:T43,2,3),""))</f>
        <v>#VALUE!</v>
      </c>
      <c r="U60" s="83" t="e">
        <f>IF(U59="Mann Withney",[1]!MTEST($O28:$O43,U28:U43,2), IF(U59="T-Test Welch",_xlfn.T.TEST($O28:$O43,U28:U43,2,3),""))</f>
        <v>#VALUE!</v>
      </c>
      <c r="V60" s="83" t="e">
        <f>IF(V59="Mann Withney",[1]!MTEST($O28:$O43,V28:V43,2), IF(V59="T-Test Welch",_xlfn.T.TEST($O28:$O43,V28:V43,2,3),""))</f>
        <v>#VALUE!</v>
      </c>
    </row>
    <row r="61" spans="1:22" s="3" customFormat="1" ht="15" thickBot="1" x14ac:dyDescent="0.4">
      <c r="A61" s="46" t="s">
        <v>15</v>
      </c>
      <c r="B61" s="79"/>
      <c r="C61" s="79" t="str">
        <f t="shared" ref="C61:M61" si="56">IF(C60&gt;0.05,"NS",IF(C60&gt;0.01,"*",IF(C60&gt;0.001,"**","***")))</f>
        <v>NS</v>
      </c>
      <c r="D61" s="79" t="str">
        <f t="shared" si="56"/>
        <v>**</v>
      </c>
      <c r="E61" s="79" t="str">
        <f t="shared" si="56"/>
        <v>**</v>
      </c>
      <c r="F61" s="79" t="str">
        <f t="shared" si="56"/>
        <v>**</v>
      </c>
      <c r="G61" s="79" t="str">
        <f t="shared" si="56"/>
        <v>**</v>
      </c>
      <c r="H61" s="79" t="str">
        <f t="shared" si="56"/>
        <v>**</v>
      </c>
      <c r="I61" s="79" t="e">
        <f t="shared" si="56"/>
        <v>#VALUE!</v>
      </c>
      <c r="J61" s="79" t="e">
        <f t="shared" si="56"/>
        <v>#VALUE!</v>
      </c>
      <c r="K61" s="79" t="e">
        <f t="shared" si="56"/>
        <v>#VALUE!</v>
      </c>
      <c r="L61" s="79" t="e">
        <f t="shared" si="56"/>
        <v>#VALUE!</v>
      </c>
      <c r="M61" s="79" t="e">
        <f t="shared" si="56"/>
        <v>#VALUE!</v>
      </c>
      <c r="N61" s="79"/>
      <c r="O61" s="79" t="str">
        <f>IF(O60&gt;0.05,"NS",IF(O60&gt;0.01,"*",IF(O60&gt;0.001,"**","***")))</f>
        <v>***</v>
      </c>
      <c r="P61" s="79" t="str">
        <f>IF(P60&gt;0.05,"NS",IF(P60&gt;0.01,"*",IF(P60&gt;0.001,"**","***")))</f>
        <v>**</v>
      </c>
      <c r="Q61" s="79" t="str">
        <f t="shared" ref="Q61" si="57">IF(Q60&gt;0.05,"NS",IF(Q60&gt;0.01,"*",IF(Q60&gt;0.001,"**","***")))</f>
        <v>***</v>
      </c>
      <c r="R61" s="79" t="e">
        <f t="shared" ref="R61" si="58">IF(R60&gt;0.05,"NS",IF(R60&gt;0.01,"*",IF(R60&gt;0.001,"**","***")))</f>
        <v>#VALUE!</v>
      </c>
      <c r="S61" s="79" t="e">
        <f t="shared" ref="S61" si="59">IF(S60&gt;0.05,"NS",IF(S60&gt;0.01,"*",IF(S60&gt;0.001,"**","***")))</f>
        <v>#VALUE!</v>
      </c>
      <c r="T61" s="79" t="e">
        <f t="shared" ref="T61" si="60">IF(T60&gt;0.05,"NS",IF(T60&gt;0.01,"*",IF(T60&gt;0.001,"**","***")))</f>
        <v>#VALUE!</v>
      </c>
      <c r="U61" s="79" t="e">
        <f t="shared" ref="U61" si="61">IF(U60&gt;0.05,"NS",IF(U60&gt;0.01,"*",IF(U60&gt;0.001,"**","***")))</f>
        <v>#VALUE!</v>
      </c>
      <c r="V61" s="79" t="e">
        <f t="shared" ref="V61" si="62">IF(V60&gt;0.05,"NS",IF(V60&gt;0.01,"*",IF(V60&gt;0.001,"**","***")))</f>
        <v>#VALUE!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12:V21 R5:V7" name="Plage1"/>
    <protectedRange sqref="B51:J51" name="Plage2_1"/>
    <protectedRange sqref="O5:O7 J5:J6 B13:J21 J11:J12 O12:O21" name="Plage1_1"/>
    <protectedRange sqref="B5:I6 B11:I12 O8:V11 B7:M10" name="Plage1_1_1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J1" zoomScale="70" zoomScaleNormal="70" zoomScaleSheetLayoutView="40" zoomScalePageLayoutView="30" workbookViewId="0">
      <selection activeCell="Q5" sqref="Q5:Q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customFormat="1" ht="15" thickBot="1" x14ac:dyDescent="0.4"/>
    <row r="3" spans="1:22" ht="15" thickBot="1" x14ac:dyDescent="0.4">
      <c r="A3" s="84" t="s">
        <v>6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/>
      </c>
      <c r="J4" s="20" t="str">
        <f>'Front page'!A15</f>
        <v/>
      </c>
      <c r="K4" s="20" t="str">
        <f>'Front page'!A16</f>
        <v/>
      </c>
      <c r="L4" s="20" t="str">
        <f>'Front page'!A17</f>
        <v/>
      </c>
      <c r="M4" s="20" t="str">
        <f>'Front page'!A18</f>
        <v/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0-00 + Testostérone</v>
      </c>
      <c r="S4" s="21" t="str">
        <f>'Front page'!A39</f>
        <v>0-00 + Testostérone</v>
      </c>
      <c r="T4" s="21" t="str">
        <f>'Front page'!A40</f>
        <v>0-00 + Testostérone</v>
      </c>
      <c r="U4" s="21" t="str">
        <f>'Front page'!A41</f>
        <v>0-00 + Testostérone</v>
      </c>
      <c r="V4" s="21" t="str">
        <f>'Front page'!A42</f>
        <v>0-00 + Testostérone</v>
      </c>
    </row>
    <row r="5" spans="1:22" x14ac:dyDescent="0.35">
      <c r="A5" s="138" t="s">
        <v>35</v>
      </c>
      <c r="B5" s="17">
        <v>17989</v>
      </c>
      <c r="C5" s="17">
        <v>24686</v>
      </c>
      <c r="D5" s="17">
        <v>327131</v>
      </c>
      <c r="E5" s="17">
        <v>99312</v>
      </c>
      <c r="F5" s="17">
        <v>2050617</v>
      </c>
      <c r="G5" s="17">
        <v>3669626</v>
      </c>
      <c r="H5" s="17">
        <v>7421219</v>
      </c>
      <c r="I5" s="17"/>
      <c r="J5" s="17"/>
      <c r="K5" s="13"/>
      <c r="L5" s="13"/>
      <c r="M5" s="13"/>
      <c r="N5" s="3"/>
      <c r="O5" s="17">
        <v>2468526</v>
      </c>
      <c r="P5" s="13">
        <v>3641274</v>
      </c>
      <c r="Q5" s="13">
        <v>42365</v>
      </c>
      <c r="R5" s="17"/>
      <c r="S5" s="17"/>
      <c r="T5" s="17"/>
      <c r="U5" s="17"/>
      <c r="V5" s="17"/>
    </row>
    <row r="6" spans="1:22" ht="16.5" x14ac:dyDescent="0.35">
      <c r="A6" s="139"/>
      <c r="B6" s="14">
        <v>46343</v>
      </c>
      <c r="C6" s="13">
        <v>63921</v>
      </c>
      <c r="D6" s="17">
        <v>337570</v>
      </c>
      <c r="E6" s="17">
        <v>850684</v>
      </c>
      <c r="F6" s="17">
        <v>1321934</v>
      </c>
      <c r="G6" s="17">
        <v>2245239</v>
      </c>
      <c r="H6" s="17">
        <v>3998463</v>
      </c>
      <c r="I6" s="17"/>
      <c r="J6" s="17"/>
      <c r="K6" s="13"/>
      <c r="L6" s="13"/>
      <c r="M6" s="13"/>
      <c r="N6" s="3"/>
      <c r="O6" s="17">
        <v>952230</v>
      </c>
      <c r="P6" s="13">
        <v>3092059</v>
      </c>
      <c r="Q6" s="13">
        <v>19776</v>
      </c>
      <c r="R6" s="17"/>
      <c r="S6" s="17"/>
      <c r="T6" s="17"/>
      <c r="U6" s="17"/>
      <c r="V6" s="17"/>
    </row>
    <row r="7" spans="1:22" ht="16.5" x14ac:dyDescent="0.35">
      <c r="A7" s="139"/>
      <c r="B7" s="14">
        <v>32511</v>
      </c>
      <c r="C7" s="13">
        <v>33900</v>
      </c>
      <c r="D7" s="17">
        <v>81717</v>
      </c>
      <c r="E7" s="17">
        <v>115769</v>
      </c>
      <c r="F7" s="17">
        <v>2153975</v>
      </c>
      <c r="G7" s="17">
        <v>3543558</v>
      </c>
      <c r="H7" s="17">
        <v>5563780</v>
      </c>
      <c r="I7" s="17"/>
      <c r="J7" s="17"/>
      <c r="K7" s="13"/>
      <c r="L7" s="13"/>
      <c r="M7" s="13"/>
      <c r="N7" s="3"/>
      <c r="O7" s="17">
        <v>1530422</v>
      </c>
      <c r="P7" s="13">
        <v>4358666</v>
      </c>
      <c r="Q7" s="13">
        <v>38819</v>
      </c>
      <c r="R7" s="17"/>
      <c r="S7" s="17"/>
      <c r="T7" s="17"/>
      <c r="U7" s="17"/>
      <c r="V7" s="17"/>
    </row>
    <row r="8" spans="1:22" ht="16.5" x14ac:dyDescent="0.35">
      <c r="A8" s="139"/>
      <c r="B8" s="14">
        <v>5495</v>
      </c>
      <c r="C8" s="13">
        <v>97885</v>
      </c>
      <c r="D8" s="17">
        <v>137468</v>
      </c>
      <c r="E8" s="17">
        <v>202713</v>
      </c>
      <c r="F8" s="17">
        <v>1739012</v>
      </c>
      <c r="G8" s="17">
        <v>3470236</v>
      </c>
      <c r="H8" s="17">
        <v>5478839</v>
      </c>
      <c r="I8" s="17"/>
      <c r="J8" s="17"/>
      <c r="K8" s="13"/>
      <c r="L8" s="13"/>
      <c r="M8" s="13"/>
      <c r="N8" s="3"/>
      <c r="O8" s="17">
        <v>2293459</v>
      </c>
      <c r="P8" s="13">
        <v>3540388</v>
      </c>
      <c r="Q8" s="13">
        <v>28774</v>
      </c>
      <c r="R8" s="17"/>
      <c r="S8" s="17"/>
      <c r="T8" s="17"/>
      <c r="U8" s="17"/>
      <c r="V8" s="17"/>
    </row>
    <row r="9" spans="1:22" ht="16.5" x14ac:dyDescent="0.35">
      <c r="A9" s="139"/>
      <c r="B9" s="14">
        <v>11994</v>
      </c>
      <c r="C9" s="13">
        <v>88032</v>
      </c>
      <c r="D9" s="17">
        <v>16564</v>
      </c>
      <c r="E9" s="17">
        <v>204590</v>
      </c>
      <c r="F9" s="17">
        <v>2872576</v>
      </c>
      <c r="G9" s="17">
        <v>2366366</v>
      </c>
      <c r="H9" s="17">
        <v>9369790</v>
      </c>
      <c r="I9" s="17"/>
      <c r="J9" s="17"/>
      <c r="K9" s="13"/>
      <c r="L9" s="13"/>
      <c r="M9" s="13"/>
      <c r="N9" s="3"/>
      <c r="O9" s="17">
        <v>1801693</v>
      </c>
      <c r="P9" s="13">
        <v>3442128</v>
      </c>
      <c r="Q9" s="13">
        <v>16152</v>
      </c>
      <c r="R9" s="17"/>
      <c r="S9" s="17"/>
      <c r="T9" s="17"/>
      <c r="U9" s="17"/>
      <c r="V9" s="17"/>
    </row>
    <row r="10" spans="1:22" ht="16.5" x14ac:dyDescent="0.35">
      <c r="A10" s="139"/>
      <c r="B10" s="14">
        <v>39328</v>
      </c>
      <c r="C10" s="13">
        <v>8586</v>
      </c>
      <c r="D10" s="17">
        <v>19085</v>
      </c>
      <c r="E10" s="17">
        <v>97157</v>
      </c>
      <c r="F10" s="17">
        <v>1981536</v>
      </c>
      <c r="G10" s="17">
        <v>308872</v>
      </c>
      <c r="H10" s="17">
        <v>6878373</v>
      </c>
      <c r="I10" s="17"/>
      <c r="J10" s="17"/>
      <c r="K10" s="13"/>
      <c r="L10" s="13"/>
      <c r="M10" s="13"/>
      <c r="N10" s="3"/>
      <c r="O10" s="17">
        <v>2384302</v>
      </c>
      <c r="P10" s="13">
        <v>4415005</v>
      </c>
      <c r="Q10" s="13">
        <v>51211</v>
      </c>
      <c r="R10" s="17"/>
      <c r="S10" s="17"/>
      <c r="T10" s="17"/>
      <c r="U10" s="17"/>
      <c r="V10" s="17"/>
    </row>
    <row r="11" spans="1:22" ht="16.5" x14ac:dyDescent="0.35">
      <c r="A11" s="139"/>
      <c r="B11" s="14">
        <v>55730</v>
      </c>
      <c r="C11" s="13">
        <v>117411</v>
      </c>
      <c r="D11" s="17">
        <v>15673</v>
      </c>
      <c r="E11" s="17">
        <v>101742</v>
      </c>
      <c r="F11" s="17">
        <v>837609</v>
      </c>
      <c r="G11" s="17">
        <v>2219626</v>
      </c>
      <c r="H11" s="17">
        <v>5729499</v>
      </c>
      <c r="I11" s="17"/>
      <c r="J11" s="17"/>
      <c r="K11" s="13"/>
      <c r="L11" s="13"/>
      <c r="M11" s="13"/>
      <c r="N11" s="3"/>
      <c r="O11" s="17">
        <v>2636591</v>
      </c>
      <c r="P11" s="13">
        <v>4228085</v>
      </c>
      <c r="Q11" s="13">
        <v>24203</v>
      </c>
      <c r="R11" s="17"/>
      <c r="S11" s="17"/>
      <c r="T11" s="17"/>
      <c r="U11" s="17"/>
      <c r="V11" s="17"/>
    </row>
    <row r="12" spans="1:22" ht="16.5" x14ac:dyDescent="0.35">
      <c r="A12" s="139"/>
      <c r="B12" s="14">
        <v>62121</v>
      </c>
      <c r="C12" s="13">
        <v>10457</v>
      </c>
      <c r="D12" s="17">
        <v>11057</v>
      </c>
      <c r="E12" s="17">
        <v>378841</v>
      </c>
      <c r="F12" s="17">
        <v>1079857</v>
      </c>
      <c r="G12" s="17">
        <v>2112436</v>
      </c>
      <c r="H12" s="17">
        <v>9075731</v>
      </c>
      <c r="I12" s="17"/>
      <c r="J12" s="17"/>
      <c r="K12" s="13"/>
      <c r="L12" s="13"/>
      <c r="M12" s="13"/>
      <c r="N12" s="3"/>
      <c r="O12" s="17">
        <v>2079357</v>
      </c>
      <c r="P12" s="13">
        <v>3187367</v>
      </c>
      <c r="Q12" s="13">
        <v>40768</v>
      </c>
      <c r="R12" s="17"/>
      <c r="S12" s="17"/>
      <c r="T12" s="17"/>
      <c r="U12" s="17"/>
      <c r="V12" s="17"/>
    </row>
    <row r="13" spans="1:22" ht="16.5" x14ac:dyDescent="0.35">
      <c r="A13" s="139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2563447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2813133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1929592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2028750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4318419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3004893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3474370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3057373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>
        <v>832643</v>
      </c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/>
      </c>
      <c r="J22" s="3" t="str">
        <f t="shared" si="1"/>
        <v/>
      </c>
      <c r="K22" s="3" t="str">
        <f t="shared" si="1"/>
        <v/>
      </c>
      <c r="L22" s="3" t="str">
        <f t="shared" si="1"/>
        <v/>
      </c>
      <c r="M22" s="3" t="str">
        <f t="shared" si="1"/>
        <v/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0-00 + Testostérone</v>
      </c>
      <c r="S22" s="3" t="str">
        <f t="shared" si="1"/>
        <v>0-00 + Testostérone</v>
      </c>
      <c r="T22" s="3" t="str">
        <f t="shared" si="1"/>
        <v>0-00 + Testostérone</v>
      </c>
      <c r="U22" s="3" t="str">
        <f t="shared" si="1"/>
        <v>0-00 + Testostérone</v>
      </c>
      <c r="V22" s="3" t="str">
        <f t="shared" si="1"/>
        <v>0-00 + Testostérone</v>
      </c>
    </row>
    <row r="23" spans="1:22" x14ac:dyDescent="0.35">
      <c r="A23" s="5" t="s">
        <v>0</v>
      </c>
      <c r="B23" s="5">
        <f t="shared" ref="B23:J23" si="2">AVERAGE(B5:B20)</f>
        <v>33938.875</v>
      </c>
      <c r="C23" s="5">
        <f t="shared" si="2"/>
        <v>55609.75</v>
      </c>
      <c r="D23" s="5">
        <f t="shared" si="2"/>
        <v>118283.125</v>
      </c>
      <c r="E23" s="5">
        <f t="shared" si="2"/>
        <v>256351</v>
      </c>
      <c r="F23" s="5">
        <f t="shared" si="2"/>
        <v>1754639.5</v>
      </c>
      <c r="G23" s="5">
        <f t="shared" si="2"/>
        <v>2491994.875</v>
      </c>
      <c r="H23" s="5">
        <f t="shared" si="2"/>
        <v>6689461.75</v>
      </c>
      <c r="I23" s="5" t="e">
        <f t="shared" si="2"/>
        <v>#DIV/0!</v>
      </c>
      <c r="J23" s="5" t="e">
        <f t="shared" si="2"/>
        <v>#DIV/0!</v>
      </c>
      <c r="K23" s="5"/>
      <c r="L23" s="5" t="e">
        <f>AVERAGE(L5:L20)</f>
        <v>#DIV/0!</v>
      </c>
      <c r="M23" s="5"/>
      <c r="N23" s="5" t="s">
        <v>0</v>
      </c>
      <c r="O23" s="5">
        <f>AVERAGE(O5:O20)</f>
        <v>2458534.8125</v>
      </c>
      <c r="P23" s="5">
        <f>AVERAGE(P5:P20)</f>
        <v>3738121.5</v>
      </c>
      <c r="Q23" s="5">
        <f>AVERAGE(Q5:Q20)</f>
        <v>32758.5</v>
      </c>
      <c r="R23" s="5" t="e">
        <f>AVERAGE(R5:R20)</f>
        <v>#DIV/0!</v>
      </c>
      <c r="S23" s="5" t="e">
        <f>AVERAGE(S5:S20)</f>
        <v>#DIV/0!</v>
      </c>
      <c r="T23" s="5" t="e">
        <f t="shared" ref="T23:V23" si="3">AVERAGE(T5:T20)</f>
        <v>#DIV/0!</v>
      </c>
      <c r="U23" s="5" t="e">
        <f t="shared" si="3"/>
        <v>#DIV/0!</v>
      </c>
      <c r="V23" s="5" t="e">
        <f t="shared" si="3"/>
        <v>#DIV/0!</v>
      </c>
    </row>
    <row r="24" spans="1:22" x14ac:dyDescent="0.35">
      <c r="A24" s="3" t="s">
        <v>1</v>
      </c>
      <c r="B24" s="3">
        <f t="shared" ref="B24:J24" si="4">STDEV(B5:B20)</f>
        <v>20698.720412055151</v>
      </c>
      <c r="C24" s="3">
        <f t="shared" si="4"/>
        <v>42095.920894174196</v>
      </c>
      <c r="D24" s="3">
        <f t="shared" si="4"/>
        <v>139192.89667573609</v>
      </c>
      <c r="E24" s="3">
        <f t="shared" si="4"/>
        <v>258419.08651203432</v>
      </c>
      <c r="F24" s="3">
        <f t="shared" si="4"/>
        <v>658145.68410410255</v>
      </c>
      <c r="G24" s="3">
        <f t="shared" si="4"/>
        <v>1102626.8685124416</v>
      </c>
      <c r="H24" s="3">
        <f t="shared" si="4"/>
        <v>1864915.401893513</v>
      </c>
      <c r="I24" s="3" t="e">
        <f t="shared" si="4"/>
        <v>#DIV/0!</v>
      </c>
      <c r="J24" s="3" t="e">
        <f t="shared" si="4"/>
        <v>#DIV/0!</v>
      </c>
      <c r="K24" s="3"/>
      <c r="L24" s="3" t="e">
        <f>STDEV(L5:L20)</f>
        <v>#DIV/0!</v>
      </c>
      <c r="M24" s="3"/>
      <c r="N24" s="3" t="s">
        <v>1</v>
      </c>
      <c r="O24" s="3">
        <f>STDEV(O5:O20)</f>
        <v>796641.93603042001</v>
      </c>
      <c r="P24" s="3">
        <f>STDEV(P5:P20)</f>
        <v>526461.01210712374</v>
      </c>
      <c r="Q24" s="3">
        <f>STDEV(Q5:Q20)</f>
        <v>12346.516674754868</v>
      </c>
      <c r="R24" s="3" t="e">
        <f>STDEV(R5:R20)</f>
        <v>#DIV/0!</v>
      </c>
      <c r="S24" s="3" t="e">
        <f>STDEV(S5:S20)</f>
        <v>#DIV/0!</v>
      </c>
      <c r="T24" s="3" t="e">
        <f t="shared" ref="T24:V24" si="5">STDEV(T5:T20)</f>
        <v>#DIV/0!</v>
      </c>
      <c r="U24" s="3" t="e">
        <f t="shared" si="5"/>
        <v>#DIV/0!</v>
      </c>
      <c r="V24" s="3" t="e">
        <f t="shared" si="5"/>
        <v>#DIV/0!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/>
      </c>
      <c r="J27" s="20" t="str">
        <f t="shared" si="6"/>
        <v/>
      </c>
      <c r="K27" s="20" t="str">
        <f t="shared" si="6"/>
        <v/>
      </c>
      <c r="L27" s="20" t="str">
        <f t="shared" si="6"/>
        <v/>
      </c>
      <c r="M27" s="20" t="str">
        <f t="shared" si="6"/>
        <v/>
      </c>
      <c r="N27" s="3"/>
      <c r="O27" s="21" t="str">
        <f>O4</f>
        <v>Testo -30µg/L</v>
      </c>
      <c r="P27" s="21" t="str">
        <f t="shared" ref="P27:R27" si="7">P4</f>
        <v>Testo 30µg/L + EE2 -64ng/L</v>
      </c>
      <c r="Q27" s="21" t="str">
        <f t="shared" si="7"/>
        <v>Testo 30µg/L + FAD-10mg/L</v>
      </c>
      <c r="R27" s="21" t="str">
        <f t="shared" si="7"/>
        <v>0-00 + Testostérone</v>
      </c>
      <c r="S27" s="21" t="str">
        <f t="shared" ref="S27:V27" si="8">S4</f>
        <v>0-00 + Testostérone</v>
      </c>
      <c r="T27" s="21" t="str">
        <f t="shared" si="8"/>
        <v>0-00 + Testostérone</v>
      </c>
      <c r="U27" s="21" t="str">
        <f t="shared" si="8"/>
        <v>0-00 + Testostérone</v>
      </c>
      <c r="V27" s="21" t="str">
        <f t="shared" si="8"/>
        <v>0-00 + Testostérone</v>
      </c>
    </row>
    <row r="28" spans="1:22" ht="14.5" customHeight="1" x14ac:dyDescent="0.35">
      <c r="A28" s="140" t="s">
        <v>36</v>
      </c>
      <c r="B28" s="11">
        <f t="shared" ref="B28:M28" si="9">IF(B5="","",(B5/$O$23))</f>
        <v>7.3169596413839673E-3</v>
      </c>
      <c r="C28" s="11">
        <f t="shared" si="9"/>
        <v>1.0040939780265976E-2</v>
      </c>
      <c r="D28" s="11">
        <f t="shared" si="9"/>
        <v>0.13305933206101389</v>
      </c>
      <c r="E28" s="11">
        <f t="shared" si="9"/>
        <v>4.0394791033694179E-2</v>
      </c>
      <c r="F28" s="11">
        <f t="shared" si="9"/>
        <v>0.83408092884184037</v>
      </c>
      <c r="G28" s="11">
        <f t="shared" si="9"/>
        <v>1.4926068898200724</v>
      </c>
      <c r="H28" s="11">
        <f t="shared" si="9"/>
        <v>3.0185535556657896</v>
      </c>
      <c r="I28" s="11" t="str">
        <f t="shared" si="9"/>
        <v/>
      </c>
      <c r="J28" s="11" t="str">
        <f t="shared" si="9"/>
        <v/>
      </c>
      <c r="K28" s="11" t="str">
        <f t="shared" si="9"/>
        <v/>
      </c>
      <c r="L28" s="11" t="str">
        <f t="shared" si="9"/>
        <v/>
      </c>
      <c r="M28" s="11" t="str">
        <f t="shared" si="9"/>
        <v/>
      </c>
      <c r="N28" s="6"/>
      <c r="O28" s="11">
        <f t="shared" ref="O28:S37" si="10">IF(O5="","",(O5/$O$23))</f>
        <v>1.0040638787985436</v>
      </c>
      <c r="P28" s="11">
        <f t="shared" si="10"/>
        <v>1.4810748180121611</v>
      </c>
      <c r="Q28" s="11">
        <f t="shared" si="10"/>
        <v>1.7231808060883418E-2</v>
      </c>
      <c r="R28" s="11" t="str">
        <f t="shared" si="10"/>
        <v/>
      </c>
      <c r="S28" s="11" t="str">
        <f t="shared" si="10"/>
        <v/>
      </c>
      <c r="T28" s="11" t="str">
        <f t="shared" ref="T28:V43" si="11">IF(T5="","",(T5/$O$23))</f>
        <v/>
      </c>
      <c r="U28" s="11" t="str">
        <f t="shared" si="11"/>
        <v/>
      </c>
      <c r="V28" s="11" t="str">
        <f t="shared" si="11"/>
        <v/>
      </c>
    </row>
    <row r="29" spans="1:22" x14ac:dyDescent="0.35">
      <c r="A29" s="141"/>
      <c r="B29" s="11">
        <f t="shared" ref="B29:M29" si="12">IF(B6="","",(B6/$O$23))</f>
        <v>1.8849844941945477E-2</v>
      </c>
      <c r="C29" s="11">
        <f t="shared" si="12"/>
        <v>2.5999631843732537E-2</v>
      </c>
      <c r="D29" s="11">
        <f t="shared" si="12"/>
        <v>0.13730535694824536</v>
      </c>
      <c r="E29" s="11">
        <f t="shared" si="12"/>
        <v>0.34601259078164875</v>
      </c>
      <c r="F29" s="11">
        <f t="shared" si="12"/>
        <v>0.53769179646302034</v>
      </c>
      <c r="G29" s="11">
        <f t="shared" si="12"/>
        <v>0.91324271211636543</v>
      </c>
      <c r="H29" s="11">
        <f t="shared" si="12"/>
        <v>1.6263601311116274</v>
      </c>
      <c r="I29" s="11" t="str">
        <f t="shared" si="12"/>
        <v/>
      </c>
      <c r="J29" s="11" t="str">
        <f t="shared" si="12"/>
        <v/>
      </c>
      <c r="K29" s="11" t="str">
        <f t="shared" si="12"/>
        <v/>
      </c>
      <c r="L29" s="11" t="str">
        <f t="shared" si="12"/>
        <v/>
      </c>
      <c r="M29" s="11" t="str">
        <f t="shared" si="12"/>
        <v/>
      </c>
      <c r="N29" s="6"/>
      <c r="O29" s="11">
        <f t="shared" si="10"/>
        <v>0.38731605310551198</v>
      </c>
      <c r="P29" s="11">
        <f t="shared" si="10"/>
        <v>1.2576836350980083</v>
      </c>
      <c r="Q29" s="11">
        <f t="shared" si="10"/>
        <v>8.0438153242542304E-3</v>
      </c>
      <c r="R29" s="11" t="str">
        <f t="shared" si="10"/>
        <v/>
      </c>
      <c r="S29" s="11" t="str">
        <f t="shared" si="10"/>
        <v/>
      </c>
      <c r="T29" s="11" t="str">
        <f t="shared" si="11"/>
        <v/>
      </c>
      <c r="U29" s="11" t="str">
        <f t="shared" si="11"/>
        <v/>
      </c>
      <c r="V29" s="11" t="str">
        <f t="shared" si="11"/>
        <v/>
      </c>
    </row>
    <row r="30" spans="1:22" x14ac:dyDescent="0.35">
      <c r="A30" s="141"/>
      <c r="B30" s="11">
        <f t="shared" ref="B30:M30" si="13">IF(B7="","",(B7/$O$23))</f>
        <v>1.3223729773808115E-2</v>
      </c>
      <c r="C30" s="11">
        <f t="shared" si="13"/>
        <v>1.3788700419307159E-2</v>
      </c>
      <c r="D30" s="11">
        <f t="shared" si="13"/>
        <v>3.3238089444381218E-2</v>
      </c>
      <c r="E30" s="11">
        <f t="shared" si="13"/>
        <v>4.7088615305096476E-2</v>
      </c>
      <c r="F30" s="11">
        <f t="shared" si="13"/>
        <v>0.87612141550670031</v>
      </c>
      <c r="G30" s="11">
        <f t="shared" si="13"/>
        <v>1.441329194113252</v>
      </c>
      <c r="H30" s="11">
        <f t="shared" si="13"/>
        <v>2.263047068405097</v>
      </c>
      <c r="I30" s="11" t="str">
        <f t="shared" si="13"/>
        <v/>
      </c>
      <c r="J30" s="11" t="str">
        <f t="shared" si="13"/>
        <v/>
      </c>
      <c r="K30" s="11" t="str">
        <f t="shared" si="13"/>
        <v/>
      </c>
      <c r="L30" s="11" t="str">
        <f t="shared" si="13"/>
        <v/>
      </c>
      <c r="M30" s="11" t="str">
        <f t="shared" si="13"/>
        <v/>
      </c>
      <c r="N30" s="6"/>
      <c r="O30" s="11">
        <f t="shared" si="10"/>
        <v>0.62249352428073457</v>
      </c>
      <c r="P30" s="11">
        <f t="shared" si="10"/>
        <v>1.7728713776348042</v>
      </c>
      <c r="Q30" s="11">
        <f t="shared" si="10"/>
        <v>1.5789485592244384E-2</v>
      </c>
      <c r="R30" s="11" t="str">
        <f t="shared" si="10"/>
        <v/>
      </c>
      <c r="S30" s="11" t="str">
        <f t="shared" si="10"/>
        <v/>
      </c>
      <c r="T30" s="11" t="str">
        <f t="shared" si="11"/>
        <v/>
      </c>
      <c r="U30" s="11" t="str">
        <f t="shared" si="11"/>
        <v/>
      </c>
      <c r="V30" s="11" t="str">
        <f t="shared" si="11"/>
        <v/>
      </c>
    </row>
    <row r="31" spans="1:22" x14ac:dyDescent="0.35">
      <c r="A31" s="141"/>
      <c r="B31" s="11">
        <f t="shared" ref="B31:M31" si="14">IF(B8="","",(B8/$O$23))</f>
        <v>2.2350710561679305E-3</v>
      </c>
      <c r="C31" s="11">
        <f t="shared" si="14"/>
        <v>3.9814364027843108E-2</v>
      </c>
      <c r="D31" s="11">
        <f t="shared" si="14"/>
        <v>5.5914603812428222E-2</v>
      </c>
      <c r="E31" s="11">
        <f t="shared" si="14"/>
        <v>8.2452767790531331E-2</v>
      </c>
      <c r="F31" s="11">
        <f t="shared" si="14"/>
        <v>0.70733674022360427</v>
      </c>
      <c r="G31" s="11">
        <f t="shared" si="14"/>
        <v>1.4115057400676934</v>
      </c>
      <c r="H31" s="11">
        <f t="shared" si="14"/>
        <v>2.2284976288087441</v>
      </c>
      <c r="I31" s="11" t="str">
        <f t="shared" si="14"/>
        <v/>
      </c>
      <c r="J31" s="11" t="str">
        <f t="shared" si="14"/>
        <v/>
      </c>
      <c r="K31" s="11" t="str">
        <f t="shared" si="14"/>
        <v/>
      </c>
      <c r="L31" s="11" t="str">
        <f t="shared" si="14"/>
        <v/>
      </c>
      <c r="M31" s="11" t="str">
        <f t="shared" si="14"/>
        <v/>
      </c>
      <c r="N31" s="6"/>
      <c r="O31" s="11">
        <f t="shared" si="10"/>
        <v>0.93285601991043599</v>
      </c>
      <c r="P31" s="11">
        <f t="shared" si="10"/>
        <v>1.440039808262833</v>
      </c>
      <c r="Q31" s="11">
        <f t="shared" si="10"/>
        <v>1.1703718757083901E-2</v>
      </c>
      <c r="R31" s="11" t="str">
        <f t="shared" si="10"/>
        <v/>
      </c>
      <c r="S31" s="11" t="str">
        <f t="shared" si="10"/>
        <v/>
      </c>
      <c r="T31" s="11" t="str">
        <f t="shared" si="11"/>
        <v/>
      </c>
      <c r="U31" s="11" t="str">
        <f t="shared" si="11"/>
        <v/>
      </c>
      <c r="V31" s="11" t="str">
        <f t="shared" si="11"/>
        <v/>
      </c>
    </row>
    <row r="32" spans="1:22" x14ac:dyDescent="0.35">
      <c r="A32" s="141"/>
      <c r="B32" s="11">
        <f t="shared" ref="B32:M32" si="15">IF(B9="","",(B9/$O$23))</f>
        <v>4.8785154226893826E-3</v>
      </c>
      <c r="C32" s="11">
        <f t="shared" si="15"/>
        <v>3.580669248709286E-2</v>
      </c>
      <c r="D32" s="11">
        <f t="shared" si="15"/>
        <v>6.7373461281830032E-3</v>
      </c>
      <c r="E32" s="11">
        <f t="shared" si="15"/>
        <v>8.3216230642656402E-2</v>
      </c>
      <c r="F32" s="11">
        <f t="shared" si="15"/>
        <v>1.1684097314363329</v>
      </c>
      <c r="G32" s="11">
        <f t="shared" si="15"/>
        <v>0.9625106742310976</v>
      </c>
      <c r="H32" s="11">
        <f t="shared" si="15"/>
        <v>3.8111276490212398</v>
      </c>
      <c r="I32" s="11" t="str">
        <f t="shared" si="15"/>
        <v/>
      </c>
      <c r="J32" s="11" t="str">
        <f t="shared" si="15"/>
        <v/>
      </c>
      <c r="K32" s="11" t="str">
        <f t="shared" si="15"/>
        <v/>
      </c>
      <c r="L32" s="11" t="str">
        <f t="shared" si="15"/>
        <v/>
      </c>
      <c r="M32" s="11" t="str">
        <f t="shared" si="15"/>
        <v/>
      </c>
      <c r="N32" s="6"/>
      <c r="O32" s="11">
        <f t="shared" si="10"/>
        <v>0.73283200662427062</v>
      </c>
      <c r="P32" s="11">
        <f t="shared" si="10"/>
        <v>1.4000729143630948</v>
      </c>
      <c r="Q32" s="11">
        <f t="shared" si="10"/>
        <v>6.5697666422610398E-3</v>
      </c>
      <c r="R32" s="11" t="str">
        <f t="shared" si="10"/>
        <v/>
      </c>
      <c r="S32" s="11" t="str">
        <f t="shared" si="10"/>
        <v/>
      </c>
      <c r="T32" s="11" t="str">
        <f t="shared" si="11"/>
        <v/>
      </c>
      <c r="U32" s="11" t="str">
        <f t="shared" si="11"/>
        <v/>
      </c>
      <c r="V32" s="11" t="str">
        <f t="shared" si="11"/>
        <v/>
      </c>
    </row>
    <row r="33" spans="1:22" x14ac:dyDescent="0.35">
      <c r="A33" s="141"/>
      <c r="B33" s="11">
        <f t="shared" ref="B33:M33" si="16">IF(B10="","",(B10/$O$23))</f>
        <v>1.5996519471696519E-2</v>
      </c>
      <c r="C33" s="11">
        <f t="shared" si="16"/>
        <v>3.4923239469077071E-3</v>
      </c>
      <c r="D33" s="11">
        <f t="shared" si="16"/>
        <v>7.7627536136423937E-3</v>
      </c>
      <c r="E33" s="11">
        <f t="shared" si="16"/>
        <v>3.9518252703204297E-2</v>
      </c>
      <c r="F33" s="11">
        <f t="shared" si="16"/>
        <v>0.80598248596083277</v>
      </c>
      <c r="G33" s="11">
        <f t="shared" si="16"/>
        <v>0.12563255091186551</v>
      </c>
      <c r="H33" s="11">
        <f t="shared" si="16"/>
        <v>2.7977529400959011</v>
      </c>
      <c r="I33" s="11" t="str">
        <f t="shared" si="16"/>
        <v/>
      </c>
      <c r="J33" s="11" t="str">
        <f t="shared" si="16"/>
        <v/>
      </c>
      <c r="K33" s="11" t="str">
        <f t="shared" si="16"/>
        <v/>
      </c>
      <c r="L33" s="11" t="str">
        <f t="shared" si="16"/>
        <v/>
      </c>
      <c r="M33" s="11" t="str">
        <f t="shared" si="16"/>
        <v/>
      </c>
      <c r="N33" s="6"/>
      <c r="O33" s="11">
        <f t="shared" si="10"/>
        <v>0.96980607631725368</v>
      </c>
      <c r="P33" s="11">
        <f t="shared" si="10"/>
        <v>1.7957870588419826</v>
      </c>
      <c r="Q33" s="11">
        <f t="shared" si="10"/>
        <v>2.0829886052304986E-2</v>
      </c>
      <c r="R33" s="11" t="str">
        <f t="shared" si="10"/>
        <v/>
      </c>
      <c r="S33" s="11" t="str">
        <f t="shared" si="10"/>
        <v/>
      </c>
      <c r="T33" s="11" t="str">
        <f t="shared" si="11"/>
        <v/>
      </c>
      <c r="U33" s="11" t="str">
        <f t="shared" si="11"/>
        <v/>
      </c>
      <c r="V33" s="11" t="str">
        <f t="shared" si="11"/>
        <v/>
      </c>
    </row>
    <row r="34" spans="1:22" x14ac:dyDescent="0.35">
      <c r="A34" s="141"/>
      <c r="B34" s="11">
        <f t="shared" ref="B34:M34" si="17">IF(B11="","",(B11/$O$23))</f>
        <v>2.2667972695220886E-2</v>
      </c>
      <c r="C34" s="11">
        <f t="shared" si="17"/>
        <v>4.7756492770834012E-2</v>
      </c>
      <c r="D34" s="11">
        <f t="shared" si="17"/>
        <v>6.374935152560505E-3</v>
      </c>
      <c r="E34" s="11">
        <f t="shared" si="17"/>
        <v>4.1383184603573722E-2</v>
      </c>
      <c r="F34" s="11">
        <f t="shared" si="17"/>
        <v>0.34069438258157675</v>
      </c>
      <c r="G34" s="11">
        <f t="shared" si="17"/>
        <v>0.90282471849277501</v>
      </c>
      <c r="H34" s="11">
        <f t="shared" si="17"/>
        <v>2.3304526626466062</v>
      </c>
      <c r="I34" s="11" t="str">
        <f t="shared" si="17"/>
        <v/>
      </c>
      <c r="J34" s="11" t="str">
        <f t="shared" si="17"/>
        <v/>
      </c>
      <c r="K34" s="11" t="str">
        <f t="shared" si="17"/>
        <v/>
      </c>
      <c r="L34" s="11" t="str">
        <f t="shared" si="17"/>
        <v/>
      </c>
      <c r="M34" s="11" t="str">
        <f t="shared" si="17"/>
        <v/>
      </c>
      <c r="N34" s="6"/>
      <c r="O34" s="11">
        <f t="shared" si="10"/>
        <v>1.0724236999186278</v>
      </c>
      <c r="P34" s="11">
        <f t="shared" si="10"/>
        <v>1.719758035763018</v>
      </c>
      <c r="Q34" s="11">
        <f t="shared" si="10"/>
        <v>9.8444813052652267E-3</v>
      </c>
      <c r="R34" s="11" t="str">
        <f t="shared" si="10"/>
        <v/>
      </c>
      <c r="S34" s="11" t="str">
        <f t="shared" si="10"/>
        <v/>
      </c>
      <c r="T34" s="11" t="str">
        <f t="shared" si="11"/>
        <v/>
      </c>
      <c r="U34" s="11" t="str">
        <f t="shared" si="11"/>
        <v/>
      </c>
      <c r="V34" s="11" t="str">
        <f t="shared" si="11"/>
        <v/>
      </c>
    </row>
    <row r="35" spans="1:22" x14ac:dyDescent="0.35">
      <c r="A35" s="141"/>
      <c r="B35" s="11">
        <f t="shared" ref="B35:M35" si="18">IF(B12="","",(B12/$O$23))</f>
        <v>2.5267488458636581E-2</v>
      </c>
      <c r="C35" s="11">
        <f t="shared" si="18"/>
        <v>4.2533463210824478E-3</v>
      </c>
      <c r="D35" s="11">
        <f t="shared" si="18"/>
        <v>4.4973941161144323E-3</v>
      </c>
      <c r="E35" s="11">
        <f t="shared" si="18"/>
        <v>0.15409218452952048</v>
      </c>
      <c r="F35" s="11">
        <f t="shared" si="18"/>
        <v>0.43922786633309063</v>
      </c>
      <c r="G35" s="11">
        <f t="shared" si="18"/>
        <v>0.8592255799103109</v>
      </c>
      <c r="H35" s="11">
        <f t="shared" si="18"/>
        <v>3.6915202314223889</v>
      </c>
      <c r="I35" s="11" t="str">
        <f t="shared" si="18"/>
        <v/>
      </c>
      <c r="J35" s="11" t="str">
        <f t="shared" si="18"/>
        <v/>
      </c>
      <c r="K35" s="11" t="str">
        <f t="shared" si="18"/>
        <v/>
      </c>
      <c r="L35" s="11" t="str">
        <f t="shared" si="18"/>
        <v/>
      </c>
      <c r="M35" s="11" t="str">
        <f t="shared" si="18"/>
        <v/>
      </c>
      <c r="N35" s="6"/>
      <c r="O35" s="11">
        <f t="shared" si="10"/>
        <v>0.84577081822387257</v>
      </c>
      <c r="P35" s="11">
        <f t="shared" si="10"/>
        <v>1.2964498138461888</v>
      </c>
      <c r="Q35" s="11">
        <f t="shared" si="10"/>
        <v>1.6582234179773284E-2</v>
      </c>
      <c r="R35" s="11" t="str">
        <f t="shared" si="10"/>
        <v/>
      </c>
      <c r="S35" s="11" t="str">
        <f t="shared" si="10"/>
        <v/>
      </c>
      <c r="T35" s="11" t="str">
        <f t="shared" si="11"/>
        <v/>
      </c>
      <c r="U35" s="11" t="str">
        <f t="shared" si="11"/>
        <v/>
      </c>
      <c r="V35" s="11" t="str">
        <f t="shared" si="11"/>
        <v/>
      </c>
    </row>
    <row r="36" spans="1:22" x14ac:dyDescent="0.35">
      <c r="A36" s="141"/>
      <c r="B36" s="11" t="str">
        <f t="shared" ref="B36:M36" si="19">IF(B13="","",(B13/$O$23))</f>
        <v/>
      </c>
      <c r="C36" s="11" t="str">
        <f t="shared" si="19"/>
        <v/>
      </c>
      <c r="D36" s="11" t="str">
        <f t="shared" si="19"/>
        <v/>
      </c>
      <c r="E36" s="11" t="str">
        <f t="shared" si="19"/>
        <v/>
      </c>
      <c r="F36" s="11" t="str">
        <f t="shared" si="19"/>
        <v/>
      </c>
      <c r="G36" s="11" t="str">
        <f t="shared" si="19"/>
        <v/>
      </c>
      <c r="H36" s="11" t="str">
        <f t="shared" si="19"/>
        <v/>
      </c>
      <c r="I36" s="11" t="str">
        <f t="shared" si="19"/>
        <v/>
      </c>
      <c r="J36" s="11" t="str">
        <f t="shared" si="19"/>
        <v/>
      </c>
      <c r="K36" s="11" t="str">
        <f t="shared" si="19"/>
        <v/>
      </c>
      <c r="L36" s="11" t="str">
        <f t="shared" si="19"/>
        <v/>
      </c>
      <c r="M36" s="11" t="str">
        <f t="shared" si="19"/>
        <v/>
      </c>
      <c r="N36" s="6"/>
      <c r="O36" s="11">
        <f t="shared" si="10"/>
        <v>1.0426726467189287</v>
      </c>
      <c r="P36" s="11" t="str">
        <f t="shared" si="10"/>
        <v/>
      </c>
      <c r="Q36" s="11" t="str">
        <f t="shared" si="10"/>
        <v/>
      </c>
      <c r="R36" s="11" t="str">
        <f t="shared" si="10"/>
        <v/>
      </c>
      <c r="S36" s="11" t="str">
        <f t="shared" si="10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x14ac:dyDescent="0.35">
      <c r="A37" s="141"/>
      <c r="B37" s="11" t="str">
        <f t="shared" ref="B37:M37" si="20">IF(B14="","",(B14/$O$23))</f>
        <v/>
      </c>
      <c r="C37" s="11" t="str">
        <f t="shared" si="20"/>
        <v/>
      </c>
      <c r="D37" s="11" t="str">
        <f t="shared" si="20"/>
        <v/>
      </c>
      <c r="E37" s="11" t="str">
        <f t="shared" si="20"/>
        <v/>
      </c>
      <c r="F37" s="11" t="str">
        <f t="shared" si="20"/>
        <v/>
      </c>
      <c r="G37" s="11" t="str">
        <f t="shared" si="20"/>
        <v/>
      </c>
      <c r="H37" s="11" t="str">
        <f t="shared" si="20"/>
        <v/>
      </c>
      <c r="I37" s="11" t="str">
        <f t="shared" si="20"/>
        <v/>
      </c>
      <c r="J37" s="11" t="str">
        <f t="shared" si="20"/>
        <v/>
      </c>
      <c r="K37" s="11" t="str">
        <f t="shared" si="20"/>
        <v/>
      </c>
      <c r="L37" s="11" t="str">
        <f t="shared" si="20"/>
        <v/>
      </c>
      <c r="M37" s="11" t="str">
        <f t="shared" si="20"/>
        <v/>
      </c>
      <c r="N37" s="6"/>
      <c r="O37" s="11">
        <f t="shared" si="10"/>
        <v>1.144231509636189</v>
      </c>
      <c r="P37" s="11" t="str">
        <f t="shared" si="10"/>
        <v/>
      </c>
      <c r="Q37" s="11" t="str">
        <f t="shared" si="10"/>
        <v/>
      </c>
      <c r="R37" s="11" t="str">
        <f t="shared" si="10"/>
        <v/>
      </c>
      <c r="S37" s="11" t="str">
        <f t="shared" si="10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x14ac:dyDescent="0.35">
      <c r="A38" s="141"/>
      <c r="B38" s="11" t="str">
        <f t="shared" ref="B38:M38" si="21">IF(B15="","",(B15/$O$23))</f>
        <v/>
      </c>
      <c r="C38" s="11" t="str">
        <f t="shared" si="21"/>
        <v/>
      </c>
      <c r="D38" s="11" t="str">
        <f t="shared" si="21"/>
        <v/>
      </c>
      <c r="E38" s="11" t="str">
        <f t="shared" si="21"/>
        <v/>
      </c>
      <c r="F38" s="11" t="str">
        <f t="shared" si="21"/>
        <v/>
      </c>
      <c r="G38" s="11" t="str">
        <f t="shared" si="21"/>
        <v/>
      </c>
      <c r="H38" s="11" t="str">
        <f t="shared" si="21"/>
        <v/>
      </c>
      <c r="I38" s="11" t="str">
        <f t="shared" si="21"/>
        <v/>
      </c>
      <c r="J38" s="11" t="str">
        <f t="shared" si="21"/>
        <v/>
      </c>
      <c r="K38" s="11" t="str">
        <f t="shared" si="21"/>
        <v/>
      </c>
      <c r="L38" s="11" t="str">
        <f t="shared" si="21"/>
        <v/>
      </c>
      <c r="M38" s="11" t="str">
        <f t="shared" si="21"/>
        <v/>
      </c>
      <c r="N38" s="6"/>
      <c r="O38" s="11">
        <f t="shared" ref="O38:S43" si="22">IF(O15="","",(O15/$O$23))</f>
        <v>0.78485445485226379</v>
      </c>
      <c r="P38" s="11" t="str">
        <f t="shared" si="22"/>
        <v/>
      </c>
      <c r="Q38" s="11" t="str">
        <f t="shared" si="22"/>
        <v/>
      </c>
      <c r="R38" s="11" t="str">
        <f t="shared" si="22"/>
        <v/>
      </c>
      <c r="S38" s="11" t="str">
        <f t="shared" si="22"/>
        <v/>
      </c>
      <c r="T38" s="11" t="str">
        <f t="shared" si="11"/>
        <v/>
      </c>
      <c r="U38" s="11" t="str">
        <f t="shared" si="11"/>
        <v/>
      </c>
      <c r="V38" s="11" t="str">
        <f t="shared" si="11"/>
        <v/>
      </c>
    </row>
    <row r="39" spans="1:22" x14ac:dyDescent="0.35">
      <c r="A39" s="141"/>
      <c r="B39" s="11" t="str">
        <f t="shared" ref="B39:M39" si="23">IF(B16="","",(B16/$O$23))</f>
        <v/>
      </c>
      <c r="C39" s="11" t="str">
        <f t="shared" si="23"/>
        <v/>
      </c>
      <c r="D39" s="11" t="str">
        <f t="shared" si="23"/>
        <v/>
      </c>
      <c r="E39" s="11" t="str">
        <f t="shared" si="23"/>
        <v/>
      </c>
      <c r="F39" s="11" t="str">
        <f t="shared" si="23"/>
        <v/>
      </c>
      <c r="G39" s="11" t="str">
        <f t="shared" si="23"/>
        <v/>
      </c>
      <c r="H39" s="11" t="str">
        <f t="shared" si="23"/>
        <v/>
      </c>
      <c r="I39" s="11" t="str">
        <f t="shared" si="23"/>
        <v/>
      </c>
      <c r="J39" s="11" t="str">
        <f t="shared" si="23"/>
        <v/>
      </c>
      <c r="K39" s="11" t="str">
        <f t="shared" si="23"/>
        <v/>
      </c>
      <c r="L39" s="11" t="str">
        <f t="shared" si="23"/>
        <v/>
      </c>
      <c r="M39" s="11" t="str">
        <f t="shared" si="23"/>
        <v/>
      </c>
      <c r="N39" s="6"/>
      <c r="O39" s="11">
        <f t="shared" si="22"/>
        <v>0.82518660695189971</v>
      </c>
      <c r="P39" s="11" t="str">
        <f t="shared" si="22"/>
        <v/>
      </c>
      <c r="Q39" s="11" t="str">
        <f t="shared" si="22"/>
        <v/>
      </c>
      <c r="R39" s="11" t="str">
        <f t="shared" si="22"/>
        <v/>
      </c>
      <c r="S39" s="11" t="str">
        <f t="shared" si="22"/>
        <v/>
      </c>
      <c r="T39" s="11" t="str">
        <f t="shared" si="11"/>
        <v/>
      </c>
      <c r="U39" s="11" t="str">
        <f t="shared" si="11"/>
        <v/>
      </c>
      <c r="V39" s="11" t="str">
        <f t="shared" si="11"/>
        <v/>
      </c>
    </row>
    <row r="40" spans="1:22" x14ac:dyDescent="0.35">
      <c r="A40" s="141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si="22"/>
        <v>1.7565010582903837</v>
      </c>
      <c r="P40" s="11" t="str">
        <f t="shared" si="22"/>
        <v/>
      </c>
      <c r="Q40" s="11" t="str">
        <f t="shared" si="22"/>
        <v/>
      </c>
      <c r="R40" s="11" t="str">
        <f t="shared" si="22"/>
        <v/>
      </c>
      <c r="S40" s="11" t="str">
        <f t="shared" si="22"/>
        <v/>
      </c>
      <c r="T40" s="11" t="str">
        <f t="shared" si="11"/>
        <v/>
      </c>
      <c r="U40" s="11" t="str">
        <f t="shared" si="11"/>
        <v/>
      </c>
      <c r="V40" s="11" t="str">
        <f t="shared" si="11"/>
        <v/>
      </c>
    </row>
    <row r="41" spans="1:22" x14ac:dyDescent="0.35">
      <c r="A41" s="141"/>
      <c r="B41" s="11" t="str">
        <f t="shared" ref="B41:M41" si="25">IF(B18="","",(B18/$O$23))</f>
        <v/>
      </c>
      <c r="C41" s="11" t="str">
        <f t="shared" si="25"/>
        <v/>
      </c>
      <c r="D41" s="11" t="str">
        <f t="shared" si="25"/>
        <v/>
      </c>
      <c r="E41" s="11" t="str">
        <f t="shared" si="25"/>
        <v/>
      </c>
      <c r="F41" s="11" t="str">
        <f t="shared" si="25"/>
        <v/>
      </c>
      <c r="G41" s="11" t="str">
        <f t="shared" si="25"/>
        <v/>
      </c>
      <c r="H41" s="11" t="str">
        <f t="shared" si="25"/>
        <v/>
      </c>
      <c r="I41" s="11" t="str">
        <f t="shared" si="25"/>
        <v/>
      </c>
      <c r="J41" s="11" t="str">
        <f t="shared" si="25"/>
        <v/>
      </c>
      <c r="K41" s="11" t="str">
        <f t="shared" si="25"/>
        <v/>
      </c>
      <c r="L41" s="11" t="str">
        <f t="shared" si="25"/>
        <v/>
      </c>
      <c r="M41" s="11" t="str">
        <f t="shared" si="25"/>
        <v/>
      </c>
      <c r="N41" s="6"/>
      <c r="O41" s="11">
        <f t="shared" si="22"/>
        <v>1.2222291849284115</v>
      </c>
      <c r="P41" s="11" t="str">
        <f t="shared" si="22"/>
        <v/>
      </c>
      <c r="Q41" s="11" t="str">
        <f t="shared" si="22"/>
        <v/>
      </c>
      <c r="R41" s="11" t="str">
        <f t="shared" si="22"/>
        <v/>
      </c>
      <c r="S41" s="11" t="str">
        <f t="shared" si="22"/>
        <v/>
      </c>
      <c r="T41" s="11" t="str">
        <f t="shared" si="11"/>
        <v/>
      </c>
      <c r="U41" s="11" t="str">
        <f t="shared" si="11"/>
        <v/>
      </c>
      <c r="V41" s="11" t="str">
        <f t="shared" si="11"/>
        <v/>
      </c>
    </row>
    <row r="42" spans="1:22" x14ac:dyDescent="0.35">
      <c r="A42" s="141"/>
      <c r="B42" s="11" t="str">
        <f t="shared" ref="B42:M42" si="26">IF(B19="","",(B19/$O$23))</f>
        <v/>
      </c>
      <c r="C42" s="11" t="str">
        <f t="shared" si="26"/>
        <v/>
      </c>
      <c r="D42" s="11" t="str">
        <f t="shared" si="26"/>
        <v/>
      </c>
      <c r="E42" s="11" t="str">
        <f t="shared" si="26"/>
        <v/>
      </c>
      <c r="F42" s="11" t="str">
        <f t="shared" si="26"/>
        <v/>
      </c>
      <c r="G42" s="11" t="str">
        <f t="shared" si="26"/>
        <v/>
      </c>
      <c r="H42" s="11" t="str">
        <f t="shared" si="26"/>
        <v/>
      </c>
      <c r="I42" s="11" t="str">
        <f t="shared" si="26"/>
        <v/>
      </c>
      <c r="J42" s="11" t="str">
        <f t="shared" si="26"/>
        <v/>
      </c>
      <c r="K42" s="11" t="str">
        <f t="shared" si="26"/>
        <v/>
      </c>
      <c r="L42" s="11" t="str">
        <f t="shared" si="26"/>
        <v/>
      </c>
      <c r="M42" s="11" t="str">
        <f t="shared" si="26"/>
        <v/>
      </c>
      <c r="N42" s="6"/>
      <c r="O42" s="11">
        <f t="shared" si="22"/>
        <v>1.4131872293754637</v>
      </c>
      <c r="P42" s="11" t="str">
        <f t="shared" si="22"/>
        <v/>
      </c>
      <c r="Q42" s="11" t="str">
        <f t="shared" si="22"/>
        <v/>
      </c>
      <c r="R42" s="11" t="str">
        <f t="shared" si="22"/>
        <v/>
      </c>
      <c r="S42" s="11" t="str">
        <f t="shared" si="22"/>
        <v/>
      </c>
      <c r="T42" s="11" t="str">
        <f t="shared" si="11"/>
        <v/>
      </c>
      <c r="U42" s="11" t="str">
        <f t="shared" si="11"/>
        <v/>
      </c>
      <c r="V42" s="11" t="str">
        <f t="shared" si="11"/>
        <v/>
      </c>
    </row>
    <row r="43" spans="1:22" x14ac:dyDescent="0.35">
      <c r="A43" s="141"/>
      <c r="B43" s="11" t="str">
        <f t="shared" ref="B43:M43" si="27">IF(B20="","",(B20/$O$23))</f>
        <v/>
      </c>
      <c r="C43" s="11" t="str">
        <f t="shared" si="27"/>
        <v/>
      </c>
      <c r="D43" s="11" t="str">
        <f t="shared" si="27"/>
        <v/>
      </c>
      <c r="E43" s="11" t="str">
        <f t="shared" si="27"/>
        <v/>
      </c>
      <c r="F43" s="11" t="str">
        <f t="shared" si="27"/>
        <v/>
      </c>
      <c r="G43" s="11" t="str">
        <f t="shared" si="27"/>
        <v/>
      </c>
      <c r="H43" s="11" t="str">
        <f t="shared" si="27"/>
        <v/>
      </c>
      <c r="I43" s="11" t="str">
        <f t="shared" si="27"/>
        <v/>
      </c>
      <c r="J43" s="11" t="str">
        <f t="shared" si="27"/>
        <v/>
      </c>
      <c r="K43" s="11" t="str">
        <f t="shared" si="27"/>
        <v/>
      </c>
      <c r="L43" s="11" t="str">
        <f t="shared" si="27"/>
        <v/>
      </c>
      <c r="M43" s="11" t="str">
        <f t="shared" si="27"/>
        <v/>
      </c>
      <c r="N43" s="6"/>
      <c r="O43" s="11">
        <f t="shared" si="22"/>
        <v>1.2435752320672091</v>
      </c>
      <c r="P43" s="11" t="str">
        <f t="shared" si="22"/>
        <v/>
      </c>
      <c r="Q43" s="11" t="str">
        <f t="shared" si="22"/>
        <v/>
      </c>
      <c r="R43" s="11" t="str">
        <f t="shared" si="22"/>
        <v/>
      </c>
      <c r="S43" s="11" t="str">
        <f t="shared" si="22"/>
        <v/>
      </c>
      <c r="T43" s="11" t="str">
        <f t="shared" si="11"/>
        <v/>
      </c>
      <c r="U43" s="11" t="str">
        <f t="shared" si="11"/>
        <v/>
      </c>
      <c r="V43" s="11" t="str">
        <f t="shared" si="11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8">A4</f>
        <v>Group names</v>
      </c>
      <c r="B45" s="7" t="str">
        <f t="shared" ref="B45:R45" si="29">B4</f>
        <v>Solvent control</v>
      </c>
      <c r="C45" s="7" t="str">
        <f t="shared" si="29"/>
        <v>EE2-33.8ng/L</v>
      </c>
      <c r="D45" s="7" t="str">
        <f t="shared" si="29"/>
        <v>EE2-50.6ng/L</v>
      </c>
      <c r="E45" s="7" t="str">
        <f t="shared" si="29"/>
        <v>EE2-76ng/L</v>
      </c>
      <c r="F45" s="7" t="str">
        <f t="shared" si="29"/>
        <v>EE2-114ng/L</v>
      </c>
      <c r="G45" s="7" t="str">
        <f t="shared" si="29"/>
        <v>EE2-170.9ng/L</v>
      </c>
      <c r="H45" s="7" t="str">
        <f t="shared" si="29"/>
        <v>EE2-488ng/L</v>
      </c>
      <c r="I45" s="7" t="str">
        <f t="shared" si="29"/>
        <v/>
      </c>
      <c r="J45" s="7" t="str">
        <f t="shared" si="29"/>
        <v/>
      </c>
      <c r="K45" s="7" t="str">
        <f t="shared" ref="K45:M45" si="30">K4</f>
        <v/>
      </c>
      <c r="L45" s="7" t="str">
        <f t="shared" si="30"/>
        <v/>
      </c>
      <c r="M45" s="7" t="str">
        <f t="shared" si="30"/>
        <v/>
      </c>
      <c r="N45" s="7"/>
      <c r="O45" s="7" t="str">
        <f t="shared" si="29"/>
        <v>Testo -30µg/L</v>
      </c>
      <c r="P45" s="7" t="str">
        <f t="shared" si="29"/>
        <v>Testo 30µg/L + EE2 -64ng/L</v>
      </c>
      <c r="Q45" s="7" t="str">
        <f t="shared" si="29"/>
        <v>Testo 30µg/L + FAD-10mg/L</v>
      </c>
      <c r="R45" s="7" t="str">
        <f t="shared" si="29"/>
        <v>0-00 + Testostérone</v>
      </c>
      <c r="S45" s="7" t="str">
        <f t="shared" ref="S45:V45" si="31">S4</f>
        <v>0-00 + Testostérone</v>
      </c>
      <c r="T45" s="7" t="str">
        <f t="shared" si="31"/>
        <v>0-00 + Testostérone</v>
      </c>
      <c r="U45" s="7" t="str">
        <f t="shared" si="31"/>
        <v>0-00 + Testostérone</v>
      </c>
      <c r="V45" s="7" t="str">
        <f t="shared" si="31"/>
        <v>0-00 + Testostérone</v>
      </c>
    </row>
    <row r="46" spans="1:22" x14ac:dyDescent="0.35">
      <c r="A46" s="8" t="s">
        <v>0</v>
      </c>
      <c r="B46" s="10">
        <f t="shared" ref="B46:H46" si="32">AVERAGE(B28:B43)</f>
        <v>1.3804512682693608E-2</v>
      </c>
      <c r="C46" s="10">
        <f t="shared" si="32"/>
        <v>2.2619061449633229E-2</v>
      </c>
      <c r="D46" s="10">
        <f t="shared" si="32"/>
        <v>4.8111226409571127E-2</v>
      </c>
      <c r="E46" s="10">
        <f t="shared" si="32"/>
        <v>0.1042698271737407</v>
      </c>
      <c r="F46" s="10">
        <f t="shared" si="32"/>
        <v>0.71369316841837482</v>
      </c>
      <c r="G46" s="10">
        <f t="shared" si="32"/>
        <v>1.013609757457929</v>
      </c>
      <c r="H46" s="10">
        <f t="shared" si="32"/>
        <v>2.7209139833971738</v>
      </c>
      <c r="I46" s="10" t="e">
        <f>AVERAGE(I28:I43)</f>
        <v>#DIV/0!</v>
      </c>
      <c r="J46" s="9" t="e">
        <f>AVERAGE(J28:J43)</f>
        <v>#DIV/0!</v>
      </c>
      <c r="K46" s="9" t="e">
        <f t="shared" ref="K46:M46" si="33">AVERAGE(K28:K43)</f>
        <v>#DIV/0!</v>
      </c>
      <c r="L46" s="9" t="e">
        <f t="shared" si="33"/>
        <v>#DIV/0!</v>
      </c>
      <c r="M46" s="9" t="e">
        <f t="shared" si="33"/>
        <v>#DIV/0!</v>
      </c>
      <c r="N46" s="8" t="s">
        <v>0</v>
      </c>
      <c r="O46" s="10">
        <f t="shared" ref="O46:R46" si="34">AVERAGE(O28:O43)</f>
        <v>1</v>
      </c>
      <c r="P46" s="10">
        <f t="shared" si="34"/>
        <v>1.5204671827277616</v>
      </c>
      <c r="Q46" s="10">
        <f t="shared" si="34"/>
        <v>1.3324399489258809E-2</v>
      </c>
      <c r="R46" s="10" t="e">
        <f t="shared" si="34"/>
        <v>#DIV/0!</v>
      </c>
      <c r="S46" s="10" t="e">
        <f t="shared" ref="S46:V46" si="35">AVERAGE(S28:S43)</f>
        <v>#DIV/0!</v>
      </c>
      <c r="T46" s="10" t="e">
        <f t="shared" si="35"/>
        <v>#DIV/0!</v>
      </c>
      <c r="U46" s="10" t="e">
        <f t="shared" si="35"/>
        <v>#DIV/0!</v>
      </c>
      <c r="V46" s="10" t="e">
        <f t="shared" si="35"/>
        <v>#DIV/0!</v>
      </c>
    </row>
    <row r="47" spans="1:22" x14ac:dyDescent="0.35">
      <c r="A47" s="8" t="s">
        <v>1</v>
      </c>
      <c r="B47" s="8">
        <f t="shared" ref="B47:J47" si="36">STDEV(B28:B43)</f>
        <v>8.4191284609093382E-3</v>
      </c>
      <c r="C47" s="8">
        <f t="shared" si="36"/>
        <v>1.7122361123440136E-2</v>
      </c>
      <c r="D47" s="8">
        <f t="shared" si="36"/>
        <v>5.6616199196380543E-2</v>
      </c>
      <c r="E47" s="8">
        <f t="shared" si="36"/>
        <v>0.105111013762403</v>
      </c>
      <c r="F47" s="8">
        <f t="shared" si="36"/>
        <v>0.26769833835903961</v>
      </c>
      <c r="G47" s="8">
        <f t="shared" si="36"/>
        <v>0.44848942667247327</v>
      </c>
      <c r="H47" s="8">
        <f t="shared" si="36"/>
        <v>0.75854748625550161</v>
      </c>
      <c r="I47" s="8" t="e">
        <f t="shared" si="36"/>
        <v>#DIV/0!</v>
      </c>
      <c r="J47" s="8" t="e">
        <f t="shared" si="36"/>
        <v>#DIV/0!</v>
      </c>
      <c r="K47" s="8" t="e">
        <f t="shared" ref="K47:M47" si="37">STDEV(K28:K43)</f>
        <v>#DIV/0!</v>
      </c>
      <c r="L47" s="8" t="e">
        <f t="shared" si="37"/>
        <v>#DIV/0!</v>
      </c>
      <c r="M47" s="8" t="e">
        <f t="shared" si="37"/>
        <v>#DIV/0!</v>
      </c>
      <c r="N47" s="8" t="s">
        <v>1</v>
      </c>
      <c r="O47" s="8">
        <f t="shared" ref="O47:R47" si="38">STDEV(O28:O43)</f>
        <v>0.32403117986372615</v>
      </c>
      <c r="P47" s="8">
        <f t="shared" si="38"/>
        <v>0.21413608195841599</v>
      </c>
      <c r="Q47" s="8">
        <f t="shared" si="38"/>
        <v>5.0219002846659351E-3</v>
      </c>
      <c r="R47" s="8" t="e">
        <f t="shared" si="38"/>
        <v>#DIV/0!</v>
      </c>
      <c r="S47" s="8" t="e">
        <f t="shared" ref="S47:V47" si="39">STDEV(S28:S43)</f>
        <v>#DIV/0!</v>
      </c>
      <c r="T47" s="8" t="e">
        <f t="shared" si="39"/>
        <v>#DIV/0!</v>
      </c>
      <c r="U47" s="8" t="e">
        <f t="shared" si="39"/>
        <v>#DIV/0!</v>
      </c>
      <c r="V47" s="8" t="e">
        <f t="shared" si="39"/>
        <v>#DIV/0!</v>
      </c>
    </row>
    <row r="48" spans="1:22" x14ac:dyDescent="0.35">
      <c r="A48" s="8" t="s">
        <v>2</v>
      </c>
      <c r="B48" s="8">
        <f t="shared" ref="B48:J48" si="40" xml:space="preserve"> B47/SQRT(COUNT(B28:B43))</f>
        <v>2.976611413194827E-3</v>
      </c>
      <c r="C48" s="8">
        <f t="shared" si="40"/>
        <v>6.0536688301547157E-3</v>
      </c>
      <c r="D48" s="8">
        <f t="shared" si="40"/>
        <v>2.001684918838452E-2</v>
      </c>
      <c r="E48" s="8">
        <f t="shared" si="40"/>
        <v>3.7162355304393838E-2</v>
      </c>
      <c r="F48" s="8">
        <f t="shared" si="40"/>
        <v>9.4645655183023883E-2</v>
      </c>
      <c r="G48" s="8">
        <f t="shared" si="40"/>
        <v>0.15856495744528634</v>
      </c>
      <c r="H48" s="8">
        <f t="shared" si="40"/>
        <v>0.26818703569163732</v>
      </c>
      <c r="I48" s="8" t="e">
        <f t="shared" si="40"/>
        <v>#DIV/0!</v>
      </c>
      <c r="J48" s="8" t="e">
        <f t="shared" si="40"/>
        <v>#DIV/0!</v>
      </c>
      <c r="K48" s="8" t="e">
        <f t="shared" ref="K48:M48" si="41" xml:space="preserve"> K47/SQRT(COUNT(K28:K43))</f>
        <v>#DIV/0!</v>
      </c>
      <c r="L48" s="8" t="e">
        <f t="shared" si="41"/>
        <v>#DIV/0!</v>
      </c>
      <c r="M48" s="8" t="e">
        <f t="shared" si="41"/>
        <v>#DIV/0!</v>
      </c>
      <c r="N48" s="8" t="s">
        <v>2</v>
      </c>
      <c r="O48" s="8">
        <f t="shared" ref="O48:R48" si="42" xml:space="preserve"> O47/SQRT(COUNT(O28:O43))</f>
        <v>8.1007794965931537E-2</v>
      </c>
      <c r="P48" s="8">
        <f t="shared" si="42"/>
        <v>7.570853782475713E-2</v>
      </c>
      <c r="Q48" s="8">
        <f t="shared" si="42"/>
        <v>1.775509872864968E-3</v>
      </c>
      <c r="R48" s="8" t="e">
        <f t="shared" si="42"/>
        <v>#DIV/0!</v>
      </c>
      <c r="S48" s="8" t="e">
        <f t="shared" ref="S48:V48" si="43" xml:space="preserve"> S47/SQRT(COUNT(S28:S43))</f>
        <v>#DIV/0!</v>
      </c>
      <c r="T48" s="8" t="e">
        <f t="shared" si="43"/>
        <v>#DIV/0!</v>
      </c>
      <c r="U48" s="8" t="e">
        <f t="shared" si="43"/>
        <v>#DIV/0!</v>
      </c>
      <c r="V48" s="8" t="e">
        <f t="shared" si="43"/>
        <v>#DIV/0!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customFormat="1" ht="15" thickBot="1" x14ac:dyDescent="0.4"/>
    <row r="52" spans="1:22" x14ac:dyDescent="0.35">
      <c r="A52" s="29" t="str">
        <f t="shared" ref="A52" si="44">A27</f>
        <v>Group names</v>
      </c>
      <c r="B52" s="30" t="str">
        <f t="shared" ref="B52:H52" si="45">B27</f>
        <v>Solvent control</v>
      </c>
      <c r="C52" s="30" t="str">
        <f t="shared" si="45"/>
        <v>EE2-33.8ng/L</v>
      </c>
      <c r="D52" s="30" t="str">
        <f t="shared" si="45"/>
        <v>EE2-50.6ng/L</v>
      </c>
      <c r="E52" s="30" t="str">
        <f t="shared" si="45"/>
        <v>EE2-76ng/L</v>
      </c>
      <c r="F52" s="30" t="str">
        <f t="shared" si="45"/>
        <v>EE2-114ng/L</v>
      </c>
      <c r="G52" s="30" t="str">
        <f t="shared" si="45"/>
        <v>EE2-170.9ng/L</v>
      </c>
      <c r="H52" s="30" t="str">
        <f t="shared" si="45"/>
        <v>EE2-488ng/L</v>
      </c>
      <c r="I52" s="30" t="str">
        <f>I4</f>
        <v/>
      </c>
      <c r="J52" s="30" t="str">
        <f>J4</f>
        <v/>
      </c>
      <c r="K52" s="30" t="str">
        <f t="shared" ref="K52:M52" si="46">K4</f>
        <v/>
      </c>
      <c r="L52" s="30" t="str">
        <f t="shared" si="46"/>
        <v/>
      </c>
      <c r="M52" s="30" t="str">
        <f t="shared" si="46"/>
        <v/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0-00 + Testostérone</v>
      </c>
      <c r="S52" s="30" t="str">
        <f t="shared" ref="S52:V52" si="47">S27</f>
        <v>0-00 + Testostérone</v>
      </c>
      <c r="T52" s="30" t="str">
        <f t="shared" si="47"/>
        <v>0-00 + Testostérone</v>
      </c>
      <c r="U52" s="30" t="str">
        <f t="shared" si="47"/>
        <v>0-00 + Testostérone</v>
      </c>
      <c r="V52" s="30" t="str">
        <f t="shared" si="47"/>
        <v>0-00 + Testostérone</v>
      </c>
    </row>
    <row r="53" spans="1:22" s="3" customFormat="1" x14ac:dyDescent="0.35">
      <c r="A53" s="45" t="s">
        <v>10</v>
      </c>
      <c r="B53" s="78">
        <f t="shared" ref="B53" si="48">B46</f>
        <v>1.3804512682693608E-2</v>
      </c>
      <c r="C53" s="78">
        <f t="shared" ref="C53:V53" si="49">C46</f>
        <v>2.2619061449633229E-2</v>
      </c>
      <c r="D53" s="78">
        <f t="shared" si="49"/>
        <v>4.8111226409571127E-2</v>
      </c>
      <c r="E53" s="78">
        <f t="shared" si="49"/>
        <v>0.1042698271737407</v>
      </c>
      <c r="F53" s="78">
        <f t="shared" si="49"/>
        <v>0.71369316841837482</v>
      </c>
      <c r="G53" s="78">
        <f t="shared" si="49"/>
        <v>1.013609757457929</v>
      </c>
      <c r="H53" s="78">
        <f t="shared" si="49"/>
        <v>2.7209139833971738</v>
      </c>
      <c r="I53" s="78" t="e">
        <f t="shared" si="49"/>
        <v>#DIV/0!</v>
      </c>
      <c r="J53" s="78" t="e">
        <f t="shared" si="49"/>
        <v>#DIV/0!</v>
      </c>
      <c r="K53" s="78" t="e">
        <f t="shared" si="49"/>
        <v>#DIV/0!</v>
      </c>
      <c r="L53" s="78" t="e">
        <f t="shared" si="49"/>
        <v>#DIV/0!</v>
      </c>
      <c r="M53" s="78" t="e">
        <f t="shared" si="49"/>
        <v>#DIV/0!</v>
      </c>
      <c r="N53" s="78"/>
      <c r="O53" s="78">
        <f t="shared" si="49"/>
        <v>1</v>
      </c>
      <c r="P53" s="78">
        <f t="shared" si="49"/>
        <v>1.5204671827277616</v>
      </c>
      <c r="Q53" s="78">
        <f t="shared" si="49"/>
        <v>1.3324399489258809E-2</v>
      </c>
      <c r="R53" s="78" t="e">
        <f t="shared" si="49"/>
        <v>#DIV/0!</v>
      </c>
      <c r="S53" s="78" t="e">
        <f t="shared" si="49"/>
        <v>#DIV/0!</v>
      </c>
      <c r="T53" s="78" t="e">
        <f t="shared" si="49"/>
        <v>#DIV/0!</v>
      </c>
      <c r="U53" s="78" t="e">
        <f t="shared" si="49"/>
        <v>#DIV/0!</v>
      </c>
      <c r="V53" s="78" t="e">
        <f t="shared" si="49"/>
        <v>#DIV/0!</v>
      </c>
    </row>
    <row r="54" spans="1:22" s="3" customFormat="1" x14ac:dyDescent="0.35">
      <c r="A54" s="45" t="s">
        <v>2</v>
      </c>
      <c r="B54" s="78">
        <f t="shared" ref="B54" si="50">B48</f>
        <v>2.976611413194827E-3</v>
      </c>
      <c r="C54" s="78">
        <f t="shared" ref="C54:V54" si="51">C48</f>
        <v>6.0536688301547157E-3</v>
      </c>
      <c r="D54" s="78">
        <f t="shared" si="51"/>
        <v>2.001684918838452E-2</v>
      </c>
      <c r="E54" s="78">
        <f t="shared" si="51"/>
        <v>3.7162355304393838E-2</v>
      </c>
      <c r="F54" s="78">
        <f t="shared" si="51"/>
        <v>9.4645655183023883E-2</v>
      </c>
      <c r="G54" s="78">
        <f t="shared" si="51"/>
        <v>0.15856495744528634</v>
      </c>
      <c r="H54" s="78">
        <f t="shared" si="51"/>
        <v>0.26818703569163732</v>
      </c>
      <c r="I54" s="78" t="e">
        <f t="shared" si="51"/>
        <v>#DIV/0!</v>
      </c>
      <c r="J54" s="78" t="e">
        <f t="shared" si="51"/>
        <v>#DIV/0!</v>
      </c>
      <c r="K54" s="78" t="e">
        <f t="shared" si="51"/>
        <v>#DIV/0!</v>
      </c>
      <c r="L54" s="78" t="e">
        <f t="shared" si="51"/>
        <v>#DIV/0!</v>
      </c>
      <c r="M54" s="78" t="e">
        <f t="shared" si="51"/>
        <v>#DIV/0!</v>
      </c>
      <c r="N54" s="78"/>
      <c r="O54" s="78">
        <f t="shared" si="51"/>
        <v>8.1007794965931537E-2</v>
      </c>
      <c r="P54" s="78">
        <f t="shared" si="51"/>
        <v>7.570853782475713E-2</v>
      </c>
      <c r="Q54" s="78">
        <f t="shared" si="51"/>
        <v>1.775509872864968E-3</v>
      </c>
      <c r="R54" s="78" t="e">
        <f t="shared" si="51"/>
        <v>#DIV/0!</v>
      </c>
      <c r="S54" s="78" t="e">
        <f t="shared" si="51"/>
        <v>#DIV/0!</v>
      </c>
      <c r="T54" s="78" t="e">
        <f t="shared" si="51"/>
        <v>#DIV/0!</v>
      </c>
      <c r="U54" s="78" t="e">
        <f t="shared" si="51"/>
        <v>#DIV/0!</v>
      </c>
      <c r="V54" s="78" t="e">
        <f t="shared" si="51"/>
        <v>#DIV/0!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52">(C53*100/$B53)-100</f>
        <v>63.852661586455071</v>
      </c>
      <c r="D55" s="78">
        <f t="shared" si="52"/>
        <v>248.51810792196261</v>
      </c>
      <c r="E55" s="78">
        <f t="shared" si="52"/>
        <v>655.33145986718762</v>
      </c>
      <c r="F55" s="78">
        <f t="shared" si="52"/>
        <v>5069.9990055651524</v>
      </c>
      <c r="G55" s="78">
        <f t="shared" si="52"/>
        <v>7242.5971691754658</v>
      </c>
      <c r="H55" s="78">
        <f t="shared" si="52"/>
        <v>19610.322602030854</v>
      </c>
      <c r="I55" s="78" t="e">
        <f t="shared" si="52"/>
        <v>#DIV/0!</v>
      </c>
      <c r="J55" s="78" t="e">
        <f t="shared" si="52"/>
        <v>#DIV/0!</v>
      </c>
      <c r="K55" s="78" t="e">
        <f t="shared" si="52"/>
        <v>#DIV/0!</v>
      </c>
      <c r="L55" s="78" t="e">
        <f t="shared" si="52"/>
        <v>#DIV/0!</v>
      </c>
      <c r="M55" s="78" t="e">
        <f t="shared" si="52"/>
        <v>#DIV/0!</v>
      </c>
      <c r="N55" s="78"/>
      <c r="O55" s="78">
        <f t="shared" ref="O55:V55" si="53">(O53*100/$O53)-100</f>
        <v>0</v>
      </c>
      <c r="P55" s="78">
        <f t="shared" si="53"/>
        <v>52.046718272776161</v>
      </c>
      <c r="Q55" s="78">
        <f t="shared" si="53"/>
        <v>-98.667560051074119</v>
      </c>
      <c r="R55" s="78" t="e">
        <f t="shared" si="53"/>
        <v>#DIV/0!</v>
      </c>
      <c r="S55" s="78" t="e">
        <f t="shared" si="53"/>
        <v>#DIV/0!</v>
      </c>
      <c r="T55" s="78" t="e">
        <f t="shared" si="53"/>
        <v>#DIV/0!</v>
      </c>
      <c r="U55" s="78" t="e">
        <f t="shared" si="53"/>
        <v>#DIV/0!</v>
      </c>
      <c r="V55" s="78" t="e">
        <f t="shared" si="53"/>
        <v>#DIV/0!</v>
      </c>
    </row>
    <row r="56" spans="1:22" s="3" customFormat="1" x14ac:dyDescent="0.35">
      <c r="A56" s="45" t="s">
        <v>38</v>
      </c>
      <c r="B56" s="78">
        <f>[1]!SWTEST(B28:B43)</f>
        <v>0.73599931767795534</v>
      </c>
      <c r="C56" s="78">
        <f>[1]!SWTEST(C28:C43)</f>
        <v>0.35920601423744702</v>
      </c>
      <c r="D56" s="78">
        <f>[1]!SWTEST(D28:D43)</f>
        <v>1.0199475419278459E-2</v>
      </c>
      <c r="E56" s="78">
        <f>[1]!SWTEST(E28:E43)</f>
        <v>1.663044099859734E-3</v>
      </c>
      <c r="F56" s="78">
        <f>[1]!SWTEST(F28:F43)</f>
        <v>0.8735426425892614</v>
      </c>
      <c r="G56" s="78">
        <f>[1]!SWTEST(G28:G43)</f>
        <v>0.13216734321186696</v>
      </c>
      <c r="H56" s="78">
        <f>[1]!SWTEST(H28:H43)</f>
        <v>0.58822914984736774</v>
      </c>
      <c r="I56" s="78" t="e">
        <f>[1]!SWTEST(I28:I43)</f>
        <v>#VALUE!</v>
      </c>
      <c r="J56" s="78" t="e">
        <f>[1]!SWTEST(J28:J43)</f>
        <v>#VALUE!</v>
      </c>
      <c r="K56" s="78" t="e">
        <f>[1]!SWTEST(K28:K43)</f>
        <v>#VALUE!</v>
      </c>
      <c r="L56" s="78" t="e">
        <f>[1]!SWTEST(L28:L43)</f>
        <v>#VALUE!</v>
      </c>
      <c r="M56" s="78" t="e">
        <f>[1]!SWTEST(M28:M43)</f>
        <v>#VALUE!</v>
      </c>
      <c r="N56" s="78"/>
      <c r="O56" s="78">
        <f>[1]!SWTEST(O28:O43)</f>
        <v>0.96144231581851924</v>
      </c>
      <c r="P56" s="78">
        <f>[1]!SWTEST(P28:P43)</f>
        <v>0.23559724401246285</v>
      </c>
      <c r="Q56" s="78">
        <f>[1]!SWTEST(Q28:Q43)</f>
        <v>0.70351344211634625</v>
      </c>
      <c r="R56" s="78" t="e">
        <f>[1]!SWTEST(R28:R43)</f>
        <v>#VALUE!</v>
      </c>
      <c r="S56" s="78" t="e">
        <f>[1]!SWTEST(S28:S43)</f>
        <v>#VALUE!</v>
      </c>
      <c r="T56" s="78" t="e">
        <f>[1]!SWTEST(T28:T43)</f>
        <v>#VALUE!</v>
      </c>
      <c r="U56" s="78" t="e">
        <f>[1]!SWTEST(U28:U43)</f>
        <v>#VALUE!</v>
      </c>
      <c r="V56" s="78" t="e">
        <f>[1]!SWTEST(V28:V43)</f>
        <v>#VALUE!</v>
      </c>
    </row>
    <row r="57" spans="1:22" s="3" customFormat="1" x14ac:dyDescent="0.35">
      <c r="A57" s="45" t="s">
        <v>39</v>
      </c>
      <c r="B57" s="78" t="str">
        <f>IF(B56&gt;0.05,"Oui","Non")</f>
        <v>Oui</v>
      </c>
      <c r="C57" s="78" t="str">
        <f t="shared" ref="C57:V57" si="54">IF(C56&gt;0.05,"Oui","Non")</f>
        <v>Oui</v>
      </c>
      <c r="D57" s="78" t="str">
        <f t="shared" si="54"/>
        <v>Non</v>
      </c>
      <c r="E57" s="78" t="str">
        <f t="shared" si="54"/>
        <v>Non</v>
      </c>
      <c r="F57" s="78" t="str">
        <f t="shared" si="54"/>
        <v>Oui</v>
      </c>
      <c r="G57" s="78" t="str">
        <f t="shared" si="54"/>
        <v>Oui</v>
      </c>
      <c r="H57" s="78" t="str">
        <f t="shared" si="54"/>
        <v>Oui</v>
      </c>
      <c r="I57" s="78" t="e">
        <f t="shared" si="54"/>
        <v>#VALUE!</v>
      </c>
      <c r="J57" s="78" t="e">
        <f t="shared" si="54"/>
        <v>#VALUE!</v>
      </c>
      <c r="K57" s="78" t="e">
        <f t="shared" si="54"/>
        <v>#VALUE!</v>
      </c>
      <c r="L57" s="78" t="e">
        <f t="shared" si="54"/>
        <v>#VALUE!</v>
      </c>
      <c r="M57" s="78" t="e">
        <f t="shared" si="54"/>
        <v>#VALUE!</v>
      </c>
      <c r="N57" s="78"/>
      <c r="O57" s="78" t="str">
        <f t="shared" si="54"/>
        <v>Oui</v>
      </c>
      <c r="P57" s="78" t="str">
        <f t="shared" si="54"/>
        <v>Oui</v>
      </c>
      <c r="Q57" s="78" t="str">
        <f t="shared" si="54"/>
        <v>Oui</v>
      </c>
      <c r="R57" s="78" t="e">
        <f t="shared" si="54"/>
        <v>#VALUE!</v>
      </c>
      <c r="S57" s="78" t="e">
        <f t="shared" si="54"/>
        <v>#VALUE!</v>
      </c>
      <c r="T57" s="78" t="e">
        <f t="shared" si="54"/>
        <v>#VALUE!</v>
      </c>
      <c r="U57" s="78" t="e">
        <f t="shared" si="54"/>
        <v>#VALUE!</v>
      </c>
      <c r="V57" s="78" t="e">
        <f t="shared" si="54"/>
        <v>#VALUE!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O59" si="55">IF($B57="Non",IF(C57="Non","MW",IF(C57="Oui","MW","")),IF($B57="Oui",IF(C57="Oui","T-Test Welch",IF(C57="Non","MW",""))))</f>
        <v>T-Test Welch</v>
      </c>
      <c r="D59" s="82" t="str">
        <f t="shared" si="55"/>
        <v>MW</v>
      </c>
      <c r="E59" s="82" t="str">
        <f t="shared" si="55"/>
        <v>MW</v>
      </c>
      <c r="F59" s="82" t="str">
        <f t="shared" si="55"/>
        <v>T-Test Welch</v>
      </c>
      <c r="G59" s="82" t="str">
        <f t="shared" si="55"/>
        <v>T-Test Welch</v>
      </c>
      <c r="H59" s="82" t="str">
        <f t="shared" si="55"/>
        <v>T-Test Welch</v>
      </c>
      <c r="I59" s="82" t="e">
        <f t="shared" si="55"/>
        <v>#VALUE!</v>
      </c>
      <c r="J59" s="82" t="e">
        <f t="shared" si="55"/>
        <v>#VALUE!</v>
      </c>
      <c r="K59" s="82" t="e">
        <f t="shared" si="55"/>
        <v>#VALUE!</v>
      </c>
      <c r="L59" s="82" t="e">
        <f t="shared" si="55"/>
        <v>#VALUE!</v>
      </c>
      <c r="M59" s="82" t="e">
        <f t="shared" si="55"/>
        <v>#VALUE!</v>
      </c>
      <c r="N59" s="82"/>
      <c r="O59" s="82" t="str">
        <f t="shared" si="55"/>
        <v>T-Test Welch</v>
      </c>
      <c r="P59" s="82" t="str">
        <f t="shared" ref="P59:V59" si="56">IF($O57="Non",IF(P57="Non","MW",IF(P57="Oui","MW","")),IF($O57="Oui",IF(P57="Oui","T-Test Welch",IF(P57="Non","MW",""))))</f>
        <v>T-Test Welch</v>
      </c>
      <c r="Q59" s="82" t="str">
        <f t="shared" si="56"/>
        <v>T-Test Welch</v>
      </c>
      <c r="R59" s="82" t="e">
        <f t="shared" si="56"/>
        <v>#VALUE!</v>
      </c>
      <c r="S59" s="82" t="e">
        <f t="shared" si="56"/>
        <v>#VALUE!</v>
      </c>
      <c r="T59" s="82" t="e">
        <f t="shared" si="56"/>
        <v>#VALUE!</v>
      </c>
      <c r="U59" s="82" t="e">
        <f t="shared" si="56"/>
        <v>#VALUE!</v>
      </c>
      <c r="V59" s="82" t="e">
        <f t="shared" si="56"/>
        <v>#VALUE!</v>
      </c>
    </row>
    <row r="60" spans="1:22" s="3" customFormat="1" x14ac:dyDescent="0.35">
      <c r="A60" s="45" t="s">
        <v>41</v>
      </c>
      <c r="B60" s="83"/>
      <c r="C60" s="83">
        <f>IF(C59="MW",[1]!MTEST($B28:$B43,C28:C43,2), IF(C59="T-Test Welch",_xlfn.T.TEST($B28:$B43,C28:C43,2,3),""))</f>
        <v>0.22002889914807783</v>
      </c>
      <c r="D60" s="83">
        <f>IF(D59="MW",[1]!MTEST($B28:$B43,D28:D43,2), IF(D59="T-Test Welch",_xlfn.T.TEST($B28:$B43,D28:D43,2,3),""))</f>
        <v>0.40081416938293457</v>
      </c>
      <c r="E60" s="83">
        <f>IF(E59="MW",[1]!MTEST($B28:$B43,E28:E43,2), IF(E59="T-Test Welch",_xlfn.T.TEST($B28:$B43,E28:E43,2,3),""))</f>
        <v>7.7753044694039986E-4</v>
      </c>
      <c r="F60" s="83">
        <f>IF(F59="MW",[1]!MTEST($B28:$B43,F28:F43,2), IF(F59="T-Test Welch",_xlfn.T.TEST($B28:$B43,F28:F43,2,3),""))</f>
        <v>1.4909101881289426E-4</v>
      </c>
      <c r="G60" s="83">
        <f>IF(G59="MW",[1]!MTEST($B28:$B43,G28:G43,2), IF(G59="T-Test Welch",_xlfn.T.TEST($B28:$B43,G28:G43,2,3),""))</f>
        <v>4.0137476545168811E-4</v>
      </c>
      <c r="H60" s="83">
        <f>IF(H59="MW",[1]!MTEST($B28:$B43,H28:H43,2), IF(H59="T-Test Welch",_xlfn.T.TEST($B28:$B43,H28:H43,2,3),""))</f>
        <v>2.0087061314822403E-5</v>
      </c>
      <c r="I60" s="83" t="e">
        <f>IF(I59="MW",[1]!MTEST($B28:$B43,I28:I43,2), IF(I59="T-Test Welch",_xlfn.T.TEST($B28:$B43,I28:I43,2,3),""))</f>
        <v>#VALUE!</v>
      </c>
      <c r="J60" s="83" t="e">
        <f>IF(J59="MW",[1]!MTEST($B28:$B43,J28:J43,2), IF(J59="T-Test Welch",_xlfn.T.TEST($B28:$B43,J28:J43,2,3),""))</f>
        <v>#VALUE!</v>
      </c>
      <c r="K60" s="83" t="e">
        <f>IF(K59="MW",[1]!MTEST($B28:$B43,K28:K43,2), IF(K59="T-Test Welch",_xlfn.T.TEST($B28:$B43,K28:K43,2,3),""))</f>
        <v>#VALUE!</v>
      </c>
      <c r="L60" s="83" t="e">
        <f>IF(L59="MW",[1]!MTEST($B28:$B43,L28:L43,2), IF(L59="T-Test Welch",_xlfn.T.TEST($B28:$B43,L28:L43,2,3),""))</f>
        <v>#VALUE!</v>
      </c>
      <c r="M60" s="83" t="e">
        <f>IF(M59="MW",[1]!MTEST($B28:$B43,M28:M43,2), IF(M59="T-Test Welch",_xlfn.T.TEST($B28:$B43,M28:M43,2,3),""))</f>
        <v>#VALUE!</v>
      </c>
      <c r="N60" s="83"/>
      <c r="O60" s="83">
        <f>IF(O59="MW",[1]!MTEST($B28:$B43,O28:O43,2), IF(O59="T-Test Welch",_xlfn.T.TEST($B28:$B43,O28:O43,2,3),""))</f>
        <v>3.4728478872836348E-9</v>
      </c>
      <c r="P60" s="83">
        <f>IF(P59="MW",[1]!MTEST($O28:$O43,P28:P43,2), IF(P59="T-Test Welch",_xlfn.T.TEST($O28:$O43,P28:P43,2,3),""))</f>
        <v>1.396541571208628E-4</v>
      </c>
      <c r="Q60" s="83">
        <f>IF(Q59="MW",[1]!MTEST($O28:$O43,Q28:Q43,2), IF(Q59="T-Test Welch",_xlfn.T.TEST($O28:$O43,Q28:Q43,2,3),""))</f>
        <v>3.4985279716144458E-9</v>
      </c>
      <c r="R60" s="83" t="e">
        <f>IF(R59="MW",[1]!MTEST($O28:$O43,R28:R43,2), IF(R59="T-Test Welch",_xlfn.T.TEST($O28:$O43,R28:R43,2,3),""))</f>
        <v>#VALUE!</v>
      </c>
      <c r="S60" s="83" t="e">
        <f>IF(S59="MW",[1]!MTEST($O28:$O43,S28:S43,2), IF(S59="T-Test Welch",_xlfn.T.TEST($O28:$O43,S28:S43,2,3),""))</f>
        <v>#VALUE!</v>
      </c>
      <c r="T60" s="83" t="e">
        <f>IF(T59="MW",[1]!MTEST($O28:$O43,T28:T43,2), IF(T59="T-Test Welch",_xlfn.T.TEST($O28:$O43,T28:T43,2,3),""))</f>
        <v>#VALUE!</v>
      </c>
      <c r="U60" s="83" t="e">
        <f>IF(U59="MW",[1]!MTEST($O28:$O43,U28:U43,2), IF(U59="T-Test Welch",_xlfn.T.TEST($O28:$O43,U28:U43,2,3),""))</f>
        <v>#VALUE!</v>
      </c>
      <c r="V60" s="83" t="e">
        <f>IF(V59="MW",[1]!MTEST($O28:$O43,V28:V43,2), IF(V59="T-Test Welch",_xlfn.T.TEST($O28:$O43,V28:V43,2,3),""))</f>
        <v>#VALUE!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57">IF(C60&gt;0.05,"NS",IF(C60&gt;0.01,"*",IF(C60&gt;0.001,"**","***")))</f>
        <v>NS</v>
      </c>
      <c r="D61" s="79" t="str">
        <f t="shared" si="57"/>
        <v>NS</v>
      </c>
      <c r="E61" s="79" t="str">
        <f t="shared" si="57"/>
        <v>***</v>
      </c>
      <c r="F61" s="79" t="str">
        <f t="shared" si="57"/>
        <v>***</v>
      </c>
      <c r="G61" s="79" t="str">
        <f t="shared" si="57"/>
        <v>***</v>
      </c>
      <c r="H61" s="79" t="str">
        <f t="shared" si="57"/>
        <v>***</v>
      </c>
      <c r="I61" s="79" t="e">
        <f t="shared" si="57"/>
        <v>#VALUE!</v>
      </c>
      <c r="J61" s="79" t="e">
        <f t="shared" si="57"/>
        <v>#VALUE!</v>
      </c>
      <c r="K61" s="79" t="e">
        <f t="shared" si="57"/>
        <v>#VALUE!</v>
      </c>
      <c r="L61" s="79" t="e">
        <f t="shared" si="57"/>
        <v>#VALUE!</v>
      </c>
      <c r="M61" s="79" t="e">
        <f t="shared" si="57"/>
        <v>#VALUE!</v>
      </c>
      <c r="N61" s="79"/>
      <c r="O61" s="79" t="str">
        <f t="shared" si="57"/>
        <v>***</v>
      </c>
      <c r="P61" s="79" t="str">
        <f>IF(P60&gt;0.05,"NS",IF(P60&gt;0.01,"*",IF(P60&gt;0.001,"**","***")))</f>
        <v>***</v>
      </c>
      <c r="Q61" s="79" t="str">
        <f t="shared" ref="Q61:V61" si="58">IF(Q60&gt;0.05,"NS",IF(Q60&gt;0.01,"*",IF(Q60&gt;0.001,"**","***")))</f>
        <v>***</v>
      </c>
      <c r="R61" s="79" t="e">
        <f t="shared" si="58"/>
        <v>#VALUE!</v>
      </c>
      <c r="S61" s="79" t="e">
        <f t="shared" si="58"/>
        <v>#VALUE!</v>
      </c>
      <c r="T61" s="79" t="e">
        <f t="shared" si="58"/>
        <v>#VALUE!</v>
      </c>
      <c r="U61" s="79" t="e">
        <f t="shared" si="58"/>
        <v>#VALUE!</v>
      </c>
      <c r="V61" s="79" t="e">
        <f t="shared" si="58"/>
        <v>#VALUE!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J1" zoomScale="70" zoomScaleNormal="70" zoomScaleSheetLayoutView="40" zoomScalePageLayoutView="30" workbookViewId="0">
      <selection activeCell="Q5" sqref="Q5:Q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/>
    <row r="3" spans="1:22" ht="15" thickBot="1" x14ac:dyDescent="0.4">
      <c r="A3" s="84" t="s">
        <v>9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/>
      </c>
      <c r="J4" s="20" t="str">
        <f>'Front page'!A15</f>
        <v/>
      </c>
      <c r="K4" s="20" t="str">
        <f>'Front page'!A16</f>
        <v/>
      </c>
      <c r="L4" s="20" t="str">
        <f>'Front page'!A17</f>
        <v/>
      </c>
      <c r="M4" s="20" t="str">
        <f>'Front page'!A18</f>
        <v/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0-00 + Testostérone</v>
      </c>
      <c r="S4" s="21" t="str">
        <f>'Front page'!A39</f>
        <v>0-00 + Testostérone</v>
      </c>
      <c r="T4" s="21" t="str">
        <f>'Front page'!A40</f>
        <v>0-00 + Testostérone</v>
      </c>
      <c r="U4" s="21" t="str">
        <f>'Front page'!A41</f>
        <v>0-00 + Testostérone</v>
      </c>
      <c r="V4" s="21" t="str">
        <f>'Front page'!A42</f>
        <v>0-00 + Testostérone</v>
      </c>
    </row>
    <row r="5" spans="1:22" x14ac:dyDescent="0.35">
      <c r="A5" s="138" t="s">
        <v>35</v>
      </c>
      <c r="B5" s="17">
        <v>33298</v>
      </c>
      <c r="C5" s="17">
        <v>42656</v>
      </c>
      <c r="D5" s="17">
        <v>55230</v>
      </c>
      <c r="E5" s="17">
        <v>1666467</v>
      </c>
      <c r="F5" s="17">
        <v>3192997</v>
      </c>
      <c r="G5" s="17">
        <v>2927137</v>
      </c>
      <c r="H5" s="17">
        <v>6248301</v>
      </c>
      <c r="I5" s="17"/>
      <c r="J5" s="17"/>
      <c r="K5" s="13"/>
      <c r="L5" s="13"/>
      <c r="M5" s="13"/>
      <c r="N5" s="3"/>
      <c r="O5" s="17">
        <v>1950149</v>
      </c>
      <c r="P5" s="13">
        <v>3815865</v>
      </c>
      <c r="Q5" s="13">
        <v>7085</v>
      </c>
      <c r="R5" s="17"/>
      <c r="S5" s="17"/>
      <c r="T5" s="17"/>
      <c r="U5" s="17"/>
      <c r="V5" s="17"/>
    </row>
    <row r="6" spans="1:22" ht="16.5" x14ac:dyDescent="0.35">
      <c r="A6" s="139"/>
      <c r="B6" s="14">
        <v>39902</v>
      </c>
      <c r="C6" s="13">
        <v>27920</v>
      </c>
      <c r="D6" s="17">
        <v>100111</v>
      </c>
      <c r="E6" s="17">
        <v>1271819</v>
      </c>
      <c r="F6" s="17">
        <v>1930408</v>
      </c>
      <c r="G6" s="17">
        <v>1713728</v>
      </c>
      <c r="H6" s="17">
        <v>8796415</v>
      </c>
      <c r="I6" s="17"/>
      <c r="J6" s="17"/>
      <c r="K6" s="13"/>
      <c r="L6" s="13"/>
      <c r="M6" s="13"/>
      <c r="N6" s="3"/>
      <c r="O6" s="17">
        <v>1948735</v>
      </c>
      <c r="P6" s="13">
        <v>3571623</v>
      </c>
      <c r="Q6" s="13">
        <v>30952</v>
      </c>
      <c r="R6" s="17"/>
      <c r="S6" s="17"/>
      <c r="T6" s="17"/>
      <c r="U6" s="17"/>
      <c r="V6" s="17"/>
    </row>
    <row r="7" spans="1:22" ht="16.5" x14ac:dyDescent="0.35">
      <c r="A7" s="139"/>
      <c r="B7" s="14">
        <v>1835</v>
      </c>
      <c r="C7" s="13">
        <v>7937</v>
      </c>
      <c r="D7" s="17">
        <v>113718</v>
      </c>
      <c r="E7" s="17">
        <v>866893</v>
      </c>
      <c r="F7" s="17">
        <v>3069752</v>
      </c>
      <c r="G7" s="17">
        <v>2316748</v>
      </c>
      <c r="H7" s="17">
        <v>4890450</v>
      </c>
      <c r="I7" s="17"/>
      <c r="J7" s="17"/>
      <c r="K7" s="13"/>
      <c r="L7" s="13"/>
      <c r="M7" s="13"/>
      <c r="N7" s="3"/>
      <c r="O7" s="17">
        <v>1938092</v>
      </c>
      <c r="P7" s="13">
        <v>3280312</v>
      </c>
      <c r="Q7" s="13">
        <v>43812</v>
      </c>
      <c r="R7" s="17"/>
      <c r="S7" s="17"/>
      <c r="T7" s="17"/>
      <c r="U7" s="17"/>
      <c r="V7" s="17"/>
    </row>
    <row r="8" spans="1:22" ht="16.5" x14ac:dyDescent="0.35">
      <c r="A8" s="139"/>
      <c r="B8" s="14">
        <v>16758</v>
      </c>
      <c r="C8" s="13">
        <v>60641</v>
      </c>
      <c r="D8" s="17">
        <v>56665</v>
      </c>
      <c r="E8" s="17">
        <v>1347945</v>
      </c>
      <c r="F8" s="17">
        <v>5468555</v>
      </c>
      <c r="G8" s="17">
        <v>2305939</v>
      </c>
      <c r="H8" s="17">
        <v>8092615</v>
      </c>
      <c r="I8" s="17"/>
      <c r="J8" s="17"/>
      <c r="K8" s="13"/>
      <c r="L8" s="13"/>
      <c r="M8" s="13"/>
      <c r="N8" s="3"/>
      <c r="O8" s="17">
        <v>1935757</v>
      </c>
      <c r="P8" s="13">
        <v>3750603</v>
      </c>
      <c r="Q8" s="13">
        <v>117906</v>
      </c>
      <c r="R8" s="17"/>
      <c r="S8" s="17"/>
      <c r="T8" s="17"/>
      <c r="U8" s="17"/>
      <c r="V8" s="17"/>
    </row>
    <row r="9" spans="1:22" ht="16.5" x14ac:dyDescent="0.35">
      <c r="A9" s="139"/>
      <c r="B9" s="14">
        <v>19799</v>
      </c>
      <c r="C9" s="13">
        <v>17118</v>
      </c>
      <c r="D9" s="17">
        <v>21918</v>
      </c>
      <c r="E9" s="17">
        <v>1119940</v>
      </c>
      <c r="F9" s="17">
        <v>2907950</v>
      </c>
      <c r="G9" s="17">
        <v>2855299</v>
      </c>
      <c r="H9" s="17">
        <v>6536120</v>
      </c>
      <c r="I9" s="17"/>
      <c r="J9" s="17"/>
      <c r="K9" s="13"/>
      <c r="L9" s="13"/>
      <c r="M9" s="13"/>
      <c r="N9" s="3"/>
      <c r="O9" s="17">
        <v>4257890</v>
      </c>
      <c r="P9" s="13">
        <v>3340395</v>
      </c>
      <c r="Q9" s="13">
        <v>32884</v>
      </c>
      <c r="R9" s="17"/>
      <c r="S9" s="17"/>
      <c r="T9" s="17"/>
      <c r="U9" s="17"/>
      <c r="V9" s="17"/>
    </row>
    <row r="10" spans="1:22" ht="16.5" x14ac:dyDescent="0.35">
      <c r="A10" s="139"/>
      <c r="B10" s="14">
        <v>422</v>
      </c>
      <c r="C10" s="13">
        <v>27467</v>
      </c>
      <c r="D10" s="17">
        <v>30331</v>
      </c>
      <c r="E10" s="17">
        <v>1186472</v>
      </c>
      <c r="F10" s="17">
        <v>3711475</v>
      </c>
      <c r="G10" s="17">
        <v>1887435</v>
      </c>
      <c r="H10" s="17">
        <v>8615534</v>
      </c>
      <c r="I10" s="17"/>
      <c r="J10" s="17"/>
      <c r="K10" s="13"/>
      <c r="L10" s="13"/>
      <c r="M10" s="13"/>
      <c r="N10" s="3"/>
      <c r="O10" s="17">
        <v>2867482</v>
      </c>
      <c r="P10" s="13">
        <v>4574119</v>
      </c>
      <c r="Q10" s="13">
        <v>27979</v>
      </c>
      <c r="R10" s="17"/>
      <c r="S10" s="17"/>
      <c r="T10" s="17"/>
      <c r="U10" s="17"/>
      <c r="V10" s="17"/>
    </row>
    <row r="11" spans="1:22" ht="16.5" x14ac:dyDescent="0.35">
      <c r="A11" s="139"/>
      <c r="B11" s="14">
        <v>28958</v>
      </c>
      <c r="C11" s="13">
        <v>70845</v>
      </c>
      <c r="D11" s="17">
        <v>46748</v>
      </c>
      <c r="E11" s="17">
        <v>1838088</v>
      </c>
      <c r="F11" s="17">
        <v>2722659</v>
      </c>
      <c r="G11" s="17">
        <v>2211214</v>
      </c>
      <c r="H11" s="17">
        <v>6265676</v>
      </c>
      <c r="I11" s="17"/>
      <c r="J11" s="17"/>
      <c r="K11" s="13"/>
      <c r="L11" s="13"/>
      <c r="M11" s="13"/>
      <c r="N11" s="3"/>
      <c r="O11" s="17">
        <v>1803452</v>
      </c>
      <c r="P11" s="13">
        <v>2099808</v>
      </c>
      <c r="Q11" s="13">
        <v>42676</v>
      </c>
      <c r="R11" s="17"/>
      <c r="S11" s="17"/>
      <c r="T11" s="17"/>
      <c r="U11" s="17"/>
      <c r="V11" s="17"/>
    </row>
    <row r="12" spans="1:22" ht="16.5" x14ac:dyDescent="0.35">
      <c r="A12" s="139"/>
      <c r="B12" s="14">
        <v>10371</v>
      </c>
      <c r="C12" s="13">
        <v>45757</v>
      </c>
      <c r="D12" s="17">
        <v>13395</v>
      </c>
      <c r="E12" s="17">
        <v>433215</v>
      </c>
      <c r="F12" s="17">
        <v>4419874</v>
      </c>
      <c r="G12" s="17">
        <v>3754386</v>
      </c>
      <c r="H12" s="17">
        <v>6008420</v>
      </c>
      <c r="I12" s="17"/>
      <c r="J12" s="17"/>
      <c r="K12" s="13"/>
      <c r="L12" s="13"/>
      <c r="M12" s="13"/>
      <c r="N12" s="3"/>
      <c r="O12" s="17">
        <v>1946995</v>
      </c>
      <c r="P12" s="13">
        <v>3895621</v>
      </c>
      <c r="Q12" s="13">
        <v>25595</v>
      </c>
      <c r="R12" s="17"/>
      <c r="S12" s="17"/>
      <c r="T12" s="17"/>
      <c r="U12" s="17"/>
      <c r="V12" s="17"/>
    </row>
    <row r="13" spans="1:22" ht="16.5" x14ac:dyDescent="0.35">
      <c r="A13" s="139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1971639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2625907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3240113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543556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3058989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4228130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3469812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883475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/>
      </c>
      <c r="J22" s="3" t="str">
        <f t="shared" si="1"/>
        <v/>
      </c>
      <c r="K22" s="3" t="str">
        <f t="shared" si="1"/>
        <v/>
      </c>
      <c r="L22" s="3" t="str">
        <f t="shared" si="1"/>
        <v/>
      </c>
      <c r="M22" s="3" t="str">
        <f t="shared" si="1"/>
        <v/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0-00 + Testostérone</v>
      </c>
      <c r="S22" s="3" t="str">
        <f t="shared" si="1"/>
        <v>0-00 + Testostérone</v>
      </c>
      <c r="T22" s="3" t="str">
        <f t="shared" si="1"/>
        <v>0-00 + Testostérone</v>
      </c>
      <c r="U22" s="3" t="str">
        <f t="shared" si="1"/>
        <v>0-00 + Testostérone</v>
      </c>
      <c r="V22" s="3" t="str">
        <f t="shared" si="1"/>
        <v>0-00 + Testostérone</v>
      </c>
    </row>
    <row r="23" spans="1:22" x14ac:dyDescent="0.35">
      <c r="A23" s="5" t="s">
        <v>0</v>
      </c>
      <c r="B23" s="5">
        <f t="shared" ref="B23:J23" si="2">AVERAGE(B5:B20)</f>
        <v>18917.875</v>
      </c>
      <c r="C23" s="5">
        <f t="shared" si="2"/>
        <v>37542.625</v>
      </c>
      <c r="D23" s="5">
        <f t="shared" si="2"/>
        <v>54764.5</v>
      </c>
      <c r="E23" s="5">
        <f t="shared" si="2"/>
        <v>1216354.875</v>
      </c>
      <c r="F23" s="5">
        <f t="shared" si="2"/>
        <v>3427958.75</v>
      </c>
      <c r="G23" s="5">
        <f t="shared" si="2"/>
        <v>2496485.75</v>
      </c>
      <c r="H23" s="5">
        <f t="shared" si="2"/>
        <v>6931691.375</v>
      </c>
      <c r="I23" s="5" t="e">
        <f t="shared" si="2"/>
        <v>#DIV/0!</v>
      </c>
      <c r="J23" s="5" t="e">
        <f t="shared" si="2"/>
        <v>#DIV/0!</v>
      </c>
      <c r="K23" s="5"/>
      <c r="L23" s="5" t="e">
        <f>AVERAGE(L5:L20)</f>
        <v>#DIV/0!</v>
      </c>
      <c r="M23" s="5"/>
      <c r="N23" s="5" t="s">
        <v>0</v>
      </c>
      <c r="O23" s="5">
        <f>AVERAGE(O5:O20)</f>
        <v>2416885.8125</v>
      </c>
      <c r="P23" s="5">
        <f>AVERAGE(P5:P20)</f>
        <v>3541043.25</v>
      </c>
      <c r="Q23" s="5">
        <f>AVERAGE(Q5:Q20)</f>
        <v>41111.125</v>
      </c>
      <c r="R23" s="5" t="e">
        <f>AVERAGE(R5:R20)</f>
        <v>#DIV/0!</v>
      </c>
      <c r="S23" s="5" t="e">
        <f>AVERAGE(S5:S20)</f>
        <v>#DIV/0!</v>
      </c>
      <c r="T23" s="5" t="e">
        <f t="shared" ref="T23:V23" si="3">AVERAGE(T5:T20)</f>
        <v>#DIV/0!</v>
      </c>
      <c r="U23" s="5" t="e">
        <f t="shared" si="3"/>
        <v>#DIV/0!</v>
      </c>
      <c r="V23" s="5" t="e">
        <f t="shared" si="3"/>
        <v>#DIV/0!</v>
      </c>
    </row>
    <row r="24" spans="1:22" x14ac:dyDescent="0.35">
      <c r="A24" s="3" t="s">
        <v>1</v>
      </c>
      <c r="B24" s="3">
        <f t="shared" ref="B24:J24" si="4">STDEV(B5:B20)</f>
        <v>14443.674497237289</v>
      </c>
      <c r="C24" s="3">
        <f t="shared" si="4"/>
        <v>21460.851859923256</v>
      </c>
      <c r="D24" s="3">
        <f t="shared" si="4"/>
        <v>35831.424958706688</v>
      </c>
      <c r="E24" s="3">
        <f t="shared" si="4"/>
        <v>439994.43408604211</v>
      </c>
      <c r="F24" s="3">
        <f t="shared" si="4"/>
        <v>1096901.1264643618</v>
      </c>
      <c r="G24" s="3">
        <f t="shared" si="4"/>
        <v>657936.89360557753</v>
      </c>
      <c r="H24" s="3">
        <f t="shared" si="4"/>
        <v>1401348.117578614</v>
      </c>
      <c r="I24" s="3" t="e">
        <f t="shared" si="4"/>
        <v>#DIV/0!</v>
      </c>
      <c r="J24" s="3" t="e">
        <f t="shared" si="4"/>
        <v>#DIV/0!</v>
      </c>
      <c r="K24" s="3"/>
      <c r="L24" s="3" t="e">
        <f>STDEV(L5:L20)</f>
        <v>#DIV/0!</v>
      </c>
      <c r="M24" s="3"/>
      <c r="N24" s="3" t="s">
        <v>1</v>
      </c>
      <c r="O24" s="3">
        <f>STDEV(O5:O20)</f>
        <v>1054168.7120170861</v>
      </c>
      <c r="P24" s="3">
        <f>STDEV(P5:P20)</f>
        <v>706980.28271490207</v>
      </c>
      <c r="Q24" s="3">
        <f>STDEV(Q5:Q20)</f>
        <v>33056.380012844289</v>
      </c>
      <c r="R24" s="3" t="e">
        <f>STDEV(R5:R20)</f>
        <v>#DIV/0!</v>
      </c>
      <c r="S24" s="3" t="e">
        <f>STDEV(S5:S20)</f>
        <v>#DIV/0!</v>
      </c>
      <c r="T24" s="3" t="e">
        <f t="shared" ref="T24:V24" si="5">STDEV(T5:T20)</f>
        <v>#DIV/0!</v>
      </c>
      <c r="U24" s="3" t="e">
        <f t="shared" si="5"/>
        <v>#DIV/0!</v>
      </c>
      <c r="V24" s="3" t="e">
        <f t="shared" si="5"/>
        <v>#DIV/0!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/>
      </c>
      <c r="J27" s="20" t="str">
        <f t="shared" si="6"/>
        <v/>
      </c>
      <c r="K27" s="20" t="str">
        <f t="shared" si="6"/>
        <v/>
      </c>
      <c r="L27" s="20" t="str">
        <f t="shared" si="6"/>
        <v/>
      </c>
      <c r="M27" s="20" t="str">
        <f t="shared" si="6"/>
        <v/>
      </c>
      <c r="N27" s="3"/>
      <c r="O27" s="21" t="str">
        <f>O4</f>
        <v>Testo -30µg/L</v>
      </c>
      <c r="P27" s="21" t="str">
        <f t="shared" ref="P27:V27" si="7">P4</f>
        <v>Testo 30µg/L + EE2 -64ng/L</v>
      </c>
      <c r="Q27" s="21" t="str">
        <f t="shared" si="7"/>
        <v>Testo 30µg/L + FAD-10mg/L</v>
      </c>
      <c r="R27" s="21" t="str">
        <f t="shared" si="7"/>
        <v>0-00 + Testostérone</v>
      </c>
      <c r="S27" s="21" t="str">
        <f t="shared" si="7"/>
        <v>0-00 + Testostérone</v>
      </c>
      <c r="T27" s="21" t="str">
        <f t="shared" si="7"/>
        <v>0-00 + Testostérone</v>
      </c>
      <c r="U27" s="21" t="str">
        <f t="shared" si="7"/>
        <v>0-00 + Testostérone</v>
      </c>
      <c r="V27" s="21" t="str">
        <f t="shared" si="7"/>
        <v>0-00 + Testostérone</v>
      </c>
    </row>
    <row r="28" spans="1:22" ht="14.5" customHeight="1" x14ac:dyDescent="0.35">
      <c r="A28" s="140" t="s">
        <v>36</v>
      </c>
      <c r="B28" s="11">
        <f t="shared" ref="B28:M28" si="8">IF(B5="","",(B5/$O$23))</f>
        <v>1.3777233424841415E-2</v>
      </c>
      <c r="C28" s="11">
        <f t="shared" si="8"/>
        <v>1.7649158176768435E-2</v>
      </c>
      <c r="D28" s="11">
        <f t="shared" si="8"/>
        <v>2.2851720885758642E-2</v>
      </c>
      <c r="E28" s="11">
        <f t="shared" si="8"/>
        <v>0.68951002624167212</v>
      </c>
      <c r="F28" s="11">
        <f t="shared" si="8"/>
        <v>1.3211203373721654</v>
      </c>
      <c r="G28" s="11">
        <f t="shared" si="8"/>
        <v>1.2111192778992739</v>
      </c>
      <c r="H28" s="11">
        <f t="shared" si="8"/>
        <v>2.5852694271628938</v>
      </c>
      <c r="I28" s="11" t="str">
        <f t="shared" si="8"/>
        <v/>
      </c>
      <c r="J28" s="11" t="str">
        <f t="shared" si="8"/>
        <v/>
      </c>
      <c r="K28" s="11" t="str">
        <f t="shared" si="8"/>
        <v/>
      </c>
      <c r="L28" s="11" t="str">
        <f t="shared" si="8"/>
        <v/>
      </c>
      <c r="M28" s="11" t="str">
        <f t="shared" si="8"/>
        <v/>
      </c>
      <c r="N28" s="6"/>
      <c r="O28" s="11">
        <f t="shared" ref="O28:V37" si="9">IF(O5="","",(O5/$O$23))</f>
        <v>0.80688503772662201</v>
      </c>
      <c r="P28" s="11">
        <f t="shared" si="9"/>
        <v>1.5788354502577477</v>
      </c>
      <c r="Q28" s="11">
        <f t="shared" si="9"/>
        <v>2.9314583102589171E-3</v>
      </c>
      <c r="R28" s="11" t="str">
        <f t="shared" si="9"/>
        <v/>
      </c>
      <c r="S28" s="11" t="str">
        <f t="shared" si="9"/>
        <v/>
      </c>
      <c r="T28" s="11" t="str">
        <f t="shared" si="9"/>
        <v/>
      </c>
      <c r="U28" s="11" t="str">
        <f t="shared" si="9"/>
        <v/>
      </c>
      <c r="V28" s="11" t="str">
        <f t="shared" si="9"/>
        <v/>
      </c>
    </row>
    <row r="29" spans="1:22" x14ac:dyDescent="0.35">
      <c r="A29" s="141"/>
      <c r="B29" s="11">
        <f t="shared" ref="B29:M29" si="10">IF(B6="","",(B6/$O$23))</f>
        <v>1.6509675299357984E-2</v>
      </c>
      <c r="C29" s="11">
        <f t="shared" si="10"/>
        <v>1.1552055895896819E-2</v>
      </c>
      <c r="D29" s="11">
        <f t="shared" si="10"/>
        <v>4.1421485236179313E-2</v>
      </c>
      <c r="E29" s="11">
        <f t="shared" si="10"/>
        <v>0.5262222126598709</v>
      </c>
      <c r="F29" s="11">
        <f t="shared" si="10"/>
        <v>0.79871708874951242</v>
      </c>
      <c r="G29" s="11">
        <f t="shared" si="10"/>
        <v>0.70906452888121296</v>
      </c>
      <c r="H29" s="11">
        <f t="shared" si="10"/>
        <v>3.6395658224751153</v>
      </c>
      <c r="I29" s="11" t="str">
        <f t="shared" si="10"/>
        <v/>
      </c>
      <c r="J29" s="11" t="str">
        <f t="shared" si="10"/>
        <v/>
      </c>
      <c r="K29" s="11" t="str">
        <f t="shared" si="10"/>
        <v/>
      </c>
      <c r="L29" s="11" t="str">
        <f t="shared" si="10"/>
        <v/>
      </c>
      <c r="M29" s="11" t="str">
        <f t="shared" si="10"/>
        <v/>
      </c>
      <c r="N29" s="6"/>
      <c r="O29" s="11">
        <f t="shared" si="9"/>
        <v>0.80629998733132124</v>
      </c>
      <c r="P29" s="11">
        <f t="shared" si="9"/>
        <v>1.477778958992503</v>
      </c>
      <c r="Q29" s="11">
        <f t="shared" si="9"/>
        <v>1.2806562825565844E-2</v>
      </c>
      <c r="R29" s="11" t="str">
        <f t="shared" si="9"/>
        <v/>
      </c>
      <c r="S29" s="11" t="str">
        <f t="shared" si="9"/>
        <v/>
      </c>
      <c r="T29" s="11" t="str">
        <f t="shared" si="9"/>
        <v/>
      </c>
      <c r="U29" s="11" t="str">
        <f t="shared" si="9"/>
        <v/>
      </c>
      <c r="V29" s="11" t="str">
        <f t="shared" si="9"/>
        <v/>
      </c>
    </row>
    <row r="30" spans="1:22" x14ac:dyDescent="0.35">
      <c r="A30" s="141"/>
      <c r="B30" s="11">
        <f t="shared" ref="B30:M30" si="11">IF(B7="","",(B7/$O$23))</f>
        <v>7.5924149602330459E-4</v>
      </c>
      <c r="C30" s="11">
        <f t="shared" si="11"/>
        <v>3.2839780675405824E-3</v>
      </c>
      <c r="D30" s="11">
        <f t="shared" si="11"/>
        <v>4.7051457463094359E-2</v>
      </c>
      <c r="E30" s="11">
        <f t="shared" si="11"/>
        <v>0.35868181918917197</v>
      </c>
      <c r="F30" s="11">
        <f t="shared" si="11"/>
        <v>1.2701270304635048</v>
      </c>
      <c r="G30" s="11">
        <f t="shared" si="11"/>
        <v>0.95856742094223368</v>
      </c>
      <c r="H30" s="11">
        <f t="shared" si="11"/>
        <v>2.0234509941292478</v>
      </c>
      <c r="I30" s="11" t="str">
        <f t="shared" si="11"/>
        <v/>
      </c>
      <c r="J30" s="11" t="str">
        <f t="shared" si="11"/>
        <v/>
      </c>
      <c r="K30" s="11" t="str">
        <f t="shared" si="11"/>
        <v/>
      </c>
      <c r="L30" s="11" t="str">
        <f t="shared" si="11"/>
        <v/>
      </c>
      <c r="M30" s="11" t="str">
        <f t="shared" si="11"/>
        <v/>
      </c>
      <c r="N30" s="6"/>
      <c r="O30" s="11">
        <f t="shared" si="9"/>
        <v>0.80189638665438601</v>
      </c>
      <c r="P30" s="11">
        <f t="shared" si="9"/>
        <v>1.357247406159781</v>
      </c>
      <c r="Q30" s="11">
        <f t="shared" si="9"/>
        <v>1.8127459631483933E-2</v>
      </c>
      <c r="R30" s="11" t="str">
        <f t="shared" si="9"/>
        <v/>
      </c>
      <c r="S30" s="11" t="str">
        <f t="shared" si="9"/>
        <v/>
      </c>
      <c r="T30" s="11" t="str">
        <f t="shared" si="9"/>
        <v/>
      </c>
      <c r="U30" s="11" t="str">
        <f t="shared" si="9"/>
        <v/>
      </c>
      <c r="V30" s="11" t="str">
        <f t="shared" si="9"/>
        <v/>
      </c>
    </row>
    <row r="31" spans="1:22" x14ac:dyDescent="0.35">
      <c r="A31" s="141"/>
      <c r="B31" s="11">
        <f t="shared" ref="B31:M31" si="12">IF(B8="","",(B8/$O$23))</f>
        <v>6.9337160710400752E-3</v>
      </c>
      <c r="C31" s="11">
        <f t="shared" si="12"/>
        <v>2.5090552348964148E-2</v>
      </c>
      <c r="D31" s="11">
        <f t="shared" si="12"/>
        <v>2.3445460148316378E-2</v>
      </c>
      <c r="E31" s="11">
        <f t="shared" si="12"/>
        <v>0.55771977022187103</v>
      </c>
      <c r="F31" s="11">
        <f t="shared" si="12"/>
        <v>2.2626451658232818</v>
      </c>
      <c r="G31" s="11">
        <f t="shared" si="12"/>
        <v>0.9540951368384103</v>
      </c>
      <c r="H31" s="11">
        <f t="shared" si="12"/>
        <v>3.3483646426924443</v>
      </c>
      <c r="I31" s="11" t="str">
        <f t="shared" si="12"/>
        <v/>
      </c>
      <c r="J31" s="11" t="str">
        <f t="shared" si="12"/>
        <v/>
      </c>
      <c r="K31" s="11" t="str">
        <f t="shared" si="12"/>
        <v/>
      </c>
      <c r="L31" s="11" t="str">
        <f t="shared" si="12"/>
        <v/>
      </c>
      <c r="M31" s="11" t="str">
        <f t="shared" si="12"/>
        <v/>
      </c>
      <c r="N31" s="6"/>
      <c r="O31" s="11">
        <f t="shared" si="9"/>
        <v>0.80093026736653083</v>
      </c>
      <c r="P31" s="11">
        <f t="shared" si="9"/>
        <v>1.5518329333566725</v>
      </c>
      <c r="Q31" s="11">
        <f t="shared" si="9"/>
        <v>4.8784265847478886E-2</v>
      </c>
      <c r="R31" s="11" t="str">
        <f t="shared" si="9"/>
        <v/>
      </c>
      <c r="S31" s="11" t="str">
        <f t="shared" si="9"/>
        <v/>
      </c>
      <c r="T31" s="11" t="str">
        <f t="shared" si="9"/>
        <v/>
      </c>
      <c r="U31" s="11" t="str">
        <f t="shared" si="9"/>
        <v/>
      </c>
      <c r="V31" s="11" t="str">
        <f t="shared" si="9"/>
        <v/>
      </c>
    </row>
    <row r="32" spans="1:22" x14ac:dyDescent="0.35">
      <c r="A32" s="141"/>
      <c r="B32" s="11">
        <f t="shared" ref="B32:M32" si="13">IF(B9="","",(B9/$O$23))</f>
        <v>8.1919468009620747E-3</v>
      </c>
      <c r="C32" s="11">
        <f t="shared" si="13"/>
        <v>7.0826680811590884E-3</v>
      </c>
      <c r="D32" s="11">
        <f t="shared" si="13"/>
        <v>9.068694882745934E-3</v>
      </c>
      <c r="E32" s="11">
        <f t="shared" si="13"/>
        <v>0.46338142836857749</v>
      </c>
      <c r="F32" s="11">
        <f t="shared" si="13"/>
        <v>1.2031805495155141</v>
      </c>
      <c r="G32" s="11">
        <f t="shared" si="13"/>
        <v>1.1813959042800248</v>
      </c>
      <c r="H32" s="11">
        <f t="shared" si="13"/>
        <v>2.7043561454974614</v>
      </c>
      <c r="I32" s="11" t="str">
        <f t="shared" si="13"/>
        <v/>
      </c>
      <c r="J32" s="11" t="str">
        <f t="shared" si="13"/>
        <v/>
      </c>
      <c r="K32" s="11" t="str">
        <f t="shared" si="13"/>
        <v/>
      </c>
      <c r="L32" s="11" t="str">
        <f t="shared" si="13"/>
        <v/>
      </c>
      <c r="M32" s="11" t="str">
        <f t="shared" si="13"/>
        <v/>
      </c>
      <c r="N32" s="6"/>
      <c r="O32" s="11">
        <f t="shared" si="9"/>
        <v>1.7617257621267948</v>
      </c>
      <c r="P32" s="11">
        <f t="shared" si="9"/>
        <v>1.3821070828930608</v>
      </c>
      <c r="Q32" s="11">
        <f t="shared" si="9"/>
        <v>1.3605938613204549E-2</v>
      </c>
      <c r="R32" s="11" t="str">
        <f t="shared" si="9"/>
        <v/>
      </c>
      <c r="S32" s="11" t="str">
        <f t="shared" si="9"/>
        <v/>
      </c>
      <c r="T32" s="11" t="str">
        <f t="shared" si="9"/>
        <v/>
      </c>
      <c r="U32" s="11" t="str">
        <f t="shared" si="9"/>
        <v/>
      </c>
      <c r="V32" s="11" t="str">
        <f t="shared" si="9"/>
        <v/>
      </c>
    </row>
    <row r="33" spans="1:22" x14ac:dyDescent="0.35">
      <c r="A33" s="141"/>
      <c r="B33" s="11">
        <f t="shared" ref="B33:M33" si="14">IF(B10="","",(B10/$O$23))</f>
        <v>1.7460485630617687E-4</v>
      </c>
      <c r="C33" s="11">
        <f t="shared" si="14"/>
        <v>1.136462461649706E-2</v>
      </c>
      <c r="D33" s="11">
        <f t="shared" si="14"/>
        <v>1.2549620608110545E-2</v>
      </c>
      <c r="E33" s="11">
        <f t="shared" si="14"/>
        <v>0.49090941486090584</v>
      </c>
      <c r="F33" s="11">
        <f t="shared" si="14"/>
        <v>1.5356435048790704</v>
      </c>
      <c r="G33" s="11">
        <f t="shared" si="14"/>
        <v>0.78093677005272255</v>
      </c>
      <c r="H33" s="11">
        <f t="shared" si="14"/>
        <v>3.5647252987464007</v>
      </c>
      <c r="I33" s="11" t="str">
        <f t="shared" si="14"/>
        <v/>
      </c>
      <c r="J33" s="11" t="str">
        <f t="shared" si="14"/>
        <v/>
      </c>
      <c r="K33" s="11" t="str">
        <f t="shared" si="14"/>
        <v/>
      </c>
      <c r="L33" s="11" t="str">
        <f t="shared" si="14"/>
        <v/>
      </c>
      <c r="M33" s="11" t="str">
        <f t="shared" si="14"/>
        <v/>
      </c>
      <c r="N33" s="6"/>
      <c r="O33" s="11">
        <f t="shared" si="9"/>
        <v>1.1864366885558024</v>
      </c>
      <c r="P33" s="11">
        <f t="shared" si="9"/>
        <v>1.8925672765932544</v>
      </c>
      <c r="Q33" s="11">
        <f t="shared" si="9"/>
        <v>1.1576467475332992E-2</v>
      </c>
      <c r="R33" s="11" t="str">
        <f t="shared" si="9"/>
        <v/>
      </c>
      <c r="S33" s="11" t="str">
        <f t="shared" si="9"/>
        <v/>
      </c>
      <c r="T33" s="11" t="str">
        <f t="shared" si="9"/>
        <v/>
      </c>
      <c r="U33" s="11" t="str">
        <f t="shared" si="9"/>
        <v/>
      </c>
      <c r="V33" s="11" t="str">
        <f t="shared" si="9"/>
        <v/>
      </c>
    </row>
    <row r="34" spans="1:22" x14ac:dyDescent="0.35">
      <c r="A34" s="141"/>
      <c r="B34" s="11">
        <f t="shared" ref="B34:M34" si="15">IF(B11="","",(B11/$O$23))</f>
        <v>1.1981534191739975E-2</v>
      </c>
      <c r="C34" s="11">
        <f t="shared" si="15"/>
        <v>2.9312514324670851E-2</v>
      </c>
      <c r="D34" s="11">
        <f t="shared" si="15"/>
        <v>1.9342246025121222E-2</v>
      </c>
      <c r="E34" s="11">
        <f t="shared" si="15"/>
        <v>0.76051917326565877</v>
      </c>
      <c r="F34" s="11">
        <f t="shared" si="15"/>
        <v>1.1265153636628416</v>
      </c>
      <c r="G34" s="11">
        <f t="shared" si="15"/>
        <v>0.91490213917584495</v>
      </c>
      <c r="H34" s="11">
        <f t="shared" si="15"/>
        <v>2.5924584304290543</v>
      </c>
      <c r="I34" s="11" t="str">
        <f t="shared" si="15"/>
        <v/>
      </c>
      <c r="J34" s="11" t="str">
        <f t="shared" si="15"/>
        <v/>
      </c>
      <c r="K34" s="11" t="str">
        <f t="shared" si="15"/>
        <v/>
      </c>
      <c r="L34" s="11" t="str">
        <f t="shared" si="15"/>
        <v/>
      </c>
      <c r="M34" s="11" t="str">
        <f t="shared" si="15"/>
        <v/>
      </c>
      <c r="N34" s="6"/>
      <c r="O34" s="11">
        <f t="shared" si="9"/>
        <v>0.74618833486987501</v>
      </c>
      <c r="P34" s="11">
        <f t="shared" si="9"/>
        <v>0.8688072846221816</v>
      </c>
      <c r="Q34" s="11">
        <f t="shared" si="9"/>
        <v>1.7657433288441715E-2</v>
      </c>
      <c r="R34" s="11" t="str">
        <f t="shared" si="9"/>
        <v/>
      </c>
      <c r="S34" s="11" t="str">
        <f t="shared" si="9"/>
        <v/>
      </c>
      <c r="T34" s="11" t="str">
        <f t="shared" si="9"/>
        <v/>
      </c>
      <c r="U34" s="11" t="str">
        <f t="shared" si="9"/>
        <v/>
      </c>
      <c r="V34" s="11" t="str">
        <f t="shared" si="9"/>
        <v/>
      </c>
    </row>
    <row r="35" spans="1:22" x14ac:dyDescent="0.35">
      <c r="A35" s="141"/>
      <c r="B35" s="11">
        <f t="shared" ref="B35:M35" si="16">IF(B12="","",(B12/$O$23))</f>
        <v>4.2910591581785786E-3</v>
      </c>
      <c r="C35" s="11">
        <f t="shared" si="16"/>
        <v>1.8932214241710273E-2</v>
      </c>
      <c r="D35" s="11">
        <f t="shared" si="16"/>
        <v>5.5422560431782914E-3</v>
      </c>
      <c r="E35" s="11">
        <f t="shared" si="16"/>
        <v>0.17924512517696778</v>
      </c>
      <c r="F35" s="11">
        <f t="shared" si="16"/>
        <v>1.8287475465910121</v>
      </c>
      <c r="G35" s="11">
        <f t="shared" si="16"/>
        <v>1.5533981707296731</v>
      </c>
      <c r="H35" s="11">
        <f t="shared" si="16"/>
        <v>2.4860173239980075</v>
      </c>
      <c r="I35" s="11" t="str">
        <f t="shared" si="16"/>
        <v/>
      </c>
      <c r="J35" s="11" t="str">
        <f t="shared" si="16"/>
        <v/>
      </c>
      <c r="K35" s="11" t="str">
        <f t="shared" si="16"/>
        <v/>
      </c>
      <c r="L35" s="11" t="str">
        <f t="shared" si="16"/>
        <v/>
      </c>
      <c r="M35" s="11" t="str">
        <f t="shared" si="16"/>
        <v/>
      </c>
      <c r="N35" s="6"/>
      <c r="O35" s="11">
        <f t="shared" si="9"/>
        <v>0.80558005261574595</v>
      </c>
      <c r="P35" s="11">
        <f t="shared" si="9"/>
        <v>1.6118349405884478</v>
      </c>
      <c r="Q35" s="11">
        <f t="shared" si="9"/>
        <v>1.0590074163878192E-2</v>
      </c>
      <c r="R35" s="11" t="str">
        <f t="shared" si="9"/>
        <v/>
      </c>
      <c r="S35" s="11" t="str">
        <f t="shared" si="9"/>
        <v/>
      </c>
      <c r="T35" s="11" t="str">
        <f t="shared" si="9"/>
        <v/>
      </c>
      <c r="U35" s="11" t="str">
        <f t="shared" si="9"/>
        <v/>
      </c>
      <c r="V35" s="11" t="str">
        <f t="shared" si="9"/>
        <v/>
      </c>
    </row>
    <row r="36" spans="1:22" x14ac:dyDescent="0.35">
      <c r="A36" s="141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0.81577664521955984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x14ac:dyDescent="0.35">
      <c r="A37" s="141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1.0864836834321894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x14ac:dyDescent="0.35">
      <c r="A38" s="141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V47" si="20">IF(O15="","",(O15/$O$23))</f>
        <v>1.340614845452075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si="20"/>
        <v/>
      </c>
      <c r="T38" s="11" t="str">
        <f t="shared" si="20"/>
        <v/>
      </c>
      <c r="U38" s="11" t="str">
        <f t="shared" si="20"/>
        <v/>
      </c>
      <c r="V38" s="11" t="str">
        <f t="shared" si="20"/>
        <v/>
      </c>
    </row>
    <row r="39" spans="1:22" x14ac:dyDescent="0.35">
      <c r="A39" s="141"/>
      <c r="B39" s="11" t="str">
        <f t="shared" ref="B39:M39" si="21">IF(B16="","",(B16/$O$23))</f>
        <v/>
      </c>
      <c r="C39" s="11" t="str">
        <f t="shared" si="21"/>
        <v/>
      </c>
      <c r="D39" s="11" t="str">
        <f t="shared" si="21"/>
        <v/>
      </c>
      <c r="E39" s="11" t="str">
        <f t="shared" si="21"/>
        <v/>
      </c>
      <c r="F39" s="11" t="str">
        <f t="shared" si="21"/>
        <v/>
      </c>
      <c r="G39" s="11" t="str">
        <f t="shared" si="21"/>
        <v/>
      </c>
      <c r="H39" s="11" t="str">
        <f t="shared" si="21"/>
        <v/>
      </c>
      <c r="I39" s="11" t="str">
        <f t="shared" si="21"/>
        <v/>
      </c>
      <c r="J39" s="11" t="str">
        <f t="shared" si="21"/>
        <v/>
      </c>
      <c r="K39" s="11" t="str">
        <f t="shared" si="21"/>
        <v/>
      </c>
      <c r="L39" s="11" t="str">
        <f t="shared" si="21"/>
        <v/>
      </c>
      <c r="M39" s="11" t="str">
        <f t="shared" si="21"/>
        <v/>
      </c>
      <c r="N39" s="6"/>
      <c r="O39" s="11">
        <f t="shared" si="20"/>
        <v>0.22489933003402907</v>
      </c>
      <c r="P39" s="11" t="str">
        <f t="shared" si="20"/>
        <v/>
      </c>
      <c r="Q39" s="11" t="str">
        <f t="shared" si="20"/>
        <v/>
      </c>
      <c r="R39" s="11" t="str">
        <f t="shared" si="20"/>
        <v/>
      </c>
      <c r="S39" s="11" t="str">
        <f t="shared" si="20"/>
        <v/>
      </c>
      <c r="T39" s="11" t="str">
        <f t="shared" si="20"/>
        <v/>
      </c>
      <c r="U39" s="11" t="str">
        <f t="shared" si="20"/>
        <v/>
      </c>
      <c r="V39" s="11" t="str">
        <f t="shared" si="20"/>
        <v/>
      </c>
    </row>
    <row r="40" spans="1:22" x14ac:dyDescent="0.35">
      <c r="A40" s="141"/>
      <c r="B40" s="11" t="str">
        <f t="shared" ref="B40:M40" si="22">IF(B17="","",(B17/$O$23))</f>
        <v/>
      </c>
      <c r="C40" s="11" t="str">
        <f t="shared" si="22"/>
        <v/>
      </c>
      <c r="D40" s="11" t="str">
        <f t="shared" si="22"/>
        <v/>
      </c>
      <c r="E40" s="11" t="str">
        <f t="shared" si="22"/>
        <v/>
      </c>
      <c r="F40" s="11" t="str">
        <f t="shared" si="22"/>
        <v/>
      </c>
      <c r="G40" s="11" t="str">
        <f t="shared" si="22"/>
        <v/>
      </c>
      <c r="H40" s="11" t="str">
        <f t="shared" si="22"/>
        <v/>
      </c>
      <c r="I40" s="11" t="str">
        <f t="shared" si="22"/>
        <v/>
      </c>
      <c r="J40" s="11" t="str">
        <f t="shared" si="22"/>
        <v/>
      </c>
      <c r="K40" s="11" t="str">
        <f t="shared" si="22"/>
        <v/>
      </c>
      <c r="L40" s="11" t="str">
        <f t="shared" si="22"/>
        <v/>
      </c>
      <c r="M40" s="11" t="str">
        <f t="shared" si="22"/>
        <v/>
      </c>
      <c r="N40" s="6"/>
      <c r="O40" s="11">
        <f t="shared" si="20"/>
        <v>1.26567377911653</v>
      </c>
      <c r="P40" s="11" t="str">
        <f t="shared" si="20"/>
        <v/>
      </c>
      <c r="Q40" s="11" t="str">
        <f t="shared" si="20"/>
        <v/>
      </c>
      <c r="R40" s="11" t="str">
        <f t="shared" si="20"/>
        <v/>
      </c>
      <c r="S40" s="11" t="str">
        <f t="shared" si="20"/>
        <v/>
      </c>
      <c r="T40" s="11" t="str">
        <f t="shared" si="20"/>
        <v/>
      </c>
      <c r="U40" s="11" t="str">
        <f t="shared" si="20"/>
        <v/>
      </c>
      <c r="V40" s="11" t="str">
        <f t="shared" si="20"/>
        <v/>
      </c>
    </row>
    <row r="41" spans="1:22" x14ac:dyDescent="0.35">
      <c r="A41" s="141"/>
      <c r="B41" s="11" t="str">
        <f t="shared" ref="B41:M41" si="23">IF(B18="","",(B18/$O$23))</f>
        <v/>
      </c>
      <c r="C41" s="11" t="str">
        <f t="shared" si="23"/>
        <v/>
      </c>
      <c r="D41" s="11" t="str">
        <f t="shared" si="23"/>
        <v/>
      </c>
      <c r="E41" s="11" t="str">
        <f t="shared" si="23"/>
        <v/>
      </c>
      <c r="F41" s="11" t="str">
        <f t="shared" si="23"/>
        <v/>
      </c>
      <c r="G41" s="11" t="str">
        <f t="shared" si="23"/>
        <v/>
      </c>
      <c r="H41" s="11" t="str">
        <f t="shared" si="23"/>
        <v/>
      </c>
      <c r="I41" s="11" t="str">
        <f t="shared" si="23"/>
        <v/>
      </c>
      <c r="J41" s="11" t="str">
        <f t="shared" si="23"/>
        <v/>
      </c>
      <c r="K41" s="11" t="str">
        <f t="shared" si="23"/>
        <v/>
      </c>
      <c r="L41" s="11" t="str">
        <f t="shared" si="23"/>
        <v/>
      </c>
      <c r="M41" s="11" t="str">
        <f t="shared" si="23"/>
        <v/>
      </c>
      <c r="N41" s="6"/>
      <c r="O41" s="11">
        <f t="shared" si="20"/>
        <v>1.7494123959569563</v>
      </c>
      <c r="P41" s="11" t="str">
        <f t="shared" si="20"/>
        <v/>
      </c>
      <c r="Q41" s="11" t="str">
        <f t="shared" si="20"/>
        <v/>
      </c>
      <c r="R41" s="11" t="str">
        <f t="shared" si="20"/>
        <v/>
      </c>
      <c r="S41" s="11" t="str">
        <f t="shared" si="20"/>
        <v/>
      </c>
      <c r="T41" s="11" t="str">
        <f t="shared" si="20"/>
        <v/>
      </c>
      <c r="U41" s="11" t="str">
        <f t="shared" si="20"/>
        <v/>
      </c>
      <c r="V41" s="11" t="str">
        <f t="shared" si="20"/>
        <v/>
      </c>
    </row>
    <row r="42" spans="1:22" x14ac:dyDescent="0.35">
      <c r="A42" s="141"/>
      <c r="B42" s="11" t="str">
        <f t="shared" ref="B42:M42" si="24">IF(B19="","",(B19/$O$23))</f>
        <v/>
      </c>
      <c r="C42" s="11" t="str">
        <f t="shared" si="24"/>
        <v/>
      </c>
      <c r="D42" s="11" t="str">
        <f t="shared" si="24"/>
        <v/>
      </c>
      <c r="E42" s="11" t="str">
        <f t="shared" si="24"/>
        <v/>
      </c>
      <c r="F42" s="11" t="str">
        <f t="shared" si="24"/>
        <v/>
      </c>
      <c r="G42" s="11" t="str">
        <f t="shared" si="24"/>
        <v/>
      </c>
      <c r="H42" s="11" t="str">
        <f t="shared" si="24"/>
        <v/>
      </c>
      <c r="I42" s="11" t="str">
        <f t="shared" si="24"/>
        <v/>
      </c>
      <c r="J42" s="11" t="str">
        <f t="shared" si="24"/>
        <v/>
      </c>
      <c r="K42" s="11" t="str">
        <f t="shared" si="24"/>
        <v/>
      </c>
      <c r="L42" s="11" t="str">
        <f t="shared" si="24"/>
        <v/>
      </c>
      <c r="M42" s="11" t="str">
        <f t="shared" si="24"/>
        <v/>
      </c>
      <c r="N42" s="6"/>
      <c r="O42" s="11">
        <f t="shared" si="20"/>
        <v>1.435654089264095</v>
      </c>
      <c r="P42" s="11" t="str">
        <f t="shared" si="20"/>
        <v/>
      </c>
      <c r="Q42" s="11" t="str">
        <f t="shared" si="20"/>
        <v/>
      </c>
      <c r="R42" s="11" t="str">
        <f t="shared" si="20"/>
        <v/>
      </c>
      <c r="S42" s="11" t="str">
        <f t="shared" si="20"/>
        <v/>
      </c>
      <c r="T42" s="11" t="str">
        <f t="shared" si="20"/>
        <v/>
      </c>
      <c r="U42" s="11" t="str">
        <f t="shared" si="20"/>
        <v/>
      </c>
      <c r="V42" s="11" t="str">
        <f t="shared" si="20"/>
        <v/>
      </c>
    </row>
    <row r="43" spans="1:22" x14ac:dyDescent="0.35">
      <c r="A43" s="141"/>
      <c r="B43" s="11" t="str">
        <f t="shared" ref="B43:M43" si="25">IF(B20="","",(B20/$O$23))</f>
        <v/>
      </c>
      <c r="C43" s="11" t="str">
        <f t="shared" si="25"/>
        <v/>
      </c>
      <c r="D43" s="11" t="str">
        <f t="shared" si="25"/>
        <v/>
      </c>
      <c r="E43" s="11" t="str">
        <f t="shared" si="25"/>
        <v/>
      </c>
      <c r="F43" s="11" t="str">
        <f t="shared" si="25"/>
        <v/>
      </c>
      <c r="G43" s="11" t="str">
        <f t="shared" si="25"/>
        <v/>
      </c>
      <c r="H43" s="11" t="str">
        <f t="shared" si="25"/>
        <v/>
      </c>
      <c r="I43" s="11" t="str">
        <f t="shared" si="25"/>
        <v/>
      </c>
      <c r="J43" s="11" t="str">
        <f t="shared" si="25"/>
        <v/>
      </c>
      <c r="K43" s="11" t="str">
        <f t="shared" si="25"/>
        <v/>
      </c>
      <c r="L43" s="11" t="str">
        <f t="shared" si="25"/>
        <v/>
      </c>
      <c r="M43" s="11" t="str">
        <f t="shared" si="25"/>
        <v/>
      </c>
      <c r="N43" s="6"/>
      <c r="O43" s="11">
        <f t="shared" si="20"/>
        <v>0.36554271427748719</v>
      </c>
      <c r="P43" s="11" t="str">
        <f t="shared" si="20"/>
        <v/>
      </c>
      <c r="Q43" s="11" t="str">
        <f t="shared" si="20"/>
        <v/>
      </c>
      <c r="R43" s="11" t="str">
        <f t="shared" si="20"/>
        <v/>
      </c>
      <c r="S43" s="11" t="str">
        <f t="shared" si="20"/>
        <v/>
      </c>
      <c r="T43" s="11" t="str">
        <f t="shared" si="20"/>
        <v/>
      </c>
      <c r="U43" s="11" t="str">
        <f t="shared" si="20"/>
        <v/>
      </c>
      <c r="V43" s="11" t="str">
        <f t="shared" si="20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6">A4</f>
        <v>Group names</v>
      </c>
      <c r="B45" s="7" t="str">
        <f t="shared" ref="B45:V45" si="27">B4</f>
        <v>Solvent control</v>
      </c>
      <c r="C45" s="7" t="str">
        <f t="shared" si="27"/>
        <v>EE2-33.8ng/L</v>
      </c>
      <c r="D45" s="7" t="str">
        <f t="shared" si="27"/>
        <v>EE2-50.6ng/L</v>
      </c>
      <c r="E45" s="7" t="str">
        <f t="shared" si="27"/>
        <v>EE2-76ng/L</v>
      </c>
      <c r="F45" s="7" t="str">
        <f t="shared" si="27"/>
        <v>EE2-114ng/L</v>
      </c>
      <c r="G45" s="7" t="str">
        <f t="shared" si="27"/>
        <v>EE2-170.9ng/L</v>
      </c>
      <c r="H45" s="7" t="str">
        <f t="shared" si="27"/>
        <v>EE2-488ng/L</v>
      </c>
      <c r="I45" s="7" t="str">
        <f t="shared" si="27"/>
        <v/>
      </c>
      <c r="J45" s="7" t="str">
        <f t="shared" si="27"/>
        <v/>
      </c>
      <c r="K45" s="7" t="str">
        <f t="shared" si="27"/>
        <v/>
      </c>
      <c r="L45" s="7" t="str">
        <f t="shared" si="27"/>
        <v/>
      </c>
      <c r="M45" s="7" t="str">
        <f t="shared" si="27"/>
        <v/>
      </c>
      <c r="N45" s="7"/>
      <c r="O45" s="7" t="str">
        <f t="shared" si="27"/>
        <v>Testo -30µg/L</v>
      </c>
      <c r="P45" s="7" t="str">
        <f t="shared" si="27"/>
        <v>Testo 30µg/L + EE2 -64ng/L</v>
      </c>
      <c r="Q45" s="7" t="str">
        <f t="shared" si="27"/>
        <v>Testo 30µg/L + FAD-10mg/L</v>
      </c>
      <c r="R45" s="7" t="str">
        <f t="shared" si="27"/>
        <v>0-00 + Testostérone</v>
      </c>
      <c r="S45" s="7" t="str">
        <f t="shared" si="27"/>
        <v>0-00 + Testostérone</v>
      </c>
      <c r="T45" s="7" t="str">
        <f t="shared" si="27"/>
        <v>0-00 + Testostérone</v>
      </c>
      <c r="U45" s="7" t="str">
        <f t="shared" si="27"/>
        <v>0-00 + Testostérone</v>
      </c>
      <c r="V45" s="7" t="str">
        <f t="shared" si="27"/>
        <v>0-00 + Testostérone</v>
      </c>
    </row>
    <row r="46" spans="1:22" x14ac:dyDescent="0.35">
      <c r="A46" s="8" t="s">
        <v>0</v>
      </c>
      <c r="B46" s="10">
        <f t="shared" ref="B46:H46" si="28">AVERAGE(B28:B43)</f>
        <v>7.8273764123061966E-3</v>
      </c>
      <c r="C46" s="10">
        <f t="shared" si="28"/>
        <v>1.5533470719150906E-2</v>
      </c>
      <c r="D46" s="10">
        <f t="shared" si="28"/>
        <v>2.2659117661563088E-2</v>
      </c>
      <c r="E46" s="10">
        <f t="shared" si="28"/>
        <v>0.50327362124808706</v>
      </c>
      <c r="F46" s="10">
        <f t="shared" si="28"/>
        <v>1.4183370733821128</v>
      </c>
      <c r="G46" s="10">
        <f t="shared" si="28"/>
        <v>1.0329349185999244</v>
      </c>
      <c r="H46" s="10">
        <f t="shared" si="28"/>
        <v>2.8680260106413282</v>
      </c>
      <c r="I46" s="10" t="e">
        <f>AVERAGE(I28:I43)</f>
        <v>#DIV/0!</v>
      </c>
      <c r="J46" s="9" t="e">
        <f>AVERAGE(J28:J43)</f>
        <v>#DIV/0!</v>
      </c>
      <c r="K46" s="9" t="e">
        <f t="shared" ref="K46:M46" si="29">AVERAGE(K28:K43)</f>
        <v>#DIV/0!</v>
      </c>
      <c r="L46" s="9" t="e">
        <f t="shared" si="29"/>
        <v>#DIV/0!</v>
      </c>
      <c r="M46" s="9" t="e">
        <f t="shared" si="29"/>
        <v>#DIV/0!</v>
      </c>
      <c r="N46" s="8" t="s">
        <v>0</v>
      </c>
      <c r="O46" s="10">
        <f t="shared" ref="O46:V46" si="30">AVERAGE(O28:O43)</f>
        <v>0.99999999999999967</v>
      </c>
      <c r="P46" s="10">
        <f t="shared" si="30"/>
        <v>1.4651264166829563</v>
      </c>
      <c r="Q46" s="10">
        <f t="shared" si="30"/>
        <v>1.700995751945563E-2</v>
      </c>
      <c r="R46" s="10" t="e">
        <f t="shared" si="30"/>
        <v>#DIV/0!</v>
      </c>
      <c r="S46" s="10" t="e">
        <f t="shared" si="30"/>
        <v>#DIV/0!</v>
      </c>
      <c r="T46" s="10" t="e">
        <f t="shared" si="30"/>
        <v>#DIV/0!</v>
      </c>
      <c r="U46" s="10" t="e">
        <f t="shared" si="30"/>
        <v>#DIV/0!</v>
      </c>
      <c r="V46" s="10" t="e">
        <f t="shared" si="30"/>
        <v>#DIV/0!</v>
      </c>
    </row>
    <row r="47" spans="1:22" x14ac:dyDescent="0.35">
      <c r="A47" s="8" t="s">
        <v>1</v>
      </c>
      <c r="B47" s="8">
        <f t="shared" ref="B47:M47" si="31">STDEV(B28:B43)</f>
        <v>5.9761509718561836E-3</v>
      </c>
      <c r="C47" s="8">
        <f t="shared" si="31"/>
        <v>8.8795472872276061E-3</v>
      </c>
      <c r="D47" s="8">
        <f t="shared" si="31"/>
        <v>1.4825452147299856E-2</v>
      </c>
      <c r="E47" s="8">
        <f t="shared" si="31"/>
        <v>0.18205015388414911</v>
      </c>
      <c r="F47" s="8">
        <f t="shared" si="31"/>
        <v>0.45384896580187983</v>
      </c>
      <c r="G47" s="8">
        <f t="shared" si="31"/>
        <v>0.27222506342780717</v>
      </c>
      <c r="H47" s="8">
        <f t="shared" si="31"/>
        <v>0.57981560830508316</v>
      </c>
      <c r="I47" s="8" t="e">
        <f t="shared" si="31"/>
        <v>#DIV/0!</v>
      </c>
      <c r="J47" s="8" t="e">
        <f t="shared" si="31"/>
        <v>#DIV/0!</v>
      </c>
      <c r="K47" s="8" t="e">
        <f t="shared" si="31"/>
        <v>#DIV/0!</v>
      </c>
      <c r="L47" s="8" t="e">
        <f t="shared" si="31"/>
        <v>#DIV/0!</v>
      </c>
      <c r="M47" s="8" t="e">
        <f t="shared" si="31"/>
        <v>#DIV/0!</v>
      </c>
      <c r="N47" s="8" t="s">
        <v>1</v>
      </c>
      <c r="O47" s="8">
        <f t="shared" ref="O47:V47" si="32">STDEV(O28:O43)</f>
        <v>0.43616819072087981</v>
      </c>
      <c r="P47" s="8">
        <f t="shared" si="32"/>
        <v>0.29251703951359026</v>
      </c>
      <c r="Q47" s="8">
        <f t="shared" si="32"/>
        <v>1.3677261806030931E-2</v>
      </c>
      <c r="R47" s="8" t="e">
        <f t="shared" si="32"/>
        <v>#DIV/0!</v>
      </c>
      <c r="S47" s="8" t="e">
        <f t="shared" si="32"/>
        <v>#DIV/0!</v>
      </c>
      <c r="T47" s="8" t="e">
        <f t="shared" si="32"/>
        <v>#DIV/0!</v>
      </c>
      <c r="U47" s="8" t="e">
        <f t="shared" si="32"/>
        <v>#DIV/0!</v>
      </c>
      <c r="V47" s="8" t="e">
        <f t="shared" si="32"/>
        <v>#DIV/0!</v>
      </c>
    </row>
    <row r="48" spans="1:22" x14ac:dyDescent="0.35">
      <c r="A48" s="8" t="s">
        <v>2</v>
      </c>
      <c r="B48" s="8">
        <f t="shared" ref="B48:M48" si="33" xml:space="preserve"> B47/SQRT(COUNT(B28:B43))</f>
        <v>2.1128884387970419E-3</v>
      </c>
      <c r="C48" s="8">
        <f t="shared" si="33"/>
        <v>3.1393940503326259E-3</v>
      </c>
      <c r="D48" s="8">
        <f t="shared" si="33"/>
        <v>5.2415888737561952E-3</v>
      </c>
      <c r="E48" s="8">
        <f t="shared" si="33"/>
        <v>6.4364449163768156E-2</v>
      </c>
      <c r="F48" s="8">
        <f t="shared" si="33"/>
        <v>0.16045984067650534</v>
      </c>
      <c r="G48" s="8">
        <f t="shared" si="33"/>
        <v>9.6246094179370231E-2</v>
      </c>
      <c r="H48" s="8">
        <f t="shared" si="33"/>
        <v>0.20499577423516369</v>
      </c>
      <c r="I48" s="8" t="e">
        <f t="shared" si="33"/>
        <v>#DIV/0!</v>
      </c>
      <c r="J48" s="8" t="e">
        <f t="shared" si="33"/>
        <v>#DIV/0!</v>
      </c>
      <c r="K48" s="8" t="e">
        <f t="shared" si="33"/>
        <v>#DIV/0!</v>
      </c>
      <c r="L48" s="8" t="e">
        <f t="shared" si="33"/>
        <v>#DIV/0!</v>
      </c>
      <c r="M48" s="8" t="e">
        <f t="shared" si="33"/>
        <v>#DIV/0!</v>
      </c>
      <c r="N48" s="8" t="s">
        <v>2</v>
      </c>
      <c r="O48" s="8">
        <f t="shared" ref="O48:V48" si="34" xml:space="preserve"> O47/SQRT(COUNT(O28:O43))</f>
        <v>0.10904204768021995</v>
      </c>
      <c r="P48" s="8">
        <f t="shared" si="34"/>
        <v>0.10342039112633647</v>
      </c>
      <c r="Q48" s="8">
        <f t="shared" si="34"/>
        <v>4.8356422855541179E-3</v>
      </c>
      <c r="R48" s="8" t="e">
        <f t="shared" si="34"/>
        <v>#DIV/0!</v>
      </c>
      <c r="S48" s="8" t="e">
        <f t="shared" si="34"/>
        <v>#DIV/0!</v>
      </c>
      <c r="T48" s="8" t="e">
        <f t="shared" si="34"/>
        <v>#DIV/0!</v>
      </c>
      <c r="U48" s="8" t="e">
        <f t="shared" si="34"/>
        <v>#DIV/0!</v>
      </c>
      <c r="V48" s="8" t="e">
        <f t="shared" si="34"/>
        <v>#DIV/0!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/>
    <row r="52" spans="1:22" x14ac:dyDescent="0.35">
      <c r="A52" s="29" t="str">
        <f t="shared" ref="A52" si="35">A27</f>
        <v>Group names</v>
      </c>
      <c r="B52" s="30" t="str">
        <f t="shared" ref="B52:H52" si="36">B27</f>
        <v>Solvent control</v>
      </c>
      <c r="C52" s="30" t="str">
        <f t="shared" si="36"/>
        <v>EE2-33.8ng/L</v>
      </c>
      <c r="D52" s="30" t="str">
        <f t="shared" si="36"/>
        <v>EE2-50.6ng/L</v>
      </c>
      <c r="E52" s="30" t="str">
        <f t="shared" si="36"/>
        <v>EE2-76ng/L</v>
      </c>
      <c r="F52" s="30" t="str">
        <f t="shared" si="36"/>
        <v>EE2-114ng/L</v>
      </c>
      <c r="G52" s="30" t="str">
        <f t="shared" si="36"/>
        <v>EE2-170.9ng/L</v>
      </c>
      <c r="H52" s="30" t="str">
        <f t="shared" si="36"/>
        <v>EE2-488ng/L</v>
      </c>
      <c r="I52" s="30" t="str">
        <f>I4</f>
        <v/>
      </c>
      <c r="J52" s="30" t="str">
        <f>J4</f>
        <v/>
      </c>
      <c r="K52" s="30" t="str">
        <f t="shared" ref="K52:M52" si="37">K4</f>
        <v/>
      </c>
      <c r="L52" s="30" t="str">
        <f t="shared" si="37"/>
        <v/>
      </c>
      <c r="M52" s="30" t="str">
        <f t="shared" si="37"/>
        <v/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0-00 + Testostérone</v>
      </c>
      <c r="S52" s="30" t="str">
        <f t="shared" ref="S52:V52" si="38">S27</f>
        <v>0-00 + Testostérone</v>
      </c>
      <c r="T52" s="30" t="str">
        <f t="shared" si="38"/>
        <v>0-00 + Testostérone</v>
      </c>
      <c r="U52" s="30" t="str">
        <f t="shared" si="38"/>
        <v>0-00 + Testostérone</v>
      </c>
      <c r="V52" s="30" t="str">
        <f t="shared" si="38"/>
        <v>0-00 + Testostérone</v>
      </c>
    </row>
    <row r="53" spans="1:22" s="3" customFormat="1" x14ac:dyDescent="0.35">
      <c r="A53" s="45" t="s">
        <v>10</v>
      </c>
      <c r="B53" s="78">
        <f t="shared" ref="B53:V53" si="39">B46</f>
        <v>7.8273764123061966E-3</v>
      </c>
      <c r="C53" s="78">
        <f t="shared" si="39"/>
        <v>1.5533470719150906E-2</v>
      </c>
      <c r="D53" s="78">
        <f t="shared" si="39"/>
        <v>2.2659117661563088E-2</v>
      </c>
      <c r="E53" s="78">
        <f t="shared" si="39"/>
        <v>0.50327362124808706</v>
      </c>
      <c r="F53" s="78">
        <f t="shared" si="39"/>
        <v>1.4183370733821128</v>
      </c>
      <c r="G53" s="78">
        <f t="shared" si="39"/>
        <v>1.0329349185999244</v>
      </c>
      <c r="H53" s="78">
        <f t="shared" si="39"/>
        <v>2.8680260106413282</v>
      </c>
      <c r="I53" s="78" t="e">
        <f t="shared" si="39"/>
        <v>#DIV/0!</v>
      </c>
      <c r="J53" s="78" t="e">
        <f t="shared" si="39"/>
        <v>#DIV/0!</v>
      </c>
      <c r="K53" s="78" t="e">
        <f t="shared" si="39"/>
        <v>#DIV/0!</v>
      </c>
      <c r="L53" s="78" t="e">
        <f t="shared" si="39"/>
        <v>#DIV/0!</v>
      </c>
      <c r="M53" s="78" t="e">
        <f t="shared" si="39"/>
        <v>#DIV/0!</v>
      </c>
      <c r="N53" s="78"/>
      <c r="O53" s="78">
        <f t="shared" si="39"/>
        <v>0.99999999999999967</v>
      </c>
      <c r="P53" s="78">
        <f t="shared" si="39"/>
        <v>1.4651264166829563</v>
      </c>
      <c r="Q53" s="78">
        <f t="shared" si="39"/>
        <v>1.700995751945563E-2</v>
      </c>
      <c r="R53" s="78" t="e">
        <f t="shared" si="39"/>
        <v>#DIV/0!</v>
      </c>
      <c r="S53" s="78" t="e">
        <f t="shared" si="39"/>
        <v>#DIV/0!</v>
      </c>
      <c r="T53" s="78" t="e">
        <f t="shared" si="39"/>
        <v>#DIV/0!</v>
      </c>
      <c r="U53" s="78" t="e">
        <f t="shared" si="39"/>
        <v>#DIV/0!</v>
      </c>
      <c r="V53" s="78" t="e">
        <f t="shared" si="39"/>
        <v>#DIV/0!</v>
      </c>
    </row>
    <row r="54" spans="1:22" s="3" customFormat="1" x14ac:dyDescent="0.35">
      <c r="A54" s="45" t="s">
        <v>2</v>
      </c>
      <c r="B54" s="78">
        <f t="shared" ref="B54:V54" si="40">B48</f>
        <v>2.1128884387970419E-3</v>
      </c>
      <c r="C54" s="78">
        <f t="shared" si="40"/>
        <v>3.1393940503326259E-3</v>
      </c>
      <c r="D54" s="78">
        <f t="shared" si="40"/>
        <v>5.2415888737561952E-3</v>
      </c>
      <c r="E54" s="78">
        <f t="shared" si="40"/>
        <v>6.4364449163768156E-2</v>
      </c>
      <c r="F54" s="78">
        <f t="shared" si="40"/>
        <v>0.16045984067650534</v>
      </c>
      <c r="G54" s="78">
        <f t="shared" si="40"/>
        <v>9.6246094179370231E-2</v>
      </c>
      <c r="H54" s="78">
        <f t="shared" si="40"/>
        <v>0.20499577423516369</v>
      </c>
      <c r="I54" s="78" t="e">
        <f t="shared" si="40"/>
        <v>#DIV/0!</v>
      </c>
      <c r="J54" s="78" t="e">
        <f t="shared" si="40"/>
        <v>#DIV/0!</v>
      </c>
      <c r="K54" s="78" t="e">
        <f t="shared" si="40"/>
        <v>#DIV/0!</v>
      </c>
      <c r="L54" s="78" t="e">
        <f t="shared" si="40"/>
        <v>#DIV/0!</v>
      </c>
      <c r="M54" s="78" t="e">
        <f t="shared" si="40"/>
        <v>#DIV/0!</v>
      </c>
      <c r="N54" s="78"/>
      <c r="O54" s="78">
        <f t="shared" si="40"/>
        <v>0.10904204768021995</v>
      </c>
      <c r="P54" s="78">
        <f t="shared" si="40"/>
        <v>0.10342039112633647</v>
      </c>
      <c r="Q54" s="78">
        <f t="shared" si="40"/>
        <v>4.8356422855541179E-3</v>
      </c>
      <c r="R54" s="78" t="e">
        <f t="shared" si="40"/>
        <v>#DIV/0!</v>
      </c>
      <c r="S54" s="78" t="e">
        <f t="shared" si="40"/>
        <v>#DIV/0!</v>
      </c>
      <c r="T54" s="78" t="e">
        <f t="shared" si="40"/>
        <v>#DIV/0!</v>
      </c>
      <c r="U54" s="78" t="e">
        <f t="shared" si="40"/>
        <v>#DIV/0!</v>
      </c>
      <c r="V54" s="78" t="e">
        <f t="shared" si="40"/>
        <v>#DIV/0!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41">(C53*100/$B53)-100</f>
        <v>98.450539502983304</v>
      </c>
      <c r="D55" s="78">
        <f t="shared" si="41"/>
        <v>189.48547339487135</v>
      </c>
      <c r="E55" s="78">
        <f t="shared" si="41"/>
        <v>6329.659118690658</v>
      </c>
      <c r="F55" s="78">
        <f t="shared" si="41"/>
        <v>18020.210383037207</v>
      </c>
      <c r="G55" s="78">
        <f t="shared" si="41"/>
        <v>13096.43855348447</v>
      </c>
      <c r="H55" s="78">
        <f t="shared" si="41"/>
        <v>36540.961920934576</v>
      </c>
      <c r="I55" s="78" t="e">
        <f t="shared" si="41"/>
        <v>#DIV/0!</v>
      </c>
      <c r="J55" s="78" t="e">
        <f t="shared" si="41"/>
        <v>#DIV/0!</v>
      </c>
      <c r="K55" s="78" t="e">
        <f t="shared" si="41"/>
        <v>#DIV/0!</v>
      </c>
      <c r="L55" s="78" t="e">
        <f t="shared" si="41"/>
        <v>#DIV/0!</v>
      </c>
      <c r="M55" s="78" t="e">
        <f t="shared" si="41"/>
        <v>#DIV/0!</v>
      </c>
      <c r="N55" s="78"/>
      <c r="O55" s="78">
        <f t="shared" ref="O55:V55" si="42">(O53*100/$O53)-100</f>
        <v>0</v>
      </c>
      <c r="P55" s="78">
        <f t="shared" si="42"/>
        <v>46.512641668295686</v>
      </c>
      <c r="Q55" s="78">
        <f t="shared" si="42"/>
        <v>-98.29900424805443</v>
      </c>
      <c r="R55" s="78" t="e">
        <f t="shared" si="42"/>
        <v>#DIV/0!</v>
      </c>
      <c r="S55" s="78" t="e">
        <f t="shared" si="42"/>
        <v>#DIV/0!</v>
      </c>
      <c r="T55" s="78" t="e">
        <f t="shared" si="42"/>
        <v>#DIV/0!</v>
      </c>
      <c r="U55" s="78" t="e">
        <f t="shared" si="42"/>
        <v>#DIV/0!</v>
      </c>
      <c r="V55" s="78" t="e">
        <f t="shared" si="42"/>
        <v>#DIV/0!</v>
      </c>
    </row>
    <row r="56" spans="1:22" s="3" customFormat="1" x14ac:dyDescent="0.35">
      <c r="A56" s="45" t="s">
        <v>38</v>
      </c>
      <c r="B56" s="78">
        <f>[1]!SWTEST(B28:B43)</f>
        <v>0.72121346372929418</v>
      </c>
      <c r="C56" s="78">
        <f>[1]!SWTEST(C28:C43)</f>
        <v>0.88201655135684487</v>
      </c>
      <c r="D56" s="78">
        <f>[1]!SWTEST(D28:D43)</f>
        <v>0.36702999962753802</v>
      </c>
      <c r="E56" s="78">
        <f>[1]!SWTEST(E28:E43)</f>
        <v>0.91304066279730101</v>
      </c>
      <c r="F56" s="78">
        <f>[1]!SWTEST(F28:F43)</f>
        <v>0.68854562637740979</v>
      </c>
      <c r="G56" s="78">
        <f>[1]!SWTEST(G28:G43)</f>
        <v>0.49883001989991937</v>
      </c>
      <c r="H56" s="78">
        <f>[1]!SWTEST(H28:H43)</f>
        <v>0.31721321252051715</v>
      </c>
      <c r="I56" s="78" t="e">
        <f>[1]!SWTEST(I28:I43)</f>
        <v>#VALUE!</v>
      </c>
      <c r="J56" s="78" t="e">
        <f>[1]!SWTEST(J28:J43)</f>
        <v>#VALUE!</v>
      </c>
      <c r="K56" s="78" t="e">
        <f>[1]!SWTEST(K28:K43)</f>
        <v>#VALUE!</v>
      </c>
      <c r="L56" s="78" t="e">
        <f>[1]!SWTEST(L28:L43)</f>
        <v>#VALUE!</v>
      </c>
      <c r="M56" s="78" t="e">
        <f>[1]!SWTEST(M28:M43)</f>
        <v>#VALUE!</v>
      </c>
      <c r="N56" s="78"/>
      <c r="O56" s="78">
        <f>[1]!SWTEST(O28:O43)</f>
        <v>0.28990895459584498</v>
      </c>
      <c r="P56" s="78">
        <f>[1]!SWTEST(P28:P43)</f>
        <v>0.35958582332906519</v>
      </c>
      <c r="Q56" s="78">
        <f>[1]!SWTEST(Q28:Q43)</f>
        <v>7.225178442184732E-3</v>
      </c>
      <c r="R56" s="78" t="e">
        <f>[1]!SWTEST(R28:R43)</f>
        <v>#VALUE!</v>
      </c>
      <c r="S56" s="78" t="e">
        <f>[1]!SWTEST(S28:S43)</f>
        <v>#VALUE!</v>
      </c>
      <c r="T56" s="78" t="e">
        <f>[1]!SWTEST(T28:T43)</f>
        <v>#VALUE!</v>
      </c>
      <c r="U56" s="78" t="e">
        <f>[1]!SWTEST(U28:U43)</f>
        <v>#VALUE!</v>
      </c>
      <c r="V56" s="78" t="e">
        <f>[1]!SWTEST(V28:V43)</f>
        <v>#VALUE!</v>
      </c>
    </row>
    <row r="57" spans="1:22" s="3" customFormat="1" x14ac:dyDescent="0.35">
      <c r="A57" s="45" t="s">
        <v>39</v>
      </c>
      <c r="B57" s="78" t="str">
        <f>IF(B56&gt;0.05,"Oui","Non")</f>
        <v>Oui</v>
      </c>
      <c r="C57" s="78" t="str">
        <f t="shared" ref="C57:V57" si="43">IF(C56&gt;0.05,"Oui","Non")</f>
        <v>Oui</v>
      </c>
      <c r="D57" s="78" t="str">
        <f t="shared" si="43"/>
        <v>Oui</v>
      </c>
      <c r="E57" s="78" t="str">
        <f t="shared" si="43"/>
        <v>Oui</v>
      </c>
      <c r="F57" s="78" t="str">
        <f t="shared" si="43"/>
        <v>Oui</v>
      </c>
      <c r="G57" s="78" t="str">
        <f t="shared" si="43"/>
        <v>Oui</v>
      </c>
      <c r="H57" s="78" t="str">
        <f t="shared" si="43"/>
        <v>Oui</v>
      </c>
      <c r="I57" s="78" t="e">
        <f t="shared" si="43"/>
        <v>#VALUE!</v>
      </c>
      <c r="J57" s="78" t="e">
        <f t="shared" si="43"/>
        <v>#VALUE!</v>
      </c>
      <c r="K57" s="78" t="e">
        <f t="shared" si="43"/>
        <v>#VALUE!</v>
      </c>
      <c r="L57" s="78" t="e">
        <f t="shared" si="43"/>
        <v>#VALUE!</v>
      </c>
      <c r="M57" s="78" t="e">
        <f t="shared" si="43"/>
        <v>#VALUE!</v>
      </c>
      <c r="N57" s="78"/>
      <c r="O57" s="78" t="str">
        <f t="shared" si="43"/>
        <v>Oui</v>
      </c>
      <c r="P57" s="78" t="str">
        <f t="shared" si="43"/>
        <v>Oui</v>
      </c>
      <c r="Q57" s="78" t="str">
        <f t="shared" si="43"/>
        <v>Non</v>
      </c>
      <c r="R57" s="78" t="e">
        <f t="shared" si="43"/>
        <v>#VALUE!</v>
      </c>
      <c r="S57" s="78" t="e">
        <f t="shared" si="43"/>
        <v>#VALUE!</v>
      </c>
      <c r="T57" s="78" t="e">
        <f t="shared" si="43"/>
        <v>#VALUE!</v>
      </c>
      <c r="U57" s="78" t="e">
        <f t="shared" si="43"/>
        <v>#VALUE!</v>
      </c>
      <c r="V57" s="78" t="e">
        <f t="shared" si="43"/>
        <v>#VALUE!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O59" si="44">IF($B57="Non",IF(C57="Non","MW",IF(C57="Oui","MW","")),IF($B57="Oui",IF(C57="Oui","T-Test Welch",IF(C57="Non","MW",""))))</f>
        <v>T-Test Welch</v>
      </c>
      <c r="D59" s="82" t="str">
        <f t="shared" si="44"/>
        <v>T-Test Welch</v>
      </c>
      <c r="E59" s="82" t="str">
        <f t="shared" si="44"/>
        <v>T-Test Welch</v>
      </c>
      <c r="F59" s="82" t="str">
        <f t="shared" si="44"/>
        <v>T-Test Welch</v>
      </c>
      <c r="G59" s="82" t="str">
        <f t="shared" si="44"/>
        <v>T-Test Welch</v>
      </c>
      <c r="H59" s="82" t="str">
        <f t="shared" si="44"/>
        <v>T-Test Welch</v>
      </c>
      <c r="I59" s="82" t="e">
        <f t="shared" si="44"/>
        <v>#VALUE!</v>
      </c>
      <c r="J59" s="82" t="e">
        <f t="shared" si="44"/>
        <v>#VALUE!</v>
      </c>
      <c r="K59" s="82" t="e">
        <f t="shared" si="44"/>
        <v>#VALUE!</v>
      </c>
      <c r="L59" s="82" t="e">
        <f t="shared" si="44"/>
        <v>#VALUE!</v>
      </c>
      <c r="M59" s="82" t="e">
        <f t="shared" si="44"/>
        <v>#VALUE!</v>
      </c>
      <c r="N59" s="82"/>
      <c r="O59" s="82" t="str">
        <f t="shared" si="44"/>
        <v>T-Test Welch</v>
      </c>
      <c r="P59" s="82" t="str">
        <f t="shared" ref="P59:V59" si="45">IF($O57="Non",IF(P57="Non","MW",IF(P57="Oui","MW","")),IF($O57="Oui",IF(P57="Oui","T-Test Welch",IF(P57="Non","MW",""))))</f>
        <v>T-Test Welch</v>
      </c>
      <c r="Q59" s="82" t="str">
        <f t="shared" si="45"/>
        <v>MW</v>
      </c>
      <c r="R59" s="82" t="e">
        <f t="shared" si="45"/>
        <v>#VALUE!</v>
      </c>
      <c r="S59" s="82" t="e">
        <f t="shared" si="45"/>
        <v>#VALUE!</v>
      </c>
      <c r="T59" s="82" t="e">
        <f t="shared" si="45"/>
        <v>#VALUE!</v>
      </c>
      <c r="U59" s="82" t="e">
        <f t="shared" si="45"/>
        <v>#VALUE!</v>
      </c>
      <c r="V59" s="82" t="e">
        <f t="shared" si="45"/>
        <v>#VALUE!</v>
      </c>
    </row>
    <row r="60" spans="1:22" s="3" customFormat="1" x14ac:dyDescent="0.35">
      <c r="A60" s="45" t="s">
        <v>41</v>
      </c>
      <c r="B60" s="83"/>
      <c r="C60" s="83">
        <f>IF(C59="MW",[1]!MTEST($B28:$B43,C28:C43,2), IF(C59="T-Test Welch",_xlfn.T.TEST($B28:$B43,C28:C43,2,3),""))</f>
        <v>6.3902760664821687E-2</v>
      </c>
      <c r="D60" s="83">
        <f>IF(D59="MW",[1]!MTEST($B28:$B43,D28:D43,2), IF(D59="T-Test Welch",_xlfn.T.TEST($B28:$B43,D28:D43,2,3),""))</f>
        <v>2.7087120206121619E-2</v>
      </c>
      <c r="E60" s="83">
        <f>IF(E59="MW",[1]!MTEST($B28:$B43,E28:E43,2), IF(E59="T-Test Welch",_xlfn.T.TEST($B28:$B43,E28:E43,2,3),""))</f>
        <v>1.1559542900853737E-4</v>
      </c>
      <c r="F60" s="83">
        <f>IF(F59="MW",[1]!MTEST($B28:$B43,F28:F43,2), IF(F59="T-Test Welch",_xlfn.T.TEST($B28:$B43,F28:F43,2,3),""))</f>
        <v>4.9634871565368724E-5</v>
      </c>
      <c r="G60" s="83">
        <f>IF(G59="MW",[1]!MTEST($B28:$B43,G28:G43,2), IF(G59="T-Test Welch",_xlfn.T.TEST($B28:$B43,G28:G43,2,3),""))</f>
        <v>1.4023105263479353E-5</v>
      </c>
      <c r="H60" s="83">
        <f>IF(H59="MW",[1]!MTEST($B28:$B43,H28:H43,2), IF(H59="T-Test Welch",_xlfn.T.TEST($B28:$B43,H28:H43,2,3),""))</f>
        <v>2.2951419858128708E-6</v>
      </c>
      <c r="I60" s="83" t="e">
        <f>IF(I59="MW",[1]!MTEST($B28:$B43,I28:I43,2), IF(I59="T-Test Welch",_xlfn.T.TEST($B28:$B43,I28:I43,2,3),""))</f>
        <v>#VALUE!</v>
      </c>
      <c r="J60" s="83" t="e">
        <f>IF(J59="MW",[1]!MTEST($B28:$B43,J28:J43,2), IF(J59="T-Test Welch",_xlfn.T.TEST($B28:$B43,J28:J43,2,3),""))</f>
        <v>#VALUE!</v>
      </c>
      <c r="K60" s="83" t="e">
        <f>IF(K59="MW",[1]!MTEST($B28:$B43,K28:K43,2), IF(K59="T-Test Welch",_xlfn.T.TEST($B28:$B43,K28:K43,2,3),""))</f>
        <v>#VALUE!</v>
      </c>
      <c r="L60" s="83" t="e">
        <f>IF(L59="MW",[1]!MTEST($B28:$B43,L28:L43,2), IF(L59="T-Test Welch",_xlfn.T.TEST($B28:$B43,L28:L43,2,3),""))</f>
        <v>#VALUE!</v>
      </c>
      <c r="M60" s="83" t="e">
        <f>IF(M59="MW",[1]!MTEST($B28:$B43,M28:M43,2), IF(M59="T-Test Welch",_xlfn.T.TEST($B28:$B43,M28:M43,2,3),""))</f>
        <v>#VALUE!</v>
      </c>
      <c r="N60" s="83"/>
      <c r="O60" s="83">
        <f>IF(O59="MW",[1]!MTEST($B28:$B43,O28:O43,2), IF(O59="T-Test Welch",_xlfn.T.TEST($B28:$B43,O28:O43,2,3),""))</f>
        <v>1.6986962965146495E-7</v>
      </c>
      <c r="P60" s="83">
        <f>IF(P59="MW",[1]!MTEST($O28:$O43,P28:P43,2), IF(P59="T-Test Welch",_xlfn.T.TEST($O28:$O43,P28:P43,2,3),""))</f>
        <v>5.7587359091162875E-3</v>
      </c>
      <c r="Q60" s="83">
        <f>IF(Q59="MW",[1]!MTEST($O28:$O43,Q28:Q43,2), IF(Q59="T-Test Welch",_xlfn.T.TEST($O28:$O43,Q28:Q43,2,3),""))</f>
        <v>8.884941911446731E-5</v>
      </c>
      <c r="R60" s="83" t="e">
        <f>IF(R59="MW",[1]!MTEST($O28:$O43,R28:R43,2), IF(R59="T-Test Welch",_xlfn.T.TEST($O28:$O43,R28:R43,2,3),""))</f>
        <v>#VALUE!</v>
      </c>
      <c r="S60" s="83" t="e">
        <f>IF(S59="MW",[1]!MTEST($O28:$O43,S28:S43,2), IF(S59="T-Test Welch",_xlfn.T.TEST($O28:$O43,S28:S43,2,3),""))</f>
        <v>#VALUE!</v>
      </c>
      <c r="T60" s="83" t="e">
        <f>IF(T59="MW",[1]!MTEST($O28:$O43,T28:T43,2), IF(T59="T-Test Welch",_xlfn.T.TEST($O28:$O43,T28:T43,2,3),""))</f>
        <v>#VALUE!</v>
      </c>
      <c r="U60" s="83" t="e">
        <f>IF(U59="MW",[1]!MTEST($O28:$O43,U28:U43,2), IF(U59="T-Test Welch",_xlfn.T.TEST($O28:$O43,U28:U43,2,3),""))</f>
        <v>#VALUE!</v>
      </c>
      <c r="V60" s="83" t="e">
        <f>IF(V59="MW",[1]!MTEST($O28:$O43,V28:V43,2), IF(V59="T-Test Welch",_xlfn.T.TEST($O28:$O43,V28:V43,2,3),""))</f>
        <v>#VALUE!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46">IF(C60&gt;0.05,"NS",IF(C60&gt;0.01,"*",IF(C60&gt;0.001,"**","***")))</f>
        <v>NS</v>
      </c>
      <c r="D61" s="79" t="str">
        <f t="shared" si="46"/>
        <v>*</v>
      </c>
      <c r="E61" s="79" t="str">
        <f t="shared" si="46"/>
        <v>***</v>
      </c>
      <c r="F61" s="79" t="str">
        <f t="shared" si="46"/>
        <v>***</v>
      </c>
      <c r="G61" s="79" t="str">
        <f t="shared" si="46"/>
        <v>***</v>
      </c>
      <c r="H61" s="79" t="str">
        <f t="shared" si="46"/>
        <v>***</v>
      </c>
      <c r="I61" s="79" t="e">
        <f t="shared" si="46"/>
        <v>#VALUE!</v>
      </c>
      <c r="J61" s="79" t="e">
        <f t="shared" si="46"/>
        <v>#VALUE!</v>
      </c>
      <c r="K61" s="79" t="e">
        <f t="shared" si="46"/>
        <v>#VALUE!</v>
      </c>
      <c r="L61" s="79" t="e">
        <f t="shared" si="46"/>
        <v>#VALUE!</v>
      </c>
      <c r="M61" s="79" t="e">
        <f t="shared" si="46"/>
        <v>#VALUE!</v>
      </c>
      <c r="N61" s="79"/>
      <c r="O61" s="79" t="str">
        <f t="shared" si="46"/>
        <v>***</v>
      </c>
      <c r="P61" s="79" t="str">
        <f>IF(P60&gt;0.05,"NS",IF(P60&gt;0.01,"*",IF(P60&gt;0.001,"**","***")))</f>
        <v>**</v>
      </c>
      <c r="Q61" s="79" t="str">
        <f t="shared" ref="Q61:V61" si="47">IF(Q60&gt;0.05,"NS",IF(Q60&gt;0.01,"*",IF(Q60&gt;0.001,"**","***")))</f>
        <v>***</v>
      </c>
      <c r="R61" s="79" t="e">
        <f t="shared" si="47"/>
        <v>#VALUE!</v>
      </c>
      <c r="S61" s="79" t="e">
        <f t="shared" si="47"/>
        <v>#VALUE!</v>
      </c>
      <c r="T61" s="79" t="e">
        <f t="shared" si="47"/>
        <v>#VALUE!</v>
      </c>
      <c r="U61" s="79" t="e">
        <f t="shared" si="47"/>
        <v>#VALUE!</v>
      </c>
      <c r="V61" s="79" t="e">
        <f t="shared" si="47"/>
        <v>#VALUE!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4"/>
  <sheetViews>
    <sheetView showGridLines="0" tabSelected="1" topLeftCell="A82" zoomScale="70" zoomScaleNormal="70" workbookViewId="0">
      <selection activeCell="A97" sqref="A97:M105"/>
    </sheetView>
  </sheetViews>
  <sheetFormatPr baseColWidth="10" defaultRowHeight="14.5" x14ac:dyDescent="0.35"/>
  <cols>
    <col min="1" max="1" width="42.81640625" customWidth="1"/>
    <col min="2" max="2" width="14" bestFit="1" customWidth="1"/>
    <col min="3" max="8" width="22.7265625" bestFit="1" customWidth="1"/>
    <col min="9" max="9" width="8.453125" customWidth="1"/>
    <col min="10" max="10" width="22.7265625" customWidth="1"/>
  </cols>
  <sheetData>
    <row r="1" spans="1:12" s="1" customFormat="1" ht="21.5" thickBot="1" x14ac:dyDescent="0.4">
      <c r="A1" s="22"/>
      <c r="B1" s="39"/>
      <c r="C1" s="23"/>
      <c r="D1" s="23"/>
      <c r="E1" s="23"/>
      <c r="F1" s="23"/>
      <c r="G1" s="23"/>
      <c r="H1" s="40"/>
      <c r="I1" s="41"/>
      <c r="J1" s="41"/>
      <c r="K1" s="41"/>
      <c r="L1" s="41"/>
    </row>
    <row r="2" spans="1:12" ht="15" thickBot="1" x14ac:dyDescent="0.4">
      <c r="A2" s="1"/>
      <c r="B2" s="1"/>
      <c r="C2" s="1"/>
      <c r="D2" s="1"/>
      <c r="E2" s="1"/>
      <c r="F2" s="1"/>
      <c r="G2" s="1"/>
      <c r="H2" s="1"/>
    </row>
    <row r="3" spans="1:12" s="18" customFormat="1" ht="15" thickBot="1" x14ac:dyDescent="0.4">
      <c r="B3" s="142" t="s">
        <v>42</v>
      </c>
      <c r="C3" s="143"/>
      <c r="D3" s="143"/>
      <c r="E3" s="143"/>
      <c r="F3" s="143"/>
      <c r="G3" s="143"/>
      <c r="H3" s="143"/>
      <c r="I3" s="55"/>
      <c r="J3" s="142" t="s">
        <v>43</v>
      </c>
      <c r="K3" s="143"/>
      <c r="L3" s="143"/>
    </row>
    <row r="4" spans="1:12" x14ac:dyDescent="0.35">
      <c r="A4" s="19"/>
      <c r="B4" s="20" t="str">
        <f>'R1'!B4</f>
        <v>Solvent control</v>
      </c>
      <c r="C4" s="20" t="str">
        <f>'R1'!C4</f>
        <v>EE2-33.8ng/L</v>
      </c>
      <c r="D4" s="20" t="str">
        <f>'R1'!D4</f>
        <v>EE2-50.6ng/L</v>
      </c>
      <c r="E4" s="20" t="str">
        <f>'R1'!E4</f>
        <v>EE2-76ng/L</v>
      </c>
      <c r="F4" s="20" t="str">
        <f>'R1'!F4</f>
        <v>EE2-114ng/L</v>
      </c>
      <c r="G4" s="20" t="str">
        <f>'R1'!G4</f>
        <v>EE2-170.9ng/L</v>
      </c>
      <c r="H4" s="20" t="str">
        <f>'R1'!H4</f>
        <v>EE2-488ng/L</v>
      </c>
      <c r="J4" s="20" t="str">
        <f>'R1'!O4</f>
        <v>Testo -30µg/L</v>
      </c>
      <c r="K4" s="20" t="str">
        <f>'R1'!P4</f>
        <v>Testo 30µg/L + EE2 -64ng/L</v>
      </c>
      <c r="L4" s="20" t="str">
        <f>'R1'!Q4</f>
        <v>Testo 30µg/L + FAD-10mg/L</v>
      </c>
    </row>
    <row r="5" spans="1:12" s="1" customFormat="1" x14ac:dyDescent="0.35">
      <c r="A5" s="19"/>
      <c r="B5" s="20"/>
      <c r="C5" s="115"/>
      <c r="D5" s="20"/>
      <c r="E5" s="20"/>
      <c r="F5" s="20"/>
      <c r="G5" s="20"/>
      <c r="H5" s="20"/>
      <c r="J5" s="20"/>
      <c r="K5" s="20"/>
      <c r="L5" s="20"/>
    </row>
    <row r="6" spans="1:12" s="1" customFormat="1" x14ac:dyDescent="0.35">
      <c r="A6" s="54" t="s">
        <v>3</v>
      </c>
      <c r="B6" s="37">
        <f>'R1'!B28</f>
        <v>7.1569804549938181E-3</v>
      </c>
      <c r="C6" s="37">
        <f>'R1'!C28</f>
        <v>0</v>
      </c>
      <c r="D6" s="37">
        <f>'R1'!D28</f>
        <v>0.16429514045416066</v>
      </c>
      <c r="E6" s="37">
        <f>'R1'!E28</f>
        <v>1.2362123423507865</v>
      </c>
      <c r="F6" s="37">
        <f>'R1'!F28</f>
        <v>1.2742445409519729</v>
      </c>
      <c r="G6" s="37">
        <f>'R1'!G28</f>
        <v>2.215695813824778</v>
      </c>
      <c r="H6" s="37">
        <f>'R1'!H28</f>
        <v>3.5403970297898804</v>
      </c>
      <c r="I6"/>
      <c r="J6" s="37">
        <f>'R1'!O28</f>
        <v>1.9008660385246547E-2</v>
      </c>
      <c r="K6" s="37">
        <f>'R1'!P28</f>
        <v>1.837595831826953</v>
      </c>
      <c r="L6" s="37">
        <f>'R1'!Q28</f>
        <v>3.9723807951010277E-4</v>
      </c>
    </row>
    <row r="7" spans="1:12" s="1" customFormat="1" x14ac:dyDescent="0.35">
      <c r="A7" s="144"/>
      <c r="B7" s="37">
        <f>'R1'!B29</f>
        <v>5.9511322773049106E-5</v>
      </c>
      <c r="C7" s="37">
        <f>'R1'!C29</f>
        <v>0.51427081520097717</v>
      </c>
      <c r="D7" s="37">
        <f>'R1'!D29</f>
        <v>0.54171892504697672</v>
      </c>
      <c r="E7" s="37">
        <f>'R1'!E29</f>
        <v>1.2345795004322009</v>
      </c>
      <c r="F7" s="37">
        <f>'R1'!F29</f>
        <v>0.67494989890514046</v>
      </c>
      <c r="G7" s="37">
        <f>'R1'!G29</f>
        <v>2.2751535764073312</v>
      </c>
      <c r="H7" s="37">
        <f>'R1'!H29</f>
        <v>4.5823956580538905</v>
      </c>
      <c r="I7"/>
      <c r="J7" s="37">
        <f>'R1'!O29</f>
        <v>1.0271847722427287</v>
      </c>
      <c r="K7" s="37">
        <f>'R1'!P29</f>
        <v>3.169567099760318</v>
      </c>
      <c r="L7" s="37">
        <f>'R1'!Q29</f>
        <v>6.5752572748872633E-3</v>
      </c>
    </row>
    <row r="8" spans="1:12" s="1" customFormat="1" x14ac:dyDescent="0.35">
      <c r="A8" s="145"/>
      <c r="B8" s="37">
        <f>'R1'!B30</f>
        <v>1.0552101419196269E-2</v>
      </c>
      <c r="C8" s="37">
        <f>'R1'!C30</f>
        <v>0.10351325093990696</v>
      </c>
      <c r="D8" s="37">
        <f>'R1'!D30</f>
        <v>4.6090775596191867E-2</v>
      </c>
      <c r="E8" s="37">
        <f>'R1'!E30</f>
        <v>0.5588886855585361</v>
      </c>
      <c r="F8" s="37">
        <f>'R1'!F30</f>
        <v>1.2920451214849265</v>
      </c>
      <c r="G8" s="37">
        <f>'R1'!G30</f>
        <v>1.4449006979190377</v>
      </c>
      <c r="H8" s="37">
        <f>'R1'!H30</f>
        <v>4.5762890524458406</v>
      </c>
      <c r="I8"/>
      <c r="J8" s="37">
        <f>'R1'!O30</f>
        <v>0.28475424055369336</v>
      </c>
      <c r="K8" s="37">
        <f>'R1'!P30</f>
        <v>2.6660685778727977</v>
      </c>
      <c r="L8" s="37">
        <f>'R1'!Q30</f>
        <v>7.6129115765888405E-2</v>
      </c>
    </row>
    <row r="9" spans="1:12" s="1" customFormat="1" x14ac:dyDescent="0.35">
      <c r="A9" s="145"/>
      <c r="B9" s="37">
        <f>'R1'!B31</f>
        <v>2.9651516571671719E-3</v>
      </c>
      <c r="C9" s="37">
        <f>'R1'!C31</f>
        <v>7.4515615027204111E-3</v>
      </c>
      <c r="D9" s="37">
        <f>'R1'!D31</f>
        <v>7.8144317933290783E-2</v>
      </c>
      <c r="E9" s="37">
        <f>'R1'!E31</f>
        <v>0.69397715657875358</v>
      </c>
      <c r="F9" s="37">
        <f>'R1'!F31</f>
        <v>1.4041704047216284</v>
      </c>
      <c r="G9" s="37">
        <f>'R1'!G31</f>
        <v>2.2719853423612011</v>
      </c>
      <c r="H9" s="37">
        <f>'R1'!H31</f>
        <v>3.8905661163357093</v>
      </c>
      <c r="I9"/>
      <c r="J9" s="37">
        <f>'R1'!O31</f>
        <v>0.72760402951166492</v>
      </c>
      <c r="K9" s="37">
        <f>'R1'!P31</f>
        <v>2.2687218901986341</v>
      </c>
      <c r="L9" s="37">
        <f>'R1'!Q31</f>
        <v>1.6149885217536201E-3</v>
      </c>
    </row>
    <row r="10" spans="1:12" s="1" customFormat="1" x14ac:dyDescent="0.35">
      <c r="A10" s="145"/>
      <c r="B10" s="37">
        <f>'R1'!B32</f>
        <v>6.570942703986217E-2</v>
      </c>
      <c r="C10" s="37">
        <f>'R1'!C32</f>
        <v>0.14823080276311071</v>
      </c>
      <c r="D10" s="37">
        <f>'R1'!D32</f>
        <v>0.36003011272932317</v>
      </c>
      <c r="E10" s="37">
        <f>'R1'!E32</f>
        <v>0.81166451682013152</v>
      </c>
      <c r="F10" s="37">
        <f>'R1'!F32</f>
        <v>1.4641302940900793</v>
      </c>
      <c r="G10" s="37">
        <f>'R1'!G32</f>
        <v>2.5565268299359807</v>
      </c>
      <c r="H10" s="37">
        <f>'R1'!H32</f>
        <v>2.492863104616442</v>
      </c>
      <c r="I10"/>
      <c r="J10" s="37">
        <f>'R1'!O32</f>
        <v>2.8359347220300504</v>
      </c>
      <c r="K10" s="37">
        <f>'R1'!P32</f>
        <v>2.0297474785796434</v>
      </c>
      <c r="L10" s="37">
        <f>'R1'!Q32</f>
        <v>1.1976653708076133E-4</v>
      </c>
    </row>
    <row r="11" spans="1:12" s="1" customFormat="1" x14ac:dyDescent="0.35">
      <c r="A11" s="145"/>
      <c r="B11" s="37">
        <f>'R1'!B33</f>
        <v>4.7428292575516152E-2</v>
      </c>
      <c r="C11" s="37">
        <f>'R1'!C33</f>
        <v>6.5603794441940009E-3</v>
      </c>
      <c r="D11" s="37">
        <f>'R1'!D33</f>
        <v>0.32957370551714593</v>
      </c>
      <c r="E11" s="37">
        <f>'R1'!E33</f>
        <v>0.12789132042235185</v>
      </c>
      <c r="F11" s="37">
        <f>'R1'!F33</f>
        <v>1.7057864346915306</v>
      </c>
      <c r="G11" s="37">
        <f>'R1'!G33</f>
        <v>2.4845054832245022</v>
      </c>
      <c r="H11" s="37">
        <f>'R1'!H33</f>
        <v>4.723708269544634</v>
      </c>
      <c r="I11"/>
      <c r="J11" s="37">
        <f>'R1'!O33</f>
        <v>0.60022525035669594</v>
      </c>
      <c r="K11" s="37">
        <f>'R1'!P33</f>
        <v>1.7362473052529157</v>
      </c>
      <c r="L11" s="37">
        <f>'R1'!Q33</f>
        <v>2.3615580659415211E-2</v>
      </c>
    </row>
    <row r="12" spans="1:12" s="1" customFormat="1" x14ac:dyDescent="0.35">
      <c r="A12" s="145"/>
      <c r="B12" s="37">
        <f>'R1'!B34</f>
        <v>1.5056364661581423E-3</v>
      </c>
      <c r="C12" s="37">
        <f>'R1'!C34</f>
        <v>7.0467357295567454E-2</v>
      </c>
      <c r="D12" s="37">
        <f>'R1'!D34</f>
        <v>0.21944279548487594</v>
      </c>
      <c r="E12" s="37">
        <f>'R1'!E34</f>
        <v>1.0103066172127575</v>
      </c>
      <c r="F12" s="37">
        <f>'R1'!F34</f>
        <v>0.77551659547624685</v>
      </c>
      <c r="G12" s="37">
        <f>'R1'!G34</f>
        <v>2.6366060097509303</v>
      </c>
      <c r="H12" s="37">
        <f>'R1'!H34</f>
        <v>4.1268476405992196</v>
      </c>
      <c r="I12"/>
      <c r="J12" s="37">
        <f>'R1'!O34</f>
        <v>0.68278605233128165</v>
      </c>
      <c r="K12" s="37">
        <f>'R1'!P34</f>
        <v>1.9358981225665448</v>
      </c>
      <c r="L12" s="37">
        <f>'R1'!Q34</f>
        <v>1.6073264389465901E-2</v>
      </c>
    </row>
    <row r="13" spans="1:12" s="1" customFormat="1" x14ac:dyDescent="0.35">
      <c r="A13" s="145"/>
      <c r="B13" s="37" t="str">
        <f>'R1'!B35</f>
        <v/>
      </c>
      <c r="C13" s="37">
        <f>'R1'!C35</f>
        <v>2.3294219516440746E-2</v>
      </c>
      <c r="D13" s="37">
        <f>'R1'!D35</f>
        <v>0.31147556837032708</v>
      </c>
      <c r="E13" s="37">
        <f>'R1'!E35</f>
        <v>0.62857123728503395</v>
      </c>
      <c r="F13" s="37">
        <f>'R1'!F35</f>
        <v>0.73681266281925961</v>
      </c>
      <c r="G13" s="37">
        <f>'R1'!G35</f>
        <v>2.8333296138756601</v>
      </c>
      <c r="H13" s="37">
        <f>'R1'!H35</f>
        <v>3.3792969034770977</v>
      </c>
      <c r="I13"/>
      <c r="J13" s="37">
        <f>'R1'!O35</f>
        <v>0.89284539999791712</v>
      </c>
      <c r="K13" s="37">
        <f>'R1'!P35</f>
        <v>2.3092684421869816</v>
      </c>
      <c r="L13" s="37">
        <f>'R1'!Q35</f>
        <v>3.1453221868625779E-2</v>
      </c>
    </row>
    <row r="14" spans="1:12" s="1" customFormat="1" x14ac:dyDescent="0.35">
      <c r="A14" s="145"/>
      <c r="B14" s="37" t="str">
        <f>'R1'!B36</f>
        <v/>
      </c>
      <c r="C14" s="37" t="str">
        <f>'R1'!C36</f>
        <v/>
      </c>
      <c r="D14" s="37" t="str">
        <f>'R1'!D36</f>
        <v/>
      </c>
      <c r="E14" s="37" t="str">
        <f>'R1'!E36</f>
        <v/>
      </c>
      <c r="F14" s="37" t="str">
        <f>'R1'!F36</f>
        <v/>
      </c>
      <c r="G14" s="37" t="str">
        <f>'R1'!G36</f>
        <v/>
      </c>
      <c r="H14" s="37" t="str">
        <f>'R1'!H36</f>
        <v/>
      </c>
      <c r="I14"/>
      <c r="J14" s="37">
        <f>'R1'!O36</f>
        <v>0.35171489315485888</v>
      </c>
      <c r="K14" s="37" t="str">
        <f>'R1'!P36</f>
        <v/>
      </c>
      <c r="L14" s="37" t="str">
        <f>'R1'!Q36</f>
        <v/>
      </c>
    </row>
    <row r="15" spans="1:12" s="1" customFormat="1" x14ac:dyDescent="0.35">
      <c r="A15" s="145"/>
      <c r="B15" s="37" t="str">
        <f>'R1'!B37</f>
        <v/>
      </c>
      <c r="C15" s="37" t="str">
        <f>'R1'!C37</f>
        <v/>
      </c>
      <c r="D15" s="37" t="str">
        <f>'R1'!D37</f>
        <v/>
      </c>
      <c r="E15" s="37" t="str">
        <f>'R1'!E37</f>
        <v/>
      </c>
      <c r="F15" s="37" t="str">
        <f>'R1'!F37</f>
        <v/>
      </c>
      <c r="G15" s="37" t="str">
        <f>'R1'!G37</f>
        <v/>
      </c>
      <c r="H15" s="37" t="str">
        <f>'R1'!H37</f>
        <v/>
      </c>
      <c r="I15"/>
      <c r="J15" s="37">
        <f>'R1'!O37</f>
        <v>0.49493261086587487</v>
      </c>
      <c r="K15" s="37" t="str">
        <f>'R1'!P37</f>
        <v/>
      </c>
      <c r="L15" s="37" t="str">
        <f>'R1'!Q37</f>
        <v/>
      </c>
    </row>
    <row r="16" spans="1:12" s="1" customFormat="1" x14ac:dyDescent="0.35">
      <c r="A16" s="145"/>
      <c r="B16" s="37" t="str">
        <f>'R1'!B38</f>
        <v/>
      </c>
      <c r="C16" s="37" t="str">
        <f>'R1'!C38</f>
        <v/>
      </c>
      <c r="D16" s="37" t="str">
        <f>'R1'!D38</f>
        <v/>
      </c>
      <c r="E16" s="37" t="str">
        <f>'R1'!E38</f>
        <v/>
      </c>
      <c r="F16" s="37" t="str">
        <f>'R1'!F38</f>
        <v/>
      </c>
      <c r="G16" s="37" t="str">
        <f>'R1'!G38</f>
        <v/>
      </c>
      <c r="H16" s="37" t="str">
        <f>'R1'!H38</f>
        <v/>
      </c>
      <c r="I16"/>
      <c r="J16" s="37">
        <f>'R1'!O38</f>
        <v>1.215684655451758</v>
      </c>
      <c r="K16" s="37" t="str">
        <f>'R1'!P38</f>
        <v/>
      </c>
      <c r="L16" s="37" t="str">
        <f>'R1'!Q38</f>
        <v/>
      </c>
    </row>
    <row r="17" spans="1:12" s="1" customFormat="1" x14ac:dyDescent="0.35">
      <c r="A17" s="145"/>
      <c r="B17" s="37" t="str">
        <f>'R1'!B39</f>
        <v/>
      </c>
      <c r="C17" s="37" t="str">
        <f>'R1'!C39</f>
        <v/>
      </c>
      <c r="D17" s="37" t="str">
        <f>'R1'!D39</f>
        <v/>
      </c>
      <c r="E17" s="37" t="str">
        <f>'R1'!E39</f>
        <v/>
      </c>
      <c r="F17" s="37" t="str">
        <f>'R1'!F39</f>
        <v/>
      </c>
      <c r="G17" s="37" t="str">
        <f>'R1'!G39</f>
        <v/>
      </c>
      <c r="H17" s="37" t="str">
        <f>'R1'!H39</f>
        <v/>
      </c>
      <c r="I17"/>
      <c r="J17" s="37">
        <f>'R1'!O39</f>
        <v>0.4505341885110416</v>
      </c>
      <c r="K17" s="37" t="str">
        <f>'R1'!P39</f>
        <v/>
      </c>
      <c r="L17" s="37" t="str">
        <f>'R1'!Q39</f>
        <v/>
      </c>
    </row>
    <row r="18" spans="1:12" s="1" customFormat="1" x14ac:dyDescent="0.35">
      <c r="A18" s="145"/>
      <c r="B18" s="37" t="str">
        <f>'R1'!B40</f>
        <v/>
      </c>
      <c r="C18" s="37" t="str">
        <f>'R1'!C40</f>
        <v/>
      </c>
      <c r="D18" s="37" t="str">
        <f>'R1'!D40</f>
        <v/>
      </c>
      <c r="E18" s="37" t="str">
        <f>'R1'!E40</f>
        <v/>
      </c>
      <c r="F18" s="37" t="str">
        <f>'R1'!F40</f>
        <v/>
      </c>
      <c r="G18" s="37" t="str">
        <f>'R1'!G40</f>
        <v/>
      </c>
      <c r="H18" s="37" t="str">
        <f>'R1'!H40</f>
        <v/>
      </c>
      <c r="I18"/>
      <c r="J18" s="37">
        <f>'R1'!O40</f>
        <v>0.44942579012439354</v>
      </c>
      <c r="K18" s="37" t="str">
        <f>'R1'!P40</f>
        <v/>
      </c>
      <c r="L18" s="37" t="str">
        <f>'R1'!Q40</f>
        <v/>
      </c>
    </row>
    <row r="19" spans="1:12" s="1" customFormat="1" x14ac:dyDescent="0.35">
      <c r="A19" s="145"/>
      <c r="B19" s="37" t="str">
        <f>'R1'!B41</f>
        <v/>
      </c>
      <c r="C19" s="37" t="str">
        <f>'R1'!C41</f>
        <v/>
      </c>
      <c r="D19" s="37" t="str">
        <f>'R1'!D41</f>
        <v/>
      </c>
      <c r="E19" s="37" t="str">
        <f>'R1'!E41</f>
        <v/>
      </c>
      <c r="F19" s="37" t="str">
        <f>'R1'!F41</f>
        <v/>
      </c>
      <c r="G19" s="37" t="str">
        <f>'R1'!G41</f>
        <v/>
      </c>
      <c r="H19" s="37" t="str">
        <f>'R1'!H41</f>
        <v/>
      </c>
      <c r="I19"/>
      <c r="J19" s="37">
        <f>'R1'!O41</f>
        <v>2.8570694244213639</v>
      </c>
      <c r="K19" s="37" t="str">
        <f>'R1'!P41</f>
        <v/>
      </c>
      <c r="L19" s="37" t="str">
        <f>'R1'!Q41</f>
        <v/>
      </c>
    </row>
    <row r="20" spans="1:12" s="1" customFormat="1" x14ac:dyDescent="0.35">
      <c r="A20" s="145"/>
      <c r="B20" s="37" t="str">
        <f>'R1'!B42</f>
        <v/>
      </c>
      <c r="C20" s="37" t="str">
        <f>'R1'!C42</f>
        <v/>
      </c>
      <c r="D20" s="37" t="str">
        <f>'R1'!D42</f>
        <v/>
      </c>
      <c r="E20" s="37" t="str">
        <f>'R1'!E42</f>
        <v/>
      </c>
      <c r="F20" s="37" t="str">
        <f>'R1'!F42</f>
        <v/>
      </c>
      <c r="G20" s="37" t="str">
        <f>'R1'!G42</f>
        <v/>
      </c>
      <c r="H20" s="37" t="str">
        <f>'R1'!H42</f>
        <v/>
      </c>
      <c r="I20"/>
      <c r="J20" s="37">
        <f>'R1'!O42</f>
        <v>1.7229591707692284</v>
      </c>
      <c r="K20" s="37" t="str">
        <f>'R1'!P42</f>
        <v/>
      </c>
      <c r="L20" s="37" t="str">
        <f>'R1'!Q42</f>
        <v/>
      </c>
    </row>
    <row r="21" spans="1:12" s="1" customFormat="1" x14ac:dyDescent="0.35">
      <c r="A21" s="146"/>
      <c r="B21" s="37" t="str">
        <f>'R1'!B43</f>
        <v/>
      </c>
      <c r="C21" s="37" t="str">
        <f>'R1'!C43</f>
        <v/>
      </c>
      <c r="D21" s="37" t="str">
        <f>'R1'!D43</f>
        <v/>
      </c>
      <c r="E21" s="37" t="str">
        <f>'R1'!E43</f>
        <v/>
      </c>
      <c r="F21" s="37" t="str">
        <f>'R1'!F43</f>
        <v/>
      </c>
      <c r="G21" s="37" t="str">
        <f>'R1'!G43</f>
        <v/>
      </c>
      <c r="H21" s="37" t="str">
        <f>'R1'!H43</f>
        <v/>
      </c>
      <c r="I21"/>
      <c r="J21" s="37">
        <f>'R1'!O43</f>
        <v>1.3873361392922021</v>
      </c>
      <c r="K21" s="37" t="str">
        <f>'R1'!P43</f>
        <v/>
      </c>
      <c r="L21" s="37" t="str">
        <f>'R1'!Q43</f>
        <v/>
      </c>
    </row>
    <row r="22" spans="1:12" x14ac:dyDescent="0.35">
      <c r="A22" s="24" t="s">
        <v>4</v>
      </c>
      <c r="B22" s="38">
        <f>'R2'!B28</f>
        <v>7.3169596413839673E-3</v>
      </c>
      <c r="C22" s="38">
        <f>'R2'!C28</f>
        <v>1.0040939780265976E-2</v>
      </c>
      <c r="D22" s="38">
        <f>'R2'!D28</f>
        <v>0.13305933206101389</v>
      </c>
      <c r="E22" s="38">
        <f>'R2'!E28</f>
        <v>4.0394791033694179E-2</v>
      </c>
      <c r="F22" s="38">
        <f>'R2'!F28</f>
        <v>0.83408092884184037</v>
      </c>
      <c r="G22" s="38">
        <f>'R2'!G28</f>
        <v>1.4926068898200724</v>
      </c>
      <c r="H22" s="38">
        <f>'R2'!H28</f>
        <v>3.0185535556657896</v>
      </c>
      <c r="J22" s="38">
        <f>'R2'!O28</f>
        <v>1.0040638787985436</v>
      </c>
      <c r="K22" s="38">
        <f>'R2'!P28</f>
        <v>1.4810748180121611</v>
      </c>
      <c r="L22" s="38">
        <f>'R2'!Q28</f>
        <v>1.7231808060883418E-2</v>
      </c>
    </row>
    <row r="23" spans="1:12" x14ac:dyDescent="0.35">
      <c r="A23" s="144"/>
      <c r="B23" s="38">
        <f>'R2'!B29</f>
        <v>1.8849844941945477E-2</v>
      </c>
      <c r="C23" s="38">
        <f>'R2'!C29</f>
        <v>2.5999631843732537E-2</v>
      </c>
      <c r="D23" s="38">
        <f>'R2'!D29</f>
        <v>0.13730535694824536</v>
      </c>
      <c r="E23" s="38">
        <f>'R2'!E29</f>
        <v>0.34601259078164875</v>
      </c>
      <c r="F23" s="38">
        <f>'R2'!F29</f>
        <v>0.53769179646302034</v>
      </c>
      <c r="G23" s="38">
        <f>'R2'!G29</f>
        <v>0.91324271211636543</v>
      </c>
      <c r="H23" s="38">
        <f>'R2'!H29</f>
        <v>1.6263601311116274</v>
      </c>
      <c r="J23" s="38">
        <f>'R2'!O29</f>
        <v>0.38731605310551198</v>
      </c>
      <c r="K23" s="38">
        <f>'R2'!P29</f>
        <v>1.2576836350980083</v>
      </c>
      <c r="L23" s="38">
        <f>'R2'!Q29</f>
        <v>8.0438153242542304E-3</v>
      </c>
    </row>
    <row r="24" spans="1:12" x14ac:dyDescent="0.35">
      <c r="A24" s="145"/>
      <c r="B24" s="38">
        <f>'R2'!B30</f>
        <v>1.3223729773808115E-2</v>
      </c>
      <c r="C24" s="38">
        <f>'R2'!C30</f>
        <v>1.3788700419307159E-2</v>
      </c>
      <c r="D24" s="38">
        <f>'R2'!D30</f>
        <v>3.3238089444381218E-2</v>
      </c>
      <c r="E24" s="38">
        <f>'R2'!E30</f>
        <v>4.7088615305096476E-2</v>
      </c>
      <c r="F24" s="38">
        <f>'R2'!F30</f>
        <v>0.87612141550670031</v>
      </c>
      <c r="G24" s="38">
        <f>'R2'!G30</f>
        <v>1.441329194113252</v>
      </c>
      <c r="H24" s="38">
        <f>'R2'!H30</f>
        <v>2.263047068405097</v>
      </c>
      <c r="J24" s="38">
        <f>'R2'!O30</f>
        <v>0.62249352428073457</v>
      </c>
      <c r="K24" s="38">
        <f>'R2'!P30</f>
        <v>1.7728713776348042</v>
      </c>
      <c r="L24" s="38">
        <f>'R2'!Q30</f>
        <v>1.5789485592244384E-2</v>
      </c>
    </row>
    <row r="25" spans="1:12" x14ac:dyDescent="0.35">
      <c r="A25" s="145"/>
      <c r="B25" s="38">
        <f>'R2'!B31</f>
        <v>2.2350710561679305E-3</v>
      </c>
      <c r="C25" s="38">
        <f>'R2'!C31</f>
        <v>3.9814364027843108E-2</v>
      </c>
      <c r="D25" s="38">
        <f>'R2'!D31</f>
        <v>5.5914603812428222E-2</v>
      </c>
      <c r="E25" s="38">
        <f>'R2'!E31</f>
        <v>8.2452767790531331E-2</v>
      </c>
      <c r="F25" s="38">
        <f>'R2'!F31</f>
        <v>0.70733674022360427</v>
      </c>
      <c r="G25" s="38">
        <f>'R2'!G31</f>
        <v>1.4115057400676934</v>
      </c>
      <c r="H25" s="38">
        <f>'R2'!H31</f>
        <v>2.2284976288087441</v>
      </c>
      <c r="J25" s="38">
        <f>'R2'!O31</f>
        <v>0.93285601991043599</v>
      </c>
      <c r="K25" s="38">
        <f>'R2'!P31</f>
        <v>1.440039808262833</v>
      </c>
      <c r="L25" s="38">
        <f>'R2'!Q31</f>
        <v>1.1703718757083901E-2</v>
      </c>
    </row>
    <row r="26" spans="1:12" x14ac:dyDescent="0.35">
      <c r="A26" s="145"/>
      <c r="B26" s="38">
        <f>'R2'!B32</f>
        <v>4.8785154226893826E-3</v>
      </c>
      <c r="C26" s="38">
        <f>'R2'!C32</f>
        <v>3.580669248709286E-2</v>
      </c>
      <c r="D26" s="38">
        <f>'R2'!D32</f>
        <v>6.7373461281830032E-3</v>
      </c>
      <c r="E26" s="38">
        <f>'R2'!E32</f>
        <v>8.3216230642656402E-2</v>
      </c>
      <c r="F26" s="38">
        <f>'R2'!F32</f>
        <v>1.1684097314363329</v>
      </c>
      <c r="G26" s="38">
        <f>'R2'!G32</f>
        <v>0.9625106742310976</v>
      </c>
      <c r="H26" s="38">
        <f>'R2'!H32</f>
        <v>3.8111276490212398</v>
      </c>
      <c r="J26" s="38">
        <f>'R2'!O32</f>
        <v>0.73283200662427062</v>
      </c>
      <c r="K26" s="38">
        <f>'R2'!P32</f>
        <v>1.4000729143630948</v>
      </c>
      <c r="L26" s="38">
        <f>'R2'!Q32</f>
        <v>6.5697666422610398E-3</v>
      </c>
    </row>
    <row r="27" spans="1:12" x14ac:dyDescent="0.35">
      <c r="A27" s="145"/>
      <c r="B27" s="38">
        <f>'R2'!B33</f>
        <v>1.5996519471696519E-2</v>
      </c>
      <c r="C27" s="38">
        <f>'R2'!C33</f>
        <v>3.4923239469077071E-3</v>
      </c>
      <c r="D27" s="38">
        <f>'R2'!D33</f>
        <v>7.7627536136423937E-3</v>
      </c>
      <c r="E27" s="38">
        <f>'R2'!E33</f>
        <v>3.9518252703204297E-2</v>
      </c>
      <c r="F27" s="38">
        <f>'R2'!F33</f>
        <v>0.80598248596083277</v>
      </c>
      <c r="G27" s="38">
        <f>'R2'!G33</f>
        <v>0.12563255091186551</v>
      </c>
      <c r="H27" s="38">
        <f>'R2'!H33</f>
        <v>2.7977529400959011</v>
      </c>
      <c r="J27" s="38">
        <f>'R2'!O33</f>
        <v>0.96980607631725368</v>
      </c>
      <c r="K27" s="38">
        <f>'R2'!P33</f>
        <v>1.7957870588419826</v>
      </c>
      <c r="L27" s="38">
        <f>'R2'!Q33</f>
        <v>2.0829886052304986E-2</v>
      </c>
    </row>
    <row r="28" spans="1:12" x14ac:dyDescent="0.35">
      <c r="A28" s="145"/>
      <c r="B28" s="38">
        <f>'R2'!B34</f>
        <v>2.2667972695220886E-2</v>
      </c>
      <c r="C28" s="38">
        <f>'R2'!C34</f>
        <v>4.7756492770834012E-2</v>
      </c>
      <c r="D28" s="38">
        <f>'R2'!D34</f>
        <v>6.374935152560505E-3</v>
      </c>
      <c r="E28" s="38">
        <f>'R2'!E34</f>
        <v>4.1383184603573722E-2</v>
      </c>
      <c r="F28" s="38">
        <f>'R2'!F34</f>
        <v>0.34069438258157675</v>
      </c>
      <c r="G28" s="38">
        <f>'R2'!G34</f>
        <v>0.90282471849277501</v>
      </c>
      <c r="H28" s="38">
        <f>'R2'!H34</f>
        <v>2.3304526626466062</v>
      </c>
      <c r="J28" s="38">
        <f>'R2'!O34</f>
        <v>1.0724236999186278</v>
      </c>
      <c r="K28" s="38">
        <f>'R2'!P34</f>
        <v>1.719758035763018</v>
      </c>
      <c r="L28" s="38">
        <f>'R2'!Q34</f>
        <v>9.8444813052652267E-3</v>
      </c>
    </row>
    <row r="29" spans="1:12" x14ac:dyDescent="0.35">
      <c r="A29" s="145"/>
      <c r="B29" s="38">
        <f>'R2'!B35</f>
        <v>2.5267488458636581E-2</v>
      </c>
      <c r="C29" s="38">
        <f>'R2'!C35</f>
        <v>4.2533463210824478E-3</v>
      </c>
      <c r="D29" s="38">
        <f>'R2'!D35</f>
        <v>4.4973941161144323E-3</v>
      </c>
      <c r="E29" s="38">
        <f>'R2'!E35</f>
        <v>0.15409218452952048</v>
      </c>
      <c r="F29" s="38">
        <f>'R2'!F35</f>
        <v>0.43922786633309063</v>
      </c>
      <c r="G29" s="38">
        <f>'R2'!G35</f>
        <v>0.8592255799103109</v>
      </c>
      <c r="H29" s="38">
        <f>'R2'!H35</f>
        <v>3.6915202314223889</v>
      </c>
      <c r="J29" s="38">
        <f>'R2'!O35</f>
        <v>0.84577081822387257</v>
      </c>
      <c r="K29" s="38">
        <f>'R2'!P35</f>
        <v>1.2964498138461888</v>
      </c>
      <c r="L29" s="38">
        <f>'R2'!Q35</f>
        <v>1.6582234179773284E-2</v>
      </c>
    </row>
    <row r="30" spans="1:12" x14ac:dyDescent="0.35">
      <c r="A30" s="145"/>
      <c r="B30" s="38" t="str">
        <f>'R2'!B36</f>
        <v/>
      </c>
      <c r="C30" s="38" t="str">
        <f>'R2'!C36</f>
        <v/>
      </c>
      <c r="D30" s="38" t="str">
        <f>'R2'!D36</f>
        <v/>
      </c>
      <c r="E30" s="38" t="str">
        <f>'R2'!E36</f>
        <v/>
      </c>
      <c r="F30" s="38" t="str">
        <f>'R2'!F36</f>
        <v/>
      </c>
      <c r="G30" s="38" t="str">
        <f>'R2'!G36</f>
        <v/>
      </c>
      <c r="H30" s="38" t="str">
        <f>'R2'!H36</f>
        <v/>
      </c>
      <c r="J30" s="38">
        <f>'R2'!O36</f>
        <v>1.0426726467189287</v>
      </c>
      <c r="K30" s="38" t="str">
        <f>'R2'!P36</f>
        <v/>
      </c>
      <c r="L30" s="38" t="str">
        <f>'R2'!Q36</f>
        <v/>
      </c>
    </row>
    <row r="31" spans="1:12" s="1" customFormat="1" x14ac:dyDescent="0.35">
      <c r="A31" s="145"/>
      <c r="B31" s="38" t="str">
        <f>'R2'!B37</f>
        <v/>
      </c>
      <c r="C31" s="38" t="str">
        <f>'R2'!C37</f>
        <v/>
      </c>
      <c r="D31" s="38" t="str">
        <f>'R2'!D37</f>
        <v/>
      </c>
      <c r="E31" s="38" t="str">
        <f>'R2'!E37</f>
        <v/>
      </c>
      <c r="F31" s="38" t="str">
        <f>'R2'!F37</f>
        <v/>
      </c>
      <c r="G31" s="38" t="str">
        <f>'R2'!G37</f>
        <v/>
      </c>
      <c r="H31" s="38" t="str">
        <f>'R2'!H37</f>
        <v/>
      </c>
      <c r="I31"/>
      <c r="J31" s="38">
        <f>'R2'!O37</f>
        <v>1.144231509636189</v>
      </c>
      <c r="K31" s="38" t="str">
        <f>'R2'!P37</f>
        <v/>
      </c>
      <c r="L31" s="38" t="str">
        <f>'R2'!Q37</f>
        <v/>
      </c>
    </row>
    <row r="32" spans="1:12" s="1" customFormat="1" x14ac:dyDescent="0.35">
      <c r="A32" s="145"/>
      <c r="B32" s="38" t="str">
        <f>'R2'!B38</f>
        <v/>
      </c>
      <c r="C32" s="38" t="str">
        <f>'R2'!C38</f>
        <v/>
      </c>
      <c r="D32" s="38" t="str">
        <f>'R2'!D38</f>
        <v/>
      </c>
      <c r="E32" s="38" t="str">
        <f>'R2'!E38</f>
        <v/>
      </c>
      <c r="F32" s="38" t="str">
        <f>'R2'!F38</f>
        <v/>
      </c>
      <c r="G32" s="38" t="str">
        <f>'R2'!G38</f>
        <v/>
      </c>
      <c r="H32" s="38" t="str">
        <f>'R2'!H38</f>
        <v/>
      </c>
      <c r="I32"/>
      <c r="J32" s="38">
        <f>'R2'!O38</f>
        <v>0.78485445485226379</v>
      </c>
      <c r="K32" s="38" t="str">
        <f>'R2'!P38</f>
        <v/>
      </c>
      <c r="L32" s="38" t="str">
        <f>'R2'!Q38</f>
        <v/>
      </c>
    </row>
    <row r="33" spans="1:12" s="1" customFormat="1" x14ac:dyDescent="0.35">
      <c r="A33" s="145"/>
      <c r="B33" s="38" t="str">
        <f>'R2'!B39</f>
        <v/>
      </c>
      <c r="C33" s="38" t="str">
        <f>'R2'!C39</f>
        <v/>
      </c>
      <c r="D33" s="38" t="str">
        <f>'R2'!D39</f>
        <v/>
      </c>
      <c r="E33" s="38" t="str">
        <f>'R2'!E39</f>
        <v/>
      </c>
      <c r="F33" s="38" t="str">
        <f>'R2'!F39</f>
        <v/>
      </c>
      <c r="G33" s="38" t="str">
        <f>'R2'!G39</f>
        <v/>
      </c>
      <c r="H33" s="38" t="str">
        <f>'R2'!H39</f>
        <v/>
      </c>
      <c r="I33"/>
      <c r="J33" s="38">
        <f>'R2'!O39</f>
        <v>0.82518660695189971</v>
      </c>
      <c r="K33" s="38" t="str">
        <f>'R2'!P39</f>
        <v/>
      </c>
      <c r="L33" s="38" t="str">
        <f>'R2'!Q39</f>
        <v/>
      </c>
    </row>
    <row r="34" spans="1:12" s="1" customFormat="1" x14ac:dyDescent="0.35">
      <c r="A34" s="145"/>
      <c r="B34" s="38" t="str">
        <f>'R2'!B40</f>
        <v/>
      </c>
      <c r="C34" s="38" t="str">
        <f>'R2'!C40</f>
        <v/>
      </c>
      <c r="D34" s="38" t="str">
        <f>'R2'!D40</f>
        <v/>
      </c>
      <c r="E34" s="38" t="str">
        <f>'R2'!E40</f>
        <v/>
      </c>
      <c r="F34" s="38" t="str">
        <f>'R2'!F40</f>
        <v/>
      </c>
      <c r="G34" s="38" t="str">
        <f>'R2'!G40</f>
        <v/>
      </c>
      <c r="H34" s="38" t="str">
        <f>'R2'!H40</f>
        <v/>
      </c>
      <c r="I34"/>
      <c r="J34" s="38">
        <f>'R2'!O40</f>
        <v>1.7565010582903837</v>
      </c>
      <c r="K34" s="38" t="str">
        <f>'R2'!P40</f>
        <v/>
      </c>
      <c r="L34" s="38" t="str">
        <f>'R2'!Q40</f>
        <v/>
      </c>
    </row>
    <row r="35" spans="1:12" s="1" customFormat="1" x14ac:dyDescent="0.35">
      <c r="A35" s="145"/>
      <c r="B35" s="38" t="str">
        <f>'R2'!B41</f>
        <v/>
      </c>
      <c r="C35" s="38" t="str">
        <f>'R2'!C41</f>
        <v/>
      </c>
      <c r="D35" s="38" t="str">
        <f>'R2'!D41</f>
        <v/>
      </c>
      <c r="E35" s="38" t="str">
        <f>'R2'!E41</f>
        <v/>
      </c>
      <c r="F35" s="38" t="str">
        <f>'R2'!F41</f>
        <v/>
      </c>
      <c r="G35" s="38" t="str">
        <f>'R2'!G41</f>
        <v/>
      </c>
      <c r="H35" s="38" t="str">
        <f>'R2'!H41</f>
        <v/>
      </c>
      <c r="I35"/>
      <c r="J35" s="38">
        <f>'R2'!O41</f>
        <v>1.2222291849284115</v>
      </c>
      <c r="K35" s="38" t="str">
        <f>'R2'!P41</f>
        <v/>
      </c>
      <c r="L35" s="38" t="str">
        <f>'R2'!Q41</f>
        <v/>
      </c>
    </row>
    <row r="36" spans="1:12" x14ac:dyDescent="0.35">
      <c r="A36" s="145"/>
      <c r="B36" s="38" t="str">
        <f>'R2'!B42</f>
        <v/>
      </c>
      <c r="C36" s="38" t="str">
        <f>'R2'!C42</f>
        <v/>
      </c>
      <c r="D36" s="38" t="str">
        <f>'R2'!D42</f>
        <v/>
      </c>
      <c r="E36" s="38" t="str">
        <f>'R2'!E42</f>
        <v/>
      </c>
      <c r="F36" s="38" t="str">
        <f>'R2'!F42</f>
        <v/>
      </c>
      <c r="G36" s="38" t="str">
        <f>'R2'!G42</f>
        <v/>
      </c>
      <c r="H36" s="38" t="str">
        <f>'R2'!H42</f>
        <v/>
      </c>
      <c r="J36" s="38">
        <f>'R2'!O42</f>
        <v>1.4131872293754637</v>
      </c>
      <c r="K36" s="38" t="str">
        <f>'R2'!P42</f>
        <v/>
      </c>
      <c r="L36" s="38" t="str">
        <f>'R2'!Q42</f>
        <v/>
      </c>
    </row>
    <row r="37" spans="1:12" x14ac:dyDescent="0.35">
      <c r="A37" s="146"/>
      <c r="B37" s="38" t="str">
        <f>'R2'!B43</f>
        <v/>
      </c>
      <c r="C37" s="38" t="str">
        <f>'R2'!C43</f>
        <v/>
      </c>
      <c r="D37" s="38" t="str">
        <f>'R2'!D43</f>
        <v/>
      </c>
      <c r="E37" s="38" t="str">
        <f>'R2'!E43</f>
        <v/>
      </c>
      <c r="F37" s="38" t="str">
        <f>'R2'!F43</f>
        <v/>
      </c>
      <c r="G37" s="38" t="str">
        <f>'R2'!G43</f>
        <v/>
      </c>
      <c r="H37" s="38" t="str">
        <f>'R2'!H43</f>
        <v/>
      </c>
      <c r="J37" s="38">
        <f>'R2'!O43</f>
        <v>1.2435752320672091</v>
      </c>
      <c r="K37" s="38" t="str">
        <f>'R2'!P43</f>
        <v/>
      </c>
      <c r="L37" s="38" t="str">
        <f>'R2'!Q43</f>
        <v/>
      </c>
    </row>
    <row r="38" spans="1:12" s="1" customFormat="1" x14ac:dyDescent="0.35">
      <c r="A38" s="85" t="s">
        <v>16</v>
      </c>
      <c r="B38" s="86">
        <f>'R3'!B28</f>
        <v>1.3777233424841415E-2</v>
      </c>
      <c r="C38" s="86">
        <f>'R3'!C28</f>
        <v>1.7649158176768435E-2</v>
      </c>
      <c r="D38" s="86">
        <f>'R3'!D28</f>
        <v>2.2851720885758642E-2</v>
      </c>
      <c r="E38" s="86">
        <f>'R3'!E28</f>
        <v>0.68951002624167212</v>
      </c>
      <c r="F38" s="86">
        <f>'R3'!F28</f>
        <v>1.3211203373721654</v>
      </c>
      <c r="G38" s="86">
        <f>'R3'!G28</f>
        <v>1.2111192778992739</v>
      </c>
      <c r="H38" s="86">
        <f>'R3'!H28</f>
        <v>2.5852694271628938</v>
      </c>
      <c r="I38"/>
      <c r="J38" s="86">
        <f>'R3'!O28</f>
        <v>0.80688503772662201</v>
      </c>
      <c r="K38" s="86">
        <f>'R3'!P28</f>
        <v>1.5788354502577477</v>
      </c>
      <c r="L38" s="86">
        <f>'R3'!Q28</f>
        <v>2.9314583102589171E-3</v>
      </c>
    </row>
    <row r="39" spans="1:12" s="1" customFormat="1" x14ac:dyDescent="0.35">
      <c r="A39" s="144"/>
      <c r="B39" s="86">
        <f>'R3'!B29</f>
        <v>1.6509675299357984E-2</v>
      </c>
      <c r="C39" s="86">
        <f>'R3'!C29</f>
        <v>1.1552055895896819E-2</v>
      </c>
      <c r="D39" s="86">
        <f>'R3'!D29</f>
        <v>4.1421485236179313E-2</v>
      </c>
      <c r="E39" s="86">
        <f>'R3'!E29</f>
        <v>0.5262222126598709</v>
      </c>
      <c r="F39" s="86">
        <f>'R3'!F29</f>
        <v>0.79871708874951242</v>
      </c>
      <c r="G39" s="86">
        <f>'R3'!G29</f>
        <v>0.70906452888121296</v>
      </c>
      <c r="H39" s="86">
        <f>'R3'!H29</f>
        <v>3.6395658224751153</v>
      </c>
      <c r="I39"/>
      <c r="J39" s="86">
        <f>'R3'!O29</f>
        <v>0.80629998733132124</v>
      </c>
      <c r="K39" s="86">
        <f>'R3'!P29</f>
        <v>1.477778958992503</v>
      </c>
      <c r="L39" s="86">
        <f>'R3'!Q29</f>
        <v>1.2806562825565844E-2</v>
      </c>
    </row>
    <row r="40" spans="1:12" s="1" customFormat="1" x14ac:dyDescent="0.35">
      <c r="A40" s="145"/>
      <c r="B40" s="86">
        <f>'R3'!B30</f>
        <v>7.5924149602330459E-4</v>
      </c>
      <c r="C40" s="86">
        <f>'R3'!C30</f>
        <v>3.2839780675405824E-3</v>
      </c>
      <c r="D40" s="86">
        <f>'R3'!D30</f>
        <v>4.7051457463094359E-2</v>
      </c>
      <c r="E40" s="86">
        <f>'R3'!E30</f>
        <v>0.35868181918917197</v>
      </c>
      <c r="F40" s="86">
        <f>'R3'!F30</f>
        <v>1.2701270304635048</v>
      </c>
      <c r="G40" s="86">
        <f>'R3'!G30</f>
        <v>0.95856742094223368</v>
      </c>
      <c r="H40" s="86">
        <f>'R3'!H30</f>
        <v>2.0234509941292478</v>
      </c>
      <c r="I40"/>
      <c r="J40" s="86">
        <f>'R3'!O30</f>
        <v>0.80189638665438601</v>
      </c>
      <c r="K40" s="86">
        <f>'R3'!P30</f>
        <v>1.357247406159781</v>
      </c>
      <c r="L40" s="86">
        <f>'R3'!Q30</f>
        <v>1.8127459631483933E-2</v>
      </c>
    </row>
    <row r="41" spans="1:12" s="1" customFormat="1" x14ac:dyDescent="0.35">
      <c r="A41" s="145"/>
      <c r="B41" s="86">
        <f>'R3'!B31</f>
        <v>6.9337160710400752E-3</v>
      </c>
      <c r="C41" s="86">
        <f>'R3'!C31</f>
        <v>2.5090552348964148E-2</v>
      </c>
      <c r="D41" s="86">
        <f>'R3'!D31</f>
        <v>2.3445460148316378E-2</v>
      </c>
      <c r="E41" s="86">
        <f>'R3'!E31</f>
        <v>0.55771977022187103</v>
      </c>
      <c r="F41" s="86">
        <f>'R3'!F31</f>
        <v>2.2626451658232818</v>
      </c>
      <c r="G41" s="86">
        <f>'R3'!G31</f>
        <v>0.9540951368384103</v>
      </c>
      <c r="H41" s="86">
        <f>'R3'!H31</f>
        <v>3.3483646426924443</v>
      </c>
      <c r="I41"/>
      <c r="J41" s="86">
        <f>'R3'!O31</f>
        <v>0.80093026736653083</v>
      </c>
      <c r="K41" s="86">
        <f>'R3'!P31</f>
        <v>1.5518329333566725</v>
      </c>
      <c r="L41" s="86">
        <f>'R3'!Q31</f>
        <v>4.8784265847478886E-2</v>
      </c>
    </row>
    <row r="42" spans="1:12" s="1" customFormat="1" x14ac:dyDescent="0.35">
      <c r="A42" s="145"/>
      <c r="B42" s="86">
        <f>'R3'!B32</f>
        <v>8.1919468009620747E-3</v>
      </c>
      <c r="C42" s="86">
        <f>'R3'!C32</f>
        <v>7.0826680811590884E-3</v>
      </c>
      <c r="D42" s="86">
        <f>'R3'!D32</f>
        <v>9.068694882745934E-3</v>
      </c>
      <c r="E42" s="86">
        <f>'R3'!E32</f>
        <v>0.46338142836857749</v>
      </c>
      <c r="F42" s="86">
        <f>'R3'!F32</f>
        <v>1.2031805495155141</v>
      </c>
      <c r="G42" s="86">
        <f>'R3'!G32</f>
        <v>1.1813959042800248</v>
      </c>
      <c r="H42" s="86">
        <f>'R3'!H32</f>
        <v>2.7043561454974614</v>
      </c>
      <c r="I42"/>
      <c r="J42" s="86">
        <f>'R3'!O32</f>
        <v>1.7617257621267948</v>
      </c>
      <c r="K42" s="86">
        <f>'R3'!P32</f>
        <v>1.3821070828930608</v>
      </c>
      <c r="L42" s="86">
        <f>'R3'!Q32</f>
        <v>1.3605938613204549E-2</v>
      </c>
    </row>
    <row r="43" spans="1:12" s="1" customFormat="1" x14ac:dyDescent="0.35">
      <c r="A43" s="145"/>
      <c r="B43" s="86">
        <f>'R3'!B33</f>
        <v>1.7460485630617687E-4</v>
      </c>
      <c r="C43" s="86">
        <f>'R3'!C33</f>
        <v>1.136462461649706E-2</v>
      </c>
      <c r="D43" s="86">
        <f>'R3'!D33</f>
        <v>1.2549620608110545E-2</v>
      </c>
      <c r="E43" s="86">
        <f>'R3'!E33</f>
        <v>0.49090941486090584</v>
      </c>
      <c r="F43" s="86">
        <f>'R3'!F33</f>
        <v>1.5356435048790704</v>
      </c>
      <c r="G43" s="86">
        <f>'R3'!G33</f>
        <v>0.78093677005272255</v>
      </c>
      <c r="H43" s="86">
        <f>'R3'!H33</f>
        <v>3.5647252987464007</v>
      </c>
      <c r="I43"/>
      <c r="J43" s="86">
        <f>'R3'!O33</f>
        <v>1.1864366885558024</v>
      </c>
      <c r="K43" s="86">
        <f>'R3'!P33</f>
        <v>1.8925672765932544</v>
      </c>
      <c r="L43" s="86">
        <f>'R3'!Q33</f>
        <v>1.1576467475332992E-2</v>
      </c>
    </row>
    <row r="44" spans="1:12" s="1" customFormat="1" x14ac:dyDescent="0.35">
      <c r="A44" s="145"/>
      <c r="B44" s="86">
        <f>'R3'!B34</f>
        <v>1.1981534191739975E-2</v>
      </c>
      <c r="C44" s="86">
        <f>'R3'!C34</f>
        <v>2.9312514324670851E-2</v>
      </c>
      <c r="D44" s="86">
        <f>'R3'!D34</f>
        <v>1.9342246025121222E-2</v>
      </c>
      <c r="E44" s="86">
        <f>'R3'!E34</f>
        <v>0.76051917326565877</v>
      </c>
      <c r="F44" s="86">
        <f>'R3'!F34</f>
        <v>1.1265153636628416</v>
      </c>
      <c r="G44" s="86">
        <f>'R3'!G34</f>
        <v>0.91490213917584495</v>
      </c>
      <c r="H44" s="86">
        <f>'R3'!H34</f>
        <v>2.5924584304290543</v>
      </c>
      <c r="I44"/>
      <c r="J44" s="86">
        <f>'R3'!O34</f>
        <v>0.74618833486987501</v>
      </c>
      <c r="K44" s="86">
        <f>'R3'!P34</f>
        <v>0.8688072846221816</v>
      </c>
      <c r="L44" s="86">
        <f>'R3'!Q34</f>
        <v>1.7657433288441715E-2</v>
      </c>
    </row>
    <row r="45" spans="1:12" s="1" customFormat="1" x14ac:dyDescent="0.35">
      <c r="A45" s="145"/>
      <c r="B45" s="86">
        <f>'R3'!B35</f>
        <v>4.2910591581785786E-3</v>
      </c>
      <c r="C45" s="86">
        <f>'R3'!C35</f>
        <v>1.8932214241710273E-2</v>
      </c>
      <c r="D45" s="86">
        <f>'R3'!D35</f>
        <v>5.5422560431782914E-3</v>
      </c>
      <c r="E45" s="86">
        <f>'R3'!E35</f>
        <v>0.17924512517696778</v>
      </c>
      <c r="F45" s="86">
        <f>'R3'!F35</f>
        <v>1.8287475465910121</v>
      </c>
      <c r="G45" s="86">
        <f>'R3'!G35</f>
        <v>1.5533981707296731</v>
      </c>
      <c r="H45" s="86">
        <f>'R3'!H35</f>
        <v>2.4860173239980075</v>
      </c>
      <c r="I45"/>
      <c r="J45" s="86">
        <f>'R3'!O35</f>
        <v>0.80558005261574595</v>
      </c>
      <c r="K45" s="86">
        <f>'R3'!P35</f>
        <v>1.6118349405884478</v>
      </c>
      <c r="L45" s="86">
        <f>'R3'!Q35</f>
        <v>1.0590074163878192E-2</v>
      </c>
    </row>
    <row r="46" spans="1:12" s="1" customFormat="1" x14ac:dyDescent="0.35">
      <c r="A46" s="145"/>
      <c r="B46" s="86" t="str">
        <f>'R3'!B36</f>
        <v/>
      </c>
      <c r="C46" s="86" t="str">
        <f>'R3'!C36</f>
        <v/>
      </c>
      <c r="D46" s="86" t="str">
        <f>'R3'!D36</f>
        <v/>
      </c>
      <c r="E46" s="86" t="str">
        <f>'R3'!E36</f>
        <v/>
      </c>
      <c r="F46" s="86" t="str">
        <f>'R3'!F36</f>
        <v/>
      </c>
      <c r="G46" s="86" t="str">
        <f>'R3'!G36</f>
        <v/>
      </c>
      <c r="H46" s="86" t="str">
        <f>'R3'!H36</f>
        <v/>
      </c>
      <c r="I46"/>
      <c r="J46" s="86">
        <f>'R3'!O36</f>
        <v>0.81577664521955984</v>
      </c>
      <c r="K46" s="86" t="str">
        <f>'R3'!P36</f>
        <v/>
      </c>
      <c r="L46" s="86" t="str">
        <f>'R3'!Q36</f>
        <v/>
      </c>
    </row>
    <row r="47" spans="1:12" s="1" customFormat="1" x14ac:dyDescent="0.35">
      <c r="A47" s="145"/>
      <c r="B47" s="86" t="str">
        <f>'R3'!B37</f>
        <v/>
      </c>
      <c r="C47" s="86" t="str">
        <f>'R3'!C37</f>
        <v/>
      </c>
      <c r="D47" s="86" t="str">
        <f>'R3'!D37</f>
        <v/>
      </c>
      <c r="E47" s="86" t="str">
        <f>'R3'!E37</f>
        <v/>
      </c>
      <c r="F47" s="86" t="str">
        <f>'R3'!F37</f>
        <v/>
      </c>
      <c r="G47" s="86" t="str">
        <f>'R3'!G37</f>
        <v/>
      </c>
      <c r="H47" s="86" t="str">
        <f>'R3'!H37</f>
        <v/>
      </c>
      <c r="I47"/>
      <c r="J47" s="86">
        <f>'R3'!O37</f>
        <v>1.0864836834321894</v>
      </c>
      <c r="K47" s="86" t="str">
        <f>'R3'!P37</f>
        <v/>
      </c>
      <c r="L47" s="86" t="str">
        <f>'R3'!Q37</f>
        <v/>
      </c>
    </row>
    <row r="48" spans="1:12" s="1" customFormat="1" x14ac:dyDescent="0.35">
      <c r="A48" s="145"/>
      <c r="B48" s="86" t="str">
        <f>'R3'!B38</f>
        <v/>
      </c>
      <c r="C48" s="86" t="str">
        <f>'R3'!C38</f>
        <v/>
      </c>
      <c r="D48" s="86" t="str">
        <f>'R3'!D38</f>
        <v/>
      </c>
      <c r="E48" s="86" t="str">
        <f>'R3'!E38</f>
        <v/>
      </c>
      <c r="F48" s="86" t="str">
        <f>'R3'!F38</f>
        <v/>
      </c>
      <c r="G48" s="86" t="str">
        <f>'R3'!G38</f>
        <v/>
      </c>
      <c r="H48" s="86" t="str">
        <f>'R3'!H38</f>
        <v/>
      </c>
      <c r="I48"/>
      <c r="J48" s="86">
        <f>'R3'!O38</f>
        <v>1.340614845452075</v>
      </c>
      <c r="K48" s="86" t="str">
        <f>'R3'!P38</f>
        <v/>
      </c>
      <c r="L48" s="86" t="str">
        <f>'R3'!Q38</f>
        <v/>
      </c>
    </row>
    <row r="49" spans="1:14" s="1" customFormat="1" x14ac:dyDescent="0.35">
      <c r="A49" s="145"/>
      <c r="B49" s="86" t="str">
        <f>'R3'!B39</f>
        <v/>
      </c>
      <c r="C49" s="86" t="str">
        <f>'R3'!C39</f>
        <v/>
      </c>
      <c r="D49" s="86" t="str">
        <f>'R3'!D39</f>
        <v/>
      </c>
      <c r="E49" s="86" t="str">
        <f>'R3'!E39</f>
        <v/>
      </c>
      <c r="F49" s="86" t="str">
        <f>'R3'!F39</f>
        <v/>
      </c>
      <c r="G49" s="86" t="str">
        <f>'R3'!G39</f>
        <v/>
      </c>
      <c r="H49" s="86" t="str">
        <f>'R3'!H39</f>
        <v/>
      </c>
      <c r="I49"/>
      <c r="J49" s="86">
        <f>'R3'!O39</f>
        <v>0.22489933003402907</v>
      </c>
      <c r="K49" s="86" t="str">
        <f>'R3'!P39</f>
        <v/>
      </c>
      <c r="L49" s="86" t="str">
        <f>'R3'!Q39</f>
        <v/>
      </c>
    </row>
    <row r="50" spans="1:14" s="1" customFormat="1" x14ac:dyDescent="0.35">
      <c r="A50" s="145"/>
      <c r="B50" s="86" t="str">
        <f>'R3'!B40</f>
        <v/>
      </c>
      <c r="C50" s="86" t="str">
        <f>'R3'!C40</f>
        <v/>
      </c>
      <c r="D50" s="86" t="str">
        <f>'R3'!D40</f>
        <v/>
      </c>
      <c r="E50" s="86" t="str">
        <f>'R3'!E40</f>
        <v/>
      </c>
      <c r="F50" s="86" t="str">
        <f>'R3'!F40</f>
        <v/>
      </c>
      <c r="G50" s="86" t="str">
        <f>'R3'!G40</f>
        <v/>
      </c>
      <c r="H50" s="86" t="str">
        <f>'R3'!H40</f>
        <v/>
      </c>
      <c r="I50"/>
      <c r="J50" s="86">
        <f>'R3'!O40</f>
        <v>1.26567377911653</v>
      </c>
      <c r="K50" s="86" t="str">
        <f>'R3'!P40</f>
        <v/>
      </c>
      <c r="L50" s="86" t="str">
        <f>'R3'!Q40</f>
        <v/>
      </c>
    </row>
    <row r="51" spans="1:14" s="1" customFormat="1" x14ac:dyDescent="0.35">
      <c r="A51" s="145"/>
      <c r="B51" s="86" t="str">
        <f>'R3'!B41</f>
        <v/>
      </c>
      <c r="C51" s="86" t="str">
        <f>'R3'!C41</f>
        <v/>
      </c>
      <c r="D51" s="86" t="str">
        <f>'R3'!D41</f>
        <v/>
      </c>
      <c r="E51" s="86" t="str">
        <f>'R3'!E41</f>
        <v/>
      </c>
      <c r="F51" s="86" t="str">
        <f>'R3'!F41</f>
        <v/>
      </c>
      <c r="G51" s="86" t="str">
        <f>'R3'!G41</f>
        <v/>
      </c>
      <c r="H51" s="86" t="str">
        <f>'R3'!H41</f>
        <v/>
      </c>
      <c r="I51"/>
      <c r="J51" s="86">
        <f>'R3'!O41</f>
        <v>1.7494123959569563</v>
      </c>
      <c r="K51" s="86" t="str">
        <f>'R3'!P41</f>
        <v/>
      </c>
      <c r="L51" s="86" t="str">
        <f>'R3'!Q41</f>
        <v/>
      </c>
    </row>
    <row r="52" spans="1:14" s="1" customFormat="1" x14ac:dyDescent="0.35">
      <c r="A52" s="145"/>
      <c r="B52" s="86" t="str">
        <f>'R3'!B42</f>
        <v/>
      </c>
      <c r="C52" s="86" t="str">
        <f>'R3'!C42</f>
        <v/>
      </c>
      <c r="D52" s="86" t="str">
        <f>'R3'!D42</f>
        <v/>
      </c>
      <c r="E52" s="86" t="str">
        <f>'R3'!E42</f>
        <v/>
      </c>
      <c r="F52" s="86" t="str">
        <f>'R3'!F42</f>
        <v/>
      </c>
      <c r="G52" s="86" t="str">
        <f>'R3'!G42</f>
        <v/>
      </c>
      <c r="H52" s="86" t="str">
        <f>'R3'!H42</f>
        <v/>
      </c>
      <c r="I52"/>
      <c r="J52" s="86">
        <f>'R3'!O42</f>
        <v>1.435654089264095</v>
      </c>
      <c r="K52" s="86" t="str">
        <f>'R3'!P42</f>
        <v/>
      </c>
      <c r="L52" s="86" t="str">
        <f>'R3'!Q42</f>
        <v/>
      </c>
    </row>
    <row r="53" spans="1:14" s="1" customFormat="1" x14ac:dyDescent="0.35">
      <c r="A53" s="146"/>
      <c r="B53" s="86" t="str">
        <f>'R3'!B43</f>
        <v/>
      </c>
      <c r="C53" s="86" t="str">
        <f>'R3'!C43</f>
        <v/>
      </c>
      <c r="D53" s="86" t="str">
        <f>'R3'!D43</f>
        <v/>
      </c>
      <c r="E53" s="86" t="str">
        <f>'R3'!E43</f>
        <v/>
      </c>
      <c r="F53" s="86" t="str">
        <f>'R3'!F43</f>
        <v/>
      </c>
      <c r="G53" s="86" t="str">
        <f>'R3'!G43</f>
        <v/>
      </c>
      <c r="H53" s="86" t="str">
        <f>'R3'!H43</f>
        <v/>
      </c>
      <c r="I53"/>
      <c r="J53" s="86">
        <f>'R3'!O43</f>
        <v>0.36554271427748719</v>
      </c>
      <c r="K53" s="86" t="str">
        <f>'R3'!P43</f>
        <v/>
      </c>
      <c r="L53" s="86" t="str">
        <f>'R3'!Q43</f>
        <v/>
      </c>
    </row>
    <row r="54" spans="1:14" s="44" customFormat="1" x14ac:dyDescent="0.35">
      <c r="A54" s="42"/>
      <c r="B54" s="43"/>
      <c r="C54" s="43"/>
      <c r="D54" s="43"/>
      <c r="E54" s="43"/>
      <c r="F54" s="43"/>
      <c r="G54" s="43"/>
      <c r="H54" s="43"/>
      <c r="I54"/>
      <c r="J54" s="43"/>
      <c r="K54" s="43"/>
      <c r="L54" s="43"/>
    </row>
    <row r="55" spans="1:14" s="26" customFormat="1" x14ac:dyDescent="0.35">
      <c r="A55" s="26" t="s">
        <v>37</v>
      </c>
      <c r="B55" s="15" t="str">
        <f t="shared" ref="B55:H55" si="0">B4</f>
        <v>Solvent control</v>
      </c>
      <c r="C55" s="15" t="str">
        <f t="shared" si="0"/>
        <v>EE2-33.8ng/L</v>
      </c>
      <c r="D55" s="15" t="str">
        <f t="shared" si="0"/>
        <v>EE2-50.6ng/L</v>
      </c>
      <c r="E55" s="15" t="str">
        <f t="shared" si="0"/>
        <v>EE2-76ng/L</v>
      </c>
      <c r="F55" s="15" t="str">
        <f t="shared" si="0"/>
        <v>EE2-114ng/L</v>
      </c>
      <c r="G55" s="15" t="str">
        <f t="shared" si="0"/>
        <v>EE2-170.9ng/L</v>
      </c>
      <c r="H55" s="15" t="str">
        <f t="shared" si="0"/>
        <v>EE2-488ng/L</v>
      </c>
      <c r="J55" s="15" t="str">
        <f t="shared" ref="J55:L55" si="1">J4</f>
        <v>Testo -30µg/L</v>
      </c>
      <c r="K55" s="15" t="str">
        <f t="shared" si="1"/>
        <v>Testo 30µg/L + EE2 -64ng/L</v>
      </c>
      <c r="L55" s="15" t="str">
        <f t="shared" si="1"/>
        <v>Testo 30µg/L + FAD-10mg/L</v>
      </c>
    </row>
    <row r="56" spans="1:14" x14ac:dyDescent="0.35">
      <c r="A56" t="s">
        <v>10</v>
      </c>
      <c r="B56" s="9">
        <f t="shared" ref="B56:L56" si="2">AVERAGE(B6:B53)</f>
        <v>1.3410096247637617E-2</v>
      </c>
      <c r="C56" s="9">
        <f t="shared" si="2"/>
        <v>4.9125360167216282E-2</v>
      </c>
      <c r="D56" s="9">
        <f t="shared" si="2"/>
        <v>0.10903892057089026</v>
      </c>
      <c r="E56" s="9">
        <f t="shared" si="2"/>
        <v>0.46510162350146556</v>
      </c>
      <c r="F56" s="9">
        <f t="shared" si="2"/>
        <v>1.0993290786476952</v>
      </c>
      <c r="G56" s="9">
        <f t="shared" si="2"/>
        <v>1.4621275323234268</v>
      </c>
      <c r="H56" s="9">
        <f t="shared" si="2"/>
        <v>3.1676618219654471</v>
      </c>
      <c r="I56" s="9"/>
      <c r="J56" s="9">
        <f t="shared" si="2"/>
        <v>1.0000000000000002</v>
      </c>
      <c r="K56" s="9">
        <f t="shared" si="2"/>
        <v>1.7432443143137712</v>
      </c>
      <c r="L56" s="9">
        <f t="shared" si="2"/>
        <v>1.6610553715264272E-2</v>
      </c>
    </row>
    <row r="57" spans="1:14" x14ac:dyDescent="0.35">
      <c r="A57" t="s">
        <v>1</v>
      </c>
      <c r="B57" s="3">
        <f>STDEV(B6:B53)</f>
        <v>1.5616904818359558E-2</v>
      </c>
      <c r="C57" s="3">
        <f t="shared" ref="C57:L57" si="3">STDEV(C6:C53)</f>
        <v>0.10497968355275221</v>
      </c>
      <c r="D57" s="3">
        <f t="shared" si="3"/>
        <v>0.14345875241901607</v>
      </c>
      <c r="E57" s="3">
        <f t="shared" si="3"/>
        <v>0.37114763107535825</v>
      </c>
      <c r="F57" s="3">
        <f t="shared" si="3"/>
        <v>0.46742784509122814</v>
      </c>
      <c r="G57" s="3">
        <f t="shared" si="3"/>
        <v>0.73417640897430592</v>
      </c>
      <c r="H57" s="3">
        <f t="shared" si="3"/>
        <v>0.86438393138060943</v>
      </c>
      <c r="I57" s="3"/>
      <c r="J57" s="3">
        <f t="shared" si="3"/>
        <v>0.56621856401618542</v>
      </c>
      <c r="K57" s="3">
        <f t="shared" si="3"/>
        <v>0.49106977758366277</v>
      </c>
      <c r="L57" s="3">
        <f t="shared" si="3"/>
        <v>1.6479487116595113E-2</v>
      </c>
      <c r="M57" s="3"/>
      <c r="N57" s="3"/>
    </row>
    <row r="58" spans="1:14" x14ac:dyDescent="0.35">
      <c r="A58" t="s">
        <v>2</v>
      </c>
      <c r="B58" s="3">
        <f xml:space="preserve"> B57/SQRT(COUNT(B6:B53))</f>
        <v>3.2563497575853512E-3</v>
      </c>
      <c r="C58" s="3">
        <f t="shared" ref="C58:L58" si="4" xml:space="preserve"> C57/SQRT(COUNT(C6:C53))</f>
        <v>2.1428888171924204E-2</v>
      </c>
      <c r="D58" s="3">
        <f t="shared" si="4"/>
        <v>2.9283395213570942E-2</v>
      </c>
      <c r="E58" s="3">
        <f t="shared" si="4"/>
        <v>7.5760192948113772E-2</v>
      </c>
      <c r="F58" s="3">
        <f t="shared" si="4"/>
        <v>9.5413309336850646E-2</v>
      </c>
      <c r="G58" s="3">
        <f t="shared" si="4"/>
        <v>0.14986313193132919</v>
      </c>
      <c r="H58" s="3">
        <f t="shared" si="4"/>
        <v>0.17644163114528344</v>
      </c>
      <c r="I58" s="3"/>
      <c r="J58" s="3">
        <f t="shared" si="4"/>
        <v>8.1726610088727003E-2</v>
      </c>
      <c r="K58" s="3">
        <f t="shared" si="4"/>
        <v>0.10023919859849989</v>
      </c>
      <c r="L58" s="3">
        <f t="shared" si="4"/>
        <v>3.3638612215356055E-3</v>
      </c>
      <c r="M58" s="3"/>
      <c r="N58" s="3"/>
    </row>
    <row r="59" spans="1:1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4" s="32" customFormat="1" ht="26.5" thickBot="1" x14ac:dyDescent="0.4">
      <c r="A60" s="147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</row>
    <row r="61" spans="1:1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4" s="1" customFormat="1" x14ac:dyDescent="0.35">
      <c r="A62" s="1" t="s">
        <v>37</v>
      </c>
      <c r="B62" s="3" t="str">
        <f t="shared" ref="B62" si="5">B4</f>
        <v>Solvent control</v>
      </c>
      <c r="C62" s="3" t="str">
        <f t="shared" ref="C62:L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/>
      <c r="J62" s="3" t="str">
        <f t="shared" si="6"/>
        <v>Testo -30µg/L</v>
      </c>
      <c r="K62" s="3" t="str">
        <f t="shared" si="6"/>
        <v>Testo 30µg/L + EE2 -64ng/L</v>
      </c>
      <c r="L62" s="3" t="str">
        <f t="shared" si="6"/>
        <v>Testo 30µg/L + FAD-10mg/L</v>
      </c>
    </row>
    <row r="63" spans="1:14" s="1" customFormat="1" x14ac:dyDescent="0.35">
      <c r="A63" s="1" t="s">
        <v>44</v>
      </c>
      <c r="B63" s="3">
        <f>COUNT(B6:B53)</f>
        <v>23</v>
      </c>
      <c r="C63" s="3">
        <f t="shared" ref="C63:L63" si="7">COUNT(C6:C53)</f>
        <v>24</v>
      </c>
      <c r="D63" s="3">
        <f t="shared" si="7"/>
        <v>24</v>
      </c>
      <c r="E63" s="3">
        <f t="shared" si="7"/>
        <v>24</v>
      </c>
      <c r="F63" s="3">
        <f t="shared" si="7"/>
        <v>24</v>
      </c>
      <c r="G63" s="3">
        <f t="shared" si="7"/>
        <v>24</v>
      </c>
      <c r="H63" s="3">
        <f t="shared" si="7"/>
        <v>24</v>
      </c>
      <c r="I63" s="3"/>
      <c r="J63" s="3">
        <f t="shared" si="7"/>
        <v>48</v>
      </c>
      <c r="K63" s="3">
        <f t="shared" si="7"/>
        <v>24</v>
      </c>
      <c r="L63" s="3">
        <f t="shared" si="7"/>
        <v>24</v>
      </c>
    </row>
    <row r="64" spans="1:14" s="1" customFormat="1" ht="15" thickBot="1" x14ac:dyDescent="0.4">
      <c r="B64" s="3" t="str">
        <f>IF(B63&gt;=21,"OK","ATTENTION")</f>
        <v>OK</v>
      </c>
      <c r="C64" s="3" t="str">
        <f t="shared" ref="C64:L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/>
      <c r="J64" s="3" t="str">
        <f>IF(J63&gt;=41,"OK","ATTENTION")</f>
        <v>OK</v>
      </c>
      <c r="K64" s="3" t="str">
        <f t="shared" si="8"/>
        <v>OK</v>
      </c>
      <c r="L64" s="3" t="str">
        <f t="shared" si="8"/>
        <v>OK</v>
      </c>
    </row>
    <row r="65" spans="1:12" s="32" customFormat="1" ht="26.5" thickBot="1" x14ac:dyDescent="0.4">
      <c r="A65" s="147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</row>
    <row r="66" spans="1:1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32" customFormat="1" ht="26.5" thickBot="1" x14ac:dyDescent="0.4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</row>
    <row r="71" spans="1:12" ht="15" thickBot="1" x14ac:dyDescent="0.4"/>
    <row r="72" spans="1:12" s="32" customFormat="1" ht="26.5" thickBot="1" x14ac:dyDescent="0.4">
      <c r="A72" s="147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</row>
    <row r="73" spans="1:12" ht="15" thickBot="1" x14ac:dyDescent="0.4"/>
    <row r="74" spans="1:12" s="1" customFormat="1" x14ac:dyDescent="0.35">
      <c r="A74" s="29" t="s">
        <v>45</v>
      </c>
      <c r="B74" s="30" t="str">
        <f t="shared" ref="B74:H74" si="9">B4</f>
        <v>Solvent control</v>
      </c>
      <c r="C74" s="30" t="str">
        <f t="shared" si="9"/>
        <v>EE2-33.8ng/L</v>
      </c>
      <c r="D74" s="30" t="str">
        <f t="shared" si="9"/>
        <v>EE2-50.6ng/L</v>
      </c>
      <c r="E74" s="30" t="str">
        <f t="shared" si="9"/>
        <v>EE2-76ng/L</v>
      </c>
      <c r="F74" s="30" t="str">
        <f t="shared" si="9"/>
        <v>EE2-114ng/L</v>
      </c>
      <c r="G74" s="30" t="str">
        <f t="shared" si="9"/>
        <v>EE2-170.9ng/L</v>
      </c>
      <c r="H74" s="30" t="str">
        <f t="shared" si="9"/>
        <v>EE2-488ng/L</v>
      </c>
      <c r="I74" s="30"/>
      <c r="J74" s="30" t="str">
        <f t="shared" ref="J74:L74" si="10">J4</f>
        <v>Testo -30µg/L</v>
      </c>
      <c r="K74" s="30" t="str">
        <f t="shared" si="10"/>
        <v>Testo 30µg/L + EE2 -64ng/L</v>
      </c>
      <c r="L74" s="30" t="str">
        <f t="shared" si="10"/>
        <v>Testo 30µg/L + FAD-10mg/L</v>
      </c>
    </row>
    <row r="75" spans="1:12" s="3" customFormat="1" x14ac:dyDescent="0.35">
      <c r="A75" s="45" t="s">
        <v>10</v>
      </c>
      <c r="B75" s="78">
        <f>B56</f>
        <v>1.3410096247637617E-2</v>
      </c>
      <c r="C75" s="78">
        <f t="shared" ref="C75:L75" si="11">C56</f>
        <v>4.9125360167216282E-2</v>
      </c>
      <c r="D75" s="78">
        <f t="shared" si="11"/>
        <v>0.10903892057089026</v>
      </c>
      <c r="E75" s="78">
        <f t="shared" si="11"/>
        <v>0.46510162350146556</v>
      </c>
      <c r="F75" s="78">
        <f t="shared" si="11"/>
        <v>1.0993290786476952</v>
      </c>
      <c r="G75" s="78">
        <f t="shared" si="11"/>
        <v>1.4621275323234268</v>
      </c>
      <c r="H75" s="78">
        <f t="shared" si="11"/>
        <v>3.1676618219654471</v>
      </c>
      <c r="I75" s="78"/>
      <c r="J75" s="78">
        <f t="shared" si="11"/>
        <v>1.0000000000000002</v>
      </c>
      <c r="K75" s="78">
        <f t="shared" si="11"/>
        <v>1.7432443143137712</v>
      </c>
      <c r="L75" s="78">
        <f t="shared" si="11"/>
        <v>1.6610553715264272E-2</v>
      </c>
    </row>
    <row r="76" spans="1:12" s="3" customFormat="1" x14ac:dyDescent="0.35">
      <c r="A76" s="45" t="s">
        <v>2</v>
      </c>
      <c r="B76" s="78">
        <f>B58</f>
        <v>3.2563497575853512E-3</v>
      </c>
      <c r="C76" s="78">
        <f t="shared" ref="C76:L76" si="12">C58</f>
        <v>2.1428888171924204E-2</v>
      </c>
      <c r="D76" s="78">
        <f t="shared" si="12"/>
        <v>2.9283395213570942E-2</v>
      </c>
      <c r="E76" s="78">
        <f t="shared" si="12"/>
        <v>7.5760192948113772E-2</v>
      </c>
      <c r="F76" s="78">
        <f t="shared" si="12"/>
        <v>9.5413309336850646E-2</v>
      </c>
      <c r="G76" s="78">
        <f t="shared" si="12"/>
        <v>0.14986313193132919</v>
      </c>
      <c r="H76" s="78">
        <f t="shared" si="12"/>
        <v>0.17644163114528344</v>
      </c>
      <c r="I76" s="78"/>
      <c r="J76" s="78">
        <f t="shared" si="12"/>
        <v>8.1726610088727003E-2</v>
      </c>
      <c r="K76" s="78">
        <f t="shared" si="12"/>
        <v>0.10023919859849989</v>
      </c>
      <c r="L76" s="78">
        <f t="shared" si="12"/>
        <v>3.3638612215356055E-3</v>
      </c>
    </row>
    <row r="77" spans="1:12" s="3" customFormat="1" x14ac:dyDescent="0.35">
      <c r="A77" s="45" t="s">
        <v>14</v>
      </c>
      <c r="B77" s="78">
        <f>(B75*100/$B$75)-100</f>
        <v>0</v>
      </c>
      <c r="C77" s="78">
        <f t="shared" ref="C77:H77" si="13">(C75*100/$B$75)-100</f>
        <v>266.33115273777713</v>
      </c>
      <c r="D77" s="78">
        <f t="shared" si="13"/>
        <v>713.11064855406278</v>
      </c>
      <c r="E77" s="78">
        <f t="shared" si="13"/>
        <v>3368.2944470543976</v>
      </c>
      <c r="F77" s="78">
        <f t="shared" si="13"/>
        <v>8097.771726219773</v>
      </c>
      <c r="G77" s="78">
        <f t="shared" si="13"/>
        <v>10803.184476256103</v>
      </c>
      <c r="H77" s="78">
        <f t="shared" si="13"/>
        <v>23521.469700662863</v>
      </c>
      <c r="I77" s="78"/>
      <c r="J77" s="78">
        <f>(J75*100/$J$75)-100</f>
        <v>0</v>
      </c>
      <c r="K77" s="78">
        <f t="shared" ref="K77:L77" si="14">(K75*100/$J$75)-100</f>
        <v>74.324431431377093</v>
      </c>
      <c r="L77" s="78">
        <f t="shared" si="14"/>
        <v>-98.33894462847357</v>
      </c>
    </row>
    <row r="78" spans="1:12" s="3" customFormat="1" x14ac:dyDescent="0.35">
      <c r="A78" s="45" t="s">
        <v>38</v>
      </c>
      <c r="B78" s="78">
        <f>[1]!DPTEST(B6:B53)</f>
        <v>7.3617370746070776E-6</v>
      </c>
      <c r="C78" s="78">
        <f>[1]!DPTEST(C6:C53)</f>
        <v>6.5112359948216181E-12</v>
      </c>
      <c r="D78" s="78">
        <f>[1]!DPTEST(D6:D53)</f>
        <v>8.1046969902265342E-4</v>
      </c>
      <c r="E78" s="78">
        <f>[1]!DPTEST(E6:E53)</f>
        <v>0.39095861613172678</v>
      </c>
      <c r="F78" s="78">
        <f>[1]!DPTEST(F6:F53)</f>
        <v>0.44873985296021446</v>
      </c>
      <c r="G78" s="78">
        <f>[1]!DPTEST(G6:G53)</f>
        <v>0.35880509849401732</v>
      </c>
      <c r="H78" s="78">
        <f>[1]!DPTEST(H6:H53)</f>
        <v>0.45921557380280831</v>
      </c>
      <c r="I78" s="78"/>
      <c r="J78" s="78">
        <f>[1]!DPTEST(J6:J53)</f>
        <v>4.8622686366295298E-5</v>
      </c>
      <c r="K78" s="78">
        <f>[1]!DPTEST(K6:K53)</f>
        <v>9.4215480209347557E-3</v>
      </c>
      <c r="L78" s="78">
        <f>[1]!DPTEST(L6:L53)</f>
        <v>8.0912446454028952E-7</v>
      </c>
    </row>
    <row r="79" spans="1:12" s="3" customFormat="1" x14ac:dyDescent="0.35">
      <c r="A79" s="45" t="s">
        <v>39</v>
      </c>
      <c r="B79" s="78" t="str">
        <f>IF(B78&gt;0.05,"Oui","Non")</f>
        <v>Non</v>
      </c>
      <c r="C79" s="78" t="str">
        <f t="shared" ref="C79:L79" si="15">IF(C78&gt;0.05,"Oui","Non")</f>
        <v>Non</v>
      </c>
      <c r="D79" s="78" t="str">
        <f t="shared" si="15"/>
        <v>Non</v>
      </c>
      <c r="E79" s="78" t="str">
        <f t="shared" si="15"/>
        <v>Oui</v>
      </c>
      <c r="F79" s="78" t="str">
        <f t="shared" si="15"/>
        <v>Oui</v>
      </c>
      <c r="G79" s="78" t="str">
        <f t="shared" si="15"/>
        <v>Oui</v>
      </c>
      <c r="H79" s="78" t="str">
        <f t="shared" si="15"/>
        <v>Oui</v>
      </c>
      <c r="I79" s="78"/>
      <c r="J79" s="78" t="str">
        <f t="shared" si="15"/>
        <v>Non</v>
      </c>
      <c r="K79" s="78" t="str">
        <f t="shared" si="15"/>
        <v>Non</v>
      </c>
      <c r="L79" s="78" t="str">
        <f t="shared" si="15"/>
        <v>Non</v>
      </c>
    </row>
    <row r="80" spans="1:12" s="3" customFormat="1" x14ac:dyDescent="0.35">
      <c r="A80" s="45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s="3" customFormat="1" x14ac:dyDescent="0.35">
      <c r="A81" s="45" t="s">
        <v>40</v>
      </c>
      <c r="B81" s="78"/>
      <c r="C81" s="78" t="s">
        <v>51</v>
      </c>
      <c r="D81" s="78" t="s">
        <v>51</v>
      </c>
      <c r="E81" s="78" t="s">
        <v>51</v>
      </c>
      <c r="F81" s="78" t="s">
        <v>51</v>
      </c>
      <c r="G81" s="78" t="s">
        <v>51</v>
      </c>
      <c r="H81" s="78" t="s">
        <v>51</v>
      </c>
      <c r="I81" s="78"/>
      <c r="J81" s="78" t="str">
        <f>IF($B79="Non",IF(J79="Non","Mann Withney",IF(J79="Oui","Mann Withney","")),IF($B79="Oui",IF(J79="Oui","T-Test Welch",IF(J79="Non","Mann Withney",""))))</f>
        <v>Mann Withney</v>
      </c>
      <c r="K81" s="78" t="str">
        <f t="shared" ref="K81:L81" si="16">IF($J79="Non",IF(K79="Non","Mann Withney",IF(K$79="Oui","Mann Withney","")),IF($J79="Oui",IF(K79="Oui","T-Test Welch",IF(K79="Non","Mann Withney",""))))</f>
        <v>Mann Withney</v>
      </c>
      <c r="L81" s="78" t="str">
        <f t="shared" si="16"/>
        <v>Mann Withney</v>
      </c>
    </row>
    <row r="82" spans="1:12" s="3" customFormat="1" x14ac:dyDescent="0.35">
      <c r="A82" s="45" t="s">
        <v>41</v>
      </c>
      <c r="B82" s="78"/>
      <c r="C82" s="78" t="s">
        <v>48</v>
      </c>
      <c r="D82" s="78">
        <v>0.39</v>
      </c>
      <c r="E82" s="78" t="s">
        <v>50</v>
      </c>
      <c r="F82" s="78" t="s">
        <v>50</v>
      </c>
      <c r="G82" s="78" t="s">
        <v>50</v>
      </c>
      <c r="H82" s="78" t="s">
        <v>50</v>
      </c>
      <c r="I82" s="78"/>
      <c r="J82" s="78">
        <f>IF(J81="Mann Withney",[1]!MTEST($B6:$B37,J6:J53,2), IF(J81="T-Test Welch",_xlfn.T.TEST($B6:$B37,J6:J53,2,3),""))</f>
        <v>9.1961576131893707E-9</v>
      </c>
      <c r="K82" s="78">
        <f>IF(K81="Mann Withney",[1]!MTEST($J6:$J53,K6:K53,2), IF(K81="T-Test Welch",_xlfn.T.TEST($J6:$J53,K6:K53,2,3),""))</f>
        <v>1.4721964247677022E-7</v>
      </c>
      <c r="L82" s="78">
        <f>IF(L81="Mann Withney",[1]!MTEST($J6:$J53,L6:L53,2), IF(L81="T-Test Welch",_xlfn.T.TEST($J6:$J53,L6:L53,2,3),""))</f>
        <v>9.049871962929501E-12</v>
      </c>
    </row>
    <row r="83" spans="1:12" s="3" customFormat="1" ht="15" thickBot="1" x14ac:dyDescent="0.4">
      <c r="A83" s="46" t="s">
        <v>15</v>
      </c>
      <c r="B83" s="79"/>
      <c r="C83" s="79" t="s">
        <v>47</v>
      </c>
      <c r="D83" s="79" t="s">
        <v>47</v>
      </c>
      <c r="E83" s="79" t="s">
        <v>49</v>
      </c>
      <c r="F83" s="79" t="s">
        <v>49</v>
      </c>
      <c r="G83" s="79" t="s">
        <v>49</v>
      </c>
      <c r="H83" s="79" t="s">
        <v>49</v>
      </c>
      <c r="I83" s="79"/>
      <c r="J83" s="79" t="str">
        <f t="shared" ref="J83" si="17">IF(J82&gt;0.05,"NS",IF(J82&gt;0.01,"*",IF(J82&gt;0.001,"**","***")))</f>
        <v>***</v>
      </c>
      <c r="K83" s="79" t="str">
        <f t="shared" ref="K83" si="18">IF(K82&gt;0.05,"NS",IF(K82&gt;0.01,"*",IF(K82&gt;0.001,"**","***")))</f>
        <v>***</v>
      </c>
      <c r="L83" s="79" t="str">
        <f t="shared" ref="L83" si="19">IF(L82&gt;0.05,"NS",IF(L82&gt;0.01,"*",IF(L82&gt;0.001,"**","***")))</f>
        <v>***</v>
      </c>
    </row>
    <row r="84" spans="1:12" s="1" customFormat="1" x14ac:dyDescent="0.35"/>
    <row r="85" spans="1:12" s="1" customFormat="1" x14ac:dyDescent="0.35">
      <c r="A85" s="2"/>
    </row>
    <row r="86" spans="1:12" x14ac:dyDescent="0.35">
      <c r="A86" s="1"/>
      <c r="B86" s="1"/>
    </row>
    <row r="87" spans="1:12" x14ac:dyDescent="0.35">
      <c r="A87" s="1"/>
      <c r="B87" s="1"/>
    </row>
    <row r="88" spans="1:12" ht="15" thickBot="1" x14ac:dyDescent="0.4"/>
    <row r="89" spans="1:12" s="32" customFormat="1" ht="26.5" thickBot="1" x14ac:dyDescent="0.4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</row>
    <row r="90" spans="1:12" ht="15" thickBot="1" x14ac:dyDescent="0.4"/>
    <row r="91" spans="1:12" s="32" customFormat="1" ht="26.5" thickBot="1" x14ac:dyDescent="0.4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</row>
    <row r="92" spans="1:12" ht="15" thickBot="1" x14ac:dyDescent="0.4"/>
    <row r="93" spans="1:12" s="32" customFormat="1" ht="26.5" thickBot="1" x14ac:dyDescent="0.4">
      <c r="A93" s="147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</row>
    <row r="98" spans="2:11" x14ac:dyDescent="0.35">
      <c r="F98" s="1"/>
      <c r="G98" s="1"/>
      <c r="H98" s="1"/>
      <c r="I98" s="1"/>
      <c r="J98" s="1"/>
      <c r="K98" s="1"/>
    </row>
    <row r="99" spans="2:11" x14ac:dyDescent="0.35">
      <c r="B99" s="1"/>
      <c r="C99" s="1"/>
      <c r="F99" s="1"/>
      <c r="G99" s="1"/>
      <c r="H99" s="1"/>
      <c r="I99" s="1"/>
      <c r="J99" s="1"/>
      <c r="K99" s="1"/>
    </row>
    <row r="100" spans="2:11" x14ac:dyDescent="0.35">
      <c r="B100" s="1"/>
      <c r="C100" s="1"/>
    </row>
    <row r="101" spans="2:11" x14ac:dyDescent="0.35">
      <c r="B101" s="1"/>
      <c r="C101" s="1"/>
    </row>
    <row r="102" spans="2:11" x14ac:dyDescent="0.35">
      <c r="B102" s="1"/>
      <c r="C102" s="1"/>
    </row>
    <row r="103" spans="2:11" x14ac:dyDescent="0.35">
      <c r="B103" s="1"/>
      <c r="C103" s="1"/>
    </row>
    <row r="104" spans="2:11" x14ac:dyDescent="0.35">
      <c r="B104" s="1"/>
      <c r="C104" s="1"/>
    </row>
  </sheetData>
  <mergeCells count="10">
    <mergeCell ref="A7:A21"/>
    <mergeCell ref="A23:A37"/>
    <mergeCell ref="A93:L93"/>
    <mergeCell ref="J3:L3"/>
    <mergeCell ref="B3:H3"/>
    <mergeCell ref="A60:L60"/>
    <mergeCell ref="A72:L72"/>
    <mergeCell ref="A70:L70"/>
    <mergeCell ref="A65:L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082FF8-9A21-4FEC-8261-DF347E9366CB}"/>
</file>

<file path=customXml/itemProps2.xml><?xml version="1.0" encoding="utf-8"?>
<ds:datastoreItem xmlns:ds="http://schemas.openxmlformats.org/officeDocument/2006/customXml" ds:itemID="{4800104D-8260-4F5C-9DF2-E8DFE12DF7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Front page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2022-09-19T14:09:28Z</dcterms:modified>
</cp:coreProperties>
</file>