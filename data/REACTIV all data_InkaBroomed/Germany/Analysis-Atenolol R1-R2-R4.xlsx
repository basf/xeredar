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974B88A4-244B-4124-BCF8-2EC3CA948309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Front page" sheetId="10" r:id="rId1"/>
    <sheet name="Comments" sheetId="35" r:id="rId2"/>
    <sheet name="R1" sheetId="1" r:id="rId3"/>
    <sheet name="Graph R1" sheetId="8" r:id="rId4"/>
    <sheet name="R2" sheetId="23" r:id="rId5"/>
    <sheet name="Graph R2" sheetId="19" r:id="rId6"/>
    <sheet name="R3" sheetId="33" r:id="rId7"/>
    <sheet name="Graph R3" sheetId="34" r:id="rId8"/>
    <sheet name="pooled normalised values" sheetId="4" r:id="rId9"/>
    <sheet name="pooled normalised graphe" sheetId="5" r:id="rId10"/>
  </sheets>
  <externalReferences>
    <externalReference r:id="rId11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O23" i="23" l="1"/>
  <c r="B28" i="23" s="1"/>
  <c r="A7" i="10"/>
  <c r="P36" i="1"/>
  <c r="Q36" i="1"/>
  <c r="R36" i="1"/>
  <c r="S36" i="1"/>
  <c r="T36" i="1"/>
  <c r="U36" i="1"/>
  <c r="V36" i="1"/>
  <c r="K35" i="1"/>
  <c r="B36" i="1"/>
  <c r="C36" i="1"/>
  <c r="D36" i="1"/>
  <c r="E36" i="1"/>
  <c r="F36" i="1"/>
  <c r="G36" i="1"/>
  <c r="H36" i="1"/>
  <c r="I36" i="1"/>
  <c r="J36" i="1"/>
  <c r="K36" i="1"/>
  <c r="L36" i="1"/>
  <c r="M36" i="1"/>
  <c r="A45" i="33"/>
  <c r="A27" i="33"/>
  <c r="A52" i="33" s="1"/>
  <c r="A22" i="33"/>
  <c r="A45" i="23"/>
  <c r="A27" i="23"/>
  <c r="A52" i="23" s="1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B56" i="1"/>
  <c r="C56" i="23"/>
  <c r="P56" i="23"/>
  <c r="T56" i="23"/>
  <c r="S56" i="23"/>
  <c r="O56" i="1"/>
  <c r="S56" i="1"/>
  <c r="M56" i="1"/>
  <c r="Q56" i="1"/>
  <c r="F56" i="1"/>
  <c r="J56" i="23"/>
  <c r="Q56" i="23"/>
  <c r="B56" i="23"/>
  <c r="V56" i="23"/>
  <c r="R56" i="1"/>
  <c r="E56" i="23"/>
  <c r="D56" i="23"/>
  <c r="R56" i="23"/>
  <c r="U56" i="1"/>
  <c r="I56" i="23"/>
  <c r="K56" i="1"/>
  <c r="H56" i="1"/>
  <c r="C56" i="1"/>
  <c r="G56" i="23"/>
  <c r="E56" i="1"/>
  <c r="D56" i="1"/>
  <c r="L56" i="23"/>
  <c r="G56" i="1"/>
  <c r="P56" i="1"/>
  <c r="U56" i="23"/>
  <c r="I56" i="1"/>
  <c r="J56" i="1"/>
  <c r="H56" i="23"/>
  <c r="K56" i="23"/>
  <c r="T56" i="1"/>
  <c r="M56" i="23"/>
  <c r="V56" i="1"/>
  <c r="L56" i="1"/>
  <c r="O56" i="23"/>
  <c r="F56" i="23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O43" i="33"/>
  <c r="O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S35" i="33"/>
  <c r="S45" i="4" s="1"/>
  <c r="R35" i="33"/>
  <c r="R45" i="4" s="1"/>
  <c r="Q35" i="33"/>
  <c r="Q45" i="4" s="1"/>
  <c r="M35" i="33"/>
  <c r="M45" i="4" s="1"/>
  <c r="L35" i="33"/>
  <c r="L45" i="4" s="1"/>
  <c r="K35" i="33"/>
  <c r="K45" i="4" s="1"/>
  <c r="I35" i="33"/>
  <c r="I45" i="4" s="1"/>
  <c r="H35" i="33"/>
  <c r="H45" i="4" s="1"/>
  <c r="G35" i="33"/>
  <c r="G45" i="4" s="1"/>
  <c r="E35" i="33"/>
  <c r="E45" i="4" s="1"/>
  <c r="D35" i="33"/>
  <c r="D45" i="4" s="1"/>
  <c r="C35" i="33"/>
  <c r="C45" i="4" s="1"/>
  <c r="D34" i="33"/>
  <c r="D44" i="4" s="1"/>
  <c r="V30" i="33"/>
  <c r="V40" i="4" s="1"/>
  <c r="U30" i="33"/>
  <c r="U40" i="4" s="1"/>
  <c r="S30" i="33"/>
  <c r="S40" i="4" s="1"/>
  <c r="R30" i="33"/>
  <c r="R40" i="4" s="1"/>
  <c r="Q30" i="33"/>
  <c r="Q40" i="4" s="1"/>
  <c r="V29" i="33"/>
  <c r="V39" i="4" s="1"/>
  <c r="U29" i="33"/>
  <c r="U39" i="4" s="1"/>
  <c r="T29" i="33"/>
  <c r="T39" i="4" s="1"/>
  <c r="R29" i="33"/>
  <c r="R39" i="4" s="1"/>
  <c r="Q29" i="33"/>
  <c r="Q39" i="4" s="1"/>
  <c r="P29" i="33"/>
  <c r="P39" i="4" s="1"/>
  <c r="U28" i="33"/>
  <c r="T28" i="33"/>
  <c r="S28" i="33"/>
  <c r="Q28" i="33"/>
  <c r="P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R28" i="33" l="1"/>
  <c r="V28" i="33"/>
  <c r="S29" i="33"/>
  <c r="S39" i="4" s="1"/>
  <c r="P30" i="33"/>
  <c r="P40" i="4" s="1"/>
  <c r="T30" i="33"/>
  <c r="T40" i="4" s="1"/>
  <c r="B35" i="33"/>
  <c r="B45" i="4" s="1"/>
  <c r="F35" i="33"/>
  <c r="F45" i="4" s="1"/>
  <c r="J35" i="33"/>
  <c r="J45" i="4" s="1"/>
  <c r="P35" i="33"/>
  <c r="P45" i="4" s="1"/>
  <c r="T35" i="33"/>
  <c r="T45" i="4" s="1"/>
  <c r="O42" i="33"/>
  <c r="O52" i="4" s="1"/>
  <c r="O38" i="33"/>
  <c r="O48" i="4" s="1"/>
  <c r="B28" i="33"/>
  <c r="E34" i="33"/>
  <c r="E44" i="4" s="1"/>
  <c r="M29" i="33"/>
  <c r="M39" i="4" s="1"/>
  <c r="B34" i="33"/>
  <c r="B44" i="4" s="1"/>
  <c r="O39" i="33"/>
  <c r="O49" i="4" s="1"/>
  <c r="D28" i="33"/>
  <c r="E28" i="33"/>
  <c r="F34" i="33"/>
  <c r="F44" i="4" s="1"/>
  <c r="O41" i="33"/>
  <c r="O51" i="4" s="1"/>
  <c r="B29" i="33"/>
  <c r="B39" i="4" s="1"/>
  <c r="C29" i="33"/>
  <c r="C39" i="4" s="1"/>
  <c r="C28" i="33"/>
  <c r="F28" i="33"/>
  <c r="G34" i="33"/>
  <c r="G44" i="4" s="1"/>
  <c r="O37" i="33"/>
  <c r="O47" i="4" s="1"/>
  <c r="O29" i="33"/>
  <c r="O39" i="4" s="1"/>
  <c r="C34" i="33"/>
  <c r="C44" i="4" s="1"/>
  <c r="G28" i="33"/>
  <c r="M28" i="33"/>
  <c r="M34" i="33"/>
  <c r="M44" i="4" s="1"/>
  <c r="O36" i="33"/>
  <c r="O46" i="4" s="1"/>
  <c r="O40" i="33"/>
  <c r="O50" i="4" s="1"/>
  <c r="I28" i="33"/>
  <c r="O30" i="33"/>
  <c r="O40" i="4" s="1"/>
  <c r="L34" i="33"/>
  <c r="L44" i="4" s="1"/>
  <c r="H28" i="33"/>
  <c r="F29" i="33"/>
  <c r="F39" i="4" s="1"/>
  <c r="O35" i="33"/>
  <c r="O45" i="4" s="1"/>
  <c r="G29" i="33"/>
  <c r="G39" i="4" s="1"/>
  <c r="K34" i="33"/>
  <c r="K44" i="4" s="1"/>
  <c r="I29" i="33"/>
  <c r="I39" i="4" s="1"/>
  <c r="H34" i="33"/>
  <c r="H44" i="4" s="1"/>
  <c r="E29" i="33"/>
  <c r="E39" i="4" s="1"/>
  <c r="I34" i="33"/>
  <c r="I44" i="4" s="1"/>
  <c r="J28" i="33"/>
  <c r="L28" i="33"/>
  <c r="H29" i="33"/>
  <c r="H39" i="4" s="1"/>
  <c r="O28" i="33"/>
  <c r="J29" i="33"/>
  <c r="J39" i="4" s="1"/>
  <c r="D29" i="33"/>
  <c r="D39" i="4" s="1"/>
  <c r="K28" i="33"/>
  <c r="K29" i="33"/>
  <c r="K39" i="4" s="1"/>
  <c r="L29" i="33"/>
  <c r="L39" i="4" s="1"/>
  <c r="J34" i="33"/>
  <c r="J44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U38" i="4"/>
  <c r="V38" i="4"/>
  <c r="R38" i="4"/>
  <c r="B38" i="4"/>
  <c r="B22" i="33"/>
  <c r="E22" i="33"/>
  <c r="I45" i="33"/>
  <c r="I52" i="33"/>
  <c r="I27" i="33"/>
  <c r="P38" i="4"/>
  <c r="T38" i="4"/>
  <c r="B27" i="33"/>
  <c r="B52" i="33" s="1"/>
  <c r="Q38" i="4"/>
  <c r="D27" i="33"/>
  <c r="D52" i="33" s="1"/>
  <c r="I22" i="33"/>
  <c r="E27" i="33"/>
  <c r="E52" i="33" s="1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F56" i="33"/>
  <c r="Q56" i="33"/>
  <c r="G56" i="33"/>
  <c r="L56" i="33"/>
  <c r="B56" i="33"/>
  <c r="C56" i="33"/>
  <c r="P56" i="33"/>
  <c r="H56" i="33"/>
  <c r="U56" i="33"/>
  <c r="R56" i="33"/>
  <c r="O56" i="33"/>
  <c r="J56" i="33"/>
  <c r="M56" i="33"/>
  <c r="T56" i="33"/>
  <c r="K56" i="33"/>
  <c r="E56" i="33"/>
  <c r="V56" i="33"/>
  <c r="S56" i="33"/>
  <c r="D56" i="33"/>
  <c r="I56" i="33"/>
  <c r="O38" i="4" l="1"/>
  <c r="H38" i="4"/>
  <c r="K38" i="4"/>
  <c r="F38" i="4"/>
  <c r="D38" i="4"/>
  <c r="C38" i="4"/>
  <c r="G38" i="4"/>
  <c r="J38" i="4"/>
  <c r="I38" i="4"/>
  <c r="M38" i="4"/>
  <c r="E38" i="4"/>
  <c r="S47" i="33"/>
  <c r="S48" i="33" s="1"/>
  <c r="S54" i="33" s="1"/>
  <c r="L47" i="33"/>
  <c r="L48" i="33" s="1"/>
  <c r="L54" i="33" s="1"/>
  <c r="K47" i="33"/>
  <c r="L38" i="4"/>
  <c r="I47" i="33"/>
  <c r="I48" i="33" s="1"/>
  <c r="I54" i="33" s="1"/>
  <c r="E46" i="33"/>
  <c r="E53" i="33" s="1"/>
  <c r="G47" i="33"/>
  <c r="G48" i="33" s="1"/>
  <c r="G54" i="33" s="1"/>
  <c r="C47" i="33"/>
  <c r="C48" i="33" s="1"/>
  <c r="C54" i="33" s="1"/>
  <c r="R46" i="33"/>
  <c r="R53" i="33" s="1"/>
  <c r="R47" i="33"/>
  <c r="R48" i="33" s="1"/>
  <c r="R54" i="33" s="1"/>
  <c r="Q46" i="33"/>
  <c r="Q53" i="33" s="1"/>
  <c r="I46" i="33"/>
  <c r="I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F60" i="33" s="1"/>
  <c r="E57" i="33"/>
  <c r="D57" i="33"/>
  <c r="C57" i="33"/>
  <c r="T57" i="33"/>
  <c r="S41" i="4"/>
  <c r="V41" i="4"/>
  <c r="U41" i="4"/>
  <c r="P41" i="4"/>
  <c r="K48" i="33"/>
  <c r="K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L46" i="33"/>
  <c r="L53" i="33" s="1"/>
  <c r="K46" i="33"/>
  <c r="K53" i="33" s="1"/>
  <c r="E78" i="4"/>
  <c r="H78" i="4"/>
  <c r="T78" i="4"/>
  <c r="P78" i="4"/>
  <c r="F78" i="4"/>
  <c r="O78" i="4"/>
  <c r="D78" i="4"/>
  <c r="B78" i="4"/>
  <c r="G78" i="4"/>
  <c r="M78" i="4"/>
  <c r="J78" i="4"/>
  <c r="Q78" i="4"/>
  <c r="C78" i="4"/>
  <c r="U78" i="4"/>
  <c r="I78" i="4"/>
  <c r="K78" i="4"/>
  <c r="L78" i="4"/>
  <c r="R78" i="4"/>
  <c r="S78" i="4"/>
  <c r="V78" i="4"/>
  <c r="Q59" i="33" l="1"/>
  <c r="P55" i="33"/>
  <c r="E59" i="33"/>
  <c r="J59" i="33"/>
  <c r="M55" i="33"/>
  <c r="H59" i="33"/>
  <c r="R59" i="33"/>
  <c r="T59" i="33"/>
  <c r="P59" i="33"/>
  <c r="U59" i="33"/>
  <c r="S59" i="33"/>
  <c r="V59" i="33"/>
  <c r="S55" i="33"/>
  <c r="L59" i="33"/>
  <c r="D59" i="33"/>
  <c r="O59" i="33"/>
  <c r="C59" i="33"/>
  <c r="G59" i="33"/>
  <c r="I59" i="33"/>
  <c r="K59" i="33"/>
  <c r="M59" i="33"/>
  <c r="F61" i="33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Q60" i="33"/>
  <c r="Q61" i="33" l="1"/>
  <c r="J60" i="33"/>
  <c r="J61" i="33" s="1"/>
  <c r="M4" i="33"/>
  <c r="M60" i="33"/>
  <c r="D60" i="33"/>
  <c r="E60" i="33"/>
  <c r="I60" i="33"/>
  <c r="H60" i="33"/>
  <c r="G60" i="33"/>
  <c r="L60" i="33"/>
  <c r="V60" i="33"/>
  <c r="P60" i="33"/>
  <c r="O60" i="33"/>
  <c r="R60" i="33"/>
  <c r="U60" i="33"/>
  <c r="T60" i="33"/>
  <c r="S60" i="33"/>
  <c r="K60" i="33"/>
  <c r="C60" i="33"/>
  <c r="T61" i="33" l="1"/>
  <c r="R61" i="33"/>
  <c r="V61" i="33"/>
  <c r="S61" i="33"/>
  <c r="P61" i="33"/>
  <c r="I61" i="33"/>
  <c r="K61" i="33"/>
  <c r="H61" i="33"/>
  <c r="L61" i="33"/>
  <c r="C61" i="33"/>
  <c r="M61" i="33"/>
  <c r="O61" i="33"/>
  <c r="U61" i="33"/>
  <c r="G61" i="33"/>
  <c r="E61" i="33"/>
  <c r="D61" i="33"/>
  <c r="L4" i="33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S22" i="4" s="1"/>
  <c r="T28" i="23"/>
  <c r="T22" i="4" s="1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P24" i="4" s="1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Q31" i="4" s="1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V33" i="4" s="1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Q37" i="4" s="1"/>
  <c r="R43" i="23"/>
  <c r="S43" i="23"/>
  <c r="T43" i="23"/>
  <c r="U43" i="23"/>
  <c r="U37" i="4" s="1"/>
  <c r="V43" i="23"/>
  <c r="O29" i="23"/>
  <c r="O23" i="4" s="1"/>
  <c r="O39" i="23"/>
  <c r="O33" i="4" s="1"/>
  <c r="O40" i="23"/>
  <c r="O34" i="4" s="1"/>
  <c r="O41" i="23"/>
  <c r="O35" i="4" s="1"/>
  <c r="O42" i="23"/>
  <c r="O36" i="4" s="1"/>
  <c r="O43" i="23"/>
  <c r="K28" i="23"/>
  <c r="L28" i="23"/>
  <c r="M28" i="23"/>
  <c r="K29" i="23"/>
  <c r="K23" i="4" s="1"/>
  <c r="L29" i="23"/>
  <c r="L23" i="4" s="1"/>
  <c r="M29" i="23"/>
  <c r="M23" i="4" s="1"/>
  <c r="K30" i="23"/>
  <c r="K24" i="4" s="1"/>
  <c r="L30" i="23"/>
  <c r="L24" i="4" s="1"/>
  <c r="M30" i="23"/>
  <c r="M24" i="4" s="1"/>
  <c r="K31" i="23"/>
  <c r="K25" i="4" s="1"/>
  <c r="L31" i="23"/>
  <c r="L25" i="4" s="1"/>
  <c r="M31" i="23"/>
  <c r="M25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3" i="4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B32" i="23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E30" i="23"/>
  <c r="E24" i="4" s="1"/>
  <c r="F29" i="23"/>
  <c r="F23" i="4" s="1"/>
  <c r="D31" i="23"/>
  <c r="D25" i="4" s="1"/>
  <c r="C28" i="23"/>
  <c r="J29" i="23"/>
  <c r="J23" i="4" s="1"/>
  <c r="J40" i="23"/>
  <c r="J34" i="4" s="1"/>
  <c r="J36" i="23"/>
  <c r="J30" i="4" s="1"/>
  <c r="G31" i="23"/>
  <c r="G25" i="4" s="1"/>
  <c r="C31" i="23"/>
  <c r="C25" i="4" s="1"/>
  <c r="H30" i="23"/>
  <c r="H24" i="4" s="1"/>
  <c r="D30" i="23"/>
  <c r="D24" i="4" s="1"/>
  <c r="I29" i="23"/>
  <c r="I23" i="4" s="1"/>
  <c r="E29" i="23"/>
  <c r="E23" i="4" s="1"/>
  <c r="J28" i="23"/>
  <c r="F28" i="23"/>
  <c r="J42" i="23"/>
  <c r="J36" i="4" s="1"/>
  <c r="J38" i="23"/>
  <c r="J32" i="4" s="1"/>
  <c r="I31" i="23"/>
  <c r="I25" i="4" s="1"/>
  <c r="E31" i="23"/>
  <c r="E25" i="4" s="1"/>
  <c r="J30" i="23"/>
  <c r="J24" i="4" s="1"/>
  <c r="F30" i="23"/>
  <c r="F24" i="4" s="1"/>
  <c r="C29" i="23"/>
  <c r="C23" i="4" s="1"/>
  <c r="D28" i="23"/>
  <c r="J41" i="23"/>
  <c r="J35" i="4" s="1"/>
  <c r="J37" i="23"/>
  <c r="J31" i="4" s="1"/>
  <c r="I34" i="23"/>
  <c r="I28" i="4" s="1"/>
  <c r="J43" i="23"/>
  <c r="J39" i="23"/>
  <c r="J33" i="4" s="1"/>
  <c r="I32" i="23"/>
  <c r="I26" i="4" s="1"/>
  <c r="J31" i="23"/>
  <c r="J25" i="4" s="1"/>
  <c r="F31" i="23"/>
  <c r="F25" i="4" s="1"/>
  <c r="G30" i="23"/>
  <c r="G24" i="4" s="1"/>
  <c r="C30" i="23"/>
  <c r="C24" i="4" s="1"/>
  <c r="H29" i="23"/>
  <c r="H23" i="4" s="1"/>
  <c r="D29" i="23"/>
  <c r="D23" i="4" s="1"/>
  <c r="I28" i="23"/>
  <c r="E28" i="23"/>
  <c r="G29" i="23"/>
  <c r="G23" i="4" s="1"/>
  <c r="H28" i="23"/>
  <c r="H31" i="23"/>
  <c r="H25" i="4" s="1"/>
  <c r="G28" i="23"/>
  <c r="I30" i="23"/>
  <c r="I24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H27" i="1"/>
  <c r="H52" i="1" s="1"/>
  <c r="G27" i="1"/>
  <c r="G52" i="1" s="1"/>
  <c r="F27" i="1"/>
  <c r="F52" i="1" s="1"/>
  <c r="E4" i="4"/>
  <c r="D22" i="1"/>
  <c r="C45" i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T29" i="1" l="1"/>
  <c r="T7" i="4" s="1"/>
  <c r="K34" i="1"/>
  <c r="K12" i="4" s="1"/>
  <c r="P30" i="1"/>
  <c r="P8" i="4" s="1"/>
  <c r="Q28" i="1"/>
  <c r="Q6" i="4" s="1"/>
  <c r="P28" i="1"/>
  <c r="P6" i="4" s="1"/>
  <c r="O42" i="1"/>
  <c r="O20" i="4" s="1"/>
  <c r="V29" i="1"/>
  <c r="V7" i="4" s="1"/>
  <c r="U29" i="1"/>
  <c r="U7" i="4" s="1"/>
  <c r="O39" i="1"/>
  <c r="O17" i="4" s="1"/>
  <c r="P32" i="1"/>
  <c r="Q33" i="1"/>
  <c r="Q11" i="4" s="1"/>
  <c r="R34" i="1"/>
  <c r="R12" i="4" s="1"/>
  <c r="S35" i="1"/>
  <c r="S13" i="4" s="1"/>
  <c r="P31" i="1"/>
  <c r="P9" i="4" s="1"/>
  <c r="Q32" i="1"/>
  <c r="R33" i="1"/>
  <c r="R11" i="4" s="1"/>
  <c r="S34" i="1"/>
  <c r="S12" i="4" s="1"/>
  <c r="T35" i="1"/>
  <c r="T13" i="4" s="1"/>
  <c r="Q31" i="1"/>
  <c r="Q9" i="4" s="1"/>
  <c r="R32" i="1"/>
  <c r="S33" i="1"/>
  <c r="T34" i="1"/>
  <c r="T12" i="4" s="1"/>
  <c r="U35" i="1"/>
  <c r="U13" i="4" s="1"/>
  <c r="V33" i="1"/>
  <c r="V11" i="4" s="1"/>
  <c r="R31" i="1"/>
  <c r="R9" i="4" s="1"/>
  <c r="S32" i="1"/>
  <c r="S10" i="4" s="1"/>
  <c r="T33" i="1"/>
  <c r="T11" i="4" s="1"/>
  <c r="U34" i="1"/>
  <c r="U12" i="4" s="1"/>
  <c r="V35" i="1"/>
  <c r="V13" i="4" s="1"/>
  <c r="U32" i="1"/>
  <c r="U10" i="4" s="1"/>
  <c r="S31" i="1"/>
  <c r="S9" i="4" s="1"/>
  <c r="T32" i="1"/>
  <c r="T10" i="4" s="1"/>
  <c r="U33" i="1"/>
  <c r="U11" i="4" s="1"/>
  <c r="V34" i="1"/>
  <c r="V12" i="4" s="1"/>
  <c r="T31" i="1"/>
  <c r="T9" i="4" s="1"/>
  <c r="P35" i="1"/>
  <c r="P13" i="4" s="1"/>
  <c r="U31" i="1"/>
  <c r="V32" i="1"/>
  <c r="V10" i="4" s="1"/>
  <c r="P34" i="1"/>
  <c r="P12" i="4" s="1"/>
  <c r="Q35" i="1"/>
  <c r="Q13" i="4" s="1"/>
  <c r="V31" i="1"/>
  <c r="V9" i="4" s="1"/>
  <c r="P33" i="1"/>
  <c r="P11" i="4" s="1"/>
  <c r="Q34" i="1"/>
  <c r="Q12" i="4" s="1"/>
  <c r="R35" i="1"/>
  <c r="R13" i="4" s="1"/>
  <c r="S29" i="1"/>
  <c r="S7" i="4" s="1"/>
  <c r="V30" i="1"/>
  <c r="V8" i="4" s="1"/>
  <c r="V28" i="1"/>
  <c r="V6" i="4" s="1"/>
  <c r="U30" i="1"/>
  <c r="U8" i="4" s="1"/>
  <c r="U28" i="1"/>
  <c r="U6" i="4" s="1"/>
  <c r="O38" i="1"/>
  <c r="O16" i="4" s="1"/>
  <c r="T30" i="1"/>
  <c r="T8" i="4" s="1"/>
  <c r="T28" i="1"/>
  <c r="S30" i="1"/>
  <c r="S8" i="4" s="1"/>
  <c r="S28" i="1"/>
  <c r="O40" i="1"/>
  <c r="O18" i="4" s="1"/>
  <c r="O43" i="1"/>
  <c r="O21" i="4" s="1"/>
  <c r="K29" i="1"/>
  <c r="K7" i="4" s="1"/>
  <c r="O36" i="1"/>
  <c r="O41" i="1"/>
  <c r="O19" i="4" s="1"/>
  <c r="F29" i="1"/>
  <c r="F7" i="4" s="1"/>
  <c r="M29" i="1"/>
  <c r="M7" i="4" s="1"/>
  <c r="J28" i="1"/>
  <c r="J6" i="4" s="1"/>
  <c r="L29" i="1"/>
  <c r="L7" i="4" s="1"/>
  <c r="J29" i="1"/>
  <c r="J7" i="4" s="1"/>
  <c r="I34" i="1"/>
  <c r="I12" i="4" s="1"/>
  <c r="E35" i="1"/>
  <c r="E13" i="4" s="1"/>
  <c r="M35" i="1"/>
  <c r="M13" i="4" s="1"/>
  <c r="O31" i="1"/>
  <c r="O9" i="4" s="1"/>
  <c r="O32" i="1"/>
  <c r="O10" i="4" s="1"/>
  <c r="O33" i="1"/>
  <c r="O11" i="4" s="1"/>
  <c r="O34" i="1"/>
  <c r="O12" i="4" s="1"/>
  <c r="O35" i="1"/>
  <c r="O13" i="4" s="1"/>
  <c r="B34" i="1"/>
  <c r="B12" i="4" s="1"/>
  <c r="J34" i="1"/>
  <c r="J12" i="4" s="1"/>
  <c r="F35" i="1"/>
  <c r="F13" i="4" s="1"/>
  <c r="C34" i="1"/>
  <c r="C12" i="4" s="1"/>
  <c r="G35" i="1"/>
  <c r="G13" i="4" s="1"/>
  <c r="L35" i="1"/>
  <c r="L13" i="4" s="1"/>
  <c r="D34" i="1"/>
  <c r="D12" i="4" s="1"/>
  <c r="L34" i="1"/>
  <c r="L12" i="4" s="1"/>
  <c r="H35" i="1"/>
  <c r="H13" i="4" s="1"/>
  <c r="H34" i="1"/>
  <c r="H12" i="4" s="1"/>
  <c r="E34" i="1"/>
  <c r="M34" i="1"/>
  <c r="M12" i="4" s="1"/>
  <c r="I35" i="1"/>
  <c r="J35" i="1"/>
  <c r="J13" i="4" s="1"/>
  <c r="F34" i="1"/>
  <c r="F12" i="4" s="1"/>
  <c r="B35" i="1"/>
  <c r="B13" i="4" s="1"/>
  <c r="G34" i="1"/>
  <c r="G12" i="4" s="1"/>
  <c r="C35" i="1"/>
  <c r="C13" i="4" s="1"/>
  <c r="D35" i="1"/>
  <c r="D13" i="4" s="1"/>
  <c r="M28" i="1"/>
  <c r="M6" i="4" s="1"/>
  <c r="I29" i="1"/>
  <c r="I7" i="4" s="1"/>
  <c r="G29" i="1"/>
  <c r="G7" i="4" s="1"/>
  <c r="L28" i="1"/>
  <c r="L6" i="4" s="1"/>
  <c r="E29" i="1"/>
  <c r="E7" i="4" s="1"/>
  <c r="K28" i="1"/>
  <c r="C34" i="23"/>
  <c r="C28" i="4" s="1"/>
  <c r="C33" i="23"/>
  <c r="C27" i="4" s="1"/>
  <c r="U22" i="4"/>
  <c r="K22" i="4"/>
  <c r="C29" i="1"/>
  <c r="C7" i="4" s="1"/>
  <c r="B30" i="1"/>
  <c r="B8" i="4" s="1"/>
  <c r="F30" i="1"/>
  <c r="F8" i="4" s="1"/>
  <c r="J30" i="1"/>
  <c r="J8" i="4" s="1"/>
  <c r="B31" i="1"/>
  <c r="B9" i="4" s="1"/>
  <c r="F31" i="1"/>
  <c r="J31" i="1"/>
  <c r="J9" i="4" s="1"/>
  <c r="B32" i="1"/>
  <c r="F32" i="1"/>
  <c r="F10" i="4" s="1"/>
  <c r="J32" i="1"/>
  <c r="J10" i="4" s="1"/>
  <c r="B33" i="1"/>
  <c r="B11" i="4" s="1"/>
  <c r="F33" i="1"/>
  <c r="F11" i="4" s="1"/>
  <c r="J33" i="1"/>
  <c r="J11" i="4" s="1"/>
  <c r="C30" i="1"/>
  <c r="C8" i="4" s="1"/>
  <c r="G30" i="1"/>
  <c r="G8" i="4" s="1"/>
  <c r="K30" i="1"/>
  <c r="K8" i="4" s="1"/>
  <c r="C31" i="1"/>
  <c r="C9" i="4" s="1"/>
  <c r="G31" i="1"/>
  <c r="G9" i="4" s="1"/>
  <c r="K31" i="1"/>
  <c r="K9" i="4" s="1"/>
  <c r="C32" i="1"/>
  <c r="G32" i="1"/>
  <c r="G10" i="4" s="1"/>
  <c r="K32" i="1"/>
  <c r="K10" i="4" s="1"/>
  <c r="C33" i="1"/>
  <c r="C11" i="4" s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L10" i="4" s="1"/>
  <c r="D33" i="1"/>
  <c r="D11" i="4" s="1"/>
  <c r="L33" i="1"/>
  <c r="L11" i="4" s="1"/>
  <c r="D30" i="1"/>
  <c r="H31" i="1"/>
  <c r="H9" i="4" s="1"/>
  <c r="H32" i="1"/>
  <c r="H10" i="4" s="1"/>
  <c r="H33" i="1"/>
  <c r="H11" i="4" s="1"/>
  <c r="E30" i="1"/>
  <c r="E8" i="4" s="1"/>
  <c r="I30" i="1"/>
  <c r="I8" i="4" s="1"/>
  <c r="M30" i="1"/>
  <c r="M8" i="4" s="1"/>
  <c r="E31" i="1"/>
  <c r="E9" i="4" s="1"/>
  <c r="I31" i="1"/>
  <c r="I9" i="4" s="1"/>
  <c r="M31" i="1"/>
  <c r="M9" i="4" s="1"/>
  <c r="E32" i="1"/>
  <c r="E10" i="4" s="1"/>
  <c r="I32" i="1"/>
  <c r="I10" i="4" s="1"/>
  <c r="M32" i="1"/>
  <c r="M10" i="4" s="1"/>
  <c r="E33" i="1"/>
  <c r="E11" i="4" s="1"/>
  <c r="I33" i="1"/>
  <c r="I11" i="4" s="1"/>
  <c r="M33" i="1"/>
  <c r="M11" i="4" s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T27" i="4" s="1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S11" i="4"/>
  <c r="U9" i="4"/>
  <c r="D22" i="4"/>
  <c r="L22" i="4"/>
  <c r="E22" i="4"/>
  <c r="M22" i="4"/>
  <c r="H22" i="4"/>
  <c r="I22" i="4"/>
  <c r="C22" i="4"/>
  <c r="G22" i="4"/>
  <c r="Q22" i="4"/>
  <c r="F22" i="4"/>
  <c r="J22" i="4"/>
  <c r="P22" i="4"/>
  <c r="T6" i="4"/>
  <c r="K6" i="4"/>
  <c r="T4" i="33"/>
  <c r="T22" i="33" s="1"/>
  <c r="Q22" i="1"/>
  <c r="H29" i="1"/>
  <c r="E28" i="1"/>
  <c r="F28" i="1"/>
  <c r="R41" i="1"/>
  <c r="R19" i="4" s="1"/>
  <c r="R37" i="1"/>
  <c r="R15" i="4" s="1"/>
  <c r="Q29" i="1"/>
  <c r="O37" i="1"/>
  <c r="O15" i="4" s="1"/>
  <c r="P29" i="1"/>
  <c r="I28" i="1"/>
  <c r="H28" i="1"/>
  <c r="G28" i="1"/>
  <c r="R42" i="1"/>
  <c r="R20" i="4" s="1"/>
  <c r="R38" i="1"/>
  <c r="R16" i="4" s="1"/>
  <c r="L74" i="4"/>
  <c r="L62" i="4"/>
  <c r="E55" i="4"/>
  <c r="E62" i="4"/>
  <c r="P21" i="4"/>
  <c r="I52" i="23"/>
  <c r="R4" i="33"/>
  <c r="V37" i="4"/>
  <c r="R37" i="4"/>
  <c r="K37" i="4"/>
  <c r="I45" i="23"/>
  <c r="U4" i="33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H22" i="23"/>
  <c r="P37" i="1"/>
  <c r="F22" i="23"/>
  <c r="H45" i="23"/>
  <c r="R22" i="4"/>
  <c r="V22" i="4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30" i="1"/>
  <c r="O8" i="4" s="1"/>
  <c r="D28" i="1"/>
  <c r="B28" i="1"/>
  <c r="C28" i="1"/>
  <c r="O28" i="1"/>
  <c r="D29" i="1"/>
  <c r="D7" i="4" s="1"/>
  <c r="G21" i="4"/>
  <c r="I21" i="4"/>
  <c r="F21" i="4"/>
  <c r="H21" i="4"/>
  <c r="E21" i="4"/>
  <c r="L52" i="23"/>
  <c r="D17" i="4"/>
  <c r="C4" i="4"/>
  <c r="G27" i="23"/>
  <c r="G52" i="23" s="1"/>
  <c r="K27" i="23"/>
  <c r="L22" i="1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M46" i="23" l="1"/>
  <c r="M53" i="23" s="1"/>
  <c r="S57" i="1"/>
  <c r="T57" i="1"/>
  <c r="U57" i="1"/>
  <c r="V57" i="1"/>
  <c r="S6" i="4"/>
  <c r="S47" i="1"/>
  <c r="S48" i="1" s="1"/>
  <c r="S54" i="1" s="1"/>
  <c r="S46" i="23"/>
  <c r="S53" i="23" s="1"/>
  <c r="E47" i="23"/>
  <c r="E48" i="23" s="1"/>
  <c r="E54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56" i="4" s="1"/>
  <c r="V75" i="4" s="1"/>
  <c r="I27" i="4"/>
  <c r="U27" i="4"/>
  <c r="U56" i="4" s="1"/>
  <c r="U75" i="4" s="1"/>
  <c r="M26" i="4"/>
  <c r="M56" i="4" s="1"/>
  <c r="M75" i="4" s="1"/>
  <c r="G26" i="4"/>
  <c r="Q27" i="4"/>
  <c r="S27" i="4"/>
  <c r="F26" i="4"/>
  <c r="P27" i="4"/>
  <c r="D26" i="4"/>
  <c r="L26" i="4"/>
  <c r="L63" i="4" s="1"/>
  <c r="L64" i="4" s="1"/>
  <c r="H26" i="4"/>
  <c r="K26" i="4"/>
  <c r="K63" i="4" s="1"/>
  <c r="K64" i="4" s="1"/>
  <c r="V46" i="23"/>
  <c r="V53" i="23" s="1"/>
  <c r="V47" i="23"/>
  <c r="V48" i="23" s="1"/>
  <c r="V54" i="23" s="1"/>
  <c r="R27" i="4"/>
  <c r="J26" i="4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J63" i="4"/>
  <c r="J64" i="4" s="1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L56" i="4"/>
  <c r="L75" i="4" s="1"/>
  <c r="J56" i="4"/>
  <c r="J75" i="4" s="1"/>
  <c r="O55" i="4"/>
  <c r="O62" i="4"/>
  <c r="F55" i="4"/>
  <c r="F62" i="4"/>
  <c r="M55" i="4"/>
  <c r="M62" i="4"/>
  <c r="J55" i="4"/>
  <c r="J62" i="4"/>
  <c r="J57" i="4"/>
  <c r="J58" i="4" s="1"/>
  <c r="J76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T79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V63" i="4" l="1"/>
  <c r="V64" i="4" s="1"/>
  <c r="M63" i="4"/>
  <c r="M64" i="4" s="1"/>
  <c r="M57" i="4"/>
  <c r="M58" i="4" s="1"/>
  <c r="M76" i="4" s="1"/>
  <c r="K57" i="4"/>
  <c r="K58" i="4" s="1"/>
  <c r="K76" i="4" s="1"/>
  <c r="S63" i="4"/>
  <c r="S64" i="4" s="1"/>
  <c r="K56" i="4"/>
  <c r="K75" i="4" s="1"/>
  <c r="S56" i="4"/>
  <c r="S75" i="4" s="1"/>
  <c r="S57" i="4"/>
  <c r="S58" i="4" s="1"/>
  <c r="S76" i="4" s="1"/>
  <c r="U57" i="4"/>
  <c r="U58" i="4" s="1"/>
  <c r="U76" i="4" s="1"/>
  <c r="U63" i="4"/>
  <c r="U64" i="4" s="1"/>
  <c r="L57" i="4"/>
  <c r="L58" i="4" s="1"/>
  <c r="L76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O79" i="4"/>
  <c r="B79" i="4"/>
  <c r="L59" i="23"/>
  <c r="F59" i="23"/>
  <c r="F60" i="23" s="1"/>
  <c r="Q59" i="23"/>
  <c r="Q60" i="23" s="1"/>
  <c r="V59" i="23"/>
  <c r="V60" i="23" s="1"/>
  <c r="P59" i="23"/>
  <c r="P60" i="23" s="1"/>
  <c r="T59" i="23"/>
  <c r="T60" i="23" s="1"/>
  <c r="U59" i="23"/>
  <c r="U60" i="23" s="1"/>
  <c r="S59" i="23"/>
  <c r="S60" i="23" s="1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C60" i="23" s="1"/>
  <c r="E59" i="23"/>
  <c r="E60" i="23" s="1"/>
  <c r="J59" i="23"/>
  <c r="K59" i="23"/>
  <c r="D59" i="23"/>
  <c r="I59" i="23"/>
  <c r="I60" i="23" s="1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J59" i="1"/>
  <c r="F59" i="1"/>
  <c r="M59" i="1"/>
  <c r="I59" i="1"/>
  <c r="E59" i="1"/>
  <c r="L59" i="1"/>
  <c r="H59" i="1"/>
  <c r="D59" i="1"/>
  <c r="K59" i="1"/>
  <c r="C59" i="1"/>
  <c r="G59" i="1"/>
  <c r="M55" i="1"/>
  <c r="T59" i="1"/>
  <c r="T60" i="1" s="1"/>
  <c r="P59" i="1"/>
  <c r="P60" i="1" s="1"/>
  <c r="S59" i="1"/>
  <c r="S60" i="1" s="1"/>
  <c r="V59" i="1"/>
  <c r="V60" i="1" s="1"/>
  <c r="R59" i="1"/>
  <c r="R60" i="1" s="1"/>
  <c r="U59" i="1"/>
  <c r="U60" i="1" s="1"/>
  <c r="Q59" i="1"/>
  <c r="B55" i="1"/>
  <c r="T27" i="23"/>
  <c r="T52" i="23" s="1"/>
  <c r="T45" i="23"/>
  <c r="T22" i="23"/>
  <c r="T27" i="1"/>
  <c r="T52" i="1" s="1"/>
  <c r="T45" i="1"/>
  <c r="T4" i="4"/>
  <c r="T62" i="4" s="1"/>
  <c r="T22" i="1"/>
  <c r="H60" i="1"/>
  <c r="L60" i="23"/>
  <c r="M60" i="1"/>
  <c r="Q60" i="1"/>
  <c r="J60" i="1"/>
  <c r="L60" i="1"/>
  <c r="D60" i="23"/>
  <c r="R60" i="23"/>
  <c r="C60" i="1"/>
  <c r="J60" i="23"/>
  <c r="K60" i="23"/>
  <c r="G60" i="1"/>
  <c r="E60" i="1"/>
  <c r="K60" i="1"/>
  <c r="I60" i="1"/>
  <c r="O60" i="1"/>
  <c r="D60" i="1"/>
  <c r="F60" i="1"/>
  <c r="V74" i="4" l="1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P82" i="4"/>
  <c r="O82" i="4"/>
  <c r="Q82" i="4"/>
  <c r="K77" i="4" l="1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<sst xmlns="http://schemas.openxmlformats.org/spreadsheetml/2006/main" count="245" uniqueCount="54">
  <si>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</si>
  <si>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</si>
  <si>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</si>
  <si>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</si>
  <si>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</si>
  <si>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</si>
  <si>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</si>
  <si>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</si>
  <si>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</si>
  <si>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</si>
  <si>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</si>
  <si>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</si>
  <si>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</si>
  <si>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</si>
  <si>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</si>
  <si>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</si>
  <si>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</si>
  <si>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</si>
  <si>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</si>
  <si>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</si>
  <si>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</si>
  <si>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</si>
  <si>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</si>
  <si>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</si>
  <si>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</si>
  <si>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</si>
  <si>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</si>
  <si>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</si>
  <si>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</si>
  <si>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</si>
  <si>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</si>
  <si>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</si>
  <si>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</si>
  <si>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</si>
  <si>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</si>
  <si>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</si>
  <si>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</si>
  <si>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</si>
  <si>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</si>
  <si>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</si>
  <si>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</si>
  <si>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</si>
  <si>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</si>
  <si>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</si>
  <si>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</si>
  <si>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</si>
  <si>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</si>
  <si>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Atenolol</t>
  </si>
  <si>
    <t>ns</t>
  </si>
  <si>
    <t>&gt;0,99</t>
  </si>
  <si>
    <t>*</t>
  </si>
  <si>
    <t>***</t>
  </si>
  <si>
    <t>&lt;0,001</t>
  </si>
  <si>
    <t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</si>
</sst>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52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4.3603285031475043E-2</c:v>
                  </c:pt>
                  <c:pt idx="1">
                    <c:v>6.189709336463519E-2</c:v>
                  </c:pt>
                  <c:pt idx="2">
                    <c:v>0.17112247916649542</c:v>
                  </c:pt>
                  <c:pt idx="3">
                    <c:v>0.31624141872653333</c:v>
                  </c:pt>
                  <c:pt idx="4">
                    <c:v>0.14486290013109659</c:v>
                  </c:pt>
                  <c:pt idx="5">
                    <c:v>0.50132128510338769</c:v>
                  </c:pt>
                  <c:pt idx="6">
                    <c:v>0.48070131824153722</c:v>
                  </c:pt>
                  <c:pt idx="7">
                    <c:v>2.1884451223419265E-2</c:v>
                  </c:pt>
                  <c:pt idx="8">
                    <c:v>3.9819164046899655E-2</c:v>
                  </c:pt>
                  <c:pt idx="9">
                    <c:v>2.5023863651483406E-2</c:v>
                  </c:pt>
                  <c:pt idx="10">
                    <c:v>4.2478865119441267E-2</c:v>
                  </c:pt>
                  <c:pt idx="11">
                    <c:v>4.0029290486080935E-2</c:v>
                  </c:pt>
                  <c:pt idx="13">
                    <c:v>0.11282881978061449</c:v>
                  </c:pt>
                  <c:pt idx="14">
                    <c:v>0.36233204803911045</c:v>
                  </c:pt>
                  <c:pt idx="15">
                    <c:v>1.0676622252375719E-2</c:v>
                  </c:pt>
                  <c:pt idx="16">
                    <c:v>0.18383084393872753</c:v>
                  </c:pt>
                  <c:pt idx="17">
                    <c:v>0.16825985173429353</c:v>
                  </c:pt>
                  <c:pt idx="18">
                    <c:v>0.21277780584640729</c:v>
                  </c:pt>
                  <c:pt idx="19">
                    <c:v>0.31537526482000811</c:v>
                  </c:pt>
                  <c:pt idx="20">
                    <c:v>9.0835435944116791E-2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Atenolol-0,01mg/L</c:v>
                </c:pt>
                <c:pt idx="8">
                  <c:v>Atenolol-0,1mg/L</c:v>
                </c:pt>
                <c:pt idx="9">
                  <c:v>Atenolol-1mg/L</c:v>
                </c:pt>
                <c:pt idx="10">
                  <c:v>Atenolol-10mg/L</c:v>
                </c:pt>
                <c:pt idx="11">
                  <c:v>Atenolol-100mg/L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Atenolol-0,01mg/L + Testostérone</c:v>
                </c:pt>
                <c:pt idx="17">
                  <c:v>Atenolol-0,1mg/L + Testostérone</c:v>
                </c:pt>
                <c:pt idx="18">
                  <c:v>Atenolol-1mg/L + Testostérone</c:v>
                </c:pt>
                <c:pt idx="19">
                  <c:v>Atenolol-10mg/L + Testostérone</c:v>
                </c:pt>
                <c:pt idx="20">
                  <c:v>Atenolol-100mg/L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9.5721822505479948E-2</c:v>
                </c:pt>
                <c:pt idx="1">
                  <c:v>0.38007385432944119</c:v>
                </c:pt>
                <c:pt idx="2">
                  <c:v>0.95099299459284514</c:v>
                </c:pt>
                <c:pt idx="3">
                  <c:v>1.9952533084547266</c:v>
                </c:pt>
                <c:pt idx="4">
                  <c:v>2.7772061983969758</c:v>
                </c:pt>
                <c:pt idx="5">
                  <c:v>3.2372861663351098</c:v>
                </c:pt>
                <c:pt idx="6">
                  <c:v>3.786404689774125</c:v>
                </c:pt>
                <c:pt idx="7">
                  <c:v>7.3163367173725041E-2</c:v>
                </c:pt>
                <c:pt idx="8">
                  <c:v>0.11547368883322399</c:v>
                </c:pt>
                <c:pt idx="9">
                  <c:v>6.400596580716357E-2</c:v>
                </c:pt>
                <c:pt idx="10">
                  <c:v>8.5538356447987421E-2</c:v>
                </c:pt>
                <c:pt idx="11">
                  <c:v>8.3743713927374619E-2</c:v>
                </c:pt>
                <c:pt idx="13">
                  <c:v>1</c:v>
                </c:pt>
                <c:pt idx="14">
                  <c:v>2.9953820815246948</c:v>
                </c:pt>
                <c:pt idx="15">
                  <c:v>3.4641684783304039E-2</c:v>
                </c:pt>
                <c:pt idx="16">
                  <c:v>0.78737705785348022</c:v>
                </c:pt>
                <c:pt idx="17">
                  <c:v>1.1431717249747484</c:v>
                </c:pt>
                <c:pt idx="18">
                  <c:v>1.0408993505673934</c:v>
                </c:pt>
                <c:pt idx="19">
                  <c:v>1.1324047293920481</c:v>
                </c:pt>
                <c:pt idx="20">
                  <c:v>0.98316136503603668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4.400000000000000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2.1202530418424102E-2</c:v>
                  </c:pt>
                  <c:pt idx="1">
                    <c:v>2.9571972114023536E-2</c:v>
                  </c:pt>
                  <c:pt idx="2">
                    <c:v>6.2682888645256687E-2</c:v>
                  </c:pt>
                  <c:pt idx="3">
                    <c:v>0.12861929185112586</c:v>
                  </c:pt>
                  <c:pt idx="4">
                    <c:v>0.21575051508557239</c:v>
                  </c:pt>
                  <c:pt idx="5">
                    <c:v>0.2030379830941535</c:v>
                  </c:pt>
                  <c:pt idx="6">
                    <c:v>0.3098545092266265</c:v>
                  </c:pt>
                  <c:pt idx="7">
                    <c:v>9.3701104221672396E-3</c:v>
                  </c:pt>
                  <c:pt idx="8">
                    <c:v>8.3654238646062168E-3</c:v>
                  </c:pt>
                  <c:pt idx="9">
                    <c:v>5.0294858788474915E-2</c:v>
                  </c:pt>
                  <c:pt idx="10">
                    <c:v>3.1212336912083777E-2</c:v>
                  </c:pt>
                  <c:pt idx="11">
                    <c:v>2.0517167999745796E-2</c:v>
                  </c:pt>
                  <c:pt idx="13">
                    <c:v>0.12809665978751153</c:v>
                  </c:pt>
                  <c:pt idx="14">
                    <c:v>0.19992992851438748</c:v>
                  </c:pt>
                  <c:pt idx="15">
                    <c:v>1.2026755436451559E-2</c:v>
                  </c:pt>
                  <c:pt idx="16">
                    <c:v>0.14924275212727808</c:v>
                  </c:pt>
                  <c:pt idx="17">
                    <c:v>0.2475717041986415</c:v>
                  </c:pt>
                  <c:pt idx="18">
                    <c:v>0.17059998796899703</c:v>
                  </c:pt>
                  <c:pt idx="19">
                    <c:v>0.1193397580161162</c:v>
                  </c:pt>
                  <c:pt idx="20">
                    <c:v>0.14476733643918915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0.11282881978061449</c:v>
                  </c:pt>
                  <c:pt idx="2">
                    <c:v>0.36233204803911045</c:v>
                  </c:pt>
                  <c:pt idx="3">
                    <c:v>1.0676622252375719E-2</c:v>
                  </c:pt>
                  <c:pt idx="4">
                    <c:v>0.18383084393872753</c:v>
                  </c:pt>
                  <c:pt idx="5">
                    <c:v>0.16825985173429353</c:v>
                  </c:pt>
                  <c:pt idx="6">
                    <c:v>0.21277780584640729</c:v>
                  </c:pt>
                  <c:pt idx="7">
                    <c:v>0.31537526482000811</c:v>
                  </c:pt>
                  <c:pt idx="8">
                    <c:v>9.0835435944116791E-2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Atenolol-0,01mg/L</c:v>
                </c:pt>
                <c:pt idx="8">
                  <c:v>Atenolol-0,1mg/L</c:v>
                </c:pt>
                <c:pt idx="9">
                  <c:v>Atenolol-1mg/L</c:v>
                </c:pt>
                <c:pt idx="10">
                  <c:v>Atenolol-10mg/L</c:v>
                </c:pt>
                <c:pt idx="11">
                  <c:v>Atenolol-100mg/L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Atenolol-0,01mg/L + Testostérone</c:v>
                </c:pt>
                <c:pt idx="17">
                  <c:v>Atenolol-0,1mg/L + Testostérone</c:v>
                </c:pt>
                <c:pt idx="18">
                  <c:v>Atenolol-1mg/L + Testostérone</c:v>
                </c:pt>
                <c:pt idx="19">
                  <c:v>Atenolol-10mg/L + Testostérone</c:v>
                </c:pt>
                <c:pt idx="20">
                  <c:v>Atenolol-100mg/L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5.816627499365392E-2</c:v>
                </c:pt>
                <c:pt idx="1">
                  <c:v>9.8546351585767245E-2</c:v>
                </c:pt>
                <c:pt idx="2">
                  <c:v>0.16381942800890972</c:v>
                </c:pt>
                <c:pt idx="3">
                  <c:v>0.71265205523296749</c:v>
                </c:pt>
                <c:pt idx="4">
                  <c:v>1.2935526772579891</c:v>
                </c:pt>
                <c:pt idx="5">
                  <c:v>1.5212161082854307</c:v>
                </c:pt>
                <c:pt idx="6">
                  <c:v>2.4203060306524686</c:v>
                </c:pt>
                <c:pt idx="7">
                  <c:v>2.8717749610350275E-2</c:v>
                </c:pt>
                <c:pt idx="8">
                  <c:v>3.3756682210430627E-2</c:v>
                </c:pt>
                <c:pt idx="9">
                  <c:v>0.12004318642727568</c:v>
                </c:pt>
                <c:pt idx="10">
                  <c:v>7.9035820750780611E-2</c:v>
                </c:pt>
                <c:pt idx="11">
                  <c:v>8.9325092963841154E-2</c:v>
                </c:pt>
                <c:pt idx="13">
                  <c:v>1</c:v>
                </c:pt>
                <c:pt idx="14">
                  <c:v>1.8765289093812003</c:v>
                </c:pt>
                <c:pt idx="15">
                  <c:v>4.1520682171865032E-2</c:v>
                </c:pt>
                <c:pt idx="16">
                  <c:v>0.95013848777973875</c:v>
                </c:pt>
                <c:pt idx="17">
                  <c:v>0.91921613038323424</c:v>
                </c:pt>
                <c:pt idx="18">
                  <c:v>0.55595153318291335</c:v>
                </c:pt>
                <c:pt idx="19">
                  <c:v>0.46959356298018295</c:v>
                </c:pt>
                <c:pt idx="20">
                  <c:v>0.6598228220626442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2.2707581340621195E-2</c:v>
                  </c:pt>
                  <c:pt idx="1">
                    <c:v>0.74407247298602952</c:v>
                  </c:pt>
                  <c:pt idx="2">
                    <c:v>0.59864724741062136</c:v>
                  </c:pt>
                  <c:pt idx="3">
                    <c:v>1.4111563170355517</c:v>
                  </c:pt>
                  <c:pt idx="4">
                    <c:v>0.69929726615849985</c:v>
                  </c:pt>
                  <c:pt idx="5">
                    <c:v>0.94531825218110199</c:v>
                  </c:pt>
                  <c:pt idx="6">
                    <c:v>2.0481831487088544</c:v>
                  </c:pt>
                  <c:pt idx="7">
                    <c:v>2.8331963127447769E-2</c:v>
                  </c:pt>
                  <c:pt idx="8">
                    <c:v>4.2342904567731723E-2</c:v>
                  </c:pt>
                  <c:pt idx="9">
                    <c:v>2.2603284632288771E-2</c:v>
                  </c:pt>
                  <c:pt idx="10">
                    <c:v>5.2706913242719824E-2</c:v>
                  </c:pt>
                  <c:pt idx="11">
                    <c:v>2.5801423869418545E-2</c:v>
                  </c:pt>
                  <c:pt idx="13">
                    <c:v>0.38920179010234673</c:v>
                  </c:pt>
                  <c:pt idx="14">
                    <c:v>1.5956906773146018</c:v>
                  </c:pt>
                  <c:pt idx="15">
                    <c:v>3.514406335856312E-2</c:v>
                  </c:pt>
                  <c:pt idx="16">
                    <c:v>0.3642231122905405</c:v>
                  </c:pt>
                  <c:pt idx="17">
                    <c:v>0.68784365930148816</c:v>
                  </c:pt>
                  <c:pt idx="18">
                    <c:v>0.31216758593315486</c:v>
                  </c:pt>
                  <c:pt idx="19">
                    <c:v>0.45966817227407758</c:v>
                  </c:pt>
                  <c:pt idx="20">
                    <c:v>0.67004174645235381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0.11282881978061449</c:v>
                  </c:pt>
                  <c:pt idx="2">
                    <c:v>0.36233204803911045</c:v>
                  </c:pt>
                  <c:pt idx="3">
                    <c:v>1.0676622252375719E-2</c:v>
                  </c:pt>
                  <c:pt idx="4">
                    <c:v>0.18383084393872753</c:v>
                  </c:pt>
                  <c:pt idx="5">
                    <c:v>0.16825985173429353</c:v>
                  </c:pt>
                  <c:pt idx="6">
                    <c:v>0.21277780584640729</c:v>
                  </c:pt>
                  <c:pt idx="7">
                    <c:v>0.31537526482000811</c:v>
                  </c:pt>
                  <c:pt idx="8">
                    <c:v>9.0835435944116791E-2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Atenolol-0,01mg/L</c:v>
                </c:pt>
                <c:pt idx="8">
                  <c:v>Atenolol-0,1mg/L</c:v>
                </c:pt>
                <c:pt idx="9">
                  <c:v>Atenolol-1mg/L</c:v>
                </c:pt>
                <c:pt idx="10">
                  <c:v>Atenolol-10mg/L</c:v>
                </c:pt>
                <c:pt idx="11">
                  <c:v>Atenolol-100mg/L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Atenolol-0,01mg/L + Testostérone</c:v>
                </c:pt>
                <c:pt idx="17">
                  <c:v>Atenolol-0,1mg/L + Testostérone</c:v>
                </c:pt>
                <c:pt idx="18">
                  <c:v>Atenolol-1mg/L + Testostérone</c:v>
                </c:pt>
                <c:pt idx="19">
                  <c:v>Atenolol-10mg/L + Testostérone</c:v>
                </c:pt>
                <c:pt idx="20">
                  <c:v>Atenolol-100mg/L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8.1855532429408434E-2</c:v>
                </c:pt>
                <c:pt idx="1">
                  <c:v>1.0487657484864736</c:v>
                </c:pt>
                <c:pt idx="2">
                  <c:v>1.7272989171627686</c:v>
                </c:pt>
                <c:pt idx="3">
                  <c:v>4.5748794159447659</c:v>
                </c:pt>
                <c:pt idx="4">
                  <c:v>7.7816058118873048</c:v>
                </c:pt>
                <c:pt idx="5">
                  <c:v>10.774613283626357</c:v>
                </c:pt>
                <c:pt idx="6">
                  <c:v>16.607275543131717</c:v>
                </c:pt>
                <c:pt idx="7">
                  <c:v>9.5002607576251341E-2</c:v>
                </c:pt>
                <c:pt idx="8">
                  <c:v>0.11165140654807643</c:v>
                </c:pt>
                <c:pt idx="9">
                  <c:v>5.3778644761282537E-2</c:v>
                </c:pt>
                <c:pt idx="10">
                  <c:v>0.17429927599873832</c:v>
                </c:pt>
                <c:pt idx="11">
                  <c:v>8.1334035860730694E-2</c:v>
                </c:pt>
                <c:pt idx="13">
                  <c:v>0.99999999999999978</c:v>
                </c:pt>
                <c:pt idx="14">
                  <c:v>7.6030764168920717</c:v>
                </c:pt>
                <c:pt idx="15">
                  <c:v>9.9057493263979307E-2</c:v>
                </c:pt>
                <c:pt idx="16">
                  <c:v>0.87046394195435883</c:v>
                </c:pt>
                <c:pt idx="17">
                  <c:v>1.2190488096875849</c:v>
                </c:pt>
                <c:pt idx="18">
                  <c:v>0.83687439747203718</c:v>
                </c:pt>
                <c:pt idx="19">
                  <c:v>1.8118440380210694</c:v>
                </c:pt>
                <c:pt idx="20">
                  <c:v>2.7571843041171458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0EAC6EB-60E0-4440-8759-3FE82D2CEC1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74D6F7-8014-49F7-8FB0-E0332A1AA55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6B2D1A7-4D7D-4E63-97EB-820F13462AA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FC24226-35D8-4E81-8CEC-2A501C92343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FDFEF1C-8B26-46C9-A4D6-1015647D4E9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86123D-7139-4217-8B49-8CA6051CDEF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442001-8B0C-4E55-8288-6A94F1F979E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C3DC005-7B7E-4826-8DB6-F6923043D09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4B548A8-A3BB-4848-BBAC-6A468421FA2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76AFD23-7D1A-4725-A230-00B0AC0DFBD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AE1B7EC-9C87-4C78-95FE-593BF4C1293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0C7EC78-4E88-4F5E-9C4E-02DFB0823B0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52B3D34-1B7B-4A63-860D-550A40FD9BA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BC41292-9B98-40C6-8424-9C0AAE1DDE3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0885A6A-FF58-4A7F-964A-104F084D8DF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716D707-FBDC-400F-B0E4-C046B9D613E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0553C4B-91E2-48EC-A4D3-A0A552A1FF2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B72AC4D-518D-46CD-BABC-E6065425266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ADC250C-872F-4DE2-8A2D-3A8F82A44AA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A800182-9BD3-4EE2-9A6D-6B227A48C7B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1.7356570588892083E-2</c:v>
                  </c:pt>
                  <c:pt idx="1">
                    <c:v>0.23110074913195591</c:v>
                  </c:pt>
                  <c:pt idx="2">
                    <c:v>0.23966727420589826</c:v>
                  </c:pt>
                  <c:pt idx="3">
                    <c:v>0.5709663174773334</c:v>
                  </c:pt>
                  <c:pt idx="4">
                    <c:v>0.62564992747496206</c:v>
                  </c:pt>
                  <c:pt idx="5">
                    <c:v>0.90700763750745039</c:v>
                  </c:pt>
                  <c:pt idx="6">
                    <c:v>1.494718483529355</c:v>
                  </c:pt>
                  <c:pt idx="7">
                    <c:v>1.3114884827026163E-2</c:v>
                  </c:pt>
                  <c:pt idx="8">
                    <c:v>2.0285128055019145E-2</c:v>
                  </c:pt>
                  <c:pt idx="9">
                    <c:v>2.0693786701783741E-2</c:v>
                  </c:pt>
                  <c:pt idx="10">
                    <c:v>2.5555093711656509E-2</c:v>
                  </c:pt>
                  <c:pt idx="11">
                    <c:v>1.6723806631736896E-2</c:v>
                  </c:pt>
                  <c:pt idx="13">
                    <c:v>0.13397048126272751</c:v>
                  </c:pt>
                  <c:pt idx="14">
                    <c:v>0.7366958995846008</c:v>
                  </c:pt>
                  <c:pt idx="15">
                    <c:v>1.3704208931430883E-2</c:v>
                  </c:pt>
                  <c:pt idx="16">
                    <c:v>0.13906140644541123</c:v>
                  </c:pt>
                  <c:pt idx="17">
                    <c:v>0.22343729438870313</c:v>
                  </c:pt>
                  <c:pt idx="18">
                    <c:v>0.13838426895808983</c:v>
                  </c:pt>
                  <c:pt idx="19">
                    <c:v>0.21106697223263043</c:v>
                  </c:pt>
                  <c:pt idx="20">
                    <c:v>0.29235084962734809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1.7356570588892083E-2</c:v>
                  </c:pt>
                  <c:pt idx="1">
                    <c:v>0.23110074913195591</c:v>
                  </c:pt>
                  <c:pt idx="2">
                    <c:v>0.23966727420589826</c:v>
                  </c:pt>
                  <c:pt idx="3">
                    <c:v>0.5709663174773334</c:v>
                  </c:pt>
                  <c:pt idx="4">
                    <c:v>0.62564992747496206</c:v>
                  </c:pt>
                  <c:pt idx="5">
                    <c:v>0.90700763750745039</c:v>
                  </c:pt>
                  <c:pt idx="6">
                    <c:v>1.494718483529355</c:v>
                  </c:pt>
                  <c:pt idx="7">
                    <c:v>1.3114884827026163E-2</c:v>
                  </c:pt>
                  <c:pt idx="8">
                    <c:v>2.0285128055019145E-2</c:v>
                  </c:pt>
                  <c:pt idx="9">
                    <c:v>2.0693786701783741E-2</c:v>
                  </c:pt>
                  <c:pt idx="10">
                    <c:v>2.5555093711656509E-2</c:v>
                  </c:pt>
                  <c:pt idx="11">
                    <c:v>1.6723806631736896E-2</c:v>
                  </c:pt>
                  <c:pt idx="13">
                    <c:v>0.13397048126272751</c:v>
                  </c:pt>
                  <c:pt idx="14">
                    <c:v>0.7366958995846008</c:v>
                  </c:pt>
                  <c:pt idx="15">
                    <c:v>1.3704208931430883E-2</c:v>
                  </c:pt>
                  <c:pt idx="16">
                    <c:v>0.13906140644541123</c:v>
                  </c:pt>
                  <c:pt idx="17">
                    <c:v>0.22343729438870313</c:v>
                  </c:pt>
                  <c:pt idx="18">
                    <c:v>0.13838426895808983</c:v>
                  </c:pt>
                  <c:pt idx="19">
                    <c:v>0.21106697223263043</c:v>
                  </c:pt>
                  <c:pt idx="20">
                    <c:v>0.29235084962734809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Atenolol-0,01mg/L</c:v>
                </c:pt>
                <c:pt idx="8">
                  <c:v>Atenolol-0,1mg/L</c:v>
                </c:pt>
                <c:pt idx="9">
                  <c:v>Atenolol-1mg/L</c:v>
                </c:pt>
                <c:pt idx="10">
                  <c:v>Atenolol-10mg/L</c:v>
                </c:pt>
                <c:pt idx="11">
                  <c:v>Atenolol-100mg/L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Atenolol-0,01mg/L + Testostérone</c:v>
                </c:pt>
                <c:pt idx="17">
                  <c:v>Atenolol-0,1mg/L + Testostérone</c:v>
                </c:pt>
                <c:pt idx="18">
                  <c:v>Atenolol-1mg/L + Testostérone</c:v>
                </c:pt>
                <c:pt idx="19">
                  <c:v>Atenolol-10mg/L + Testostérone</c:v>
                </c:pt>
                <c:pt idx="20">
                  <c:v>Atenolol-100mg/L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7.8581209976180774E-2</c:v>
                </c:pt>
                <c:pt idx="1">
                  <c:v>0.48566616898812959</c:v>
                </c:pt>
                <c:pt idx="2">
                  <c:v>0.9473704465881746</c:v>
                </c:pt>
                <c:pt idx="3">
                  <c:v>2.4275949265441534</c:v>
                </c:pt>
                <c:pt idx="4">
                  <c:v>3.9507882291807568</c:v>
                </c:pt>
                <c:pt idx="5">
                  <c:v>5.1777051860822993</c:v>
                </c:pt>
                <c:pt idx="6">
                  <c:v>7.6046620878527698</c:v>
                </c:pt>
                <c:pt idx="7">
                  <c:v>6.5627908120108894E-2</c:v>
                </c:pt>
                <c:pt idx="8">
                  <c:v>8.696059253057703E-2</c:v>
                </c:pt>
                <c:pt idx="9">
                  <c:v>7.9939843919939593E-2</c:v>
                </c:pt>
                <c:pt idx="10">
                  <c:v>0.1141499682231332</c:v>
                </c:pt>
                <c:pt idx="11">
                  <c:v>8.4951682876297424E-2</c:v>
                </c:pt>
                <c:pt idx="13">
                  <c:v>0.99999999999999989</c:v>
                </c:pt>
                <c:pt idx="14">
                  <c:v>4.1583291359326564</c:v>
                </c:pt>
                <c:pt idx="15">
                  <c:v>5.8406620073049448E-2</c:v>
                </c:pt>
                <c:pt idx="16">
                  <c:v>0.86932649586252608</c:v>
                </c:pt>
                <c:pt idx="17">
                  <c:v>1.0883671526381284</c:v>
                </c:pt>
                <c:pt idx="18">
                  <c:v>0.81124176040744811</c:v>
                </c:pt>
                <c:pt idx="19">
                  <c:v>1.1075677216242403</c:v>
                </c:pt>
                <c:pt idx="20">
                  <c:v>1.4667228304052753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*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ns</c:v>
                  </c:pt>
                  <c:pt idx="17">
                    <c:v>ns</c:v>
                  </c:pt>
                  <c:pt idx="18">
                    <c:v>ns</c:v>
                  </c:pt>
                  <c:pt idx="19">
                    <c:v>ns</c:v>
                  </c:pt>
                  <c:pt idx="20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62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6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4" zoomScale="55" zoomScaleNormal="55" workbookViewId="0">
      <selection activeCell="E20" sqref="E20"/>
    </sheetView>
  </sheetViews>
  <sheetFormatPr baseColWidth="10" defaultRowHeight="39" customHeight="1" x14ac:dyDescent="0.35"/>
  <cols>
    <col min="1" max="1" width="42" bestFit="1" customWidth="1"/>
    <col min="2" max="2" width="33.81640625" style="26" bestFit="1" customWidth="1"/>
    <col min="3" max="3" width="21.26953125" customWidth="1"/>
    <col min="4" max="4" width="30.453125" customWidth="1"/>
    <col min="5" max="5" width="62.26953125" style="87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9"/>
      <c r="B1" s="120"/>
      <c r="C1" s="120"/>
      <c r="D1" s="120"/>
      <c r="E1" s="120"/>
      <c r="F1" s="120"/>
      <c r="G1" s="120"/>
      <c r="H1" s="120"/>
      <c r="I1" s="121"/>
    </row>
    <row r="2" spans="1:9" ht="21.5" thickBot="1" x14ac:dyDescent="0.55000000000000004">
      <c r="A2" s="106" t="s">
        <v>5</v>
      </c>
      <c r="B2" s="25" t="s">
        <v>24</v>
      </c>
      <c r="C2" s="122"/>
      <c r="D2" s="123"/>
      <c r="E2" s="25" t="s">
        <v>23</v>
      </c>
      <c r="F2" s="134"/>
      <c r="G2" s="135"/>
      <c r="H2" s="135"/>
      <c r="I2" s="136"/>
    </row>
    <row r="3" spans="1:9" ht="21.5" thickBot="1" x14ac:dyDescent="0.55000000000000004">
      <c r="A3" s="107" t="s">
        <v>6</v>
      </c>
      <c r="B3" s="25" t="s">
        <v>24</v>
      </c>
      <c r="C3" s="124"/>
      <c r="D3" s="125"/>
      <c r="E3" s="25" t="s">
        <v>23</v>
      </c>
      <c r="F3" s="131"/>
      <c r="G3" s="132"/>
      <c r="H3" s="132"/>
      <c r="I3" s="133"/>
    </row>
    <row r="4" spans="1:9" ht="21.5" thickBot="1" x14ac:dyDescent="0.55000000000000004">
      <c r="A4" s="108" t="s">
        <v>9</v>
      </c>
      <c r="B4" s="25" t="s">
        <v>24</v>
      </c>
      <c r="C4" s="126"/>
      <c r="D4" s="127"/>
      <c r="E4" s="25" t="s">
        <v>23</v>
      </c>
      <c r="F4" s="128"/>
      <c r="G4" s="129"/>
      <c r="H4" s="129"/>
      <c r="I4" s="130"/>
    </row>
    <row r="5" spans="1:9" s="1" customFormat="1" ht="65.25" customHeight="1" thickBot="1" x14ac:dyDescent="0.4">
      <c r="A5" s="119"/>
      <c r="B5" s="120"/>
      <c r="C5" s="120"/>
      <c r="D5" s="120"/>
      <c r="E5" s="120"/>
      <c r="F5" s="120"/>
      <c r="G5" s="120"/>
      <c r="H5" s="120"/>
      <c r="I5" s="121"/>
    </row>
    <row r="6" spans="1:9" s="66" customFormat="1" ht="39" customHeight="1" x14ac:dyDescent="0.5">
      <c r="A6" s="56" t="s">
        <v>25</v>
      </c>
      <c r="B6" s="57" t="s">
        <v>26</v>
      </c>
      <c r="C6" s="45" t="s">
        <v>7</v>
      </c>
      <c r="D6" s="45" t="s">
        <v>27</v>
      </c>
      <c r="E6" s="84" t="s">
        <v>28</v>
      </c>
      <c r="F6" s="65" t="s">
        <v>29</v>
      </c>
    </row>
    <row r="7" spans="1:9" s="93" customFormat="1" ht="39" customHeight="1" x14ac:dyDescent="0.5">
      <c r="A7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89" t="s">
        <v>46</v>
      </c>
      <c r="C7" s="90"/>
      <c r="D7" s="91"/>
      <c r="E7" s="92" t="s">
        <v>31</v>
      </c>
      <c r="F7" s="67"/>
    </row>
    <row r="8" spans="1:9" s="93" customFormat="1" ht="39" customHeight="1" x14ac:dyDescent="0.5">
      <c r="A8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89" t="s">
        <v>46</v>
      </c>
      <c r="C8" s="90" t="s">
        <v>32</v>
      </c>
      <c r="D8" s="91" t="s">
        <v>17</v>
      </c>
      <c r="E8" s="92" t="s">
        <v>18</v>
      </c>
      <c r="F8" s="67"/>
    </row>
    <row r="9" spans="1:9" s="93" customFormat="1" ht="39" customHeight="1" x14ac:dyDescent="0.5">
      <c r="A9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89" t="s">
        <v>46</v>
      </c>
      <c r="C9" s="90" t="s">
        <v>33</v>
      </c>
      <c r="D9" s="91" t="s">
        <v>17</v>
      </c>
      <c r="E9" s="92" t="s">
        <v>18</v>
      </c>
      <c r="F9" s="67"/>
    </row>
    <row r="10" spans="1:9" s="93" customFormat="1" ht="39" customHeight="1" x14ac:dyDescent="0.5">
      <c r="A10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89" t="s">
        <v>46</v>
      </c>
      <c r="C10" s="90">
        <v>76</v>
      </c>
      <c r="D10" s="91" t="s">
        <v>17</v>
      </c>
      <c r="E10" s="92" t="s">
        <v>18</v>
      </c>
      <c r="F10" s="67"/>
    </row>
    <row r="11" spans="1:9" s="93" customFormat="1" ht="39" customHeight="1" x14ac:dyDescent="0.5">
      <c r="A11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89" t="s">
        <v>46</v>
      </c>
      <c r="C11" s="90">
        <v>114</v>
      </c>
      <c r="D11" s="91" t="s">
        <v>17</v>
      </c>
      <c r="E11" s="92" t="s">
        <v>18</v>
      </c>
      <c r="F11" s="67"/>
    </row>
    <row r="12" spans="1:9" s="93" customFormat="1" ht="39" customHeight="1" x14ac:dyDescent="0.5">
      <c r="A12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89" t="s">
        <v>46</v>
      </c>
      <c r="C12" s="90" t="s">
        <v>34</v>
      </c>
      <c r="D12" s="91" t="s">
        <v>17</v>
      </c>
      <c r="E12" s="92" t="s">
        <v>18</v>
      </c>
      <c r="F12" s="67"/>
    </row>
    <row r="13" spans="1:9" s="93" customFormat="1" ht="39" customHeight="1" x14ac:dyDescent="0.5">
      <c r="A13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89" t="s">
        <v>46</v>
      </c>
      <c r="C13" s="90">
        <v>488</v>
      </c>
      <c r="D13" s="91" t="s">
        <v>17</v>
      </c>
      <c r="E13" s="92" t="s">
        <v>18</v>
      </c>
      <c r="F13" s="67"/>
    </row>
    <row r="14" spans="1:9" s="93" customFormat="1" ht="39" customHeight="1" x14ac:dyDescent="0.5">
      <c r="A14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Atenolol-0,01mg/L</v>
      </c>
      <c r="B14" s="89" t="s">
        <v>30</v>
      </c>
      <c r="C14" s="90">
        <v>0.01</v>
      </c>
      <c r="D14" s="91" t="s">
        <v>21</v>
      </c>
      <c r="E14" s="92" t="s">
        <v>47</v>
      </c>
      <c r="F14" s="67"/>
    </row>
    <row r="15" spans="1:9" s="68" customFormat="1" ht="39" customHeight="1" x14ac:dyDescent="0.35">
      <c r="A15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Atenolol-0,1mg/L</v>
      </c>
      <c r="B15" s="89" t="s">
        <v>30</v>
      </c>
      <c r="C15" s="62">
        <v>0.1</v>
      </c>
      <c r="D15" s="91" t="s">
        <v>21</v>
      </c>
      <c r="E15" s="92" t="s">
        <v>47</v>
      </c>
      <c r="F15" s="67"/>
    </row>
    <row r="16" spans="1:9" s="68" customFormat="1" ht="39" customHeight="1" x14ac:dyDescent="0.35">
      <c r="A16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Atenolol-1mg/L</v>
      </c>
      <c r="B16" s="89" t="s">
        <v>30</v>
      </c>
      <c r="C16" s="62">
        <v>1</v>
      </c>
      <c r="D16" s="91" t="s">
        <v>21</v>
      </c>
      <c r="E16" s="92" t="s">
        <v>47</v>
      </c>
      <c r="F16" s="67"/>
    </row>
    <row r="17" spans="1:6" s="68" customFormat="1" ht="39" customHeight="1" x14ac:dyDescent="0.35">
      <c r="A17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Atenolol-10mg/L</v>
      </c>
      <c r="B17" s="89" t="s">
        <v>30</v>
      </c>
      <c r="C17" s="62">
        <v>10</v>
      </c>
      <c r="D17" s="91" t="s">
        <v>21</v>
      </c>
      <c r="E17" s="92" t="s">
        <v>47</v>
      </c>
      <c r="F17" s="67"/>
    </row>
    <row r="18" spans="1:6" s="68" customFormat="1" ht="39" customHeight="1" x14ac:dyDescent="0.35">
      <c r="A18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Atenolol-100mg/L</v>
      </c>
      <c r="B18" s="89" t="s">
        <v>30</v>
      </c>
      <c r="C18" s="62">
        <v>100</v>
      </c>
      <c r="D18" s="91" t="s">
        <v>21</v>
      </c>
      <c r="E18" s="92" t="s">
        <v>47</v>
      </c>
      <c r="F18" s="67"/>
    </row>
    <row r="19" spans="1:6" s="68" customFormat="1" ht="39" customHeight="1" x14ac:dyDescent="0.35">
      <c r="A19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89" t="s">
        <v>30</v>
      </c>
      <c r="C19" s="62"/>
      <c r="D19" s="62"/>
      <c r="E19" s="23"/>
      <c r="F19" s="67"/>
    </row>
    <row r="20" spans="1:6" s="68" customFormat="1" ht="39" customHeight="1" x14ac:dyDescent="0.35">
      <c r="A20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89" t="s">
        <v>30</v>
      </c>
      <c r="C20" s="62"/>
      <c r="D20" s="62"/>
      <c r="E20" s="58"/>
      <c r="F20" s="67"/>
    </row>
    <row r="21" spans="1:6" s="68" customFormat="1" ht="39" customHeight="1" x14ac:dyDescent="0.35">
      <c r="A21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89" t="s">
        <v>30</v>
      </c>
      <c r="C21" s="62"/>
      <c r="D21" s="62"/>
      <c r="E21" s="23"/>
      <c r="F21" s="67"/>
    </row>
    <row r="22" spans="1:6" s="68" customFormat="1" ht="39" customHeight="1" x14ac:dyDescent="0.35">
      <c r="A22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89" t="s">
        <v>30</v>
      </c>
      <c r="C22" s="62"/>
      <c r="D22" s="62"/>
      <c r="E22" s="58"/>
      <c r="F22" s="67"/>
    </row>
    <row r="23" spans="1:6" s="68" customFormat="1" ht="39" customHeight="1" x14ac:dyDescent="0.35">
      <c r="A23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89" t="s">
        <v>30</v>
      </c>
      <c r="C23" s="62"/>
      <c r="D23" s="62"/>
      <c r="E23" s="23"/>
      <c r="F23" s="67"/>
    </row>
    <row r="24" spans="1:6" s="68" customFormat="1" ht="39" customHeight="1" x14ac:dyDescent="0.35">
      <c r="A24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89" t="s">
        <v>30</v>
      </c>
      <c r="C24" s="62"/>
      <c r="D24" s="62"/>
      <c r="E24" s="58"/>
      <c r="F24" s="67"/>
    </row>
    <row r="25" spans="1:6" s="68" customFormat="1" ht="39" customHeight="1" x14ac:dyDescent="0.35">
      <c r="A25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89" t="s">
        <v>30</v>
      </c>
      <c r="C25" s="62"/>
      <c r="D25" s="62"/>
      <c r="E25" s="23"/>
      <c r="F25" s="67"/>
    </row>
    <row r="26" spans="1:6" s="68" customFormat="1" ht="39" customHeight="1" x14ac:dyDescent="0.35">
      <c r="A26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89" t="s">
        <v>30</v>
      </c>
      <c r="C26" s="62"/>
      <c r="D26" s="62"/>
      <c r="E26" s="58"/>
      <c r="F26" s="67"/>
    </row>
    <row r="27" spans="1:6" s="68" customFormat="1" ht="39" customHeight="1" x14ac:dyDescent="0.35">
      <c r="A27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89" t="s">
        <v>30</v>
      </c>
      <c r="C27" s="62"/>
      <c r="D27" s="62"/>
      <c r="E27" s="23"/>
      <c r="F27" s="67"/>
    </row>
    <row r="28" spans="1:6" s="68" customFormat="1" ht="39" customHeight="1" x14ac:dyDescent="0.35">
      <c r="A28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89" t="s">
        <v>30</v>
      </c>
      <c r="C28" s="62"/>
      <c r="D28" s="62"/>
      <c r="E28" s="58"/>
      <c r="F28" s="67"/>
    </row>
    <row r="29" spans="1:6" s="68" customFormat="1" ht="39" customHeight="1" x14ac:dyDescent="0.35">
      <c r="A29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89" t="s">
        <v>30</v>
      </c>
      <c r="C29" s="62"/>
      <c r="D29" s="71"/>
      <c r="E29" s="23"/>
      <c r="F29" s="67"/>
    </row>
    <row r="30" spans="1:6" s="68" customFormat="1" ht="39" customHeight="1" x14ac:dyDescent="0.35">
      <c r="A30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89" t="s">
        <v>30</v>
      </c>
      <c r="C30" s="62"/>
      <c r="D30" s="71"/>
      <c r="E30" s="58"/>
      <c r="F30" s="67"/>
    </row>
    <row r="31" spans="1:6" s="68" customFormat="1" ht="39" customHeight="1" x14ac:dyDescent="0.35">
      <c r="A31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89" t="s">
        <v>30</v>
      </c>
      <c r="C31" s="62"/>
      <c r="D31" s="71"/>
      <c r="E31" s="23"/>
      <c r="F31" s="67"/>
    </row>
    <row r="32" spans="1:6" s="68" customFormat="1" ht="39" customHeight="1" x14ac:dyDescent="0.35">
      <c r="A32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89" t="s">
        <v>30</v>
      </c>
      <c r="C32" s="62"/>
      <c r="D32" s="71"/>
      <c r="E32" s="58"/>
      <c r="F32" s="67"/>
    </row>
    <row r="33" spans="1:6" s="68" customFormat="1" ht="39" customHeight="1" x14ac:dyDescent="0.35">
      <c r="A33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89" t="s">
        <v>30</v>
      </c>
      <c r="C33" s="62"/>
      <c r="D33" s="71"/>
      <c r="E33" s="23"/>
      <c r="F33" s="67"/>
    </row>
    <row r="34" spans="1:6" s="68" customFormat="1" ht="39" customHeight="1" thickBot="1" x14ac:dyDescent="0.4">
      <c r="A34" s="5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89" t="s">
        <v>30</v>
      </c>
      <c r="C34" s="95"/>
      <c r="D34" s="72"/>
      <c r="E34" s="94"/>
      <c r="F34" s="67"/>
    </row>
    <row r="35" spans="1:6" s="68" customFormat="1" ht="39" customHeight="1" x14ac:dyDescent="0.35">
      <c r="A35" s="9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59" t="s">
        <v>46</v>
      </c>
      <c r="C35" s="63">
        <v>30</v>
      </c>
      <c r="D35" s="73" t="s">
        <v>19</v>
      </c>
      <c r="E35" s="85" t="s">
        <v>8</v>
      </c>
      <c r="F35" s="97"/>
    </row>
    <row r="36" spans="1:6" s="68" customFormat="1" ht="39" customHeight="1" x14ac:dyDescent="0.35">
      <c r="A36" s="9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0" t="s">
        <v>46</v>
      </c>
      <c r="C36" s="64">
        <v>64</v>
      </c>
      <c r="D36" s="74" t="s">
        <v>17</v>
      </c>
      <c r="E36" s="86" t="s">
        <v>20</v>
      </c>
      <c r="F36" s="99"/>
    </row>
    <row r="37" spans="1:6" s="68" customFormat="1" ht="39" customHeight="1" thickBot="1" x14ac:dyDescent="0.4">
      <c r="A37" s="10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1" t="s">
        <v>46</v>
      </c>
      <c r="C37" s="102">
        <v>10</v>
      </c>
      <c r="D37" s="103" t="s">
        <v>21</v>
      </c>
      <c r="E37" s="104" t="s">
        <v>22</v>
      </c>
      <c r="F37" s="105"/>
    </row>
    <row r="38" spans="1:6" s="68" customFormat="1" ht="39" customHeight="1" x14ac:dyDescent="0.35">
      <c r="A38" s="3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Atenolol-0,01mg/L + Testostérone</v>
      </c>
      <c r="B38" s="109" t="str">
        <f>B14</f>
        <v>test chemical</v>
      </c>
      <c r="C38" s="109">
        <f t="shared" ref="C38:E38" si="0">C14</f>
        <v>0.01</v>
      </c>
      <c r="D38" s="109" t="str">
        <f t="shared" si="0"/>
        <v>mg/L</v>
      </c>
      <c r="E38" s="109" t="str">
        <f t="shared" si="0"/>
        <v>Atenolol</v>
      </c>
      <c r="F38" s="69" t="s">
        <v>13</v>
      </c>
    </row>
    <row r="39" spans="1:6" s="68" customFormat="1" ht="39" customHeight="1" x14ac:dyDescent="0.35">
      <c r="A39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Atenolol-0,1mg/L + Testostérone</v>
      </c>
      <c r="B39" s="111" t="str">
        <f t="shared" ref="B39:E39" si="1">B15</f>
        <v>test chemical</v>
      </c>
      <c r="C39" s="111">
        <f t="shared" si="1"/>
        <v>0.1</v>
      </c>
      <c r="D39" s="111" t="str">
        <f t="shared" si="1"/>
        <v>mg/L</v>
      </c>
      <c r="E39" s="111" t="str">
        <f t="shared" si="1"/>
        <v>Atenolol</v>
      </c>
      <c r="F39" s="70" t="s">
        <v>13</v>
      </c>
    </row>
    <row r="40" spans="1:6" s="68" customFormat="1" ht="39" customHeight="1" x14ac:dyDescent="0.35">
      <c r="A40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Atenolol-1mg/L + Testostérone</v>
      </c>
      <c r="B40" s="111" t="str">
        <f t="shared" ref="B40:E40" si="2">B16</f>
        <v>test chemical</v>
      </c>
      <c r="C40" s="111">
        <f t="shared" si="2"/>
        <v>1</v>
      </c>
      <c r="D40" s="111" t="str">
        <f t="shared" si="2"/>
        <v>mg/L</v>
      </c>
      <c r="E40" s="111" t="str">
        <f t="shared" si="2"/>
        <v>Atenolol</v>
      </c>
      <c r="F40" s="70" t="s">
        <v>13</v>
      </c>
    </row>
    <row r="41" spans="1:6" s="68" customFormat="1" ht="39" customHeight="1" x14ac:dyDescent="0.35">
      <c r="A41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Atenolol-10mg/L + Testostérone</v>
      </c>
      <c r="B41" s="111" t="str">
        <f t="shared" ref="B41:E41" si="3">B17</f>
        <v>test chemical</v>
      </c>
      <c r="C41" s="111">
        <f t="shared" si="3"/>
        <v>10</v>
      </c>
      <c r="D41" s="111" t="str">
        <f t="shared" si="3"/>
        <v>mg/L</v>
      </c>
      <c r="E41" s="111" t="str">
        <f t="shared" si="3"/>
        <v>Atenolol</v>
      </c>
      <c r="F41" s="70" t="s">
        <v>13</v>
      </c>
    </row>
    <row r="42" spans="1:6" s="68" customFormat="1" ht="39" customHeight="1" x14ac:dyDescent="0.35">
      <c r="A42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Atenolol-100mg/L + Testostérone</v>
      </c>
      <c r="B42" s="111" t="str">
        <f t="shared" ref="B42:E42" si="4">B18</f>
        <v>test chemical</v>
      </c>
      <c r="C42" s="111">
        <f t="shared" si="4"/>
        <v>100</v>
      </c>
      <c r="D42" s="111" t="str">
        <f t="shared" si="4"/>
        <v>mg/L</v>
      </c>
      <c r="E42" s="111" t="str">
        <f t="shared" si="4"/>
        <v>Atenolol</v>
      </c>
      <c r="F42" s="70" t="s">
        <v>13</v>
      </c>
    </row>
    <row r="43" spans="1:6" s="68" customFormat="1" ht="39" customHeight="1" x14ac:dyDescent="0.35">
      <c r="A43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1" t="str">
        <f t="shared" ref="B43:E43" si="5">B19</f>
        <v>test chemical</v>
      </c>
      <c r="C43" s="111">
        <f t="shared" si="5"/>
        <v>0</v>
      </c>
      <c r="D43" s="111">
        <f t="shared" si="5"/>
        <v>0</v>
      </c>
      <c r="E43" s="111">
        <f t="shared" si="5"/>
        <v>0</v>
      </c>
      <c r="F43" s="70" t="s">
        <v>13</v>
      </c>
    </row>
    <row r="44" spans="1:6" s="68" customFormat="1" ht="39" customHeight="1" x14ac:dyDescent="0.35">
      <c r="A44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1" t="str">
        <f t="shared" ref="B44:E44" si="6">B20</f>
        <v>test chemical</v>
      </c>
      <c r="C44" s="111">
        <f t="shared" si="6"/>
        <v>0</v>
      </c>
      <c r="D44" s="111">
        <f t="shared" si="6"/>
        <v>0</v>
      </c>
      <c r="E44" s="111">
        <f t="shared" si="6"/>
        <v>0</v>
      </c>
      <c r="F44" s="70" t="s">
        <v>13</v>
      </c>
    </row>
    <row r="45" spans="1:6" s="68" customFormat="1" ht="39" customHeight="1" x14ac:dyDescent="0.35">
      <c r="A45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1" t="str">
        <f t="shared" ref="B45:E45" si="7">B21</f>
        <v>test chemical</v>
      </c>
      <c r="C45" s="111">
        <f t="shared" si="7"/>
        <v>0</v>
      </c>
      <c r="D45" s="111">
        <f t="shared" si="7"/>
        <v>0</v>
      </c>
      <c r="E45" s="111">
        <f t="shared" si="7"/>
        <v>0</v>
      </c>
      <c r="F45" s="70" t="s">
        <v>13</v>
      </c>
    </row>
    <row r="46" spans="1:6" s="68" customFormat="1" ht="39" customHeight="1" x14ac:dyDescent="0.35">
      <c r="A46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1" t="str">
        <f t="shared" ref="B46:E46" si="8">B22</f>
        <v>test chemical</v>
      </c>
      <c r="C46" s="111">
        <f t="shared" si="8"/>
        <v>0</v>
      </c>
      <c r="D46" s="111">
        <f t="shared" si="8"/>
        <v>0</v>
      </c>
      <c r="E46" s="111">
        <f t="shared" si="8"/>
        <v>0</v>
      </c>
      <c r="F46" s="70" t="s">
        <v>13</v>
      </c>
    </row>
    <row r="47" spans="1:6" s="68" customFormat="1" ht="39" customHeight="1" x14ac:dyDescent="0.35">
      <c r="A47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1" t="str">
        <f t="shared" ref="B47:E47" si="9">B23</f>
        <v>test chemical</v>
      </c>
      <c r="C47" s="111">
        <f t="shared" si="9"/>
        <v>0</v>
      </c>
      <c r="D47" s="111">
        <f t="shared" si="9"/>
        <v>0</v>
      </c>
      <c r="E47" s="111">
        <f t="shared" si="9"/>
        <v>0</v>
      </c>
      <c r="F47" s="70" t="s">
        <v>13</v>
      </c>
    </row>
    <row r="48" spans="1:6" s="68" customFormat="1" ht="39" customHeight="1" x14ac:dyDescent="0.35">
      <c r="A48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1" t="str">
        <f t="shared" ref="B48:E48" si="10">B24</f>
        <v>test chemical</v>
      </c>
      <c r="C48" s="111">
        <f t="shared" si="10"/>
        <v>0</v>
      </c>
      <c r="D48" s="111">
        <f t="shared" si="10"/>
        <v>0</v>
      </c>
      <c r="E48" s="111">
        <f t="shared" si="10"/>
        <v>0</v>
      </c>
      <c r="F48" s="70" t="s">
        <v>13</v>
      </c>
    </row>
    <row r="49" spans="1:6" s="68" customFormat="1" ht="39" customHeight="1" x14ac:dyDescent="0.35">
      <c r="A49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1" t="str">
        <f t="shared" ref="B49:E49" si="11">B25</f>
        <v>test chemical</v>
      </c>
      <c r="C49" s="111">
        <f t="shared" si="11"/>
        <v>0</v>
      </c>
      <c r="D49" s="111">
        <f t="shared" si="11"/>
        <v>0</v>
      </c>
      <c r="E49" s="111">
        <f t="shared" si="11"/>
        <v>0</v>
      </c>
      <c r="F49" s="70" t="s">
        <v>13</v>
      </c>
    </row>
    <row r="50" spans="1:6" s="68" customFormat="1" ht="39" customHeight="1" x14ac:dyDescent="0.35">
      <c r="A50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1" t="str">
        <f t="shared" ref="B50:E50" si="12">B26</f>
        <v>test chemical</v>
      </c>
      <c r="C50" s="111">
        <f t="shared" si="12"/>
        <v>0</v>
      </c>
      <c r="D50" s="111">
        <f t="shared" si="12"/>
        <v>0</v>
      </c>
      <c r="E50" s="111">
        <f t="shared" si="12"/>
        <v>0</v>
      </c>
      <c r="F50" s="70" t="s">
        <v>13</v>
      </c>
    </row>
    <row r="51" spans="1:6" s="68" customFormat="1" ht="39" customHeight="1" x14ac:dyDescent="0.35">
      <c r="A51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1" t="str">
        <f t="shared" ref="B51:E51" si="13">B27</f>
        <v>test chemical</v>
      </c>
      <c r="C51" s="111">
        <f t="shared" si="13"/>
        <v>0</v>
      </c>
      <c r="D51" s="111">
        <f t="shared" si="13"/>
        <v>0</v>
      </c>
      <c r="E51" s="111">
        <f t="shared" si="13"/>
        <v>0</v>
      </c>
      <c r="F51" s="70" t="s">
        <v>13</v>
      </c>
    </row>
    <row r="52" spans="1:6" s="68" customFormat="1" ht="39" customHeight="1" x14ac:dyDescent="0.35">
      <c r="A52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1" t="str">
        <f t="shared" ref="B52:E52" si="14">B28</f>
        <v>test chemical</v>
      </c>
      <c r="C52" s="111">
        <f t="shared" si="14"/>
        <v>0</v>
      </c>
      <c r="D52" s="111">
        <f t="shared" si="14"/>
        <v>0</v>
      </c>
      <c r="E52" s="111">
        <f t="shared" si="14"/>
        <v>0</v>
      </c>
      <c r="F52" s="70" t="s">
        <v>13</v>
      </c>
    </row>
    <row r="53" spans="1:6" s="68" customFormat="1" ht="39" customHeight="1" x14ac:dyDescent="0.35">
      <c r="A53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1" t="str">
        <f t="shared" ref="B53:E53" si="15">B29</f>
        <v>test chemical</v>
      </c>
      <c r="C53" s="111">
        <f t="shared" si="15"/>
        <v>0</v>
      </c>
      <c r="D53" s="111">
        <f t="shared" si="15"/>
        <v>0</v>
      </c>
      <c r="E53" s="111">
        <f t="shared" si="15"/>
        <v>0</v>
      </c>
      <c r="F53" s="70" t="s">
        <v>13</v>
      </c>
    </row>
    <row r="54" spans="1:6" s="68" customFormat="1" ht="39" customHeight="1" x14ac:dyDescent="0.35">
      <c r="A54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1" t="str">
        <f t="shared" ref="B54:E54" si="16">B30</f>
        <v>test chemical</v>
      </c>
      <c r="C54" s="111">
        <f t="shared" si="16"/>
        <v>0</v>
      </c>
      <c r="D54" s="111">
        <f t="shared" si="16"/>
        <v>0</v>
      </c>
      <c r="E54" s="111">
        <f t="shared" si="16"/>
        <v>0</v>
      </c>
      <c r="F54" s="70" t="s">
        <v>13</v>
      </c>
    </row>
    <row r="55" spans="1:6" s="68" customFormat="1" ht="39" customHeight="1" x14ac:dyDescent="0.35">
      <c r="A55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1" t="str">
        <f t="shared" ref="B55:E55" si="17">B31</f>
        <v>test chemical</v>
      </c>
      <c r="C55" s="111">
        <f t="shared" si="17"/>
        <v>0</v>
      </c>
      <c r="D55" s="111">
        <f t="shared" si="17"/>
        <v>0</v>
      </c>
      <c r="E55" s="111">
        <f t="shared" si="17"/>
        <v>0</v>
      </c>
      <c r="F55" s="70" t="s">
        <v>13</v>
      </c>
    </row>
    <row r="56" spans="1:6" s="68" customFormat="1" ht="39" customHeight="1" x14ac:dyDescent="0.35">
      <c r="A56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1" t="str">
        <f t="shared" ref="B56:E56" si="18">B32</f>
        <v>test chemical</v>
      </c>
      <c r="C56" s="111">
        <f t="shared" si="18"/>
        <v>0</v>
      </c>
      <c r="D56" s="111">
        <f t="shared" si="18"/>
        <v>0</v>
      </c>
      <c r="E56" s="111">
        <f t="shared" si="18"/>
        <v>0</v>
      </c>
      <c r="F56" s="70" t="s">
        <v>13</v>
      </c>
    </row>
    <row r="57" spans="1:6" s="68" customFormat="1" ht="39" customHeight="1" x14ac:dyDescent="0.35">
      <c r="A57" s="6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0" t="str">
        <f t="shared" ref="B57:E57" si="19">B33</f>
        <v>test chemical</v>
      </c>
      <c r="C57" s="110">
        <f t="shared" si="19"/>
        <v>0</v>
      </c>
      <c r="D57" s="110">
        <f t="shared" si="19"/>
        <v>0</v>
      </c>
      <c r="E57" s="110">
        <f t="shared" si="19"/>
        <v>0</v>
      </c>
      <c r="F57" s="70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A068-BA85-44C5-8694-962B28F98280}">
  <dimension ref="A2:M12"/>
  <sheetViews>
    <sheetView workbookViewId="0">
      <selection activeCell="A2" sqref="A2:E14"/>
    </sheetView>
  </sheetViews>
  <sheetFormatPr baseColWidth="10" defaultRowHeight="14.5" x14ac:dyDescent="0.35"/>
  <sheetData>
    <row r="2" spans="1:13" s="1" customFormat="1" x14ac:dyDescent="0.35"/>
    <row r="3" spans="1:1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12" spans="1:13" x14ac:dyDescent="0.35">
      <c r="A12" s="1"/>
      <c r="B12" s="1"/>
      <c r="C12" s="1"/>
      <c r="D12" s="1"/>
      <c r="E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topLeftCell="A44" zoomScale="85" zoomScaleNormal="85" zoomScaleSheetLayoutView="40" zoomScalePageLayoutView="30" workbookViewId="0">
      <pane xSplit="1" topLeftCell="B1" activePane="topRight" state="frozen"/>
      <selection pane="topRight" activeCell="B56" sqref="B56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3" t="s">
        <v>5</v>
      </c>
      <c r="B3" s="145" t="s">
        <v>42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O3" s="145" t="s">
        <v>43</v>
      </c>
      <c r="P3" s="146"/>
      <c r="Q3" s="146"/>
      <c r="R3" s="146"/>
      <c r="S3" s="146"/>
      <c r="T3" s="146"/>
      <c r="U3" s="146"/>
      <c r="V3" s="146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Atenolol-0,01mg/L</v>
      </c>
      <c r="J4" s="18" t="str">
        <f>'Front page'!A15</f>
        <v>Atenolol-0,1mg/L</v>
      </c>
      <c r="K4" s="18" t="str">
        <f>'Front page'!A16</f>
        <v>Atenolol-1mg/L</v>
      </c>
      <c r="L4" s="18" t="str">
        <f>'Front page'!A17</f>
        <v>Atenolol-10mg/L</v>
      </c>
      <c r="M4" s="18" t="str">
        <f>'Front page'!A18</f>
        <v>Atenolol-100mg/L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Atenolol-0,01mg/L + Testostérone</v>
      </c>
      <c r="S4" s="19" t="str">
        <f>'Front page'!A39</f>
        <v>Atenolol-0,1mg/L + Testostérone</v>
      </c>
      <c r="T4" s="19" t="str">
        <f>'Front page'!A40</f>
        <v>Atenolol-1mg/L + Testostérone</v>
      </c>
      <c r="U4" s="19" t="str">
        <f>'Front page'!A41</f>
        <v>Atenolol-10mg/L + Testostérone</v>
      </c>
      <c r="V4" s="19" t="str">
        <f>'Front page'!A42</f>
        <v>Atenolol-100mg/L + Testostérone</v>
      </c>
    </row>
    <row r="5" spans="1:22" ht="15.5" x14ac:dyDescent="0.35">
      <c r="A5" s="141" t="s">
        <v>35</v>
      </c>
      <c r="B5" s="115">
        <v>673028</v>
      </c>
      <c r="C5" s="113">
        <v>513026</v>
      </c>
      <c r="D5" s="113">
        <v>95091</v>
      </c>
      <c r="E5" s="113">
        <v>3061838</v>
      </c>
      <c r="F5" s="113">
        <v>5408505</v>
      </c>
      <c r="G5" s="113">
        <v>9761549</v>
      </c>
      <c r="H5" s="113">
        <v>5056760</v>
      </c>
      <c r="I5" s="113">
        <v>121244</v>
      </c>
      <c r="J5" s="113">
        <v>66164</v>
      </c>
      <c r="K5" s="113">
        <v>116786</v>
      </c>
      <c r="L5" s="113">
        <v>257737</v>
      </c>
      <c r="M5" s="113">
        <v>633386</v>
      </c>
      <c r="N5" s="114"/>
      <c r="O5" s="113">
        <v>2112452</v>
      </c>
      <c r="P5" s="113">
        <v>4045757</v>
      </c>
      <c r="Q5" s="113">
        <v>141429</v>
      </c>
      <c r="R5" s="113">
        <v>1803929</v>
      </c>
      <c r="S5" s="116">
        <v>962545</v>
      </c>
      <c r="T5" s="116">
        <v>846486</v>
      </c>
      <c r="U5" s="116">
        <v>4917854</v>
      </c>
      <c r="V5" s="116">
        <v>1275249</v>
      </c>
    </row>
    <row r="6" spans="1:22" ht="15.5" x14ac:dyDescent="0.35">
      <c r="A6" s="142"/>
      <c r="B6" s="115">
        <v>12365</v>
      </c>
      <c r="C6" s="113">
        <v>568688</v>
      </c>
      <c r="D6" s="113">
        <v>1692738</v>
      </c>
      <c r="E6" s="113">
        <v>3411597</v>
      </c>
      <c r="F6" s="113">
        <v>3486328</v>
      </c>
      <c r="G6" s="113">
        <v>5291337</v>
      </c>
      <c r="H6" s="113">
        <v>6058172</v>
      </c>
      <c r="I6" s="113">
        <v>261008</v>
      </c>
      <c r="J6" s="113">
        <v>646315</v>
      </c>
      <c r="K6" s="113">
        <v>86153</v>
      </c>
      <c r="L6" s="113">
        <v>45958</v>
      </c>
      <c r="M6" s="113">
        <v>112828</v>
      </c>
      <c r="N6" s="114"/>
      <c r="O6" s="113">
        <v>1551598</v>
      </c>
      <c r="P6" s="113">
        <v>6192085</v>
      </c>
      <c r="Q6" s="113">
        <v>20401</v>
      </c>
      <c r="R6" s="113">
        <v>2330419</v>
      </c>
      <c r="S6" s="116">
        <v>2814849</v>
      </c>
      <c r="T6" s="116">
        <v>2987845</v>
      </c>
      <c r="U6" s="116">
        <v>1887229</v>
      </c>
      <c r="V6" s="116">
        <v>1485335</v>
      </c>
    </row>
    <row r="7" spans="1:22" ht="15.5" x14ac:dyDescent="0.35">
      <c r="A7" s="142"/>
      <c r="B7" s="115">
        <v>291721</v>
      </c>
      <c r="C7" s="115">
        <v>196816</v>
      </c>
      <c r="D7" s="115">
        <v>1636544</v>
      </c>
      <c r="E7" s="115">
        <v>2914762</v>
      </c>
      <c r="F7" s="115">
        <v>5420073</v>
      </c>
      <c r="G7" s="115">
        <v>2716859</v>
      </c>
      <c r="H7" s="115">
        <v>7996094</v>
      </c>
      <c r="I7" s="115">
        <v>44399</v>
      </c>
      <c r="J7" s="115">
        <v>99531</v>
      </c>
      <c r="K7" s="115">
        <v>375580</v>
      </c>
      <c r="L7" s="115">
        <v>51580</v>
      </c>
      <c r="M7" s="115">
        <v>174142</v>
      </c>
      <c r="N7" s="114"/>
      <c r="O7" s="113">
        <v>1770591</v>
      </c>
      <c r="P7" s="113">
        <v>5280774</v>
      </c>
      <c r="Q7" s="113">
        <v>95772</v>
      </c>
      <c r="R7" s="113">
        <v>2932077</v>
      </c>
      <c r="S7" s="116">
        <v>1989321</v>
      </c>
      <c r="T7" s="116">
        <v>2866374</v>
      </c>
      <c r="U7" s="116">
        <v>3108981</v>
      </c>
      <c r="V7" s="116">
        <v>2169759</v>
      </c>
    </row>
    <row r="8" spans="1:22" ht="15.5" x14ac:dyDescent="0.35">
      <c r="A8" s="142"/>
      <c r="B8" s="115">
        <v>35175</v>
      </c>
      <c r="C8" s="115">
        <v>531008</v>
      </c>
      <c r="D8" s="115">
        <v>1992835</v>
      </c>
      <c r="E8" s="115">
        <v>6569378</v>
      </c>
      <c r="F8" s="115">
        <v>4694982</v>
      </c>
      <c r="G8" s="115">
        <v>2306316</v>
      </c>
      <c r="H8" s="115">
        <v>9664629</v>
      </c>
      <c r="I8" s="115">
        <v>27627</v>
      </c>
      <c r="J8" s="115">
        <v>30186</v>
      </c>
      <c r="K8" s="115">
        <v>101943</v>
      </c>
      <c r="L8" s="115">
        <v>574789</v>
      </c>
      <c r="M8" s="115">
        <v>54375</v>
      </c>
      <c r="N8" s="114"/>
      <c r="O8" s="115">
        <v>931446</v>
      </c>
      <c r="P8" s="115">
        <v>6838508</v>
      </c>
      <c r="Q8" s="115">
        <v>37453</v>
      </c>
      <c r="R8" s="115">
        <v>918361</v>
      </c>
      <c r="S8" s="117">
        <v>2900556</v>
      </c>
      <c r="T8" s="117">
        <v>1562576</v>
      </c>
      <c r="U8" s="117">
        <v>427357</v>
      </c>
      <c r="V8" s="117">
        <v>1063764</v>
      </c>
    </row>
    <row r="9" spans="1:22" ht="15.5" x14ac:dyDescent="0.35">
      <c r="A9" s="142"/>
      <c r="B9" s="115">
        <v>58981</v>
      </c>
      <c r="C9" s="115">
        <v>679783</v>
      </c>
      <c r="D9" s="115">
        <v>2901788</v>
      </c>
      <c r="E9" s="115">
        <v>3650324</v>
      </c>
      <c r="F9" s="115">
        <v>5705201</v>
      </c>
      <c r="G9" s="115">
        <v>5320134</v>
      </c>
      <c r="H9" s="115">
        <v>8834653</v>
      </c>
      <c r="I9" s="115">
        <v>81476</v>
      </c>
      <c r="J9" s="115">
        <v>147604</v>
      </c>
      <c r="K9" s="115">
        <v>29212</v>
      </c>
      <c r="L9" s="115">
        <v>94</v>
      </c>
      <c r="M9" s="115">
        <v>62999</v>
      </c>
      <c r="N9" s="114"/>
      <c r="O9" s="115">
        <v>709930</v>
      </c>
      <c r="P9" s="115">
        <v>5658853</v>
      </c>
      <c r="Q9" s="115">
        <v>15113</v>
      </c>
      <c r="R9" s="115">
        <v>1748447</v>
      </c>
      <c r="S9" s="117">
        <v>1121727</v>
      </c>
      <c r="T9" s="117">
        <v>3067483</v>
      </c>
      <c r="U9" s="117">
        <v>1438071</v>
      </c>
      <c r="V9" s="117">
        <v>1710677</v>
      </c>
    </row>
    <row r="10" spans="1:22" ht="15.5" x14ac:dyDescent="0.35">
      <c r="A10" s="142"/>
      <c r="B10" s="115">
        <v>69027</v>
      </c>
      <c r="C10" s="115">
        <v>878103</v>
      </c>
      <c r="D10" s="115">
        <v>1053413</v>
      </c>
      <c r="E10" s="115">
        <v>1103450</v>
      </c>
      <c r="F10" s="115">
        <v>5717052</v>
      </c>
      <c r="G10" s="115">
        <v>6407191</v>
      </c>
      <c r="H10" s="115">
        <v>2679367</v>
      </c>
      <c r="I10" s="115">
        <v>49325</v>
      </c>
      <c r="J10" s="115">
        <v>111976</v>
      </c>
      <c r="K10" s="115">
        <v>25347</v>
      </c>
      <c r="L10" s="115">
        <v>105686</v>
      </c>
      <c r="M10" s="115">
        <v>2250</v>
      </c>
      <c r="N10" s="114"/>
      <c r="O10" s="115">
        <v>949388</v>
      </c>
      <c r="P10" s="115">
        <v>1621232</v>
      </c>
      <c r="Q10" s="115">
        <v>12693</v>
      </c>
      <c r="R10" s="115">
        <v>335716</v>
      </c>
      <c r="S10" s="117">
        <v>1998907</v>
      </c>
      <c r="T10" s="117">
        <v>680295</v>
      </c>
      <c r="U10" s="117">
        <v>1450495</v>
      </c>
      <c r="V10" s="117">
        <v>2083644</v>
      </c>
    </row>
    <row r="11" spans="1:22" ht="15.5" x14ac:dyDescent="0.35">
      <c r="A11" s="142"/>
      <c r="B11" s="115">
        <v>51665</v>
      </c>
      <c r="C11" s="113">
        <v>1252536</v>
      </c>
      <c r="D11" s="113">
        <v>1768969</v>
      </c>
      <c r="E11" s="113">
        <v>5071585</v>
      </c>
      <c r="F11" s="113">
        <v>5043253</v>
      </c>
      <c r="G11" s="113">
        <v>8486599</v>
      </c>
      <c r="H11" s="113">
        <v>9175975</v>
      </c>
      <c r="I11" s="113">
        <v>339124</v>
      </c>
      <c r="J11" s="113">
        <v>354827</v>
      </c>
      <c r="K11" s="113">
        <v>74789</v>
      </c>
      <c r="L11" s="113">
        <v>46396</v>
      </c>
      <c r="M11" s="113">
        <v>12478</v>
      </c>
      <c r="N11" s="114"/>
      <c r="O11" s="115">
        <v>1263128</v>
      </c>
      <c r="P11" s="115">
        <v>6131483</v>
      </c>
      <c r="Q11" s="115">
        <v>138943</v>
      </c>
      <c r="R11" s="115">
        <v>992423</v>
      </c>
      <c r="S11" s="117">
        <v>1471883</v>
      </c>
      <c r="T11" s="117">
        <v>569985</v>
      </c>
      <c r="U11" s="117">
        <v>1097313</v>
      </c>
      <c r="V11" s="117">
        <v>2092075</v>
      </c>
    </row>
    <row r="12" spans="1:22" ht="15.5" x14ac:dyDescent="0.35">
      <c r="A12" s="142"/>
      <c r="B12" s="115">
        <v>192132</v>
      </c>
      <c r="C12" s="113">
        <v>875735</v>
      </c>
      <c r="D12" s="113">
        <v>2609548</v>
      </c>
      <c r="E12" s="113">
        <v>3067521</v>
      </c>
      <c r="F12" s="113">
        <v>4681744</v>
      </c>
      <c r="G12" s="113">
        <v>6519700</v>
      </c>
      <c r="H12" s="113">
        <v>5284039</v>
      </c>
      <c r="I12" s="113">
        <v>133706</v>
      </c>
      <c r="J12" s="113">
        <v>213094</v>
      </c>
      <c r="K12" s="113"/>
      <c r="L12" s="113"/>
      <c r="M12" s="113">
        <v>158438</v>
      </c>
      <c r="N12" s="114"/>
      <c r="O12" s="113">
        <v>1597865</v>
      </c>
      <c r="P12" s="113">
        <v>7543170</v>
      </c>
      <c r="Q12" s="113">
        <v>39099</v>
      </c>
      <c r="R12" s="113">
        <v>323742</v>
      </c>
      <c r="S12" s="116">
        <v>3269955</v>
      </c>
      <c r="T12" s="116">
        <v>2469887</v>
      </c>
      <c r="U12" s="116"/>
      <c r="V12" s="116">
        <v>2335563</v>
      </c>
    </row>
    <row r="13" spans="1:22" ht="15.5" x14ac:dyDescent="0.35">
      <c r="A13" s="142"/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4"/>
      <c r="O13" s="113">
        <v>2626668</v>
      </c>
      <c r="P13" s="113"/>
      <c r="Q13" s="113"/>
      <c r="R13" s="113"/>
      <c r="S13" s="113"/>
      <c r="T13" s="113"/>
      <c r="U13" s="113"/>
      <c r="V13" s="113"/>
    </row>
    <row r="14" spans="1:22" ht="15.5" x14ac:dyDescent="0.35">
      <c r="A14" s="142"/>
      <c r="B14" s="115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4"/>
      <c r="O14" s="113">
        <v>897598</v>
      </c>
      <c r="P14" s="113"/>
      <c r="Q14" s="113"/>
      <c r="R14" s="113"/>
      <c r="S14" s="113"/>
      <c r="T14" s="113"/>
      <c r="U14" s="113"/>
      <c r="V14" s="113"/>
    </row>
    <row r="15" spans="1:22" ht="15.5" x14ac:dyDescent="0.35">
      <c r="A15" s="142"/>
      <c r="B15" s="115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4"/>
      <c r="O15" s="113">
        <v>1566621</v>
      </c>
      <c r="P15" s="113"/>
      <c r="Q15" s="113"/>
      <c r="R15" s="113"/>
      <c r="S15" s="113"/>
      <c r="T15" s="113"/>
      <c r="U15" s="113"/>
      <c r="V15" s="113"/>
    </row>
    <row r="16" spans="1:22" ht="15.5" x14ac:dyDescent="0.35">
      <c r="A16" s="142"/>
      <c r="B16" s="115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4"/>
      <c r="O16" s="113">
        <v>2911520</v>
      </c>
      <c r="P16" s="113"/>
      <c r="Q16" s="113"/>
      <c r="R16" s="113"/>
      <c r="S16" s="113"/>
      <c r="T16" s="113"/>
      <c r="U16" s="113"/>
      <c r="V16" s="113"/>
    </row>
    <row r="17" spans="1:22" s="1" customFormat="1" ht="15.5" x14ac:dyDescent="0.35">
      <c r="A17" s="142"/>
      <c r="B17" s="115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4"/>
      <c r="O17" s="113">
        <v>2051820</v>
      </c>
      <c r="P17" s="113"/>
      <c r="Q17" s="113"/>
      <c r="R17" s="113"/>
      <c r="S17" s="113"/>
      <c r="T17" s="113"/>
      <c r="U17" s="113"/>
      <c r="V17" s="113"/>
    </row>
    <row r="18" spans="1:22" s="1" customFormat="1" ht="15.5" x14ac:dyDescent="0.35">
      <c r="A18" s="142"/>
      <c r="B18" s="115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4"/>
      <c r="O18" s="113">
        <v>2122321</v>
      </c>
      <c r="P18" s="113"/>
      <c r="Q18" s="113"/>
      <c r="R18" s="113"/>
      <c r="S18" s="113"/>
      <c r="T18" s="113"/>
      <c r="U18" s="113"/>
      <c r="V18" s="113"/>
    </row>
    <row r="19" spans="1:22" s="1" customFormat="1" ht="15.5" x14ac:dyDescent="0.35">
      <c r="A19" s="142"/>
      <c r="B19" s="115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4"/>
      <c r="O19" s="113">
        <v>2113663</v>
      </c>
      <c r="P19" s="113"/>
      <c r="Q19" s="113"/>
      <c r="R19" s="113"/>
      <c r="S19" s="113"/>
      <c r="T19" s="113"/>
      <c r="U19" s="113"/>
      <c r="V19" s="113"/>
    </row>
    <row r="20" spans="1:22" ht="15.5" x14ac:dyDescent="0.35">
      <c r="A20" s="142"/>
      <c r="B20" s="115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4"/>
      <c r="O20" s="113">
        <v>3742481</v>
      </c>
      <c r="P20" s="113"/>
      <c r="Q20" s="113"/>
      <c r="R20" s="113"/>
      <c r="S20" s="113"/>
      <c r="T20" s="113"/>
      <c r="U20" s="113"/>
      <c r="V20" s="113"/>
    </row>
    <row r="21" spans="1:22" s="1" customFormat="1" ht="16.5" x14ac:dyDescent="0.35">
      <c r="A21" s="47"/>
      <c r="B21" s="48"/>
      <c r="C21" s="6"/>
      <c r="D21" s="6"/>
      <c r="E21" s="6"/>
      <c r="F21" s="6"/>
      <c r="G21" s="6"/>
      <c r="H21" s="6"/>
      <c r="I21" s="6"/>
      <c r="J21" s="6"/>
      <c r="K21" s="16"/>
      <c r="L21" s="16"/>
      <c r="M21" s="16"/>
      <c r="N21" s="3"/>
      <c r="O21" s="6"/>
      <c r="P21" s="16"/>
      <c r="Q21" s="16"/>
      <c r="R21" s="6"/>
      <c r="S21" s="6"/>
      <c r="T21" s="6"/>
      <c r="U21" s="6"/>
      <c r="V21" s="6"/>
    </row>
    <row r="22" spans="1:22" s="50" customFormat="1" x14ac:dyDescent="0.35">
      <c r="A22" s="49" t="str">
        <f t="shared" ref="A22:M22" si="0">A4</f>
        <v>Group names</v>
      </c>
      <c r="B22" s="49" t="str">
        <f t="shared" si="0"/>
        <v>Solvent control</v>
      </c>
      <c r="C22" s="49" t="str">
        <f t="shared" si="0"/>
        <v>EE2-33.8ng/L</v>
      </c>
      <c r="D22" s="49" t="str">
        <f t="shared" si="0"/>
        <v>EE2-50.6ng/L</v>
      </c>
      <c r="E22" s="49" t="str">
        <f t="shared" si="0"/>
        <v>EE2-76ng/L</v>
      </c>
      <c r="F22" s="49" t="str">
        <f t="shared" si="0"/>
        <v>EE2-114ng/L</v>
      </c>
      <c r="G22" s="49" t="str">
        <f t="shared" si="0"/>
        <v>EE2-170.9ng/L</v>
      </c>
      <c r="H22" s="49" t="str">
        <f t="shared" si="0"/>
        <v>EE2-488ng/L</v>
      </c>
      <c r="I22" s="49" t="str">
        <f t="shared" si="0"/>
        <v>Atenolol-0,01mg/L</v>
      </c>
      <c r="J22" s="49" t="str">
        <f t="shared" si="0"/>
        <v>Atenolol-0,1mg/L</v>
      </c>
      <c r="K22" s="49" t="str">
        <f t="shared" si="0"/>
        <v>Atenolol-1mg/L</v>
      </c>
      <c r="L22" s="49" t="str">
        <f t="shared" si="0"/>
        <v>Atenolol-10mg/L</v>
      </c>
      <c r="M22" s="49" t="str">
        <f t="shared" si="0"/>
        <v>Atenolol-100mg/L</v>
      </c>
      <c r="N22" s="49" t="s">
        <v>12</v>
      </c>
      <c r="O22" s="49" t="str">
        <f t="shared" ref="O22:V22" si="1">O4</f>
        <v>Testo -30µg/L</v>
      </c>
      <c r="P22" s="49" t="str">
        <f t="shared" si="1"/>
        <v>Testo 30µg/L + EE2 -64ng/L</v>
      </c>
      <c r="Q22" s="49" t="str">
        <f t="shared" si="1"/>
        <v>Testo 30µg/L + FAD-10mg/L</v>
      </c>
      <c r="R22" s="49" t="str">
        <f t="shared" si="1"/>
        <v>Atenolol-0,01mg/L + Testostérone</v>
      </c>
      <c r="S22" s="49" t="str">
        <f t="shared" si="1"/>
        <v>Atenolol-0,1mg/L + Testostérone</v>
      </c>
      <c r="T22" s="49" t="str">
        <f t="shared" si="1"/>
        <v>Atenolol-1mg/L + Testostérone</v>
      </c>
      <c r="U22" s="49" t="str">
        <f t="shared" si="1"/>
        <v>Atenolol-10mg/L + Testostérone</v>
      </c>
      <c r="V22" s="49" t="str">
        <f t="shared" si="1"/>
        <v>Atenolol-100mg/L + Testostérone</v>
      </c>
    </row>
    <row r="23" spans="1:22" x14ac:dyDescent="0.35">
      <c r="A23" s="4" t="s">
        <v>0</v>
      </c>
      <c r="B23" s="4">
        <f t="shared" ref="B23:M23" si="2">AVERAGE(B5:B20)</f>
        <v>173011.75</v>
      </c>
      <c r="C23" s="4">
        <f t="shared" si="2"/>
        <v>686961.875</v>
      </c>
      <c r="D23" s="4">
        <f t="shared" si="2"/>
        <v>1718865.75</v>
      </c>
      <c r="E23" s="4">
        <f t="shared" si="2"/>
        <v>3606306.875</v>
      </c>
      <c r="F23" s="4">
        <f t="shared" si="2"/>
        <v>5019642.25</v>
      </c>
      <c r="G23" s="4">
        <f t="shared" si="2"/>
        <v>5851210.625</v>
      </c>
      <c r="H23" s="4">
        <f t="shared" si="2"/>
        <v>6843711.125</v>
      </c>
      <c r="I23" s="4">
        <f t="shared" si="2"/>
        <v>132238.625</v>
      </c>
      <c r="J23" s="4">
        <f t="shared" si="2"/>
        <v>208712.125</v>
      </c>
      <c r="K23" s="4">
        <f t="shared" si="2"/>
        <v>115687.14285714286</v>
      </c>
      <c r="L23" s="4">
        <f t="shared" si="2"/>
        <v>154605.71428571429</v>
      </c>
      <c r="M23" s="4">
        <f t="shared" si="2"/>
        <v>151362</v>
      </c>
      <c r="N23" s="4" t="s">
        <v>0</v>
      </c>
      <c r="O23" s="4">
        <f t="shared" ref="O23:V23" si="3">AVERAGE(O5:O20)</f>
        <v>1807443.125</v>
      </c>
      <c r="P23" s="4">
        <f t="shared" si="3"/>
        <v>5413982.75</v>
      </c>
      <c r="Q23" s="4">
        <f t="shared" si="3"/>
        <v>62612.875</v>
      </c>
      <c r="R23" s="4">
        <f t="shared" si="3"/>
        <v>1423139.25</v>
      </c>
      <c r="S23" s="4">
        <f t="shared" si="3"/>
        <v>2066217.875</v>
      </c>
      <c r="T23" s="4">
        <f t="shared" si="3"/>
        <v>1881366.375</v>
      </c>
      <c r="U23" s="4">
        <f t="shared" si="3"/>
        <v>2046757.142857143</v>
      </c>
      <c r="V23" s="4">
        <f t="shared" si="3"/>
        <v>1777008.25</v>
      </c>
    </row>
    <row r="24" spans="1:22" x14ac:dyDescent="0.35">
      <c r="A24" s="3" t="s">
        <v>1</v>
      </c>
      <c r="B24" s="3">
        <f t="shared" ref="B24:M24" si="4">STDEV(B5:B20)</f>
        <v>222909.6364351323</v>
      </c>
      <c r="C24" s="3">
        <f t="shared" si="4"/>
        <v>316431.63051459473</v>
      </c>
      <c r="D24" s="3">
        <f t="shared" si="4"/>
        <v>874815.95914957207</v>
      </c>
      <c r="E24" s="3">
        <f t="shared" si="4"/>
        <v>1616696.0728572719</v>
      </c>
      <c r="F24" s="3">
        <f t="shared" si="4"/>
        <v>740571.18352096505</v>
      </c>
      <c r="G24" s="3">
        <f t="shared" si="4"/>
        <v>2562865.2822585083</v>
      </c>
      <c r="H24" s="3">
        <f t="shared" si="4"/>
        <v>2457451.4513244024</v>
      </c>
      <c r="I24" s="3">
        <f t="shared" si="4"/>
        <v>111878.15464530725</v>
      </c>
      <c r="J24" s="3">
        <f t="shared" si="4"/>
        <v>203564.37306129796</v>
      </c>
      <c r="K24" s="3">
        <f t="shared" si="4"/>
        <v>119665.2424967648</v>
      </c>
      <c r="L24" s="3">
        <f t="shared" si="4"/>
        <v>203135.84529957146</v>
      </c>
      <c r="M24" s="3">
        <f t="shared" si="4"/>
        <v>204638.58589020511</v>
      </c>
      <c r="N24" s="3" t="s">
        <v>1</v>
      </c>
      <c r="O24" s="3">
        <f t="shared" ref="O24:V24" si="5">STDEV(O5:O20)</f>
        <v>815726.69845734281</v>
      </c>
      <c r="P24" s="3">
        <f t="shared" si="5"/>
        <v>1852321.5633614059</v>
      </c>
      <c r="Q24" s="3">
        <f t="shared" si="5"/>
        <v>54581.25420858468</v>
      </c>
      <c r="R24" s="3">
        <f t="shared" si="5"/>
        <v>939783.93046224804</v>
      </c>
      <c r="S24" s="3">
        <f t="shared" si="5"/>
        <v>860181.57461407734</v>
      </c>
      <c r="T24" s="3">
        <f t="shared" si="5"/>
        <v>1087767.2016787333</v>
      </c>
      <c r="U24" s="3">
        <f t="shared" si="5"/>
        <v>1508138.7138204968</v>
      </c>
      <c r="V24" s="3">
        <f t="shared" si="5"/>
        <v>464370.83781907073</v>
      </c>
    </row>
    <row r="25" spans="1:22" ht="15" thickBot="1" x14ac:dyDescent="0.4"/>
    <row r="26" spans="1:22" ht="15" thickBot="1" x14ac:dyDescent="0.4">
      <c r="B26" s="145" t="s">
        <v>42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"/>
      <c r="O26" s="145" t="s">
        <v>43</v>
      </c>
      <c r="P26" s="146"/>
      <c r="Q26" s="146"/>
      <c r="R26" s="146"/>
      <c r="S26" s="146"/>
      <c r="T26" s="146"/>
      <c r="U26" s="146"/>
      <c r="V26" s="146"/>
    </row>
    <row r="27" spans="1:22" s="1" customFormat="1" x14ac:dyDescent="0.35">
      <c r="A27" s="17" t="str">
        <f t="shared" ref="A27:M27" si="6">A4</f>
        <v>Group names</v>
      </c>
      <c r="B27" s="18" t="str">
        <f t="shared" si="6"/>
        <v>Solvent control</v>
      </c>
      <c r="C27" s="18" t="str">
        <f t="shared" si="6"/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Atenolol-0,01mg/L</v>
      </c>
      <c r="J27" s="18" t="str">
        <f t="shared" si="6"/>
        <v>Atenolol-0,1mg/L</v>
      </c>
      <c r="K27" s="18" t="str">
        <f t="shared" si="6"/>
        <v>Atenolol-1mg/L</v>
      </c>
      <c r="L27" s="18" t="str">
        <f t="shared" si="6"/>
        <v>Atenolol-10mg/L</v>
      </c>
      <c r="M27" s="18" t="str">
        <f t="shared" si="6"/>
        <v>Atenolol-100mg/L</v>
      </c>
      <c r="N27" s="3"/>
      <c r="O27" s="19" t="str">
        <f t="shared" ref="O27:V27" si="7">O4</f>
        <v>Testo -30µg/L</v>
      </c>
      <c r="P27" s="19" t="str">
        <f t="shared" si="7"/>
        <v>Testo 30µg/L + EE2 -64ng/L</v>
      </c>
      <c r="Q27" s="19" t="str">
        <f t="shared" si="7"/>
        <v>Testo 30µg/L + FAD-10mg/L</v>
      </c>
      <c r="R27" s="19" t="str">
        <f t="shared" si="7"/>
        <v>Atenolol-0,01mg/L + Testostérone</v>
      </c>
      <c r="S27" s="19" t="str">
        <f t="shared" si="7"/>
        <v>Atenolol-0,1mg/L + Testostérone</v>
      </c>
      <c r="T27" s="19" t="str">
        <f t="shared" si="7"/>
        <v>Atenolol-1mg/L + Testostérone</v>
      </c>
      <c r="U27" s="19" t="str">
        <f t="shared" si="7"/>
        <v>Atenolol-10mg/L + Testostérone</v>
      </c>
      <c r="V27" s="19" t="str">
        <f t="shared" si="7"/>
        <v>Atenolol-100mg/L + Testostérone</v>
      </c>
    </row>
    <row r="28" spans="1:22" x14ac:dyDescent="0.35">
      <c r="A28" s="143" t="s">
        <v>36</v>
      </c>
      <c r="B28" s="10">
        <f t="shared" ref="B28:M28" si="8">IF(B5="","",(B5/$O$23))</f>
        <v>0.37236469059019495</v>
      </c>
      <c r="C28" s="10">
        <f t="shared" si="8"/>
        <v>0.28384074325990205</v>
      </c>
      <c r="D28" s="10">
        <f t="shared" si="8"/>
        <v>5.2610784087604417E-2</v>
      </c>
      <c r="E28" s="10">
        <f t="shared" si="8"/>
        <v>1.6940162363338542</v>
      </c>
      <c r="F28" s="10">
        <f t="shared" si="8"/>
        <v>2.9923514190799225</v>
      </c>
      <c r="G28" s="10">
        <f t="shared" si="8"/>
        <v>5.400750300234205</v>
      </c>
      <c r="H28" s="10">
        <f t="shared" si="8"/>
        <v>2.7977422526089168</v>
      </c>
      <c r="I28" s="10">
        <f t="shared" si="8"/>
        <v>6.7080395683266653E-2</v>
      </c>
      <c r="J28" s="10">
        <f t="shared" si="8"/>
        <v>3.6606407739662623E-2</v>
      </c>
      <c r="K28" s="10">
        <f t="shared" si="8"/>
        <v>6.4613928031622025E-2</v>
      </c>
      <c r="L28" s="10">
        <f t="shared" si="8"/>
        <v>0.14259757136203111</v>
      </c>
      <c r="M28" s="10">
        <f t="shared" si="8"/>
        <v>0.35043205024777752</v>
      </c>
      <c r="N28" s="5"/>
      <c r="O28" s="10">
        <f t="shared" ref="O28:V37" si="9">IF(O5="","",(O5/$O$23))</f>
        <v>1.1687515755163804</v>
      </c>
      <c r="P28" s="10">
        <f t="shared" si="9"/>
        <v>2.238386892533617</v>
      </c>
      <c r="Q28" s="10">
        <f t="shared" si="9"/>
        <v>7.8248105317283503E-2</v>
      </c>
      <c r="R28" s="10">
        <f t="shared" si="9"/>
        <v>0.99805574795057517</v>
      </c>
      <c r="S28" s="10">
        <f t="shared" si="9"/>
        <v>0.53254511120508974</v>
      </c>
      <c r="T28" s="10">
        <f t="shared" si="9"/>
        <v>0.46833340883132907</v>
      </c>
      <c r="U28" s="10">
        <f t="shared" si="9"/>
        <v>2.720890041837416</v>
      </c>
      <c r="V28" s="10">
        <f t="shared" si="9"/>
        <v>0.70555415125441356</v>
      </c>
    </row>
    <row r="29" spans="1:22" x14ac:dyDescent="0.35">
      <c r="A29" s="144"/>
      <c r="B29" s="10">
        <f t="shared" ref="B29:M29" si="10">IF(B6="","",(B6/$O$23))</f>
        <v>6.841155790171821E-3</v>
      </c>
      <c r="C29" s="10">
        <f t="shared" si="10"/>
        <v>0.3146367330368971</v>
      </c>
      <c r="D29" s="10">
        <f t="shared" si="10"/>
        <v>0.93653735300799579</v>
      </c>
      <c r="E29" s="10">
        <f t="shared" si="10"/>
        <v>1.8875266130434949</v>
      </c>
      <c r="F29" s="10">
        <f t="shared" si="10"/>
        <v>1.9288728656399632</v>
      </c>
      <c r="G29" s="10">
        <f t="shared" si="10"/>
        <v>2.927526142765903</v>
      </c>
      <c r="H29" s="10">
        <f t="shared" si="10"/>
        <v>3.3517912216463244</v>
      </c>
      <c r="I29" s="10">
        <f t="shared" si="10"/>
        <v>0.14440731018852945</v>
      </c>
      <c r="J29" s="10">
        <f t="shared" si="10"/>
        <v>0.35758524905175093</v>
      </c>
      <c r="K29" s="10">
        <f t="shared" si="10"/>
        <v>4.7665676893705856E-2</v>
      </c>
      <c r="L29" s="10">
        <f t="shared" si="10"/>
        <v>2.5427079482791472E-2</v>
      </c>
      <c r="M29" s="10">
        <f t="shared" si="10"/>
        <v>6.2424094257461073E-2</v>
      </c>
      <c r="N29" s="5"/>
      <c r="O29" s="10">
        <f t="shared" si="9"/>
        <v>0.85844914207189782</v>
      </c>
      <c r="P29" s="10">
        <f t="shared" si="9"/>
        <v>3.4258809665172727</v>
      </c>
      <c r="Q29" s="10">
        <f t="shared" si="9"/>
        <v>1.1287215469089795E-2</v>
      </c>
      <c r="R29" s="10">
        <f t="shared" si="9"/>
        <v>1.2893456882633583</v>
      </c>
      <c r="S29" s="10">
        <f t="shared" si="9"/>
        <v>1.5573651868022127</v>
      </c>
      <c r="T29" s="10">
        <f t="shared" si="9"/>
        <v>1.6530782953405518</v>
      </c>
      <c r="U29" s="10">
        <f t="shared" si="9"/>
        <v>1.044142951939359</v>
      </c>
      <c r="V29" s="10">
        <f t="shared" si="9"/>
        <v>0.82178796082449346</v>
      </c>
    </row>
    <row r="30" spans="1:22" x14ac:dyDescent="0.35">
      <c r="A30" s="144"/>
      <c r="B30" s="10">
        <f t="shared" ref="B30:M30" si="11">IF(B7="","",(B7/$O$23))</f>
        <v>0.161399822746843</v>
      </c>
      <c r="C30" s="10">
        <f t="shared" si="11"/>
        <v>0.10889194646166252</v>
      </c>
      <c r="D30" s="10">
        <f t="shared" si="11"/>
        <v>0.90544702478535799</v>
      </c>
      <c r="E30" s="10">
        <f t="shared" si="11"/>
        <v>1.6126438280042699</v>
      </c>
      <c r="F30" s="10">
        <f t="shared" si="11"/>
        <v>2.9987516204693856</v>
      </c>
      <c r="G30" s="10">
        <f t="shared" si="11"/>
        <v>1.5031504794929578</v>
      </c>
      <c r="H30" s="10">
        <f t="shared" si="11"/>
        <v>4.4239809758882451</v>
      </c>
      <c r="I30" s="10">
        <f t="shared" si="11"/>
        <v>2.4564535052797303E-2</v>
      </c>
      <c r="J30" s="10">
        <f t="shared" si="11"/>
        <v>5.5067292919659644E-2</v>
      </c>
      <c r="K30" s="10">
        <f t="shared" si="11"/>
        <v>0.20779630341065367</v>
      </c>
      <c r="L30" s="10">
        <f t="shared" si="11"/>
        <v>2.8537550801218156E-2</v>
      </c>
      <c r="M30" s="10">
        <f t="shared" si="11"/>
        <v>9.6347153385531847E-2</v>
      </c>
      <c r="N30" s="5"/>
      <c r="O30" s="10">
        <f t="shared" si="9"/>
        <v>0.9796109075354722</v>
      </c>
      <c r="P30" s="10">
        <f t="shared" si="9"/>
        <v>2.9216819754701824</v>
      </c>
      <c r="Q30" s="10">
        <f t="shared" si="9"/>
        <v>5.2987559428737209E-2</v>
      </c>
      <c r="R30" s="10">
        <f t="shared" si="9"/>
        <v>1.6222236591815302</v>
      </c>
      <c r="S30" s="10">
        <f t="shared" si="9"/>
        <v>1.1006271635794902</v>
      </c>
      <c r="T30" s="10">
        <f t="shared" si="9"/>
        <v>1.5858723078769077</v>
      </c>
      <c r="U30" s="10">
        <f t="shared" si="9"/>
        <v>1.7200989381062821</v>
      </c>
      <c r="V30" s="10">
        <f t="shared" si="9"/>
        <v>1.2004576907502968</v>
      </c>
    </row>
    <row r="31" spans="1:22" x14ac:dyDescent="0.35">
      <c r="A31" s="144"/>
      <c r="B31" s="10">
        <f t="shared" ref="B31:M31" si="12">IF(B8="","",(B8/$O$23))</f>
        <v>1.9461193280978065E-2</v>
      </c>
      <c r="C31" s="10">
        <f t="shared" si="12"/>
        <v>0.2937896040297257</v>
      </c>
      <c r="D31" s="10">
        <f t="shared" si="12"/>
        <v>1.1025713464704456</v>
      </c>
      <c r="E31" s="10">
        <f t="shared" si="12"/>
        <v>3.6346250175921857</v>
      </c>
      <c r="F31" s="10">
        <f t="shared" si="12"/>
        <v>2.5975821507523231</v>
      </c>
      <c r="G31" s="10">
        <f t="shared" si="12"/>
        <v>1.276010275565379</v>
      </c>
      <c r="H31" s="10">
        <f t="shared" si="12"/>
        <v>5.3471275894227652</v>
      </c>
      <c r="I31" s="10">
        <f t="shared" si="12"/>
        <v>1.528512826648418E-2</v>
      </c>
      <c r="J31" s="10">
        <f t="shared" si="12"/>
        <v>1.6700940451445739E-2</v>
      </c>
      <c r="K31" s="10">
        <f t="shared" si="12"/>
        <v>5.6401774744640996E-2</v>
      </c>
      <c r="L31" s="10">
        <f t="shared" si="12"/>
        <v>0.31801221960995313</v>
      </c>
      <c r="M31" s="10">
        <f t="shared" si="12"/>
        <v>3.0083934176352023E-2</v>
      </c>
      <c r="N31" s="5"/>
      <c r="O31" s="10">
        <f t="shared" si="9"/>
        <v>0.51533903729335884</v>
      </c>
      <c r="P31" s="10">
        <f t="shared" si="9"/>
        <v>3.7835259684865603</v>
      </c>
      <c r="Q31" s="10">
        <f t="shared" si="9"/>
        <v>2.072153722679379E-2</v>
      </c>
      <c r="R31" s="10">
        <f t="shared" si="9"/>
        <v>0.5080995287196105</v>
      </c>
      <c r="S31" s="10">
        <f t="shared" si="9"/>
        <v>1.604784106277203</v>
      </c>
      <c r="T31" s="10">
        <f t="shared" si="9"/>
        <v>0.86452291548592985</v>
      </c>
      <c r="U31" s="10">
        <f t="shared" si="9"/>
        <v>0.23644284795960038</v>
      </c>
      <c r="V31" s="10">
        <f t="shared" si="9"/>
        <v>0.58854632009513441</v>
      </c>
    </row>
    <row r="32" spans="1:22" x14ac:dyDescent="0.35">
      <c r="A32" s="144"/>
      <c r="B32" s="10">
        <f t="shared" ref="B32:M32" si="13">IF(B9="","",(B9/$O$23))</f>
        <v>3.2632285455731838E-2</v>
      </c>
      <c r="C32" s="10">
        <f t="shared" si="13"/>
        <v>0.37610201427499967</v>
      </c>
      <c r="D32" s="10">
        <f t="shared" si="13"/>
        <v>1.6054657321513228</v>
      </c>
      <c r="E32" s="10">
        <f t="shared" si="13"/>
        <v>2.0196065643835959</v>
      </c>
      <c r="F32" s="10">
        <f t="shared" si="13"/>
        <v>3.1565037489077286</v>
      </c>
      <c r="G32" s="10">
        <f t="shared" si="13"/>
        <v>2.943458594305699</v>
      </c>
      <c r="H32" s="10">
        <f t="shared" si="13"/>
        <v>4.8879286312259476</v>
      </c>
      <c r="I32" s="10">
        <f t="shared" si="13"/>
        <v>4.5078043603723354E-2</v>
      </c>
      <c r="J32" s="10">
        <f t="shared" si="13"/>
        <v>8.1664533704207148E-2</v>
      </c>
      <c r="K32" s="10">
        <f t="shared" si="13"/>
        <v>1.61620576581075E-2</v>
      </c>
      <c r="L32" s="10">
        <f t="shared" si="13"/>
        <v>5.2007168966934992E-5</v>
      </c>
      <c r="M32" s="10">
        <f t="shared" si="13"/>
        <v>3.4855315295190821E-2</v>
      </c>
      <c r="N32" s="5"/>
      <c r="O32" s="10">
        <f t="shared" si="9"/>
        <v>0.3927813772840017</v>
      </c>
      <c r="P32" s="10">
        <f t="shared" si="9"/>
        <v>3.1308608950004997</v>
      </c>
      <c r="Q32" s="10">
        <f t="shared" si="9"/>
        <v>8.3615355808222182E-3</v>
      </c>
      <c r="R32" s="10">
        <f t="shared" si="9"/>
        <v>0.96735934636947429</v>
      </c>
      <c r="S32" s="10">
        <f t="shared" si="9"/>
        <v>0.62061537897630947</v>
      </c>
      <c r="T32" s="10">
        <f t="shared" si="9"/>
        <v>1.6971394328106451</v>
      </c>
      <c r="U32" s="10">
        <f t="shared" si="9"/>
        <v>0.79563831365371451</v>
      </c>
      <c r="V32" s="10">
        <f t="shared" si="9"/>
        <v>0.94646242326435581</v>
      </c>
    </row>
    <row r="33" spans="1:22" x14ac:dyDescent="0.35">
      <c r="A33" s="144"/>
      <c r="B33" s="10">
        <f t="shared" ref="B33:M33" si="14">IF(B10="","",(B10/$O$23))</f>
        <v>3.819041332213427E-2</v>
      </c>
      <c r="C33" s="10">
        <f t="shared" si="14"/>
        <v>0.48582607544013312</v>
      </c>
      <c r="D33" s="10">
        <f t="shared" si="14"/>
        <v>0.58281944556346688</v>
      </c>
      <c r="E33" s="10">
        <f t="shared" si="14"/>
        <v>0.61050330421877042</v>
      </c>
      <c r="F33" s="10">
        <f t="shared" si="14"/>
        <v>3.1630605250718471</v>
      </c>
      <c r="G33" s="10">
        <f t="shared" si="14"/>
        <v>3.544892180217289</v>
      </c>
      <c r="H33" s="10">
        <f t="shared" si="14"/>
        <v>1.4824073648237202</v>
      </c>
      <c r="I33" s="10">
        <f t="shared" si="14"/>
        <v>2.7289932013766685E-2</v>
      </c>
      <c r="J33" s="10">
        <f t="shared" si="14"/>
        <v>6.1952710130228857E-2</v>
      </c>
      <c r="K33" s="10">
        <f t="shared" si="14"/>
        <v>1.4023677785158523E-2</v>
      </c>
      <c r="L33" s="10">
        <f t="shared" si="14"/>
        <v>5.8472655951483953E-2</v>
      </c>
      <c r="M33" s="10">
        <f t="shared" si="14"/>
        <v>1.2448524486766354E-3</v>
      </c>
      <c r="N33" s="5"/>
      <c r="O33" s="10">
        <f t="shared" si="9"/>
        <v>0.5252657673529838</v>
      </c>
      <c r="P33" s="10">
        <f t="shared" si="9"/>
        <v>0.89697538892129736</v>
      </c>
      <c r="Q33" s="10">
        <f t="shared" si="9"/>
        <v>7.0226276138011254E-3</v>
      </c>
      <c r="R33" s="10">
        <f t="shared" si="9"/>
        <v>0.18574083762663349</v>
      </c>
      <c r="S33" s="10">
        <f t="shared" si="9"/>
        <v>1.1059307882786076</v>
      </c>
      <c r="T33" s="10">
        <f t="shared" si="9"/>
        <v>0.37638528736554294</v>
      </c>
      <c r="U33" s="10">
        <f t="shared" si="9"/>
        <v>0.80251211224142949</v>
      </c>
      <c r="V33" s="10">
        <f t="shared" si="9"/>
        <v>1.1528130380312798</v>
      </c>
    </row>
    <row r="34" spans="1:22" x14ac:dyDescent="0.35">
      <c r="A34" s="144"/>
      <c r="B34" s="10">
        <f t="shared" ref="B34:M34" si="15">IF(B11="","",(B11/$O$23))</f>
        <v>2.8584578560390386E-2</v>
      </c>
      <c r="C34" s="10">
        <f t="shared" si="15"/>
        <v>0.69298778073583922</v>
      </c>
      <c r="D34" s="10">
        <f t="shared" si="15"/>
        <v>0.97871350723691508</v>
      </c>
      <c r="E34" s="10">
        <f t="shared" si="15"/>
        <v>2.8059444470763086</v>
      </c>
      <c r="F34" s="10">
        <f t="shared" si="15"/>
        <v>2.7902692650425722</v>
      </c>
      <c r="G34" s="10">
        <f t="shared" si="15"/>
        <v>4.6953615760385272</v>
      </c>
      <c r="H34" s="10">
        <f t="shared" si="15"/>
        <v>5.0767710878869288</v>
      </c>
      <c r="I34" s="10">
        <f t="shared" si="15"/>
        <v>0.18762637413556235</v>
      </c>
      <c r="J34" s="10">
        <f t="shared" si="15"/>
        <v>0.19631433769181533</v>
      </c>
      <c r="K34" s="10">
        <f t="shared" si="15"/>
        <v>4.1378342126256393E-2</v>
      </c>
      <c r="L34" s="10">
        <f t="shared" si="15"/>
        <v>2.5669410759467191E-2</v>
      </c>
      <c r="M34" s="10">
        <f t="shared" si="15"/>
        <v>6.9036750464831365E-3</v>
      </c>
      <c r="N34" s="5"/>
      <c r="O34" s="10">
        <f t="shared" si="9"/>
        <v>0.69884799279645382</v>
      </c>
      <c r="P34" s="10">
        <f t="shared" si="9"/>
        <v>3.3923518340307388</v>
      </c>
      <c r="Q34" s="10">
        <f t="shared" si="9"/>
        <v>7.6872681678434557E-2</v>
      </c>
      <c r="R34" s="10">
        <f t="shared" si="9"/>
        <v>0.54907564518800556</v>
      </c>
      <c r="S34" s="10">
        <f t="shared" si="9"/>
        <v>0.81434540298467206</v>
      </c>
      <c r="T34" s="10">
        <f t="shared" si="9"/>
        <v>0.31535432131508978</v>
      </c>
      <c r="U34" s="10">
        <f t="shared" si="9"/>
        <v>0.60710790000653547</v>
      </c>
      <c r="V34" s="10">
        <f t="shared" si="9"/>
        <v>1.1574776384734098</v>
      </c>
    </row>
    <row r="35" spans="1:22" x14ac:dyDescent="0.35">
      <c r="A35" s="144"/>
      <c r="B35" s="10">
        <f t="shared" ref="B35:M35" si="16">IF(B12="","",(B12/$O$23))</f>
        <v>0.10630044029739524</v>
      </c>
      <c r="C35" s="10">
        <f t="shared" si="16"/>
        <v>0.48451593739637033</v>
      </c>
      <c r="D35" s="10">
        <f t="shared" si="16"/>
        <v>1.4437787634396517</v>
      </c>
      <c r="E35" s="10">
        <f t="shared" si="16"/>
        <v>1.6971604569853338</v>
      </c>
      <c r="F35" s="10">
        <f t="shared" si="16"/>
        <v>2.5902579922120648</v>
      </c>
      <c r="G35" s="10">
        <f t="shared" si="16"/>
        <v>3.6071397820609157</v>
      </c>
      <c r="H35" s="10">
        <f t="shared" si="16"/>
        <v>2.9234883946901511</v>
      </c>
      <c r="I35" s="10">
        <f t="shared" si="16"/>
        <v>7.3975218445670315E-2</v>
      </c>
      <c r="J35" s="10">
        <f t="shared" si="16"/>
        <v>0.11789803897702175</v>
      </c>
      <c r="K35" s="10" t="str">
        <f t="shared" si="16"/>
        <v/>
      </c>
      <c r="L35" s="10" t="str">
        <f t="shared" si="16"/>
        <v/>
      </c>
      <c r="M35" s="10">
        <f t="shared" si="16"/>
        <v>8.7658636561523895E-2</v>
      </c>
      <c r="N35" s="5"/>
      <c r="O35" s="10">
        <f t="shared" si="9"/>
        <v>0.88404718129097426</v>
      </c>
      <c r="P35" s="10">
        <f t="shared" si="9"/>
        <v>4.173392731237394</v>
      </c>
      <c r="Q35" s="10">
        <f t="shared" si="9"/>
        <v>2.1632215951470118E-2</v>
      </c>
      <c r="R35" s="10">
        <f t="shared" si="9"/>
        <v>0.17911600952865392</v>
      </c>
      <c r="S35" s="10">
        <f t="shared" si="9"/>
        <v>1.8091606616944031</v>
      </c>
      <c r="T35" s="10">
        <f t="shared" si="9"/>
        <v>1.3665088355131507</v>
      </c>
      <c r="U35" s="10" t="str">
        <f t="shared" si="9"/>
        <v/>
      </c>
      <c r="V35" s="10">
        <f t="shared" si="9"/>
        <v>1.2921916975949106</v>
      </c>
    </row>
    <row r="36" spans="1:22" s="1" customFormat="1" x14ac:dyDescent="0.35">
      <c r="A36" s="144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1.4532507074046936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s="1" customFormat="1" x14ac:dyDescent="0.35">
      <c r="A37" s="144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0.49661203032322249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s="1" customFormat="1" x14ac:dyDescent="0.35">
      <c r="A38" s="144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V43" si="20">IF(O15="","",(O15/$O$23))</f>
        <v>0.86676088355477299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si="20"/>
        <v/>
      </c>
      <c r="T38" s="10" t="str">
        <f t="shared" si="20"/>
        <v/>
      </c>
      <c r="U38" s="10" t="str">
        <f t="shared" si="20"/>
        <v/>
      </c>
      <c r="V38" s="10" t="str">
        <f t="shared" si="20"/>
        <v/>
      </c>
    </row>
    <row r="39" spans="1:22" s="1" customFormat="1" x14ac:dyDescent="0.35">
      <c r="A39" s="144"/>
      <c r="B39" s="10" t="str">
        <f t="shared" ref="B39:M39" si="21">IF(B16="","",(B16/$O$23))</f>
        <v/>
      </c>
      <c r="C39" s="10" t="str">
        <f t="shared" si="21"/>
        <v/>
      </c>
      <c r="D39" s="10" t="str">
        <f t="shared" si="21"/>
        <v/>
      </c>
      <c r="E39" s="10" t="str">
        <f t="shared" si="21"/>
        <v/>
      </c>
      <c r="F39" s="10" t="str">
        <f t="shared" si="21"/>
        <v/>
      </c>
      <c r="G39" s="10" t="str">
        <f t="shared" si="21"/>
        <v/>
      </c>
      <c r="H39" s="10" t="str">
        <f t="shared" si="21"/>
        <v/>
      </c>
      <c r="I39" s="10" t="str">
        <f t="shared" si="21"/>
        <v/>
      </c>
      <c r="J39" s="10" t="str">
        <f t="shared" si="21"/>
        <v/>
      </c>
      <c r="K39" s="10" t="str">
        <f t="shared" si="21"/>
        <v/>
      </c>
      <c r="L39" s="10" t="str">
        <f t="shared" si="21"/>
        <v/>
      </c>
      <c r="M39" s="10" t="str">
        <f t="shared" si="21"/>
        <v/>
      </c>
      <c r="N39" s="5"/>
      <c r="O39" s="10">
        <f t="shared" si="20"/>
        <v>1.6108501339426655</v>
      </c>
      <c r="P39" s="10" t="str">
        <f t="shared" si="20"/>
        <v/>
      </c>
      <c r="Q39" s="10" t="str">
        <f t="shared" si="20"/>
        <v/>
      </c>
      <c r="R39" s="10" t="str">
        <f t="shared" si="20"/>
        <v/>
      </c>
      <c r="S39" s="10" t="str">
        <f t="shared" si="20"/>
        <v/>
      </c>
      <c r="T39" s="10" t="str">
        <f t="shared" si="20"/>
        <v/>
      </c>
      <c r="U39" s="10" t="str">
        <f t="shared" si="20"/>
        <v/>
      </c>
      <c r="V39" s="10" t="str">
        <f t="shared" si="20"/>
        <v/>
      </c>
    </row>
    <row r="40" spans="1:22" s="1" customFormat="1" x14ac:dyDescent="0.35">
      <c r="A40" s="144"/>
      <c r="B40" s="10" t="str">
        <f t="shared" ref="B40:M40" si="22">IF(B17="","",(B17/$O$23))</f>
        <v/>
      </c>
      <c r="C40" s="10" t="str">
        <f t="shared" si="22"/>
        <v/>
      </c>
      <c r="D40" s="10" t="str">
        <f t="shared" si="22"/>
        <v/>
      </c>
      <c r="E40" s="10" t="str">
        <f t="shared" si="22"/>
        <v/>
      </c>
      <c r="F40" s="10" t="str">
        <f t="shared" si="22"/>
        <v/>
      </c>
      <c r="G40" s="10" t="str">
        <f t="shared" si="22"/>
        <v/>
      </c>
      <c r="H40" s="10" t="str">
        <f t="shared" si="22"/>
        <v/>
      </c>
      <c r="I40" s="10" t="str">
        <f t="shared" si="22"/>
        <v/>
      </c>
      <c r="J40" s="10" t="str">
        <f t="shared" si="22"/>
        <v/>
      </c>
      <c r="K40" s="10" t="str">
        <f t="shared" si="22"/>
        <v/>
      </c>
      <c r="L40" s="10" t="str">
        <f t="shared" si="22"/>
        <v/>
      </c>
      <c r="M40" s="10" t="str">
        <f t="shared" si="22"/>
        <v/>
      </c>
      <c r="N40" s="5"/>
      <c r="O40" s="10">
        <f t="shared" si="20"/>
        <v>1.1352058449971973</v>
      </c>
      <c r="P40" s="10" t="str">
        <f t="shared" si="20"/>
        <v/>
      </c>
      <c r="Q40" s="10" t="str">
        <f t="shared" si="20"/>
        <v/>
      </c>
      <c r="R40" s="10" t="str">
        <f t="shared" si="20"/>
        <v/>
      </c>
      <c r="S40" s="10" t="str">
        <f t="shared" si="20"/>
        <v/>
      </c>
      <c r="T40" s="10" t="str">
        <f t="shared" si="20"/>
        <v/>
      </c>
      <c r="U40" s="10" t="str">
        <f t="shared" si="20"/>
        <v/>
      </c>
      <c r="V40" s="10" t="str">
        <f t="shared" si="20"/>
        <v/>
      </c>
    </row>
    <row r="41" spans="1:22" s="1" customFormat="1" x14ac:dyDescent="0.35">
      <c r="A41" s="144"/>
      <c r="B41" s="10" t="str">
        <f t="shared" ref="B41:M41" si="23">IF(B18="","",(B18/$O$23))</f>
        <v/>
      </c>
      <c r="C41" s="10" t="str">
        <f t="shared" si="23"/>
        <v/>
      </c>
      <c r="D41" s="10" t="str">
        <f t="shared" si="23"/>
        <v/>
      </c>
      <c r="E41" s="10" t="str">
        <f t="shared" si="23"/>
        <v/>
      </c>
      <c r="F41" s="10" t="str">
        <f t="shared" si="23"/>
        <v/>
      </c>
      <c r="G41" s="10" t="str">
        <f t="shared" si="23"/>
        <v/>
      </c>
      <c r="H41" s="10" t="str">
        <f t="shared" si="23"/>
        <v/>
      </c>
      <c r="I41" s="10" t="str">
        <f t="shared" si="23"/>
        <v/>
      </c>
      <c r="J41" s="10" t="str">
        <f t="shared" si="23"/>
        <v/>
      </c>
      <c r="K41" s="10" t="str">
        <f t="shared" si="23"/>
        <v/>
      </c>
      <c r="L41" s="10" t="str">
        <f t="shared" si="23"/>
        <v/>
      </c>
      <c r="M41" s="10" t="str">
        <f t="shared" si="23"/>
        <v/>
      </c>
      <c r="N41" s="5"/>
      <c r="O41" s="10">
        <f t="shared" si="20"/>
        <v>1.1742117749901535</v>
      </c>
      <c r="P41" s="10" t="str">
        <f t="shared" si="20"/>
        <v/>
      </c>
      <c r="Q41" s="10" t="str">
        <f t="shared" si="20"/>
        <v/>
      </c>
      <c r="R41" s="10" t="str">
        <f t="shared" si="20"/>
        <v/>
      </c>
      <c r="S41" s="10" t="str">
        <f t="shared" si="20"/>
        <v/>
      </c>
      <c r="T41" s="10" t="str">
        <f t="shared" si="20"/>
        <v/>
      </c>
      <c r="U41" s="10" t="str">
        <f t="shared" si="20"/>
        <v/>
      </c>
      <c r="V41" s="10" t="str">
        <f t="shared" si="20"/>
        <v/>
      </c>
    </row>
    <row r="42" spans="1:22" s="1" customFormat="1" x14ac:dyDescent="0.35">
      <c r="A42" s="144"/>
      <c r="B42" s="10" t="str">
        <f t="shared" ref="B42:M42" si="24">IF(B19="","",(B19/$O$23))</f>
        <v/>
      </c>
      <c r="C42" s="10" t="str">
        <f t="shared" si="24"/>
        <v/>
      </c>
      <c r="D42" s="10" t="str">
        <f t="shared" si="24"/>
        <v/>
      </c>
      <c r="E42" s="10" t="str">
        <f t="shared" si="24"/>
        <v/>
      </c>
      <c r="F42" s="10" t="str">
        <f t="shared" si="24"/>
        <v/>
      </c>
      <c r="G42" s="10" t="str">
        <f t="shared" si="24"/>
        <v/>
      </c>
      <c r="H42" s="10" t="str">
        <f t="shared" si="24"/>
        <v/>
      </c>
      <c r="I42" s="10" t="str">
        <f t="shared" si="24"/>
        <v/>
      </c>
      <c r="J42" s="10" t="str">
        <f t="shared" si="24"/>
        <v/>
      </c>
      <c r="K42" s="10" t="str">
        <f t="shared" si="24"/>
        <v/>
      </c>
      <c r="L42" s="10" t="str">
        <f t="shared" si="24"/>
        <v/>
      </c>
      <c r="M42" s="10" t="str">
        <f t="shared" si="24"/>
        <v/>
      </c>
      <c r="N42" s="5"/>
      <c r="O42" s="10">
        <f t="shared" si="20"/>
        <v>1.169421582767646</v>
      </c>
      <c r="P42" s="10" t="str">
        <f t="shared" si="20"/>
        <v/>
      </c>
      <c r="Q42" s="10" t="str">
        <f t="shared" si="20"/>
        <v/>
      </c>
      <c r="R42" s="10" t="str">
        <f t="shared" si="20"/>
        <v/>
      </c>
      <c r="S42" s="10" t="str">
        <f t="shared" si="20"/>
        <v/>
      </c>
      <c r="T42" s="10" t="str">
        <f t="shared" si="20"/>
        <v/>
      </c>
      <c r="U42" s="10" t="str">
        <f t="shared" si="20"/>
        <v/>
      </c>
      <c r="V42" s="10" t="str">
        <f t="shared" si="20"/>
        <v/>
      </c>
    </row>
    <row r="43" spans="1:22" s="1" customFormat="1" x14ac:dyDescent="0.35">
      <c r="A43" s="144"/>
      <c r="B43" s="10" t="str">
        <f t="shared" ref="B43:M43" si="25">IF(B20="","",(B20/$O$23))</f>
        <v/>
      </c>
      <c r="C43" s="10" t="str">
        <f t="shared" si="25"/>
        <v/>
      </c>
      <c r="D43" s="10" t="str">
        <f t="shared" si="25"/>
        <v/>
      </c>
      <c r="E43" s="10" t="str">
        <f t="shared" si="25"/>
        <v/>
      </c>
      <c r="F43" s="10" t="str">
        <f t="shared" si="25"/>
        <v/>
      </c>
      <c r="G43" s="10" t="str">
        <f t="shared" si="25"/>
        <v/>
      </c>
      <c r="H43" s="10" t="str">
        <f t="shared" si="25"/>
        <v/>
      </c>
      <c r="I43" s="10" t="str">
        <f t="shared" si="25"/>
        <v/>
      </c>
      <c r="J43" s="10" t="str">
        <f t="shared" si="25"/>
        <v/>
      </c>
      <c r="K43" s="10" t="str">
        <f t="shared" si="25"/>
        <v/>
      </c>
      <c r="L43" s="10" t="str">
        <f t="shared" si="25"/>
        <v/>
      </c>
      <c r="M43" s="10" t="str">
        <f t="shared" si="25"/>
        <v/>
      </c>
      <c r="N43" s="5"/>
      <c r="O43" s="10">
        <f t="shared" si="20"/>
        <v>2.0705940608781259</v>
      </c>
      <c r="P43" s="10" t="str">
        <f t="shared" si="20"/>
        <v/>
      </c>
      <c r="Q43" s="10" t="str">
        <f t="shared" si="20"/>
        <v/>
      </c>
      <c r="R43" s="10" t="str">
        <f t="shared" si="20"/>
        <v/>
      </c>
      <c r="S43" s="10" t="str">
        <f t="shared" si="20"/>
        <v/>
      </c>
      <c r="T43" s="10" t="str">
        <f t="shared" si="20"/>
        <v/>
      </c>
      <c r="U43" s="10" t="str">
        <f t="shared" si="20"/>
        <v/>
      </c>
      <c r="V43" s="10" t="str">
        <f t="shared" si="20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N44" s="6"/>
      <c r="O44" s="3"/>
      <c r="P44" s="3"/>
      <c r="Q44" s="3"/>
      <c r="R44" s="3"/>
      <c r="S44" s="3"/>
      <c r="T44" s="3"/>
      <c r="U44" s="3"/>
      <c r="V44" s="3"/>
    </row>
    <row r="45" spans="1:22" s="50" customFormat="1" x14ac:dyDescent="0.35">
      <c r="A45" s="51" t="str">
        <f t="shared" ref="A45:M45" si="26">A4</f>
        <v>Group names</v>
      </c>
      <c r="B45" s="51" t="str">
        <f t="shared" si="26"/>
        <v>Solvent control</v>
      </c>
      <c r="C45" s="51" t="str">
        <f t="shared" si="26"/>
        <v>EE2-33.8ng/L</v>
      </c>
      <c r="D45" s="51" t="str">
        <f t="shared" si="26"/>
        <v>EE2-50.6ng/L</v>
      </c>
      <c r="E45" s="51" t="str">
        <f t="shared" si="26"/>
        <v>EE2-76ng/L</v>
      </c>
      <c r="F45" s="51" t="str">
        <f t="shared" si="26"/>
        <v>EE2-114ng/L</v>
      </c>
      <c r="G45" s="51" t="str">
        <f t="shared" si="26"/>
        <v>EE2-170.9ng/L</v>
      </c>
      <c r="H45" s="51" t="str">
        <f t="shared" si="26"/>
        <v>EE2-488ng/L</v>
      </c>
      <c r="I45" s="51" t="str">
        <f t="shared" si="26"/>
        <v>Atenolol-0,01mg/L</v>
      </c>
      <c r="J45" s="51" t="str">
        <f t="shared" si="26"/>
        <v>Atenolol-0,1mg/L</v>
      </c>
      <c r="K45" s="51" t="str">
        <f t="shared" si="26"/>
        <v>Atenolol-1mg/L</v>
      </c>
      <c r="L45" s="51" t="str">
        <f t="shared" si="26"/>
        <v>Atenolol-10mg/L</v>
      </c>
      <c r="M45" s="51" t="str">
        <f t="shared" si="26"/>
        <v>Atenolol-100mg/L</v>
      </c>
      <c r="N45" s="51" t="str">
        <f>N22</f>
        <v>Nom des groupes</v>
      </c>
      <c r="O45" s="51" t="str">
        <f t="shared" ref="O45:V45" si="27">O4</f>
        <v>Testo -30µg/L</v>
      </c>
      <c r="P45" s="51" t="str">
        <f t="shared" si="27"/>
        <v>Testo 30µg/L + EE2 -64ng/L</v>
      </c>
      <c r="Q45" s="51" t="str">
        <f t="shared" si="27"/>
        <v>Testo 30µg/L + FAD-10mg/L</v>
      </c>
      <c r="R45" s="51" t="str">
        <f t="shared" si="27"/>
        <v>Atenolol-0,01mg/L + Testostérone</v>
      </c>
      <c r="S45" s="51" t="str">
        <f t="shared" si="27"/>
        <v>Atenolol-0,1mg/L + Testostérone</v>
      </c>
      <c r="T45" s="51" t="str">
        <f t="shared" si="27"/>
        <v>Atenolol-1mg/L + Testostérone</v>
      </c>
      <c r="U45" s="51" t="str">
        <f t="shared" si="27"/>
        <v>Atenolol-10mg/L + Testostérone</v>
      </c>
      <c r="V45" s="51" t="str">
        <f t="shared" si="27"/>
        <v>Atenolol-100mg/L + Testostérone</v>
      </c>
    </row>
    <row r="46" spans="1:22" x14ac:dyDescent="0.35">
      <c r="A46" s="7" t="s">
        <v>0</v>
      </c>
      <c r="B46" s="9">
        <f t="shared" ref="B46:H46" si="28">AVERAGE(B28:B43)</f>
        <v>9.5721822505479948E-2</v>
      </c>
      <c r="C46" s="9">
        <f t="shared" si="28"/>
        <v>0.38007385432944119</v>
      </c>
      <c r="D46" s="9">
        <f t="shared" si="28"/>
        <v>0.95099299459284514</v>
      </c>
      <c r="E46" s="9">
        <f t="shared" si="28"/>
        <v>1.9952533084547266</v>
      </c>
      <c r="F46" s="9">
        <f t="shared" si="28"/>
        <v>2.7772061983969758</v>
      </c>
      <c r="G46" s="9">
        <f t="shared" si="28"/>
        <v>3.2372861663351098</v>
      </c>
      <c r="H46" s="9">
        <f t="shared" si="28"/>
        <v>3.786404689774125</v>
      </c>
      <c r="I46" s="9">
        <f>AVERAGE(I28:I43)</f>
        <v>7.3163367173725041E-2</v>
      </c>
      <c r="J46" s="8">
        <f>AVERAGE(J28:J43)</f>
        <v>0.11547368883322399</v>
      </c>
      <c r="K46" s="8">
        <f>AVERAGE(K28:K43)</f>
        <v>6.400596580716357E-2</v>
      </c>
      <c r="L46" s="8">
        <f t="shared" ref="L46:M46" si="29">AVERAGE(L28:L43)</f>
        <v>8.5538356447987421E-2</v>
      </c>
      <c r="M46" s="8">
        <f t="shared" si="29"/>
        <v>8.3743713927374619E-2</v>
      </c>
      <c r="N46" s="7" t="s">
        <v>0</v>
      </c>
      <c r="O46" s="9">
        <f>AVERAGE(O28:O43)</f>
        <v>1</v>
      </c>
      <c r="P46" s="9">
        <f>AVERAGE(P28:P43)</f>
        <v>2.9953820815246948</v>
      </c>
      <c r="Q46" s="9">
        <f>AVERAGE(Q28:Q43)</f>
        <v>3.4641684783304039E-2</v>
      </c>
      <c r="R46" s="9">
        <f>AVERAGE(R28:R43)</f>
        <v>0.78737705785348022</v>
      </c>
      <c r="S46" s="9">
        <f t="shared" ref="S46:V46" si="30">AVERAGE(S28:S43)</f>
        <v>1.1431717249747484</v>
      </c>
      <c r="T46" s="9">
        <f t="shared" si="30"/>
        <v>1.0408993505673934</v>
      </c>
      <c r="U46" s="9">
        <f t="shared" si="30"/>
        <v>1.1324047293920481</v>
      </c>
      <c r="V46" s="9">
        <f t="shared" si="30"/>
        <v>0.98316136503603668</v>
      </c>
    </row>
    <row r="47" spans="1:22" x14ac:dyDescent="0.35">
      <c r="A47" s="7" t="s">
        <v>1</v>
      </c>
      <c r="B47" s="7">
        <f t="shared" ref="B47:K47" si="31">STDEV(B28:B43)</f>
        <v>0.12332871411106355</v>
      </c>
      <c r="C47" s="7">
        <f t="shared" si="31"/>
        <v>0.17507141781548161</v>
      </c>
      <c r="D47" s="7">
        <f t="shared" si="31"/>
        <v>0.48400746172833053</v>
      </c>
      <c r="E47" s="7">
        <f t="shared" si="31"/>
        <v>0.89446580669434472</v>
      </c>
      <c r="F47" s="7">
        <f t="shared" si="31"/>
        <v>0.40973415610019204</v>
      </c>
      <c r="G47" s="7">
        <f t="shared" si="31"/>
        <v>1.4179507209990398</v>
      </c>
      <c r="H47" s="7">
        <f t="shared" si="31"/>
        <v>1.3596286474156145</v>
      </c>
      <c r="I47" s="7">
        <f>STDEV(I28:I43)</f>
        <v>6.1898575450504E-2</v>
      </c>
      <c r="J47" s="7">
        <f t="shared" si="31"/>
        <v>0.11262560367496927</v>
      </c>
      <c r="K47" s="7">
        <f t="shared" si="31"/>
        <v>6.6206920063813776E-2</v>
      </c>
      <c r="L47" s="7">
        <f t="shared" ref="L47:M47" si="32">STDEV(L28:L43)</f>
        <v>0.11238851308229764</v>
      </c>
      <c r="M47" s="7">
        <f t="shared" si="32"/>
        <v>0.11321993099517592</v>
      </c>
      <c r="N47" s="7" t="s">
        <v>1</v>
      </c>
      <c r="O47" s="7">
        <f>STDEV(O28:O43)</f>
        <v>0.45131527912245795</v>
      </c>
      <c r="P47" s="7">
        <f>STDEV(P28:P43)</f>
        <v>1.0248297928386596</v>
      </c>
      <c r="Q47" s="7">
        <f>STDEV(Q28:Q43)</f>
        <v>3.019804797928825E-2</v>
      </c>
      <c r="R47" s="7">
        <f>STDEV(R28:R43)</f>
        <v>0.51995214536128076</v>
      </c>
      <c r="S47" s="7">
        <f t="shared" ref="S47:V47" si="33">STDEV(S28:S43)</f>
        <v>0.47591072865104816</v>
      </c>
      <c r="T47" s="7">
        <f t="shared" si="33"/>
        <v>0.60182651759995687</v>
      </c>
      <c r="U47" s="7">
        <f t="shared" si="33"/>
        <v>0.83440452037487889</v>
      </c>
      <c r="V47" s="7">
        <f t="shared" si="33"/>
        <v>0.25692141091248499</v>
      </c>
    </row>
    <row r="48" spans="1:22" x14ac:dyDescent="0.35">
      <c r="A48" s="7" t="s">
        <v>2</v>
      </c>
      <c r="B48" s="7">
        <f t="shared" ref="B48:K48" si="34" xml:space="preserve"> B47/SQRT(COUNT(B28:B43))</f>
        <v>4.3603285031475043E-2</v>
      </c>
      <c r="C48" s="7">
        <f t="shared" si="34"/>
        <v>6.189709336463519E-2</v>
      </c>
      <c r="D48" s="7">
        <f t="shared" si="34"/>
        <v>0.17112247916649542</v>
      </c>
      <c r="E48" s="7">
        <f t="shared" si="34"/>
        <v>0.31624141872653333</v>
      </c>
      <c r="F48" s="7">
        <f t="shared" si="34"/>
        <v>0.14486290013109659</v>
      </c>
      <c r="G48" s="7">
        <f t="shared" si="34"/>
        <v>0.50132128510338769</v>
      </c>
      <c r="H48" s="7">
        <f t="shared" si="34"/>
        <v>0.48070131824153722</v>
      </c>
      <c r="I48" s="7">
        <f xml:space="preserve"> I47/SQRT(COUNT(I28:I43))</f>
        <v>2.1884451223419265E-2</v>
      </c>
      <c r="J48" s="7">
        <f t="shared" si="34"/>
        <v>3.9819164046899655E-2</v>
      </c>
      <c r="K48" s="7">
        <f t="shared" si="34"/>
        <v>2.5023863651483406E-2</v>
      </c>
      <c r="L48" s="7">
        <f t="shared" ref="L48:M48" si="35" xml:space="preserve"> L47/SQRT(COUNT(L28:L43))</f>
        <v>4.2478865119441267E-2</v>
      </c>
      <c r="M48" s="7">
        <f t="shared" si="35"/>
        <v>4.0029290486080935E-2</v>
      </c>
      <c r="N48" s="7" t="s">
        <v>2</v>
      </c>
      <c r="O48" s="7">
        <f xml:space="preserve"> O47/SQRT(COUNT(O28:O43))</f>
        <v>0.11282881978061449</v>
      </c>
      <c r="P48" s="7">
        <f xml:space="preserve"> P47/SQRT(COUNT(P28:P43))</f>
        <v>0.36233204803911045</v>
      </c>
      <c r="Q48" s="7">
        <f xml:space="preserve"> Q47/SQRT(COUNT(Q28:Q43))</f>
        <v>1.0676622252375719E-2</v>
      </c>
      <c r="R48" s="7">
        <f xml:space="preserve"> R47/SQRT(COUNT(R28:R43))</f>
        <v>0.18383084393872753</v>
      </c>
      <c r="S48" s="7">
        <f t="shared" ref="S48:V48" si="36" xml:space="preserve"> S47/SQRT(COUNT(S28:S43))</f>
        <v>0.16825985173429353</v>
      </c>
      <c r="T48" s="7">
        <f t="shared" si="36"/>
        <v>0.21277780584640729</v>
      </c>
      <c r="U48" s="7">
        <f t="shared" si="36"/>
        <v>0.31537526482000811</v>
      </c>
      <c r="V48" s="7">
        <f t="shared" si="36"/>
        <v>9.0835435944116791E-2</v>
      </c>
    </row>
    <row r="49" spans="1:22" s="1" customFormat="1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9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7" t="str">
        <f t="shared" ref="A52:H52" si="37">A27</f>
        <v>Group names</v>
      </c>
      <c r="B52" s="28" t="str">
        <f t="shared" si="37"/>
        <v>Solvent control</v>
      </c>
      <c r="C52" s="28" t="str">
        <f t="shared" si="37"/>
        <v>EE2-33.8ng/L</v>
      </c>
      <c r="D52" s="28" t="str">
        <f t="shared" si="37"/>
        <v>EE2-50.6ng/L</v>
      </c>
      <c r="E52" s="28" t="str">
        <f t="shared" si="37"/>
        <v>EE2-76ng/L</v>
      </c>
      <c r="F52" s="28" t="str">
        <f t="shared" si="37"/>
        <v>EE2-114ng/L</v>
      </c>
      <c r="G52" s="28" t="str">
        <f t="shared" si="37"/>
        <v>EE2-170.9ng/L</v>
      </c>
      <c r="H52" s="28" t="str">
        <f t="shared" si="37"/>
        <v>EE2-488ng/L</v>
      </c>
      <c r="I52" s="28" t="str">
        <f>I4</f>
        <v>Atenolol-0,01mg/L</v>
      </c>
      <c r="J52" s="28" t="str">
        <f>J4</f>
        <v>Atenolol-0,1mg/L</v>
      </c>
      <c r="K52" s="28" t="str">
        <f>K27</f>
        <v>Atenolol-1mg/L</v>
      </c>
      <c r="L52" s="28" t="str">
        <f t="shared" ref="L52:M52" si="38">L27</f>
        <v>Atenolol-10mg/L</v>
      </c>
      <c r="M52" s="28" t="str">
        <f t="shared" si="38"/>
        <v>Atenolol-100mg/L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Atenolol-0,01mg/L + Testostérone</v>
      </c>
      <c r="S52" s="28" t="str">
        <f t="shared" ref="S52:V52" si="39">S27</f>
        <v>Atenolol-0,1mg/L + Testostérone</v>
      </c>
      <c r="T52" s="28" t="str">
        <f t="shared" si="39"/>
        <v>Atenolol-1mg/L + Testostérone</v>
      </c>
      <c r="U52" s="28" t="str">
        <f t="shared" si="39"/>
        <v>Atenolol-10mg/L + Testostérone</v>
      </c>
      <c r="V52" s="28" t="str">
        <f t="shared" si="39"/>
        <v>Atenolol-100mg/L + Testostérone</v>
      </c>
    </row>
    <row r="53" spans="1:22" s="3" customFormat="1" x14ac:dyDescent="0.35">
      <c r="A53" s="43" t="s">
        <v>10</v>
      </c>
      <c r="B53" s="75">
        <f t="shared" ref="B53:M53" si="40">B46</f>
        <v>9.5721822505479948E-2</v>
      </c>
      <c r="C53" s="75">
        <f t="shared" si="40"/>
        <v>0.38007385432944119</v>
      </c>
      <c r="D53" s="75">
        <f t="shared" si="40"/>
        <v>0.95099299459284514</v>
      </c>
      <c r="E53" s="75">
        <f t="shared" si="40"/>
        <v>1.9952533084547266</v>
      </c>
      <c r="F53" s="75">
        <f t="shared" si="40"/>
        <v>2.7772061983969758</v>
      </c>
      <c r="G53" s="75">
        <f t="shared" si="40"/>
        <v>3.2372861663351098</v>
      </c>
      <c r="H53" s="75">
        <f t="shared" si="40"/>
        <v>3.786404689774125</v>
      </c>
      <c r="I53" s="75">
        <f t="shared" si="40"/>
        <v>7.3163367173725041E-2</v>
      </c>
      <c r="J53" s="75">
        <f t="shared" si="40"/>
        <v>0.11547368883322399</v>
      </c>
      <c r="K53" s="75">
        <f t="shared" si="40"/>
        <v>6.400596580716357E-2</v>
      </c>
      <c r="L53" s="75">
        <f t="shared" si="40"/>
        <v>8.5538356447987421E-2</v>
      </c>
      <c r="M53" s="75">
        <f t="shared" si="40"/>
        <v>8.3743713927374619E-2</v>
      </c>
      <c r="N53" s="75"/>
      <c r="O53" s="75">
        <f t="shared" ref="O53:V53" si="41">O46</f>
        <v>1</v>
      </c>
      <c r="P53" s="75">
        <f t="shared" si="41"/>
        <v>2.9953820815246948</v>
      </c>
      <c r="Q53" s="75">
        <f t="shared" si="41"/>
        <v>3.4641684783304039E-2</v>
      </c>
      <c r="R53" s="75">
        <f t="shared" si="41"/>
        <v>0.78737705785348022</v>
      </c>
      <c r="S53" s="75">
        <f t="shared" si="41"/>
        <v>1.1431717249747484</v>
      </c>
      <c r="T53" s="75">
        <f t="shared" si="41"/>
        <v>1.0408993505673934</v>
      </c>
      <c r="U53" s="75">
        <f t="shared" si="41"/>
        <v>1.1324047293920481</v>
      </c>
      <c r="V53" s="75">
        <f t="shared" si="41"/>
        <v>0.98316136503603668</v>
      </c>
    </row>
    <row r="54" spans="1:22" s="3" customFormat="1" x14ac:dyDescent="0.35">
      <c r="A54" s="43" t="s">
        <v>2</v>
      </c>
      <c r="B54" s="75">
        <f t="shared" ref="B54:M54" si="42">B48</f>
        <v>4.3603285031475043E-2</v>
      </c>
      <c r="C54" s="75">
        <f t="shared" si="42"/>
        <v>6.189709336463519E-2</v>
      </c>
      <c r="D54" s="75">
        <f t="shared" si="42"/>
        <v>0.17112247916649542</v>
      </c>
      <c r="E54" s="75">
        <f t="shared" si="42"/>
        <v>0.31624141872653333</v>
      </c>
      <c r="F54" s="75">
        <f t="shared" si="42"/>
        <v>0.14486290013109659</v>
      </c>
      <c r="G54" s="75">
        <f t="shared" si="42"/>
        <v>0.50132128510338769</v>
      </c>
      <c r="H54" s="75">
        <f t="shared" si="42"/>
        <v>0.48070131824153722</v>
      </c>
      <c r="I54" s="75">
        <f t="shared" si="42"/>
        <v>2.1884451223419265E-2</v>
      </c>
      <c r="J54" s="75">
        <f t="shared" si="42"/>
        <v>3.9819164046899655E-2</v>
      </c>
      <c r="K54" s="75">
        <f t="shared" si="42"/>
        <v>2.5023863651483406E-2</v>
      </c>
      <c r="L54" s="75">
        <f t="shared" si="42"/>
        <v>4.2478865119441267E-2</v>
      </c>
      <c r="M54" s="75">
        <f t="shared" si="42"/>
        <v>4.0029290486080935E-2</v>
      </c>
      <c r="N54" s="75"/>
      <c r="O54" s="75">
        <f t="shared" ref="O54:V54" si="43">O48</f>
        <v>0.11282881978061449</v>
      </c>
      <c r="P54" s="75">
        <f t="shared" si="43"/>
        <v>0.36233204803911045</v>
      </c>
      <c r="Q54" s="75">
        <f t="shared" si="43"/>
        <v>1.0676622252375719E-2</v>
      </c>
      <c r="R54" s="75">
        <f t="shared" si="43"/>
        <v>0.18383084393872753</v>
      </c>
      <c r="S54" s="75">
        <f t="shared" si="43"/>
        <v>0.16825985173429353</v>
      </c>
      <c r="T54" s="75">
        <f t="shared" si="43"/>
        <v>0.21277780584640729</v>
      </c>
      <c r="U54" s="75">
        <f t="shared" si="43"/>
        <v>0.31537526482000811</v>
      </c>
      <c r="V54" s="75">
        <f t="shared" si="43"/>
        <v>9.0835435944116791E-2</v>
      </c>
    </row>
    <row r="55" spans="1:22" s="3" customFormat="1" x14ac:dyDescent="0.35">
      <c r="A55" s="43" t="s">
        <v>14</v>
      </c>
      <c r="B55" s="75">
        <f t="shared" ref="B55:M55" si="44">(B53*100/$B$53)-100</f>
        <v>0</v>
      </c>
      <c r="C55" s="75">
        <f t="shared" si="44"/>
        <v>297.06082101360164</v>
      </c>
      <c r="D55" s="75">
        <f t="shared" si="44"/>
        <v>893.4965399748861</v>
      </c>
      <c r="E55" s="75">
        <f t="shared" si="44"/>
        <v>1984.4288754954505</v>
      </c>
      <c r="F55" s="75">
        <f t="shared" si="44"/>
        <v>2801.3302564710198</v>
      </c>
      <c r="G55" s="75">
        <f t="shared" si="44"/>
        <v>3281.9729729339192</v>
      </c>
      <c r="H55" s="75">
        <f t="shared" si="44"/>
        <v>3855.633721409095</v>
      </c>
      <c r="I55" s="75">
        <f t="shared" si="44"/>
        <v>-23.566679719730018</v>
      </c>
      <c r="J55" s="75">
        <f t="shared" si="44"/>
        <v>20.634653426718103</v>
      </c>
      <c r="K55" s="75">
        <f t="shared" si="44"/>
        <v>-33.13336067802166</v>
      </c>
      <c r="L55" s="75">
        <f t="shared" si="44"/>
        <v>-10.63860443830302</v>
      </c>
      <c r="M55" s="75">
        <f t="shared" si="44"/>
        <v>-12.513456455992156</v>
      </c>
      <c r="N55" s="75"/>
      <c r="O55" s="75">
        <f t="shared" ref="O55:V55" si="45">(O53*100/$O$53)-100</f>
        <v>0</v>
      </c>
      <c r="P55" s="75">
        <f t="shared" si="45"/>
        <v>199.53820815246945</v>
      </c>
      <c r="Q55" s="75">
        <f t="shared" si="45"/>
        <v>-96.535831521669593</v>
      </c>
      <c r="R55" s="75">
        <f t="shared" si="45"/>
        <v>-21.262294214651973</v>
      </c>
      <c r="S55" s="75">
        <f t="shared" si="45"/>
        <v>14.317172497474843</v>
      </c>
      <c r="T55" s="75">
        <f t="shared" si="45"/>
        <v>4.0899350567393356</v>
      </c>
      <c r="U55" s="75">
        <f t="shared" si="45"/>
        <v>13.240472939204807</v>
      </c>
      <c r="V55" s="75">
        <f t="shared" si="45"/>
        <v>-1.6838634963963273</v>
      </c>
    </row>
    <row r="56" spans="1:22" s="3" customFormat="1" x14ac:dyDescent="0.35">
      <c r="A56" s="43" t="s">
        <v>38</v>
      </c>
      <c r="B56" s="75">
        <f>[1]!SWTEST(B28:B43)</f>
        <v>5.7509895258003318E-3</v>
      </c>
      <c r="C56" s="75">
        <f>[1]!SWTEST(C28:C43)</f>
        <v>0.82349037387152302</v>
      </c>
      <c r="D56" s="75">
        <f>[1]!SWTEST(D28:D43)</f>
        <v>0.72132196464639908</v>
      </c>
      <c r="E56" s="75">
        <f>[1]!SWTEST(E28:E43)</f>
        <v>0.46426056792263348</v>
      </c>
      <c r="F56" s="75">
        <f>[1]!SWTEST(F28:F43)</f>
        <v>0.13096394881217766</v>
      </c>
      <c r="G56" s="75">
        <f>[1]!SWTEST(G28:G43)</f>
        <v>0.72091761024884116</v>
      </c>
      <c r="H56" s="75">
        <f>[1]!SWTEST(H28:H43)</f>
        <v>0.49086823009672687</v>
      </c>
      <c r="I56" s="75">
        <f>[1]!SWTEST(I28:I43)</f>
        <v>0.11189394661608665</v>
      </c>
      <c r="J56" s="75">
        <f>[1]!SWTEST(J28:J43)</f>
        <v>4.0605467216486724E-2</v>
      </c>
      <c r="K56" s="75">
        <f>[1]!SWTEST(K28:K43)</f>
        <v>6.0010726520731694E-3</v>
      </c>
      <c r="L56" s="75">
        <f>[1]!SWTEST(L28:L43)</f>
        <v>1.2394431997874933E-2</v>
      </c>
      <c r="M56" s="75">
        <f>[1]!SWTEST(M28:M43)</f>
        <v>2.4533392457944947E-3</v>
      </c>
      <c r="N56" s="75"/>
      <c r="O56" s="75">
        <f>[1]!SWTEST(O28:O43)</f>
        <v>0.34300391839932931</v>
      </c>
      <c r="P56" s="75">
        <f>[1]!SWTEST(P28:P43)</f>
        <v>0.29710704293638102</v>
      </c>
      <c r="Q56" s="75">
        <f>[1]!SWTEST(Q28:Q43)</f>
        <v>4.1131037252293168E-2</v>
      </c>
      <c r="R56" s="75">
        <f>[1]!SWTEST(R28:R43)</f>
        <v>0.58234329855542222</v>
      </c>
      <c r="S56" s="75">
        <f>[1]!SWTEST(S28:S43)</f>
        <v>0.51416600191717521</v>
      </c>
      <c r="T56" s="75">
        <f>[1]!SWTEST(T28:T43)</f>
        <v>8.5306716126741788E-2</v>
      </c>
      <c r="U56" s="75">
        <f>[1]!SWTEST(U28:U43)</f>
        <v>0.23934740438586921</v>
      </c>
      <c r="V56" s="75">
        <f>[1]!SWTEST(V28:V43)</f>
        <v>0.44686659869235501</v>
      </c>
    </row>
    <row r="57" spans="1:22" s="3" customFormat="1" x14ac:dyDescent="0.35">
      <c r="A57" s="43" t="s">
        <v>39</v>
      </c>
      <c r="B57" s="75" t="str">
        <f t="shared" ref="B57:M57" si="46">IF(B56&gt;0.05,"Oui","Non")</f>
        <v>Non</v>
      </c>
      <c r="C57" s="75" t="str">
        <f t="shared" si="46"/>
        <v>Oui</v>
      </c>
      <c r="D57" s="75" t="str">
        <f t="shared" si="46"/>
        <v>Oui</v>
      </c>
      <c r="E57" s="75" t="str">
        <f t="shared" si="46"/>
        <v>Oui</v>
      </c>
      <c r="F57" s="75" t="str">
        <f t="shared" si="46"/>
        <v>Oui</v>
      </c>
      <c r="G57" s="75" t="str">
        <f t="shared" si="46"/>
        <v>Oui</v>
      </c>
      <c r="H57" s="75" t="str">
        <f t="shared" si="46"/>
        <v>Oui</v>
      </c>
      <c r="I57" s="75" t="str">
        <f t="shared" si="46"/>
        <v>Oui</v>
      </c>
      <c r="J57" s="75" t="str">
        <f t="shared" si="46"/>
        <v>Non</v>
      </c>
      <c r="K57" s="75" t="str">
        <f t="shared" si="46"/>
        <v>Non</v>
      </c>
      <c r="L57" s="75" t="str">
        <f t="shared" si="46"/>
        <v>Non</v>
      </c>
      <c r="M57" s="75" t="str">
        <f t="shared" si="46"/>
        <v>Non</v>
      </c>
      <c r="N57" s="75"/>
      <c r="O57" s="75" t="str">
        <f t="shared" ref="O57:V57" si="47">IF(O56&gt;0.05,"Oui","Non")</f>
        <v>Oui</v>
      </c>
      <c r="P57" s="75" t="str">
        <f t="shared" si="47"/>
        <v>Oui</v>
      </c>
      <c r="Q57" s="75" t="str">
        <f t="shared" si="47"/>
        <v>Non</v>
      </c>
      <c r="R57" s="75" t="str">
        <f t="shared" si="47"/>
        <v>Oui</v>
      </c>
      <c r="S57" s="75" t="str">
        <f t="shared" si="47"/>
        <v>Oui</v>
      </c>
      <c r="T57" s="75" t="str">
        <f t="shared" si="47"/>
        <v>Oui</v>
      </c>
      <c r="U57" s="75" t="str">
        <f t="shared" si="47"/>
        <v>Oui</v>
      </c>
      <c r="V57" s="75" t="str">
        <f t="shared" si="47"/>
        <v>Oui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str">
        <f t="shared" ref="C59:M59" si="48">IF($B57="Non",IF(C$57="Non","Mann Withney",IF(C$57="Oui","Mann Withney","")),IF($B$57="Oui",IF(C$57="Oui","T-Test Welch",IF(C$57="Non","Mann Withney",""))))</f>
        <v>Mann Withney</v>
      </c>
      <c r="D59" s="79" t="str">
        <f t="shared" si="48"/>
        <v>Mann Withney</v>
      </c>
      <c r="E59" s="79" t="str">
        <f t="shared" si="48"/>
        <v>Mann Withney</v>
      </c>
      <c r="F59" s="79" t="str">
        <f t="shared" si="48"/>
        <v>Mann Withney</v>
      </c>
      <c r="G59" s="79" t="str">
        <f t="shared" si="48"/>
        <v>Mann Withney</v>
      </c>
      <c r="H59" s="79" t="str">
        <f t="shared" si="48"/>
        <v>Mann Withney</v>
      </c>
      <c r="I59" s="79" t="str">
        <f t="shared" si="48"/>
        <v>Mann Withney</v>
      </c>
      <c r="J59" s="79" t="str">
        <f t="shared" si="48"/>
        <v>Mann Withney</v>
      </c>
      <c r="K59" s="79" t="str">
        <f t="shared" si="48"/>
        <v>Mann Withney</v>
      </c>
      <c r="L59" s="79" t="str">
        <f t="shared" si="48"/>
        <v>Mann Withney</v>
      </c>
      <c r="M59" s="79" t="str">
        <f t="shared" si="48"/>
        <v>Mann Withney</v>
      </c>
      <c r="N59" s="79"/>
      <c r="O59" s="79" t="str">
        <f>IF($B57="Non",IF(O$57="Non","Mann Withney",IF(O$57="Oui","Mann Withney","")),IF($B$57="Oui",IF(O$57="Oui","T-Test Welch",IF(O$57="Non","Mann Withney",""))))</f>
        <v>Mann Withney</v>
      </c>
      <c r="P59" s="79" t="str">
        <f t="shared" ref="P59:V59" si="49">IF($O57="Non",IF(P$57="Non","Mann Withney",IF(P$57="Oui","Mann Withney","")),IF($O$57="Oui",IF(P$57="Oui","T-Test Welch",IF(P$57="Non","Mann Withney",""))))</f>
        <v>T-Test Welch</v>
      </c>
      <c r="Q59" s="79" t="str">
        <f t="shared" si="49"/>
        <v>Mann Withney</v>
      </c>
      <c r="R59" s="79" t="str">
        <f t="shared" si="49"/>
        <v>T-Test Welch</v>
      </c>
      <c r="S59" s="79" t="str">
        <f t="shared" si="49"/>
        <v>T-Test Welch</v>
      </c>
      <c r="T59" s="79" t="str">
        <f t="shared" si="49"/>
        <v>T-Test Welch</v>
      </c>
      <c r="U59" s="79" t="str">
        <f t="shared" si="49"/>
        <v>T-Test Welch</v>
      </c>
      <c r="V59" s="79" t="str">
        <f t="shared" si="49"/>
        <v>T-Test Welch</v>
      </c>
    </row>
    <row r="60" spans="1:22" s="3" customFormat="1" x14ac:dyDescent="0.35">
      <c r="A60" s="43" t="s">
        <v>41</v>
      </c>
      <c r="B60" s="80"/>
      <c r="C60" s="80">
        <f>IF(C59="Mann Withney",[1]!MTEST($B28:$B43,C28:C43,2), IF(C59="T-Test Welch",_xlfn.T.TEST($B28:$B43,C28:C43,2,3),""))</f>
        <v>4.5744394562106105E-3</v>
      </c>
      <c r="D60" s="80">
        <f>IF(D59="Mann Withney",[1]!MTEST($B28:$B43,D28:D43,2), IF(D59="T-Test Welch",_xlfn.T.TEST($B28:$B43,D28:D43,2,3),""))</f>
        <v>2.3220945158779482E-3</v>
      </c>
      <c r="E60" s="80">
        <f>IF(E59="Mann Withney",[1]!MTEST($B28:$B43,E28:E43,2), IF(E59="T-Test Welch",_xlfn.T.TEST($B28:$B43,E28:E43,2,3),""))</f>
        <v>7.7753044694039986E-4</v>
      </c>
      <c r="F60" s="80">
        <f>IF(F59="Mann Withney",[1]!MTEST($B28:$B43,F28:F43,2), IF(F59="T-Test Welch",_xlfn.T.TEST($B28:$B43,F28:F43,2,3),""))</f>
        <v>7.7753044694039986E-4</v>
      </c>
      <c r="G60" s="80">
        <f>IF(G59="Mann Withney",[1]!MTEST($B28:$B43,G28:G43,2), IF(G59="T-Test Welch",_xlfn.T.TEST($B28:$B43,G28:G43,2,3),""))</f>
        <v>7.7753044694039986E-4</v>
      </c>
      <c r="H60" s="80">
        <f>IF(H59="Mann Withney",[1]!MTEST($B28:$B43,H28:H43,2), IF(H59="T-Test Welch",_xlfn.T.TEST($B28:$B43,H28:H43,2,3),""))</f>
        <v>7.7753044694039986E-4</v>
      </c>
      <c r="I60" s="80">
        <f>IF(I59="Mann Withney",[1]!MTEST($B28:$B43,I28:I43,2), IF(I59="T-Test Welch",_xlfn.T.TEST($B28:$B43,I28:I43,2,3),""))</f>
        <v>0.91635914027348853</v>
      </c>
      <c r="J60" s="80">
        <f>IF(J59="Mann Withney",[1]!MTEST($B28:$B43,J28:J43,2), IF(J59="T-Test Welch",_xlfn.T.TEST($B28:$B43,J28:J43,2,3),""))</f>
        <v>0.40081416938293457</v>
      </c>
      <c r="K60" s="80">
        <f>IF(K59="Mann Withney",[1]!MTEST($B28:$B43,K28:K43,2), IF(K59="T-Test Welch",_xlfn.T.TEST($B28:$B43,K28:K43,2,3),""))</f>
        <v>0.90786850094953597</v>
      </c>
      <c r="L60" s="80">
        <f>IF(L59="Mann Withney",[1]!MTEST($B28:$B43,L28:L43,2), IF(L59="T-Test Welch",_xlfn.T.TEST($B28:$B43,L28:L43,2,3),""))</f>
        <v>0.6434288435636204</v>
      </c>
      <c r="M60" s="80">
        <f>IF(M59="Mann Withney",[1]!MTEST($B28:$B43,M28:M43,2), IF(M59="T-Test Welch",_xlfn.T.TEST($B28:$B43,M28:M43,2,3),""))</f>
        <v>0.83363488302468225</v>
      </c>
      <c r="N60" s="80"/>
      <c r="O60" s="80">
        <f>IF(O59="Mann Withney",[1]!MTEST($B28:$B43,O28:O43,2), IF(O59="T-Test Welch",_xlfn.T.TEST($B28:$B43,O28:O43,2,3),""))</f>
        <v>8.884941911446731E-5</v>
      </c>
      <c r="P60" s="80">
        <f>IF(P59="Mann Withney",[1]!MTEST($O28:$O43,P28:P43,2), IF(P59="T-Test Welch",_xlfn.T.TEST($O28:$O43,P28:P43,2,3),""))</f>
        <v>6.5751333179830344E-4</v>
      </c>
      <c r="Q60" s="80">
        <f>IF(Q59="Mann Withney",[1]!MTEST($O28:$O43,Q28:Q43,2), IF(Q59="T-Test Welch",_xlfn.T.TEST($O28:$O43,Q28:Q43,2,3),""))</f>
        <v>8.884941911446731E-5</v>
      </c>
      <c r="R60" s="80">
        <f>IF(R59="Mann Withney",[1]!MTEST($O28:$O43,R28:R43,2), IF(R59="T-Test Welch",_xlfn.T.TEST($O28:$O43,R28:R43,2,3),""))</f>
        <v>0.34303162450486036</v>
      </c>
      <c r="S60" s="80">
        <f>IF(S59="Mann Withney",[1]!MTEST($O28:$O43,S28:S43,2), IF(S59="T-Test Welch",_xlfn.T.TEST($O28:$O43,S28:S43,2,3),""))</f>
        <v>0.49181306296112526</v>
      </c>
      <c r="T60" s="80">
        <f>IF(T59="Mann Withney",[1]!MTEST($O28:$O43,T28:T43,2), IF(T59="T-Test Welch",_xlfn.T.TEST($O28:$O43,T28:T43,2,3),""))</f>
        <v>0.86821358941240101</v>
      </c>
      <c r="U60" s="80">
        <f>IF(U59="Mann Withney",[1]!MTEST($O28:$O43,U28:U43,2), IF(U59="T-Test Welch",_xlfn.T.TEST($O28:$O43,U28:U43,2,3),""))</f>
        <v>0.70350836084282586</v>
      </c>
      <c r="V60" s="80">
        <f>IF(V59="Mann Withney",[1]!MTEST($O28:$O43,V28:V43,2), IF(V59="T-Test Welch",_xlfn.T.TEST($O28:$O43,V28:V43,2,3),""))</f>
        <v>0.9085370212639412</v>
      </c>
    </row>
    <row r="61" spans="1:22" s="3" customFormat="1" ht="15" thickBot="1" x14ac:dyDescent="0.4">
      <c r="A61" s="44" t="s">
        <v>15</v>
      </c>
      <c r="B61" s="76"/>
      <c r="C61" s="76" t="str">
        <f t="shared" ref="C61:M61" si="50">IF(C60&gt;0.05,"NS",IF(C60&gt;0.01,"*",IF(C60&gt;0.001,"**","***")))</f>
        <v>**</v>
      </c>
      <c r="D61" s="76" t="str">
        <f t="shared" si="50"/>
        <v>**</v>
      </c>
      <c r="E61" s="76" t="str">
        <f t="shared" si="50"/>
        <v>***</v>
      </c>
      <c r="F61" s="76" t="str">
        <f t="shared" si="50"/>
        <v>***</v>
      </c>
      <c r="G61" s="76" t="str">
        <f t="shared" si="50"/>
        <v>***</v>
      </c>
      <c r="H61" s="76" t="str">
        <f t="shared" si="50"/>
        <v>***</v>
      </c>
      <c r="I61" s="76" t="str">
        <f t="shared" si="50"/>
        <v>NS</v>
      </c>
      <c r="J61" s="76" t="str">
        <f t="shared" si="50"/>
        <v>NS</v>
      </c>
      <c r="K61" s="76" t="str">
        <f t="shared" si="50"/>
        <v>NS</v>
      </c>
      <c r="L61" s="76" t="str">
        <f t="shared" si="50"/>
        <v>NS</v>
      </c>
      <c r="M61" s="76" t="str">
        <f t="shared" si="50"/>
        <v>NS</v>
      </c>
      <c r="N61" s="76"/>
      <c r="O61" s="76" t="str">
        <f>IF(O60&gt;0.05,"NS",IF(O60&gt;0.01,"*",IF(O60&gt;0.001,"**","***")))</f>
        <v>***</v>
      </c>
      <c r="P61" s="76" t="str">
        <f>IF(P60&gt;0.05,"NS",IF(P60&gt;0.01,"*",IF(P60&gt;0.001,"**","***")))</f>
        <v>***</v>
      </c>
      <c r="Q61" s="76" t="str">
        <f t="shared" ref="Q61" si="51">IF(Q60&gt;0.05,"NS",IF(Q60&gt;0.01,"*",IF(Q60&gt;0.001,"**","***")))</f>
        <v>***</v>
      </c>
      <c r="R61" s="76" t="str">
        <f t="shared" ref="R61" si="52">IF(R60&gt;0.05,"NS",IF(R60&gt;0.01,"*",IF(R60&gt;0.001,"**","***")))</f>
        <v>NS</v>
      </c>
      <c r="S61" s="76" t="str">
        <f t="shared" ref="S61" si="53">IF(S60&gt;0.05,"NS",IF(S60&gt;0.01,"*",IF(S60&gt;0.001,"**","***")))</f>
        <v>NS</v>
      </c>
      <c r="T61" s="76" t="str">
        <f t="shared" ref="T61" si="54">IF(T60&gt;0.05,"NS",IF(T60&gt;0.01,"*",IF(T60&gt;0.001,"**","***")))</f>
        <v>NS</v>
      </c>
      <c r="U61" s="76" t="str">
        <f t="shared" ref="U61" si="55">IF(U60&gt;0.05,"NS",IF(U60&gt;0.01,"*",IF(U60&gt;0.001,"**","***")))</f>
        <v>NS</v>
      </c>
      <c r="V61" s="76" t="str">
        <f t="shared" ref="V61" si="56">IF(V60&gt;0.05,"NS",IF(V60&gt;0.01,"*",IF(V60&gt;0.001,"**","***")))</f>
        <v>NS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9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O8:V11 B7:M10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L1" zoomScale="85" zoomScaleNormal="85" zoomScaleSheetLayoutView="40" zoomScalePageLayoutView="30" workbookViewId="0">
      <selection activeCell="U8" sqref="U8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2" customFormat="1" ht="15" thickBot="1" x14ac:dyDescent="0.4"/>
    <row r="3" spans="1:22" ht="15" thickBot="1" x14ac:dyDescent="0.4">
      <c r="A3" s="81" t="s">
        <v>6</v>
      </c>
      <c r="B3" s="145" t="s">
        <v>42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O3" s="145" t="s">
        <v>43</v>
      </c>
      <c r="P3" s="146"/>
      <c r="Q3" s="146"/>
      <c r="R3" s="146"/>
      <c r="S3" s="146"/>
      <c r="T3" s="146"/>
      <c r="U3" s="146"/>
      <c r="V3" s="146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Atenolol-0,01mg/L</v>
      </c>
      <c r="J4" s="18" t="str">
        <f>'Front page'!A15</f>
        <v>Atenolol-0,1mg/L</v>
      </c>
      <c r="K4" s="18" t="str">
        <f>'Front page'!A16</f>
        <v>Atenolol-1mg/L</v>
      </c>
      <c r="L4" s="18" t="str">
        <f>'Front page'!A17</f>
        <v>Atenolol-10mg/L</v>
      </c>
      <c r="M4" s="18" t="str">
        <f>'Front page'!A18</f>
        <v>Atenolol-100mg/L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Atenolol-0,01mg/L + Testostérone</v>
      </c>
      <c r="S4" s="19" t="str">
        <f>'Front page'!A39</f>
        <v>Atenolol-0,1mg/L + Testostérone</v>
      </c>
      <c r="T4" s="19" t="str">
        <f>'Front page'!A40</f>
        <v>Atenolol-1mg/L + Testostérone</v>
      </c>
      <c r="U4" s="19" t="str">
        <f>'Front page'!A41</f>
        <v>Atenolol-10mg/L + Testostérone</v>
      </c>
      <c r="V4" s="19" t="str">
        <f>'Front page'!A42</f>
        <v>Atenolol-100mg/L + Testostérone</v>
      </c>
    </row>
    <row r="5" spans="1:22" x14ac:dyDescent="0.35">
      <c r="A5" s="141" t="s">
        <v>35</v>
      </c>
      <c r="B5" s="15">
        <v>65828</v>
      </c>
      <c r="C5" s="15">
        <v>19248</v>
      </c>
      <c r="D5" s="15">
        <v>2085088</v>
      </c>
      <c r="E5" s="15">
        <v>2144748</v>
      </c>
      <c r="F5" s="15">
        <v>5298040</v>
      </c>
      <c r="G5" s="15">
        <v>3309152</v>
      </c>
      <c r="H5" s="15">
        <v>9168257</v>
      </c>
      <c r="I5" s="15">
        <v>55071</v>
      </c>
      <c r="J5" s="15">
        <v>316199</v>
      </c>
      <c r="K5" s="12">
        <v>107105</v>
      </c>
      <c r="L5" s="12">
        <v>586</v>
      </c>
      <c r="M5" s="12">
        <v>637320</v>
      </c>
      <c r="N5" s="3"/>
      <c r="O5" s="15">
        <v>2273734</v>
      </c>
      <c r="P5" s="12">
        <v>4261304</v>
      </c>
      <c r="Q5" s="12">
        <v>145534</v>
      </c>
      <c r="R5" s="15">
        <v>2189973</v>
      </c>
      <c r="S5" s="15">
        <v>2343116</v>
      </c>
      <c r="T5" s="15">
        <v>1841807</v>
      </c>
      <c r="U5" s="15">
        <v>1207498</v>
      </c>
      <c r="V5" s="15">
        <v>3981572</v>
      </c>
    </row>
    <row r="6" spans="1:22" ht="16.5" x14ac:dyDescent="0.35">
      <c r="A6" s="142"/>
      <c r="B6" s="13">
        <v>254319</v>
      </c>
      <c r="C6" s="12">
        <v>717896</v>
      </c>
      <c r="D6" s="15">
        <v>175100</v>
      </c>
      <c r="E6" s="15">
        <v>2079630</v>
      </c>
      <c r="F6" s="15">
        <v>5927998</v>
      </c>
      <c r="G6" s="15">
        <v>4474601</v>
      </c>
      <c r="H6" s="15">
        <v>9456848</v>
      </c>
      <c r="I6" s="15">
        <v>43441</v>
      </c>
      <c r="J6" s="15">
        <v>57388</v>
      </c>
      <c r="K6" s="12">
        <v>79490</v>
      </c>
      <c r="L6" s="12">
        <v>164304</v>
      </c>
      <c r="M6" s="12">
        <v>304322</v>
      </c>
      <c r="N6" s="3"/>
      <c r="O6" s="15">
        <v>7812045</v>
      </c>
      <c r="P6" s="12">
        <v>9290563</v>
      </c>
      <c r="Q6" s="12">
        <v>26099</v>
      </c>
      <c r="R6" s="15">
        <v>2369509</v>
      </c>
      <c r="S6" s="15">
        <v>6013347</v>
      </c>
      <c r="T6" s="15">
        <v>22514</v>
      </c>
      <c r="U6" s="15">
        <v>1691527</v>
      </c>
      <c r="V6" s="15">
        <v>3488079</v>
      </c>
    </row>
    <row r="7" spans="1:22" ht="16.5" x14ac:dyDescent="0.35">
      <c r="A7" s="142"/>
      <c r="B7" s="13">
        <v>45196</v>
      </c>
      <c r="C7" s="12">
        <v>209208</v>
      </c>
      <c r="D7" s="15">
        <v>676196</v>
      </c>
      <c r="E7" s="15">
        <v>3263927</v>
      </c>
      <c r="F7" s="15">
        <v>3848156</v>
      </c>
      <c r="G7" s="15">
        <v>9668809</v>
      </c>
      <c r="H7" s="15">
        <v>6344901</v>
      </c>
      <c r="I7" s="15">
        <v>833</v>
      </c>
      <c r="J7" s="15">
        <v>100961</v>
      </c>
      <c r="K7" s="12">
        <v>95823</v>
      </c>
      <c r="L7" s="12">
        <v>457010</v>
      </c>
      <c r="M7" s="12">
        <v>591513</v>
      </c>
      <c r="N7" s="3"/>
      <c r="O7" s="15">
        <v>2956671</v>
      </c>
      <c r="P7" s="12">
        <v>5956365</v>
      </c>
      <c r="Q7" s="12">
        <v>135885</v>
      </c>
      <c r="R7" s="15">
        <v>2787331</v>
      </c>
      <c r="S7" s="15">
        <v>2187962</v>
      </c>
      <c r="T7" s="15">
        <v>3139693</v>
      </c>
      <c r="U7" s="15">
        <v>1446935</v>
      </c>
      <c r="V7" s="15">
        <v>645338</v>
      </c>
    </row>
    <row r="8" spans="1:22" ht="16.5" x14ac:dyDescent="0.35">
      <c r="A8" s="142"/>
      <c r="B8" s="13">
        <v>436295</v>
      </c>
      <c r="C8" s="12">
        <v>319263</v>
      </c>
      <c r="D8" s="15">
        <v>458793</v>
      </c>
      <c r="E8" s="15">
        <v>1896244</v>
      </c>
      <c r="F8" s="15">
        <v>8274130</v>
      </c>
      <c r="G8" s="15">
        <v>4263132</v>
      </c>
      <c r="H8" s="15">
        <v>12348654</v>
      </c>
      <c r="I8" s="15">
        <v>184006</v>
      </c>
      <c r="J8" s="15">
        <v>141084</v>
      </c>
      <c r="K8" s="12">
        <v>320377</v>
      </c>
      <c r="L8" s="12">
        <v>162760</v>
      </c>
      <c r="M8" s="12">
        <v>188171</v>
      </c>
      <c r="N8" s="3"/>
      <c r="O8" s="15">
        <v>2730588</v>
      </c>
      <c r="P8" s="12">
        <v>5008126</v>
      </c>
      <c r="Q8" s="12">
        <v>154345</v>
      </c>
      <c r="R8" s="15">
        <v>2831789</v>
      </c>
      <c r="S8" s="15">
        <v>730285</v>
      </c>
      <c r="T8" s="15">
        <v>1980585</v>
      </c>
      <c r="U8" s="15">
        <v>194546</v>
      </c>
      <c r="V8" s="15">
        <v>2423107</v>
      </c>
    </row>
    <row r="9" spans="1:22" ht="16.5" x14ac:dyDescent="0.35">
      <c r="A9" s="142"/>
      <c r="B9" s="13">
        <v>23416</v>
      </c>
      <c r="C9" s="12">
        <v>58253</v>
      </c>
      <c r="D9" s="15">
        <v>388143</v>
      </c>
      <c r="E9" s="15">
        <v>1071499</v>
      </c>
      <c r="F9" s="15">
        <v>5309763</v>
      </c>
      <c r="G9" s="15">
        <v>4052710</v>
      </c>
      <c r="H9" s="15">
        <v>9217348</v>
      </c>
      <c r="I9" s="15">
        <v>82735</v>
      </c>
      <c r="J9" s="15">
        <v>90583</v>
      </c>
      <c r="K9" s="12">
        <v>1390174</v>
      </c>
      <c r="L9" s="12">
        <v>35220</v>
      </c>
      <c r="M9" s="12">
        <v>173472</v>
      </c>
      <c r="N9" s="3"/>
      <c r="O9" s="15">
        <v>2975822</v>
      </c>
      <c r="P9" s="12">
        <v>5982476</v>
      </c>
      <c r="Q9" s="12">
        <v>403306</v>
      </c>
      <c r="R9" s="15">
        <v>5833854</v>
      </c>
      <c r="S9" s="15">
        <v>8017475</v>
      </c>
      <c r="T9" s="15">
        <v>1561919</v>
      </c>
      <c r="U9" s="15">
        <v>343690</v>
      </c>
      <c r="V9" s="15">
        <v>2085525</v>
      </c>
    </row>
    <row r="10" spans="1:22" ht="16.5" x14ac:dyDescent="0.35">
      <c r="A10" s="142"/>
      <c r="B10" s="13">
        <v>19735</v>
      </c>
      <c r="C10" s="12">
        <v>675753</v>
      </c>
      <c r="D10" s="15">
        <v>197209</v>
      </c>
      <c r="E10" s="15">
        <v>2794335</v>
      </c>
      <c r="F10" s="15">
        <v>1247961</v>
      </c>
      <c r="G10" s="15">
        <v>6072953</v>
      </c>
      <c r="H10" s="15">
        <v>7591595</v>
      </c>
      <c r="I10" s="15">
        <v>249679</v>
      </c>
      <c r="J10" s="15">
        <v>55441</v>
      </c>
      <c r="K10" s="12">
        <v>138302</v>
      </c>
      <c r="L10" s="12">
        <v>967743</v>
      </c>
      <c r="M10" s="12">
        <v>253119</v>
      </c>
      <c r="N10" s="3"/>
      <c r="O10" s="15">
        <v>2391468</v>
      </c>
      <c r="P10" s="12">
        <v>6396625</v>
      </c>
      <c r="Q10" s="12">
        <v>19909</v>
      </c>
      <c r="R10" s="15">
        <v>2338474</v>
      </c>
      <c r="S10" s="15">
        <v>1218741</v>
      </c>
      <c r="T10" s="15">
        <v>801749</v>
      </c>
      <c r="U10" s="15">
        <v>2010082</v>
      </c>
      <c r="V10" s="15">
        <v>4094151</v>
      </c>
    </row>
    <row r="11" spans="1:22" ht="16.5" x14ac:dyDescent="0.35">
      <c r="A11" s="142"/>
      <c r="B11" s="13">
        <v>591580</v>
      </c>
      <c r="C11" s="12">
        <v>121061</v>
      </c>
      <c r="D11" s="15">
        <v>231176</v>
      </c>
      <c r="E11" s="15">
        <v>1724296</v>
      </c>
      <c r="F11" s="15">
        <v>2405053</v>
      </c>
      <c r="G11" s="15">
        <v>6681931</v>
      </c>
      <c r="H11" s="15">
        <v>11965489</v>
      </c>
      <c r="I11" s="15">
        <v>7263</v>
      </c>
      <c r="J11" s="15">
        <v>111176</v>
      </c>
      <c r="K11" s="12">
        <v>226852</v>
      </c>
      <c r="L11" s="12">
        <v>145959</v>
      </c>
      <c r="M11" s="12">
        <v>350984</v>
      </c>
      <c r="N11" s="3"/>
      <c r="O11" s="15">
        <v>2943625</v>
      </c>
      <c r="P11" s="12">
        <v>6349518</v>
      </c>
      <c r="Q11" s="12">
        <v>94642</v>
      </c>
      <c r="R11" s="15">
        <v>2954980</v>
      </c>
      <c r="S11" s="15">
        <v>2549280</v>
      </c>
      <c r="T11" s="15">
        <v>5539311</v>
      </c>
      <c r="U11" s="15">
        <v>2551336</v>
      </c>
      <c r="V11" s="15">
        <v>218141</v>
      </c>
    </row>
    <row r="12" spans="1:22" ht="16.5" x14ac:dyDescent="0.35">
      <c r="A12" s="142"/>
      <c r="B12" s="13">
        <v>216665</v>
      </c>
      <c r="C12" s="12">
        <v>679918</v>
      </c>
      <c r="D12" s="15">
        <v>443898</v>
      </c>
      <c r="E12" s="15">
        <v>5278261</v>
      </c>
      <c r="F12" s="15">
        <v>4450520</v>
      </c>
      <c r="G12" s="15">
        <v>4708326</v>
      </c>
      <c r="H12" s="15">
        <v>2689861</v>
      </c>
      <c r="I12" s="15">
        <v>193105</v>
      </c>
      <c r="J12" s="15">
        <v>86503</v>
      </c>
      <c r="K12" s="12">
        <v>1053398</v>
      </c>
      <c r="L12" s="12">
        <v>312546</v>
      </c>
      <c r="M12" s="12">
        <v>39639</v>
      </c>
      <c r="N12" s="3"/>
      <c r="O12" s="15">
        <v>4977926</v>
      </c>
      <c r="P12" s="12">
        <v>10084312</v>
      </c>
      <c r="Q12" s="12">
        <v>200261</v>
      </c>
      <c r="R12" s="15">
        <v>5696184</v>
      </c>
      <c r="S12" s="15">
        <v>3063102</v>
      </c>
      <c r="T12" s="118">
        <v>912072</v>
      </c>
      <c r="U12" s="15">
        <v>3899819</v>
      </c>
      <c r="V12" s="15">
        <v>1815667</v>
      </c>
    </row>
    <row r="13" spans="1:22" ht="16.5" x14ac:dyDescent="0.35">
      <c r="A13" s="142"/>
      <c r="B13" s="13"/>
      <c r="C13" s="12"/>
      <c r="D13" s="15"/>
      <c r="E13" s="15"/>
      <c r="F13" s="15"/>
      <c r="G13" s="15"/>
      <c r="H13" s="15"/>
      <c r="I13" s="15"/>
      <c r="J13" s="15"/>
      <c r="K13" s="12"/>
      <c r="L13" s="12"/>
      <c r="M13" s="12"/>
      <c r="N13" s="3"/>
      <c r="O13" s="15">
        <v>1257243</v>
      </c>
      <c r="P13" s="12"/>
      <c r="Q13" s="12"/>
      <c r="R13" s="15"/>
      <c r="S13" s="15"/>
      <c r="T13" s="15"/>
      <c r="U13" s="15"/>
      <c r="V13" s="15"/>
    </row>
    <row r="14" spans="1:22" ht="16.5" x14ac:dyDescent="0.35">
      <c r="A14" s="142"/>
      <c r="B14" s="13"/>
      <c r="C14" s="15"/>
      <c r="D14" s="15"/>
      <c r="E14" s="15"/>
      <c r="F14" s="15"/>
      <c r="G14" s="15"/>
      <c r="H14" s="15"/>
      <c r="I14" s="15"/>
      <c r="J14" s="15"/>
      <c r="K14" s="12"/>
      <c r="L14" s="12"/>
      <c r="M14" s="12"/>
      <c r="N14" s="3"/>
      <c r="O14" s="15">
        <v>3667272</v>
      </c>
      <c r="P14" s="12"/>
      <c r="Q14" s="12"/>
      <c r="R14" s="15"/>
      <c r="S14" s="15"/>
      <c r="T14" s="15"/>
      <c r="U14" s="15"/>
      <c r="V14" s="15"/>
    </row>
    <row r="15" spans="1:22" ht="16.5" x14ac:dyDescent="0.35">
      <c r="A15" s="142"/>
      <c r="B15" s="13"/>
      <c r="C15" s="15"/>
      <c r="D15" s="15"/>
      <c r="E15" s="15"/>
      <c r="F15" s="15"/>
      <c r="G15" s="15"/>
      <c r="H15" s="15"/>
      <c r="I15" s="15"/>
      <c r="J15" s="15"/>
      <c r="K15" s="12"/>
      <c r="L15" s="12"/>
      <c r="M15" s="12"/>
      <c r="N15" s="3"/>
      <c r="O15" s="15">
        <v>5268426</v>
      </c>
      <c r="P15" s="12"/>
      <c r="Q15" s="12"/>
      <c r="R15" s="15"/>
      <c r="S15" s="15"/>
      <c r="T15" s="15"/>
      <c r="U15" s="15"/>
      <c r="V15" s="15"/>
    </row>
    <row r="16" spans="1:22" ht="16.5" x14ac:dyDescent="0.35">
      <c r="A16" s="142"/>
      <c r="B16" s="13"/>
      <c r="C16" s="15"/>
      <c r="D16" s="15"/>
      <c r="E16" s="15"/>
      <c r="F16" s="15"/>
      <c r="G16" s="15"/>
      <c r="H16" s="15"/>
      <c r="I16" s="15"/>
      <c r="J16" s="15"/>
      <c r="K16" s="12"/>
      <c r="L16" s="12"/>
      <c r="M16" s="12"/>
      <c r="N16" s="3"/>
      <c r="O16" s="15">
        <v>4578568</v>
      </c>
      <c r="P16" s="12"/>
      <c r="Q16" s="12"/>
      <c r="R16" s="15"/>
      <c r="S16" s="15"/>
      <c r="T16" s="15"/>
      <c r="U16" s="15"/>
      <c r="V16" s="15"/>
    </row>
    <row r="17" spans="1:22" ht="16.5" x14ac:dyDescent="0.35">
      <c r="A17" s="142"/>
      <c r="B17" s="13"/>
      <c r="C17" s="15"/>
      <c r="D17" s="15"/>
      <c r="E17" s="15"/>
      <c r="F17" s="15"/>
      <c r="G17" s="15"/>
      <c r="H17" s="15"/>
      <c r="I17" s="15"/>
      <c r="J17" s="15"/>
      <c r="K17" s="12"/>
      <c r="L17" s="12"/>
      <c r="M17" s="12"/>
      <c r="N17" s="3"/>
      <c r="O17" s="15">
        <v>807062</v>
      </c>
      <c r="P17" s="12"/>
      <c r="Q17" s="12"/>
      <c r="R17" s="15"/>
      <c r="S17" s="15"/>
      <c r="T17" s="15"/>
      <c r="U17" s="15"/>
      <c r="V17" s="15"/>
    </row>
    <row r="18" spans="1:22" ht="16.5" x14ac:dyDescent="0.35">
      <c r="A18" s="142"/>
      <c r="B18" s="13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3"/>
      <c r="O18" s="15">
        <v>5879638</v>
      </c>
      <c r="P18" s="12"/>
      <c r="Q18" s="12"/>
      <c r="R18" s="15"/>
      <c r="S18" s="15"/>
      <c r="T18" s="15"/>
      <c r="U18" s="15"/>
      <c r="V18" s="15"/>
    </row>
    <row r="19" spans="1:22" ht="16.5" x14ac:dyDescent="0.35">
      <c r="A19" s="142"/>
      <c r="B19" s="13"/>
      <c r="C19" s="15"/>
      <c r="D19" s="15"/>
      <c r="E19" s="15"/>
      <c r="F19" s="15"/>
      <c r="G19" s="15"/>
      <c r="H19" s="15"/>
      <c r="I19" s="15"/>
      <c r="J19" s="15"/>
      <c r="K19" s="12"/>
      <c r="L19" s="12"/>
      <c r="M19" s="12"/>
      <c r="N19" s="3"/>
      <c r="O19" s="15">
        <v>2095365</v>
      </c>
      <c r="P19" s="12"/>
      <c r="Q19" s="12"/>
      <c r="R19" s="15"/>
      <c r="S19" s="15"/>
      <c r="T19" s="15"/>
      <c r="U19" s="15"/>
      <c r="V19" s="15"/>
    </row>
    <row r="20" spans="1:22" ht="16.5" x14ac:dyDescent="0.35">
      <c r="A20" s="142"/>
      <c r="B20" s="13"/>
      <c r="C20" s="15"/>
      <c r="D20" s="15"/>
      <c r="E20" s="15"/>
      <c r="F20" s="15"/>
      <c r="G20" s="15"/>
      <c r="H20" s="15"/>
      <c r="I20" s="15"/>
      <c r="J20" s="15"/>
      <c r="K20" s="12"/>
      <c r="L20" s="12"/>
      <c r="M20" s="12"/>
      <c r="N20" s="3"/>
      <c r="O20" s="15">
        <v>4222775</v>
      </c>
      <c r="P20" s="12"/>
      <c r="Q20" s="12"/>
      <c r="R20" s="15"/>
      <c r="S20" s="15"/>
      <c r="T20" s="15"/>
      <c r="U20" s="15"/>
      <c r="V20" s="15"/>
    </row>
    <row r="21" spans="1:22" x14ac:dyDescent="0.35">
      <c r="A21" s="47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35">
      <c r="A22" s="49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Atenolol-0,01mg/L</v>
      </c>
      <c r="J22" s="3" t="str">
        <f t="shared" si="1"/>
        <v>Atenolol-0,1mg/L</v>
      </c>
      <c r="K22" s="3" t="str">
        <f t="shared" si="1"/>
        <v>Atenolol-1mg/L</v>
      </c>
      <c r="L22" s="3" t="str">
        <f t="shared" si="1"/>
        <v>Atenolol-10mg/L</v>
      </c>
      <c r="M22" s="3" t="str">
        <f t="shared" si="1"/>
        <v>Atenolol-100mg/L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Atenolol-0,01mg/L + Testostérone</v>
      </c>
      <c r="S22" s="3" t="str">
        <f t="shared" si="1"/>
        <v>Atenolol-0,1mg/L + Testostérone</v>
      </c>
      <c r="T22" s="3" t="str">
        <f t="shared" si="1"/>
        <v>Atenolol-1mg/L + Testostérone</v>
      </c>
      <c r="U22" s="3" t="str">
        <f t="shared" si="1"/>
        <v>Atenolol-10mg/L + Testostérone</v>
      </c>
      <c r="V22" s="3" t="str">
        <f t="shared" si="1"/>
        <v>Atenolol-100mg/L + Testostérone</v>
      </c>
    </row>
    <row r="23" spans="1:22" x14ac:dyDescent="0.35">
      <c r="A23" s="4" t="s">
        <v>0</v>
      </c>
      <c r="B23" s="4">
        <f t="shared" ref="B23:J23" si="2">AVERAGE(B5:B20)</f>
        <v>206629.25</v>
      </c>
      <c r="C23" s="4">
        <f t="shared" si="2"/>
        <v>350075</v>
      </c>
      <c r="D23" s="4">
        <f t="shared" si="2"/>
        <v>581950.375</v>
      </c>
      <c r="E23" s="4">
        <f t="shared" si="2"/>
        <v>2531617.5</v>
      </c>
      <c r="F23" s="4">
        <f t="shared" si="2"/>
        <v>4595202.625</v>
      </c>
      <c r="G23" s="4">
        <f t="shared" si="2"/>
        <v>5403951.75</v>
      </c>
      <c r="H23" s="4">
        <f t="shared" si="2"/>
        <v>8597869.125</v>
      </c>
      <c r="I23" s="4">
        <f t="shared" si="2"/>
        <v>102016.625</v>
      </c>
      <c r="J23" s="4">
        <f t="shared" si="2"/>
        <v>119916.875</v>
      </c>
      <c r="K23" s="4"/>
      <c r="L23" s="4">
        <f>AVERAGE(L5:L20)</f>
        <v>280766</v>
      </c>
      <c r="M23" s="4"/>
      <c r="N23" s="4" t="s">
        <v>0</v>
      </c>
      <c r="O23" s="4">
        <f t="shared" ref="O23:V23" si="3">AVERAGE(O5:O20)</f>
        <v>3552389.25</v>
      </c>
      <c r="P23" s="4">
        <f t="shared" si="3"/>
        <v>6666161.125</v>
      </c>
      <c r="Q23" s="4">
        <f t="shared" si="3"/>
        <v>147497.625</v>
      </c>
      <c r="R23" s="4">
        <f t="shared" si="3"/>
        <v>3375261.75</v>
      </c>
      <c r="S23" s="4">
        <f t="shared" si="3"/>
        <v>3265413.5</v>
      </c>
      <c r="T23" s="4">
        <f t="shared" si="3"/>
        <v>1974956.25</v>
      </c>
      <c r="U23" s="4">
        <f t="shared" si="3"/>
        <v>1668179.125</v>
      </c>
      <c r="V23" s="4">
        <f t="shared" si="3"/>
        <v>2343947.5</v>
      </c>
    </row>
    <row r="24" spans="1:22" x14ac:dyDescent="0.35">
      <c r="A24" s="3" t="s">
        <v>1</v>
      </c>
      <c r="B24" s="3">
        <f t="shared" ref="B24:J24" si="4">STDEV(B5:B20)</f>
        <v>213036.11600165692</v>
      </c>
      <c r="C24" s="3">
        <f t="shared" si="4"/>
        <v>297129.53866141086</v>
      </c>
      <c r="D24" s="3">
        <f t="shared" si="4"/>
        <v>629817.23752868804</v>
      </c>
      <c r="E24" s="3">
        <f t="shared" si="4"/>
        <v>1292324.7290822181</v>
      </c>
      <c r="F24" s="3">
        <f t="shared" si="4"/>
        <v>2167790.8651529448</v>
      </c>
      <c r="G24" s="3">
        <f t="shared" si="4"/>
        <v>2040059.4865602572</v>
      </c>
      <c r="H24" s="3">
        <f t="shared" si="4"/>
        <v>3113317.1309533888</v>
      </c>
      <c r="I24" s="3">
        <f t="shared" si="4"/>
        <v>94147.815918734181</v>
      </c>
      <c r="J24" s="3">
        <f t="shared" si="4"/>
        <v>84053.052803295446</v>
      </c>
      <c r="K24" s="3"/>
      <c r="L24" s="3">
        <f>STDEV(L5:L20)</f>
        <v>313611.38957770198</v>
      </c>
      <c r="M24" s="3"/>
      <c r="N24" s="3" t="s">
        <v>1</v>
      </c>
      <c r="O24" s="3">
        <f t="shared" ref="O24:V24" si="5">STDEV(O5:O20)</f>
        <v>1820196.7887602521</v>
      </c>
      <c r="P24" s="3">
        <f t="shared" si="5"/>
        <v>2008830.767019351</v>
      </c>
      <c r="Q24" s="3">
        <f t="shared" si="5"/>
        <v>120840.91925448042</v>
      </c>
      <c r="R24" s="3">
        <f t="shared" si="5"/>
        <v>1499542.5370061316</v>
      </c>
      <c r="S24" s="3">
        <f t="shared" si="5"/>
        <v>2487519.8032287387</v>
      </c>
      <c r="T24" s="3">
        <f t="shared" si="5"/>
        <v>1714133.082684468</v>
      </c>
      <c r="U24" s="3">
        <f t="shared" si="5"/>
        <v>1199086.9971934524</v>
      </c>
      <c r="V24" s="3">
        <f t="shared" si="5"/>
        <v>1454575.0186548843</v>
      </c>
    </row>
    <row r="25" spans="1:22" ht="15" thickBot="1" x14ac:dyDescent="0.4"/>
    <row r="26" spans="1:22" ht="15" thickBot="1" x14ac:dyDescent="0.4">
      <c r="B26" s="145" t="s">
        <v>42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O26" s="145" t="s">
        <v>43</v>
      </c>
      <c r="P26" s="146"/>
      <c r="Q26" s="146"/>
      <c r="R26" s="146"/>
      <c r="S26" s="146"/>
      <c r="T26" s="146"/>
      <c r="U26" s="146"/>
      <c r="V26" s="146"/>
    </row>
    <row r="27" spans="1:22" x14ac:dyDescent="0.35">
      <c r="A27" s="17" t="str">
        <f>A4</f>
        <v>Group names</v>
      </c>
      <c r="B27" s="18" t="str">
        <f>B4</f>
        <v>Solvent control</v>
      </c>
      <c r="C27" s="18" t="str">
        <f t="shared" ref="C27:M27" si="6">C4</f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Atenolol-0,01mg/L</v>
      </c>
      <c r="J27" s="18" t="str">
        <f t="shared" si="6"/>
        <v>Atenolol-0,1mg/L</v>
      </c>
      <c r="K27" s="18" t="str">
        <f t="shared" si="6"/>
        <v>Atenolol-1mg/L</v>
      </c>
      <c r="L27" s="18" t="str">
        <f t="shared" si="6"/>
        <v>Atenolol-10mg/L</v>
      </c>
      <c r="M27" s="18" t="str">
        <f t="shared" si="6"/>
        <v>Atenolol-100mg/L</v>
      </c>
      <c r="N27" s="3"/>
      <c r="O27" s="19" t="str">
        <f>O4</f>
        <v>Testo -30µg/L</v>
      </c>
      <c r="P27" s="19" t="str">
        <f t="shared" ref="P27:R27" si="7">P4</f>
        <v>Testo 30µg/L + EE2 -64ng/L</v>
      </c>
      <c r="Q27" s="19" t="str">
        <f t="shared" si="7"/>
        <v>Testo 30µg/L + FAD-10mg/L</v>
      </c>
      <c r="R27" s="19" t="str">
        <f t="shared" si="7"/>
        <v>Atenolol-0,01mg/L + Testostérone</v>
      </c>
      <c r="S27" s="19" t="str">
        <f t="shared" ref="S27:V27" si="8">S4</f>
        <v>Atenolol-0,1mg/L + Testostérone</v>
      </c>
      <c r="T27" s="19" t="str">
        <f t="shared" si="8"/>
        <v>Atenolol-1mg/L + Testostérone</v>
      </c>
      <c r="U27" s="19" t="str">
        <f t="shared" si="8"/>
        <v>Atenolol-10mg/L + Testostérone</v>
      </c>
      <c r="V27" s="19" t="str">
        <f t="shared" si="8"/>
        <v>Atenolol-100mg/L + Testostérone</v>
      </c>
    </row>
    <row r="28" spans="1:22" ht="14.65" customHeight="1" x14ac:dyDescent="0.35">
      <c r="A28" s="143" t="s">
        <v>36</v>
      </c>
      <c r="B28" s="10">
        <f t="shared" ref="B28:M28" si="9">IF(B5="","",(B5/$O$23))</f>
        <v>1.8530626957617327E-2</v>
      </c>
      <c r="C28" s="10">
        <f t="shared" si="9"/>
        <v>5.4183251455340933E-3</v>
      </c>
      <c r="D28" s="10">
        <f t="shared" si="9"/>
        <v>0.58695369602303571</v>
      </c>
      <c r="E28" s="10">
        <f t="shared" si="9"/>
        <v>0.6037480267681814</v>
      </c>
      <c r="F28" s="10">
        <f t="shared" si="9"/>
        <v>1.4914018783273821</v>
      </c>
      <c r="G28" s="10">
        <f t="shared" si="9"/>
        <v>0.93152854800469853</v>
      </c>
      <c r="H28" s="10">
        <f t="shared" si="9"/>
        <v>2.5808706070147016</v>
      </c>
      <c r="I28" s="10">
        <f t="shared" si="9"/>
        <v>1.550252411106131E-2</v>
      </c>
      <c r="J28" s="10">
        <f t="shared" si="9"/>
        <v>8.9010234449955053E-2</v>
      </c>
      <c r="K28" s="10">
        <f t="shared" si="9"/>
        <v>3.0150130647985718E-2</v>
      </c>
      <c r="L28" s="10">
        <f t="shared" si="9"/>
        <v>1.6495940021212484E-4</v>
      </c>
      <c r="M28" s="10">
        <f t="shared" si="9"/>
        <v>0.17940601526141878</v>
      </c>
      <c r="N28" s="5"/>
      <c r="O28" s="10">
        <f t="shared" ref="O28:V37" si="10">IF(O5="","",(O5/$O$23))</f>
        <v>0.64005767385992396</v>
      </c>
      <c r="P28" s="10">
        <f t="shared" si="10"/>
        <v>1.1995599862824717</v>
      </c>
      <c r="Q28" s="10">
        <f t="shared" si="10"/>
        <v>4.0967920393295866E-2</v>
      </c>
      <c r="R28" s="10">
        <f t="shared" si="10"/>
        <v>0.61647889515485954</v>
      </c>
      <c r="S28" s="10">
        <f t="shared" si="10"/>
        <v>0.65958875424476637</v>
      </c>
      <c r="T28" s="10">
        <f t="shared" si="10"/>
        <v>0.51846992837285499</v>
      </c>
      <c r="U28" s="10">
        <f t="shared" si="10"/>
        <v>0.33991151166781625</v>
      </c>
      <c r="V28" s="10">
        <f t="shared" si="10"/>
        <v>1.1208152372378675</v>
      </c>
    </row>
    <row r="29" spans="1:22" x14ac:dyDescent="0.35">
      <c r="A29" s="144"/>
      <c r="B29" s="10">
        <f t="shared" ref="B29:M29" si="11">IF(B6="","",(B6/$O$23))</f>
        <v>7.1590972188647406E-2</v>
      </c>
      <c r="C29" s="10">
        <f t="shared" si="11"/>
        <v>0.20208821429126889</v>
      </c>
      <c r="D29" s="10">
        <f t="shared" si="11"/>
        <v>4.9290769585568363E-2</v>
      </c>
      <c r="E29" s="10">
        <f t="shared" si="11"/>
        <v>0.58541726529546279</v>
      </c>
      <c r="F29" s="10">
        <f t="shared" si="11"/>
        <v>1.6687354855608798</v>
      </c>
      <c r="G29" s="10">
        <f t="shared" si="11"/>
        <v>1.2596032374549044</v>
      </c>
      <c r="H29" s="10">
        <f t="shared" si="11"/>
        <v>2.6621091706096114</v>
      </c>
      <c r="I29" s="10">
        <f t="shared" si="11"/>
        <v>1.2228671168284837E-2</v>
      </c>
      <c r="J29" s="10">
        <f t="shared" si="11"/>
        <v>1.6154761193470001E-2</v>
      </c>
      <c r="K29" s="10">
        <f t="shared" si="11"/>
        <v>2.2376489288160075E-2</v>
      </c>
      <c r="L29" s="10">
        <f t="shared" si="11"/>
        <v>4.6251688212377066E-2</v>
      </c>
      <c r="M29" s="10">
        <f t="shared" si="11"/>
        <v>8.566685083848849E-2</v>
      </c>
      <c r="N29" s="5"/>
      <c r="O29" s="10">
        <f t="shared" si="10"/>
        <v>2.1990960027817898</v>
      </c>
      <c r="P29" s="10">
        <f t="shared" si="10"/>
        <v>2.6152998295442988</v>
      </c>
      <c r="Q29" s="10">
        <f t="shared" si="10"/>
        <v>7.3468863244645841E-3</v>
      </c>
      <c r="R29" s="10">
        <f t="shared" si="10"/>
        <v>0.66701840177002003</v>
      </c>
      <c r="S29" s="10">
        <f t="shared" si="10"/>
        <v>1.6927612873504783</v>
      </c>
      <c r="T29" s="10">
        <f t="shared" si="10"/>
        <v>6.3377063760678819E-3</v>
      </c>
      <c r="U29" s="10">
        <f t="shared" si="10"/>
        <v>0.47616600573825069</v>
      </c>
      <c r="V29" s="10">
        <f t="shared" si="10"/>
        <v>0.9818966207039389</v>
      </c>
    </row>
    <row r="30" spans="1:22" x14ac:dyDescent="0.35">
      <c r="A30" s="144"/>
      <c r="B30" s="10">
        <f t="shared" ref="B30:M30" si="12">IF(B7="","",(B7/$O$23))</f>
        <v>1.2722704866872344E-2</v>
      </c>
      <c r="C30" s="10">
        <f t="shared" si="12"/>
        <v>5.8892194879826304E-2</v>
      </c>
      <c r="D30" s="10">
        <f t="shared" si="12"/>
        <v>0.19034963581201017</v>
      </c>
      <c r="E30" s="10">
        <f t="shared" si="12"/>
        <v>0.9187976796180205</v>
      </c>
      <c r="F30" s="10">
        <f t="shared" si="12"/>
        <v>1.0832585421206304</v>
      </c>
      <c r="G30" s="10">
        <f t="shared" si="12"/>
        <v>2.7217763368696155</v>
      </c>
      <c r="H30" s="10">
        <f t="shared" si="12"/>
        <v>1.7860939647872203</v>
      </c>
      <c r="I30" s="10">
        <f t="shared" si="12"/>
        <v>2.3449006890221842E-4</v>
      </c>
      <c r="J30" s="10">
        <f t="shared" si="12"/>
        <v>2.8420590451905009E-2</v>
      </c>
      <c r="K30" s="10">
        <f t="shared" si="12"/>
        <v>2.697423994287788E-2</v>
      </c>
      <c r="L30" s="10">
        <f t="shared" si="12"/>
        <v>0.12864862711765046</v>
      </c>
      <c r="M30" s="10">
        <f t="shared" si="12"/>
        <v>0.16651131347726042</v>
      </c>
      <c r="N30" s="5"/>
      <c r="O30" s="10">
        <f t="shared" si="10"/>
        <v>0.83230490577573957</v>
      </c>
      <c r="P30" s="10">
        <f t="shared" si="10"/>
        <v>1.6767208154342883</v>
      </c>
      <c r="Q30" s="10">
        <f t="shared" si="10"/>
        <v>3.8251720303454924E-2</v>
      </c>
      <c r="R30" s="10">
        <f t="shared" si="10"/>
        <v>0.78463558012399681</v>
      </c>
      <c r="S30" s="10">
        <f t="shared" si="10"/>
        <v>0.61591279728143533</v>
      </c>
      <c r="T30" s="10">
        <f t="shared" si="10"/>
        <v>0.88382572377168411</v>
      </c>
      <c r="U30" s="10">
        <f t="shared" si="10"/>
        <v>0.40731319069271477</v>
      </c>
      <c r="V30" s="10">
        <f t="shared" si="10"/>
        <v>0.18166308773735873</v>
      </c>
    </row>
    <row r="31" spans="1:22" x14ac:dyDescent="0.35">
      <c r="A31" s="144"/>
      <c r="B31" s="10">
        <f t="shared" ref="B31:M31" si="13">IF(B8="","",(B8/$O$23))</f>
        <v>0.12281734047022015</v>
      </c>
      <c r="C31" s="10">
        <f t="shared" si="13"/>
        <v>8.9872752542531756E-2</v>
      </c>
      <c r="D31" s="10">
        <f t="shared" si="13"/>
        <v>0.12915054283536073</v>
      </c>
      <c r="E31" s="10">
        <f t="shared" si="13"/>
        <v>0.53379398105092224</v>
      </c>
      <c r="F31" s="10">
        <f t="shared" si="13"/>
        <v>2.3291732458654413</v>
      </c>
      <c r="G31" s="10">
        <f t="shared" si="13"/>
        <v>1.200074569530915</v>
      </c>
      <c r="H31" s="10">
        <f t="shared" si="13"/>
        <v>3.4761545345854201</v>
      </c>
      <c r="I31" s="10">
        <f t="shared" si="13"/>
        <v>5.1797814667973112E-2</v>
      </c>
      <c r="J31" s="10">
        <f t="shared" si="13"/>
        <v>3.9715242354142359E-2</v>
      </c>
      <c r="K31" s="10">
        <f t="shared" si="13"/>
        <v>9.0186344303344573E-2</v>
      </c>
      <c r="L31" s="10">
        <f t="shared" si="13"/>
        <v>4.5817051157893238E-2</v>
      </c>
      <c r="M31" s="10">
        <f t="shared" si="13"/>
        <v>5.2970265012484204E-2</v>
      </c>
      <c r="N31" s="5"/>
      <c r="O31" s="10">
        <f t="shared" si="10"/>
        <v>0.76866238687103339</v>
      </c>
      <c r="P31" s="10">
        <f t="shared" si="10"/>
        <v>1.4097908893289213</v>
      </c>
      <c r="Q31" s="10">
        <f t="shared" si="10"/>
        <v>4.344822291081981E-2</v>
      </c>
      <c r="R31" s="10">
        <f t="shared" si="10"/>
        <v>0.79715053748684772</v>
      </c>
      <c r="S31" s="10">
        <f t="shared" si="10"/>
        <v>0.20557572625240886</v>
      </c>
      <c r="T31" s="10">
        <f t="shared" si="10"/>
        <v>0.55753603015210118</v>
      </c>
      <c r="U31" s="10">
        <f t="shared" si="10"/>
        <v>5.4764831866327711E-2</v>
      </c>
      <c r="V31" s="10">
        <f t="shared" si="10"/>
        <v>0.68210627537508739</v>
      </c>
    </row>
    <row r="32" spans="1:22" x14ac:dyDescent="0.35">
      <c r="A32" s="144"/>
      <c r="B32" s="10">
        <f t="shared" ref="B32:M32" si="14">IF(B9="","",(B9/$O$23))</f>
        <v>6.5916199920940536E-3</v>
      </c>
      <c r="C32" s="10">
        <f t="shared" si="14"/>
        <v>1.6398259284226807E-2</v>
      </c>
      <c r="D32" s="10">
        <f t="shared" si="14"/>
        <v>0.10926251958453033</v>
      </c>
      <c r="E32" s="10">
        <f t="shared" si="14"/>
        <v>0.30162770028650437</v>
      </c>
      <c r="F32" s="10">
        <f t="shared" si="14"/>
        <v>1.4947019108336734</v>
      </c>
      <c r="G32" s="10">
        <f t="shared" si="14"/>
        <v>1.1408406328219802</v>
      </c>
      <c r="H32" s="10">
        <f t="shared" si="14"/>
        <v>2.5946897570416869</v>
      </c>
      <c r="I32" s="10">
        <f t="shared" si="14"/>
        <v>2.3289959004351789E-2</v>
      </c>
      <c r="J32" s="10">
        <f t="shared" si="14"/>
        <v>2.5499176364189257E-2</v>
      </c>
      <c r="K32" s="10">
        <f t="shared" si="14"/>
        <v>0.39133493042745809</v>
      </c>
      <c r="L32" s="10">
        <f t="shared" si="14"/>
        <v>9.9144540537048405E-3</v>
      </c>
      <c r="M32" s="10">
        <f t="shared" si="14"/>
        <v>4.8832486473716248E-2</v>
      </c>
      <c r="N32" s="5"/>
      <c r="O32" s="10">
        <f t="shared" si="10"/>
        <v>0.8376959253550269</v>
      </c>
      <c r="P32" s="10">
        <f t="shared" si="10"/>
        <v>1.6840710797669485</v>
      </c>
      <c r="Q32" s="10">
        <f t="shared" si="10"/>
        <v>0.1135309144401898</v>
      </c>
      <c r="R32" s="10">
        <f t="shared" si="10"/>
        <v>1.6422338852646849</v>
      </c>
      <c r="S32" s="10">
        <f t="shared" si="10"/>
        <v>2.2569246880814089</v>
      </c>
      <c r="T32" s="10">
        <f t="shared" si="10"/>
        <v>0.43968126522170958</v>
      </c>
      <c r="U32" s="10">
        <f t="shared" si="10"/>
        <v>9.6748969725094169E-2</v>
      </c>
      <c r="V32" s="10">
        <f t="shared" si="10"/>
        <v>0.58707671182148746</v>
      </c>
    </row>
    <row r="33" spans="1:22" x14ac:dyDescent="0.35">
      <c r="A33" s="144"/>
      <c r="B33" s="10">
        <f t="shared" ref="B33:M33" si="15">IF(B10="","",(B10/$O$23))</f>
        <v>5.5554159781335899E-3</v>
      </c>
      <c r="C33" s="10">
        <f t="shared" si="15"/>
        <v>0.19022493100946075</v>
      </c>
      <c r="D33" s="10">
        <f t="shared" si="15"/>
        <v>5.5514468185039127E-2</v>
      </c>
      <c r="E33" s="10">
        <f t="shared" si="15"/>
        <v>0.78660721090741959</v>
      </c>
      <c r="F33" s="10">
        <f t="shared" si="15"/>
        <v>0.35130187380225858</v>
      </c>
      <c r="G33" s="10">
        <f t="shared" si="15"/>
        <v>1.7095404170587443</v>
      </c>
      <c r="H33" s="10">
        <f t="shared" si="15"/>
        <v>2.1370391772241737</v>
      </c>
      <c r="I33" s="10">
        <f t="shared" si="15"/>
        <v>7.0284809019732289E-2</v>
      </c>
      <c r="J33" s="10">
        <f t="shared" si="15"/>
        <v>1.5606679363754971E-2</v>
      </c>
      <c r="K33" s="10">
        <f t="shared" si="15"/>
        <v>3.8932107454159197E-2</v>
      </c>
      <c r="L33" s="10">
        <f t="shared" si="15"/>
        <v>0.27242031542573775</v>
      </c>
      <c r="M33" s="10">
        <f t="shared" si="15"/>
        <v>7.1253171369100393E-2</v>
      </c>
      <c r="N33" s="5"/>
      <c r="O33" s="10">
        <f t="shared" si="10"/>
        <v>0.67319987526704739</v>
      </c>
      <c r="P33" s="10">
        <f t="shared" si="10"/>
        <v>1.8006543061124285</v>
      </c>
      <c r="Q33" s="10">
        <f t="shared" si="10"/>
        <v>5.6043970969679065E-3</v>
      </c>
      <c r="R33" s="10">
        <f t="shared" si="10"/>
        <v>0.65828202807448533</v>
      </c>
      <c r="S33" s="10">
        <f t="shared" si="10"/>
        <v>0.34307642384628878</v>
      </c>
      <c r="T33" s="10">
        <f t="shared" si="10"/>
        <v>0.22569289105916532</v>
      </c>
      <c r="U33" s="10">
        <f t="shared" si="10"/>
        <v>0.5658394557972497</v>
      </c>
      <c r="V33" s="10">
        <f t="shared" si="10"/>
        <v>1.1525063026243534</v>
      </c>
    </row>
    <row r="34" spans="1:22" x14ac:dyDescent="0.35">
      <c r="A34" s="144"/>
      <c r="B34" s="10">
        <f t="shared" ref="B34:M34" si="16">IF(B11="","",(B11/$O$23))</f>
        <v>0.16653017402301845</v>
      </c>
      <c r="C34" s="10">
        <f t="shared" si="16"/>
        <v>3.407875417931748E-2</v>
      </c>
      <c r="D34" s="10">
        <f t="shared" si="16"/>
        <v>6.5076201883000298E-2</v>
      </c>
      <c r="E34" s="10">
        <f t="shared" si="16"/>
        <v>0.48539050161803071</v>
      </c>
      <c r="F34" s="10">
        <f t="shared" si="16"/>
        <v>0.67702406204500254</v>
      </c>
      <c r="G34" s="10">
        <f t="shared" si="16"/>
        <v>1.8809681399638285</v>
      </c>
      <c r="H34" s="10">
        <f t="shared" si="16"/>
        <v>3.3682933254006442</v>
      </c>
      <c r="I34" s="10">
        <f t="shared" si="16"/>
        <v>2.0445394603082982E-3</v>
      </c>
      <c r="J34" s="10">
        <f t="shared" si="16"/>
        <v>3.1296119928298963E-2</v>
      </c>
      <c r="K34" s="10">
        <f t="shared" si="16"/>
        <v>6.3858992929899216E-2</v>
      </c>
      <c r="L34" s="10">
        <f t="shared" si="16"/>
        <v>4.10875581835521E-2</v>
      </c>
      <c r="M34" s="10">
        <f t="shared" si="16"/>
        <v>9.8802235706574107E-2</v>
      </c>
      <c r="N34" s="5"/>
      <c r="O34" s="10">
        <f t="shared" si="10"/>
        <v>0.82863244786589763</v>
      </c>
      <c r="P34" s="10">
        <f t="shared" si="10"/>
        <v>1.7873936534404276</v>
      </c>
      <c r="Q34" s="10">
        <f t="shared" si="10"/>
        <v>2.6641787636307028E-2</v>
      </c>
      <c r="R34" s="10">
        <f t="shared" si="10"/>
        <v>0.8318288881208612</v>
      </c>
      <c r="S34" s="10">
        <f t="shared" si="10"/>
        <v>0.71762406104567511</v>
      </c>
      <c r="T34" s="10">
        <f t="shared" si="10"/>
        <v>1.5593198296048216</v>
      </c>
      <c r="U34" s="10">
        <f t="shared" si="10"/>
        <v>0.71820282644983235</v>
      </c>
      <c r="V34" s="10">
        <f t="shared" si="10"/>
        <v>6.1406840480670861E-2</v>
      </c>
    </row>
    <row r="35" spans="1:22" x14ac:dyDescent="0.35">
      <c r="A35" s="144"/>
      <c r="B35" s="10">
        <f t="shared" ref="B35:M35" si="17">IF(B12="","",(B12/$O$23))</f>
        <v>6.0991345472628036E-2</v>
      </c>
      <c r="C35" s="10">
        <f t="shared" si="17"/>
        <v>0.19139738135397183</v>
      </c>
      <c r="D35" s="10">
        <f t="shared" si="17"/>
        <v>0.12495759016273343</v>
      </c>
      <c r="E35" s="10">
        <f t="shared" si="17"/>
        <v>1.4858340763191984</v>
      </c>
      <c r="F35" s="10">
        <f t="shared" si="17"/>
        <v>1.2528244195086449</v>
      </c>
      <c r="G35" s="10">
        <f t="shared" si="17"/>
        <v>1.3253969845787592</v>
      </c>
      <c r="H35" s="10">
        <f t="shared" si="17"/>
        <v>0.75719770855629065</v>
      </c>
      <c r="I35" s="10">
        <f t="shared" si="17"/>
        <v>5.4359189382188339E-2</v>
      </c>
      <c r="J35" s="10">
        <f t="shared" si="17"/>
        <v>2.4350653577729413E-2</v>
      </c>
      <c r="K35" s="10">
        <f t="shared" si="17"/>
        <v>0.29653225642432063</v>
      </c>
      <c r="L35" s="10">
        <f t="shared" si="17"/>
        <v>8.7981912455117356E-2</v>
      </c>
      <c r="M35" s="10">
        <f t="shared" si="17"/>
        <v>1.1158405571686717E-2</v>
      </c>
      <c r="N35" s="5"/>
      <c r="O35" s="10">
        <f t="shared" si="10"/>
        <v>1.4012895687036548</v>
      </c>
      <c r="P35" s="10">
        <f t="shared" si="10"/>
        <v>2.8387407151398176</v>
      </c>
      <c r="Q35" s="10">
        <f t="shared" si="10"/>
        <v>5.637360826942036E-2</v>
      </c>
      <c r="R35" s="10">
        <f t="shared" si="10"/>
        <v>1.6034796862421539</v>
      </c>
      <c r="S35" s="10">
        <f t="shared" si="10"/>
        <v>0.86226530496341303</v>
      </c>
      <c r="T35" s="10">
        <f t="shared" si="10"/>
        <v>0.25674889090490294</v>
      </c>
      <c r="U35" s="10">
        <f t="shared" si="10"/>
        <v>1.0978017119041783</v>
      </c>
      <c r="V35" s="10">
        <f t="shared" si="10"/>
        <v>0.51111150052038923</v>
      </c>
    </row>
    <row r="36" spans="1:22" x14ac:dyDescent="0.35">
      <c r="A36" s="144"/>
      <c r="B36" s="10" t="str">
        <f t="shared" ref="B36:M36" si="18">IF(B13="","",(B13/$O$23))</f>
        <v/>
      </c>
      <c r="C36" s="10" t="str">
        <f t="shared" si="18"/>
        <v/>
      </c>
      <c r="D36" s="10" t="str">
        <f t="shared" si="18"/>
        <v/>
      </c>
      <c r="E36" s="10" t="str">
        <f t="shared" si="18"/>
        <v/>
      </c>
      <c r="F36" s="10" t="str">
        <f t="shared" si="18"/>
        <v/>
      </c>
      <c r="G36" s="10" t="str">
        <f t="shared" si="18"/>
        <v/>
      </c>
      <c r="H36" s="10" t="str">
        <f t="shared" si="18"/>
        <v/>
      </c>
      <c r="I36" s="10" t="str">
        <f t="shared" si="18"/>
        <v/>
      </c>
      <c r="J36" s="10" t="str">
        <f t="shared" si="18"/>
        <v/>
      </c>
      <c r="K36" s="10" t="str">
        <f t="shared" si="18"/>
        <v/>
      </c>
      <c r="L36" s="10" t="str">
        <f t="shared" si="18"/>
        <v/>
      </c>
      <c r="M36" s="10" t="str">
        <f t="shared" si="18"/>
        <v/>
      </c>
      <c r="N36" s="5"/>
      <c r="O36" s="10">
        <f t="shared" si="10"/>
        <v>0.3539147631414547</v>
      </c>
      <c r="P36" s="10" t="str">
        <f t="shared" si="10"/>
        <v/>
      </c>
      <c r="Q36" s="10" t="str">
        <f t="shared" si="10"/>
        <v/>
      </c>
      <c r="R36" s="10" t="str">
        <f t="shared" si="10"/>
        <v/>
      </c>
      <c r="S36" s="10" t="str">
        <f t="shared" si="10"/>
        <v/>
      </c>
      <c r="T36" s="10" t="str">
        <f t="shared" si="10"/>
        <v/>
      </c>
      <c r="U36" s="10" t="str">
        <f t="shared" si="10"/>
        <v/>
      </c>
      <c r="V36" s="10" t="str">
        <f t="shared" si="10"/>
        <v/>
      </c>
    </row>
    <row r="37" spans="1:22" x14ac:dyDescent="0.35">
      <c r="A37" s="144"/>
      <c r="B37" s="10" t="str">
        <f t="shared" ref="B37:M37" si="19">IF(B14="","",(B14/$O$23))</f>
        <v/>
      </c>
      <c r="C37" s="10" t="str">
        <f t="shared" si="19"/>
        <v/>
      </c>
      <c r="D37" s="10" t="str">
        <f t="shared" si="19"/>
        <v/>
      </c>
      <c r="E37" s="10" t="str">
        <f t="shared" si="19"/>
        <v/>
      </c>
      <c r="F37" s="10" t="str">
        <f t="shared" si="19"/>
        <v/>
      </c>
      <c r="G37" s="10" t="str">
        <f t="shared" si="19"/>
        <v/>
      </c>
      <c r="H37" s="10" t="str">
        <f t="shared" si="19"/>
        <v/>
      </c>
      <c r="I37" s="10" t="str">
        <f t="shared" si="19"/>
        <v/>
      </c>
      <c r="J37" s="10" t="str">
        <f t="shared" si="19"/>
        <v/>
      </c>
      <c r="K37" s="10" t="str">
        <f t="shared" si="19"/>
        <v/>
      </c>
      <c r="L37" s="10" t="str">
        <f t="shared" si="19"/>
        <v/>
      </c>
      <c r="M37" s="10" t="str">
        <f t="shared" si="19"/>
        <v/>
      </c>
      <c r="N37" s="5"/>
      <c r="O37" s="10">
        <f t="shared" si="10"/>
        <v>1.0323395725848454</v>
      </c>
      <c r="P37" s="10" t="str">
        <f t="shared" si="10"/>
        <v/>
      </c>
      <c r="Q37" s="10" t="str">
        <f t="shared" si="10"/>
        <v/>
      </c>
      <c r="R37" s="10" t="str">
        <f t="shared" si="10"/>
        <v/>
      </c>
      <c r="S37" s="10" t="str">
        <f t="shared" si="10"/>
        <v/>
      </c>
      <c r="T37" s="10" t="str">
        <f t="shared" si="10"/>
        <v/>
      </c>
      <c r="U37" s="10" t="str">
        <f t="shared" si="10"/>
        <v/>
      </c>
      <c r="V37" s="10" t="str">
        <f t="shared" si="10"/>
        <v/>
      </c>
    </row>
    <row r="38" spans="1:22" x14ac:dyDescent="0.35">
      <c r="A38" s="144"/>
      <c r="B38" s="10" t="str">
        <f t="shared" ref="B38:M38" si="20">IF(B15="","",(B15/$O$23))</f>
        <v/>
      </c>
      <c r="C38" s="10" t="str">
        <f t="shared" si="20"/>
        <v/>
      </c>
      <c r="D38" s="10" t="str">
        <f t="shared" si="20"/>
        <v/>
      </c>
      <c r="E38" s="10" t="str">
        <f t="shared" si="20"/>
        <v/>
      </c>
      <c r="F38" s="10" t="str">
        <f t="shared" si="20"/>
        <v/>
      </c>
      <c r="G38" s="10" t="str">
        <f t="shared" si="20"/>
        <v/>
      </c>
      <c r="H38" s="10" t="str">
        <f t="shared" si="20"/>
        <v/>
      </c>
      <c r="I38" s="10" t="str">
        <f t="shared" si="20"/>
        <v/>
      </c>
      <c r="J38" s="10" t="str">
        <f t="shared" si="20"/>
        <v/>
      </c>
      <c r="K38" s="10" t="str">
        <f t="shared" si="20"/>
        <v/>
      </c>
      <c r="L38" s="10" t="str">
        <f t="shared" si="20"/>
        <v/>
      </c>
      <c r="M38" s="10" t="str">
        <f t="shared" si="20"/>
        <v/>
      </c>
      <c r="N38" s="5"/>
      <c r="O38" s="10">
        <f t="shared" ref="O38:V43" si="21">IF(O15="","",(O15/$O$23))</f>
        <v>1.4830655171023277</v>
      </c>
      <c r="P38" s="10" t="str">
        <f t="shared" si="21"/>
        <v/>
      </c>
      <c r="Q38" s="10" t="str">
        <f t="shared" si="21"/>
        <v/>
      </c>
      <c r="R38" s="10" t="str">
        <f t="shared" si="21"/>
        <v/>
      </c>
      <c r="S38" s="10" t="str">
        <f t="shared" si="21"/>
        <v/>
      </c>
      <c r="T38" s="10" t="str">
        <f t="shared" si="21"/>
        <v/>
      </c>
      <c r="U38" s="10" t="str">
        <f t="shared" si="21"/>
        <v/>
      </c>
      <c r="V38" s="10" t="str">
        <f t="shared" si="21"/>
        <v/>
      </c>
    </row>
    <row r="39" spans="1:22" x14ac:dyDescent="0.35">
      <c r="A39" s="144"/>
      <c r="B39" s="10" t="str">
        <f t="shared" ref="B39:M39" si="22">IF(B16="","",(B16/$O$23))</f>
        <v/>
      </c>
      <c r="C39" s="10" t="str">
        <f t="shared" si="22"/>
        <v/>
      </c>
      <c r="D39" s="10" t="str">
        <f t="shared" si="22"/>
        <v/>
      </c>
      <c r="E39" s="10" t="str">
        <f t="shared" si="22"/>
        <v/>
      </c>
      <c r="F39" s="10" t="str">
        <f t="shared" si="22"/>
        <v/>
      </c>
      <c r="G39" s="10" t="str">
        <f t="shared" si="22"/>
        <v/>
      </c>
      <c r="H39" s="10" t="str">
        <f t="shared" si="22"/>
        <v/>
      </c>
      <c r="I39" s="10" t="str">
        <f t="shared" si="22"/>
        <v/>
      </c>
      <c r="J39" s="10" t="str">
        <f t="shared" si="22"/>
        <v/>
      </c>
      <c r="K39" s="10" t="str">
        <f t="shared" si="22"/>
        <v/>
      </c>
      <c r="L39" s="10" t="str">
        <f t="shared" si="22"/>
        <v/>
      </c>
      <c r="M39" s="10" t="str">
        <f t="shared" si="22"/>
        <v/>
      </c>
      <c r="N39" s="5"/>
      <c r="O39" s="10">
        <f t="shared" si="21"/>
        <v>1.2888700189597748</v>
      </c>
      <c r="P39" s="10" t="str">
        <f t="shared" si="21"/>
        <v/>
      </c>
      <c r="Q39" s="10" t="str">
        <f t="shared" si="21"/>
        <v/>
      </c>
      <c r="R39" s="10" t="str">
        <f t="shared" si="21"/>
        <v/>
      </c>
      <c r="S39" s="10" t="str">
        <f t="shared" si="21"/>
        <v/>
      </c>
      <c r="T39" s="10" t="str">
        <f t="shared" si="21"/>
        <v/>
      </c>
      <c r="U39" s="10" t="str">
        <f t="shared" si="21"/>
        <v/>
      </c>
      <c r="V39" s="10" t="str">
        <f t="shared" si="21"/>
        <v/>
      </c>
    </row>
    <row r="40" spans="1:22" x14ac:dyDescent="0.35">
      <c r="A40" s="144"/>
      <c r="B40" s="10" t="str">
        <f t="shared" ref="B40:M40" si="23">IF(B17="","",(B17/$O$23))</f>
        <v/>
      </c>
      <c r="C40" s="10" t="str">
        <f t="shared" si="23"/>
        <v/>
      </c>
      <c r="D40" s="10" t="str">
        <f t="shared" si="23"/>
        <v/>
      </c>
      <c r="E40" s="10" t="str">
        <f t="shared" si="23"/>
        <v/>
      </c>
      <c r="F40" s="10" t="str">
        <f t="shared" si="23"/>
        <v/>
      </c>
      <c r="G40" s="10" t="str">
        <f t="shared" si="23"/>
        <v/>
      </c>
      <c r="H40" s="10" t="str">
        <f t="shared" si="23"/>
        <v/>
      </c>
      <c r="I40" s="10" t="str">
        <f t="shared" si="23"/>
        <v/>
      </c>
      <c r="J40" s="10" t="str">
        <f t="shared" si="23"/>
        <v/>
      </c>
      <c r="K40" s="10" t="str">
        <f t="shared" si="23"/>
        <v/>
      </c>
      <c r="L40" s="10" t="str">
        <f t="shared" si="23"/>
        <v/>
      </c>
      <c r="M40" s="10" t="str">
        <f t="shared" si="23"/>
        <v/>
      </c>
      <c r="N40" s="5"/>
      <c r="O40" s="10">
        <f t="shared" si="21"/>
        <v>0.22718850418770972</v>
      </c>
      <c r="P40" s="10" t="str">
        <f t="shared" si="21"/>
        <v/>
      </c>
      <c r="Q40" s="10" t="str">
        <f t="shared" si="21"/>
        <v/>
      </c>
      <c r="R40" s="10" t="str">
        <f t="shared" si="21"/>
        <v/>
      </c>
      <c r="S40" s="10" t="str">
        <f t="shared" si="21"/>
        <v/>
      </c>
      <c r="T40" s="10" t="str">
        <f t="shared" si="21"/>
        <v/>
      </c>
      <c r="U40" s="10" t="str">
        <f t="shared" si="21"/>
        <v/>
      </c>
      <c r="V40" s="10" t="str">
        <f t="shared" si="21"/>
        <v/>
      </c>
    </row>
    <row r="41" spans="1:22" x14ac:dyDescent="0.35">
      <c r="A41" s="144"/>
      <c r="B41" s="10" t="str">
        <f t="shared" ref="B41:M41" si="24">IF(B18="","",(B18/$O$23))</f>
        <v/>
      </c>
      <c r="C41" s="10" t="str">
        <f t="shared" si="24"/>
        <v/>
      </c>
      <c r="D41" s="10" t="str">
        <f t="shared" si="24"/>
        <v/>
      </c>
      <c r="E41" s="10" t="str">
        <f t="shared" si="24"/>
        <v/>
      </c>
      <c r="F41" s="10" t="str">
        <f t="shared" si="24"/>
        <v/>
      </c>
      <c r="G41" s="10" t="str">
        <f t="shared" si="24"/>
        <v/>
      </c>
      <c r="H41" s="10" t="str">
        <f t="shared" si="24"/>
        <v/>
      </c>
      <c r="I41" s="10" t="str">
        <f t="shared" si="24"/>
        <v/>
      </c>
      <c r="J41" s="10" t="str">
        <f t="shared" si="24"/>
        <v/>
      </c>
      <c r="K41" s="10" t="str">
        <f t="shared" si="24"/>
        <v/>
      </c>
      <c r="L41" s="10" t="str">
        <f t="shared" si="24"/>
        <v/>
      </c>
      <c r="M41" s="10" t="str">
        <f t="shared" si="24"/>
        <v/>
      </c>
      <c r="N41" s="5"/>
      <c r="O41" s="10">
        <f t="shared" si="21"/>
        <v>1.6551221125331352</v>
      </c>
      <c r="P41" s="10" t="str">
        <f t="shared" si="21"/>
        <v/>
      </c>
      <c r="Q41" s="10" t="str">
        <f t="shared" si="21"/>
        <v/>
      </c>
      <c r="R41" s="10" t="str">
        <f t="shared" si="21"/>
        <v/>
      </c>
      <c r="S41" s="10" t="str">
        <f t="shared" si="21"/>
        <v/>
      </c>
      <c r="T41" s="10" t="str">
        <f t="shared" si="21"/>
        <v/>
      </c>
      <c r="U41" s="10" t="str">
        <f t="shared" si="21"/>
        <v/>
      </c>
      <c r="V41" s="10" t="str">
        <f t="shared" si="21"/>
        <v/>
      </c>
    </row>
    <row r="42" spans="1:22" x14ac:dyDescent="0.35">
      <c r="A42" s="144"/>
      <c r="B42" s="10" t="str">
        <f t="shared" ref="B42:M42" si="25">IF(B19="","",(B19/$O$23))</f>
        <v/>
      </c>
      <c r="C42" s="10" t="str">
        <f t="shared" si="25"/>
        <v/>
      </c>
      <c r="D42" s="10" t="str">
        <f t="shared" si="25"/>
        <v/>
      </c>
      <c r="E42" s="10" t="str">
        <f t="shared" si="25"/>
        <v/>
      </c>
      <c r="F42" s="10" t="str">
        <f t="shared" si="25"/>
        <v/>
      </c>
      <c r="G42" s="10" t="str">
        <f t="shared" si="25"/>
        <v/>
      </c>
      <c r="H42" s="10" t="str">
        <f t="shared" si="25"/>
        <v/>
      </c>
      <c r="I42" s="10" t="str">
        <f t="shared" si="25"/>
        <v/>
      </c>
      <c r="J42" s="10" t="str">
        <f t="shared" si="25"/>
        <v/>
      </c>
      <c r="K42" s="10" t="str">
        <f t="shared" si="25"/>
        <v/>
      </c>
      <c r="L42" s="10" t="str">
        <f t="shared" si="25"/>
        <v/>
      </c>
      <c r="M42" s="10" t="str">
        <f t="shared" si="25"/>
        <v/>
      </c>
      <c r="N42" s="5"/>
      <c r="O42" s="10">
        <f t="shared" si="21"/>
        <v>0.58984667854177297</v>
      </c>
      <c r="P42" s="10" t="str">
        <f t="shared" si="21"/>
        <v/>
      </c>
      <c r="Q42" s="10" t="str">
        <f t="shared" si="21"/>
        <v/>
      </c>
      <c r="R42" s="10" t="str">
        <f t="shared" si="21"/>
        <v/>
      </c>
      <c r="S42" s="10" t="str">
        <f t="shared" si="21"/>
        <v/>
      </c>
      <c r="T42" s="10" t="str">
        <f t="shared" si="21"/>
        <v/>
      </c>
      <c r="U42" s="10" t="str">
        <f t="shared" si="21"/>
        <v/>
      </c>
      <c r="V42" s="10" t="str">
        <f t="shared" si="21"/>
        <v/>
      </c>
    </row>
    <row r="43" spans="1:22" x14ac:dyDescent="0.35">
      <c r="A43" s="144"/>
      <c r="B43" s="10" t="str">
        <f t="shared" ref="B43:M43" si="26">IF(B20="","",(B20/$O$23))</f>
        <v/>
      </c>
      <c r="C43" s="10" t="str">
        <f t="shared" si="26"/>
        <v/>
      </c>
      <c r="D43" s="10" t="str">
        <f t="shared" si="26"/>
        <v/>
      </c>
      <c r="E43" s="10" t="str">
        <f t="shared" si="26"/>
        <v/>
      </c>
      <c r="F43" s="10" t="str">
        <f t="shared" si="26"/>
        <v/>
      </c>
      <c r="G43" s="10" t="str">
        <f t="shared" si="26"/>
        <v/>
      </c>
      <c r="H43" s="10" t="str">
        <f t="shared" si="26"/>
        <v/>
      </c>
      <c r="I43" s="10" t="str">
        <f t="shared" si="26"/>
        <v/>
      </c>
      <c r="J43" s="10" t="str">
        <f t="shared" si="26"/>
        <v/>
      </c>
      <c r="K43" s="10" t="str">
        <f t="shared" si="26"/>
        <v/>
      </c>
      <c r="L43" s="10" t="str">
        <f t="shared" si="26"/>
        <v/>
      </c>
      <c r="M43" s="10" t="str">
        <f t="shared" si="26"/>
        <v/>
      </c>
      <c r="N43" s="5"/>
      <c r="O43" s="10">
        <f t="shared" si="21"/>
        <v>1.1887140464688659</v>
      </c>
      <c r="P43" s="10" t="str">
        <f t="shared" si="21"/>
        <v/>
      </c>
      <c r="Q43" s="10" t="str">
        <f t="shared" si="21"/>
        <v/>
      </c>
      <c r="R43" s="10" t="str">
        <f t="shared" si="21"/>
        <v/>
      </c>
      <c r="S43" s="10" t="str">
        <f t="shared" si="21"/>
        <v/>
      </c>
      <c r="T43" s="10" t="str">
        <f t="shared" si="21"/>
        <v/>
      </c>
      <c r="U43" s="10" t="str">
        <f t="shared" si="21"/>
        <v/>
      </c>
      <c r="V43" s="10" t="str">
        <f t="shared" si="21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1" t="str">
        <f t="shared" ref="A45" si="27">A4</f>
        <v>Group names</v>
      </c>
      <c r="B45" s="6" t="str">
        <f t="shared" ref="B45:R45" si="28">B4</f>
        <v>Solvent control</v>
      </c>
      <c r="C45" s="6" t="str">
        <f t="shared" si="28"/>
        <v>EE2-33.8ng/L</v>
      </c>
      <c r="D45" s="6" t="str">
        <f t="shared" si="28"/>
        <v>EE2-50.6ng/L</v>
      </c>
      <c r="E45" s="6" t="str">
        <f t="shared" si="28"/>
        <v>EE2-76ng/L</v>
      </c>
      <c r="F45" s="6" t="str">
        <f t="shared" si="28"/>
        <v>EE2-114ng/L</v>
      </c>
      <c r="G45" s="6" t="str">
        <f t="shared" si="28"/>
        <v>EE2-170.9ng/L</v>
      </c>
      <c r="H45" s="6" t="str">
        <f t="shared" si="28"/>
        <v>EE2-488ng/L</v>
      </c>
      <c r="I45" s="6" t="str">
        <f t="shared" si="28"/>
        <v>Atenolol-0,01mg/L</v>
      </c>
      <c r="J45" s="6" t="str">
        <f t="shared" si="28"/>
        <v>Atenolol-0,1mg/L</v>
      </c>
      <c r="K45" s="6" t="str">
        <f t="shared" ref="K45:M45" si="29">K4</f>
        <v>Atenolol-1mg/L</v>
      </c>
      <c r="L45" s="6" t="str">
        <f t="shared" si="29"/>
        <v>Atenolol-10mg/L</v>
      </c>
      <c r="M45" s="6" t="str">
        <f t="shared" si="29"/>
        <v>Atenolol-100mg/L</v>
      </c>
      <c r="N45" s="6"/>
      <c r="O45" s="6" t="str">
        <f t="shared" si="28"/>
        <v>Testo -30µg/L</v>
      </c>
      <c r="P45" s="6" t="str">
        <f t="shared" si="28"/>
        <v>Testo 30µg/L + EE2 -64ng/L</v>
      </c>
      <c r="Q45" s="6" t="str">
        <f t="shared" si="28"/>
        <v>Testo 30µg/L + FAD-10mg/L</v>
      </c>
      <c r="R45" s="6" t="str">
        <f t="shared" si="28"/>
        <v>Atenolol-0,01mg/L + Testostérone</v>
      </c>
      <c r="S45" s="6" t="str">
        <f t="shared" ref="S45:V45" si="30">S4</f>
        <v>Atenolol-0,1mg/L + Testostérone</v>
      </c>
      <c r="T45" s="6" t="str">
        <f t="shared" si="30"/>
        <v>Atenolol-1mg/L + Testostérone</v>
      </c>
      <c r="U45" s="6" t="str">
        <f t="shared" si="30"/>
        <v>Atenolol-10mg/L + Testostérone</v>
      </c>
      <c r="V45" s="6" t="str">
        <f t="shared" si="30"/>
        <v>Atenolol-100mg/L + Testostérone</v>
      </c>
    </row>
    <row r="46" spans="1:22" x14ac:dyDescent="0.35">
      <c r="A46" s="7" t="s">
        <v>0</v>
      </c>
      <c r="B46" s="9">
        <f t="shared" ref="B46:H46" si="31">AVERAGE(B28:B43)</f>
        <v>5.816627499365392E-2</v>
      </c>
      <c r="C46" s="9">
        <f t="shared" si="31"/>
        <v>9.8546351585767245E-2</v>
      </c>
      <c r="D46" s="9">
        <f t="shared" si="31"/>
        <v>0.16381942800890972</v>
      </c>
      <c r="E46" s="9">
        <f t="shared" si="31"/>
        <v>0.71265205523296749</v>
      </c>
      <c r="F46" s="9">
        <f t="shared" si="31"/>
        <v>1.2935526772579891</v>
      </c>
      <c r="G46" s="9">
        <f t="shared" si="31"/>
        <v>1.5212161082854307</v>
      </c>
      <c r="H46" s="9">
        <f t="shared" si="31"/>
        <v>2.4203060306524686</v>
      </c>
      <c r="I46" s="9">
        <f>AVERAGE(I28:I43)</f>
        <v>2.8717749610350275E-2</v>
      </c>
      <c r="J46" s="8">
        <f>AVERAGE(J28:J43)</f>
        <v>3.3756682210430627E-2</v>
      </c>
      <c r="K46" s="8">
        <f t="shared" ref="K46:M46" si="32">AVERAGE(K28:K43)</f>
        <v>0.12004318642727568</v>
      </c>
      <c r="L46" s="8">
        <f t="shared" si="32"/>
        <v>7.9035820750780611E-2</v>
      </c>
      <c r="M46" s="8">
        <f t="shared" si="32"/>
        <v>8.9325092963841154E-2</v>
      </c>
      <c r="N46" s="7" t="s">
        <v>0</v>
      </c>
      <c r="O46" s="9">
        <f t="shared" ref="O46:R46" si="33">AVERAGE(O28:O43)</f>
        <v>1</v>
      </c>
      <c r="P46" s="9">
        <f t="shared" si="33"/>
        <v>1.8765289093812003</v>
      </c>
      <c r="Q46" s="9">
        <f t="shared" si="33"/>
        <v>4.1520682171865032E-2</v>
      </c>
      <c r="R46" s="9">
        <f t="shared" si="33"/>
        <v>0.95013848777973875</v>
      </c>
      <c r="S46" s="9">
        <f t="shared" ref="S46:V46" si="34">AVERAGE(S28:S43)</f>
        <v>0.91921613038323424</v>
      </c>
      <c r="T46" s="9">
        <f t="shared" si="34"/>
        <v>0.55595153318291335</v>
      </c>
      <c r="U46" s="9">
        <f t="shared" si="34"/>
        <v>0.46959356298018295</v>
      </c>
      <c r="V46" s="9">
        <f t="shared" si="34"/>
        <v>0.6598228220626442</v>
      </c>
    </row>
    <row r="47" spans="1:22" x14ac:dyDescent="0.35">
      <c r="A47" s="7" t="s">
        <v>1</v>
      </c>
      <c r="B47" s="7">
        <f t="shared" ref="B47:J47" si="35">STDEV(B28:B43)</f>
        <v>5.9969812148726917E-2</v>
      </c>
      <c r="C47" s="7">
        <f t="shared" si="35"/>
        <v>8.364216805954211E-2</v>
      </c>
      <c r="D47" s="7">
        <f t="shared" si="35"/>
        <v>0.17729398250168898</v>
      </c>
      <c r="E47" s="7">
        <f t="shared" si="35"/>
        <v>0.36379029383737105</v>
      </c>
      <c r="F47" s="7">
        <f t="shared" si="35"/>
        <v>0.61023460904599502</v>
      </c>
      <c r="G47" s="7">
        <f t="shared" si="35"/>
        <v>0.57427813873726219</v>
      </c>
      <c r="H47" s="7">
        <f t="shared" si="35"/>
        <v>0.87640089862150905</v>
      </c>
      <c r="I47" s="7">
        <f t="shared" si="35"/>
        <v>2.6502674479924795E-2</v>
      </c>
      <c r="J47" s="7">
        <f t="shared" si="35"/>
        <v>2.3660991768651326E-2</v>
      </c>
      <c r="K47" s="7">
        <f t="shared" ref="K47:M47" si="36">STDEV(K28:K43)</f>
        <v>0.14225534283260177</v>
      </c>
      <c r="L47" s="7">
        <f t="shared" si="36"/>
        <v>8.8281820348854498E-2</v>
      </c>
      <c r="M47" s="7">
        <f t="shared" si="36"/>
        <v>5.8031314493455548E-2</v>
      </c>
      <c r="N47" s="7" t="s">
        <v>1</v>
      </c>
      <c r="O47" s="7">
        <f t="shared" ref="O47:R47" si="37">STDEV(O28:O43)</f>
        <v>0.51238663915004612</v>
      </c>
      <c r="P47" s="7">
        <f t="shared" si="37"/>
        <v>0.56548723285866032</v>
      </c>
      <c r="Q47" s="7">
        <f t="shared" si="37"/>
        <v>3.4016801299148296E-2</v>
      </c>
      <c r="R47" s="7">
        <f t="shared" si="37"/>
        <v>0.42212224828856554</v>
      </c>
      <c r="S47" s="7">
        <f t="shared" ref="S47:V47" si="38">STDEV(S28:S43)</f>
        <v>0.70023852347507787</v>
      </c>
      <c r="T47" s="7">
        <f t="shared" si="38"/>
        <v>0.48252963345288491</v>
      </c>
      <c r="U47" s="7">
        <f t="shared" si="38"/>
        <v>0.33754380863342964</v>
      </c>
      <c r="V47" s="7">
        <f t="shared" si="38"/>
        <v>0.40946386116186018</v>
      </c>
    </row>
    <row r="48" spans="1:22" x14ac:dyDescent="0.35">
      <c r="A48" s="7" t="s">
        <v>2</v>
      </c>
      <c r="B48" s="7">
        <f t="shared" ref="B48:J48" si="39" xml:space="preserve"> B47/SQRT(COUNT(B28:B43))</f>
        <v>2.1202530418424102E-2</v>
      </c>
      <c r="C48" s="7">
        <f t="shared" si="39"/>
        <v>2.9571972114023536E-2</v>
      </c>
      <c r="D48" s="7">
        <f t="shared" si="39"/>
        <v>6.2682888645256687E-2</v>
      </c>
      <c r="E48" s="7">
        <f t="shared" si="39"/>
        <v>0.12861929185112586</v>
      </c>
      <c r="F48" s="7">
        <f t="shared" si="39"/>
        <v>0.21575051508557239</v>
      </c>
      <c r="G48" s="7">
        <f t="shared" si="39"/>
        <v>0.2030379830941535</v>
      </c>
      <c r="H48" s="7">
        <f t="shared" si="39"/>
        <v>0.3098545092266265</v>
      </c>
      <c r="I48" s="7">
        <f t="shared" si="39"/>
        <v>9.3701104221672396E-3</v>
      </c>
      <c r="J48" s="7">
        <f t="shared" si="39"/>
        <v>8.3654238646062168E-3</v>
      </c>
      <c r="K48" s="7">
        <f t="shared" ref="K48:M48" si="40" xml:space="preserve"> K47/SQRT(COUNT(K28:K43))</f>
        <v>5.0294858788474915E-2</v>
      </c>
      <c r="L48" s="7">
        <f t="shared" si="40"/>
        <v>3.1212336912083777E-2</v>
      </c>
      <c r="M48" s="7">
        <f t="shared" si="40"/>
        <v>2.0517167999745796E-2</v>
      </c>
      <c r="N48" s="7" t="s">
        <v>2</v>
      </c>
      <c r="O48" s="7">
        <f t="shared" ref="O48:R48" si="41" xml:space="preserve"> O47/SQRT(COUNT(O28:O43))</f>
        <v>0.12809665978751153</v>
      </c>
      <c r="P48" s="7">
        <f t="shared" si="41"/>
        <v>0.19992992851438748</v>
      </c>
      <c r="Q48" s="7">
        <f t="shared" si="41"/>
        <v>1.2026755436451559E-2</v>
      </c>
      <c r="R48" s="7">
        <f t="shared" si="41"/>
        <v>0.14924275212727808</v>
      </c>
      <c r="S48" s="7">
        <f t="shared" ref="S48:V48" si="42" xml:space="preserve"> S47/SQRT(COUNT(S28:S43))</f>
        <v>0.2475717041986415</v>
      </c>
      <c r="T48" s="7">
        <f t="shared" si="42"/>
        <v>0.17059998796899703</v>
      </c>
      <c r="U48" s="7">
        <f t="shared" si="42"/>
        <v>0.1193397580161162</v>
      </c>
      <c r="V48" s="7">
        <f t="shared" si="42"/>
        <v>0.14476733643918915</v>
      </c>
    </row>
    <row r="49" spans="1:22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9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</row>
    <row r="51" spans="1:22" customFormat="1" ht="15" thickBot="1" x14ac:dyDescent="0.4"/>
    <row r="52" spans="1:22" x14ac:dyDescent="0.35">
      <c r="A52" s="27" t="str">
        <f t="shared" ref="A52" si="43">A27</f>
        <v>Group names</v>
      </c>
      <c r="B52" s="28" t="str">
        <f t="shared" ref="B52:H52" si="44">B27</f>
        <v>Solvent control</v>
      </c>
      <c r="C52" s="28" t="str">
        <f t="shared" si="44"/>
        <v>EE2-33.8ng/L</v>
      </c>
      <c r="D52" s="28" t="str">
        <f t="shared" si="44"/>
        <v>EE2-50.6ng/L</v>
      </c>
      <c r="E52" s="28" t="str">
        <f t="shared" si="44"/>
        <v>EE2-76ng/L</v>
      </c>
      <c r="F52" s="28" t="str">
        <f t="shared" si="44"/>
        <v>EE2-114ng/L</v>
      </c>
      <c r="G52" s="28" t="str">
        <f t="shared" si="44"/>
        <v>EE2-170.9ng/L</v>
      </c>
      <c r="H52" s="28" t="str">
        <f t="shared" si="44"/>
        <v>EE2-488ng/L</v>
      </c>
      <c r="I52" s="28" t="str">
        <f>I4</f>
        <v>Atenolol-0,01mg/L</v>
      </c>
      <c r="J52" s="28" t="str">
        <f>J4</f>
        <v>Atenolol-0,1mg/L</v>
      </c>
      <c r="K52" s="28" t="str">
        <f t="shared" ref="K52:M52" si="45">K4</f>
        <v>Atenolol-1mg/L</v>
      </c>
      <c r="L52" s="28" t="str">
        <f t="shared" si="45"/>
        <v>Atenolol-10mg/L</v>
      </c>
      <c r="M52" s="28" t="str">
        <f t="shared" si="45"/>
        <v>Atenolol-100mg/L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Atenolol-0,01mg/L + Testostérone</v>
      </c>
      <c r="S52" s="28" t="str">
        <f t="shared" ref="S52:V52" si="46">S27</f>
        <v>Atenolol-0,1mg/L + Testostérone</v>
      </c>
      <c r="T52" s="28" t="str">
        <f t="shared" si="46"/>
        <v>Atenolol-1mg/L + Testostérone</v>
      </c>
      <c r="U52" s="28" t="str">
        <f t="shared" si="46"/>
        <v>Atenolol-10mg/L + Testostérone</v>
      </c>
      <c r="V52" s="28" t="str">
        <f t="shared" si="46"/>
        <v>Atenolol-100mg/L + Testostérone</v>
      </c>
    </row>
    <row r="53" spans="1:22" s="3" customFormat="1" x14ac:dyDescent="0.35">
      <c r="A53" s="43" t="s">
        <v>10</v>
      </c>
      <c r="B53" s="75">
        <f t="shared" ref="B53" si="47">B46</f>
        <v>5.816627499365392E-2</v>
      </c>
      <c r="C53" s="75">
        <f t="shared" ref="C53:V53" si="48">C46</f>
        <v>9.8546351585767245E-2</v>
      </c>
      <c r="D53" s="75">
        <f t="shared" si="48"/>
        <v>0.16381942800890972</v>
      </c>
      <c r="E53" s="75">
        <f t="shared" si="48"/>
        <v>0.71265205523296749</v>
      </c>
      <c r="F53" s="75">
        <f t="shared" si="48"/>
        <v>1.2935526772579891</v>
      </c>
      <c r="G53" s="75">
        <f t="shared" si="48"/>
        <v>1.5212161082854307</v>
      </c>
      <c r="H53" s="75">
        <f t="shared" si="48"/>
        <v>2.4203060306524686</v>
      </c>
      <c r="I53" s="75">
        <f t="shared" si="48"/>
        <v>2.8717749610350275E-2</v>
      </c>
      <c r="J53" s="75">
        <f t="shared" si="48"/>
        <v>3.3756682210430627E-2</v>
      </c>
      <c r="K53" s="75">
        <f t="shared" si="48"/>
        <v>0.12004318642727568</v>
      </c>
      <c r="L53" s="75">
        <f t="shared" si="48"/>
        <v>7.9035820750780611E-2</v>
      </c>
      <c r="M53" s="75">
        <f t="shared" si="48"/>
        <v>8.9325092963841154E-2</v>
      </c>
      <c r="N53" s="75"/>
      <c r="O53" s="75">
        <f t="shared" si="48"/>
        <v>1</v>
      </c>
      <c r="P53" s="75">
        <f t="shared" si="48"/>
        <v>1.8765289093812003</v>
      </c>
      <c r="Q53" s="75">
        <f t="shared" si="48"/>
        <v>4.1520682171865032E-2</v>
      </c>
      <c r="R53" s="75">
        <f t="shared" si="48"/>
        <v>0.95013848777973875</v>
      </c>
      <c r="S53" s="75">
        <f t="shared" si="48"/>
        <v>0.91921613038323424</v>
      </c>
      <c r="T53" s="75">
        <f t="shared" si="48"/>
        <v>0.55595153318291335</v>
      </c>
      <c r="U53" s="75">
        <f t="shared" si="48"/>
        <v>0.46959356298018295</v>
      </c>
      <c r="V53" s="75">
        <f t="shared" si="48"/>
        <v>0.6598228220626442</v>
      </c>
    </row>
    <row r="54" spans="1:22" s="3" customFormat="1" x14ac:dyDescent="0.35">
      <c r="A54" s="43" t="s">
        <v>2</v>
      </c>
      <c r="B54" s="75">
        <f t="shared" ref="B54" si="49">B48</f>
        <v>2.1202530418424102E-2</v>
      </c>
      <c r="C54" s="75">
        <f t="shared" ref="C54:V54" si="50">C48</f>
        <v>2.9571972114023536E-2</v>
      </c>
      <c r="D54" s="75">
        <f t="shared" si="50"/>
        <v>6.2682888645256687E-2</v>
      </c>
      <c r="E54" s="75">
        <f t="shared" si="50"/>
        <v>0.12861929185112586</v>
      </c>
      <c r="F54" s="75">
        <f t="shared" si="50"/>
        <v>0.21575051508557239</v>
      </c>
      <c r="G54" s="75">
        <f t="shared" si="50"/>
        <v>0.2030379830941535</v>
      </c>
      <c r="H54" s="75">
        <f t="shared" si="50"/>
        <v>0.3098545092266265</v>
      </c>
      <c r="I54" s="75">
        <f t="shared" si="50"/>
        <v>9.3701104221672396E-3</v>
      </c>
      <c r="J54" s="75">
        <f t="shared" si="50"/>
        <v>8.3654238646062168E-3</v>
      </c>
      <c r="K54" s="75">
        <f t="shared" si="50"/>
        <v>5.0294858788474915E-2</v>
      </c>
      <c r="L54" s="75">
        <f t="shared" si="50"/>
        <v>3.1212336912083777E-2</v>
      </c>
      <c r="M54" s="75">
        <f t="shared" si="50"/>
        <v>2.0517167999745796E-2</v>
      </c>
      <c r="N54" s="75"/>
      <c r="O54" s="75">
        <f t="shared" si="50"/>
        <v>0.12809665978751153</v>
      </c>
      <c r="P54" s="75">
        <f t="shared" si="50"/>
        <v>0.19992992851438748</v>
      </c>
      <c r="Q54" s="75">
        <f t="shared" si="50"/>
        <v>1.2026755436451559E-2</v>
      </c>
      <c r="R54" s="75">
        <f t="shared" si="50"/>
        <v>0.14924275212727808</v>
      </c>
      <c r="S54" s="75">
        <f t="shared" si="50"/>
        <v>0.2475717041986415</v>
      </c>
      <c r="T54" s="75">
        <f t="shared" si="50"/>
        <v>0.17059998796899703</v>
      </c>
      <c r="U54" s="75">
        <f t="shared" si="50"/>
        <v>0.1193397580161162</v>
      </c>
      <c r="V54" s="75">
        <f t="shared" si="50"/>
        <v>0.14476733643918915</v>
      </c>
    </row>
    <row r="55" spans="1:22" s="3" customFormat="1" x14ac:dyDescent="0.35">
      <c r="A55" s="43" t="s">
        <v>14</v>
      </c>
      <c r="B55" s="75">
        <f>(B53*100/$B53)-100</f>
        <v>0</v>
      </c>
      <c r="C55" s="75">
        <f t="shared" ref="C55:M55" si="51">(C53*100/$B53)-100</f>
        <v>69.421802576353542</v>
      </c>
      <c r="D55" s="75">
        <f t="shared" si="51"/>
        <v>181.6398815753335</v>
      </c>
      <c r="E55" s="75">
        <f t="shared" si="51"/>
        <v>1125.1980298045894</v>
      </c>
      <c r="F55" s="75">
        <f t="shared" si="51"/>
        <v>2123.8877724233139</v>
      </c>
      <c r="G55" s="75">
        <f t="shared" si="51"/>
        <v>2515.2888567325294</v>
      </c>
      <c r="H55" s="75">
        <f t="shared" si="51"/>
        <v>4061.0125986519333</v>
      </c>
      <c r="I55" s="75">
        <f t="shared" si="51"/>
        <v>-50.628178246787421</v>
      </c>
      <c r="J55" s="75">
        <f t="shared" si="51"/>
        <v>-41.965198537961108</v>
      </c>
      <c r="K55" s="75">
        <f t="shared" si="51"/>
        <v>106.37936061811192</v>
      </c>
      <c r="L55" s="75">
        <f t="shared" si="51"/>
        <v>35.879116823973362</v>
      </c>
      <c r="M55" s="75">
        <f t="shared" si="51"/>
        <v>53.568529140961374</v>
      </c>
      <c r="N55" s="75"/>
      <c r="O55" s="75">
        <f t="shared" ref="O55:V55" si="52">(O53*100/$O53)-100</f>
        <v>0</v>
      </c>
      <c r="P55" s="75">
        <f t="shared" si="52"/>
        <v>87.652890938120038</v>
      </c>
      <c r="Q55" s="75">
        <f t="shared" si="52"/>
        <v>-95.847931782813504</v>
      </c>
      <c r="R55" s="75">
        <f t="shared" si="52"/>
        <v>-4.9861512220261233</v>
      </c>
      <c r="S55" s="75">
        <f t="shared" si="52"/>
        <v>-8.0783869616765713</v>
      </c>
      <c r="T55" s="75">
        <f t="shared" si="52"/>
        <v>-44.404846681708662</v>
      </c>
      <c r="U55" s="75">
        <f t="shared" si="52"/>
        <v>-53.040643701981708</v>
      </c>
      <c r="V55" s="75">
        <f t="shared" si="52"/>
        <v>-34.017717793735585</v>
      </c>
    </row>
    <row r="56" spans="1:22" s="3" customFormat="1" x14ac:dyDescent="0.35">
      <c r="A56" s="43" t="s">
        <v>38</v>
      </c>
      <c r="B56" s="75">
        <f>[1]!SWTEST(B28:B43)</f>
        <v>0.11163356103100797</v>
      </c>
      <c r="C56" s="75">
        <f>[1]!SWTEST(C28:C43)</f>
        <v>8.5049930433917509E-2</v>
      </c>
      <c r="D56" s="75">
        <f>[1]!SWTEST(D28:D43)</f>
        <v>7.1928805688925568E-4</v>
      </c>
      <c r="E56" s="75">
        <f>[1]!SWTEST(E28:E43)</f>
        <v>0.15848241901709237</v>
      </c>
      <c r="F56" s="75">
        <f>[1]!SWTEST(F28:F43)</f>
        <v>0.94717096552925084</v>
      </c>
      <c r="G56" s="75">
        <f>[1]!SWTEST(G28:G43)</f>
        <v>0.12421468970372729</v>
      </c>
      <c r="H56" s="75">
        <f>[1]!SWTEST(H28:H43)</f>
        <v>0.53291146813748724</v>
      </c>
      <c r="I56" s="75">
        <f>[1]!SWTEST(I28:I43)</f>
        <v>0.25508301191398663</v>
      </c>
      <c r="J56" s="75">
        <f>[1]!SWTEST(J28:J43)</f>
        <v>4.1398509211432177E-3</v>
      </c>
      <c r="K56" s="75">
        <f>[1]!SWTEST(K28:K43)</f>
        <v>4.2828709982500879E-3</v>
      </c>
      <c r="L56" s="75">
        <f>[1]!SWTEST(L28:L43)</f>
        <v>3.877759304361017E-2</v>
      </c>
      <c r="M56" s="75">
        <f>[1]!SWTEST(M28:M43)</f>
        <v>0.4931535942479448</v>
      </c>
      <c r="N56" s="75"/>
      <c r="O56" s="75">
        <f>[1]!SWTEST(O28:O43)</f>
        <v>0.61097979489751153</v>
      </c>
      <c r="P56" s="75">
        <f>[1]!SWTEST(P28:P43)</f>
        <v>0.17401465676497863</v>
      </c>
      <c r="Q56" s="75">
        <f>[1]!SWTEST(Q28:Q43)</f>
        <v>0.14789777518475722</v>
      </c>
      <c r="R56" s="75">
        <f>[1]!SWTEST(R28:R43)</f>
        <v>4.0163073287128315E-3</v>
      </c>
      <c r="S56" s="75">
        <f>[1]!SWTEST(S28:S43)</f>
        <v>0.11061001427930495</v>
      </c>
      <c r="T56" s="75">
        <f>[1]!SWTEST(T28:T43)</f>
        <v>0.23811087248033147</v>
      </c>
      <c r="U56" s="75">
        <f>[1]!SWTEST(U28:U43)</f>
        <v>0.72609044868994232</v>
      </c>
      <c r="V56" s="75">
        <f>[1]!SWTEST(V28:V43)</f>
        <v>0.521111979759322</v>
      </c>
    </row>
    <row r="57" spans="1:22" s="3" customFormat="1" x14ac:dyDescent="0.35">
      <c r="A57" s="43" t="s">
        <v>39</v>
      </c>
      <c r="B57" s="75" t="str">
        <f>IF(B56&gt;0.05,"Oui","Non")</f>
        <v>Oui</v>
      </c>
      <c r="C57" s="75" t="str">
        <f t="shared" ref="C57:V57" si="53">IF(C56&gt;0.05,"Oui","Non")</f>
        <v>Oui</v>
      </c>
      <c r="D57" s="75" t="str">
        <f t="shared" si="53"/>
        <v>Non</v>
      </c>
      <c r="E57" s="75" t="str">
        <f t="shared" si="53"/>
        <v>Oui</v>
      </c>
      <c r="F57" s="75" t="str">
        <f t="shared" si="53"/>
        <v>Oui</v>
      </c>
      <c r="G57" s="75" t="str">
        <f t="shared" si="53"/>
        <v>Oui</v>
      </c>
      <c r="H57" s="75" t="str">
        <f t="shared" si="53"/>
        <v>Oui</v>
      </c>
      <c r="I57" s="75" t="str">
        <f t="shared" si="53"/>
        <v>Oui</v>
      </c>
      <c r="J57" s="75" t="str">
        <f t="shared" si="53"/>
        <v>Non</v>
      </c>
      <c r="K57" s="75" t="str">
        <f t="shared" si="53"/>
        <v>Non</v>
      </c>
      <c r="L57" s="75" t="str">
        <f t="shared" si="53"/>
        <v>Non</v>
      </c>
      <c r="M57" s="75" t="str">
        <f t="shared" si="53"/>
        <v>Oui</v>
      </c>
      <c r="N57" s="75"/>
      <c r="O57" s="75" t="str">
        <f t="shared" si="53"/>
        <v>Oui</v>
      </c>
      <c r="P57" s="75" t="str">
        <f t="shared" si="53"/>
        <v>Oui</v>
      </c>
      <c r="Q57" s="75" t="str">
        <f t="shared" si="53"/>
        <v>Oui</v>
      </c>
      <c r="R57" s="75" t="str">
        <f t="shared" si="53"/>
        <v>Non</v>
      </c>
      <c r="S57" s="75" t="str">
        <f t="shared" si="53"/>
        <v>Oui</v>
      </c>
      <c r="T57" s="75" t="str">
        <f t="shared" si="53"/>
        <v>Oui</v>
      </c>
      <c r="U57" s="75" t="str">
        <f t="shared" si="53"/>
        <v>Oui</v>
      </c>
      <c r="V57" s="75" t="str">
        <f t="shared" si="53"/>
        <v>Oui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str">
        <f t="shared" ref="C59:O59" si="54">IF($B57="Non",IF(C57="Non","MW",IF(C57="Oui","MW","")),IF($B57="Oui",IF(C57="Oui","T-Test Welch",IF(C57="Non","MW",""))))</f>
        <v>T-Test Welch</v>
      </c>
      <c r="D59" s="79" t="str">
        <f t="shared" si="54"/>
        <v>MW</v>
      </c>
      <c r="E59" s="79" t="str">
        <f t="shared" si="54"/>
        <v>T-Test Welch</v>
      </c>
      <c r="F59" s="79" t="str">
        <f t="shared" si="54"/>
        <v>T-Test Welch</v>
      </c>
      <c r="G59" s="79" t="str">
        <f t="shared" si="54"/>
        <v>T-Test Welch</v>
      </c>
      <c r="H59" s="79" t="str">
        <f t="shared" si="54"/>
        <v>T-Test Welch</v>
      </c>
      <c r="I59" s="79" t="str">
        <f t="shared" si="54"/>
        <v>T-Test Welch</v>
      </c>
      <c r="J59" s="79" t="str">
        <f t="shared" si="54"/>
        <v>MW</v>
      </c>
      <c r="K59" s="79" t="str">
        <f t="shared" si="54"/>
        <v>MW</v>
      </c>
      <c r="L59" s="79" t="str">
        <f t="shared" si="54"/>
        <v>MW</v>
      </c>
      <c r="M59" s="79" t="str">
        <f t="shared" si="54"/>
        <v>T-Test Welch</v>
      </c>
      <c r="N59" s="79"/>
      <c r="O59" s="79" t="str">
        <f t="shared" si="54"/>
        <v>T-Test Welch</v>
      </c>
      <c r="P59" s="79" t="str">
        <f t="shared" ref="P59:V59" si="55">IF($O57="Non",IF(P57="Non","MW",IF(P57="Oui","MW","")),IF($O57="Oui",IF(P57="Oui","T-Test Welch",IF(P57="Non","MW",""))))</f>
        <v>T-Test Welch</v>
      </c>
      <c r="Q59" s="79" t="str">
        <f t="shared" si="55"/>
        <v>T-Test Welch</v>
      </c>
      <c r="R59" s="79" t="str">
        <f t="shared" si="55"/>
        <v>MW</v>
      </c>
      <c r="S59" s="79" t="str">
        <f t="shared" si="55"/>
        <v>T-Test Welch</v>
      </c>
      <c r="T59" s="79" t="str">
        <f t="shared" si="55"/>
        <v>T-Test Welch</v>
      </c>
      <c r="U59" s="79" t="str">
        <f t="shared" si="55"/>
        <v>T-Test Welch</v>
      </c>
      <c r="V59" s="79" t="str">
        <f t="shared" si="55"/>
        <v>T-Test Welch</v>
      </c>
    </row>
    <row r="60" spans="1:22" s="3" customFormat="1" x14ac:dyDescent="0.35">
      <c r="A60" s="43" t="s">
        <v>41</v>
      </c>
      <c r="B60" s="80"/>
      <c r="C60" s="80">
        <f>IF(C59="MW",[1]!MTEST($B28:$B43,C28:C43,2), IF(C59="T-Test Welch",_xlfn.T.TEST($B28:$B43,C28:C43,2,3),""))</f>
        <v>0.28770060114372931</v>
      </c>
      <c r="D60" s="80">
        <f>IF(D59="MW",[1]!MTEST($B28:$B43,D28:D43,2), IF(D59="T-Test Welch",_xlfn.T.TEST($B28:$B43,D28:D43,2,3),""))</f>
        <v>7.4203411329755165E-2</v>
      </c>
      <c r="E60" s="80">
        <f>IF(E59="MW",[1]!MTEST($B28:$B43,E28:E43,2), IF(E59="T-Test Welch",_xlfn.T.TEST($B28:$B43,E28:E43,2,3),""))</f>
        <v>1.3064928011035095E-3</v>
      </c>
      <c r="F60" s="80">
        <f>IF(F59="MW",[1]!MTEST($B28:$B43,F28:F43,2), IF(F59="T-Test Welch",_xlfn.T.TEST($B28:$B43,F28:F43,2,3),""))</f>
        <v>6.8793985897743284E-4</v>
      </c>
      <c r="G60" s="80">
        <f>IF(G59="MW",[1]!MTEST($B28:$B43,G28:G43,2), IF(G59="T-Test Welch",_xlfn.T.TEST($B28:$B43,G28:G43,2,3),""))</f>
        <v>1.6480462416694169E-4</v>
      </c>
      <c r="H60" s="80">
        <f>IF(H59="MW",[1]!MTEST($B28:$B43,H28:H43,2), IF(H59="T-Test Welch",_xlfn.T.TEST($B28:$B43,H28:H43,2,3),""))</f>
        <v>1.1986928024102784E-4</v>
      </c>
      <c r="I60" s="80">
        <f>IF(I59="MW",[1]!MTEST($B28:$B43,I28:I43,2), IF(I59="T-Test Welch",_xlfn.T.TEST($B28:$B43,I28:I43,2,3),""))</f>
        <v>0.23376834998036444</v>
      </c>
      <c r="J60" s="80">
        <f>IF(J59="MW",[1]!MTEST($B28:$B43,J28:J43,2), IF(J59="T-Test Welch",_xlfn.T.TEST($B28:$B43,J28:J43,2,3),""))</f>
        <v>1</v>
      </c>
      <c r="K60" s="80">
        <f>IF(K59="MW",[1]!MTEST($B28:$B43,K28:K43,2), IF(K59="T-Test Welch",_xlfn.T.TEST($B28:$B43,K28:K43,2,3),""))</f>
        <v>0.24799581483148536</v>
      </c>
      <c r="L60" s="80">
        <f>IF(L59="MW",[1]!MTEST($B28:$B43,L28:L43,2), IF(L59="T-Test Welch",_xlfn.T.TEST($B28:$B43,L28:L43,2,3),""))</f>
        <v>0.75271380626305229</v>
      </c>
      <c r="M60" s="80">
        <f>IF(M59="MW",[1]!MTEST($B28:$B43,M28:M43,2), IF(M59="T-Test Welch",_xlfn.T.TEST($B28:$B43,M28:M43,2,3),""))</f>
        <v>0.30883548977130265</v>
      </c>
      <c r="N60" s="80"/>
      <c r="O60" s="80">
        <f>IF(O59="MW",[1]!MTEST($B28:$B43,O28:O43,2), IF(O59="T-Test Welch",_xlfn.T.TEST($B28:$B43,O28:O43,2,3),""))</f>
        <v>2.0700704814595262E-6</v>
      </c>
      <c r="P60" s="80">
        <f>IF(P59="MW",[1]!MTEST($O28:$O43,P28:P43,2), IF(P59="T-Test Welch",_xlfn.T.TEST($O28:$O43,P28:P43,2,3),""))</f>
        <v>2.7432281628483909E-3</v>
      </c>
      <c r="Q60" s="80">
        <f>IF(Q59="MW",[1]!MTEST($O28:$O43,Q28:Q43,2), IF(Q59="T-Test Welch",_xlfn.T.TEST($O28:$O43,Q28:Q43,2,3),""))</f>
        <v>1.8420644457850342E-6</v>
      </c>
      <c r="R60" s="80">
        <f>IF(R59="MW",[1]!MTEST($O28:$O43,R28:R43,2), IF(R59="T-Test Welch",_xlfn.T.TEST($O28:$O43,R28:R43,2,3),""))</f>
        <v>0.71330317387845765</v>
      </c>
      <c r="S60" s="80">
        <f>IF(S59="MW",[1]!MTEST($O28:$O43,S28:S43,2), IF(S59="T-Test Welch",_xlfn.T.TEST($O28:$O43,S28:S43,2,3),""))</f>
        <v>0.77740760763004935</v>
      </c>
      <c r="T60" s="80">
        <f>IF(T59="MW",[1]!MTEST($O28:$O43,T28:T43,2), IF(T59="T-Test Welch",_xlfn.T.TEST($O28:$O43,T28:T43,2,3),""))</f>
        <v>5.5051619112236237E-2</v>
      </c>
      <c r="U60" s="80">
        <f>IF(U59="MW",[1]!MTEST($O28:$O43,U28:U43,2), IF(U59="T-Test Welch",_xlfn.T.TEST($O28:$O43,U28:U43,2,3),""))</f>
        <v>6.6137727488521977E-3</v>
      </c>
      <c r="V60" s="80">
        <f>IF(V59="MW",[1]!MTEST($O28:$O43,V28:V43,2), IF(V59="T-Test Welch",_xlfn.T.TEST($O28:$O43,V28:V43,2,3),""))</f>
        <v>9.6107754494704767E-2</v>
      </c>
    </row>
    <row r="61" spans="1:22" s="3" customFormat="1" ht="15" thickBot="1" x14ac:dyDescent="0.4">
      <c r="A61" s="44" t="s">
        <v>15</v>
      </c>
      <c r="B61" s="76"/>
      <c r="C61" s="76" t="str">
        <f t="shared" ref="C61:O61" si="56">IF(C60&gt;0.05,"NS",IF(C60&gt;0.01,"*",IF(C60&gt;0.001,"**","***")))</f>
        <v>NS</v>
      </c>
      <c r="D61" s="76" t="str">
        <f t="shared" si="56"/>
        <v>NS</v>
      </c>
      <c r="E61" s="76" t="str">
        <f t="shared" si="56"/>
        <v>**</v>
      </c>
      <c r="F61" s="76" t="str">
        <f t="shared" si="56"/>
        <v>***</v>
      </c>
      <c r="G61" s="76" t="str">
        <f t="shared" si="56"/>
        <v>***</v>
      </c>
      <c r="H61" s="76" t="str">
        <f t="shared" si="56"/>
        <v>***</v>
      </c>
      <c r="I61" s="76" t="str">
        <f t="shared" si="56"/>
        <v>NS</v>
      </c>
      <c r="J61" s="76" t="str">
        <f t="shared" si="56"/>
        <v>NS</v>
      </c>
      <c r="K61" s="76" t="str">
        <f t="shared" si="56"/>
        <v>NS</v>
      </c>
      <c r="L61" s="76" t="str">
        <f t="shared" si="56"/>
        <v>NS</v>
      </c>
      <c r="M61" s="76" t="str">
        <f t="shared" si="56"/>
        <v>NS</v>
      </c>
      <c r="N61" s="76"/>
      <c r="O61" s="76" t="str">
        <f t="shared" si="56"/>
        <v>***</v>
      </c>
      <c r="P61" s="76" t="str">
        <f>IF(P60&gt;0.05,"NS",IF(P60&gt;0.01,"*",IF(P60&gt;0.001,"**","***")))</f>
        <v>**</v>
      </c>
      <c r="Q61" s="76" t="str">
        <f t="shared" ref="Q61:V61" si="57">IF(Q60&gt;0.05,"NS",IF(Q60&gt;0.01,"*",IF(Q60&gt;0.001,"**","***")))</f>
        <v>***</v>
      </c>
      <c r="R61" s="76" t="str">
        <f t="shared" si="57"/>
        <v>NS</v>
      </c>
      <c r="S61" s="76" t="str">
        <f t="shared" si="57"/>
        <v>NS</v>
      </c>
      <c r="T61" s="76" t="str">
        <f t="shared" si="57"/>
        <v>NS</v>
      </c>
      <c r="U61" s="76" t="str">
        <f t="shared" si="57"/>
        <v>**</v>
      </c>
      <c r="V61" s="76" t="str">
        <f t="shared" si="57"/>
        <v>NS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9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2_1"/>
    <protectedRange sqref="R12:V20 R5:V7" name="Plage1_3"/>
    <protectedRange sqref="O5:O20 B13:J20 I5:J12" name="Plage1_1_2"/>
    <protectedRange sqref="B5:H12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M1" zoomScale="70" zoomScaleNormal="70" zoomScaleSheetLayoutView="40" zoomScalePageLayoutView="30" workbookViewId="0">
      <selection activeCell="B5" sqref="B5:V20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2" ht="15" thickBot="1" x14ac:dyDescent="0.4"/>
    <row r="3" spans="1:22" ht="15" thickBot="1" x14ac:dyDescent="0.4">
      <c r="A3" s="81" t="s">
        <v>9</v>
      </c>
      <c r="B3" s="145" t="s">
        <v>42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O3" s="145" t="s">
        <v>43</v>
      </c>
      <c r="P3" s="146"/>
      <c r="Q3" s="146"/>
      <c r="R3" s="146"/>
      <c r="S3" s="146"/>
      <c r="T3" s="146"/>
      <c r="U3" s="146"/>
      <c r="V3" s="146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Atenolol-0,01mg/L</v>
      </c>
      <c r="J4" s="18" t="str">
        <f>'Front page'!A15</f>
        <v>Atenolol-0,1mg/L</v>
      </c>
      <c r="K4" s="18" t="str">
        <f>'Front page'!A16</f>
        <v>Atenolol-1mg/L</v>
      </c>
      <c r="L4" s="18" t="str">
        <f>'Front page'!A17</f>
        <v>Atenolol-10mg/L</v>
      </c>
      <c r="M4" s="18" t="str">
        <f>'Front page'!A18</f>
        <v>Atenolol-100mg/L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Atenolol-0,01mg/L + Testostérone</v>
      </c>
      <c r="S4" s="19" t="str">
        <f>'Front page'!A39</f>
        <v>Atenolol-0,1mg/L + Testostérone</v>
      </c>
      <c r="T4" s="19" t="str">
        <f>'Front page'!A40</f>
        <v>Atenolol-1mg/L + Testostérone</v>
      </c>
      <c r="U4" s="19" t="str">
        <f>'Front page'!A41</f>
        <v>Atenolol-10mg/L + Testostérone</v>
      </c>
      <c r="V4" s="19" t="str">
        <f>'Front page'!A42</f>
        <v>Atenolol-100mg/L + Testostérone</v>
      </c>
    </row>
    <row r="5" spans="1:22" x14ac:dyDescent="0.35">
      <c r="A5" s="141" t="s">
        <v>35</v>
      </c>
      <c r="B5" s="15">
        <v>35625</v>
      </c>
      <c r="C5" s="15">
        <v>66322</v>
      </c>
      <c r="D5" s="15">
        <v>28467</v>
      </c>
      <c r="E5" s="15">
        <v>684605</v>
      </c>
      <c r="F5" s="15">
        <v>3074598</v>
      </c>
      <c r="G5" s="15">
        <v>3012437</v>
      </c>
      <c r="H5" s="15">
        <v>8705623</v>
      </c>
      <c r="I5" s="15">
        <v>14762</v>
      </c>
      <c r="J5" s="15">
        <v>35671</v>
      </c>
      <c r="K5" s="12">
        <v>2534</v>
      </c>
      <c r="L5" s="12">
        <v>93475</v>
      </c>
      <c r="M5" s="12">
        <v>14748</v>
      </c>
      <c r="N5" s="3"/>
      <c r="O5" s="15">
        <v>952423</v>
      </c>
      <c r="P5" s="12">
        <v>2967478</v>
      </c>
      <c r="Q5" s="12">
        <v>7999</v>
      </c>
      <c r="R5" s="15">
        <v>911168</v>
      </c>
      <c r="S5" s="15">
        <v>1391790</v>
      </c>
      <c r="T5" s="15">
        <v>871573</v>
      </c>
      <c r="U5" s="15">
        <v>10620</v>
      </c>
      <c r="V5" s="15">
        <v>1351455</v>
      </c>
    </row>
    <row r="6" spans="1:22" ht="16.5" x14ac:dyDescent="0.35">
      <c r="A6" s="142"/>
      <c r="B6" s="13">
        <v>304</v>
      </c>
      <c r="C6" s="12">
        <v>142680</v>
      </c>
      <c r="D6" s="15">
        <v>880968</v>
      </c>
      <c r="E6" s="15">
        <v>281853</v>
      </c>
      <c r="F6" s="15">
        <v>2888673</v>
      </c>
      <c r="G6" s="15">
        <v>5190965</v>
      </c>
      <c r="H6" s="15">
        <v>8464174</v>
      </c>
      <c r="I6" s="15">
        <v>89216</v>
      </c>
      <c r="J6" s="15">
        <v>10567</v>
      </c>
      <c r="K6" s="12">
        <v>44595</v>
      </c>
      <c r="L6" s="12">
        <v>144100</v>
      </c>
      <c r="M6" s="12">
        <v>54233</v>
      </c>
      <c r="N6" s="3"/>
      <c r="O6" s="15">
        <v>5969</v>
      </c>
      <c r="P6" s="12">
        <v>1424879</v>
      </c>
      <c r="Q6" s="12">
        <v>21510</v>
      </c>
      <c r="R6" s="15">
        <v>564590</v>
      </c>
      <c r="S6" s="15">
        <v>38150</v>
      </c>
      <c r="T6" s="15">
        <v>579</v>
      </c>
      <c r="U6" s="15">
        <v>182229</v>
      </c>
      <c r="V6" s="15">
        <v>2244118</v>
      </c>
    </row>
    <row r="7" spans="1:22" ht="16.5" x14ac:dyDescent="0.35">
      <c r="A7" s="142"/>
      <c r="B7" s="13">
        <v>70</v>
      </c>
      <c r="C7" s="12">
        <v>60851</v>
      </c>
      <c r="D7" s="15">
        <v>473984</v>
      </c>
      <c r="E7" s="15">
        <v>1887514</v>
      </c>
      <c r="F7" s="15">
        <v>1409181</v>
      </c>
      <c r="G7" s="15">
        <v>3461093</v>
      </c>
      <c r="H7" s="15">
        <v>5627648</v>
      </c>
      <c r="I7" s="15">
        <v>822</v>
      </c>
      <c r="J7" s="15">
        <v>115296</v>
      </c>
      <c r="K7" s="12">
        <v>59580</v>
      </c>
      <c r="L7" s="12">
        <v>96055</v>
      </c>
      <c r="M7" s="12">
        <v>39203</v>
      </c>
      <c r="N7" s="3"/>
      <c r="O7" s="15">
        <v>1620803</v>
      </c>
      <c r="P7" s="12">
        <v>860644</v>
      </c>
      <c r="Q7" s="12">
        <v>26939</v>
      </c>
      <c r="R7" s="15">
        <v>8548</v>
      </c>
      <c r="S7" s="15">
        <v>128702</v>
      </c>
      <c r="T7" s="15">
        <v>129993</v>
      </c>
      <c r="U7" s="15">
        <v>835809</v>
      </c>
      <c r="V7" s="15">
        <v>625447</v>
      </c>
    </row>
    <row r="8" spans="1:22" ht="16.5" x14ac:dyDescent="0.35">
      <c r="A8" s="142"/>
      <c r="B8" s="13">
        <v>33224</v>
      </c>
      <c r="C8" s="12">
        <v>2094140</v>
      </c>
      <c r="D8" s="15">
        <v>6947</v>
      </c>
      <c r="E8" s="15">
        <v>2918237</v>
      </c>
      <c r="F8" s="15">
        <v>2776454</v>
      </c>
      <c r="G8" s="15">
        <v>2705371</v>
      </c>
      <c r="H8" s="15">
        <v>4265272</v>
      </c>
      <c r="I8" s="15">
        <v>14717</v>
      </c>
      <c r="J8" s="15">
        <v>21009</v>
      </c>
      <c r="K8" s="12">
        <v>1058</v>
      </c>
      <c r="L8" s="12">
        <v>179</v>
      </c>
      <c r="M8" s="12">
        <v>75425</v>
      </c>
      <c r="N8" s="3"/>
      <c r="O8" s="15">
        <v>1671597</v>
      </c>
      <c r="P8" s="12">
        <v>2661448</v>
      </c>
      <c r="Q8" s="12">
        <v>48134</v>
      </c>
      <c r="R8" s="15">
        <v>7461</v>
      </c>
      <c r="S8" s="15">
        <v>93497</v>
      </c>
      <c r="T8" s="15">
        <v>471325</v>
      </c>
      <c r="U8" s="15">
        <v>786423</v>
      </c>
      <c r="V8" s="15">
        <v>1598263</v>
      </c>
    </row>
    <row r="9" spans="1:22" ht="16.5" x14ac:dyDescent="0.35">
      <c r="A9" s="142"/>
      <c r="B9" s="13">
        <v>71195</v>
      </c>
      <c r="C9" s="12">
        <v>140181</v>
      </c>
      <c r="D9" s="15">
        <v>1656294</v>
      </c>
      <c r="E9" s="15">
        <v>787167</v>
      </c>
      <c r="F9" s="15">
        <v>2927058</v>
      </c>
      <c r="G9" s="15">
        <v>3895496</v>
      </c>
      <c r="H9" s="15">
        <v>3510781</v>
      </c>
      <c r="I9" s="15">
        <v>29375</v>
      </c>
      <c r="J9" s="15">
        <v>107702</v>
      </c>
      <c r="K9" s="12">
        <v>457</v>
      </c>
      <c r="L9" s="12">
        <v>14365</v>
      </c>
      <c r="M9" s="12">
        <v>17269</v>
      </c>
      <c r="N9" s="3"/>
      <c r="O9" s="15">
        <v>19322</v>
      </c>
      <c r="P9" s="12">
        <v>2436458</v>
      </c>
      <c r="Q9" s="12">
        <v>27119</v>
      </c>
      <c r="R9" s="15">
        <v>274079</v>
      </c>
      <c r="S9" s="15">
        <v>42009</v>
      </c>
      <c r="T9" s="15">
        <v>187257</v>
      </c>
      <c r="U9" s="15">
        <v>801461</v>
      </c>
      <c r="V9" s="15">
        <v>182593</v>
      </c>
    </row>
    <row r="10" spans="1:22" ht="16.5" x14ac:dyDescent="0.35">
      <c r="A10" s="142"/>
      <c r="B10" s="13">
        <v>26365</v>
      </c>
      <c r="C10" s="12">
        <v>302301</v>
      </c>
      <c r="D10" s="15">
        <v>579329</v>
      </c>
      <c r="E10" s="15">
        <v>229641</v>
      </c>
      <c r="F10" s="15">
        <v>3554476</v>
      </c>
      <c r="G10" s="15">
        <v>5552442</v>
      </c>
      <c r="H10" s="15">
        <v>7270706</v>
      </c>
      <c r="I10" s="15">
        <v>66931</v>
      </c>
      <c r="J10" s="15">
        <v>893</v>
      </c>
      <c r="K10" s="12">
        <v>10082</v>
      </c>
      <c r="L10" s="12">
        <v>50977</v>
      </c>
      <c r="M10" s="12">
        <v>12466</v>
      </c>
      <c r="N10" s="3"/>
      <c r="O10" s="15">
        <v>355977</v>
      </c>
      <c r="P10" s="12">
        <v>2971047</v>
      </c>
      <c r="Q10" s="12">
        <v>127796</v>
      </c>
      <c r="R10" s="15">
        <v>32451</v>
      </c>
      <c r="S10" s="15">
        <v>72</v>
      </c>
      <c r="T10" s="15">
        <v>748773</v>
      </c>
      <c r="U10" s="15">
        <v>823582</v>
      </c>
      <c r="V10" s="15">
        <v>101962</v>
      </c>
    </row>
    <row r="11" spans="1:22" ht="16.5" x14ac:dyDescent="0.35">
      <c r="A11" s="142"/>
      <c r="B11" s="13">
        <v>27195</v>
      </c>
      <c r="C11" s="12">
        <v>475</v>
      </c>
      <c r="D11" s="15">
        <v>132613</v>
      </c>
      <c r="E11" s="15">
        <v>4476336</v>
      </c>
      <c r="F11" s="15">
        <v>4038851</v>
      </c>
      <c r="G11" s="15">
        <v>4563933</v>
      </c>
      <c r="H11" s="15">
        <v>8769887</v>
      </c>
      <c r="I11" s="15">
        <v>54623</v>
      </c>
      <c r="J11" s="15">
        <v>0</v>
      </c>
      <c r="K11" s="12">
        <v>43715</v>
      </c>
      <c r="L11" s="12">
        <v>129293</v>
      </c>
      <c r="M11" s="12">
        <v>4341</v>
      </c>
      <c r="N11" s="3"/>
      <c r="O11" s="15">
        <v>18767</v>
      </c>
      <c r="P11" s="12">
        <v>6652814</v>
      </c>
      <c r="Q11" s="12">
        <v>23253</v>
      </c>
      <c r="R11" s="15">
        <v>864225</v>
      </c>
      <c r="S11" s="15">
        <v>1568481</v>
      </c>
      <c r="T11" s="15">
        <v>149811</v>
      </c>
      <c r="U11" s="15">
        <v>1409153</v>
      </c>
      <c r="V11" s="15">
        <v>1151300</v>
      </c>
    </row>
    <row r="12" spans="1:22" ht="16.5" x14ac:dyDescent="0.35">
      <c r="A12" s="142"/>
      <c r="B12" s="13">
        <v>56400</v>
      </c>
      <c r="C12" s="12"/>
      <c r="D12" s="15">
        <v>1524824</v>
      </c>
      <c r="E12" s="15">
        <v>2728193</v>
      </c>
      <c r="F12" s="15">
        <v>3132923</v>
      </c>
      <c r="G12" s="15">
        <v>4575426</v>
      </c>
      <c r="H12" s="15">
        <v>4183898</v>
      </c>
      <c r="I12" s="15">
        <v>20146</v>
      </c>
      <c r="J12" s="15">
        <v>50379</v>
      </c>
      <c r="K12" s="12">
        <v>2476</v>
      </c>
      <c r="L12" s="12">
        <v>4699</v>
      </c>
      <c r="M12" s="12"/>
      <c r="N12" s="3"/>
      <c r="O12" s="15">
        <v>142157</v>
      </c>
      <c r="P12" s="12">
        <v>3281364</v>
      </c>
      <c r="Q12" s="12">
        <v>20245</v>
      </c>
      <c r="R12" s="15">
        <v>35</v>
      </c>
      <c r="S12" s="15"/>
      <c r="T12" s="15">
        <v>503</v>
      </c>
      <c r="U12" s="15"/>
      <c r="V12" s="15">
        <v>1178480</v>
      </c>
    </row>
    <row r="13" spans="1:22" ht="16.5" x14ac:dyDescent="0.35">
      <c r="A13" s="142"/>
      <c r="B13" s="13"/>
      <c r="C13" s="12"/>
      <c r="D13" s="15"/>
      <c r="E13" s="15"/>
      <c r="F13" s="15"/>
      <c r="G13" s="15"/>
      <c r="H13" s="15"/>
      <c r="I13" s="15"/>
      <c r="J13" s="15"/>
      <c r="K13" s="12"/>
      <c r="L13" s="12"/>
      <c r="M13" s="12"/>
      <c r="N13" s="3"/>
      <c r="O13" s="15">
        <v>70226</v>
      </c>
      <c r="P13" s="12"/>
      <c r="Q13" s="12"/>
      <c r="R13" s="15"/>
      <c r="S13" s="15"/>
      <c r="T13" s="15"/>
      <c r="U13" s="15"/>
      <c r="V13" s="15"/>
    </row>
    <row r="14" spans="1:22" ht="16.5" x14ac:dyDescent="0.35">
      <c r="A14" s="142"/>
      <c r="B14" s="13"/>
      <c r="C14" s="15"/>
      <c r="D14" s="15"/>
      <c r="E14" s="15"/>
      <c r="F14" s="15"/>
      <c r="G14" s="15"/>
      <c r="H14" s="15"/>
      <c r="I14" s="15"/>
      <c r="J14" s="15"/>
      <c r="K14" s="12"/>
      <c r="L14" s="12"/>
      <c r="M14" s="12"/>
      <c r="N14" s="3"/>
      <c r="O14" s="15">
        <v>550714</v>
      </c>
      <c r="P14" s="12"/>
      <c r="Q14" s="12"/>
      <c r="R14" s="15"/>
      <c r="S14" s="15"/>
      <c r="T14" s="15"/>
      <c r="U14" s="15"/>
      <c r="V14" s="15"/>
    </row>
    <row r="15" spans="1:22" ht="16.5" x14ac:dyDescent="0.35">
      <c r="A15" s="142"/>
      <c r="B15" s="13"/>
      <c r="C15" s="15"/>
      <c r="D15" s="15"/>
      <c r="E15" s="15"/>
      <c r="F15" s="15"/>
      <c r="G15" s="15"/>
      <c r="H15" s="15"/>
      <c r="I15" s="15"/>
      <c r="J15" s="15"/>
      <c r="K15" s="12"/>
      <c r="L15" s="12"/>
      <c r="M15" s="12"/>
      <c r="N15" s="3"/>
      <c r="O15" s="15">
        <v>23184</v>
      </c>
      <c r="P15" s="12"/>
      <c r="Q15" s="12"/>
      <c r="R15" s="15"/>
      <c r="S15" s="15"/>
      <c r="T15" s="15"/>
      <c r="U15" s="15"/>
      <c r="V15" s="15"/>
    </row>
    <row r="16" spans="1:22" ht="16.5" x14ac:dyDescent="0.35">
      <c r="A16" s="142"/>
      <c r="B16" s="13"/>
      <c r="C16" s="15"/>
      <c r="D16" s="15"/>
      <c r="E16" s="15"/>
      <c r="F16" s="15"/>
      <c r="G16" s="15"/>
      <c r="H16" s="15"/>
      <c r="I16" s="15"/>
      <c r="J16" s="15"/>
      <c r="K16" s="12"/>
      <c r="L16" s="12"/>
      <c r="M16" s="12"/>
      <c r="N16" s="3"/>
      <c r="O16" s="15">
        <v>17282</v>
      </c>
      <c r="P16" s="12"/>
      <c r="Q16" s="12"/>
      <c r="R16" s="15"/>
      <c r="S16" s="15"/>
      <c r="T16" s="15"/>
      <c r="U16" s="15"/>
      <c r="V16" s="15"/>
    </row>
    <row r="17" spans="1:22" ht="16.5" x14ac:dyDescent="0.35">
      <c r="A17" s="142"/>
      <c r="B17" s="13"/>
      <c r="C17" s="15"/>
      <c r="D17" s="15"/>
      <c r="E17" s="15"/>
      <c r="F17" s="15"/>
      <c r="G17" s="15"/>
      <c r="H17" s="15"/>
      <c r="I17" s="15"/>
      <c r="J17" s="15"/>
      <c r="K17" s="12"/>
      <c r="L17" s="12"/>
      <c r="M17" s="12"/>
      <c r="N17" s="3"/>
      <c r="O17" s="15">
        <v>237792</v>
      </c>
      <c r="P17" s="12"/>
      <c r="Q17" s="12"/>
      <c r="R17" s="15"/>
      <c r="S17" s="15"/>
      <c r="T17" s="15"/>
      <c r="U17" s="15"/>
      <c r="V17" s="15"/>
    </row>
    <row r="18" spans="1:22" ht="16.5" x14ac:dyDescent="0.35">
      <c r="A18" s="142"/>
      <c r="B18" s="13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3"/>
      <c r="O18" s="15">
        <v>37758</v>
      </c>
      <c r="P18" s="12"/>
      <c r="Q18" s="12"/>
      <c r="R18" s="15"/>
      <c r="S18" s="15"/>
      <c r="T18" s="15"/>
      <c r="U18" s="15"/>
      <c r="V18" s="15"/>
    </row>
    <row r="19" spans="1:22" ht="16.5" x14ac:dyDescent="0.35">
      <c r="A19" s="142"/>
      <c r="B19" s="13"/>
      <c r="C19" s="15"/>
      <c r="D19" s="15"/>
      <c r="E19" s="15"/>
      <c r="F19" s="15"/>
      <c r="G19" s="15"/>
      <c r="H19" s="15"/>
      <c r="I19" s="15"/>
      <c r="J19" s="15"/>
      <c r="K19" s="12"/>
      <c r="L19" s="12"/>
      <c r="M19" s="12"/>
      <c r="N19" s="3"/>
      <c r="O19" s="15">
        <v>11240</v>
      </c>
      <c r="P19" s="12"/>
      <c r="Q19" s="12"/>
      <c r="R19" s="15"/>
      <c r="S19" s="15"/>
      <c r="T19" s="15"/>
      <c r="U19" s="15"/>
      <c r="V19" s="15"/>
    </row>
    <row r="20" spans="1:22" ht="16.5" x14ac:dyDescent="0.35">
      <c r="A20" s="142"/>
      <c r="B20" s="13"/>
      <c r="C20" s="15"/>
      <c r="D20" s="15"/>
      <c r="E20" s="15"/>
      <c r="F20" s="15"/>
      <c r="G20" s="15"/>
      <c r="H20" s="15"/>
      <c r="I20" s="15"/>
      <c r="J20" s="15"/>
      <c r="K20" s="12"/>
      <c r="L20" s="12"/>
      <c r="M20" s="12"/>
      <c r="N20" s="3"/>
      <c r="O20" s="15"/>
      <c r="P20" s="12"/>
      <c r="Q20" s="12"/>
      <c r="R20" s="15"/>
      <c r="S20" s="15"/>
      <c r="T20" s="15"/>
      <c r="U20" s="15"/>
      <c r="V20" s="15"/>
    </row>
    <row r="21" spans="1:22" x14ac:dyDescent="0.35">
      <c r="A21" s="47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35">
      <c r="A22" s="49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Atenolol-0,01mg/L</v>
      </c>
      <c r="J22" s="3" t="str">
        <f t="shared" si="1"/>
        <v>Atenolol-0,1mg/L</v>
      </c>
      <c r="K22" s="3" t="str">
        <f t="shared" si="1"/>
        <v>Atenolol-1mg/L</v>
      </c>
      <c r="L22" s="3" t="str">
        <f t="shared" si="1"/>
        <v>Atenolol-10mg/L</v>
      </c>
      <c r="M22" s="3" t="str">
        <f t="shared" si="1"/>
        <v>Atenolol-100mg/L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Atenolol-0,01mg/L + Testostérone</v>
      </c>
      <c r="S22" s="3" t="str">
        <f t="shared" si="1"/>
        <v>Atenolol-0,1mg/L + Testostérone</v>
      </c>
      <c r="T22" s="3" t="str">
        <f t="shared" si="1"/>
        <v>Atenolol-1mg/L + Testostérone</v>
      </c>
      <c r="U22" s="3" t="str">
        <f t="shared" si="1"/>
        <v>Atenolol-10mg/L + Testostérone</v>
      </c>
      <c r="V22" s="3" t="str">
        <f t="shared" si="1"/>
        <v>Atenolol-100mg/L + Testostérone</v>
      </c>
    </row>
    <row r="23" spans="1:22" x14ac:dyDescent="0.35">
      <c r="A23" s="4" t="s">
        <v>0</v>
      </c>
      <c r="B23" s="4">
        <f t="shared" ref="B23:J23" si="2">AVERAGE(B5:B20)</f>
        <v>31297.25</v>
      </c>
      <c r="C23" s="4">
        <f t="shared" si="2"/>
        <v>400992.85714285716</v>
      </c>
      <c r="D23" s="4">
        <f t="shared" si="2"/>
        <v>660428.25</v>
      </c>
      <c r="E23" s="4">
        <f t="shared" si="2"/>
        <v>1749193.25</v>
      </c>
      <c r="F23" s="4">
        <f t="shared" si="2"/>
        <v>2975276.75</v>
      </c>
      <c r="G23" s="4">
        <f t="shared" si="2"/>
        <v>4119645.375</v>
      </c>
      <c r="H23" s="4">
        <f t="shared" si="2"/>
        <v>6349748.625</v>
      </c>
      <c r="I23" s="4">
        <f t="shared" si="2"/>
        <v>36324</v>
      </c>
      <c r="J23" s="4">
        <f t="shared" si="2"/>
        <v>42689.625</v>
      </c>
      <c r="K23" s="4"/>
      <c r="L23" s="4">
        <f>AVERAGE(L5:L20)</f>
        <v>66642.875</v>
      </c>
      <c r="M23" s="4"/>
      <c r="N23" s="4" t="s">
        <v>0</v>
      </c>
      <c r="O23" s="4">
        <f>AVERAGE(O5:O20)</f>
        <v>382347.4</v>
      </c>
      <c r="P23" s="4">
        <f>AVERAGE(P5:P20)</f>
        <v>2907016.5</v>
      </c>
      <c r="Q23" s="4">
        <f>AVERAGE(Q5:Q20)</f>
        <v>37874.375</v>
      </c>
      <c r="R23" s="4">
        <f>AVERAGE(R5:R20)</f>
        <v>332819.625</v>
      </c>
      <c r="S23" s="4">
        <f>AVERAGE(S5:S20)</f>
        <v>466100.14285714284</v>
      </c>
      <c r="T23" s="4">
        <f t="shared" ref="T23:V23" si="3">AVERAGE(T5:T20)</f>
        <v>319976.75</v>
      </c>
      <c r="U23" s="4">
        <f t="shared" si="3"/>
        <v>692753.85714285716</v>
      </c>
      <c r="V23" s="4">
        <f t="shared" si="3"/>
        <v>1054202.25</v>
      </c>
    </row>
    <row r="24" spans="1:22" x14ac:dyDescent="0.35">
      <c r="A24" s="3" t="s">
        <v>1</v>
      </c>
      <c r="B24" s="3">
        <f t="shared" ref="B24:J24" si="4">STDEV(B5:B20)</f>
        <v>24556.926667584907</v>
      </c>
      <c r="C24" s="3">
        <f t="shared" si="4"/>
        <v>752700.8377076576</v>
      </c>
      <c r="D24" s="3">
        <f t="shared" si="4"/>
        <v>647402.1312043455</v>
      </c>
      <c r="E24" s="3">
        <f t="shared" si="4"/>
        <v>1526083.3672298649</v>
      </c>
      <c r="F24" s="3">
        <f t="shared" si="4"/>
        <v>756249.26434490783</v>
      </c>
      <c r="G24" s="3">
        <f t="shared" si="4"/>
        <v>1022306.6317861693</v>
      </c>
      <c r="H24" s="3">
        <f t="shared" si="4"/>
        <v>2214990.7834812403</v>
      </c>
      <c r="I24" s="3">
        <f t="shared" si="4"/>
        <v>30639.367990497827</v>
      </c>
      <c r="J24" s="3">
        <f t="shared" si="4"/>
        <v>45791.385122211737</v>
      </c>
      <c r="K24" s="3"/>
      <c r="L24" s="3">
        <f>STDEV(L5:L20)</f>
        <v>56999.456875701893</v>
      </c>
      <c r="M24" s="3"/>
      <c r="N24" s="3" t="s">
        <v>1</v>
      </c>
      <c r="O24" s="3">
        <f>STDEV(O5:O20)</f>
        <v>576339.784678002</v>
      </c>
      <c r="P24" s="3">
        <f>STDEV(P5:P20)</f>
        <v>1725646.5300804961</v>
      </c>
      <c r="Q24" s="3">
        <f>STDEV(Q5:Q20)</f>
        <v>38006.257634904206</v>
      </c>
      <c r="R24" s="3">
        <f>STDEV(R5:R20)</f>
        <v>393886.08258151327</v>
      </c>
      <c r="S24" s="3">
        <f>STDEV(S5:S20)</f>
        <v>695819.98711817909</v>
      </c>
      <c r="T24" s="3">
        <f t="shared" ref="T24:V24" si="5">STDEV(T5:T20)</f>
        <v>337591.06268372771</v>
      </c>
      <c r="U24" s="3">
        <f t="shared" si="5"/>
        <v>464998.54637780983</v>
      </c>
      <c r="V24" s="3">
        <f t="shared" si="5"/>
        <v>724611.12370503356</v>
      </c>
    </row>
    <row r="25" spans="1:22" ht="15" thickBot="1" x14ac:dyDescent="0.4"/>
    <row r="26" spans="1:22" ht="15" thickBot="1" x14ac:dyDescent="0.4">
      <c r="B26" s="145" t="s">
        <v>42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O26" s="145" t="s">
        <v>43</v>
      </c>
      <c r="P26" s="146"/>
      <c r="Q26" s="146"/>
      <c r="R26" s="146"/>
      <c r="S26" s="146"/>
      <c r="T26" s="146"/>
      <c r="U26" s="146"/>
      <c r="V26" s="146"/>
    </row>
    <row r="27" spans="1:22" x14ac:dyDescent="0.35">
      <c r="A27" s="17" t="str">
        <f>A4</f>
        <v>Group names</v>
      </c>
      <c r="B27" s="18" t="str">
        <f>B4</f>
        <v>Solvent control</v>
      </c>
      <c r="C27" s="18" t="str">
        <f t="shared" ref="C27:M27" si="6">C4</f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Atenolol-0,01mg/L</v>
      </c>
      <c r="J27" s="18" t="str">
        <f t="shared" si="6"/>
        <v>Atenolol-0,1mg/L</v>
      </c>
      <c r="K27" s="18" t="str">
        <f t="shared" si="6"/>
        <v>Atenolol-1mg/L</v>
      </c>
      <c r="L27" s="18" t="str">
        <f t="shared" si="6"/>
        <v>Atenolol-10mg/L</v>
      </c>
      <c r="M27" s="18" t="str">
        <f t="shared" si="6"/>
        <v>Atenolol-100mg/L</v>
      </c>
      <c r="N27" s="3"/>
      <c r="O27" s="19" t="str">
        <f>O4</f>
        <v>Testo -30µg/L</v>
      </c>
      <c r="P27" s="19" t="str">
        <f t="shared" ref="P27:V27" si="7">P4</f>
        <v>Testo 30µg/L + EE2 -64ng/L</v>
      </c>
      <c r="Q27" s="19" t="str">
        <f t="shared" si="7"/>
        <v>Testo 30µg/L + FAD-10mg/L</v>
      </c>
      <c r="R27" s="19" t="str">
        <f t="shared" si="7"/>
        <v>Atenolol-0,01mg/L + Testostérone</v>
      </c>
      <c r="S27" s="19" t="str">
        <f t="shared" si="7"/>
        <v>Atenolol-0,1mg/L + Testostérone</v>
      </c>
      <c r="T27" s="19" t="str">
        <f t="shared" si="7"/>
        <v>Atenolol-1mg/L + Testostérone</v>
      </c>
      <c r="U27" s="19" t="str">
        <f t="shared" si="7"/>
        <v>Atenolol-10mg/L + Testostérone</v>
      </c>
      <c r="V27" s="19" t="str">
        <f t="shared" si="7"/>
        <v>Atenolol-100mg/L + Testostérone</v>
      </c>
    </row>
    <row r="28" spans="1:22" ht="14.65" customHeight="1" x14ac:dyDescent="0.35">
      <c r="A28" s="143" t="s">
        <v>36</v>
      </c>
      <c r="B28" s="10">
        <f t="shared" ref="B28:I28" si="8">IF(B5="","",(B5/$O$23))</f>
        <v>9.3174427235545476E-2</v>
      </c>
      <c r="C28" s="10">
        <f t="shared" si="8"/>
        <v>0.17346005229798866</v>
      </c>
      <c r="D28" s="10">
        <f t="shared" si="8"/>
        <v>7.4453232845312925E-2</v>
      </c>
      <c r="E28" s="10">
        <f t="shared" si="8"/>
        <v>1.790531333546403</v>
      </c>
      <c r="F28" s="10">
        <f t="shared" si="8"/>
        <v>8.0413728457418561</v>
      </c>
      <c r="G28" s="10">
        <f t="shared" si="8"/>
        <v>7.8787955665449791</v>
      </c>
      <c r="H28" s="10">
        <f t="shared" si="8"/>
        <v>22.76888243518852</v>
      </c>
      <c r="I28" s="10">
        <f t="shared" si="8"/>
        <v>3.8608867223891147E-2</v>
      </c>
      <c r="J28" s="10">
        <f t="shared" ref="J28:M34" si="9">IF(J5="","",(J5/$O$23))</f>
        <v>9.3294736671414524E-2</v>
      </c>
      <c r="K28" s="10">
        <f t="shared" si="9"/>
        <v>6.6274806628736065E-3</v>
      </c>
      <c r="L28" s="10">
        <f t="shared" si="9"/>
        <v>0.24447661995347686</v>
      </c>
      <c r="M28" s="10">
        <f t="shared" si="9"/>
        <v>3.8572251308626654E-2</v>
      </c>
      <c r="N28" s="5"/>
      <c r="O28" s="10">
        <f t="shared" ref="O28:V37" si="10">IF(O5="","",(O5/$O$23))</f>
        <v>2.4909885617111556</v>
      </c>
      <c r="P28" s="10">
        <f t="shared" si="10"/>
        <v>7.7612087855180913</v>
      </c>
      <c r="Q28" s="10">
        <f t="shared" si="10"/>
        <v>2.0920764728621144E-2</v>
      </c>
      <c r="R28" s="10">
        <f t="shared" si="10"/>
        <v>2.3830893056942455</v>
      </c>
      <c r="S28" s="10">
        <f t="shared" si="10"/>
        <v>3.6401189075693985</v>
      </c>
      <c r="T28" s="10">
        <f t="shared" si="10"/>
        <v>2.2795316510586967</v>
      </c>
      <c r="U28" s="10">
        <f t="shared" si="10"/>
        <v>2.7775787150638397E-2</v>
      </c>
      <c r="V28" s="10">
        <f t="shared" si="10"/>
        <v>3.5346258402698694</v>
      </c>
    </row>
    <row r="29" spans="1:22" x14ac:dyDescent="0.35">
      <c r="A29" s="144"/>
      <c r="B29" s="10">
        <f t="shared" ref="B29:I29" si="11">IF(B6="","",(B6/$O$23))</f>
        <v>7.9508844574332138E-4</v>
      </c>
      <c r="C29" s="10">
        <f t="shared" si="11"/>
        <v>0.37316848499558253</v>
      </c>
      <c r="D29" s="10">
        <f t="shared" si="11"/>
        <v>2.304103545623692</v>
      </c>
      <c r="E29" s="10">
        <f t="shared" si="11"/>
        <v>0.73716468321740902</v>
      </c>
      <c r="F29" s="10">
        <f t="shared" si="11"/>
        <v>7.555100413916767</v>
      </c>
      <c r="G29" s="10">
        <f t="shared" si="11"/>
        <v>13.57656675578283</v>
      </c>
      <c r="H29" s="10">
        <f t="shared" si="11"/>
        <v>22.137391283424446</v>
      </c>
      <c r="I29" s="10">
        <f t="shared" si="11"/>
        <v>0.23333753544551367</v>
      </c>
      <c r="J29" s="10">
        <f t="shared" si="9"/>
        <v>2.7637169757137096E-2</v>
      </c>
      <c r="K29" s="10">
        <f t="shared" si="9"/>
        <v>0.11663476723001123</v>
      </c>
      <c r="L29" s="10">
        <f t="shared" si="9"/>
        <v>0.37688238497240989</v>
      </c>
      <c r="M29" s="10">
        <f t="shared" si="9"/>
        <v>0.14184220946709719</v>
      </c>
      <c r="N29" s="5"/>
      <c r="O29" s="10">
        <f t="shared" si="10"/>
        <v>1.5611457015269359E-2</v>
      </c>
      <c r="P29" s="10">
        <f t="shared" si="10"/>
        <v>3.726660623297033</v>
      </c>
      <c r="Q29" s="10">
        <f t="shared" si="10"/>
        <v>5.6257738381377771E-2</v>
      </c>
      <c r="R29" s="10">
        <f t="shared" si="10"/>
        <v>1.4766413999415191</v>
      </c>
      <c r="S29" s="10">
        <f t="shared" si="10"/>
        <v>9.9778369095749039E-2</v>
      </c>
      <c r="T29" s="10">
        <f t="shared" si="10"/>
        <v>1.51432963843876E-3</v>
      </c>
      <c r="U29" s="10">
        <f t="shared" si="10"/>
        <v>0.4766058301952622</v>
      </c>
      <c r="V29" s="10">
        <f t="shared" si="10"/>
        <v>5.8693167522520096</v>
      </c>
    </row>
    <row r="30" spans="1:22" x14ac:dyDescent="0.35">
      <c r="A30" s="144"/>
      <c r="B30" s="10">
        <f t="shared" ref="B30:I30" si="12">IF(B7="","",(B7/$O$23))</f>
        <v>1.8307957632247531E-4</v>
      </c>
      <c r="C30" s="10">
        <f t="shared" si="12"/>
        <v>0.15915107569712778</v>
      </c>
      <c r="D30" s="10">
        <f t="shared" si="12"/>
        <v>1.2396684271947449</v>
      </c>
      <c r="E30" s="10">
        <f t="shared" si="12"/>
        <v>4.9366466203248667</v>
      </c>
      <c r="F30" s="10">
        <f t="shared" si="12"/>
        <v>3.6856037205954584</v>
      </c>
      <c r="G30" s="10">
        <f t="shared" si="12"/>
        <v>9.0522205721812146</v>
      </c>
      <c r="H30" s="10">
        <f t="shared" si="12"/>
        <v>14.718677307600364</v>
      </c>
      <c r="I30" s="10">
        <f t="shared" si="12"/>
        <v>2.1498773105296386E-3</v>
      </c>
      <c r="J30" s="10">
        <f t="shared" si="9"/>
        <v>0.3015477547382302</v>
      </c>
      <c r="K30" s="10">
        <f t="shared" si="9"/>
        <v>0.1558268736756154</v>
      </c>
      <c r="L30" s="10">
        <f t="shared" si="9"/>
        <v>0.25122441005221952</v>
      </c>
      <c r="M30" s="10">
        <f t="shared" si="9"/>
        <v>0.10253240900814285</v>
      </c>
      <c r="N30" s="5"/>
      <c r="O30" s="10">
        <f t="shared" si="10"/>
        <v>4.2390846648885274</v>
      </c>
      <c r="P30" s="10">
        <f t="shared" si="10"/>
        <v>2.2509476983497207</v>
      </c>
      <c r="Q30" s="10">
        <f t="shared" si="10"/>
        <v>7.0456867236445175E-2</v>
      </c>
      <c r="R30" s="10">
        <f t="shared" si="10"/>
        <v>2.2356631691493128E-2</v>
      </c>
      <c r="S30" s="10">
        <f t="shared" si="10"/>
        <v>0.33661010902650312</v>
      </c>
      <c r="T30" s="10">
        <f t="shared" si="10"/>
        <v>0.33998661949839332</v>
      </c>
      <c r="U30" s="10">
        <f t="shared" si="10"/>
        <v>2.1859936800930253</v>
      </c>
      <c r="V30" s="10">
        <f t="shared" si="10"/>
        <v>1.6358081681737602</v>
      </c>
    </row>
    <row r="31" spans="1:22" x14ac:dyDescent="0.35">
      <c r="A31" s="144"/>
      <c r="B31" s="10">
        <f t="shared" ref="B31:I31" si="13">IF(B8="","",(B8/$O$23))</f>
        <v>8.6894797767684565E-2</v>
      </c>
      <c r="C31" s="10">
        <f t="shared" si="13"/>
        <v>5.4770609137135491</v>
      </c>
      <c r="D31" s="10">
        <f t="shared" si="13"/>
        <v>1.8169340238746227E-2</v>
      </c>
      <c r="E31" s="10">
        <f t="shared" si="13"/>
        <v>7.6324227652653054</v>
      </c>
      <c r="F31" s="10">
        <f t="shared" si="13"/>
        <v>7.2616003142691694</v>
      </c>
      <c r="G31" s="10">
        <f t="shared" si="13"/>
        <v>7.0756882353587338</v>
      </c>
      <c r="H31" s="10">
        <f t="shared" si="13"/>
        <v>11.155488438001671</v>
      </c>
      <c r="I31" s="10">
        <f t="shared" si="13"/>
        <v>3.8491173210540984E-2</v>
      </c>
      <c r="J31" s="10">
        <f t="shared" si="9"/>
        <v>5.4947411699412627E-2</v>
      </c>
      <c r="K31" s="10">
        <f t="shared" si="9"/>
        <v>2.7671170249882696E-3</v>
      </c>
      <c r="L31" s="10">
        <f t="shared" si="9"/>
        <v>4.6816063088175831E-4</v>
      </c>
      <c r="M31" s="10">
        <f t="shared" si="9"/>
        <v>0.19726824348746713</v>
      </c>
      <c r="N31" s="5"/>
      <c r="O31" s="10">
        <f t="shared" si="10"/>
        <v>4.3719324363131538</v>
      </c>
      <c r="P31" s="10">
        <f t="shared" si="10"/>
        <v>6.960811032061418</v>
      </c>
      <c r="Q31" s="10">
        <f t="shared" si="10"/>
        <v>0.12589074752437179</v>
      </c>
      <c r="R31" s="10">
        <f t="shared" si="10"/>
        <v>1.9513667413456975E-2</v>
      </c>
      <c r="S31" s="10">
        <f t="shared" si="10"/>
        <v>0.24453415924889249</v>
      </c>
      <c r="T31" s="10">
        <f t="shared" si="10"/>
        <v>1.2327140187170096</v>
      </c>
      <c r="U31" s="10">
        <f t="shared" si="10"/>
        <v>2.0568284235749998</v>
      </c>
      <c r="V31" s="10">
        <f t="shared" si="10"/>
        <v>4.1801330413126907</v>
      </c>
    </row>
    <row r="32" spans="1:22" x14ac:dyDescent="0.35">
      <c r="A32" s="144"/>
      <c r="B32" s="10">
        <f t="shared" ref="B32:I32" si="14">IF(B9="","",(B9/$O$23))</f>
        <v>0.18620500623255185</v>
      </c>
      <c r="C32" s="10">
        <f t="shared" si="14"/>
        <v>0.36663254412087015</v>
      </c>
      <c r="D32" s="10">
        <f t="shared" si="14"/>
        <v>4.331908625506542</v>
      </c>
      <c r="E32" s="10">
        <f t="shared" si="14"/>
        <v>2.0587742979290562</v>
      </c>
      <c r="F32" s="10">
        <f t="shared" si="14"/>
        <v>7.6554934073044558</v>
      </c>
      <c r="G32" s="10">
        <f t="shared" si="14"/>
        <v>10.188367960655675</v>
      </c>
      <c r="H32" s="10">
        <f t="shared" si="14"/>
        <v>9.1821756862999457</v>
      </c>
      <c r="I32" s="10">
        <f t="shared" si="14"/>
        <v>7.6828036492467319E-2</v>
      </c>
      <c r="J32" s="10">
        <f t="shared" si="9"/>
        <v>0.28168623612976051</v>
      </c>
      <c r="K32" s="10">
        <f t="shared" si="9"/>
        <v>1.1952480911338744E-3</v>
      </c>
      <c r="L32" s="10">
        <f t="shared" si="9"/>
        <v>3.7570544483890828E-2</v>
      </c>
      <c r="M32" s="10">
        <f t="shared" si="9"/>
        <v>4.5165731478754662E-2</v>
      </c>
      <c r="N32" s="5"/>
      <c r="O32" s="10">
        <f t="shared" si="10"/>
        <v>5.0535193910040972E-2</v>
      </c>
      <c r="P32" s="10">
        <f t="shared" si="10"/>
        <v>6.3723671195357934</v>
      </c>
      <c r="Q32" s="10">
        <f t="shared" si="10"/>
        <v>7.0927643289845826E-2</v>
      </c>
      <c r="R32" s="10">
        <f t="shared" si="10"/>
        <v>0.71683238855553877</v>
      </c>
      <c r="S32" s="10">
        <f t="shared" si="10"/>
        <v>0.10987128459615522</v>
      </c>
      <c r="T32" s="10">
        <f t="shared" si="10"/>
        <v>0.48975617462025367</v>
      </c>
      <c r="U32" s="10">
        <f t="shared" si="10"/>
        <v>2.0961591474141055</v>
      </c>
      <c r="V32" s="10">
        <f t="shared" si="10"/>
        <v>0.47755784399213907</v>
      </c>
    </row>
    <row r="33" spans="1:22" x14ac:dyDescent="0.35">
      <c r="A33" s="144"/>
      <c r="B33" s="10">
        <f t="shared" ref="B33:I33" si="15">IF(B10="","",(B10/$O$23))</f>
        <v>6.8955614710600882E-2</v>
      </c>
      <c r="C33" s="10">
        <f t="shared" si="15"/>
        <v>0.79064484288372294</v>
      </c>
      <c r="D33" s="10">
        <f t="shared" si="15"/>
        <v>1.5151901124474756</v>
      </c>
      <c r="E33" s="10">
        <f t="shared" si="15"/>
        <v>0.60060824266099355</v>
      </c>
      <c r="F33" s="10">
        <f t="shared" si="15"/>
        <v>9.2964565732629527</v>
      </c>
      <c r="G33" s="10">
        <f t="shared" si="15"/>
        <v>14.521981841644536</v>
      </c>
      <c r="H33" s="10">
        <f t="shared" si="15"/>
        <v>19.015968200646846</v>
      </c>
      <c r="I33" s="10">
        <f t="shared" si="15"/>
        <v>0.17505284461199422</v>
      </c>
      <c r="J33" s="10">
        <f t="shared" si="9"/>
        <v>2.3355723093710064E-3</v>
      </c>
      <c r="K33" s="10">
        <f t="shared" si="9"/>
        <v>2.6368689835474229E-2</v>
      </c>
      <c r="L33" s="10">
        <f t="shared" si="9"/>
        <v>0.13332639374558319</v>
      </c>
      <c r="M33" s="10">
        <f t="shared" si="9"/>
        <v>3.260385712051396E-2</v>
      </c>
      <c r="N33" s="5"/>
      <c r="O33" s="10">
        <f t="shared" si="10"/>
        <v>0.93103026200779704</v>
      </c>
      <c r="P33" s="10">
        <f t="shared" si="10"/>
        <v>7.7705432284880187</v>
      </c>
      <c r="Q33" s="10">
        <f t="shared" si="10"/>
        <v>0.33424053622438649</v>
      </c>
      <c r="R33" s="10">
        <f t="shared" si="10"/>
        <v>8.4873076160580666E-2</v>
      </c>
      <c r="S33" s="10">
        <f t="shared" si="10"/>
        <v>1.8831042136026031E-4</v>
      </c>
      <c r="T33" s="10">
        <f t="shared" si="10"/>
        <v>1.9583577657386972</v>
      </c>
      <c r="U33" s="10">
        <f t="shared" si="10"/>
        <v>2.1540149089545264</v>
      </c>
      <c r="V33" s="10">
        <f t="shared" si="10"/>
        <v>0.26667371087131753</v>
      </c>
    </row>
    <row r="34" spans="1:22" x14ac:dyDescent="0.35">
      <c r="A34" s="144"/>
      <c r="B34" s="10">
        <f t="shared" ref="B34:I34" si="16">IF(B11="","",(B11/$O$23))</f>
        <v>7.1126415401281659E-2</v>
      </c>
      <c r="C34" s="10">
        <f t="shared" si="16"/>
        <v>1.2423256964739396E-3</v>
      </c>
      <c r="D34" s="10">
        <f t="shared" si="16"/>
        <v>0.34683902649789167</v>
      </c>
      <c r="E34" s="10">
        <f t="shared" si="16"/>
        <v>11.707509976529197</v>
      </c>
      <c r="F34" s="10">
        <f t="shared" si="16"/>
        <v>10.56330185585151</v>
      </c>
      <c r="G34" s="10">
        <f t="shared" si="16"/>
        <v>11.936613142916624</v>
      </c>
      <c r="H34" s="10">
        <f t="shared" si="16"/>
        <v>22.936959947942629</v>
      </c>
      <c r="I34" s="10">
        <f t="shared" si="16"/>
        <v>0.14286222424946526</v>
      </c>
      <c r="J34" s="10">
        <f t="shared" si="9"/>
        <v>0</v>
      </c>
      <c r="K34" s="10">
        <f t="shared" si="9"/>
        <v>0.11433319541338582</v>
      </c>
      <c r="L34" s="10">
        <f t="shared" si="9"/>
        <v>0.33815582373516856</v>
      </c>
      <c r="M34" s="10">
        <f t="shared" si="9"/>
        <v>1.1353549154512362E-2</v>
      </c>
      <c r="N34" s="5"/>
      <c r="O34" s="10">
        <f t="shared" si="10"/>
        <v>4.9083634412055634E-2</v>
      </c>
      <c r="P34" s="10">
        <f t="shared" si="10"/>
        <v>17.399919549603318</v>
      </c>
      <c r="Q34" s="10">
        <f t="shared" si="10"/>
        <v>6.0816419831807404E-2</v>
      </c>
      <c r="R34" s="10">
        <f t="shared" si="10"/>
        <v>2.2603135263898748</v>
      </c>
      <c r="S34" s="10">
        <f t="shared" si="10"/>
        <v>4.1022405278550345</v>
      </c>
      <c r="T34" s="10">
        <f t="shared" si="10"/>
        <v>0.391819062977805</v>
      </c>
      <c r="U34" s="10">
        <f t="shared" si="10"/>
        <v>3.6855304887649294</v>
      </c>
      <c r="V34" s="10">
        <f t="shared" si="10"/>
        <v>3.0111359460009401</v>
      </c>
    </row>
    <row r="35" spans="1:22" x14ac:dyDescent="0.35">
      <c r="A35" s="144"/>
      <c r="B35" s="10">
        <f t="shared" ref="B35:M35" si="17">IF(B12="","",(B12/$O$23))</f>
        <v>0.14750983006553725</v>
      </c>
      <c r="C35" s="10" t="str">
        <f t="shared" si="17"/>
        <v/>
      </c>
      <c r="D35" s="10">
        <f t="shared" si="17"/>
        <v>3.9880590269477443</v>
      </c>
      <c r="E35" s="10">
        <f t="shared" si="17"/>
        <v>7.1353774080848984</v>
      </c>
      <c r="F35" s="10">
        <f t="shared" si="17"/>
        <v>8.1939173641562615</v>
      </c>
      <c r="G35" s="10">
        <f t="shared" si="17"/>
        <v>11.966672193926255</v>
      </c>
      <c r="H35" s="10">
        <f t="shared" si="17"/>
        <v>10.942661045949311</v>
      </c>
      <c r="I35" s="10">
        <f t="shared" si="17"/>
        <v>5.2690302065608395E-2</v>
      </c>
      <c r="J35" s="10">
        <f t="shared" si="17"/>
        <v>0.13176237107928548</v>
      </c>
      <c r="K35" s="10">
        <f t="shared" si="17"/>
        <v>6.4757861567778406E-3</v>
      </c>
      <c r="L35" s="10">
        <f t="shared" si="17"/>
        <v>1.2289870416275878E-2</v>
      </c>
      <c r="M35" s="10" t="str">
        <f t="shared" si="17"/>
        <v/>
      </c>
      <c r="N35" s="5"/>
      <c r="O35" s="10">
        <f t="shared" si="10"/>
        <v>0.37180061901820177</v>
      </c>
      <c r="P35" s="10">
        <f t="shared" si="10"/>
        <v>8.582153298283183</v>
      </c>
      <c r="Q35" s="10">
        <f t="shared" si="10"/>
        <v>5.2949228894978752E-2</v>
      </c>
      <c r="R35" s="10">
        <f t="shared" si="10"/>
        <v>9.1539788161237656E-5</v>
      </c>
      <c r="S35" s="10" t="str">
        <f t="shared" si="10"/>
        <v/>
      </c>
      <c r="T35" s="10">
        <f t="shared" si="10"/>
        <v>1.3155575270029298E-3</v>
      </c>
      <c r="U35" s="10" t="str">
        <f t="shared" si="10"/>
        <v/>
      </c>
      <c r="V35" s="10">
        <f t="shared" si="10"/>
        <v>3.0822231300644387</v>
      </c>
    </row>
    <row r="36" spans="1:22" x14ac:dyDescent="0.35">
      <c r="A36" s="144"/>
      <c r="B36" s="10" t="str">
        <f t="shared" ref="B36:M36" si="18">IF(B13="","",(B13/$O$23))</f>
        <v/>
      </c>
      <c r="C36" s="10" t="str">
        <f t="shared" si="18"/>
        <v/>
      </c>
      <c r="D36" s="10" t="str">
        <f t="shared" si="18"/>
        <v/>
      </c>
      <c r="E36" s="10" t="str">
        <f t="shared" si="18"/>
        <v/>
      </c>
      <c r="F36" s="10" t="str">
        <f t="shared" si="18"/>
        <v/>
      </c>
      <c r="G36" s="10" t="str">
        <f t="shared" si="18"/>
        <v/>
      </c>
      <c r="H36" s="10" t="str">
        <f t="shared" si="18"/>
        <v/>
      </c>
      <c r="I36" s="10" t="str">
        <f t="shared" si="18"/>
        <v/>
      </c>
      <c r="J36" s="10" t="str">
        <f t="shared" si="18"/>
        <v/>
      </c>
      <c r="K36" s="10" t="str">
        <f t="shared" si="18"/>
        <v/>
      </c>
      <c r="L36" s="10" t="str">
        <f t="shared" si="18"/>
        <v/>
      </c>
      <c r="M36" s="10" t="str">
        <f t="shared" si="18"/>
        <v/>
      </c>
      <c r="N36" s="5"/>
      <c r="O36" s="10">
        <f t="shared" si="10"/>
        <v>0.18367066181174502</v>
      </c>
      <c r="P36" s="10" t="str">
        <f t="shared" si="10"/>
        <v/>
      </c>
      <c r="Q36" s="10" t="str">
        <f t="shared" si="10"/>
        <v/>
      </c>
      <c r="R36" s="10" t="str">
        <f t="shared" si="10"/>
        <v/>
      </c>
      <c r="S36" s="10" t="str">
        <f t="shared" si="10"/>
        <v/>
      </c>
      <c r="T36" s="10" t="str">
        <f t="shared" si="10"/>
        <v/>
      </c>
      <c r="U36" s="10" t="str">
        <f t="shared" si="10"/>
        <v/>
      </c>
      <c r="V36" s="10" t="str">
        <f t="shared" si="10"/>
        <v/>
      </c>
    </row>
    <row r="37" spans="1:22" x14ac:dyDescent="0.35">
      <c r="A37" s="144"/>
      <c r="B37" s="10" t="str">
        <f t="shared" ref="B37:M37" si="19">IF(B14="","",(B14/$O$23))</f>
        <v/>
      </c>
      <c r="C37" s="10" t="str">
        <f t="shared" si="19"/>
        <v/>
      </c>
      <c r="D37" s="10" t="str">
        <f t="shared" si="19"/>
        <v/>
      </c>
      <c r="E37" s="10" t="str">
        <f t="shared" si="19"/>
        <v/>
      </c>
      <c r="F37" s="10" t="str">
        <f t="shared" si="19"/>
        <v/>
      </c>
      <c r="G37" s="10" t="str">
        <f t="shared" si="19"/>
        <v/>
      </c>
      <c r="H37" s="10" t="str">
        <f t="shared" si="19"/>
        <v/>
      </c>
      <c r="I37" s="10" t="str">
        <f t="shared" si="19"/>
        <v/>
      </c>
      <c r="J37" s="10" t="str">
        <f t="shared" si="19"/>
        <v/>
      </c>
      <c r="K37" s="10" t="str">
        <f t="shared" si="19"/>
        <v/>
      </c>
      <c r="L37" s="10" t="str">
        <f t="shared" si="19"/>
        <v/>
      </c>
      <c r="M37" s="10" t="str">
        <f t="shared" si="19"/>
        <v/>
      </c>
      <c r="N37" s="5"/>
      <c r="O37" s="10">
        <f t="shared" si="10"/>
        <v>1.4403497970693666</v>
      </c>
      <c r="P37" s="10" t="str">
        <f t="shared" si="10"/>
        <v/>
      </c>
      <c r="Q37" s="10" t="str">
        <f t="shared" si="10"/>
        <v/>
      </c>
      <c r="R37" s="10" t="str">
        <f t="shared" si="10"/>
        <v/>
      </c>
      <c r="S37" s="10" t="str">
        <f t="shared" si="10"/>
        <v/>
      </c>
      <c r="T37" s="10" t="str">
        <f t="shared" si="10"/>
        <v/>
      </c>
      <c r="U37" s="10" t="str">
        <f t="shared" si="10"/>
        <v/>
      </c>
      <c r="V37" s="10" t="str">
        <f t="shared" si="10"/>
        <v/>
      </c>
    </row>
    <row r="38" spans="1:22" x14ac:dyDescent="0.35">
      <c r="A38" s="144"/>
      <c r="B38" s="10" t="str">
        <f t="shared" ref="B38:M38" si="20">IF(B15="","",(B15/$O$23))</f>
        <v/>
      </c>
      <c r="C38" s="10" t="str">
        <f t="shared" si="20"/>
        <v/>
      </c>
      <c r="D38" s="10" t="str">
        <f t="shared" si="20"/>
        <v/>
      </c>
      <c r="E38" s="10" t="str">
        <f t="shared" si="20"/>
        <v/>
      </c>
      <c r="F38" s="10" t="str">
        <f t="shared" si="20"/>
        <v/>
      </c>
      <c r="G38" s="10" t="str">
        <f t="shared" si="20"/>
        <v/>
      </c>
      <c r="H38" s="10" t="str">
        <f t="shared" si="20"/>
        <v/>
      </c>
      <c r="I38" s="10" t="str">
        <f t="shared" si="20"/>
        <v/>
      </c>
      <c r="J38" s="10" t="str">
        <f t="shared" si="20"/>
        <v/>
      </c>
      <c r="K38" s="10" t="str">
        <f t="shared" si="20"/>
        <v/>
      </c>
      <c r="L38" s="10" t="str">
        <f t="shared" si="20"/>
        <v/>
      </c>
      <c r="M38" s="10" t="str">
        <f t="shared" si="20"/>
        <v/>
      </c>
      <c r="N38" s="5"/>
      <c r="O38" s="10">
        <f t="shared" ref="O38:V43" si="21">IF(O15="","",(O15/$O$23))</f>
        <v>6.0635955678003825E-2</v>
      </c>
      <c r="P38" s="10" t="str">
        <f t="shared" si="21"/>
        <v/>
      </c>
      <c r="Q38" s="10" t="str">
        <f t="shared" si="21"/>
        <v/>
      </c>
      <c r="R38" s="10" t="str">
        <f t="shared" si="21"/>
        <v/>
      </c>
      <c r="S38" s="10" t="str">
        <f t="shared" si="21"/>
        <v/>
      </c>
      <c r="T38" s="10" t="str">
        <f t="shared" si="21"/>
        <v/>
      </c>
      <c r="U38" s="10" t="str">
        <f t="shared" si="21"/>
        <v/>
      </c>
      <c r="V38" s="10" t="str">
        <f t="shared" si="21"/>
        <v/>
      </c>
    </row>
    <row r="39" spans="1:22" x14ac:dyDescent="0.35">
      <c r="A39" s="144"/>
      <c r="B39" s="10" t="str">
        <f t="shared" ref="B39:M39" si="22">IF(B16="","",(B16/$O$23))</f>
        <v/>
      </c>
      <c r="C39" s="10" t="str">
        <f t="shared" si="22"/>
        <v/>
      </c>
      <c r="D39" s="10" t="str">
        <f t="shared" si="22"/>
        <v/>
      </c>
      <c r="E39" s="10" t="str">
        <f t="shared" si="22"/>
        <v/>
      </c>
      <c r="F39" s="10" t="str">
        <f t="shared" si="22"/>
        <v/>
      </c>
      <c r="G39" s="10" t="str">
        <f t="shared" si="22"/>
        <v/>
      </c>
      <c r="H39" s="10" t="str">
        <f t="shared" si="22"/>
        <v/>
      </c>
      <c r="I39" s="10" t="str">
        <f t="shared" si="22"/>
        <v/>
      </c>
      <c r="J39" s="10" t="str">
        <f t="shared" si="22"/>
        <v/>
      </c>
      <c r="K39" s="10" t="str">
        <f t="shared" si="22"/>
        <v/>
      </c>
      <c r="L39" s="10" t="str">
        <f t="shared" si="22"/>
        <v/>
      </c>
      <c r="M39" s="10" t="str">
        <f t="shared" si="22"/>
        <v/>
      </c>
      <c r="N39" s="5"/>
      <c r="O39" s="10">
        <f t="shared" si="21"/>
        <v>4.5199731971500262E-2</v>
      </c>
      <c r="P39" s="10" t="str">
        <f t="shared" si="21"/>
        <v/>
      </c>
      <c r="Q39" s="10" t="str">
        <f t="shared" si="21"/>
        <v/>
      </c>
      <c r="R39" s="10" t="str">
        <f t="shared" si="21"/>
        <v/>
      </c>
      <c r="S39" s="10" t="str">
        <f t="shared" si="21"/>
        <v/>
      </c>
      <c r="T39" s="10" t="str">
        <f t="shared" si="21"/>
        <v/>
      </c>
      <c r="U39" s="10" t="str">
        <f t="shared" si="21"/>
        <v/>
      </c>
      <c r="V39" s="10" t="str">
        <f t="shared" si="21"/>
        <v/>
      </c>
    </row>
    <row r="40" spans="1:22" x14ac:dyDescent="0.35">
      <c r="A40" s="144"/>
      <c r="B40" s="10" t="str">
        <f t="shared" ref="B40:M40" si="23">IF(B17="","",(B17/$O$23))</f>
        <v/>
      </c>
      <c r="C40" s="10" t="str">
        <f t="shared" si="23"/>
        <v/>
      </c>
      <c r="D40" s="10" t="str">
        <f t="shared" si="23"/>
        <v/>
      </c>
      <c r="E40" s="10" t="str">
        <f t="shared" si="23"/>
        <v/>
      </c>
      <c r="F40" s="10" t="str">
        <f t="shared" si="23"/>
        <v/>
      </c>
      <c r="G40" s="10" t="str">
        <f t="shared" si="23"/>
        <v/>
      </c>
      <c r="H40" s="10" t="str">
        <f t="shared" si="23"/>
        <v/>
      </c>
      <c r="I40" s="10" t="str">
        <f t="shared" si="23"/>
        <v/>
      </c>
      <c r="J40" s="10" t="str">
        <f t="shared" si="23"/>
        <v/>
      </c>
      <c r="K40" s="10" t="str">
        <f t="shared" si="23"/>
        <v/>
      </c>
      <c r="L40" s="10" t="str">
        <f t="shared" si="23"/>
        <v/>
      </c>
      <c r="M40" s="10" t="str">
        <f t="shared" si="23"/>
        <v/>
      </c>
      <c r="N40" s="5"/>
      <c r="O40" s="10">
        <f t="shared" si="21"/>
        <v>0.62192655161248644</v>
      </c>
      <c r="P40" s="10" t="str">
        <f t="shared" si="21"/>
        <v/>
      </c>
      <c r="Q40" s="10" t="str">
        <f t="shared" si="21"/>
        <v/>
      </c>
      <c r="R40" s="10" t="str">
        <f t="shared" si="21"/>
        <v/>
      </c>
      <c r="S40" s="10" t="str">
        <f t="shared" si="21"/>
        <v/>
      </c>
      <c r="T40" s="10" t="str">
        <f t="shared" si="21"/>
        <v/>
      </c>
      <c r="U40" s="10" t="str">
        <f t="shared" si="21"/>
        <v/>
      </c>
      <c r="V40" s="10" t="str">
        <f t="shared" si="21"/>
        <v/>
      </c>
    </row>
    <row r="41" spans="1:22" x14ac:dyDescent="0.35">
      <c r="A41" s="144"/>
      <c r="B41" s="10" t="str">
        <f t="shared" ref="B41:M41" si="24">IF(B18="","",(B18/$O$23))</f>
        <v/>
      </c>
      <c r="C41" s="10" t="str">
        <f t="shared" si="24"/>
        <v/>
      </c>
      <c r="D41" s="10" t="str">
        <f t="shared" si="24"/>
        <v/>
      </c>
      <c r="E41" s="10" t="str">
        <f t="shared" si="24"/>
        <v/>
      </c>
      <c r="F41" s="10" t="str">
        <f t="shared" si="24"/>
        <v/>
      </c>
      <c r="G41" s="10" t="str">
        <f t="shared" si="24"/>
        <v/>
      </c>
      <c r="H41" s="10" t="str">
        <f t="shared" si="24"/>
        <v/>
      </c>
      <c r="I41" s="10" t="str">
        <f t="shared" si="24"/>
        <v/>
      </c>
      <c r="J41" s="10" t="str">
        <f t="shared" si="24"/>
        <v/>
      </c>
      <c r="K41" s="10" t="str">
        <f t="shared" si="24"/>
        <v/>
      </c>
      <c r="L41" s="10" t="str">
        <f t="shared" si="24"/>
        <v/>
      </c>
      <c r="M41" s="10" t="str">
        <f t="shared" si="24"/>
        <v/>
      </c>
      <c r="N41" s="5"/>
      <c r="O41" s="10">
        <f t="shared" si="21"/>
        <v>9.8753123468343182E-2</v>
      </c>
      <c r="P41" s="10" t="str">
        <f t="shared" si="21"/>
        <v/>
      </c>
      <c r="Q41" s="10" t="str">
        <f t="shared" si="21"/>
        <v/>
      </c>
      <c r="R41" s="10" t="str">
        <f t="shared" si="21"/>
        <v/>
      </c>
      <c r="S41" s="10" t="str">
        <f t="shared" si="21"/>
        <v/>
      </c>
      <c r="T41" s="10" t="str">
        <f t="shared" si="21"/>
        <v/>
      </c>
      <c r="U41" s="10" t="str">
        <f t="shared" si="21"/>
        <v/>
      </c>
      <c r="V41" s="10" t="str">
        <f t="shared" si="21"/>
        <v/>
      </c>
    </row>
    <row r="42" spans="1:22" x14ac:dyDescent="0.35">
      <c r="A42" s="144"/>
      <c r="B42" s="10" t="str">
        <f t="shared" ref="B42:M42" si="25">IF(B19="","",(B19/$O$23))</f>
        <v/>
      </c>
      <c r="C42" s="10" t="str">
        <f t="shared" si="25"/>
        <v/>
      </c>
      <c r="D42" s="10" t="str">
        <f t="shared" si="25"/>
        <v/>
      </c>
      <c r="E42" s="10" t="str">
        <f t="shared" si="25"/>
        <v/>
      </c>
      <c r="F42" s="10" t="str">
        <f t="shared" si="25"/>
        <v/>
      </c>
      <c r="G42" s="10" t="str">
        <f t="shared" si="25"/>
        <v/>
      </c>
      <c r="H42" s="10" t="str">
        <f t="shared" si="25"/>
        <v/>
      </c>
      <c r="I42" s="10" t="str">
        <f t="shared" si="25"/>
        <v/>
      </c>
      <c r="J42" s="10" t="str">
        <f t="shared" si="25"/>
        <v/>
      </c>
      <c r="K42" s="10" t="str">
        <f t="shared" si="25"/>
        <v/>
      </c>
      <c r="L42" s="10" t="str">
        <f t="shared" si="25"/>
        <v/>
      </c>
      <c r="M42" s="10" t="str">
        <f t="shared" si="25"/>
        <v/>
      </c>
      <c r="N42" s="5"/>
      <c r="O42" s="10">
        <f t="shared" si="21"/>
        <v>2.9397349112351749E-2</v>
      </c>
      <c r="P42" s="10" t="str">
        <f t="shared" si="21"/>
        <v/>
      </c>
      <c r="Q42" s="10" t="str">
        <f t="shared" si="21"/>
        <v/>
      </c>
      <c r="R42" s="10" t="str">
        <f t="shared" si="21"/>
        <v/>
      </c>
      <c r="S42" s="10" t="str">
        <f t="shared" si="21"/>
        <v/>
      </c>
      <c r="T42" s="10" t="str">
        <f t="shared" si="21"/>
        <v/>
      </c>
      <c r="U42" s="10" t="str">
        <f t="shared" si="21"/>
        <v/>
      </c>
      <c r="V42" s="10" t="str">
        <f t="shared" si="21"/>
        <v/>
      </c>
    </row>
    <row r="43" spans="1:22" x14ac:dyDescent="0.35">
      <c r="A43" s="144"/>
      <c r="B43" s="10" t="str">
        <f t="shared" ref="B43:M43" si="26">IF(B20="","",(B20/$O$23))</f>
        <v/>
      </c>
      <c r="C43" s="10" t="str">
        <f t="shared" si="26"/>
        <v/>
      </c>
      <c r="D43" s="10" t="str">
        <f t="shared" si="26"/>
        <v/>
      </c>
      <c r="E43" s="10" t="str">
        <f t="shared" si="26"/>
        <v/>
      </c>
      <c r="F43" s="10" t="str">
        <f t="shared" si="26"/>
        <v/>
      </c>
      <c r="G43" s="10" t="str">
        <f t="shared" si="26"/>
        <v/>
      </c>
      <c r="H43" s="10" t="str">
        <f t="shared" si="26"/>
        <v/>
      </c>
      <c r="I43" s="10" t="str">
        <f t="shared" si="26"/>
        <v/>
      </c>
      <c r="J43" s="10" t="str">
        <f t="shared" si="26"/>
        <v/>
      </c>
      <c r="K43" s="10" t="str">
        <f t="shared" si="26"/>
        <v/>
      </c>
      <c r="L43" s="10" t="str">
        <f t="shared" si="26"/>
        <v/>
      </c>
      <c r="M43" s="10" t="str">
        <f t="shared" si="26"/>
        <v/>
      </c>
      <c r="N43" s="5"/>
      <c r="O43" s="10" t="str">
        <f t="shared" si="21"/>
        <v/>
      </c>
      <c r="P43" s="10" t="str">
        <f t="shared" si="21"/>
        <v/>
      </c>
      <c r="Q43" s="10" t="str">
        <f t="shared" si="21"/>
        <v/>
      </c>
      <c r="R43" s="10" t="str">
        <f t="shared" si="21"/>
        <v/>
      </c>
      <c r="S43" s="10" t="str">
        <f t="shared" si="21"/>
        <v/>
      </c>
      <c r="T43" s="10" t="str">
        <f t="shared" si="21"/>
        <v/>
      </c>
      <c r="U43" s="10" t="str">
        <f t="shared" si="21"/>
        <v/>
      </c>
      <c r="V43" s="10" t="str">
        <f t="shared" si="21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1" t="str">
        <f t="shared" ref="A45" si="27">A4</f>
        <v>Group names</v>
      </c>
      <c r="B45" s="6" t="str">
        <f t="shared" ref="B45:V45" si="28">B4</f>
        <v>Solvent control</v>
      </c>
      <c r="C45" s="6" t="str">
        <f t="shared" si="28"/>
        <v>EE2-33.8ng/L</v>
      </c>
      <c r="D45" s="6" t="str">
        <f t="shared" si="28"/>
        <v>EE2-50.6ng/L</v>
      </c>
      <c r="E45" s="6" t="str">
        <f t="shared" si="28"/>
        <v>EE2-76ng/L</v>
      </c>
      <c r="F45" s="6" t="str">
        <f t="shared" si="28"/>
        <v>EE2-114ng/L</v>
      </c>
      <c r="G45" s="6" t="str">
        <f t="shared" si="28"/>
        <v>EE2-170.9ng/L</v>
      </c>
      <c r="H45" s="6" t="str">
        <f t="shared" si="28"/>
        <v>EE2-488ng/L</v>
      </c>
      <c r="I45" s="6" t="str">
        <f t="shared" si="28"/>
        <v>Atenolol-0,01mg/L</v>
      </c>
      <c r="J45" s="6" t="str">
        <f t="shared" si="28"/>
        <v>Atenolol-0,1mg/L</v>
      </c>
      <c r="K45" s="6" t="str">
        <f t="shared" si="28"/>
        <v>Atenolol-1mg/L</v>
      </c>
      <c r="L45" s="6" t="str">
        <f t="shared" si="28"/>
        <v>Atenolol-10mg/L</v>
      </c>
      <c r="M45" s="6" t="str">
        <f t="shared" si="28"/>
        <v>Atenolol-100mg/L</v>
      </c>
      <c r="N45" s="6"/>
      <c r="O45" s="6" t="str">
        <f t="shared" si="28"/>
        <v>Testo -30µg/L</v>
      </c>
      <c r="P45" s="6" t="str">
        <f t="shared" si="28"/>
        <v>Testo 30µg/L + EE2 -64ng/L</v>
      </c>
      <c r="Q45" s="6" t="str">
        <f t="shared" si="28"/>
        <v>Testo 30µg/L + FAD-10mg/L</v>
      </c>
      <c r="R45" s="6" t="str">
        <f t="shared" si="28"/>
        <v>Atenolol-0,01mg/L + Testostérone</v>
      </c>
      <c r="S45" s="6" t="str">
        <f t="shared" si="28"/>
        <v>Atenolol-0,1mg/L + Testostérone</v>
      </c>
      <c r="T45" s="6" t="str">
        <f t="shared" si="28"/>
        <v>Atenolol-1mg/L + Testostérone</v>
      </c>
      <c r="U45" s="6" t="str">
        <f t="shared" si="28"/>
        <v>Atenolol-10mg/L + Testostérone</v>
      </c>
      <c r="V45" s="6" t="str">
        <f t="shared" si="28"/>
        <v>Atenolol-100mg/L + Testostérone</v>
      </c>
    </row>
    <row r="46" spans="1:22" x14ac:dyDescent="0.35">
      <c r="A46" s="7" t="s">
        <v>0</v>
      </c>
      <c r="B46" s="9">
        <f t="shared" ref="B46:H46" si="29">AVERAGE(B28:B43)</f>
        <v>8.1855532429408434E-2</v>
      </c>
      <c r="C46" s="9">
        <f t="shared" si="29"/>
        <v>1.0487657484864736</v>
      </c>
      <c r="D46" s="9">
        <f t="shared" si="29"/>
        <v>1.7272989171627686</v>
      </c>
      <c r="E46" s="9">
        <f t="shared" si="29"/>
        <v>4.5748794159447659</v>
      </c>
      <c r="F46" s="9">
        <f t="shared" si="29"/>
        <v>7.7816058118873048</v>
      </c>
      <c r="G46" s="9">
        <f t="shared" si="29"/>
        <v>10.774613283626357</v>
      </c>
      <c r="H46" s="9">
        <f t="shared" si="29"/>
        <v>16.607275543131717</v>
      </c>
      <c r="I46" s="9">
        <f>AVERAGE(I28:I43)</f>
        <v>9.5002607576251341E-2</v>
      </c>
      <c r="J46" s="8">
        <f>AVERAGE(J28:J43)</f>
        <v>0.11165140654807643</v>
      </c>
      <c r="K46" s="8">
        <f t="shared" ref="K46:M46" si="30">AVERAGE(K28:K43)</f>
        <v>5.3778644761282537E-2</v>
      </c>
      <c r="L46" s="8">
        <f t="shared" si="30"/>
        <v>0.17429927599873832</v>
      </c>
      <c r="M46" s="8">
        <f t="shared" si="30"/>
        <v>8.1334035860730694E-2</v>
      </c>
      <c r="N46" s="7" t="s">
        <v>0</v>
      </c>
      <c r="O46" s="9">
        <f t="shared" ref="O46:V46" si="31">AVERAGE(O28:O43)</f>
        <v>0.99999999999999978</v>
      </c>
      <c r="P46" s="9">
        <f t="shared" si="31"/>
        <v>7.6030764168920717</v>
      </c>
      <c r="Q46" s="9">
        <f t="shared" si="31"/>
        <v>9.9057493263979307E-2</v>
      </c>
      <c r="R46" s="9">
        <f t="shared" si="31"/>
        <v>0.87046394195435883</v>
      </c>
      <c r="S46" s="9">
        <f t="shared" si="31"/>
        <v>1.2190488096875849</v>
      </c>
      <c r="T46" s="9">
        <f t="shared" si="31"/>
        <v>0.83687439747203718</v>
      </c>
      <c r="U46" s="9">
        <f t="shared" si="31"/>
        <v>1.8118440380210694</v>
      </c>
      <c r="V46" s="9">
        <f t="shared" si="31"/>
        <v>2.7571843041171458</v>
      </c>
    </row>
    <row r="47" spans="1:22" x14ac:dyDescent="0.35">
      <c r="A47" s="7" t="s">
        <v>1</v>
      </c>
      <c r="B47" s="7">
        <f t="shared" ref="B47:M47" si="32">STDEV(B28:B43)</f>
        <v>6.4226739001193453E-2</v>
      </c>
      <c r="C47" s="7">
        <f t="shared" si="32"/>
        <v>1.9686307209298599</v>
      </c>
      <c r="D47" s="7">
        <f t="shared" si="32"/>
        <v>1.6932301127308451</v>
      </c>
      <c r="E47" s="7">
        <f t="shared" si="32"/>
        <v>3.9913528043602886</v>
      </c>
      <c r="F47" s="7">
        <f t="shared" si="32"/>
        <v>1.977911355863557</v>
      </c>
      <c r="G47" s="7">
        <f t="shared" si="32"/>
        <v>2.6737637859866883</v>
      </c>
      <c r="H47" s="7">
        <f t="shared" si="32"/>
        <v>5.7931367742561832</v>
      </c>
      <c r="I47" s="7">
        <f t="shared" si="32"/>
        <v>8.0134893006982177E-2</v>
      </c>
      <c r="J47" s="7">
        <f t="shared" si="32"/>
        <v>0.11976381981991177</v>
      </c>
      <c r="K47" s="7">
        <f t="shared" si="32"/>
        <v>6.3931743362324281E-2</v>
      </c>
      <c r="L47" s="7">
        <f t="shared" si="32"/>
        <v>0.14907766307735293</v>
      </c>
      <c r="M47" s="7">
        <f t="shared" si="32"/>
        <v>6.8264151029847342E-2</v>
      </c>
      <c r="N47" s="7" t="s">
        <v>1</v>
      </c>
      <c r="O47" s="7">
        <f t="shared" ref="O47:V47" si="33">STDEV(O28:O43)</f>
        <v>1.5073720513805036</v>
      </c>
      <c r="P47" s="7">
        <f t="shared" si="33"/>
        <v>4.51329479442124</v>
      </c>
      <c r="Q47" s="7">
        <f t="shared" si="33"/>
        <v>9.9402422077158617E-2</v>
      </c>
      <c r="R47" s="7">
        <f t="shared" si="33"/>
        <v>1.0301785302620423</v>
      </c>
      <c r="S47" s="7">
        <f t="shared" si="33"/>
        <v>1.8198632634043779</v>
      </c>
      <c r="T47" s="7">
        <f t="shared" si="33"/>
        <v>0.8829432675198724</v>
      </c>
      <c r="U47" s="7">
        <f t="shared" si="33"/>
        <v>1.2161676694488048</v>
      </c>
      <c r="V47" s="7">
        <f t="shared" si="33"/>
        <v>1.895164250378147</v>
      </c>
    </row>
    <row r="48" spans="1:22" x14ac:dyDescent="0.35">
      <c r="A48" s="7" t="s">
        <v>2</v>
      </c>
      <c r="B48" s="7">
        <f t="shared" ref="B48:M48" si="34" xml:space="preserve"> B47/SQRT(COUNT(B28:B43))</f>
        <v>2.2707581340621195E-2</v>
      </c>
      <c r="C48" s="7">
        <f t="shared" si="34"/>
        <v>0.74407247298602952</v>
      </c>
      <c r="D48" s="7">
        <f t="shared" si="34"/>
        <v>0.59864724741062136</v>
      </c>
      <c r="E48" s="7">
        <f t="shared" si="34"/>
        <v>1.4111563170355517</v>
      </c>
      <c r="F48" s="7">
        <f t="shared" si="34"/>
        <v>0.69929726615849985</v>
      </c>
      <c r="G48" s="7">
        <f t="shared" si="34"/>
        <v>0.94531825218110199</v>
      </c>
      <c r="H48" s="7">
        <f t="shared" si="34"/>
        <v>2.0481831487088544</v>
      </c>
      <c r="I48" s="7">
        <f t="shared" si="34"/>
        <v>2.8331963127447769E-2</v>
      </c>
      <c r="J48" s="7">
        <f t="shared" si="34"/>
        <v>4.2342904567731723E-2</v>
      </c>
      <c r="K48" s="7">
        <f t="shared" si="34"/>
        <v>2.2603284632288771E-2</v>
      </c>
      <c r="L48" s="7">
        <f t="shared" si="34"/>
        <v>5.2706913242719824E-2</v>
      </c>
      <c r="M48" s="7">
        <f t="shared" si="34"/>
        <v>2.5801423869418545E-2</v>
      </c>
      <c r="N48" s="7" t="s">
        <v>2</v>
      </c>
      <c r="O48" s="7">
        <f t="shared" ref="O48:V48" si="35" xml:space="preserve"> O47/SQRT(COUNT(O28:O43))</f>
        <v>0.38920179010234673</v>
      </c>
      <c r="P48" s="7">
        <f t="shared" si="35"/>
        <v>1.5956906773146018</v>
      </c>
      <c r="Q48" s="7">
        <f t="shared" si="35"/>
        <v>3.514406335856312E-2</v>
      </c>
      <c r="R48" s="7">
        <f t="shared" si="35"/>
        <v>0.3642231122905405</v>
      </c>
      <c r="S48" s="7">
        <f t="shared" si="35"/>
        <v>0.68784365930148816</v>
      </c>
      <c r="T48" s="7">
        <f t="shared" si="35"/>
        <v>0.31216758593315486</v>
      </c>
      <c r="U48" s="7">
        <f t="shared" si="35"/>
        <v>0.45966817227407758</v>
      </c>
      <c r="V48" s="7">
        <f t="shared" si="35"/>
        <v>0.67004174645235381</v>
      </c>
    </row>
    <row r="49" spans="1:22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9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</row>
    <row r="51" spans="1:22" ht="15" thickBot="1" x14ac:dyDescent="0.4"/>
    <row r="52" spans="1:22" x14ac:dyDescent="0.35">
      <c r="A52" s="27" t="str">
        <f t="shared" ref="A52" si="36">A27</f>
        <v>Group names</v>
      </c>
      <c r="B52" s="28" t="str">
        <f t="shared" ref="B52:H52" si="37">B27</f>
        <v>Solvent control</v>
      </c>
      <c r="C52" s="28" t="str">
        <f t="shared" si="37"/>
        <v>EE2-33.8ng/L</v>
      </c>
      <c r="D52" s="28" t="str">
        <f t="shared" si="37"/>
        <v>EE2-50.6ng/L</v>
      </c>
      <c r="E52" s="28" t="str">
        <f t="shared" si="37"/>
        <v>EE2-76ng/L</v>
      </c>
      <c r="F52" s="28" t="str">
        <f t="shared" si="37"/>
        <v>EE2-114ng/L</v>
      </c>
      <c r="G52" s="28" t="str">
        <f t="shared" si="37"/>
        <v>EE2-170.9ng/L</v>
      </c>
      <c r="H52" s="28" t="str">
        <f t="shared" si="37"/>
        <v>EE2-488ng/L</v>
      </c>
      <c r="I52" s="28" t="str">
        <f>I4</f>
        <v>Atenolol-0,01mg/L</v>
      </c>
      <c r="J52" s="28" t="str">
        <f>J4</f>
        <v>Atenolol-0,1mg/L</v>
      </c>
      <c r="K52" s="28" t="str">
        <f t="shared" ref="K52:M52" si="38">K4</f>
        <v>Atenolol-1mg/L</v>
      </c>
      <c r="L52" s="28" t="str">
        <f t="shared" si="38"/>
        <v>Atenolol-10mg/L</v>
      </c>
      <c r="M52" s="28" t="str">
        <f t="shared" si="38"/>
        <v>Atenolol-100mg/L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Atenolol-0,01mg/L + Testostérone</v>
      </c>
      <c r="S52" s="28" t="str">
        <f t="shared" ref="S52:V52" si="39">S27</f>
        <v>Atenolol-0,1mg/L + Testostérone</v>
      </c>
      <c r="T52" s="28" t="str">
        <f t="shared" si="39"/>
        <v>Atenolol-1mg/L + Testostérone</v>
      </c>
      <c r="U52" s="28" t="str">
        <f t="shared" si="39"/>
        <v>Atenolol-10mg/L + Testostérone</v>
      </c>
      <c r="V52" s="28" t="str">
        <f t="shared" si="39"/>
        <v>Atenolol-100mg/L + Testostérone</v>
      </c>
    </row>
    <row r="53" spans="1:22" s="3" customFormat="1" x14ac:dyDescent="0.35">
      <c r="A53" s="43" t="s">
        <v>10</v>
      </c>
      <c r="B53" s="75">
        <f t="shared" ref="B53:V53" si="40">B46</f>
        <v>8.1855532429408434E-2</v>
      </c>
      <c r="C53" s="75">
        <f t="shared" si="40"/>
        <v>1.0487657484864736</v>
      </c>
      <c r="D53" s="75">
        <f t="shared" si="40"/>
        <v>1.7272989171627686</v>
      </c>
      <c r="E53" s="75">
        <f t="shared" si="40"/>
        <v>4.5748794159447659</v>
      </c>
      <c r="F53" s="75">
        <f t="shared" si="40"/>
        <v>7.7816058118873048</v>
      </c>
      <c r="G53" s="75">
        <f t="shared" si="40"/>
        <v>10.774613283626357</v>
      </c>
      <c r="H53" s="75">
        <f t="shared" si="40"/>
        <v>16.607275543131717</v>
      </c>
      <c r="I53" s="75">
        <f t="shared" si="40"/>
        <v>9.5002607576251341E-2</v>
      </c>
      <c r="J53" s="75">
        <f t="shared" si="40"/>
        <v>0.11165140654807643</v>
      </c>
      <c r="K53" s="75">
        <f t="shared" si="40"/>
        <v>5.3778644761282537E-2</v>
      </c>
      <c r="L53" s="75">
        <f t="shared" si="40"/>
        <v>0.17429927599873832</v>
      </c>
      <c r="M53" s="75">
        <f t="shared" si="40"/>
        <v>8.1334035860730694E-2</v>
      </c>
      <c r="N53" s="75"/>
      <c r="O53" s="75">
        <f t="shared" si="40"/>
        <v>0.99999999999999978</v>
      </c>
      <c r="P53" s="75">
        <f t="shared" si="40"/>
        <v>7.6030764168920717</v>
      </c>
      <c r="Q53" s="75">
        <f t="shared" si="40"/>
        <v>9.9057493263979307E-2</v>
      </c>
      <c r="R53" s="75">
        <f t="shared" si="40"/>
        <v>0.87046394195435883</v>
      </c>
      <c r="S53" s="75">
        <f t="shared" si="40"/>
        <v>1.2190488096875849</v>
      </c>
      <c r="T53" s="75">
        <f t="shared" si="40"/>
        <v>0.83687439747203718</v>
      </c>
      <c r="U53" s="75">
        <f t="shared" si="40"/>
        <v>1.8118440380210694</v>
      </c>
      <c r="V53" s="75">
        <f t="shared" si="40"/>
        <v>2.7571843041171458</v>
      </c>
    </row>
    <row r="54" spans="1:22" s="3" customFormat="1" x14ac:dyDescent="0.35">
      <c r="A54" s="43" t="s">
        <v>2</v>
      </c>
      <c r="B54" s="75">
        <f t="shared" ref="B54:V54" si="41">B48</f>
        <v>2.2707581340621195E-2</v>
      </c>
      <c r="C54" s="75">
        <f t="shared" si="41"/>
        <v>0.74407247298602952</v>
      </c>
      <c r="D54" s="75">
        <f t="shared" si="41"/>
        <v>0.59864724741062136</v>
      </c>
      <c r="E54" s="75">
        <f t="shared" si="41"/>
        <v>1.4111563170355517</v>
      </c>
      <c r="F54" s="75">
        <f t="shared" si="41"/>
        <v>0.69929726615849985</v>
      </c>
      <c r="G54" s="75">
        <f t="shared" si="41"/>
        <v>0.94531825218110199</v>
      </c>
      <c r="H54" s="75">
        <f t="shared" si="41"/>
        <v>2.0481831487088544</v>
      </c>
      <c r="I54" s="75">
        <f t="shared" si="41"/>
        <v>2.8331963127447769E-2</v>
      </c>
      <c r="J54" s="75">
        <f t="shared" si="41"/>
        <v>4.2342904567731723E-2</v>
      </c>
      <c r="K54" s="75">
        <f t="shared" si="41"/>
        <v>2.2603284632288771E-2</v>
      </c>
      <c r="L54" s="75">
        <f t="shared" si="41"/>
        <v>5.2706913242719824E-2</v>
      </c>
      <c r="M54" s="75">
        <f t="shared" si="41"/>
        <v>2.5801423869418545E-2</v>
      </c>
      <c r="N54" s="75"/>
      <c r="O54" s="75">
        <f t="shared" si="41"/>
        <v>0.38920179010234673</v>
      </c>
      <c r="P54" s="75">
        <f t="shared" si="41"/>
        <v>1.5956906773146018</v>
      </c>
      <c r="Q54" s="75">
        <f t="shared" si="41"/>
        <v>3.514406335856312E-2</v>
      </c>
      <c r="R54" s="75">
        <f t="shared" si="41"/>
        <v>0.3642231122905405</v>
      </c>
      <c r="S54" s="75">
        <f t="shared" si="41"/>
        <v>0.68784365930148816</v>
      </c>
      <c r="T54" s="75">
        <f t="shared" si="41"/>
        <v>0.31216758593315486</v>
      </c>
      <c r="U54" s="75">
        <f t="shared" si="41"/>
        <v>0.45966817227407758</v>
      </c>
      <c r="V54" s="75">
        <f t="shared" si="41"/>
        <v>0.67004174645235381</v>
      </c>
    </row>
    <row r="55" spans="1:22" s="3" customFormat="1" x14ac:dyDescent="0.35">
      <c r="A55" s="43" t="s">
        <v>14</v>
      </c>
      <c r="B55" s="75">
        <f>(B53*100/$B53)-100</f>
        <v>0</v>
      </c>
      <c r="C55" s="75">
        <f t="shared" ref="C55:M55" si="42">(C53*100/$B53)-100</f>
        <v>1181.2399081160713</v>
      </c>
      <c r="D55" s="75">
        <f t="shared" si="42"/>
        <v>2010.1798081301072</v>
      </c>
      <c r="E55" s="75">
        <f t="shared" si="42"/>
        <v>5488.9678805645863</v>
      </c>
      <c r="F55" s="75">
        <f t="shared" si="42"/>
        <v>9406.5117542276093</v>
      </c>
      <c r="G55" s="75">
        <f t="shared" si="42"/>
        <v>13062.962800246029</v>
      </c>
      <c r="H55" s="75">
        <f t="shared" si="42"/>
        <v>20188.519358729602</v>
      </c>
      <c r="I55" s="75">
        <f t="shared" si="42"/>
        <v>16.061315291279612</v>
      </c>
      <c r="J55" s="75">
        <f t="shared" si="42"/>
        <v>36.40056234972721</v>
      </c>
      <c r="K55" s="75">
        <f t="shared" si="42"/>
        <v>-34.300537587168193</v>
      </c>
      <c r="L55" s="75">
        <f t="shared" si="42"/>
        <v>112.93524191422568</v>
      </c>
      <c r="M55" s="75">
        <f t="shared" si="42"/>
        <v>-0.63709385694544096</v>
      </c>
      <c r="N55" s="75"/>
      <c r="O55" s="75">
        <f t="shared" ref="O55:V55" si="43">(O53*100/$O53)-100</f>
        <v>0</v>
      </c>
      <c r="P55" s="75">
        <f t="shared" si="43"/>
        <v>660.30764168920723</v>
      </c>
      <c r="Q55" s="75">
        <f t="shared" si="43"/>
        <v>-90.094250673602062</v>
      </c>
      <c r="R55" s="75">
        <f t="shared" si="43"/>
        <v>-12.953605804564106</v>
      </c>
      <c r="S55" s="75">
        <f t="shared" si="43"/>
        <v>21.904880968758519</v>
      </c>
      <c r="T55" s="75">
        <f t="shared" si="43"/>
        <v>-16.312560252796274</v>
      </c>
      <c r="U55" s="75">
        <f t="shared" si="43"/>
        <v>81.184403802106971</v>
      </c>
      <c r="V55" s="75">
        <f t="shared" si="43"/>
        <v>175.71843041171462</v>
      </c>
    </row>
    <row r="56" spans="1:22" s="3" customFormat="1" x14ac:dyDescent="0.35">
      <c r="A56" s="43" t="s">
        <v>38</v>
      </c>
      <c r="B56" s="75">
        <f>[1]!SWTEST(B28:B43)</f>
        <v>0.53907946325789324</v>
      </c>
      <c r="C56" s="75">
        <f>[1]!SWTEST(C28:C43)</f>
        <v>1.1076676275412201E-4</v>
      </c>
      <c r="D56" s="75">
        <f>[1]!SWTEST(D28:D43)</f>
        <v>0.1949816144464056</v>
      </c>
      <c r="E56" s="75">
        <f>[1]!SWTEST(E28:E43)</f>
        <v>0.26974551666386681</v>
      </c>
      <c r="F56" s="75">
        <f>[1]!SWTEST(F28:F43)</f>
        <v>0.23740496767563246</v>
      </c>
      <c r="G56" s="75">
        <f>[1]!SWTEST(G28:G43)</f>
        <v>0.77137994744947758</v>
      </c>
      <c r="H56" s="75">
        <f>[1]!SWTEST(H28:H43)</f>
        <v>0.12519617643994485</v>
      </c>
      <c r="I56" s="75">
        <f>[1]!SWTEST(I28:I43)</f>
        <v>0.38317894891516047</v>
      </c>
      <c r="J56" s="75">
        <f>[1]!SWTEST(J28:J43)</f>
        <v>8.4039400087082661E-2</v>
      </c>
      <c r="K56" s="75">
        <f>[1]!SWTEST(K28:K43)</f>
        <v>1.8320908397348457E-2</v>
      </c>
      <c r="L56" s="75">
        <f>[1]!SWTEST(L28:L43)</f>
        <v>0.29874636910141028</v>
      </c>
      <c r="M56" s="75">
        <f>[1]!SWTEST(M28:M43)</f>
        <v>0.28817084392388681</v>
      </c>
      <c r="N56" s="75"/>
      <c r="O56" s="75">
        <f>[1]!SWTEST(O28:O43)</f>
        <v>1.9801152749432394E-4</v>
      </c>
      <c r="P56" s="75">
        <f>[1]!SWTEST(P28:P43)</f>
        <v>8.9536724224235198E-2</v>
      </c>
      <c r="Q56" s="75">
        <f>[1]!SWTEST(Q28:Q43)</f>
        <v>1.11299386904673E-3</v>
      </c>
      <c r="R56" s="75">
        <f>[1]!SWTEST(R28:R43)</f>
        <v>3.0115737791782116E-2</v>
      </c>
      <c r="S56" s="75">
        <f>[1]!SWTEST(S28:S43)</f>
        <v>1.936006996944295E-3</v>
      </c>
      <c r="T56" s="75">
        <f>[1]!SWTEST(T28:T43)</f>
        <v>0.10547956579313678</v>
      </c>
      <c r="U56" s="75">
        <f>[1]!SWTEST(U28:U43)</f>
        <v>0.27629428499159014</v>
      </c>
      <c r="V56" s="75">
        <f>[1]!SWTEST(V28:V43)</f>
        <v>0.75194998661530077</v>
      </c>
    </row>
    <row r="57" spans="1:22" s="3" customFormat="1" x14ac:dyDescent="0.35">
      <c r="A57" s="43" t="s">
        <v>39</v>
      </c>
      <c r="B57" s="75" t="str">
        <f>IF(B56&gt;0.05,"Oui","Non")</f>
        <v>Oui</v>
      </c>
      <c r="C57" s="75" t="str">
        <f t="shared" ref="C57:V57" si="44">IF(C56&gt;0.05,"Oui","Non")</f>
        <v>Non</v>
      </c>
      <c r="D57" s="75" t="str">
        <f t="shared" si="44"/>
        <v>Oui</v>
      </c>
      <c r="E57" s="75" t="str">
        <f t="shared" si="44"/>
        <v>Oui</v>
      </c>
      <c r="F57" s="75" t="str">
        <f t="shared" si="44"/>
        <v>Oui</v>
      </c>
      <c r="G57" s="75" t="str">
        <f t="shared" si="44"/>
        <v>Oui</v>
      </c>
      <c r="H57" s="75" t="str">
        <f t="shared" si="44"/>
        <v>Oui</v>
      </c>
      <c r="I57" s="75" t="str">
        <f t="shared" si="44"/>
        <v>Oui</v>
      </c>
      <c r="J57" s="75" t="str">
        <f t="shared" si="44"/>
        <v>Oui</v>
      </c>
      <c r="K57" s="75" t="str">
        <f t="shared" si="44"/>
        <v>Non</v>
      </c>
      <c r="L57" s="75" t="str">
        <f t="shared" si="44"/>
        <v>Oui</v>
      </c>
      <c r="M57" s="75" t="str">
        <f t="shared" si="44"/>
        <v>Oui</v>
      </c>
      <c r="N57" s="75"/>
      <c r="O57" s="75" t="str">
        <f t="shared" si="44"/>
        <v>Non</v>
      </c>
      <c r="P57" s="75" t="str">
        <f t="shared" si="44"/>
        <v>Oui</v>
      </c>
      <c r="Q57" s="75" t="str">
        <f t="shared" si="44"/>
        <v>Non</v>
      </c>
      <c r="R57" s="75" t="str">
        <f t="shared" si="44"/>
        <v>Non</v>
      </c>
      <c r="S57" s="75" t="str">
        <f t="shared" si="44"/>
        <v>Non</v>
      </c>
      <c r="T57" s="75" t="str">
        <f t="shared" si="44"/>
        <v>Oui</v>
      </c>
      <c r="U57" s="75" t="str">
        <f t="shared" si="44"/>
        <v>Oui</v>
      </c>
      <c r="V57" s="75" t="str">
        <f t="shared" si="44"/>
        <v>Oui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str">
        <f t="shared" ref="C59:O59" si="45">IF($B57="Non",IF(C57="Non","MW",IF(C57="Oui","MW","")),IF($B57="Oui",IF(C57="Oui","T-Test Welch",IF(C57="Non","MW",""))))</f>
        <v>MW</v>
      </c>
      <c r="D59" s="79" t="str">
        <f t="shared" si="45"/>
        <v>T-Test Welch</v>
      </c>
      <c r="E59" s="79" t="str">
        <f t="shared" si="45"/>
        <v>T-Test Welch</v>
      </c>
      <c r="F59" s="79" t="str">
        <f t="shared" si="45"/>
        <v>T-Test Welch</v>
      </c>
      <c r="G59" s="79" t="str">
        <f t="shared" si="45"/>
        <v>T-Test Welch</v>
      </c>
      <c r="H59" s="79" t="str">
        <f t="shared" si="45"/>
        <v>T-Test Welch</v>
      </c>
      <c r="I59" s="79" t="str">
        <f t="shared" si="45"/>
        <v>T-Test Welch</v>
      </c>
      <c r="J59" s="79" t="str">
        <f t="shared" si="45"/>
        <v>T-Test Welch</v>
      </c>
      <c r="K59" s="79" t="str">
        <f t="shared" si="45"/>
        <v>MW</v>
      </c>
      <c r="L59" s="79" t="str">
        <f t="shared" si="45"/>
        <v>T-Test Welch</v>
      </c>
      <c r="M59" s="79" t="str">
        <f t="shared" si="45"/>
        <v>T-Test Welch</v>
      </c>
      <c r="N59" s="79"/>
      <c r="O59" s="79" t="str">
        <f t="shared" si="45"/>
        <v>MW</v>
      </c>
      <c r="P59" s="79" t="str">
        <f t="shared" ref="P59:V59" si="46">IF($O57="Non",IF(P57="Non","MW",IF(P57="Oui","MW","")),IF($O57="Oui",IF(P57="Oui","T-Test Welch",IF(P57="Non","MW",""))))</f>
        <v>MW</v>
      </c>
      <c r="Q59" s="79" t="str">
        <f t="shared" si="46"/>
        <v>MW</v>
      </c>
      <c r="R59" s="79" t="str">
        <f t="shared" si="46"/>
        <v>MW</v>
      </c>
      <c r="S59" s="79" t="str">
        <f t="shared" si="46"/>
        <v>MW</v>
      </c>
      <c r="T59" s="79" t="str">
        <f t="shared" si="46"/>
        <v>MW</v>
      </c>
      <c r="U59" s="79" t="str">
        <f t="shared" si="46"/>
        <v>MW</v>
      </c>
      <c r="V59" s="79" t="str">
        <f t="shared" si="46"/>
        <v>MW</v>
      </c>
    </row>
    <row r="60" spans="1:22" s="3" customFormat="1" x14ac:dyDescent="0.35">
      <c r="A60" s="43" t="s">
        <v>41</v>
      </c>
      <c r="B60" s="80"/>
      <c r="C60" s="80">
        <f>IF(C59="MW",[1]!MTEST($B28:$B43,C28:C43,2), IF(C59="T-Test Welch",_xlfn.T.TEST($B28:$B43,C28:C43,2,3),""))</f>
        <v>2.0637558243972176E-2</v>
      </c>
      <c r="D60" s="80">
        <f>IF(D59="MW",[1]!MTEST($B28:$B43,D28:D43,2), IF(D59="T-Test Welch",_xlfn.T.TEST($B28:$B43,D28:D43,2,3),""))</f>
        <v>2.8562234014806159E-2</v>
      </c>
      <c r="E60" s="80">
        <f>IF(E59="MW",[1]!MTEST($B28:$B43,E28:E43,2), IF(E59="T-Test Welch",_xlfn.T.TEST($B28:$B43,E28:E43,2,3),""))</f>
        <v>1.5404335021346001E-2</v>
      </c>
      <c r="F60" s="80">
        <f>IF(F59="MW",[1]!MTEST($B28:$B43,F28:F43,2), IF(F59="T-Test Welch",_xlfn.T.TEST($B28:$B43,F28:F43,2,3),""))</f>
        <v>1.1169195450769399E-5</v>
      </c>
      <c r="G60" s="80">
        <f>IF(G59="MW",[1]!MTEST($B28:$B43,G28:G43,2), IF(G59="T-Test Welch",_xlfn.T.TEST($B28:$B43,G28:G43,2,3),""))</f>
        <v>9.3815397522530554E-6</v>
      </c>
      <c r="H60" s="80">
        <f>IF(H59="MW",[1]!MTEST($B28:$B43,H28:H43,2), IF(H59="T-Test Welch",_xlfn.T.TEST($B28:$B43,H28:H43,2,3),""))</f>
        <v>8.624664613714379E-5</v>
      </c>
      <c r="I60" s="80">
        <f>IF(I59="MW",[1]!MTEST($B28:$B43,I28:I43,2), IF(I59="T-Test Welch",_xlfn.T.TEST($B28:$B43,I28:I43,2,3),""))</f>
        <v>0.72294533752711221</v>
      </c>
      <c r="J60" s="80">
        <f>IF(J59="MW",[1]!MTEST($B28:$B43,J28:J43,2), IF(J59="T-Test Welch",_xlfn.T.TEST($B28:$B43,J28:J43,2,3),""))</f>
        <v>0.54812626694088995</v>
      </c>
      <c r="K60" s="80">
        <f>IF(K59="MW",[1]!MTEST($B28:$B43,K28:K43,2), IF(K59="T-Test Welch",_xlfn.T.TEST($B28:$B43,K28:K43,2,3),""))</f>
        <v>0.75271380626305229</v>
      </c>
      <c r="L60" s="80">
        <f>IF(L59="MW",[1]!MTEST($B28:$B43,L28:L43,2), IF(L59="T-Test Welch",_xlfn.T.TEST($B28:$B43,L28:L43,2,3),""))</f>
        <v>0.13986675358621406</v>
      </c>
      <c r="M60" s="80">
        <f>IF(M59="MW",[1]!MTEST($B28:$B43,M28:M43,2), IF(M59="T-Test Welch",_xlfn.T.TEST($B28:$B43,M28:M43,2,3),""))</f>
        <v>0.98813432204017337</v>
      </c>
      <c r="N60" s="80"/>
      <c r="O60" s="80">
        <f>IF(O59="MW",[1]!MTEST($B28:$B43,O28:O43,2), IF(O59="T-Test Welch",_xlfn.T.TEST($B28:$B43,O28:O43,2,3),""))</f>
        <v>0.17524424540000605</v>
      </c>
      <c r="P60" s="80">
        <f>IF(P59="MW",[1]!MTEST($O28:$O43,P28:P43,2), IF(P59="T-Test Welch",_xlfn.T.TEST($O28:$O43,P28:P43,2,3),""))</f>
        <v>3.8488780126577637E-4</v>
      </c>
      <c r="Q60" s="80">
        <f>IF(Q59="MW",[1]!MTEST($O28:$O43,Q28:Q43,2), IF(Q59="T-Test Welch",_xlfn.T.TEST($O28:$O43,Q28:Q43,2,3),""))</f>
        <v>0.30169958247834794</v>
      </c>
      <c r="R60" s="80">
        <f>IF(R59="MW",[1]!MTEST($O28:$O43,R28:R43,2), IF(R59="T-Test Welch",_xlfn.T.TEST($O28:$O43,R28:R43,2,3),""))</f>
        <v>0.69853535830333868</v>
      </c>
      <c r="S60" s="80">
        <f>IF(S59="MW",[1]!MTEST($O28:$O43,S28:S43,2), IF(S59="T-Test Welch",_xlfn.T.TEST($O28:$O43,S28:S43,2,3),""))</f>
        <v>0.80512679872702453</v>
      </c>
      <c r="T60" s="80">
        <f>IF(T59="MW",[1]!MTEST($O28:$O43,T28:T43,2), IF(T59="T-Test Welch",_xlfn.T.TEST($O28:$O43,T28:T43,2,3),""))</f>
        <v>0.94853251685064421</v>
      </c>
      <c r="U60" s="80">
        <f>IF(U59="MW",[1]!MTEST($O28:$O43,U28:U43,2), IF(U59="T-Test Welch",_xlfn.T.TEST($O28:$O43,U28:U43,2,3),""))</f>
        <v>0.1922067684555484</v>
      </c>
      <c r="V60" s="80">
        <f>IF(V59="MW",[1]!MTEST($O28:$O43,V28:V43,2), IF(V59="T-Test Welch",_xlfn.T.TEST($O28:$O43,V28:V43,2,3),""))</f>
        <v>2.0136751550346332E-2</v>
      </c>
    </row>
    <row r="61" spans="1:22" s="3" customFormat="1" ht="15" thickBot="1" x14ac:dyDescent="0.4">
      <c r="A61" s="44" t="s">
        <v>15</v>
      </c>
      <c r="B61" s="76"/>
      <c r="C61" s="76" t="str">
        <f t="shared" ref="C61:O61" si="47">IF(C60&gt;0.05,"NS",IF(C60&gt;0.01,"*",IF(C60&gt;0.001,"**","***")))</f>
        <v>*</v>
      </c>
      <c r="D61" s="76" t="str">
        <f t="shared" si="47"/>
        <v>*</v>
      </c>
      <c r="E61" s="76" t="str">
        <f t="shared" si="47"/>
        <v>*</v>
      </c>
      <c r="F61" s="76" t="str">
        <f t="shared" si="47"/>
        <v>***</v>
      </c>
      <c r="G61" s="76" t="str">
        <f t="shared" si="47"/>
        <v>***</v>
      </c>
      <c r="H61" s="76" t="str">
        <f t="shared" si="47"/>
        <v>***</v>
      </c>
      <c r="I61" s="76" t="str">
        <f t="shared" si="47"/>
        <v>NS</v>
      </c>
      <c r="J61" s="76" t="str">
        <f t="shared" si="47"/>
        <v>NS</v>
      </c>
      <c r="K61" s="76" t="str">
        <f t="shared" si="47"/>
        <v>NS</v>
      </c>
      <c r="L61" s="76" t="str">
        <f t="shared" si="47"/>
        <v>NS</v>
      </c>
      <c r="M61" s="76" t="str">
        <f t="shared" si="47"/>
        <v>NS</v>
      </c>
      <c r="N61" s="76"/>
      <c r="O61" s="76" t="str">
        <f t="shared" si="47"/>
        <v>NS</v>
      </c>
      <c r="P61" s="76" t="str">
        <f>IF(P60&gt;0.05,"NS",IF(P60&gt;0.01,"*",IF(P60&gt;0.001,"**","***")))</f>
        <v>***</v>
      </c>
      <c r="Q61" s="76" t="str">
        <f t="shared" ref="Q61:V61" si="48">IF(Q60&gt;0.05,"NS",IF(Q60&gt;0.01,"*",IF(Q60&gt;0.001,"**","***")))</f>
        <v>NS</v>
      </c>
      <c r="R61" s="76" t="str">
        <f t="shared" si="48"/>
        <v>NS</v>
      </c>
      <c r="S61" s="76" t="str">
        <f t="shared" si="48"/>
        <v>NS</v>
      </c>
      <c r="T61" s="76" t="str">
        <f t="shared" si="48"/>
        <v>NS</v>
      </c>
      <c r="U61" s="76" t="str">
        <f t="shared" si="48"/>
        <v>NS</v>
      </c>
      <c r="V61" s="76" t="str">
        <f t="shared" si="48"/>
        <v>*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9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1"/>
    <protectedRange sqref="B51:J51" name="Plage2_1"/>
    <protectedRange sqref="B5:J20 O5:O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16"/>
  <sheetViews>
    <sheetView showGridLines="0" tabSelected="1" topLeftCell="G72" zoomScale="70" zoomScaleNormal="70" workbookViewId="0">
      <selection activeCell="R94" sqref="R94"/>
    </sheetView>
  </sheetViews>
  <sheetFormatPr baseColWidth="10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0"/>
      <c r="B1" s="37"/>
      <c r="C1" s="21"/>
      <c r="D1" s="21"/>
      <c r="E1" s="21"/>
      <c r="F1" s="21"/>
      <c r="G1" s="21"/>
      <c r="H1" s="38"/>
      <c r="I1" s="37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6" customFormat="1" ht="15" thickBot="1" x14ac:dyDescent="0.4">
      <c r="B3" s="145" t="s">
        <v>42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3"/>
      <c r="O3" s="145" t="s">
        <v>43</v>
      </c>
      <c r="P3" s="146"/>
      <c r="Q3" s="146"/>
      <c r="R3" s="146"/>
      <c r="S3" s="146"/>
      <c r="T3" s="146"/>
      <c r="U3" s="146"/>
      <c r="V3" s="146"/>
    </row>
    <row r="4" spans="1:22" x14ac:dyDescent="0.35">
      <c r="A4" s="17"/>
      <c r="B4" s="18" t="str">
        <f>'R1'!B4</f>
        <v>Solvent control</v>
      </c>
      <c r="C4" s="18" t="str">
        <f>'R1'!C4</f>
        <v>EE2-33.8ng/L</v>
      </c>
      <c r="D4" s="18" t="str">
        <f>'R1'!D4</f>
        <v>EE2-50.6ng/L</v>
      </c>
      <c r="E4" s="18" t="str">
        <f>'R1'!E4</f>
        <v>EE2-76ng/L</v>
      </c>
      <c r="F4" s="18" t="str">
        <f>'R1'!F4</f>
        <v>EE2-114ng/L</v>
      </c>
      <c r="G4" s="18" t="str">
        <f>'R1'!G4</f>
        <v>EE2-170.9ng/L</v>
      </c>
      <c r="H4" s="18" t="str">
        <f>'R1'!H4</f>
        <v>EE2-488ng/L</v>
      </c>
      <c r="I4" s="18" t="str">
        <f>'R1'!I4</f>
        <v>Atenolol-0,01mg/L</v>
      </c>
      <c r="J4" s="18" t="str">
        <f>'R1'!J4</f>
        <v>Atenolol-0,1mg/L</v>
      </c>
      <c r="K4" s="18" t="str">
        <f>'R1'!K4</f>
        <v>Atenolol-1mg/L</v>
      </c>
      <c r="L4" s="18" t="str">
        <f>'R1'!L4</f>
        <v>Atenolol-10mg/L</v>
      </c>
      <c r="M4" s="18" t="str">
        <f>'R1'!M4</f>
        <v>Atenolol-100mg/L</v>
      </c>
      <c r="O4" s="18" t="str">
        <f>'R1'!O4</f>
        <v>Testo -30µg/L</v>
      </c>
      <c r="P4" s="18" t="str">
        <f>'R1'!P4</f>
        <v>Testo 30µg/L + EE2 -64ng/L</v>
      </c>
      <c r="Q4" s="18" t="str">
        <f>'R1'!Q4</f>
        <v>Testo 30µg/L + FAD-10mg/L</v>
      </c>
      <c r="R4" s="18" t="str">
        <f>'R1'!R4</f>
        <v>Atenolol-0,01mg/L + Testostérone</v>
      </c>
      <c r="S4" s="18" t="str">
        <f>'R1'!S4</f>
        <v>Atenolol-0,1mg/L + Testostérone</v>
      </c>
      <c r="T4" s="18" t="str">
        <f>'R1'!T4</f>
        <v>Atenolol-1mg/L + Testostérone</v>
      </c>
      <c r="U4" s="18" t="str">
        <f>'R1'!U4</f>
        <v>Atenolol-10mg/L + Testostérone</v>
      </c>
      <c r="V4" s="18" t="str">
        <f>'R1'!V4</f>
        <v>Atenolol-100mg/L + Testostérone</v>
      </c>
    </row>
    <row r="5" spans="1:22" s="1" customFormat="1" x14ac:dyDescent="0.35">
      <c r="A5" s="17"/>
      <c r="B5" s="18"/>
      <c r="C5" s="112"/>
      <c r="D5" s="18"/>
      <c r="E5" s="18"/>
      <c r="F5" s="18"/>
      <c r="G5" s="18"/>
      <c r="H5" s="18"/>
      <c r="I5" s="18"/>
      <c r="J5" s="18"/>
      <c r="K5" s="18"/>
      <c r="L5" s="18"/>
      <c r="M5" s="18"/>
      <c r="O5" s="18"/>
      <c r="P5" s="18"/>
      <c r="Q5" s="18"/>
      <c r="R5" s="18"/>
      <c r="S5" s="18"/>
      <c r="T5" s="18"/>
      <c r="U5" s="18"/>
      <c r="V5" s="18"/>
    </row>
    <row r="6" spans="1:22" s="1" customFormat="1" x14ac:dyDescent="0.35">
      <c r="A6" s="52" t="s">
        <v>3</v>
      </c>
      <c r="B6" s="35">
        <f>'R1'!B28</f>
        <v>0.37236469059019495</v>
      </c>
      <c r="C6" s="35">
        <f>'R1'!C28</f>
        <v>0.28384074325990205</v>
      </c>
      <c r="D6" s="35">
        <f>'R1'!D28</f>
        <v>5.2610784087604417E-2</v>
      </c>
      <c r="E6" s="35">
        <f>'R1'!E28</f>
        <v>1.6940162363338542</v>
      </c>
      <c r="F6" s="35">
        <f>'R1'!F28</f>
        <v>2.9923514190799225</v>
      </c>
      <c r="G6" s="35">
        <f>'R1'!G28</f>
        <v>5.400750300234205</v>
      </c>
      <c r="H6" s="35">
        <f>'R1'!H28</f>
        <v>2.7977422526089168</v>
      </c>
      <c r="I6" s="35">
        <f>'R1'!I28</f>
        <v>6.7080395683266653E-2</v>
      </c>
      <c r="J6" s="35">
        <f>'R1'!J28</f>
        <v>3.6606407739662623E-2</v>
      </c>
      <c r="K6" s="35">
        <f>'R1'!K28</f>
        <v>6.4613928031622025E-2</v>
      </c>
      <c r="L6" s="35">
        <f>'R1'!L28</f>
        <v>0.14259757136203111</v>
      </c>
      <c r="M6" s="35">
        <f>'R1'!M28</f>
        <v>0.35043205024777752</v>
      </c>
      <c r="N6"/>
      <c r="O6" s="35">
        <f>'R1'!O28</f>
        <v>1.1687515755163804</v>
      </c>
      <c r="P6" s="35">
        <f>'R1'!P28</f>
        <v>2.238386892533617</v>
      </c>
      <c r="Q6" s="35">
        <f>'R1'!Q28</f>
        <v>7.8248105317283503E-2</v>
      </c>
      <c r="R6" s="35">
        <f>'R1'!R28</f>
        <v>0.99805574795057517</v>
      </c>
      <c r="S6" s="35">
        <f>'R1'!S28</f>
        <v>0.53254511120508974</v>
      </c>
      <c r="T6" s="35">
        <f>'R1'!T28</f>
        <v>0.46833340883132907</v>
      </c>
      <c r="U6" s="35">
        <f>'R1'!U28</f>
        <v>2.720890041837416</v>
      </c>
      <c r="V6" s="35">
        <f>'R1'!V28</f>
        <v>0.70555415125441356</v>
      </c>
    </row>
    <row r="7" spans="1:22" s="1" customFormat="1" x14ac:dyDescent="0.35">
      <c r="A7" s="147"/>
      <c r="B7" s="35">
        <f>'R1'!B29</f>
        <v>6.841155790171821E-3</v>
      </c>
      <c r="C7" s="35">
        <f>'R1'!C29</f>
        <v>0.3146367330368971</v>
      </c>
      <c r="D7" s="35">
        <f>'R1'!D29</f>
        <v>0.93653735300799579</v>
      </c>
      <c r="E7" s="35">
        <f>'R1'!E29</f>
        <v>1.8875266130434949</v>
      </c>
      <c r="F7" s="35">
        <f>'R1'!F29</f>
        <v>1.9288728656399632</v>
      </c>
      <c r="G7" s="35">
        <f>'R1'!G29</f>
        <v>2.927526142765903</v>
      </c>
      <c r="H7" s="35">
        <f>'R1'!H29</f>
        <v>3.3517912216463244</v>
      </c>
      <c r="I7" s="35">
        <f>'R1'!I29</f>
        <v>0.14440731018852945</v>
      </c>
      <c r="J7" s="35">
        <f>'R1'!J29</f>
        <v>0.35758524905175093</v>
      </c>
      <c r="K7" s="35">
        <f>'R1'!K29</f>
        <v>4.7665676893705856E-2</v>
      </c>
      <c r="L7" s="35">
        <f>'R1'!L29</f>
        <v>2.5427079482791472E-2</v>
      </c>
      <c r="M7" s="35">
        <f>'R1'!M29</f>
        <v>6.2424094257461073E-2</v>
      </c>
      <c r="N7"/>
      <c r="O7" s="35">
        <f>'R1'!O29</f>
        <v>0.85844914207189782</v>
      </c>
      <c r="P7" s="35">
        <f>'R1'!P29</f>
        <v>3.4258809665172727</v>
      </c>
      <c r="Q7" s="35">
        <f>'R1'!Q29</f>
        <v>1.1287215469089795E-2</v>
      </c>
      <c r="R7" s="35">
        <f>'R1'!R29</f>
        <v>1.2893456882633583</v>
      </c>
      <c r="S7" s="35">
        <f>'R1'!S29</f>
        <v>1.5573651868022127</v>
      </c>
      <c r="T7" s="35">
        <f>'R1'!T29</f>
        <v>1.6530782953405518</v>
      </c>
      <c r="U7" s="35">
        <f>'R1'!U29</f>
        <v>1.044142951939359</v>
      </c>
      <c r="V7" s="35">
        <f>'R1'!V29</f>
        <v>0.82178796082449346</v>
      </c>
    </row>
    <row r="8" spans="1:22" s="1" customFormat="1" x14ac:dyDescent="0.35">
      <c r="A8" s="148"/>
      <c r="B8" s="35">
        <f>'R1'!B30</f>
        <v>0.161399822746843</v>
      </c>
      <c r="C8" s="35">
        <f>'R1'!C30</f>
        <v>0.10889194646166252</v>
      </c>
      <c r="D8" s="35">
        <f>'R1'!D30</f>
        <v>0.90544702478535799</v>
      </c>
      <c r="E8" s="35">
        <f>'R1'!E30</f>
        <v>1.6126438280042699</v>
      </c>
      <c r="F8" s="35">
        <f>'R1'!F30</f>
        <v>2.9987516204693856</v>
      </c>
      <c r="G8" s="35">
        <f>'R1'!G30</f>
        <v>1.5031504794929578</v>
      </c>
      <c r="H8" s="35">
        <f>'R1'!H30</f>
        <v>4.4239809758882451</v>
      </c>
      <c r="I8" s="35">
        <f>'R1'!I30</f>
        <v>2.4564535052797303E-2</v>
      </c>
      <c r="J8" s="35">
        <f>'R1'!J30</f>
        <v>5.5067292919659644E-2</v>
      </c>
      <c r="K8" s="35">
        <f>'R1'!K30</f>
        <v>0.20779630341065367</v>
      </c>
      <c r="L8" s="35">
        <f>'R1'!L30</f>
        <v>2.8537550801218156E-2</v>
      </c>
      <c r="M8" s="35">
        <f>'R1'!M30</f>
        <v>9.6347153385531847E-2</v>
      </c>
      <c r="N8"/>
      <c r="O8" s="35">
        <f>'R1'!O30</f>
        <v>0.9796109075354722</v>
      </c>
      <c r="P8" s="35">
        <f>'R1'!P30</f>
        <v>2.9216819754701824</v>
      </c>
      <c r="Q8" s="35">
        <f>'R1'!Q30</f>
        <v>5.2987559428737209E-2</v>
      </c>
      <c r="R8" s="35">
        <f>'R1'!R30</f>
        <v>1.6222236591815302</v>
      </c>
      <c r="S8" s="35">
        <f>'R1'!S30</f>
        <v>1.1006271635794902</v>
      </c>
      <c r="T8" s="35">
        <f>'R1'!T30</f>
        <v>1.5858723078769077</v>
      </c>
      <c r="U8" s="35">
        <f>'R1'!U30</f>
        <v>1.7200989381062821</v>
      </c>
      <c r="V8" s="35">
        <f>'R1'!V30</f>
        <v>1.2004576907502968</v>
      </c>
    </row>
    <row r="9" spans="1:22" s="1" customFormat="1" x14ac:dyDescent="0.35">
      <c r="A9" s="148"/>
      <c r="B9" s="35">
        <f>'R1'!B31</f>
        <v>1.9461193280978065E-2</v>
      </c>
      <c r="C9" s="35">
        <f>'R1'!C31</f>
        <v>0.2937896040297257</v>
      </c>
      <c r="D9" s="35">
        <f>'R1'!D31</f>
        <v>1.1025713464704456</v>
      </c>
      <c r="E9" s="35">
        <f>'R1'!E31</f>
        <v>3.6346250175921857</v>
      </c>
      <c r="F9" s="35">
        <f>'R1'!F31</f>
        <v>2.5975821507523231</v>
      </c>
      <c r="G9" s="35">
        <f>'R1'!G31</f>
        <v>1.276010275565379</v>
      </c>
      <c r="H9" s="35">
        <f>'R1'!H31</f>
        <v>5.3471275894227652</v>
      </c>
      <c r="I9" s="35">
        <f>'R1'!I31</f>
        <v>1.528512826648418E-2</v>
      </c>
      <c r="J9" s="35">
        <f>'R1'!J31</f>
        <v>1.6700940451445739E-2</v>
      </c>
      <c r="K9" s="35">
        <f>'R1'!K31</f>
        <v>5.6401774744640996E-2</v>
      </c>
      <c r="L9" s="35">
        <f>'R1'!L31</f>
        <v>0.31801221960995313</v>
      </c>
      <c r="M9" s="35">
        <f>'R1'!M31</f>
        <v>3.0083934176352023E-2</v>
      </c>
      <c r="N9"/>
      <c r="O9" s="35">
        <f>'R1'!O31</f>
        <v>0.51533903729335884</v>
      </c>
      <c r="P9" s="35">
        <f>'R1'!P31</f>
        <v>3.7835259684865603</v>
      </c>
      <c r="Q9" s="35">
        <f>'R1'!Q31</f>
        <v>2.072153722679379E-2</v>
      </c>
      <c r="R9" s="35">
        <f>'R1'!R31</f>
        <v>0.5080995287196105</v>
      </c>
      <c r="S9" s="35">
        <f>'R1'!S31</f>
        <v>1.604784106277203</v>
      </c>
      <c r="T9" s="35">
        <f>'R1'!T31</f>
        <v>0.86452291548592985</v>
      </c>
      <c r="U9" s="35">
        <f>'R1'!U31</f>
        <v>0.23644284795960038</v>
      </c>
      <c r="V9" s="35">
        <f>'R1'!V31</f>
        <v>0.58854632009513441</v>
      </c>
    </row>
    <row r="10" spans="1:22" s="1" customFormat="1" x14ac:dyDescent="0.35">
      <c r="A10" s="148"/>
      <c r="B10" s="35">
        <f>'R1'!B32</f>
        <v>3.2632285455731838E-2</v>
      </c>
      <c r="C10" s="35">
        <f>'R1'!C32</f>
        <v>0.37610201427499967</v>
      </c>
      <c r="D10" s="35">
        <f>'R1'!D32</f>
        <v>1.6054657321513228</v>
      </c>
      <c r="E10" s="35">
        <f>'R1'!E32</f>
        <v>2.0196065643835959</v>
      </c>
      <c r="F10" s="35">
        <f>'R1'!F32</f>
        <v>3.1565037489077286</v>
      </c>
      <c r="G10" s="35">
        <f>'R1'!G32</f>
        <v>2.943458594305699</v>
      </c>
      <c r="H10" s="35">
        <f>'R1'!H32</f>
        <v>4.8879286312259476</v>
      </c>
      <c r="I10" s="35">
        <f>'R1'!I32</f>
        <v>4.5078043603723354E-2</v>
      </c>
      <c r="J10" s="35">
        <f>'R1'!J32</f>
        <v>8.1664533704207148E-2</v>
      </c>
      <c r="K10" s="35">
        <f>'R1'!K32</f>
        <v>1.61620576581075E-2</v>
      </c>
      <c r="L10" s="35">
        <f>'R1'!L32</f>
        <v>5.2007168966934992E-5</v>
      </c>
      <c r="M10" s="35">
        <f>'R1'!M32</f>
        <v>3.4855315295190821E-2</v>
      </c>
      <c r="N10"/>
      <c r="O10" s="35">
        <f>'R1'!O32</f>
        <v>0.3927813772840017</v>
      </c>
      <c r="P10" s="35">
        <f>'R1'!P32</f>
        <v>3.1308608950004997</v>
      </c>
      <c r="Q10" s="35">
        <f>'R1'!Q32</f>
        <v>8.3615355808222182E-3</v>
      </c>
      <c r="R10" s="35">
        <f>'R1'!R32</f>
        <v>0.96735934636947429</v>
      </c>
      <c r="S10" s="35">
        <f>'R1'!S32</f>
        <v>0.62061537897630947</v>
      </c>
      <c r="T10" s="35">
        <f>'R1'!T32</f>
        <v>1.6971394328106451</v>
      </c>
      <c r="U10" s="35">
        <f>'R1'!U32</f>
        <v>0.79563831365371451</v>
      </c>
      <c r="V10" s="35">
        <f>'R1'!V32</f>
        <v>0.94646242326435581</v>
      </c>
    </row>
    <row r="11" spans="1:22" s="1" customFormat="1" x14ac:dyDescent="0.35">
      <c r="A11" s="148"/>
      <c r="B11" s="35">
        <f>'R1'!B33</f>
        <v>3.819041332213427E-2</v>
      </c>
      <c r="C11" s="35">
        <f>'R1'!C33</f>
        <v>0.48582607544013312</v>
      </c>
      <c r="D11" s="35">
        <f>'R1'!D33</f>
        <v>0.58281944556346688</v>
      </c>
      <c r="E11" s="35">
        <f>'R1'!E33</f>
        <v>0.61050330421877042</v>
      </c>
      <c r="F11" s="35">
        <f>'R1'!F33</f>
        <v>3.1630605250718471</v>
      </c>
      <c r="G11" s="35">
        <f>'R1'!G33</f>
        <v>3.544892180217289</v>
      </c>
      <c r="H11" s="35">
        <f>'R1'!H33</f>
        <v>1.4824073648237202</v>
      </c>
      <c r="I11" s="35">
        <f>'R1'!I33</f>
        <v>2.7289932013766685E-2</v>
      </c>
      <c r="J11" s="35">
        <f>'R1'!J33</f>
        <v>6.1952710130228857E-2</v>
      </c>
      <c r="K11" s="35">
        <f>'R1'!K33</f>
        <v>1.4023677785158523E-2</v>
      </c>
      <c r="L11" s="35">
        <f>'R1'!L33</f>
        <v>5.8472655951483953E-2</v>
      </c>
      <c r="M11" s="35">
        <f>'R1'!M33</f>
        <v>1.2448524486766354E-3</v>
      </c>
      <c r="N11"/>
      <c r="O11" s="35">
        <f>'R1'!O33</f>
        <v>0.5252657673529838</v>
      </c>
      <c r="P11" s="35">
        <f>'R1'!P33</f>
        <v>0.89697538892129736</v>
      </c>
      <c r="Q11" s="35">
        <f>'R1'!Q33</f>
        <v>7.0226276138011254E-3</v>
      </c>
      <c r="R11" s="35">
        <f>'R1'!R33</f>
        <v>0.18574083762663349</v>
      </c>
      <c r="S11" s="35">
        <f>'R1'!S33</f>
        <v>1.1059307882786076</v>
      </c>
      <c r="T11" s="35">
        <f>'R1'!T33</f>
        <v>0.37638528736554294</v>
      </c>
      <c r="U11" s="35">
        <f>'R1'!U33</f>
        <v>0.80251211224142949</v>
      </c>
      <c r="V11" s="35">
        <f>'R1'!V33</f>
        <v>1.1528130380312798</v>
      </c>
    </row>
    <row r="12" spans="1:22" s="1" customFormat="1" x14ac:dyDescent="0.35">
      <c r="A12" s="148"/>
      <c r="B12" s="35">
        <f>'R1'!B34</f>
        <v>2.8584578560390386E-2</v>
      </c>
      <c r="C12" s="35">
        <f>'R1'!C34</f>
        <v>0.69298778073583922</v>
      </c>
      <c r="D12" s="35">
        <f>'R1'!D34</f>
        <v>0.97871350723691508</v>
      </c>
      <c r="E12" s="35">
        <f>'R1'!E34</f>
        <v>2.8059444470763086</v>
      </c>
      <c r="F12" s="35">
        <f>'R1'!F34</f>
        <v>2.7902692650425722</v>
      </c>
      <c r="G12" s="35">
        <f>'R1'!G34</f>
        <v>4.6953615760385272</v>
      </c>
      <c r="H12" s="35">
        <f>'R1'!H34</f>
        <v>5.0767710878869288</v>
      </c>
      <c r="I12" s="35">
        <f>'R1'!I34</f>
        <v>0.18762637413556235</v>
      </c>
      <c r="J12" s="35">
        <f>'R1'!J34</f>
        <v>0.19631433769181533</v>
      </c>
      <c r="K12" s="35">
        <f>'R1'!K34</f>
        <v>4.1378342126256393E-2</v>
      </c>
      <c r="L12" s="35">
        <f>'R1'!L34</f>
        <v>2.5669410759467191E-2</v>
      </c>
      <c r="M12" s="35">
        <f>'R1'!M34</f>
        <v>6.9036750464831365E-3</v>
      </c>
      <c r="N12"/>
      <c r="O12" s="35">
        <f>'R1'!O34</f>
        <v>0.69884799279645382</v>
      </c>
      <c r="P12" s="35">
        <f>'R1'!P34</f>
        <v>3.3923518340307388</v>
      </c>
      <c r="Q12" s="35">
        <f>'R1'!Q34</f>
        <v>7.6872681678434557E-2</v>
      </c>
      <c r="R12" s="35">
        <f>'R1'!R34</f>
        <v>0.54907564518800556</v>
      </c>
      <c r="S12" s="35">
        <f>'R1'!S34</f>
        <v>0.81434540298467206</v>
      </c>
      <c r="T12" s="35">
        <f>'R1'!T34</f>
        <v>0.31535432131508978</v>
      </c>
      <c r="U12" s="35">
        <f>'R1'!U34</f>
        <v>0.60710790000653547</v>
      </c>
      <c r="V12" s="35">
        <f>'R1'!V34</f>
        <v>1.1574776384734098</v>
      </c>
    </row>
    <row r="13" spans="1:22" s="1" customFormat="1" x14ac:dyDescent="0.35">
      <c r="A13" s="148"/>
      <c r="B13" s="35">
        <f>'R1'!B35</f>
        <v>0.10630044029739524</v>
      </c>
      <c r="C13" s="35">
        <f>'R1'!C35</f>
        <v>0.48451593739637033</v>
      </c>
      <c r="D13" s="35">
        <f>'R1'!D35</f>
        <v>1.4437787634396517</v>
      </c>
      <c r="E13" s="35">
        <f>'R1'!E35</f>
        <v>1.6971604569853338</v>
      </c>
      <c r="F13" s="35">
        <f>'R1'!F35</f>
        <v>2.5902579922120648</v>
      </c>
      <c r="G13" s="35">
        <f>'R1'!G35</f>
        <v>3.6071397820609157</v>
      </c>
      <c r="H13" s="35">
        <f>'R1'!H35</f>
        <v>2.9234883946901511</v>
      </c>
      <c r="I13" s="35">
        <f>'R1'!I35</f>
        <v>7.3975218445670315E-2</v>
      </c>
      <c r="J13" s="35">
        <f>'R1'!J35</f>
        <v>0.11789803897702175</v>
      </c>
      <c r="K13" s="35" t="str">
        <f>'R1'!K35</f>
        <v/>
      </c>
      <c r="L13" s="35" t="str">
        <f>'R1'!L35</f>
        <v/>
      </c>
      <c r="M13" s="35">
        <f>'R1'!M35</f>
        <v>8.7658636561523895E-2</v>
      </c>
      <c r="N13"/>
      <c r="O13" s="35">
        <f>'R1'!O35</f>
        <v>0.88404718129097426</v>
      </c>
      <c r="P13" s="35">
        <f>'R1'!P35</f>
        <v>4.173392731237394</v>
      </c>
      <c r="Q13" s="35">
        <f>'R1'!Q35</f>
        <v>2.1632215951470118E-2</v>
      </c>
      <c r="R13" s="35">
        <f>'R1'!R35</f>
        <v>0.17911600952865392</v>
      </c>
      <c r="S13" s="35">
        <f>'R1'!S35</f>
        <v>1.8091606616944031</v>
      </c>
      <c r="T13" s="35">
        <f>'R1'!T35</f>
        <v>1.3665088355131507</v>
      </c>
      <c r="U13" s="35" t="str">
        <f>'R1'!U35</f>
        <v/>
      </c>
      <c r="V13" s="35">
        <f>'R1'!V35</f>
        <v>1.2921916975949106</v>
      </c>
    </row>
    <row r="14" spans="1:22" s="1" customFormat="1" x14ac:dyDescent="0.35">
      <c r="A14" s="148"/>
      <c r="B14" s="35" t="str">
        <f>'R1'!B36</f>
        <v/>
      </c>
      <c r="C14" s="35" t="str">
        <f>'R1'!C36</f>
        <v/>
      </c>
      <c r="D14" s="35" t="str">
        <f>'R1'!D36</f>
        <v/>
      </c>
      <c r="E14" s="35" t="str">
        <f>'R1'!E36</f>
        <v/>
      </c>
      <c r="F14" s="35" t="str">
        <f>'R1'!F36</f>
        <v/>
      </c>
      <c r="G14" s="35" t="str">
        <f>'R1'!G36</f>
        <v/>
      </c>
      <c r="H14" s="35" t="str">
        <f>'R1'!H36</f>
        <v/>
      </c>
      <c r="I14" s="35" t="str">
        <f>'R1'!I36</f>
        <v/>
      </c>
      <c r="J14" s="35" t="str">
        <f>'R1'!J36</f>
        <v/>
      </c>
      <c r="K14" s="35" t="str">
        <f>'R1'!K36</f>
        <v/>
      </c>
      <c r="L14" s="35" t="str">
        <f>'R1'!L36</f>
        <v/>
      </c>
      <c r="M14" s="35" t="str">
        <f>'R1'!M36</f>
        <v/>
      </c>
      <c r="N14"/>
      <c r="O14" s="35">
        <f>'R1'!O36</f>
        <v>1.4532507074046936</v>
      </c>
      <c r="P14" s="35" t="str">
        <f>'R1'!P36</f>
        <v/>
      </c>
      <c r="Q14" s="35" t="str">
        <f>'R1'!Q36</f>
        <v/>
      </c>
      <c r="R14" s="35" t="str">
        <f>'R1'!R36</f>
        <v/>
      </c>
      <c r="S14" s="35" t="str">
        <f>'R1'!S36</f>
        <v/>
      </c>
      <c r="T14" s="35" t="str">
        <f>'R1'!T36</f>
        <v/>
      </c>
      <c r="U14" s="35" t="str">
        <f>'R1'!U36</f>
        <v/>
      </c>
      <c r="V14" s="35" t="str">
        <f>'R1'!V36</f>
        <v/>
      </c>
    </row>
    <row r="15" spans="1:22" s="1" customFormat="1" x14ac:dyDescent="0.35">
      <c r="A15" s="148"/>
      <c r="B15" s="35" t="str">
        <f>'R1'!B37</f>
        <v/>
      </c>
      <c r="C15" s="35" t="str">
        <f>'R1'!C37</f>
        <v/>
      </c>
      <c r="D15" s="35" t="str">
        <f>'R1'!D37</f>
        <v/>
      </c>
      <c r="E15" s="35" t="str">
        <f>'R1'!E37</f>
        <v/>
      </c>
      <c r="F15" s="35" t="str">
        <f>'R1'!F37</f>
        <v/>
      </c>
      <c r="G15" s="35" t="str">
        <f>'R1'!G37</f>
        <v/>
      </c>
      <c r="H15" s="35" t="str">
        <f>'R1'!H37</f>
        <v/>
      </c>
      <c r="I15" s="35" t="str">
        <f>'R1'!I37</f>
        <v/>
      </c>
      <c r="J15" s="35" t="str">
        <f>'R1'!J37</f>
        <v/>
      </c>
      <c r="K15" s="35" t="str">
        <f>'R1'!K37</f>
        <v/>
      </c>
      <c r="L15" s="35" t="str">
        <f>'R1'!L37</f>
        <v/>
      </c>
      <c r="M15" s="35" t="str">
        <f>'R1'!M37</f>
        <v/>
      </c>
      <c r="N15"/>
      <c r="O15" s="35">
        <f>'R1'!O37</f>
        <v>0.49661203032322249</v>
      </c>
      <c r="P15" s="35" t="str">
        <f>'R1'!P37</f>
        <v/>
      </c>
      <c r="Q15" s="35" t="str">
        <f>'R1'!Q37</f>
        <v/>
      </c>
      <c r="R15" s="35" t="str">
        <f>'R1'!R37</f>
        <v/>
      </c>
      <c r="S15" s="35" t="str">
        <f>'R1'!S37</f>
        <v/>
      </c>
      <c r="T15" s="35" t="str">
        <f>'R1'!T37</f>
        <v/>
      </c>
      <c r="U15" s="35" t="str">
        <f>'R1'!U37</f>
        <v/>
      </c>
      <c r="V15" s="35" t="str">
        <f>'R1'!V37</f>
        <v/>
      </c>
    </row>
    <row r="16" spans="1:22" s="1" customFormat="1" x14ac:dyDescent="0.35">
      <c r="A16" s="148"/>
      <c r="B16" s="35" t="str">
        <f>'R1'!B38</f>
        <v/>
      </c>
      <c r="C16" s="35" t="str">
        <f>'R1'!C38</f>
        <v/>
      </c>
      <c r="D16" s="35" t="str">
        <f>'R1'!D38</f>
        <v/>
      </c>
      <c r="E16" s="35" t="str">
        <f>'R1'!E38</f>
        <v/>
      </c>
      <c r="F16" s="35" t="str">
        <f>'R1'!F38</f>
        <v/>
      </c>
      <c r="G16" s="35" t="str">
        <f>'R1'!G38</f>
        <v/>
      </c>
      <c r="H16" s="35" t="str">
        <f>'R1'!H38</f>
        <v/>
      </c>
      <c r="I16" s="35" t="str">
        <f>'R1'!I38</f>
        <v/>
      </c>
      <c r="J16" s="35" t="str">
        <f>'R1'!J38</f>
        <v/>
      </c>
      <c r="K16" s="35" t="str">
        <f>'R1'!K38</f>
        <v/>
      </c>
      <c r="L16" s="35" t="str">
        <f>'R1'!L38</f>
        <v/>
      </c>
      <c r="M16" s="35" t="str">
        <f>'R1'!M38</f>
        <v/>
      </c>
      <c r="N16"/>
      <c r="O16" s="35">
        <f>'R1'!O38</f>
        <v>0.86676088355477299</v>
      </c>
      <c r="P16" s="35" t="str">
        <f>'R1'!P38</f>
        <v/>
      </c>
      <c r="Q16" s="35" t="str">
        <f>'R1'!Q38</f>
        <v/>
      </c>
      <c r="R16" s="35" t="str">
        <f>'R1'!R38</f>
        <v/>
      </c>
      <c r="S16" s="35" t="str">
        <f>'R1'!S38</f>
        <v/>
      </c>
      <c r="T16" s="35" t="str">
        <f>'R1'!T38</f>
        <v/>
      </c>
      <c r="U16" s="35" t="str">
        <f>'R1'!U38</f>
        <v/>
      </c>
      <c r="V16" s="35" t="str">
        <f>'R1'!V38</f>
        <v/>
      </c>
    </row>
    <row r="17" spans="1:22" s="1" customFormat="1" x14ac:dyDescent="0.35">
      <c r="A17" s="148"/>
      <c r="B17" s="35" t="str">
        <f>'R1'!B39</f>
        <v/>
      </c>
      <c r="C17" s="35" t="str">
        <f>'R1'!C39</f>
        <v/>
      </c>
      <c r="D17" s="35" t="str">
        <f>'R1'!D39</f>
        <v/>
      </c>
      <c r="E17" s="35" t="str">
        <f>'R1'!E39</f>
        <v/>
      </c>
      <c r="F17" s="35" t="str">
        <f>'R1'!F39</f>
        <v/>
      </c>
      <c r="G17" s="35" t="str">
        <f>'R1'!G39</f>
        <v/>
      </c>
      <c r="H17" s="35" t="str">
        <f>'R1'!H39</f>
        <v/>
      </c>
      <c r="I17" s="35" t="str">
        <f>'R1'!I39</f>
        <v/>
      </c>
      <c r="J17" s="35" t="str">
        <f>'R1'!J39</f>
        <v/>
      </c>
      <c r="K17" s="35" t="str">
        <f>'R1'!K39</f>
        <v/>
      </c>
      <c r="L17" s="35" t="str">
        <f>'R1'!L39</f>
        <v/>
      </c>
      <c r="M17" s="35" t="str">
        <f>'R1'!M39</f>
        <v/>
      </c>
      <c r="N17"/>
      <c r="O17" s="35">
        <f>'R1'!O39</f>
        <v>1.6108501339426655</v>
      </c>
      <c r="P17" s="35" t="str">
        <f>'R1'!P39</f>
        <v/>
      </c>
      <c r="Q17" s="35" t="str">
        <f>'R1'!Q39</f>
        <v/>
      </c>
      <c r="R17" s="35" t="str">
        <f>'R1'!R39</f>
        <v/>
      </c>
      <c r="S17" s="35" t="str">
        <f>'R1'!S39</f>
        <v/>
      </c>
      <c r="T17" s="35" t="str">
        <f>'R1'!T39</f>
        <v/>
      </c>
      <c r="U17" s="35" t="str">
        <f>'R1'!U39</f>
        <v/>
      </c>
      <c r="V17" s="35" t="str">
        <f>'R1'!V39</f>
        <v/>
      </c>
    </row>
    <row r="18" spans="1:22" s="1" customFormat="1" x14ac:dyDescent="0.35">
      <c r="A18" s="148"/>
      <c r="B18" s="35" t="str">
        <f>'R1'!B40</f>
        <v/>
      </c>
      <c r="C18" s="35" t="str">
        <f>'R1'!C40</f>
        <v/>
      </c>
      <c r="D18" s="35" t="str">
        <f>'R1'!D40</f>
        <v/>
      </c>
      <c r="E18" s="35" t="str">
        <f>'R1'!E40</f>
        <v/>
      </c>
      <c r="F18" s="35" t="str">
        <f>'R1'!F40</f>
        <v/>
      </c>
      <c r="G18" s="35" t="str">
        <f>'R1'!G40</f>
        <v/>
      </c>
      <c r="H18" s="35" t="str">
        <f>'R1'!H40</f>
        <v/>
      </c>
      <c r="I18" s="35" t="str">
        <f>'R1'!I40</f>
        <v/>
      </c>
      <c r="J18" s="35" t="str">
        <f>'R1'!J40</f>
        <v/>
      </c>
      <c r="K18" s="35" t="str">
        <f>'R1'!K40</f>
        <v/>
      </c>
      <c r="L18" s="35" t="str">
        <f>'R1'!L40</f>
        <v/>
      </c>
      <c r="M18" s="35" t="str">
        <f>'R1'!M40</f>
        <v/>
      </c>
      <c r="N18"/>
      <c r="O18" s="35">
        <f>'R1'!O40</f>
        <v>1.1352058449971973</v>
      </c>
      <c r="P18" s="35" t="str">
        <f>'R1'!P40</f>
        <v/>
      </c>
      <c r="Q18" s="35" t="str">
        <f>'R1'!Q40</f>
        <v/>
      </c>
      <c r="R18" s="35" t="str">
        <f>'R1'!R40</f>
        <v/>
      </c>
      <c r="S18" s="35" t="str">
        <f>'R1'!S40</f>
        <v/>
      </c>
      <c r="T18" s="35" t="str">
        <f>'R1'!T40</f>
        <v/>
      </c>
      <c r="U18" s="35" t="str">
        <f>'R1'!U40</f>
        <v/>
      </c>
      <c r="V18" s="35" t="str">
        <f>'R1'!V40</f>
        <v/>
      </c>
    </row>
    <row r="19" spans="1:22" s="1" customFormat="1" x14ac:dyDescent="0.35">
      <c r="A19" s="148"/>
      <c r="B19" s="35" t="str">
        <f>'R1'!B41</f>
        <v/>
      </c>
      <c r="C19" s="35" t="str">
        <f>'R1'!C41</f>
        <v/>
      </c>
      <c r="D19" s="35" t="str">
        <f>'R1'!D41</f>
        <v/>
      </c>
      <c r="E19" s="35" t="str">
        <f>'R1'!E41</f>
        <v/>
      </c>
      <c r="F19" s="35" t="str">
        <f>'R1'!F41</f>
        <v/>
      </c>
      <c r="G19" s="35" t="str">
        <f>'R1'!G41</f>
        <v/>
      </c>
      <c r="H19" s="35" t="str">
        <f>'R1'!H41</f>
        <v/>
      </c>
      <c r="I19" s="35" t="str">
        <f>'R1'!I41</f>
        <v/>
      </c>
      <c r="J19" s="35" t="str">
        <f>'R1'!J41</f>
        <v/>
      </c>
      <c r="K19" s="35" t="str">
        <f>'R1'!K41</f>
        <v/>
      </c>
      <c r="L19" s="35" t="str">
        <f>'R1'!L41</f>
        <v/>
      </c>
      <c r="M19" s="35" t="str">
        <f>'R1'!M41</f>
        <v/>
      </c>
      <c r="N19"/>
      <c r="O19" s="35">
        <f>'R1'!O41</f>
        <v>1.1742117749901535</v>
      </c>
      <c r="P19" s="35" t="str">
        <f>'R1'!P41</f>
        <v/>
      </c>
      <c r="Q19" s="35" t="str">
        <f>'R1'!Q41</f>
        <v/>
      </c>
      <c r="R19" s="35" t="str">
        <f>'R1'!R41</f>
        <v/>
      </c>
      <c r="S19" s="35" t="str">
        <f>'R1'!S41</f>
        <v/>
      </c>
      <c r="T19" s="35" t="str">
        <f>'R1'!T41</f>
        <v/>
      </c>
      <c r="U19" s="35" t="str">
        <f>'R1'!U41</f>
        <v/>
      </c>
      <c r="V19" s="35" t="str">
        <f>'R1'!V41</f>
        <v/>
      </c>
    </row>
    <row r="20" spans="1:22" s="1" customFormat="1" x14ac:dyDescent="0.35">
      <c r="A20" s="148"/>
      <c r="B20" s="35" t="str">
        <f>'R1'!B42</f>
        <v/>
      </c>
      <c r="C20" s="35" t="str">
        <f>'R1'!C42</f>
        <v/>
      </c>
      <c r="D20" s="35" t="str">
        <f>'R1'!D42</f>
        <v/>
      </c>
      <c r="E20" s="35" t="str">
        <f>'R1'!E42</f>
        <v/>
      </c>
      <c r="F20" s="35" t="str">
        <f>'R1'!F42</f>
        <v/>
      </c>
      <c r="G20" s="35" t="str">
        <f>'R1'!G42</f>
        <v/>
      </c>
      <c r="H20" s="35" t="str">
        <f>'R1'!H42</f>
        <v/>
      </c>
      <c r="I20" s="35" t="str">
        <f>'R1'!I42</f>
        <v/>
      </c>
      <c r="J20" s="35" t="str">
        <f>'R1'!J42</f>
        <v/>
      </c>
      <c r="K20" s="35" t="str">
        <f>'R1'!K42</f>
        <v/>
      </c>
      <c r="L20" s="35" t="str">
        <f>'R1'!L42</f>
        <v/>
      </c>
      <c r="M20" s="35" t="str">
        <f>'R1'!M42</f>
        <v/>
      </c>
      <c r="N20"/>
      <c r="O20" s="35">
        <f>'R1'!O42</f>
        <v>1.169421582767646</v>
      </c>
      <c r="P20" s="35" t="str">
        <f>'R1'!P42</f>
        <v/>
      </c>
      <c r="Q20" s="35" t="str">
        <f>'R1'!Q42</f>
        <v/>
      </c>
      <c r="R20" s="35" t="str">
        <f>'R1'!R42</f>
        <v/>
      </c>
      <c r="S20" s="35" t="str">
        <f>'R1'!S42</f>
        <v/>
      </c>
      <c r="T20" s="35" t="str">
        <f>'R1'!T42</f>
        <v/>
      </c>
      <c r="U20" s="35" t="str">
        <f>'R1'!U42</f>
        <v/>
      </c>
      <c r="V20" s="35" t="str">
        <f>'R1'!V42</f>
        <v/>
      </c>
    </row>
    <row r="21" spans="1:22" s="1" customFormat="1" x14ac:dyDescent="0.35">
      <c r="A21" s="149"/>
      <c r="B21" s="35" t="str">
        <f>'R1'!B43</f>
        <v/>
      </c>
      <c r="C21" s="35" t="str">
        <f>'R1'!C43</f>
        <v/>
      </c>
      <c r="D21" s="35" t="str">
        <f>'R1'!D43</f>
        <v/>
      </c>
      <c r="E21" s="35" t="str">
        <f>'R1'!E43</f>
        <v/>
      </c>
      <c r="F21" s="35" t="str">
        <f>'R1'!F43</f>
        <v/>
      </c>
      <c r="G21" s="35" t="str">
        <f>'R1'!G43</f>
        <v/>
      </c>
      <c r="H21" s="35" t="str">
        <f>'R1'!H43</f>
        <v/>
      </c>
      <c r="I21" s="35" t="str">
        <f>'R1'!I43</f>
        <v/>
      </c>
      <c r="J21" s="35" t="str">
        <f>'R1'!J43</f>
        <v/>
      </c>
      <c r="K21" s="35" t="str">
        <f>'R1'!K43</f>
        <v/>
      </c>
      <c r="L21" s="35" t="str">
        <f>'R1'!L43</f>
        <v/>
      </c>
      <c r="M21" s="35" t="str">
        <f>'R1'!M43</f>
        <v/>
      </c>
      <c r="N21"/>
      <c r="O21" s="35">
        <f>'R1'!O43</f>
        <v>2.0705940608781259</v>
      </c>
      <c r="P21" s="35" t="str">
        <f>'R1'!P43</f>
        <v/>
      </c>
      <c r="Q21" s="35" t="str">
        <f>'R1'!Q43</f>
        <v/>
      </c>
      <c r="R21" s="35" t="str">
        <f>'R1'!R43</f>
        <v/>
      </c>
      <c r="S21" s="35" t="str">
        <f>'R1'!S43</f>
        <v/>
      </c>
      <c r="T21" s="35" t="str">
        <f>'R1'!T43</f>
        <v/>
      </c>
      <c r="U21" s="35" t="str">
        <f>'R1'!U43</f>
        <v/>
      </c>
      <c r="V21" s="35" t="str">
        <f>'R1'!V43</f>
        <v/>
      </c>
    </row>
    <row r="22" spans="1:22" x14ac:dyDescent="0.35">
      <c r="A22" s="22" t="s">
        <v>4</v>
      </c>
      <c r="B22" s="36">
        <f>'R2'!B28</f>
        <v>1.8530626957617327E-2</v>
      </c>
      <c r="C22" s="36">
        <f>'R2'!C28</f>
        <v>5.4183251455340933E-3</v>
      </c>
      <c r="D22" s="36">
        <f>'R2'!D28</f>
        <v>0.58695369602303571</v>
      </c>
      <c r="E22" s="36">
        <f>'R2'!E28</f>
        <v>0.6037480267681814</v>
      </c>
      <c r="F22" s="36">
        <f>'R2'!F28</f>
        <v>1.4914018783273821</v>
      </c>
      <c r="G22" s="36">
        <f>'R2'!G28</f>
        <v>0.93152854800469853</v>
      </c>
      <c r="H22" s="36">
        <f>'R2'!H28</f>
        <v>2.5808706070147016</v>
      </c>
      <c r="I22" s="36">
        <f>'R2'!I28</f>
        <v>1.550252411106131E-2</v>
      </c>
      <c r="J22" s="36">
        <f>'R2'!J28</f>
        <v>8.9010234449955053E-2</v>
      </c>
      <c r="K22" s="36">
        <f>'R2'!K28</f>
        <v>3.0150130647985718E-2</v>
      </c>
      <c r="L22" s="36">
        <f>'R2'!L28</f>
        <v>1.6495940021212484E-4</v>
      </c>
      <c r="M22" s="36">
        <f>'R2'!M28</f>
        <v>0.17940601526141878</v>
      </c>
      <c r="O22" s="36">
        <f>'R2'!O28</f>
        <v>0.64005767385992396</v>
      </c>
      <c r="P22" s="36">
        <f>'R2'!P28</f>
        <v>1.1995599862824717</v>
      </c>
      <c r="Q22" s="36">
        <f>'R2'!Q28</f>
        <v>4.0967920393295866E-2</v>
      </c>
      <c r="R22" s="36">
        <f>'R2'!R28</f>
        <v>0.61647889515485954</v>
      </c>
      <c r="S22" s="36">
        <f>'R2'!S28</f>
        <v>0.65958875424476637</v>
      </c>
      <c r="T22" s="36">
        <f>'R2'!T28</f>
        <v>0.51846992837285499</v>
      </c>
      <c r="U22" s="36">
        <f>'R2'!U28</f>
        <v>0.33991151166781625</v>
      </c>
      <c r="V22" s="36">
        <f>'R2'!V28</f>
        <v>1.1208152372378675</v>
      </c>
    </row>
    <row r="23" spans="1:22" x14ac:dyDescent="0.35">
      <c r="A23" s="147"/>
      <c r="B23" s="36">
        <f>'R2'!B29</f>
        <v>7.1590972188647406E-2</v>
      </c>
      <c r="C23" s="36">
        <f>'R2'!C29</f>
        <v>0.20208821429126889</v>
      </c>
      <c r="D23" s="36">
        <f>'R2'!D29</f>
        <v>4.9290769585568363E-2</v>
      </c>
      <c r="E23" s="36">
        <f>'R2'!E29</f>
        <v>0.58541726529546279</v>
      </c>
      <c r="F23" s="36">
        <f>'R2'!F29</f>
        <v>1.6687354855608798</v>
      </c>
      <c r="G23" s="36">
        <f>'R2'!G29</f>
        <v>1.2596032374549044</v>
      </c>
      <c r="H23" s="36">
        <f>'R2'!H29</f>
        <v>2.6621091706096114</v>
      </c>
      <c r="I23" s="36">
        <f>'R2'!I29</f>
        <v>1.2228671168284837E-2</v>
      </c>
      <c r="J23" s="36">
        <f>'R2'!J29</f>
        <v>1.6154761193470001E-2</v>
      </c>
      <c r="K23" s="36">
        <f>'R2'!K29</f>
        <v>2.2376489288160075E-2</v>
      </c>
      <c r="L23" s="36">
        <f>'R2'!L29</f>
        <v>4.6251688212377066E-2</v>
      </c>
      <c r="M23" s="36">
        <f>'R2'!M29</f>
        <v>8.566685083848849E-2</v>
      </c>
      <c r="O23" s="36">
        <f>'R2'!O29</f>
        <v>2.1990960027817898</v>
      </c>
      <c r="P23" s="36">
        <f>'R2'!P29</f>
        <v>2.6152998295442988</v>
      </c>
      <c r="Q23" s="36">
        <f>'R2'!Q29</f>
        <v>7.3468863244645841E-3</v>
      </c>
      <c r="R23" s="36">
        <f>'R2'!R29</f>
        <v>0.66701840177002003</v>
      </c>
      <c r="S23" s="36">
        <f>'R2'!S29</f>
        <v>1.6927612873504783</v>
      </c>
      <c r="T23" s="36">
        <f>'R2'!T29</f>
        <v>6.3377063760678819E-3</v>
      </c>
      <c r="U23" s="36">
        <f>'R2'!U29</f>
        <v>0.47616600573825069</v>
      </c>
      <c r="V23" s="36">
        <f>'R2'!V29</f>
        <v>0.9818966207039389</v>
      </c>
    </row>
    <row r="24" spans="1:22" x14ac:dyDescent="0.35">
      <c r="A24" s="148"/>
      <c r="B24" s="36">
        <f>'R2'!B30</f>
        <v>1.2722704866872344E-2</v>
      </c>
      <c r="C24" s="36">
        <f>'R2'!C30</f>
        <v>5.8892194879826304E-2</v>
      </c>
      <c r="D24" s="36">
        <f>'R2'!D30</f>
        <v>0.19034963581201017</v>
      </c>
      <c r="E24" s="36">
        <f>'R2'!E30</f>
        <v>0.9187976796180205</v>
      </c>
      <c r="F24" s="36">
        <f>'R2'!F30</f>
        <v>1.0832585421206304</v>
      </c>
      <c r="G24" s="36">
        <f>'R2'!G30</f>
        <v>2.7217763368696155</v>
      </c>
      <c r="H24" s="36">
        <f>'R2'!H30</f>
        <v>1.7860939647872203</v>
      </c>
      <c r="I24" s="36">
        <f>'R2'!I30</f>
        <v>2.3449006890221842E-4</v>
      </c>
      <c r="J24" s="36">
        <f>'R2'!J30</f>
        <v>2.8420590451905009E-2</v>
      </c>
      <c r="K24" s="36">
        <f>'R2'!K30</f>
        <v>2.697423994287788E-2</v>
      </c>
      <c r="L24" s="36">
        <f>'R2'!L30</f>
        <v>0.12864862711765046</v>
      </c>
      <c r="M24" s="36">
        <f>'R2'!M30</f>
        <v>0.16651131347726042</v>
      </c>
      <c r="O24" s="36">
        <f>'R2'!O30</f>
        <v>0.83230490577573957</v>
      </c>
      <c r="P24" s="36">
        <f>'R2'!P30</f>
        <v>1.6767208154342883</v>
      </c>
      <c r="Q24" s="36">
        <f>'R2'!Q30</f>
        <v>3.8251720303454924E-2</v>
      </c>
      <c r="R24" s="36">
        <f>'R2'!R30</f>
        <v>0.78463558012399681</v>
      </c>
      <c r="S24" s="36">
        <f>'R2'!S30</f>
        <v>0.61591279728143533</v>
      </c>
      <c r="T24" s="36">
        <f>'R2'!T30</f>
        <v>0.88382572377168411</v>
      </c>
      <c r="U24" s="36">
        <f>'R2'!U30</f>
        <v>0.40731319069271477</v>
      </c>
      <c r="V24" s="36">
        <f>'R2'!V30</f>
        <v>0.18166308773735873</v>
      </c>
    </row>
    <row r="25" spans="1:22" x14ac:dyDescent="0.35">
      <c r="A25" s="148"/>
      <c r="B25" s="36">
        <f>'R2'!B31</f>
        <v>0.12281734047022015</v>
      </c>
      <c r="C25" s="36">
        <f>'R2'!C31</f>
        <v>8.9872752542531756E-2</v>
      </c>
      <c r="D25" s="36">
        <f>'R2'!D31</f>
        <v>0.12915054283536073</v>
      </c>
      <c r="E25" s="36">
        <f>'R2'!E31</f>
        <v>0.53379398105092224</v>
      </c>
      <c r="F25" s="36">
        <f>'R2'!F31</f>
        <v>2.3291732458654413</v>
      </c>
      <c r="G25" s="36">
        <f>'R2'!G31</f>
        <v>1.200074569530915</v>
      </c>
      <c r="H25" s="36">
        <f>'R2'!H31</f>
        <v>3.4761545345854201</v>
      </c>
      <c r="I25" s="36">
        <f>'R2'!I31</f>
        <v>5.1797814667973112E-2</v>
      </c>
      <c r="J25" s="36">
        <f>'R2'!J31</f>
        <v>3.9715242354142359E-2</v>
      </c>
      <c r="K25" s="36">
        <f>'R2'!K31</f>
        <v>9.0186344303344573E-2</v>
      </c>
      <c r="L25" s="36">
        <f>'R2'!L31</f>
        <v>4.5817051157893238E-2</v>
      </c>
      <c r="M25" s="36">
        <f>'R2'!M31</f>
        <v>5.2970265012484204E-2</v>
      </c>
      <c r="O25" s="36">
        <f>'R2'!O31</f>
        <v>0.76866238687103339</v>
      </c>
      <c r="P25" s="36">
        <f>'R2'!P31</f>
        <v>1.4097908893289213</v>
      </c>
      <c r="Q25" s="36">
        <f>'R2'!Q31</f>
        <v>4.344822291081981E-2</v>
      </c>
      <c r="R25" s="36">
        <f>'R2'!R31</f>
        <v>0.79715053748684772</v>
      </c>
      <c r="S25" s="36">
        <f>'R2'!S31</f>
        <v>0.20557572625240886</v>
      </c>
      <c r="T25" s="36">
        <f>'R2'!T31</f>
        <v>0.55753603015210118</v>
      </c>
      <c r="U25" s="36">
        <f>'R2'!U31</f>
        <v>5.4764831866327711E-2</v>
      </c>
      <c r="V25" s="36">
        <f>'R2'!V31</f>
        <v>0.68210627537508739</v>
      </c>
    </row>
    <row r="26" spans="1:22" x14ac:dyDescent="0.35">
      <c r="A26" s="148"/>
      <c r="B26" s="36">
        <f>'R2'!B32</f>
        <v>6.5916199920940536E-3</v>
      </c>
      <c r="C26" s="36">
        <f>'R2'!C32</f>
        <v>1.6398259284226807E-2</v>
      </c>
      <c r="D26" s="36">
        <f>'R2'!D32</f>
        <v>0.10926251958453033</v>
      </c>
      <c r="E26" s="36">
        <f>'R2'!E32</f>
        <v>0.30162770028650437</v>
      </c>
      <c r="F26" s="36">
        <f>'R2'!F32</f>
        <v>1.4947019108336734</v>
      </c>
      <c r="G26" s="36">
        <f>'R2'!G32</f>
        <v>1.1408406328219802</v>
      </c>
      <c r="H26" s="36">
        <f>'R2'!H32</f>
        <v>2.5946897570416869</v>
      </c>
      <c r="I26" s="36">
        <f>'R2'!I32</f>
        <v>2.3289959004351789E-2</v>
      </c>
      <c r="J26" s="36">
        <f>'R2'!J32</f>
        <v>2.5499176364189257E-2</v>
      </c>
      <c r="K26" s="36">
        <f>'R2'!K32</f>
        <v>0.39133493042745809</v>
      </c>
      <c r="L26" s="36">
        <f>'R2'!L32</f>
        <v>9.9144540537048405E-3</v>
      </c>
      <c r="M26" s="36">
        <f>'R2'!M32</f>
        <v>4.8832486473716248E-2</v>
      </c>
      <c r="O26" s="36">
        <f>'R2'!O32</f>
        <v>0.8376959253550269</v>
      </c>
      <c r="P26" s="36">
        <f>'R2'!P32</f>
        <v>1.6840710797669485</v>
      </c>
      <c r="Q26" s="36">
        <f>'R2'!Q32</f>
        <v>0.1135309144401898</v>
      </c>
      <c r="R26" s="36">
        <f>'R2'!R32</f>
        <v>1.6422338852646849</v>
      </c>
      <c r="S26" s="36">
        <f>'R2'!S32</f>
        <v>2.2569246880814089</v>
      </c>
      <c r="T26" s="36">
        <f>'R2'!T32</f>
        <v>0.43968126522170958</v>
      </c>
      <c r="U26" s="36">
        <f>'R2'!U32</f>
        <v>9.6748969725094169E-2</v>
      </c>
      <c r="V26" s="36">
        <f>'R2'!V32</f>
        <v>0.58707671182148746</v>
      </c>
    </row>
    <row r="27" spans="1:22" x14ac:dyDescent="0.35">
      <c r="A27" s="148"/>
      <c r="B27" s="36">
        <f>'R2'!B33</f>
        <v>5.5554159781335899E-3</v>
      </c>
      <c r="C27" s="36">
        <f>'R2'!C33</f>
        <v>0.19022493100946075</v>
      </c>
      <c r="D27" s="36">
        <f>'R2'!D33</f>
        <v>5.5514468185039127E-2</v>
      </c>
      <c r="E27" s="36">
        <f>'R2'!E33</f>
        <v>0.78660721090741959</v>
      </c>
      <c r="F27" s="36">
        <f>'R2'!F33</f>
        <v>0.35130187380225858</v>
      </c>
      <c r="G27" s="36">
        <f>'R2'!G33</f>
        <v>1.7095404170587443</v>
      </c>
      <c r="H27" s="36">
        <f>'R2'!H33</f>
        <v>2.1370391772241737</v>
      </c>
      <c r="I27" s="36">
        <f>'R2'!I33</f>
        <v>7.0284809019732289E-2</v>
      </c>
      <c r="J27" s="36">
        <f>'R2'!J33</f>
        <v>1.5606679363754971E-2</v>
      </c>
      <c r="K27" s="36">
        <f>'R2'!K33</f>
        <v>3.8932107454159197E-2</v>
      </c>
      <c r="L27" s="36">
        <f>'R2'!L33</f>
        <v>0.27242031542573775</v>
      </c>
      <c r="M27" s="36">
        <f>'R2'!M33</f>
        <v>7.1253171369100393E-2</v>
      </c>
      <c r="O27" s="36">
        <f>'R2'!O33</f>
        <v>0.67319987526704739</v>
      </c>
      <c r="P27" s="36">
        <f>'R2'!P33</f>
        <v>1.8006543061124285</v>
      </c>
      <c r="Q27" s="36">
        <f>'R2'!Q33</f>
        <v>5.6043970969679065E-3</v>
      </c>
      <c r="R27" s="36">
        <f>'R2'!R33</f>
        <v>0.65828202807448533</v>
      </c>
      <c r="S27" s="36">
        <f>'R2'!S33</f>
        <v>0.34307642384628878</v>
      </c>
      <c r="T27" s="36">
        <f>'R2'!T33</f>
        <v>0.22569289105916532</v>
      </c>
      <c r="U27" s="36">
        <f>'R2'!U33</f>
        <v>0.5658394557972497</v>
      </c>
      <c r="V27" s="36">
        <f>'R2'!V33</f>
        <v>1.1525063026243534</v>
      </c>
    </row>
    <row r="28" spans="1:22" x14ac:dyDescent="0.35">
      <c r="A28" s="148"/>
      <c r="B28" s="36">
        <f>'R2'!B34</f>
        <v>0.16653017402301845</v>
      </c>
      <c r="C28" s="36">
        <f>'R2'!C34</f>
        <v>3.407875417931748E-2</v>
      </c>
      <c r="D28" s="36">
        <f>'R2'!D34</f>
        <v>6.5076201883000298E-2</v>
      </c>
      <c r="E28" s="36">
        <f>'R2'!E34</f>
        <v>0.48539050161803071</v>
      </c>
      <c r="F28" s="36">
        <f>'R2'!F34</f>
        <v>0.67702406204500254</v>
      </c>
      <c r="G28" s="36">
        <f>'R2'!G34</f>
        <v>1.8809681399638285</v>
      </c>
      <c r="H28" s="36">
        <f>'R2'!H34</f>
        <v>3.3682933254006442</v>
      </c>
      <c r="I28" s="36">
        <f>'R2'!I34</f>
        <v>2.0445394603082982E-3</v>
      </c>
      <c r="J28" s="36">
        <f>'R2'!J34</f>
        <v>3.1296119928298963E-2</v>
      </c>
      <c r="K28" s="36">
        <f>'R2'!K34</f>
        <v>6.3858992929899216E-2</v>
      </c>
      <c r="L28" s="36">
        <f>'R2'!L34</f>
        <v>4.10875581835521E-2</v>
      </c>
      <c r="M28" s="36">
        <f>'R2'!M34</f>
        <v>9.8802235706574107E-2</v>
      </c>
      <c r="O28" s="36">
        <f>'R2'!O34</f>
        <v>0.82863244786589763</v>
      </c>
      <c r="P28" s="36">
        <f>'R2'!P34</f>
        <v>1.7873936534404276</v>
      </c>
      <c r="Q28" s="36">
        <f>'R2'!Q34</f>
        <v>2.6641787636307028E-2</v>
      </c>
      <c r="R28" s="36">
        <f>'R2'!R34</f>
        <v>0.8318288881208612</v>
      </c>
      <c r="S28" s="36">
        <f>'R2'!S34</f>
        <v>0.71762406104567511</v>
      </c>
      <c r="T28" s="36">
        <f>'R2'!T34</f>
        <v>1.5593198296048216</v>
      </c>
      <c r="U28" s="36">
        <f>'R2'!U34</f>
        <v>0.71820282644983235</v>
      </c>
      <c r="V28" s="36">
        <f>'R2'!V34</f>
        <v>6.1406840480670861E-2</v>
      </c>
    </row>
    <row r="29" spans="1:22" x14ac:dyDescent="0.35">
      <c r="A29" s="148"/>
      <c r="B29" s="36">
        <f>'R2'!B35</f>
        <v>6.0991345472628036E-2</v>
      </c>
      <c r="C29" s="36">
        <f>'R2'!C35</f>
        <v>0.19139738135397183</v>
      </c>
      <c r="D29" s="36">
        <f>'R2'!D35</f>
        <v>0.12495759016273343</v>
      </c>
      <c r="E29" s="36">
        <f>'R2'!E35</f>
        <v>1.4858340763191984</v>
      </c>
      <c r="F29" s="36">
        <f>'R2'!F35</f>
        <v>1.2528244195086449</v>
      </c>
      <c r="G29" s="36">
        <f>'R2'!G35</f>
        <v>1.3253969845787592</v>
      </c>
      <c r="H29" s="36">
        <f>'R2'!H35</f>
        <v>0.75719770855629065</v>
      </c>
      <c r="I29" s="36">
        <f>'R2'!I35</f>
        <v>5.4359189382188339E-2</v>
      </c>
      <c r="J29" s="36">
        <f>'R2'!J35</f>
        <v>2.4350653577729413E-2</v>
      </c>
      <c r="K29" s="36">
        <f>'R2'!K35</f>
        <v>0.29653225642432063</v>
      </c>
      <c r="L29" s="36">
        <f>'R2'!L35</f>
        <v>8.7981912455117356E-2</v>
      </c>
      <c r="M29" s="36">
        <f>'R2'!M35</f>
        <v>1.1158405571686717E-2</v>
      </c>
      <c r="O29" s="36">
        <f>'R2'!O35</f>
        <v>1.4012895687036548</v>
      </c>
      <c r="P29" s="36">
        <f>'R2'!P35</f>
        <v>2.8387407151398176</v>
      </c>
      <c r="Q29" s="36">
        <f>'R2'!Q35</f>
        <v>5.637360826942036E-2</v>
      </c>
      <c r="R29" s="36">
        <f>'R2'!R35</f>
        <v>1.6034796862421539</v>
      </c>
      <c r="S29" s="36">
        <f>'R2'!S35</f>
        <v>0.86226530496341303</v>
      </c>
      <c r="T29" s="36">
        <f>'R2'!T35</f>
        <v>0.25674889090490294</v>
      </c>
      <c r="U29" s="36">
        <f>'R2'!U35</f>
        <v>1.0978017119041783</v>
      </c>
      <c r="V29" s="36">
        <f>'R2'!V35</f>
        <v>0.51111150052038923</v>
      </c>
    </row>
    <row r="30" spans="1:22" x14ac:dyDescent="0.35">
      <c r="A30" s="148"/>
      <c r="B30" s="36" t="str">
        <f>'R2'!B36</f>
        <v/>
      </c>
      <c r="C30" s="36" t="str">
        <f>'R2'!C36</f>
        <v/>
      </c>
      <c r="D30" s="36" t="str">
        <f>'R2'!D36</f>
        <v/>
      </c>
      <c r="E30" s="36" t="str">
        <f>'R2'!E36</f>
        <v/>
      </c>
      <c r="F30" s="36" t="str">
        <f>'R2'!F36</f>
        <v/>
      </c>
      <c r="G30" s="36" t="str">
        <f>'R2'!G36</f>
        <v/>
      </c>
      <c r="H30" s="36" t="str">
        <f>'R2'!H36</f>
        <v/>
      </c>
      <c r="I30" s="36" t="str">
        <f>'R2'!I36</f>
        <v/>
      </c>
      <c r="J30" s="36" t="str">
        <f>'R2'!J36</f>
        <v/>
      </c>
      <c r="K30" s="36" t="str">
        <f>'R2'!K36</f>
        <v/>
      </c>
      <c r="L30" s="36" t="str">
        <f>'R2'!L36</f>
        <v/>
      </c>
      <c r="M30" s="36" t="str">
        <f>'R2'!M36</f>
        <v/>
      </c>
      <c r="O30" s="36">
        <f>'R2'!O36</f>
        <v>0.3539147631414547</v>
      </c>
      <c r="P30" s="36" t="str">
        <f>'R2'!P36</f>
        <v/>
      </c>
      <c r="Q30" s="36" t="str">
        <f>'R2'!Q36</f>
        <v/>
      </c>
      <c r="R30" s="36" t="str">
        <f>'R2'!R36</f>
        <v/>
      </c>
      <c r="S30" s="36" t="str">
        <f>'R2'!S36</f>
        <v/>
      </c>
      <c r="T30" s="36" t="str">
        <f>'R2'!T36</f>
        <v/>
      </c>
      <c r="U30" s="36" t="str">
        <f>'R2'!U36</f>
        <v/>
      </c>
      <c r="V30" s="36" t="str">
        <f>'R2'!V36</f>
        <v/>
      </c>
    </row>
    <row r="31" spans="1:22" s="1" customFormat="1" x14ac:dyDescent="0.35">
      <c r="A31" s="148"/>
      <c r="B31" s="36" t="str">
        <f>'R2'!B37</f>
        <v/>
      </c>
      <c r="C31" s="36" t="str">
        <f>'R2'!C37</f>
        <v/>
      </c>
      <c r="D31" s="36" t="str">
        <f>'R2'!D37</f>
        <v/>
      </c>
      <c r="E31" s="36" t="str">
        <f>'R2'!E37</f>
        <v/>
      </c>
      <c r="F31" s="36" t="str">
        <f>'R2'!F37</f>
        <v/>
      </c>
      <c r="G31" s="36" t="str">
        <f>'R2'!G37</f>
        <v/>
      </c>
      <c r="H31" s="36" t="str">
        <f>'R2'!H37</f>
        <v/>
      </c>
      <c r="I31" s="36" t="str">
        <f>'R2'!I37</f>
        <v/>
      </c>
      <c r="J31" s="36" t="str">
        <f>'R2'!J37</f>
        <v/>
      </c>
      <c r="K31" s="36" t="str">
        <f>'R2'!K37</f>
        <v/>
      </c>
      <c r="L31" s="36" t="str">
        <f>'R2'!L37</f>
        <v/>
      </c>
      <c r="M31" s="36" t="str">
        <f>'R2'!M37</f>
        <v/>
      </c>
      <c r="N31"/>
      <c r="O31" s="36">
        <f>'R2'!O37</f>
        <v>1.0323395725848454</v>
      </c>
      <c r="P31" s="36" t="str">
        <f>'R2'!P37</f>
        <v/>
      </c>
      <c r="Q31" s="36" t="str">
        <f>'R2'!Q37</f>
        <v/>
      </c>
      <c r="R31" s="36" t="str">
        <f>'R2'!R37</f>
        <v/>
      </c>
      <c r="S31" s="36" t="str">
        <f>'R2'!S37</f>
        <v/>
      </c>
      <c r="T31" s="36" t="str">
        <f>'R2'!T37</f>
        <v/>
      </c>
      <c r="U31" s="36" t="str">
        <f>'R2'!U37</f>
        <v/>
      </c>
      <c r="V31" s="36" t="str">
        <f>'R2'!V37</f>
        <v/>
      </c>
    </row>
    <row r="32" spans="1:22" s="1" customFormat="1" x14ac:dyDescent="0.35">
      <c r="A32" s="148"/>
      <c r="B32" s="36" t="str">
        <f>'R2'!B38</f>
        <v/>
      </c>
      <c r="C32" s="36" t="str">
        <f>'R2'!C38</f>
        <v/>
      </c>
      <c r="D32" s="36" t="str">
        <f>'R2'!D38</f>
        <v/>
      </c>
      <c r="E32" s="36" t="str">
        <f>'R2'!E38</f>
        <v/>
      </c>
      <c r="F32" s="36" t="str">
        <f>'R2'!F38</f>
        <v/>
      </c>
      <c r="G32" s="36" t="str">
        <f>'R2'!G38</f>
        <v/>
      </c>
      <c r="H32" s="36" t="str">
        <f>'R2'!H38</f>
        <v/>
      </c>
      <c r="I32" s="36" t="str">
        <f>'R2'!I38</f>
        <v/>
      </c>
      <c r="J32" s="36" t="str">
        <f>'R2'!J38</f>
        <v/>
      </c>
      <c r="K32" s="36" t="str">
        <f>'R2'!K38</f>
        <v/>
      </c>
      <c r="L32" s="36" t="str">
        <f>'R2'!L38</f>
        <v/>
      </c>
      <c r="M32" s="36" t="str">
        <f>'R2'!M38</f>
        <v/>
      </c>
      <c r="N32"/>
      <c r="O32" s="36">
        <f>'R2'!O38</f>
        <v>1.4830655171023277</v>
      </c>
      <c r="P32" s="36" t="str">
        <f>'R2'!P38</f>
        <v/>
      </c>
      <c r="Q32" s="36" t="str">
        <f>'R2'!Q38</f>
        <v/>
      </c>
      <c r="R32" s="36" t="str">
        <f>'R2'!R38</f>
        <v/>
      </c>
      <c r="S32" s="36" t="str">
        <f>'R2'!S38</f>
        <v/>
      </c>
      <c r="T32" s="36" t="str">
        <f>'R2'!T38</f>
        <v/>
      </c>
      <c r="U32" s="36" t="str">
        <f>'R2'!U38</f>
        <v/>
      </c>
      <c r="V32" s="36" t="str">
        <f>'R2'!V38</f>
        <v/>
      </c>
    </row>
    <row r="33" spans="1:22" s="1" customFormat="1" x14ac:dyDescent="0.35">
      <c r="A33" s="148"/>
      <c r="B33" s="36" t="str">
        <f>'R2'!B39</f>
        <v/>
      </c>
      <c r="C33" s="36" t="str">
        <f>'R2'!C39</f>
        <v/>
      </c>
      <c r="D33" s="36" t="str">
        <f>'R2'!D39</f>
        <v/>
      </c>
      <c r="E33" s="36" t="str">
        <f>'R2'!E39</f>
        <v/>
      </c>
      <c r="F33" s="36" t="str">
        <f>'R2'!F39</f>
        <v/>
      </c>
      <c r="G33" s="36" t="str">
        <f>'R2'!G39</f>
        <v/>
      </c>
      <c r="H33" s="36" t="str">
        <f>'R2'!H39</f>
        <v/>
      </c>
      <c r="I33" s="36" t="str">
        <f>'R2'!I39</f>
        <v/>
      </c>
      <c r="J33" s="36" t="str">
        <f>'R2'!J39</f>
        <v/>
      </c>
      <c r="K33" s="36" t="str">
        <f>'R2'!K39</f>
        <v/>
      </c>
      <c r="L33" s="36" t="str">
        <f>'R2'!L39</f>
        <v/>
      </c>
      <c r="M33" s="36" t="str">
        <f>'R2'!M39</f>
        <v/>
      </c>
      <c r="N33"/>
      <c r="O33" s="36">
        <f>'R2'!O39</f>
        <v>1.2888700189597748</v>
      </c>
      <c r="P33" s="36" t="str">
        <f>'R2'!P39</f>
        <v/>
      </c>
      <c r="Q33" s="36" t="str">
        <f>'R2'!Q39</f>
        <v/>
      </c>
      <c r="R33" s="36" t="str">
        <f>'R2'!R39</f>
        <v/>
      </c>
      <c r="S33" s="36" t="str">
        <f>'R2'!S39</f>
        <v/>
      </c>
      <c r="T33" s="36" t="str">
        <f>'R2'!T39</f>
        <v/>
      </c>
      <c r="U33" s="36" t="str">
        <f>'R2'!U39</f>
        <v/>
      </c>
      <c r="V33" s="36" t="str">
        <f>'R2'!V39</f>
        <v/>
      </c>
    </row>
    <row r="34" spans="1:22" s="1" customFormat="1" x14ac:dyDescent="0.35">
      <c r="A34" s="148"/>
      <c r="B34" s="36" t="str">
        <f>'R2'!B40</f>
        <v/>
      </c>
      <c r="C34" s="36" t="str">
        <f>'R2'!C40</f>
        <v/>
      </c>
      <c r="D34" s="36" t="str">
        <f>'R2'!D40</f>
        <v/>
      </c>
      <c r="E34" s="36" t="str">
        <f>'R2'!E40</f>
        <v/>
      </c>
      <c r="F34" s="36" t="str">
        <f>'R2'!F40</f>
        <v/>
      </c>
      <c r="G34" s="36" t="str">
        <f>'R2'!G40</f>
        <v/>
      </c>
      <c r="H34" s="36" t="str">
        <f>'R2'!H40</f>
        <v/>
      </c>
      <c r="I34" s="36" t="str">
        <f>'R2'!I40</f>
        <v/>
      </c>
      <c r="J34" s="36" t="str">
        <f>'R2'!J40</f>
        <v/>
      </c>
      <c r="K34" s="36" t="str">
        <f>'R2'!K40</f>
        <v/>
      </c>
      <c r="L34" s="36" t="str">
        <f>'R2'!L40</f>
        <v/>
      </c>
      <c r="M34" s="36" t="str">
        <f>'R2'!M40</f>
        <v/>
      </c>
      <c r="N34"/>
      <c r="O34" s="36">
        <f>'R2'!O40</f>
        <v>0.22718850418770972</v>
      </c>
      <c r="P34" s="36" t="str">
        <f>'R2'!P40</f>
        <v/>
      </c>
      <c r="Q34" s="36" t="str">
        <f>'R2'!Q40</f>
        <v/>
      </c>
      <c r="R34" s="36" t="str">
        <f>'R2'!R40</f>
        <v/>
      </c>
      <c r="S34" s="36" t="str">
        <f>'R2'!S40</f>
        <v/>
      </c>
      <c r="T34" s="36" t="str">
        <f>'R2'!T40</f>
        <v/>
      </c>
      <c r="U34" s="36" t="str">
        <f>'R2'!U40</f>
        <v/>
      </c>
      <c r="V34" s="36" t="str">
        <f>'R2'!V40</f>
        <v/>
      </c>
    </row>
    <row r="35" spans="1:22" s="1" customFormat="1" x14ac:dyDescent="0.35">
      <c r="A35" s="148"/>
      <c r="B35" s="36" t="str">
        <f>'R2'!B41</f>
        <v/>
      </c>
      <c r="C35" s="36" t="str">
        <f>'R2'!C41</f>
        <v/>
      </c>
      <c r="D35" s="36" t="str">
        <f>'R2'!D41</f>
        <v/>
      </c>
      <c r="E35" s="36" t="str">
        <f>'R2'!E41</f>
        <v/>
      </c>
      <c r="F35" s="36" t="str">
        <f>'R2'!F41</f>
        <v/>
      </c>
      <c r="G35" s="36" t="str">
        <f>'R2'!G41</f>
        <v/>
      </c>
      <c r="H35" s="36" t="str">
        <f>'R2'!H41</f>
        <v/>
      </c>
      <c r="I35" s="36" t="str">
        <f>'R2'!I41</f>
        <v/>
      </c>
      <c r="J35" s="36" t="str">
        <f>'R2'!J41</f>
        <v/>
      </c>
      <c r="K35" s="36" t="str">
        <f>'R2'!K41</f>
        <v/>
      </c>
      <c r="L35" s="36" t="str">
        <f>'R2'!L41</f>
        <v/>
      </c>
      <c r="M35" s="36" t="str">
        <f>'R2'!M41</f>
        <v/>
      </c>
      <c r="N35"/>
      <c r="O35" s="36">
        <f>'R2'!O41</f>
        <v>1.6551221125331352</v>
      </c>
      <c r="P35" s="36" t="str">
        <f>'R2'!P41</f>
        <v/>
      </c>
      <c r="Q35" s="36" t="str">
        <f>'R2'!Q41</f>
        <v/>
      </c>
      <c r="R35" s="36" t="str">
        <f>'R2'!R41</f>
        <v/>
      </c>
      <c r="S35" s="36" t="str">
        <f>'R2'!S41</f>
        <v/>
      </c>
      <c r="T35" s="36" t="str">
        <f>'R2'!T41</f>
        <v/>
      </c>
      <c r="U35" s="36" t="str">
        <f>'R2'!U41</f>
        <v/>
      </c>
      <c r="V35" s="36" t="str">
        <f>'R2'!V41</f>
        <v/>
      </c>
    </row>
    <row r="36" spans="1:22" x14ac:dyDescent="0.35">
      <c r="A36" s="148"/>
      <c r="B36" s="36" t="str">
        <f>'R2'!B42</f>
        <v/>
      </c>
      <c r="C36" s="36" t="str">
        <f>'R2'!C42</f>
        <v/>
      </c>
      <c r="D36" s="36" t="str">
        <f>'R2'!D42</f>
        <v/>
      </c>
      <c r="E36" s="36" t="str">
        <f>'R2'!E42</f>
        <v/>
      </c>
      <c r="F36" s="36" t="str">
        <f>'R2'!F42</f>
        <v/>
      </c>
      <c r="G36" s="36" t="str">
        <f>'R2'!G42</f>
        <v/>
      </c>
      <c r="H36" s="36" t="str">
        <f>'R2'!H42</f>
        <v/>
      </c>
      <c r="I36" s="36" t="str">
        <f>'R2'!I42</f>
        <v/>
      </c>
      <c r="J36" s="36" t="str">
        <f>'R2'!J42</f>
        <v/>
      </c>
      <c r="K36" s="36" t="str">
        <f>'R2'!K42</f>
        <v/>
      </c>
      <c r="L36" s="36" t="str">
        <f>'R2'!L42</f>
        <v/>
      </c>
      <c r="M36" s="36" t="str">
        <f>'R2'!M42</f>
        <v/>
      </c>
      <c r="O36" s="36">
        <f>'R2'!O42</f>
        <v>0.58984667854177297</v>
      </c>
      <c r="P36" s="36" t="str">
        <f>'R2'!P42</f>
        <v/>
      </c>
      <c r="Q36" s="36" t="str">
        <f>'R2'!Q42</f>
        <v/>
      </c>
      <c r="R36" s="36" t="str">
        <f>'R2'!R42</f>
        <v/>
      </c>
      <c r="S36" s="36" t="str">
        <f>'R2'!S42</f>
        <v/>
      </c>
      <c r="T36" s="36" t="str">
        <f>'R2'!T42</f>
        <v/>
      </c>
      <c r="U36" s="36" t="str">
        <f>'R2'!U42</f>
        <v/>
      </c>
      <c r="V36" s="36" t="str">
        <f>'R2'!V42</f>
        <v/>
      </c>
    </row>
    <row r="37" spans="1:22" x14ac:dyDescent="0.35">
      <c r="A37" s="149"/>
      <c r="B37" s="36" t="str">
        <f>'R2'!B43</f>
        <v/>
      </c>
      <c r="C37" s="36" t="str">
        <f>'R2'!C43</f>
        <v/>
      </c>
      <c r="D37" s="36" t="str">
        <f>'R2'!D43</f>
        <v/>
      </c>
      <c r="E37" s="36" t="str">
        <f>'R2'!E43</f>
        <v/>
      </c>
      <c r="F37" s="36" t="str">
        <f>'R2'!F43</f>
        <v/>
      </c>
      <c r="G37" s="36" t="str">
        <f>'R2'!G43</f>
        <v/>
      </c>
      <c r="H37" s="36" t="str">
        <f>'R2'!H43</f>
        <v/>
      </c>
      <c r="I37" s="36" t="str">
        <f>'R2'!I43</f>
        <v/>
      </c>
      <c r="J37" s="36" t="str">
        <f>'R2'!J43</f>
        <v/>
      </c>
      <c r="K37" s="36" t="str">
        <f>'R2'!K43</f>
        <v/>
      </c>
      <c r="L37" s="36" t="str">
        <f>'R2'!L43</f>
        <v/>
      </c>
      <c r="M37" s="36" t="str">
        <f>'R2'!M43</f>
        <v/>
      </c>
      <c r="O37" s="36">
        <f>'R2'!O43</f>
        <v>1.1887140464688659</v>
      </c>
      <c r="P37" s="36" t="str">
        <f>'R2'!P43</f>
        <v/>
      </c>
      <c r="Q37" s="36" t="str">
        <f>'R2'!Q43</f>
        <v/>
      </c>
      <c r="R37" s="36" t="str">
        <f>'R2'!R43</f>
        <v/>
      </c>
      <c r="S37" s="36" t="str">
        <f>'R2'!S43</f>
        <v/>
      </c>
      <c r="T37" s="36" t="str">
        <f>'R2'!T43</f>
        <v/>
      </c>
      <c r="U37" s="36" t="str">
        <f>'R2'!U43</f>
        <v/>
      </c>
      <c r="V37" s="36" t="str">
        <f>'R2'!V43</f>
        <v/>
      </c>
    </row>
    <row r="38" spans="1:22" s="1" customFormat="1" x14ac:dyDescent="0.35">
      <c r="A38" s="82" t="s">
        <v>16</v>
      </c>
      <c r="B38" s="83">
        <f>'R3'!B28</f>
        <v>9.3174427235545476E-2</v>
      </c>
      <c r="C38" s="83">
        <f>'R3'!C28</f>
        <v>0.17346005229798866</v>
      </c>
      <c r="D38" s="83">
        <f>'R3'!D28</f>
        <v>7.4453232845312925E-2</v>
      </c>
      <c r="E38" s="83">
        <f>'R3'!E28</f>
        <v>1.790531333546403</v>
      </c>
      <c r="F38" s="83">
        <f>'R3'!F28</f>
        <v>8.0413728457418561</v>
      </c>
      <c r="G38" s="83">
        <f>'R3'!G28</f>
        <v>7.8787955665449791</v>
      </c>
      <c r="H38" s="83">
        <f>'R3'!H28</f>
        <v>22.76888243518852</v>
      </c>
      <c r="I38" s="83">
        <f>'R3'!I28</f>
        <v>3.8608867223891147E-2</v>
      </c>
      <c r="J38" s="83">
        <f>'R3'!J28</f>
        <v>9.3294736671414524E-2</v>
      </c>
      <c r="K38" s="83">
        <f>'R3'!K28</f>
        <v>6.6274806628736065E-3</v>
      </c>
      <c r="L38" s="83">
        <f>'R3'!L28</f>
        <v>0.24447661995347686</v>
      </c>
      <c r="M38" s="83">
        <f>'R3'!M28</f>
        <v>3.8572251308626654E-2</v>
      </c>
      <c r="N38"/>
      <c r="O38" s="83">
        <f>'R3'!O28</f>
        <v>2.4909885617111556</v>
      </c>
      <c r="P38" s="83">
        <f>'R3'!P28</f>
        <v>7.7612087855180913</v>
      </c>
      <c r="Q38" s="83">
        <f>'R3'!Q28</f>
        <v>2.0920764728621144E-2</v>
      </c>
      <c r="R38" s="83">
        <f>'R3'!R28</f>
        <v>2.3830893056942455</v>
      </c>
      <c r="S38" s="83">
        <f>'R3'!S28</f>
        <v>3.6401189075693985</v>
      </c>
      <c r="T38" s="83">
        <f>'R3'!T28</f>
        <v>2.2795316510586967</v>
      </c>
      <c r="U38" s="83">
        <f>'R3'!U28</f>
        <v>2.7775787150638397E-2</v>
      </c>
      <c r="V38" s="83">
        <f>'R3'!V28</f>
        <v>3.5346258402698694</v>
      </c>
    </row>
    <row r="39" spans="1:22" s="1" customFormat="1" x14ac:dyDescent="0.35">
      <c r="A39" s="147"/>
      <c r="B39" s="83">
        <f>'R3'!B29</f>
        <v>7.9508844574332138E-4</v>
      </c>
      <c r="C39" s="83">
        <f>'R3'!C29</f>
        <v>0.37316848499558253</v>
      </c>
      <c r="D39" s="83">
        <f>'R3'!D29</f>
        <v>2.304103545623692</v>
      </c>
      <c r="E39" s="83">
        <f>'R3'!E29</f>
        <v>0.73716468321740902</v>
      </c>
      <c r="F39" s="83">
        <f>'R3'!F29</f>
        <v>7.555100413916767</v>
      </c>
      <c r="G39" s="83">
        <f>'R3'!G29</f>
        <v>13.57656675578283</v>
      </c>
      <c r="H39" s="83">
        <f>'R3'!H29</f>
        <v>22.137391283424446</v>
      </c>
      <c r="I39" s="83">
        <f>'R3'!I29</f>
        <v>0.23333753544551367</v>
      </c>
      <c r="J39" s="83">
        <f>'R3'!J29</f>
        <v>2.7637169757137096E-2</v>
      </c>
      <c r="K39" s="83">
        <f>'R3'!K29</f>
        <v>0.11663476723001123</v>
      </c>
      <c r="L39" s="83">
        <f>'R3'!L29</f>
        <v>0.37688238497240989</v>
      </c>
      <c r="M39" s="83">
        <f>'R3'!M29</f>
        <v>0.14184220946709719</v>
      </c>
      <c r="N39"/>
      <c r="O39" s="83">
        <f>'R3'!O29</f>
        <v>1.5611457015269359E-2</v>
      </c>
      <c r="P39" s="83">
        <f>'R3'!P29</f>
        <v>3.726660623297033</v>
      </c>
      <c r="Q39" s="83">
        <f>'R3'!Q29</f>
        <v>5.6257738381377771E-2</v>
      </c>
      <c r="R39" s="83">
        <f>'R3'!R29</f>
        <v>1.4766413999415191</v>
      </c>
      <c r="S39" s="83">
        <f>'R3'!S29</f>
        <v>9.9778369095749039E-2</v>
      </c>
      <c r="T39" s="83">
        <f>'R3'!T29</f>
        <v>1.51432963843876E-3</v>
      </c>
      <c r="U39" s="83">
        <f>'R3'!U29</f>
        <v>0.4766058301952622</v>
      </c>
      <c r="V39" s="83">
        <f>'R3'!V29</f>
        <v>5.8693167522520096</v>
      </c>
    </row>
    <row r="40" spans="1:22" s="1" customFormat="1" x14ac:dyDescent="0.35">
      <c r="A40" s="148"/>
      <c r="B40" s="83">
        <f>'R3'!B30</f>
        <v>1.8307957632247531E-4</v>
      </c>
      <c r="C40" s="83">
        <f>'R3'!C30</f>
        <v>0.15915107569712778</v>
      </c>
      <c r="D40" s="83">
        <f>'R3'!D30</f>
        <v>1.2396684271947449</v>
      </c>
      <c r="E40" s="83">
        <f>'R3'!E30</f>
        <v>4.9366466203248667</v>
      </c>
      <c r="F40" s="83">
        <f>'R3'!F30</f>
        <v>3.6856037205954584</v>
      </c>
      <c r="G40" s="83">
        <f>'R3'!G30</f>
        <v>9.0522205721812146</v>
      </c>
      <c r="H40" s="83">
        <f>'R3'!H30</f>
        <v>14.718677307600364</v>
      </c>
      <c r="I40" s="83">
        <f>'R3'!I30</f>
        <v>2.1498773105296386E-3</v>
      </c>
      <c r="J40" s="83">
        <f>'R3'!J30</f>
        <v>0.3015477547382302</v>
      </c>
      <c r="K40" s="83">
        <f>'R3'!K30</f>
        <v>0.1558268736756154</v>
      </c>
      <c r="L40" s="83">
        <f>'R3'!L30</f>
        <v>0.25122441005221952</v>
      </c>
      <c r="M40" s="83">
        <f>'R3'!M30</f>
        <v>0.10253240900814285</v>
      </c>
      <c r="N40"/>
      <c r="O40" s="83">
        <f>'R3'!O30</f>
        <v>4.2390846648885274</v>
      </c>
      <c r="P40" s="83">
        <f>'R3'!P30</f>
        <v>2.2509476983497207</v>
      </c>
      <c r="Q40" s="83">
        <f>'R3'!Q30</f>
        <v>7.0456867236445175E-2</v>
      </c>
      <c r="R40" s="83">
        <f>'R3'!R30</f>
        <v>2.2356631691493128E-2</v>
      </c>
      <c r="S40" s="83">
        <f>'R3'!S30</f>
        <v>0.33661010902650312</v>
      </c>
      <c r="T40" s="83">
        <f>'R3'!T30</f>
        <v>0.33998661949839332</v>
      </c>
      <c r="U40" s="83">
        <f>'R3'!U30</f>
        <v>2.1859936800930253</v>
      </c>
      <c r="V40" s="83">
        <f>'R3'!V30</f>
        <v>1.6358081681737602</v>
      </c>
    </row>
    <row r="41" spans="1:22" s="1" customFormat="1" x14ac:dyDescent="0.35">
      <c r="A41" s="148"/>
      <c r="B41" s="83">
        <f>'R3'!B31</f>
        <v>8.6894797767684565E-2</v>
      </c>
      <c r="C41" s="83">
        <f>'R3'!C31</f>
        <v>5.4770609137135491</v>
      </c>
      <c r="D41" s="83">
        <f>'R3'!D31</f>
        <v>1.8169340238746227E-2</v>
      </c>
      <c r="E41" s="83">
        <f>'R3'!E31</f>
        <v>7.6324227652653054</v>
      </c>
      <c r="F41" s="83">
        <f>'R3'!F31</f>
        <v>7.2616003142691694</v>
      </c>
      <c r="G41" s="83">
        <f>'R3'!G31</f>
        <v>7.0756882353587338</v>
      </c>
      <c r="H41" s="83">
        <f>'R3'!H31</f>
        <v>11.155488438001671</v>
      </c>
      <c r="I41" s="83">
        <f>'R3'!I31</f>
        <v>3.8491173210540984E-2</v>
      </c>
      <c r="J41" s="83">
        <f>'R3'!J31</f>
        <v>5.4947411699412627E-2</v>
      </c>
      <c r="K41" s="83">
        <f>'R3'!K31</f>
        <v>2.7671170249882696E-3</v>
      </c>
      <c r="L41" s="83">
        <f>'R3'!L31</f>
        <v>4.6816063088175831E-4</v>
      </c>
      <c r="M41" s="83">
        <f>'R3'!M31</f>
        <v>0.19726824348746713</v>
      </c>
      <c r="N41"/>
      <c r="O41" s="83">
        <f>'R3'!O31</f>
        <v>4.3719324363131538</v>
      </c>
      <c r="P41" s="83">
        <f>'R3'!P31</f>
        <v>6.960811032061418</v>
      </c>
      <c r="Q41" s="83">
        <f>'R3'!Q31</f>
        <v>0.12589074752437179</v>
      </c>
      <c r="R41" s="83">
        <f>'R3'!R31</f>
        <v>1.9513667413456975E-2</v>
      </c>
      <c r="S41" s="83">
        <f>'R3'!S31</f>
        <v>0.24453415924889249</v>
      </c>
      <c r="T41" s="83">
        <f>'R3'!T31</f>
        <v>1.2327140187170096</v>
      </c>
      <c r="U41" s="83">
        <f>'R3'!U31</f>
        <v>2.0568284235749998</v>
      </c>
      <c r="V41" s="83">
        <f>'R3'!V31</f>
        <v>4.1801330413126907</v>
      </c>
    </row>
    <row r="42" spans="1:22" s="1" customFormat="1" x14ac:dyDescent="0.35">
      <c r="A42" s="148"/>
      <c r="B42" s="83">
        <f>'R3'!B32</f>
        <v>0.18620500623255185</v>
      </c>
      <c r="C42" s="83">
        <f>'R3'!C32</f>
        <v>0.36663254412087015</v>
      </c>
      <c r="D42" s="83">
        <f>'R3'!D32</f>
        <v>4.331908625506542</v>
      </c>
      <c r="E42" s="83">
        <f>'R3'!E32</f>
        <v>2.0587742979290562</v>
      </c>
      <c r="F42" s="83">
        <f>'R3'!F32</f>
        <v>7.6554934073044558</v>
      </c>
      <c r="G42" s="83">
        <f>'R3'!G32</f>
        <v>10.188367960655675</v>
      </c>
      <c r="H42" s="83">
        <f>'R3'!H32</f>
        <v>9.1821756862999457</v>
      </c>
      <c r="I42" s="83">
        <f>'R3'!I32</f>
        <v>7.6828036492467319E-2</v>
      </c>
      <c r="J42" s="83">
        <f>'R3'!J32</f>
        <v>0.28168623612976051</v>
      </c>
      <c r="K42" s="83">
        <f>'R3'!K32</f>
        <v>1.1952480911338744E-3</v>
      </c>
      <c r="L42" s="83">
        <f>'R3'!L32</f>
        <v>3.7570544483890828E-2</v>
      </c>
      <c r="M42" s="83">
        <f>'R3'!M32</f>
        <v>4.5165731478754662E-2</v>
      </c>
      <c r="N42"/>
      <c r="O42" s="83">
        <f>'R3'!O32</f>
        <v>5.0535193910040972E-2</v>
      </c>
      <c r="P42" s="83">
        <f>'R3'!P32</f>
        <v>6.3723671195357934</v>
      </c>
      <c r="Q42" s="83">
        <f>'R3'!Q32</f>
        <v>7.0927643289845826E-2</v>
      </c>
      <c r="R42" s="83">
        <f>'R3'!R32</f>
        <v>0.71683238855553877</v>
      </c>
      <c r="S42" s="83">
        <f>'R3'!S32</f>
        <v>0.10987128459615522</v>
      </c>
      <c r="T42" s="83">
        <f>'R3'!T32</f>
        <v>0.48975617462025367</v>
      </c>
      <c r="U42" s="83">
        <f>'R3'!U32</f>
        <v>2.0961591474141055</v>
      </c>
      <c r="V42" s="83">
        <f>'R3'!V32</f>
        <v>0.47755784399213907</v>
      </c>
    </row>
    <row r="43" spans="1:22" s="1" customFormat="1" x14ac:dyDescent="0.35">
      <c r="A43" s="148"/>
      <c r="B43" s="83">
        <f>'R3'!B33</f>
        <v>6.8955614710600882E-2</v>
      </c>
      <c r="C43" s="83">
        <f>'R3'!C33</f>
        <v>0.79064484288372294</v>
      </c>
      <c r="D43" s="83">
        <f>'R3'!D33</f>
        <v>1.5151901124474756</v>
      </c>
      <c r="E43" s="83">
        <f>'R3'!E33</f>
        <v>0.60060824266099355</v>
      </c>
      <c r="F43" s="83">
        <f>'R3'!F33</f>
        <v>9.2964565732629527</v>
      </c>
      <c r="G43" s="83">
        <f>'R3'!G33</f>
        <v>14.521981841644536</v>
      </c>
      <c r="H43" s="83">
        <f>'R3'!H33</f>
        <v>19.015968200646846</v>
      </c>
      <c r="I43" s="83">
        <f>'R3'!I33</f>
        <v>0.17505284461199422</v>
      </c>
      <c r="J43" s="83">
        <f>'R3'!J33</f>
        <v>2.3355723093710064E-3</v>
      </c>
      <c r="K43" s="83">
        <f>'R3'!K33</f>
        <v>2.6368689835474229E-2</v>
      </c>
      <c r="L43" s="83">
        <f>'R3'!L33</f>
        <v>0.13332639374558319</v>
      </c>
      <c r="M43" s="83">
        <f>'R3'!M33</f>
        <v>3.260385712051396E-2</v>
      </c>
      <c r="N43"/>
      <c r="O43" s="83">
        <f>'R3'!O33</f>
        <v>0.93103026200779704</v>
      </c>
      <c r="P43" s="83">
        <f>'R3'!P33</f>
        <v>7.7705432284880187</v>
      </c>
      <c r="Q43" s="83">
        <f>'R3'!Q33</f>
        <v>0.33424053622438649</v>
      </c>
      <c r="R43" s="83">
        <f>'R3'!R33</f>
        <v>8.4873076160580666E-2</v>
      </c>
      <c r="S43" s="83">
        <f>'R3'!S33</f>
        <v>1.8831042136026031E-4</v>
      </c>
      <c r="T43" s="83">
        <f>'R3'!T33</f>
        <v>1.9583577657386972</v>
      </c>
      <c r="U43" s="83">
        <f>'R3'!U33</f>
        <v>2.1540149089545264</v>
      </c>
      <c r="V43" s="83">
        <f>'R3'!V33</f>
        <v>0.26667371087131753</v>
      </c>
    </row>
    <row r="44" spans="1:22" s="1" customFormat="1" x14ac:dyDescent="0.35">
      <c r="A44" s="148"/>
      <c r="B44" s="83">
        <f>'R3'!B34</f>
        <v>7.1126415401281659E-2</v>
      </c>
      <c r="C44" s="83">
        <f>'R3'!C34</f>
        <v>1.2423256964739396E-3</v>
      </c>
      <c r="D44" s="83">
        <f>'R3'!D34</f>
        <v>0.34683902649789167</v>
      </c>
      <c r="E44" s="83">
        <f>'R3'!E34</f>
        <v>11.707509976529197</v>
      </c>
      <c r="F44" s="83">
        <f>'R3'!F34</f>
        <v>10.56330185585151</v>
      </c>
      <c r="G44" s="83">
        <f>'R3'!G34</f>
        <v>11.936613142916624</v>
      </c>
      <c r="H44" s="83">
        <f>'R3'!H34</f>
        <v>22.936959947942629</v>
      </c>
      <c r="I44" s="83">
        <f>'R3'!I34</f>
        <v>0.14286222424946526</v>
      </c>
      <c r="J44" s="83">
        <f>'R3'!J34</f>
        <v>0</v>
      </c>
      <c r="K44" s="83">
        <f>'R3'!K34</f>
        <v>0.11433319541338582</v>
      </c>
      <c r="L44" s="83">
        <f>'R3'!L34</f>
        <v>0.33815582373516856</v>
      </c>
      <c r="M44" s="83">
        <f>'R3'!M34</f>
        <v>1.1353549154512362E-2</v>
      </c>
      <c r="N44"/>
      <c r="O44" s="83">
        <f>'R3'!O34</f>
        <v>4.9083634412055634E-2</v>
      </c>
      <c r="P44" s="83">
        <f>'R3'!P34</f>
        <v>17.399919549603318</v>
      </c>
      <c r="Q44" s="83">
        <f>'R3'!Q34</f>
        <v>6.0816419831807404E-2</v>
      </c>
      <c r="R44" s="83">
        <f>'R3'!R34</f>
        <v>2.2603135263898748</v>
      </c>
      <c r="S44" s="83">
        <f>'R3'!S34</f>
        <v>4.1022405278550345</v>
      </c>
      <c r="T44" s="83">
        <f>'R3'!T34</f>
        <v>0.391819062977805</v>
      </c>
      <c r="U44" s="83">
        <f>'R3'!U34</f>
        <v>3.6855304887649294</v>
      </c>
      <c r="V44" s="83">
        <f>'R3'!V34</f>
        <v>3.0111359460009401</v>
      </c>
    </row>
    <row r="45" spans="1:22" s="1" customFormat="1" x14ac:dyDescent="0.35">
      <c r="A45" s="148"/>
      <c r="B45" s="83">
        <f>'R3'!B35</f>
        <v>0.14750983006553725</v>
      </c>
      <c r="C45" s="83" t="str">
        <f>'R3'!C35</f>
        <v/>
      </c>
      <c r="D45" s="83">
        <f>'R3'!D35</f>
        <v>3.9880590269477443</v>
      </c>
      <c r="E45" s="83">
        <f>'R3'!E35</f>
        <v>7.1353774080848984</v>
      </c>
      <c r="F45" s="83">
        <f>'R3'!F35</f>
        <v>8.1939173641562615</v>
      </c>
      <c r="G45" s="83">
        <f>'R3'!G35</f>
        <v>11.966672193926255</v>
      </c>
      <c r="H45" s="83">
        <f>'R3'!H35</f>
        <v>10.942661045949311</v>
      </c>
      <c r="I45" s="83">
        <f>'R3'!I35</f>
        <v>5.2690302065608395E-2</v>
      </c>
      <c r="J45" s="83">
        <f>'R3'!J35</f>
        <v>0.13176237107928548</v>
      </c>
      <c r="K45" s="83">
        <f>'R3'!K35</f>
        <v>6.4757861567778406E-3</v>
      </c>
      <c r="L45" s="83">
        <f>'R3'!L35</f>
        <v>1.2289870416275878E-2</v>
      </c>
      <c r="M45" s="83" t="str">
        <f>'R3'!M35</f>
        <v/>
      </c>
      <c r="N45"/>
      <c r="O45" s="83">
        <f>'R3'!O35</f>
        <v>0.37180061901820177</v>
      </c>
      <c r="P45" s="83">
        <f>'R3'!P35</f>
        <v>8.582153298283183</v>
      </c>
      <c r="Q45" s="83">
        <f>'R3'!Q35</f>
        <v>5.2949228894978752E-2</v>
      </c>
      <c r="R45" s="83">
        <f>'R3'!R35</f>
        <v>9.1539788161237656E-5</v>
      </c>
      <c r="S45" s="83" t="str">
        <f>'R3'!S35</f>
        <v/>
      </c>
      <c r="T45" s="83">
        <f>'R3'!T35</f>
        <v>1.3155575270029298E-3</v>
      </c>
      <c r="U45" s="83" t="str">
        <f>'R3'!U35</f>
        <v/>
      </c>
      <c r="V45" s="83">
        <f>'R3'!V35</f>
        <v>3.0822231300644387</v>
      </c>
    </row>
    <row r="46" spans="1:22" s="1" customFormat="1" x14ac:dyDescent="0.35">
      <c r="A46" s="148"/>
      <c r="B46" s="83" t="str">
        <f>'R3'!B36</f>
        <v/>
      </c>
      <c r="C46" s="83" t="str">
        <f>'R3'!C36</f>
        <v/>
      </c>
      <c r="D46" s="83" t="str">
        <f>'R3'!D36</f>
        <v/>
      </c>
      <c r="E46" s="83" t="str">
        <f>'R3'!E36</f>
        <v/>
      </c>
      <c r="F46" s="83" t="str">
        <f>'R3'!F36</f>
        <v/>
      </c>
      <c r="G46" s="83" t="str">
        <f>'R3'!G36</f>
        <v/>
      </c>
      <c r="H46" s="83" t="str">
        <f>'R3'!H36</f>
        <v/>
      </c>
      <c r="I46" s="83" t="str">
        <f>'R3'!I36</f>
        <v/>
      </c>
      <c r="J46" s="83" t="str">
        <f>'R3'!J36</f>
        <v/>
      </c>
      <c r="K46" s="83" t="str">
        <f>'R3'!K36</f>
        <v/>
      </c>
      <c r="L46" s="83" t="str">
        <f>'R3'!L36</f>
        <v/>
      </c>
      <c r="M46" s="83" t="str">
        <f>'R3'!M36</f>
        <v/>
      </c>
      <c r="N46"/>
      <c r="O46" s="83">
        <f>'R3'!O36</f>
        <v>0.18367066181174502</v>
      </c>
      <c r="P46" s="83" t="str">
        <f>'R3'!P36</f>
        <v/>
      </c>
      <c r="Q46" s="83" t="str">
        <f>'R3'!Q36</f>
        <v/>
      </c>
      <c r="R46" s="83" t="str">
        <f>'R3'!R36</f>
        <v/>
      </c>
      <c r="S46" s="83" t="str">
        <f>'R3'!S36</f>
        <v/>
      </c>
      <c r="T46" s="83" t="str">
        <f>'R3'!T36</f>
        <v/>
      </c>
      <c r="U46" s="83" t="str">
        <f>'R3'!U36</f>
        <v/>
      </c>
      <c r="V46" s="83" t="str">
        <f>'R3'!V36</f>
        <v/>
      </c>
    </row>
    <row r="47" spans="1:22" s="1" customFormat="1" x14ac:dyDescent="0.35">
      <c r="A47" s="148"/>
      <c r="B47" s="83" t="str">
        <f>'R3'!B37</f>
        <v/>
      </c>
      <c r="C47" s="83" t="str">
        <f>'R3'!C37</f>
        <v/>
      </c>
      <c r="D47" s="83" t="str">
        <f>'R3'!D37</f>
        <v/>
      </c>
      <c r="E47" s="83" t="str">
        <f>'R3'!E37</f>
        <v/>
      </c>
      <c r="F47" s="83" t="str">
        <f>'R3'!F37</f>
        <v/>
      </c>
      <c r="G47" s="83" t="str">
        <f>'R3'!G37</f>
        <v/>
      </c>
      <c r="H47" s="83" t="str">
        <f>'R3'!H37</f>
        <v/>
      </c>
      <c r="I47" s="83" t="str">
        <f>'R3'!I37</f>
        <v/>
      </c>
      <c r="J47" s="83" t="str">
        <f>'R3'!J37</f>
        <v/>
      </c>
      <c r="K47" s="83" t="str">
        <f>'R3'!K37</f>
        <v/>
      </c>
      <c r="L47" s="83" t="str">
        <f>'R3'!L37</f>
        <v/>
      </c>
      <c r="M47" s="83" t="str">
        <f>'R3'!M37</f>
        <v/>
      </c>
      <c r="N47"/>
      <c r="O47" s="83">
        <f>'R3'!O37</f>
        <v>1.4403497970693666</v>
      </c>
      <c r="P47" s="83" t="str">
        <f>'R3'!P37</f>
        <v/>
      </c>
      <c r="Q47" s="83" t="str">
        <f>'R3'!Q37</f>
        <v/>
      </c>
      <c r="R47" s="83" t="str">
        <f>'R3'!R37</f>
        <v/>
      </c>
      <c r="S47" s="83" t="str">
        <f>'R3'!S37</f>
        <v/>
      </c>
      <c r="T47" s="83" t="str">
        <f>'R3'!T37</f>
        <v/>
      </c>
      <c r="U47" s="83" t="str">
        <f>'R3'!U37</f>
        <v/>
      </c>
      <c r="V47" s="83" t="str">
        <f>'R3'!V37</f>
        <v/>
      </c>
    </row>
    <row r="48" spans="1:22" s="1" customFormat="1" x14ac:dyDescent="0.35">
      <c r="A48" s="148"/>
      <c r="B48" s="83" t="str">
        <f>'R3'!B38</f>
        <v/>
      </c>
      <c r="C48" s="83" t="str">
        <f>'R3'!C38</f>
        <v/>
      </c>
      <c r="D48" s="83" t="str">
        <f>'R3'!D38</f>
        <v/>
      </c>
      <c r="E48" s="83" t="str">
        <f>'R3'!E38</f>
        <v/>
      </c>
      <c r="F48" s="83" t="str">
        <f>'R3'!F38</f>
        <v/>
      </c>
      <c r="G48" s="83" t="str">
        <f>'R3'!G38</f>
        <v/>
      </c>
      <c r="H48" s="83" t="str">
        <f>'R3'!H38</f>
        <v/>
      </c>
      <c r="I48" s="83" t="str">
        <f>'R3'!I38</f>
        <v/>
      </c>
      <c r="J48" s="83" t="str">
        <f>'R3'!J38</f>
        <v/>
      </c>
      <c r="K48" s="83" t="str">
        <f>'R3'!K38</f>
        <v/>
      </c>
      <c r="L48" s="83" t="str">
        <f>'R3'!L38</f>
        <v/>
      </c>
      <c r="M48" s="83" t="str">
        <f>'R3'!M38</f>
        <v/>
      </c>
      <c r="N48"/>
      <c r="O48" s="83">
        <f>'R3'!O38</f>
        <v>6.0635955678003825E-2</v>
      </c>
      <c r="P48" s="83" t="str">
        <f>'R3'!P38</f>
        <v/>
      </c>
      <c r="Q48" s="83" t="str">
        <f>'R3'!Q38</f>
        <v/>
      </c>
      <c r="R48" s="83" t="str">
        <f>'R3'!R38</f>
        <v/>
      </c>
      <c r="S48" s="83" t="str">
        <f>'R3'!S38</f>
        <v/>
      </c>
      <c r="T48" s="83" t="str">
        <f>'R3'!T38</f>
        <v/>
      </c>
      <c r="U48" s="83" t="str">
        <f>'R3'!U38</f>
        <v/>
      </c>
      <c r="V48" s="83" t="str">
        <f>'R3'!V38</f>
        <v/>
      </c>
    </row>
    <row r="49" spans="1:24" s="1" customFormat="1" x14ac:dyDescent="0.35">
      <c r="A49" s="148"/>
      <c r="B49" s="83" t="str">
        <f>'R3'!B39</f>
        <v/>
      </c>
      <c r="C49" s="83" t="str">
        <f>'R3'!C39</f>
        <v/>
      </c>
      <c r="D49" s="83" t="str">
        <f>'R3'!D39</f>
        <v/>
      </c>
      <c r="E49" s="83" t="str">
        <f>'R3'!E39</f>
        <v/>
      </c>
      <c r="F49" s="83" t="str">
        <f>'R3'!F39</f>
        <v/>
      </c>
      <c r="G49" s="83" t="str">
        <f>'R3'!G39</f>
        <v/>
      </c>
      <c r="H49" s="83" t="str">
        <f>'R3'!H39</f>
        <v/>
      </c>
      <c r="I49" s="83" t="str">
        <f>'R3'!I39</f>
        <v/>
      </c>
      <c r="J49" s="83" t="str">
        <f>'R3'!J39</f>
        <v/>
      </c>
      <c r="K49" s="83" t="str">
        <f>'R3'!K39</f>
        <v/>
      </c>
      <c r="L49" s="83" t="str">
        <f>'R3'!L39</f>
        <v/>
      </c>
      <c r="M49" s="83" t="str">
        <f>'R3'!M39</f>
        <v/>
      </c>
      <c r="N49"/>
      <c r="O49" s="83">
        <f>'R3'!O39</f>
        <v>4.5199731971500262E-2</v>
      </c>
      <c r="P49" s="83" t="str">
        <f>'R3'!P39</f>
        <v/>
      </c>
      <c r="Q49" s="83" t="str">
        <f>'R3'!Q39</f>
        <v/>
      </c>
      <c r="R49" s="83" t="str">
        <f>'R3'!R39</f>
        <v/>
      </c>
      <c r="S49" s="83" t="str">
        <f>'R3'!S39</f>
        <v/>
      </c>
      <c r="T49" s="83" t="str">
        <f>'R3'!T39</f>
        <v/>
      </c>
      <c r="U49" s="83" t="str">
        <f>'R3'!U39</f>
        <v/>
      </c>
      <c r="V49" s="83" t="str">
        <f>'R3'!V39</f>
        <v/>
      </c>
    </row>
    <row r="50" spans="1:24" s="1" customFormat="1" x14ac:dyDescent="0.35">
      <c r="A50" s="148"/>
      <c r="B50" s="83" t="str">
        <f>'R3'!B40</f>
        <v/>
      </c>
      <c r="C50" s="83" t="str">
        <f>'R3'!C40</f>
        <v/>
      </c>
      <c r="D50" s="83" t="str">
        <f>'R3'!D40</f>
        <v/>
      </c>
      <c r="E50" s="83" t="str">
        <f>'R3'!E40</f>
        <v/>
      </c>
      <c r="F50" s="83" t="str">
        <f>'R3'!F40</f>
        <v/>
      </c>
      <c r="G50" s="83" t="str">
        <f>'R3'!G40</f>
        <v/>
      </c>
      <c r="H50" s="83" t="str">
        <f>'R3'!H40</f>
        <v/>
      </c>
      <c r="I50" s="83" t="str">
        <f>'R3'!I40</f>
        <v/>
      </c>
      <c r="J50" s="83" t="str">
        <f>'R3'!J40</f>
        <v/>
      </c>
      <c r="K50" s="83" t="str">
        <f>'R3'!K40</f>
        <v/>
      </c>
      <c r="L50" s="83" t="str">
        <f>'R3'!L40</f>
        <v/>
      </c>
      <c r="M50" s="83" t="str">
        <f>'R3'!M40</f>
        <v/>
      </c>
      <c r="N50"/>
      <c r="O50" s="83">
        <f>'R3'!O40</f>
        <v>0.62192655161248644</v>
      </c>
      <c r="P50" s="83" t="str">
        <f>'R3'!P40</f>
        <v/>
      </c>
      <c r="Q50" s="83" t="str">
        <f>'R3'!Q40</f>
        <v/>
      </c>
      <c r="R50" s="83" t="str">
        <f>'R3'!R40</f>
        <v/>
      </c>
      <c r="S50" s="83" t="str">
        <f>'R3'!S40</f>
        <v/>
      </c>
      <c r="T50" s="83" t="str">
        <f>'R3'!T40</f>
        <v/>
      </c>
      <c r="U50" s="83" t="str">
        <f>'R3'!U40</f>
        <v/>
      </c>
      <c r="V50" s="83" t="str">
        <f>'R3'!V40</f>
        <v/>
      </c>
    </row>
    <row r="51" spans="1:24" s="1" customFormat="1" x14ac:dyDescent="0.35">
      <c r="A51" s="148"/>
      <c r="B51" s="83" t="str">
        <f>'R3'!B41</f>
        <v/>
      </c>
      <c r="C51" s="83" t="str">
        <f>'R3'!C41</f>
        <v/>
      </c>
      <c r="D51" s="83" t="str">
        <f>'R3'!D41</f>
        <v/>
      </c>
      <c r="E51" s="83" t="str">
        <f>'R3'!E41</f>
        <v/>
      </c>
      <c r="F51" s="83" t="str">
        <f>'R3'!F41</f>
        <v/>
      </c>
      <c r="G51" s="83" t="str">
        <f>'R3'!G41</f>
        <v/>
      </c>
      <c r="H51" s="83" t="str">
        <f>'R3'!H41</f>
        <v/>
      </c>
      <c r="I51" s="83" t="str">
        <f>'R3'!I41</f>
        <v/>
      </c>
      <c r="J51" s="83" t="str">
        <f>'R3'!J41</f>
        <v/>
      </c>
      <c r="K51" s="83" t="str">
        <f>'R3'!K41</f>
        <v/>
      </c>
      <c r="L51" s="83" t="str">
        <f>'R3'!L41</f>
        <v/>
      </c>
      <c r="M51" s="83" t="str">
        <f>'R3'!M41</f>
        <v/>
      </c>
      <c r="N51"/>
      <c r="O51" s="83">
        <f>'R3'!O41</f>
        <v>9.8753123468343182E-2</v>
      </c>
      <c r="P51" s="83" t="str">
        <f>'R3'!P41</f>
        <v/>
      </c>
      <c r="Q51" s="83" t="str">
        <f>'R3'!Q41</f>
        <v/>
      </c>
      <c r="R51" s="83" t="str">
        <f>'R3'!R41</f>
        <v/>
      </c>
      <c r="S51" s="83" t="str">
        <f>'R3'!S41</f>
        <v/>
      </c>
      <c r="T51" s="83" t="str">
        <f>'R3'!T41</f>
        <v/>
      </c>
      <c r="U51" s="83" t="str">
        <f>'R3'!U41</f>
        <v/>
      </c>
      <c r="V51" s="83" t="str">
        <f>'R3'!V41</f>
        <v/>
      </c>
    </row>
    <row r="52" spans="1:24" s="1" customFormat="1" x14ac:dyDescent="0.35">
      <c r="A52" s="148"/>
      <c r="B52" s="83" t="str">
        <f>'R3'!B42</f>
        <v/>
      </c>
      <c r="C52" s="83" t="str">
        <f>'R3'!C42</f>
        <v/>
      </c>
      <c r="D52" s="83" t="str">
        <f>'R3'!D42</f>
        <v/>
      </c>
      <c r="E52" s="83" t="str">
        <f>'R3'!E42</f>
        <v/>
      </c>
      <c r="F52" s="83" t="str">
        <f>'R3'!F42</f>
        <v/>
      </c>
      <c r="G52" s="83" t="str">
        <f>'R3'!G42</f>
        <v/>
      </c>
      <c r="H52" s="83" t="str">
        <f>'R3'!H42</f>
        <v/>
      </c>
      <c r="I52" s="83" t="str">
        <f>'R3'!I42</f>
        <v/>
      </c>
      <c r="J52" s="83" t="str">
        <f>'R3'!J42</f>
        <v/>
      </c>
      <c r="K52" s="83" t="str">
        <f>'R3'!K42</f>
        <v/>
      </c>
      <c r="L52" s="83" t="str">
        <f>'R3'!L42</f>
        <v/>
      </c>
      <c r="M52" s="83" t="str">
        <f>'R3'!M42</f>
        <v/>
      </c>
      <c r="N52"/>
      <c r="O52" s="83">
        <f>'R3'!O42</f>
        <v>2.9397349112351749E-2</v>
      </c>
      <c r="P52" s="83" t="str">
        <f>'R3'!P42</f>
        <v/>
      </c>
      <c r="Q52" s="83" t="str">
        <f>'R3'!Q42</f>
        <v/>
      </c>
      <c r="R52" s="83" t="str">
        <f>'R3'!R42</f>
        <v/>
      </c>
      <c r="S52" s="83" t="str">
        <f>'R3'!S42</f>
        <v/>
      </c>
      <c r="T52" s="83" t="str">
        <f>'R3'!T42</f>
        <v/>
      </c>
      <c r="U52" s="83" t="str">
        <f>'R3'!U42</f>
        <v/>
      </c>
      <c r="V52" s="83" t="str">
        <f>'R3'!V42</f>
        <v/>
      </c>
    </row>
    <row r="53" spans="1:24" s="1" customFormat="1" x14ac:dyDescent="0.35">
      <c r="A53" s="149"/>
      <c r="B53" s="83" t="str">
        <f>'R3'!B43</f>
        <v/>
      </c>
      <c r="C53" s="83" t="str">
        <f>'R3'!C43</f>
        <v/>
      </c>
      <c r="D53" s="83" t="str">
        <f>'R3'!D43</f>
        <v/>
      </c>
      <c r="E53" s="83" t="str">
        <f>'R3'!E43</f>
        <v/>
      </c>
      <c r="F53" s="83" t="str">
        <f>'R3'!F43</f>
        <v/>
      </c>
      <c r="G53" s="83" t="str">
        <f>'R3'!G43</f>
        <v/>
      </c>
      <c r="H53" s="83" t="str">
        <f>'R3'!H43</f>
        <v/>
      </c>
      <c r="I53" s="83" t="str">
        <f>'R3'!I43</f>
        <v/>
      </c>
      <c r="J53" s="83" t="str">
        <f>'R3'!J43</f>
        <v/>
      </c>
      <c r="K53" s="83" t="str">
        <f>'R3'!K43</f>
        <v/>
      </c>
      <c r="L53" s="83" t="str">
        <f>'R3'!L43</f>
        <v/>
      </c>
      <c r="M53" s="83" t="str">
        <f>'R3'!M43</f>
        <v/>
      </c>
      <c r="N53"/>
      <c r="O53" s="83" t="str">
        <f>'R3'!O43</f>
        <v/>
      </c>
      <c r="P53" s="83" t="str">
        <f>'R3'!P43</f>
        <v/>
      </c>
      <c r="Q53" s="83" t="str">
        <f>'R3'!Q43</f>
        <v/>
      </c>
      <c r="R53" s="83" t="str">
        <f>'R3'!R43</f>
        <v/>
      </c>
      <c r="S53" s="83" t="str">
        <f>'R3'!S43</f>
        <v/>
      </c>
      <c r="T53" s="83" t="str">
        <f>'R3'!T43</f>
        <v/>
      </c>
      <c r="U53" s="83" t="str">
        <f>'R3'!U43</f>
        <v/>
      </c>
      <c r="V53" s="83" t="str">
        <f>'R3'!V43</f>
        <v/>
      </c>
    </row>
    <row r="54" spans="1:24" s="42" customFormat="1" x14ac:dyDescent="0.35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/>
      <c r="O54" s="41"/>
      <c r="P54" s="41"/>
      <c r="Q54" s="41"/>
      <c r="R54" s="41"/>
      <c r="S54" s="41"/>
      <c r="T54" s="41"/>
      <c r="U54" s="41"/>
      <c r="V54" s="41"/>
    </row>
    <row r="55" spans="1:24" s="24" customFormat="1" x14ac:dyDescent="0.35">
      <c r="A55" s="24" t="s">
        <v>37</v>
      </c>
      <c r="B55" s="14" t="str">
        <f t="shared" ref="B55:M55" si="0">B4</f>
        <v>Solvent control</v>
      </c>
      <c r="C55" s="14" t="str">
        <f t="shared" si="0"/>
        <v>EE2-33.8ng/L</v>
      </c>
      <c r="D55" s="14" t="str">
        <f t="shared" si="0"/>
        <v>EE2-50.6ng/L</v>
      </c>
      <c r="E55" s="14" t="str">
        <f t="shared" si="0"/>
        <v>EE2-76ng/L</v>
      </c>
      <c r="F55" s="14" t="str">
        <f t="shared" si="0"/>
        <v>EE2-114ng/L</v>
      </c>
      <c r="G55" s="14" t="str">
        <f t="shared" si="0"/>
        <v>EE2-170.9ng/L</v>
      </c>
      <c r="H55" s="14" t="str">
        <f t="shared" si="0"/>
        <v>EE2-488ng/L</v>
      </c>
      <c r="I55" s="14" t="str">
        <f t="shared" si="0"/>
        <v>Atenolol-0,01mg/L</v>
      </c>
      <c r="J55" s="14" t="str">
        <f t="shared" si="0"/>
        <v>Atenolol-0,1mg/L</v>
      </c>
      <c r="K55" s="14" t="str">
        <f t="shared" si="0"/>
        <v>Atenolol-1mg/L</v>
      </c>
      <c r="L55" s="14" t="str">
        <f t="shared" si="0"/>
        <v>Atenolol-10mg/L</v>
      </c>
      <c r="M55" s="14" t="str">
        <f t="shared" si="0"/>
        <v>Atenolol-100mg/L</v>
      </c>
      <c r="O55" s="14" t="str">
        <f t="shared" ref="O55:V55" si="1">O4</f>
        <v>Testo -30µg/L</v>
      </c>
      <c r="P55" s="14" t="str">
        <f t="shared" si="1"/>
        <v>Testo 30µg/L + EE2 -64ng/L</v>
      </c>
      <c r="Q55" s="14" t="str">
        <f t="shared" si="1"/>
        <v>Testo 30µg/L + FAD-10mg/L</v>
      </c>
      <c r="R55" s="14" t="str">
        <f t="shared" si="1"/>
        <v>Atenolol-0,01mg/L + Testostérone</v>
      </c>
      <c r="S55" s="14" t="str">
        <f t="shared" si="1"/>
        <v>Atenolol-0,1mg/L + Testostérone</v>
      </c>
      <c r="T55" s="14" t="str">
        <f t="shared" si="1"/>
        <v>Atenolol-1mg/L + Testostérone</v>
      </c>
      <c r="U55" s="14" t="str">
        <f t="shared" si="1"/>
        <v>Atenolol-10mg/L + Testostérone</v>
      </c>
      <c r="V55" s="14" t="str">
        <f t="shared" si="1"/>
        <v>Atenolol-100mg/L + Testostérone</v>
      </c>
    </row>
    <row r="56" spans="1:24" x14ac:dyDescent="0.35">
      <c r="A56" t="s">
        <v>10</v>
      </c>
      <c r="B56" s="8">
        <f t="shared" ref="B56:V56" si="2">AVERAGE(B6:B53)</f>
        <v>7.8581209976180774E-2</v>
      </c>
      <c r="C56" s="8">
        <f t="shared" si="2"/>
        <v>0.48566616898812959</v>
      </c>
      <c r="D56" s="8">
        <f t="shared" si="2"/>
        <v>0.9473704465881746</v>
      </c>
      <c r="E56" s="8">
        <f t="shared" si="2"/>
        <v>2.4275949265441534</v>
      </c>
      <c r="F56" s="8">
        <f t="shared" si="2"/>
        <v>3.9507882291807568</v>
      </c>
      <c r="G56" s="8">
        <f t="shared" si="2"/>
        <v>5.1777051860822993</v>
      </c>
      <c r="H56" s="8">
        <f t="shared" si="2"/>
        <v>7.6046620878527698</v>
      </c>
      <c r="I56" s="8">
        <f t="shared" si="2"/>
        <v>6.5627908120108894E-2</v>
      </c>
      <c r="J56" s="8">
        <f t="shared" si="2"/>
        <v>8.696059253057703E-2</v>
      </c>
      <c r="K56" s="8">
        <f t="shared" si="2"/>
        <v>7.9939843919939593E-2</v>
      </c>
      <c r="L56" s="8">
        <f t="shared" si="2"/>
        <v>0.1141499682231332</v>
      </c>
      <c r="M56" s="8">
        <f t="shared" si="2"/>
        <v>8.4951682876297424E-2</v>
      </c>
      <c r="N56" s="8"/>
      <c r="O56" s="8">
        <f t="shared" si="2"/>
        <v>0.99999999999999989</v>
      </c>
      <c r="P56" s="8">
        <f t="shared" si="2"/>
        <v>4.1583291359326564</v>
      </c>
      <c r="Q56" s="8">
        <f t="shared" si="2"/>
        <v>5.8406620073049448E-2</v>
      </c>
      <c r="R56" s="8">
        <f t="shared" si="2"/>
        <v>0.86932649586252608</v>
      </c>
      <c r="S56" s="8">
        <f t="shared" si="2"/>
        <v>1.0883671526381284</v>
      </c>
      <c r="T56" s="8">
        <f t="shared" si="2"/>
        <v>0.81124176040744811</v>
      </c>
      <c r="U56" s="8">
        <f t="shared" si="2"/>
        <v>1.1075677216242403</v>
      </c>
      <c r="V56" s="8">
        <f t="shared" si="2"/>
        <v>1.4667228304052753</v>
      </c>
    </row>
    <row r="57" spans="1:24" x14ac:dyDescent="0.35">
      <c r="A57" t="s">
        <v>1</v>
      </c>
      <c r="B57" s="3">
        <f>STDEV(B6:B53)</f>
        <v>8.5029483254766683E-2</v>
      </c>
      <c r="C57" s="3">
        <f t="shared" ref="C57:V57" si="3">STDEV(C6:C53)</f>
        <v>1.1083202577482187</v>
      </c>
      <c r="D57" s="3">
        <f t="shared" si="3"/>
        <v>1.1741250596963022</v>
      </c>
      <c r="E57" s="3">
        <f t="shared" si="3"/>
        <v>2.7971522762708232</v>
      </c>
      <c r="F57" s="3">
        <f t="shared" si="3"/>
        <v>3.0650461598459176</v>
      </c>
      <c r="G57" s="3">
        <f t="shared" si="3"/>
        <v>4.4434118094010051</v>
      </c>
      <c r="H57" s="3">
        <f t="shared" si="3"/>
        <v>7.3225951875071633</v>
      </c>
      <c r="I57" s="3">
        <f t="shared" si="3"/>
        <v>6.424955172316664E-2</v>
      </c>
      <c r="J57" s="3">
        <f t="shared" si="3"/>
        <v>9.9376426203625343E-2</v>
      </c>
      <c r="K57" s="3">
        <f t="shared" si="3"/>
        <v>9.9243914601124E-2</v>
      </c>
      <c r="L57" s="3">
        <f t="shared" si="3"/>
        <v>0.12255792400357293</v>
      </c>
      <c r="M57" s="3">
        <f t="shared" si="3"/>
        <v>8.0204559034270109E-2</v>
      </c>
      <c r="N57" s="3"/>
      <c r="O57" s="3">
        <f t="shared" si="3"/>
        <v>0.91845534618675961</v>
      </c>
      <c r="P57" s="3">
        <f t="shared" si="3"/>
        <v>3.6090580991658112</v>
      </c>
      <c r="Q57" s="3">
        <f t="shared" si="3"/>
        <v>6.7136638420995126E-2</v>
      </c>
      <c r="R57" s="3">
        <f t="shared" si="3"/>
        <v>0.68125897741007468</v>
      </c>
      <c r="S57" s="3">
        <f t="shared" si="3"/>
        <v>1.0715676199130466</v>
      </c>
      <c r="T57" s="3">
        <f t="shared" si="3"/>
        <v>0.67794169475077914</v>
      </c>
      <c r="U57" s="3">
        <f t="shared" si="3"/>
        <v>0.98999185293814407</v>
      </c>
      <c r="V57" s="3">
        <f t="shared" si="3"/>
        <v>1.4322208149122728</v>
      </c>
      <c r="W57" s="3"/>
      <c r="X57" s="3"/>
    </row>
    <row r="58" spans="1:24" x14ac:dyDescent="0.35">
      <c r="A58" t="s">
        <v>2</v>
      </c>
      <c r="B58" s="3">
        <f xml:space="preserve"> B57/SQRT(COUNT(B6:B53))</f>
        <v>1.7356570588892083E-2</v>
      </c>
      <c r="C58" s="3">
        <f t="shared" ref="C58:V58" si="4" xml:space="preserve"> C57/SQRT(COUNT(C6:C53))</f>
        <v>0.23110074913195591</v>
      </c>
      <c r="D58" s="3">
        <f t="shared" si="4"/>
        <v>0.23966727420589826</v>
      </c>
      <c r="E58" s="3">
        <f t="shared" si="4"/>
        <v>0.5709663174773334</v>
      </c>
      <c r="F58" s="3">
        <f t="shared" si="4"/>
        <v>0.62564992747496206</v>
      </c>
      <c r="G58" s="3">
        <f t="shared" si="4"/>
        <v>0.90700763750745039</v>
      </c>
      <c r="H58" s="3">
        <f t="shared" si="4"/>
        <v>1.494718483529355</v>
      </c>
      <c r="I58" s="3">
        <f t="shared" si="4"/>
        <v>1.3114884827026163E-2</v>
      </c>
      <c r="J58" s="3">
        <f t="shared" si="4"/>
        <v>2.0285128055019145E-2</v>
      </c>
      <c r="K58" s="3">
        <f t="shared" si="4"/>
        <v>2.0693786701783741E-2</v>
      </c>
      <c r="L58" s="3">
        <f t="shared" si="4"/>
        <v>2.5555093711656509E-2</v>
      </c>
      <c r="M58" s="3">
        <f t="shared" si="4"/>
        <v>1.6723806631736896E-2</v>
      </c>
      <c r="N58" s="3"/>
      <c r="O58" s="3">
        <f t="shared" si="4"/>
        <v>0.13397048126272751</v>
      </c>
      <c r="P58" s="3">
        <f t="shared" si="4"/>
        <v>0.7366958995846008</v>
      </c>
      <c r="Q58" s="3">
        <f t="shared" si="4"/>
        <v>1.3704208931430883E-2</v>
      </c>
      <c r="R58" s="3">
        <f t="shared" si="4"/>
        <v>0.13906140644541123</v>
      </c>
      <c r="S58" s="3">
        <f t="shared" si="4"/>
        <v>0.22343729438870313</v>
      </c>
      <c r="T58" s="3">
        <f t="shared" si="4"/>
        <v>0.13838426895808983</v>
      </c>
      <c r="U58" s="3">
        <f t="shared" si="4"/>
        <v>0.21106697223263043</v>
      </c>
      <c r="V58" s="3">
        <f t="shared" si="4"/>
        <v>0.29235084962734809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0" customFormat="1" ht="26.5" thickBot="1" x14ac:dyDescent="0.4">
      <c r="A60" s="150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Atenolol-0,01mg/L</v>
      </c>
      <c r="J62" s="3" t="str">
        <f t="shared" si="6"/>
        <v>Atenolol-0,1mg/L</v>
      </c>
      <c r="K62" s="3" t="str">
        <f t="shared" si="6"/>
        <v>Atenolol-1mg/L</v>
      </c>
      <c r="L62" s="3" t="str">
        <f t="shared" si="6"/>
        <v>Atenolol-10mg/L</v>
      </c>
      <c r="M62" s="3" t="str">
        <f t="shared" si="6"/>
        <v>Atenolol-100mg/L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Atenolol-0,01mg/L + Testostérone</v>
      </c>
      <c r="S62" s="3" t="str">
        <f t="shared" si="6"/>
        <v>Atenolol-0,1mg/L + Testostérone</v>
      </c>
      <c r="T62" s="3" t="str">
        <f t="shared" si="6"/>
        <v>Atenolol-1mg/L + Testostérone</v>
      </c>
      <c r="U62" s="3" t="str">
        <f t="shared" si="6"/>
        <v>Atenolol-10mg/L + Testostérone</v>
      </c>
      <c r="V62" s="3" t="str">
        <f t="shared" si="6"/>
        <v>Atenolol-100mg/L + Testostérone</v>
      </c>
    </row>
    <row r="63" spans="1:24" s="1" customFormat="1" x14ac:dyDescent="0.35">
      <c r="A63" s="1" t="s">
        <v>44</v>
      </c>
      <c r="B63" s="3">
        <f>COUNT(B6:B53)</f>
        <v>24</v>
      </c>
      <c r="C63" s="3">
        <f t="shared" ref="C63:V63" si="7">COUNT(C6:C53)</f>
        <v>23</v>
      </c>
      <c r="D63" s="3">
        <f t="shared" si="7"/>
        <v>24</v>
      </c>
      <c r="E63" s="3">
        <f t="shared" si="7"/>
        <v>24</v>
      </c>
      <c r="F63" s="3">
        <f t="shared" si="7"/>
        <v>24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24</v>
      </c>
      <c r="K63" s="3">
        <f t="shared" si="7"/>
        <v>23</v>
      </c>
      <c r="L63" s="3">
        <f t="shared" si="7"/>
        <v>23</v>
      </c>
      <c r="M63" s="3">
        <f t="shared" si="7"/>
        <v>23</v>
      </c>
      <c r="N63" s="3"/>
      <c r="O63" s="3">
        <f t="shared" si="7"/>
        <v>47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23</v>
      </c>
      <c r="T63" s="3">
        <f t="shared" si="7"/>
        <v>24</v>
      </c>
      <c r="U63" s="3">
        <f t="shared" si="7"/>
        <v>22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0" customFormat="1" ht="26.5" thickBot="1" x14ac:dyDescent="0.4">
      <c r="A65" s="150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0" customFormat="1" ht="26.5" thickBot="1" x14ac:dyDescent="0.4">
      <c r="A70" s="150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</row>
    <row r="71" spans="1:22" ht="15" thickBot="1" x14ac:dyDescent="0.4"/>
    <row r="72" spans="1:22" s="30" customFormat="1" ht="26.5" thickBot="1" x14ac:dyDescent="0.4">
      <c r="A72" s="150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7" t="s">
        <v>45</v>
      </c>
      <c r="B74" s="28" t="str">
        <f t="shared" ref="B74:M74" si="9">B4</f>
        <v>Solvent control</v>
      </c>
      <c r="C74" s="28" t="str">
        <f t="shared" si="9"/>
        <v>EE2-33.8ng/L</v>
      </c>
      <c r="D74" s="28" t="str">
        <f t="shared" si="9"/>
        <v>EE2-50.6ng/L</v>
      </c>
      <c r="E74" s="28" t="str">
        <f t="shared" si="9"/>
        <v>EE2-76ng/L</v>
      </c>
      <c r="F74" s="28" t="str">
        <f t="shared" si="9"/>
        <v>EE2-114ng/L</v>
      </c>
      <c r="G74" s="28" t="str">
        <f t="shared" si="9"/>
        <v>EE2-170.9ng/L</v>
      </c>
      <c r="H74" s="28" t="str">
        <f t="shared" si="9"/>
        <v>EE2-488ng/L</v>
      </c>
      <c r="I74" s="28" t="str">
        <f t="shared" si="9"/>
        <v>Atenolol-0,01mg/L</v>
      </c>
      <c r="J74" s="28" t="str">
        <f t="shared" si="9"/>
        <v>Atenolol-0,1mg/L</v>
      </c>
      <c r="K74" s="28" t="str">
        <f t="shared" si="9"/>
        <v>Atenolol-1mg/L</v>
      </c>
      <c r="L74" s="28" t="str">
        <f t="shared" si="9"/>
        <v>Atenolol-10mg/L</v>
      </c>
      <c r="M74" s="28" t="str">
        <f t="shared" si="9"/>
        <v>Atenolol-100mg/L</v>
      </c>
      <c r="N74" s="28"/>
      <c r="O74" s="28" t="str">
        <f t="shared" ref="O74:V74" si="10">O4</f>
        <v>Testo -30µg/L</v>
      </c>
      <c r="P74" s="28" t="str">
        <f t="shared" si="10"/>
        <v>Testo 30µg/L + EE2 -64ng/L</v>
      </c>
      <c r="Q74" s="28" t="str">
        <f t="shared" si="10"/>
        <v>Testo 30µg/L + FAD-10mg/L</v>
      </c>
      <c r="R74" s="28" t="str">
        <f t="shared" si="10"/>
        <v>Atenolol-0,01mg/L + Testostérone</v>
      </c>
      <c r="S74" s="28" t="str">
        <f t="shared" si="10"/>
        <v>Atenolol-0,1mg/L + Testostérone</v>
      </c>
      <c r="T74" s="28" t="str">
        <f t="shared" si="10"/>
        <v>Atenolol-1mg/L + Testostérone</v>
      </c>
      <c r="U74" s="28" t="str">
        <f t="shared" si="10"/>
        <v>Atenolol-10mg/L + Testostérone</v>
      </c>
      <c r="V74" s="28" t="str">
        <f t="shared" si="10"/>
        <v>Atenolol-100mg/L + Testostérone</v>
      </c>
    </row>
    <row r="75" spans="1:22" s="3" customFormat="1" x14ac:dyDescent="0.35">
      <c r="A75" s="43" t="s">
        <v>10</v>
      </c>
      <c r="B75" s="75">
        <f>B56</f>
        <v>7.8581209976180774E-2</v>
      </c>
      <c r="C75" s="75">
        <f t="shared" ref="C75:V75" si="11">C56</f>
        <v>0.48566616898812959</v>
      </c>
      <c r="D75" s="75">
        <f t="shared" si="11"/>
        <v>0.9473704465881746</v>
      </c>
      <c r="E75" s="75">
        <f t="shared" si="11"/>
        <v>2.4275949265441534</v>
      </c>
      <c r="F75" s="75">
        <f t="shared" si="11"/>
        <v>3.9507882291807568</v>
      </c>
      <c r="G75" s="75">
        <f t="shared" si="11"/>
        <v>5.1777051860822993</v>
      </c>
      <c r="H75" s="75">
        <f t="shared" si="11"/>
        <v>7.6046620878527698</v>
      </c>
      <c r="I75" s="75">
        <f t="shared" si="11"/>
        <v>6.5627908120108894E-2</v>
      </c>
      <c r="J75" s="75">
        <f t="shared" si="11"/>
        <v>8.696059253057703E-2</v>
      </c>
      <c r="K75" s="75">
        <f t="shared" si="11"/>
        <v>7.9939843919939593E-2</v>
      </c>
      <c r="L75" s="75">
        <f t="shared" si="11"/>
        <v>0.1141499682231332</v>
      </c>
      <c r="M75" s="75">
        <f t="shared" si="11"/>
        <v>8.4951682876297424E-2</v>
      </c>
      <c r="N75" s="75"/>
      <c r="O75" s="75">
        <f t="shared" si="11"/>
        <v>0.99999999999999989</v>
      </c>
      <c r="P75" s="75">
        <f t="shared" si="11"/>
        <v>4.1583291359326564</v>
      </c>
      <c r="Q75" s="75">
        <f t="shared" si="11"/>
        <v>5.8406620073049448E-2</v>
      </c>
      <c r="R75" s="75">
        <f t="shared" si="11"/>
        <v>0.86932649586252608</v>
      </c>
      <c r="S75" s="75">
        <f t="shared" si="11"/>
        <v>1.0883671526381284</v>
      </c>
      <c r="T75" s="75">
        <f t="shared" si="11"/>
        <v>0.81124176040744811</v>
      </c>
      <c r="U75" s="75">
        <f t="shared" si="11"/>
        <v>1.1075677216242403</v>
      </c>
      <c r="V75" s="75">
        <f t="shared" si="11"/>
        <v>1.4667228304052753</v>
      </c>
    </row>
    <row r="76" spans="1:22" s="3" customFormat="1" x14ac:dyDescent="0.35">
      <c r="A76" s="43" t="s">
        <v>2</v>
      </c>
      <c r="B76" s="75">
        <f>B58</f>
        <v>1.7356570588892083E-2</v>
      </c>
      <c r="C76" s="75">
        <f t="shared" ref="C76:V76" si="12">C58</f>
        <v>0.23110074913195591</v>
      </c>
      <c r="D76" s="75">
        <f t="shared" si="12"/>
        <v>0.23966727420589826</v>
      </c>
      <c r="E76" s="75">
        <f t="shared" si="12"/>
        <v>0.5709663174773334</v>
      </c>
      <c r="F76" s="75">
        <f t="shared" si="12"/>
        <v>0.62564992747496206</v>
      </c>
      <c r="G76" s="75">
        <f t="shared" si="12"/>
        <v>0.90700763750745039</v>
      </c>
      <c r="H76" s="75">
        <f t="shared" si="12"/>
        <v>1.494718483529355</v>
      </c>
      <c r="I76" s="75">
        <f t="shared" si="12"/>
        <v>1.3114884827026163E-2</v>
      </c>
      <c r="J76" s="75">
        <f t="shared" si="12"/>
        <v>2.0285128055019145E-2</v>
      </c>
      <c r="K76" s="75">
        <f t="shared" si="12"/>
        <v>2.0693786701783741E-2</v>
      </c>
      <c r="L76" s="75">
        <f t="shared" si="12"/>
        <v>2.5555093711656509E-2</v>
      </c>
      <c r="M76" s="75">
        <f t="shared" si="12"/>
        <v>1.6723806631736896E-2</v>
      </c>
      <c r="N76" s="75"/>
      <c r="O76" s="75">
        <f t="shared" si="12"/>
        <v>0.13397048126272751</v>
      </c>
      <c r="P76" s="75">
        <f t="shared" si="12"/>
        <v>0.7366958995846008</v>
      </c>
      <c r="Q76" s="75">
        <f t="shared" si="12"/>
        <v>1.3704208931430883E-2</v>
      </c>
      <c r="R76" s="75">
        <f t="shared" si="12"/>
        <v>0.13906140644541123</v>
      </c>
      <c r="S76" s="75">
        <f t="shared" si="12"/>
        <v>0.22343729438870313</v>
      </c>
      <c r="T76" s="75">
        <f t="shared" si="12"/>
        <v>0.13838426895808983</v>
      </c>
      <c r="U76" s="75">
        <f t="shared" si="12"/>
        <v>0.21106697223263043</v>
      </c>
      <c r="V76" s="75">
        <f t="shared" si="12"/>
        <v>0.29235084962734809</v>
      </c>
    </row>
    <row r="77" spans="1:22" s="3" customFormat="1" x14ac:dyDescent="0.35">
      <c r="A77" s="43" t="s">
        <v>14</v>
      </c>
      <c r="B77" s="75">
        <f>(B75*100/$B$75)-100</f>
        <v>0</v>
      </c>
      <c r="C77" s="75">
        <f t="shared" ref="C77:M77" si="13">(C75*100/$B$75)-100</f>
        <v>518.04363808516416</v>
      </c>
      <c r="D77" s="75">
        <f t="shared" si="13"/>
        <v>1105.5941196061217</v>
      </c>
      <c r="E77" s="75">
        <f t="shared" si="13"/>
        <v>2989.2816835984027</v>
      </c>
      <c r="F77" s="75">
        <f t="shared" si="13"/>
        <v>4927.6500328492066</v>
      </c>
      <c r="G77" s="75">
        <f t="shared" si="13"/>
        <v>6488.9863335672044</v>
      </c>
      <c r="H77" s="75">
        <f t="shared" si="13"/>
        <v>9577.4560867131786</v>
      </c>
      <c r="I77" s="75">
        <f t="shared" si="13"/>
        <v>-16.483968444871536</v>
      </c>
      <c r="J77" s="75">
        <f t="shared" si="13"/>
        <v>10.663341219785465</v>
      </c>
      <c r="K77" s="75">
        <f t="shared" si="13"/>
        <v>1.7289552351899999</v>
      </c>
      <c r="L77" s="75">
        <f t="shared" si="13"/>
        <v>45.263693773274667</v>
      </c>
      <c r="M77" s="75">
        <f t="shared" si="13"/>
        <v>8.1068653715661014</v>
      </c>
      <c r="N77" s="75"/>
      <c r="O77" s="75">
        <f>(O75*100/$O$75)-100</f>
        <v>0</v>
      </c>
      <c r="P77" s="75">
        <f t="shared" ref="P77:V77" si="14">(P75*100/$O$75)-100</f>
        <v>315.83291359326569</v>
      </c>
      <c r="Q77" s="75">
        <f t="shared" si="14"/>
        <v>-94.159337992695058</v>
      </c>
      <c r="R77" s="75">
        <f t="shared" si="14"/>
        <v>-13.067350413747377</v>
      </c>
      <c r="S77" s="75">
        <f t="shared" si="14"/>
        <v>8.836715263812863</v>
      </c>
      <c r="T77" s="75">
        <f t="shared" si="14"/>
        <v>-18.875823959255172</v>
      </c>
      <c r="U77" s="75">
        <f t="shared" si="14"/>
        <v>10.756772162424042</v>
      </c>
      <c r="V77" s="75">
        <f t="shared" si="14"/>
        <v>46.67228304052756</v>
      </c>
    </row>
    <row r="78" spans="1:22" s="3" customFormat="1" x14ac:dyDescent="0.35">
      <c r="A78" s="43" t="s">
        <v>38</v>
      </c>
      <c r="B78" s="75">
        <f>[1]!DPTEST(B6:B53)</f>
        <v>2.9275249028626327E-5</v>
      </c>
      <c r="C78" s="75">
        <f>[1]!DPTEST(C6:C53)</f>
        <v>1.1044498648971057E-12</v>
      </c>
      <c r="D78" s="75">
        <f>[1]!DPTEST(D6:D53)</f>
        <v>2.0556660919357483E-4</v>
      </c>
      <c r="E78" s="75">
        <f>[1]!DPTEST(E6:E53)</f>
        <v>1.6306299673307656E-5</v>
      </c>
      <c r="F78" s="75">
        <f>[1]!DPTEST(F6:F53)</f>
        <v>0.14089948091542004</v>
      </c>
      <c r="G78" s="75">
        <f>[1]!DPTEST(G6:G53)</f>
        <v>0.13778903184545632</v>
      </c>
      <c r="H78" s="75">
        <f>[1]!DPTEST(H6:H53)</f>
        <v>4.2518723531046021E-2</v>
      </c>
      <c r="I78" s="75">
        <f>[1]!DPTEST(I6:I53)</f>
        <v>1.886009411271039E-2</v>
      </c>
      <c r="J78" s="75">
        <f>[1]!DPTEST(J6:J53)</f>
        <v>1.4890084711204343E-3</v>
      </c>
      <c r="K78" s="75">
        <f>[1]!DPTEST(K6:K53)</f>
        <v>6.3762905484487931E-5</v>
      </c>
      <c r="L78" s="75">
        <f>[1]!DPTEST(L6:L53)</f>
        <v>0.12445022214894574</v>
      </c>
      <c r="M78" s="75">
        <f>[1]!DPTEST(M6:M53)</f>
        <v>9.9671530787714957E-5</v>
      </c>
      <c r="N78" s="75"/>
      <c r="O78" s="75">
        <f>[1]!DPTEST(O6:O53)</f>
        <v>4.6402873321582661E-8</v>
      </c>
      <c r="P78" s="75">
        <f>[1]!DPTEST(P6:P53)</f>
        <v>9.7185872993676981E-7</v>
      </c>
      <c r="Q78" s="75">
        <f>[1]!DPTEST(Q6:Q53)</f>
        <v>1.5518165641381643E-9</v>
      </c>
      <c r="R78" s="75">
        <f>[1]!DPTEST(R6:R53)</f>
        <v>0.32765786532252728</v>
      </c>
      <c r="S78" s="75">
        <f>[1]!DPTEST(S6:S53)</f>
        <v>1.2112974771675278E-3</v>
      </c>
      <c r="T78" s="75">
        <f>[1]!DPTEST(T6:T53)</f>
        <v>0.21320658304332951</v>
      </c>
      <c r="U78" s="75">
        <f>[1]!DPTEST(U6:U53)</f>
        <v>7.6716628747805382E-2</v>
      </c>
      <c r="V78" s="75">
        <f>[1]!DPTEST(V6:V53)</f>
        <v>3.8539073172250138E-4</v>
      </c>
    </row>
    <row r="79" spans="1:22" s="3" customFormat="1" x14ac:dyDescent="0.35">
      <c r="A79" s="43" t="s">
        <v>39</v>
      </c>
      <c r="B79" s="75" t="str">
        <f>IF(B78&gt;0.05,"Oui","Non")</f>
        <v>Non</v>
      </c>
      <c r="C79" s="75" t="str">
        <f t="shared" ref="C79:V79" si="15">IF(C78&gt;0.05,"Oui","Non")</f>
        <v>Non</v>
      </c>
      <c r="D79" s="75" t="str">
        <f t="shared" si="15"/>
        <v>Non</v>
      </c>
      <c r="E79" s="75" t="str">
        <f t="shared" si="15"/>
        <v>Non</v>
      </c>
      <c r="F79" s="75" t="str">
        <f t="shared" si="15"/>
        <v>Oui</v>
      </c>
      <c r="G79" s="75" t="str">
        <f t="shared" si="15"/>
        <v>Oui</v>
      </c>
      <c r="H79" s="75" t="str">
        <f t="shared" si="15"/>
        <v>Non</v>
      </c>
      <c r="I79" s="75" t="str">
        <f t="shared" si="15"/>
        <v>Non</v>
      </c>
      <c r="J79" s="75" t="str">
        <f t="shared" si="15"/>
        <v>Non</v>
      </c>
      <c r="K79" s="75" t="str">
        <f t="shared" si="15"/>
        <v>Non</v>
      </c>
      <c r="L79" s="75" t="str">
        <f t="shared" si="15"/>
        <v>Oui</v>
      </c>
      <c r="M79" s="75" t="str">
        <f t="shared" si="15"/>
        <v>Non</v>
      </c>
      <c r="N79" s="75"/>
      <c r="O79" s="75" t="str">
        <f t="shared" si="15"/>
        <v>Non</v>
      </c>
      <c r="P79" s="75" t="str">
        <f t="shared" si="15"/>
        <v>Non</v>
      </c>
      <c r="Q79" s="75" t="str">
        <f t="shared" si="15"/>
        <v>Non</v>
      </c>
      <c r="R79" s="75" t="str">
        <f t="shared" si="15"/>
        <v>Oui</v>
      </c>
      <c r="S79" s="75" t="str">
        <f t="shared" si="15"/>
        <v>Non</v>
      </c>
      <c r="T79" s="75" t="str">
        <f t="shared" si="15"/>
        <v>Oui</v>
      </c>
      <c r="U79" s="75" t="str">
        <f t="shared" si="15"/>
        <v>Oui</v>
      </c>
      <c r="V79" s="75" t="str">
        <f t="shared" si="15"/>
        <v>Non</v>
      </c>
    </row>
    <row r="80" spans="1:22" s="3" customFormat="1" x14ac:dyDescent="0.35">
      <c r="A80" s="43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spans="1:23" s="3" customFormat="1" x14ac:dyDescent="0.35">
      <c r="A81" s="43" t="s">
        <v>40</v>
      </c>
      <c r="B81" s="75"/>
      <c r="C81" s="75" t="s">
        <v>53</v>
      </c>
      <c r="D81" s="75" t="s">
        <v>53</v>
      </c>
      <c r="E81" s="75" t="s">
        <v>53</v>
      </c>
      <c r="F81" s="75" t="s">
        <v>53</v>
      </c>
      <c r="G81" s="75" t="s">
        <v>53</v>
      </c>
      <c r="H81" s="75" t="s">
        <v>53</v>
      </c>
      <c r="I81" s="75" t="s">
        <v>53</v>
      </c>
      <c r="J81" s="75" t="s">
        <v>53</v>
      </c>
      <c r="K81" s="75" t="s">
        <v>53</v>
      </c>
      <c r="L81" s="75" t="s">
        <v>53</v>
      </c>
      <c r="M81" s="75" t="s">
        <v>53</v>
      </c>
      <c r="N81" s="75"/>
      <c r="O81" s="75" t="str">
        <f>IF($B79="Non",IF(O79="Non","Mann Withney",IF(O79="Oui","Mann Withney","")),IF($B79="Oui",IF(O79="Oui","T-Test Welch",IF(O79="Non","Mann Withney",""))))</f>
        <v>Mann Withney</v>
      </c>
      <c r="P81" s="75" t="str">
        <f t="shared" ref="P81:Q81" si="16">IF($O79="Non",IF(P79="Non","Mann Withney",IF(P$79="Oui","Mann Withney","")),IF($O79="Oui",IF(P79="Oui","T-Test Welch",IF(P79="Non","Mann Withney",""))))</f>
        <v>Mann Withney</v>
      </c>
      <c r="Q81" s="75" t="str">
        <f t="shared" si="16"/>
        <v>Mann Withney</v>
      </c>
      <c r="R81" s="75" t="s">
        <v>53</v>
      </c>
      <c r="S81" s="75" t="s">
        <v>53</v>
      </c>
      <c r="T81" s="75" t="s">
        <v>53</v>
      </c>
      <c r="U81" s="75" t="s">
        <v>53</v>
      </c>
      <c r="V81" s="75" t="s">
        <v>53</v>
      </c>
    </row>
    <row r="82" spans="1:23" s="3" customFormat="1" x14ac:dyDescent="0.35">
      <c r="A82" s="43" t="s">
        <v>41</v>
      </c>
      <c r="B82" s="75"/>
      <c r="C82" s="75">
        <v>0.65</v>
      </c>
      <c r="D82" s="75">
        <v>0.03</v>
      </c>
      <c r="E82" s="75" t="s">
        <v>52</v>
      </c>
      <c r="F82" s="75" t="s">
        <v>52</v>
      </c>
      <c r="G82" s="75" t="s">
        <v>52</v>
      </c>
      <c r="H82" s="75" t="s">
        <v>52</v>
      </c>
      <c r="I82" s="75" t="s">
        <v>49</v>
      </c>
      <c r="J82" s="75" t="s">
        <v>49</v>
      </c>
      <c r="K82" s="75" t="s">
        <v>49</v>
      </c>
      <c r="L82" s="75" t="s">
        <v>49</v>
      </c>
      <c r="M82" s="75" t="s">
        <v>49</v>
      </c>
      <c r="N82" s="75"/>
      <c r="O82" s="75">
        <f>IF(O81="Mann Withney",[1]!MTEST($B6:$B37,O6:O53,2), IF(O81="T-Test Welch",_xlfn.T.TEST($B6:$B37,O6:O53,2,3),""))</f>
        <v>5.1314687565806594E-7</v>
      </c>
      <c r="P82" s="75">
        <f>IF(P81="Mann Withney",[1]!MTEST($O6:$O53,P6:P53,2), IF(P81="T-Test Welch",_xlfn.T.TEST($O6:$O53,P6:P53,2,3),""))</f>
        <v>6.2365153041810117E-9</v>
      </c>
      <c r="Q82" s="75">
        <f>IF(Q81="Mann Withney",[1]!MTEST($O6:$O53,Q6:Q53,2), IF(Q81="T-Test Welch",_xlfn.T.TEST($O6:$O53,Q6:Q53,2,3),""))</f>
        <v>5.0125470441031439E-9</v>
      </c>
      <c r="R82" s="75" t="s">
        <v>49</v>
      </c>
      <c r="S82" s="75" t="s">
        <v>49</v>
      </c>
      <c r="T82" s="75" t="s">
        <v>49</v>
      </c>
      <c r="U82" s="75" t="s">
        <v>49</v>
      </c>
      <c r="V82" s="75" t="s">
        <v>49</v>
      </c>
    </row>
    <row r="83" spans="1:23" s="3" customFormat="1" ht="15" thickBot="1" x14ac:dyDescent="0.4">
      <c r="A83" s="44" t="s">
        <v>15</v>
      </c>
      <c r="B83" s="76"/>
      <c r="C83" s="76" t="s">
        <v>48</v>
      </c>
      <c r="D83" s="76" t="s">
        <v>50</v>
      </c>
      <c r="E83" s="76" t="s">
        <v>51</v>
      </c>
      <c r="F83" s="76" t="s">
        <v>51</v>
      </c>
      <c r="G83" s="76" t="s">
        <v>51</v>
      </c>
      <c r="H83" s="76" t="s">
        <v>51</v>
      </c>
      <c r="I83" s="76" t="s">
        <v>48</v>
      </c>
      <c r="J83" s="76" t="s">
        <v>48</v>
      </c>
      <c r="K83" s="76" t="s">
        <v>48</v>
      </c>
      <c r="L83" s="76" t="s">
        <v>48</v>
      </c>
      <c r="M83" s="76" t="s">
        <v>48</v>
      </c>
      <c r="N83" s="76"/>
      <c r="O83" s="76" t="str">
        <f t="shared" ref="O83" si="17">IF(O82&gt;0.05,"NS",IF(O82&gt;0.01,"*",IF(O82&gt;0.001,"**","***")))</f>
        <v>***</v>
      </c>
      <c r="P83" s="76" t="str">
        <f t="shared" ref="P83" si="18">IF(P82&gt;0.05,"NS",IF(P82&gt;0.01,"*",IF(P82&gt;0.001,"**","***")))</f>
        <v>***</v>
      </c>
      <c r="Q83" s="76" t="str">
        <f t="shared" ref="Q83" si="19">IF(Q82&gt;0.05,"NS",IF(Q82&gt;0.01,"*",IF(Q82&gt;0.001,"**","***")))</f>
        <v>***</v>
      </c>
      <c r="R83" s="76" t="s">
        <v>48</v>
      </c>
      <c r="S83" s="76" t="s">
        <v>48</v>
      </c>
      <c r="T83" s="76" t="s">
        <v>48</v>
      </c>
      <c r="U83" s="76" t="s">
        <v>48</v>
      </c>
      <c r="V83" s="76" t="s">
        <v>48</v>
      </c>
    </row>
    <row r="84" spans="1:23" s="1" customFormat="1" x14ac:dyDescent="0.35"/>
    <row r="85" spans="1:23" s="1" customFormat="1" x14ac:dyDescent="0.35">
      <c r="A85" s="2"/>
    </row>
    <row r="86" spans="1:23" x14ac:dyDescent="0.35">
      <c r="A86" s="1"/>
      <c r="B86" s="1"/>
    </row>
    <row r="87" spans="1:23" x14ac:dyDescent="0.35">
      <c r="A87" s="1"/>
      <c r="B87" s="1"/>
    </row>
    <row r="88" spans="1:23" ht="15" thickBot="1" x14ac:dyDescent="0.4"/>
    <row r="89" spans="1:23" s="30" customFormat="1" ht="26.5" thickBot="1" x14ac:dyDescent="0.4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</row>
    <row r="90" spans="1:23" ht="15" thickBot="1" x14ac:dyDescent="0.4"/>
    <row r="91" spans="1:23" s="30" customFormat="1" ht="26.5" thickBot="1" x14ac:dyDescent="0.4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3" ht="15" thickBot="1" x14ac:dyDescent="0.4"/>
    <row r="93" spans="1:23" s="30" customFormat="1" ht="26.5" thickBot="1" x14ac:dyDescent="0.4">
      <c r="A93" s="150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</row>
    <row r="94" spans="1:23" x14ac:dyDescent="0.35">
      <c r="B94" s="1">
        <f t="shared" ref="B94:V94" si="20">B75/$B$75</f>
        <v>1</v>
      </c>
      <c r="C94" s="1">
        <f t="shared" si="20"/>
        <v>6.1804363808516412</v>
      </c>
      <c r="D94" s="1">
        <f t="shared" si="20"/>
        <v>12.055941196061218</v>
      </c>
      <c r="E94" s="1">
        <f t="shared" si="20"/>
        <v>30.892816835984029</v>
      </c>
      <c r="F94" s="1">
        <f t="shared" si="20"/>
        <v>50.27650032849207</v>
      </c>
      <c r="G94" s="1">
        <f t="shared" si="20"/>
        <v>65.889863335672032</v>
      </c>
      <c r="H94" s="1">
        <f>H75/$B$75</f>
        <v>96.774560867131783</v>
      </c>
      <c r="I94" s="1">
        <f t="shared" si="20"/>
        <v>0.83516031555128467</v>
      </c>
      <c r="J94" s="1">
        <f t="shared" si="20"/>
        <v>1.1066334121978547</v>
      </c>
      <c r="K94" s="1">
        <f t="shared" si="20"/>
        <v>1.0172895523518999</v>
      </c>
      <c r="L94" s="1">
        <f t="shared" si="20"/>
        <v>1.4526369377327466</v>
      </c>
      <c r="M94" s="1">
        <f t="shared" si="20"/>
        <v>1.0810686537156611</v>
      </c>
      <c r="N94" s="1">
        <f t="shared" si="20"/>
        <v>0</v>
      </c>
      <c r="O94" s="1">
        <f t="shared" si="20"/>
        <v>12.725688498600569</v>
      </c>
      <c r="P94" s="1">
        <f t="shared" si="20"/>
        <v>52.91760125853385</v>
      </c>
      <c r="Q94" s="1">
        <f t="shared" si="20"/>
        <v>0.74326445330573854</v>
      </c>
      <c r="R94" s="1">
        <f t="shared" si="20"/>
        <v>11.062778189926483</v>
      </c>
      <c r="S94" s="1">
        <f t="shared" si="20"/>
        <v>13.850221356581681</v>
      </c>
      <c r="T94" s="1">
        <f t="shared" si="20"/>
        <v>10.323609940001541</v>
      </c>
      <c r="U94" s="1">
        <f t="shared" si="20"/>
        <v>14.094561816494833</v>
      </c>
      <c r="V94" s="1">
        <f t="shared" si="20"/>
        <v>18.665057853523287</v>
      </c>
      <c r="W94" s="1"/>
    </row>
    <row r="97" spans="4:22" x14ac:dyDescent="0.35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4:22" x14ac:dyDescent="0.35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S98" s="1"/>
      <c r="T98" s="1"/>
    </row>
    <row r="99" spans="4:22" x14ac:dyDescent="0.35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S99" s="1"/>
      <c r="T99" s="1"/>
    </row>
    <row r="100" spans="4:22" x14ac:dyDescent="0.35"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S100" s="1"/>
      <c r="T100" s="1"/>
    </row>
    <row r="101" spans="4:22" x14ac:dyDescent="0.35">
      <c r="D101" s="1"/>
      <c r="E101" s="1"/>
      <c r="S101" s="1"/>
      <c r="T101" s="1"/>
    </row>
    <row r="102" spans="4:22" x14ac:dyDescent="0.35">
      <c r="D102" s="1"/>
      <c r="E102" s="1"/>
      <c r="S102" s="1"/>
      <c r="T102" s="1"/>
    </row>
    <row r="103" spans="4:22" x14ac:dyDescent="0.35">
      <c r="D103" s="1"/>
      <c r="E103" s="1"/>
    </row>
    <row r="104" spans="4:22" x14ac:dyDescent="0.35">
      <c r="D104" s="1"/>
      <c r="E104" s="1"/>
    </row>
    <row r="105" spans="4:22" x14ac:dyDescent="0.35">
      <c r="D105" s="1"/>
      <c r="E105" s="1"/>
    </row>
    <row r="106" spans="4:22" x14ac:dyDescent="0.35">
      <c r="D106" s="1"/>
      <c r="E106" s="1"/>
      <c r="H106" s="1"/>
      <c r="J106" s="1"/>
    </row>
    <row r="107" spans="4:22" x14ac:dyDescent="0.35">
      <c r="D107" s="1"/>
      <c r="E107" s="1"/>
      <c r="H107" s="1"/>
      <c r="J107" s="1"/>
    </row>
    <row r="108" spans="4:22" x14ac:dyDescent="0.35">
      <c r="D108" s="1"/>
      <c r="E108" s="1"/>
      <c r="H108" s="1"/>
      <c r="J108" s="1"/>
    </row>
    <row r="109" spans="4:22" x14ac:dyDescent="0.35">
      <c r="D109" s="1"/>
      <c r="E109" s="1"/>
      <c r="H109" s="1"/>
      <c r="J109" s="1"/>
      <c r="R109" s="1"/>
      <c r="S109" s="1"/>
      <c r="T109" s="1"/>
      <c r="U109" s="1"/>
      <c r="V109" s="1"/>
    </row>
    <row r="110" spans="4:22" x14ac:dyDescent="0.35">
      <c r="D110" s="1"/>
      <c r="E110" s="1"/>
      <c r="H110" s="1"/>
      <c r="J110" s="1"/>
      <c r="R110" s="1"/>
      <c r="S110" s="1"/>
      <c r="T110" s="1"/>
      <c r="U110" s="1"/>
      <c r="V110" s="1"/>
    </row>
    <row r="111" spans="4:22" x14ac:dyDescent="0.35">
      <c r="D111" s="1"/>
      <c r="E111" s="1"/>
    </row>
    <row r="115" spans="8:12" x14ac:dyDescent="0.35">
      <c r="H115" s="1"/>
      <c r="I115" s="1"/>
      <c r="J115" s="1"/>
      <c r="K115" s="1"/>
      <c r="L115" s="1"/>
    </row>
    <row r="116" spans="8:12" x14ac:dyDescent="0.35">
      <c r="H116" s="1"/>
      <c r="I116" s="1"/>
      <c r="J116" s="1"/>
      <c r="K116" s="1"/>
      <c r="L116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5EA08-EEB3-4FED-B177-515C4AE8808B}"/>
</file>

<file path=customXml/itemProps2.xml><?xml version="1.0" encoding="utf-8"?>
<ds:datastoreItem xmlns:ds="http://schemas.openxmlformats.org/officeDocument/2006/customXml" ds:itemID="{4073C7FE-748D-408C-B9F1-1BC87C824C8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Front page</vt:lpstr>
      <vt:lpstr>Comments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2022-10-05T15:04:38Z</dcterms:modified>
</cp:coreProperties>
</file>