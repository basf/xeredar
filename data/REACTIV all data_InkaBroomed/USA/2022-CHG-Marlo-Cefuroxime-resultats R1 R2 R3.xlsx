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601F559D-CA83-4282-B30E-89426DCDB370}" xr6:coauthVersionLast="47" xr6:coauthVersionMax="47" xr10:uidLastSave="{00000000-0000-0000-0000-000000000000}"/>
  <bookViews>
    <workbookView xWindow="-110" yWindow="-110" windowWidth="19420" windowHeight="10420" firstSheet="8"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44" r:id="rId20"/>
    <pivotCache cacheId="45" r:id="rId21"/>
    <pivotCache cacheId="46" r:id="rId22"/>
    <pivotCache cacheId="47" r:id="rId23"/>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P35" i="33"/>
  <c r="P45" i="4" s="1"/>
  <c r="Q34" i="33"/>
  <c r="Q44" i="4" s="1"/>
  <c r="P34" i="33"/>
  <c r="P44" i="4" s="1"/>
  <c r="Q33" i="33"/>
  <c r="Q43" i="4" s="1"/>
  <c r="P33" i="33"/>
  <c r="P43" i="4" s="1"/>
  <c r="Q32" i="33"/>
  <c r="Q42" i="4" s="1"/>
  <c r="P32" i="33"/>
  <c r="P42" i="4" s="1"/>
  <c r="Q31" i="33"/>
  <c r="Q41" i="4" s="1"/>
  <c r="P31" i="33"/>
  <c r="P41" i="4" s="1"/>
  <c r="Q30" i="33"/>
  <c r="Q40" i="4" s="1"/>
  <c r="P30" i="33"/>
  <c r="P40" i="4" s="1"/>
  <c r="Q29" i="33"/>
  <c r="Q39" i="4" s="1"/>
  <c r="P29" i="33"/>
  <c r="P39" i="4" s="1"/>
  <c r="Q28" i="33"/>
  <c r="P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Q56" i="33"/>
  <c r="P56" i="33"/>
  <c r="D35" i="33" l="1"/>
  <c r="D45" i="4" s="1"/>
  <c r="O43" i="33"/>
  <c r="O53" i="4" s="1"/>
  <c r="C28" i="33"/>
  <c r="C38" i="4" s="1"/>
  <c r="T28" i="33"/>
  <c r="T38" i="4" s="1"/>
  <c r="C30" i="33"/>
  <c r="C40" i="4" s="1"/>
  <c r="O42" i="33"/>
  <c r="O52" i="4" s="1"/>
  <c r="H28" i="33"/>
  <c r="H38" i="4" s="1"/>
  <c r="L29" i="33"/>
  <c r="L39" i="4" s="1"/>
  <c r="C32" i="33"/>
  <c r="C42" i="4" s="1"/>
  <c r="L31" i="33"/>
  <c r="L41" i="4" s="1"/>
  <c r="H30" i="33"/>
  <c r="H40" i="4" s="1"/>
  <c r="T30" i="33"/>
  <c r="T40" i="4" s="1"/>
  <c r="H32" i="33"/>
  <c r="H42" i="4" s="1"/>
  <c r="T32" i="33"/>
  <c r="T42" i="4" s="1"/>
  <c r="K28" i="33"/>
  <c r="K38" i="4" s="1"/>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L28" i="33"/>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O28" i="33"/>
  <c r="J28" i="33"/>
  <c r="J38" i="4" s="1"/>
  <c r="F28" i="33"/>
  <c r="F38" i="4" s="1"/>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D38" i="4"/>
  <c r="B22" i="33"/>
  <c r="E22" i="33"/>
  <c r="I45" i="33"/>
  <c r="I52" i="33"/>
  <c r="I27" i="33"/>
  <c r="P46" i="33"/>
  <c r="P53" i="33" s="1"/>
  <c r="P38" i="4"/>
  <c r="P47" i="33"/>
  <c r="P48" i="33" s="1"/>
  <c r="P54" i="33" s="1"/>
  <c r="B27" i="33"/>
  <c r="B52" i="33" s="1"/>
  <c r="L38" i="4"/>
  <c r="Q47" i="33"/>
  <c r="Q48" i="33" s="1"/>
  <c r="Q54" i="33" s="1"/>
  <c r="Q38" i="4"/>
  <c r="D27" i="33"/>
  <c r="D52" i="33" s="1"/>
  <c r="I22" i="33"/>
  <c r="E27" i="33"/>
  <c r="E52" i="33" s="1"/>
  <c r="O38" i="4"/>
  <c r="S38" i="4"/>
  <c r="D45" i="33"/>
  <c r="P57" i="33"/>
  <c r="Q57" i="33"/>
  <c r="Q46" i="33"/>
  <c r="Q53" i="33" s="1"/>
  <c r="F22" i="33"/>
  <c r="F45" i="33"/>
  <c r="G22" i="33"/>
  <c r="G27" i="33"/>
  <c r="G52" i="33" s="1"/>
  <c r="C22" i="33"/>
  <c r="C27" i="33"/>
  <c r="C52" i="33" s="1"/>
  <c r="H27" i="33"/>
  <c r="H52" i="33" s="1"/>
  <c r="H45" i="33"/>
  <c r="D56" i="33"/>
  <c r="O56" i="33"/>
  <c r="J56" i="33"/>
  <c r="H56" i="33"/>
  <c r="B56" i="33"/>
  <c r="G56" i="33"/>
  <c r="E56" i="33"/>
  <c r="I56" i="33"/>
  <c r="K56" i="33"/>
  <c r="U56" i="33"/>
  <c r="L56" i="33"/>
  <c r="R56" i="33"/>
  <c r="S56" i="33"/>
  <c r="V56" i="33"/>
  <c r="F56" i="33"/>
  <c r="T56" i="33"/>
  <c r="M56" i="33"/>
  <c r="C56" i="33"/>
  <c r="E46" i="33" l="1"/>
  <c r="E53" i="33" s="1"/>
  <c r="C47" i="33"/>
  <c r="E38" i="4"/>
  <c r="U46" i="33"/>
  <c r="U53" i="33" s="1"/>
  <c r="K46" i="33"/>
  <c r="K53" i="33" s="1"/>
  <c r="L46" i="33"/>
  <c r="L53" i="33" s="1"/>
  <c r="C48" i="33"/>
  <c r="C54"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B57" i="33"/>
  <c r="S57" i="33"/>
  <c r="S59" i="33" s="1"/>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B46" i="33"/>
  <c r="B53"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F47" i="33"/>
  <c r="F48" i="33" s="1"/>
  <c r="F54" i="33" s="1"/>
  <c r="U38" i="4"/>
  <c r="T39" i="4"/>
  <c r="H39" i="4"/>
  <c r="U59" i="33"/>
  <c r="T59" i="33"/>
  <c r="R59" i="33"/>
  <c r="B64" i="33"/>
  <c r="M55" i="33" l="1"/>
  <c r="V55" i="33"/>
  <c r="Q55" i="33"/>
  <c r="F59" i="33"/>
  <c r="F60" i="33" s="1"/>
  <c r="F61" i="33" s="1"/>
  <c r="P55" i="33"/>
  <c r="S55" i="33"/>
  <c r="R55" i="33"/>
  <c r="U55" i="33"/>
  <c r="T55" i="33"/>
  <c r="E59" i="33"/>
  <c r="H59" i="33"/>
  <c r="H60" i="33" s="1"/>
  <c r="H61" i="33" s="1"/>
  <c r="J59" i="33"/>
  <c r="J60" i="33" s="1"/>
  <c r="J61" i="33" s="1"/>
  <c r="B65" i="33"/>
  <c r="D59" i="33"/>
  <c r="D60" i="33" s="1"/>
  <c r="V59" i="33"/>
  <c r="C59" i="33"/>
  <c r="C60" i="33" s="1"/>
  <c r="C61" i="33" s="1"/>
  <c r="G59" i="33"/>
  <c r="G60" i="33" s="1"/>
  <c r="I59" i="33"/>
  <c r="I60" i="33" s="1"/>
  <c r="I61" i="33" s="1"/>
  <c r="L59" i="33"/>
  <c r="O59" i="33"/>
  <c r="Q59" i="33"/>
  <c r="K59" i="33"/>
  <c r="M59" i="33"/>
  <c r="M60" i="33" s="1"/>
  <c r="M61" i="33" s="1"/>
  <c r="D55" i="33"/>
  <c r="B55" i="33"/>
  <c r="K55" i="33"/>
  <c r="L55" i="33"/>
  <c r="G55" i="33"/>
  <c r="F55" i="33"/>
  <c r="C55" i="33"/>
  <c r="J55" i="33"/>
  <c r="H55" i="33"/>
  <c r="I55" i="33"/>
  <c r="E55" i="33"/>
  <c r="Q60" i="33"/>
  <c r="P60" i="33"/>
  <c r="V60" i="33"/>
  <c r="L60" i="33"/>
  <c r="R60" i="33"/>
  <c r="O60" i="33"/>
  <c r="S60" i="33"/>
  <c r="K60" i="33"/>
  <c r="T60" i="33"/>
  <c r="U60" i="33"/>
  <c r="E60" i="33"/>
  <c r="Q61" i="33" l="1"/>
  <c r="P61" i="33"/>
  <c r="E61" i="33"/>
  <c r="U61" i="33"/>
  <c r="T61" i="33"/>
  <c r="K61" i="33"/>
  <c r="S61" i="33"/>
  <c r="O61" i="33"/>
  <c r="R61" i="33"/>
  <c r="L61" i="33"/>
  <c r="V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R28" i="23"/>
  <c r="R29" i="23"/>
  <c r="R23" i="4" s="1"/>
  <c r="R30" i="23"/>
  <c r="R24" i="4" s="1"/>
  <c r="R31" i="23"/>
  <c r="R25" i="4" s="1"/>
  <c r="Q32" i="23"/>
  <c r="Q26" i="4" s="1"/>
  <c r="R32" i="23"/>
  <c r="R26" i="4" s="1"/>
  <c r="R33" i="23"/>
  <c r="R27" i="4" s="1"/>
  <c r="R34" i="23"/>
  <c r="R28" i="4" s="1"/>
  <c r="P35" i="23"/>
  <c r="P29" i="4" s="1"/>
  <c r="R35" i="23"/>
  <c r="R29"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T28" i="1"/>
  <c r="T29" i="1"/>
  <c r="T7" i="4" s="1"/>
  <c r="T32" i="1"/>
  <c r="T10" i="4" s="1"/>
  <c r="T33" i="1"/>
  <c r="T11" i="4" s="1"/>
  <c r="S35" i="1"/>
  <c r="S13" i="4" s="1"/>
  <c r="T35" i="1"/>
  <c r="T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F29" i="23"/>
  <c r="F23" i="4" s="1"/>
  <c r="C28" i="23"/>
  <c r="J40" i="23"/>
  <c r="J34" i="4" s="1"/>
  <c r="J36" i="23"/>
  <c r="J30" i="4" s="1"/>
  <c r="G35" i="23"/>
  <c r="G29" i="4" s="1"/>
  <c r="I33" i="23"/>
  <c r="I27" i="4" s="1"/>
  <c r="J32" i="23"/>
  <c r="J26" i="4" s="1"/>
  <c r="G31" i="23"/>
  <c r="G25" i="4" s="1"/>
  <c r="I29" i="23"/>
  <c r="I23" i="4" s="1"/>
  <c r="E29" i="23"/>
  <c r="E23" i="4" s="1"/>
  <c r="J28" i="23"/>
  <c r="J42" i="23"/>
  <c r="J36" i="4" s="1"/>
  <c r="J38" i="23"/>
  <c r="J32" i="4" s="1"/>
  <c r="J34" i="23"/>
  <c r="J28" i="4" s="1"/>
  <c r="H32" i="23"/>
  <c r="H26" i="4" s="1"/>
  <c r="I31" i="23"/>
  <c r="I25" i="4" s="1"/>
  <c r="E31" i="23"/>
  <c r="E25" i="4" s="1"/>
  <c r="F30" i="23"/>
  <c r="F24" i="4" s="1"/>
  <c r="D28" i="23"/>
  <c r="J41" i="23"/>
  <c r="J35" i="4" s="1"/>
  <c r="J37" i="23"/>
  <c r="J31" i="4" s="1"/>
  <c r="H35" i="23"/>
  <c r="H29" i="4" s="1"/>
  <c r="I34" i="23"/>
  <c r="I28" i="4" s="1"/>
  <c r="E34" i="23"/>
  <c r="E28" i="4" s="1"/>
  <c r="J43" i="23"/>
  <c r="J39" i="23"/>
  <c r="J33" i="4" s="1"/>
  <c r="J35" i="23"/>
  <c r="J29" i="4" s="1"/>
  <c r="G34" i="23"/>
  <c r="G28" i="4" s="1"/>
  <c r="H33" i="23"/>
  <c r="H27" i="4" s="1"/>
  <c r="I32" i="23"/>
  <c r="I26" i="4" s="1"/>
  <c r="J31" i="23"/>
  <c r="J25" i="4" s="1"/>
  <c r="G30" i="23"/>
  <c r="G24" i="4" s="1"/>
  <c r="D29" i="23"/>
  <c r="D23" i="4" s="1"/>
  <c r="I28" i="23"/>
  <c r="E28" i="23"/>
  <c r="I35" i="23"/>
  <c r="I29" i="4" s="1"/>
  <c r="E35" i="23"/>
  <c r="E29" i="4" s="1"/>
  <c r="D32" i="23"/>
  <c r="D26" i="4" s="1"/>
  <c r="H28" i="23"/>
  <c r="J33" i="23"/>
  <c r="J27" i="4" s="1"/>
  <c r="G32" i="23"/>
  <c r="G26"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0" i="1"/>
  <c r="H8" i="4" s="1"/>
  <c r="F32" i="1"/>
  <c r="F10" i="4" s="1"/>
  <c r="C33" i="1"/>
  <c r="C11" i="4" s="1"/>
  <c r="E35" i="1"/>
  <c r="E13" i="4" s="1"/>
  <c r="H31" i="1"/>
  <c r="E32" i="1"/>
  <c r="E10" i="4" s="1"/>
  <c r="H35" i="1"/>
  <c r="H13" i="4" s="1"/>
  <c r="E30" i="1"/>
  <c r="E8" i="4" s="1"/>
  <c r="I30" i="1"/>
  <c r="I8" i="4" s="1"/>
  <c r="H33" i="1"/>
  <c r="H11" i="4" s="1"/>
  <c r="I34" i="1"/>
  <c r="I12" i="4" s="1"/>
  <c r="F35" i="1"/>
  <c r="F13" i="4" s="1"/>
  <c r="I29" i="1"/>
  <c r="F30" i="1"/>
  <c r="H32" i="1"/>
  <c r="H10" i="4" s="1"/>
  <c r="E33" i="1"/>
  <c r="E11" i="4" s="1"/>
  <c r="I33" i="1"/>
  <c r="I11" i="4" s="1"/>
  <c r="F34" i="1"/>
  <c r="F12" i="4" s="1"/>
  <c r="C35" i="1"/>
  <c r="C13" i="4" s="1"/>
  <c r="G35" i="1"/>
  <c r="G13" i="4" s="1"/>
  <c r="F29" i="1"/>
  <c r="F7" i="4" s="1"/>
  <c r="G30" i="1"/>
  <c r="G8" i="4" s="1"/>
  <c r="F33" i="1"/>
  <c r="F11" i="4" s="1"/>
  <c r="G34" i="1"/>
  <c r="G12"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R56" i="23"/>
  <c r="I56" i="23"/>
  <c r="O40" i="23" l="1"/>
  <c r="O34" i="4" s="1"/>
  <c r="K35" i="23"/>
  <c r="K29" i="4" s="1"/>
  <c r="M33" i="23"/>
  <c r="M27" i="4" s="1"/>
  <c r="L32" i="23"/>
  <c r="L26" i="4" s="1"/>
  <c r="K31" i="23"/>
  <c r="K25" i="4" s="1"/>
  <c r="M29" i="23"/>
  <c r="M23" i="4" s="1"/>
  <c r="L28" i="23"/>
  <c r="V35" i="23"/>
  <c r="V29" i="4" s="1"/>
  <c r="T34" i="23"/>
  <c r="T28" i="4" s="1"/>
  <c r="U33" i="23"/>
  <c r="U27" i="4" s="1"/>
  <c r="V32" i="23"/>
  <c r="V26" i="4" s="1"/>
  <c r="T31" i="23"/>
  <c r="T25" i="4" s="1"/>
  <c r="U30" i="23"/>
  <c r="U24" i="4" s="1"/>
  <c r="V29" i="23"/>
  <c r="V23" i="4" s="1"/>
  <c r="S28" i="23"/>
  <c r="J30" i="23"/>
  <c r="J24" i="4" s="1"/>
  <c r="F34" i="23"/>
  <c r="F28" i="4" s="1"/>
  <c r="F28" i="23"/>
  <c r="H30" i="23"/>
  <c r="H24" i="4" s="1"/>
  <c r="H34" i="23"/>
  <c r="H28" i="4" s="1"/>
  <c r="J29" i="23"/>
  <c r="M34" i="23"/>
  <c r="M28" i="4" s="1"/>
  <c r="L33" i="23"/>
  <c r="L27" i="4" s="1"/>
  <c r="K32" i="23"/>
  <c r="K26" i="4" s="1"/>
  <c r="M30" i="23"/>
  <c r="M24" i="4" s="1"/>
  <c r="L29" i="23"/>
  <c r="L23" i="4" s="1"/>
  <c r="K28" i="23"/>
  <c r="K47" i="23" s="1"/>
  <c r="K48" i="23" s="1"/>
  <c r="K54" i="23" s="1"/>
  <c r="U35" i="23"/>
  <c r="U29" i="4" s="1"/>
  <c r="S34" i="23"/>
  <c r="S28" i="4" s="1"/>
  <c r="T33" i="23"/>
  <c r="U32" i="23"/>
  <c r="U26" i="4" s="1"/>
  <c r="S31" i="23"/>
  <c r="S25" i="4" s="1"/>
  <c r="T30" i="23"/>
  <c r="T24" i="4" s="1"/>
  <c r="U29" i="23"/>
  <c r="U23" i="4" s="1"/>
  <c r="V28" i="23"/>
  <c r="V22" i="4" s="1"/>
  <c r="M35" i="23"/>
  <c r="M29" i="4" s="1"/>
  <c r="L34" i="23"/>
  <c r="L28" i="4" s="1"/>
  <c r="K33" i="23"/>
  <c r="K27" i="4" s="1"/>
  <c r="M31" i="23"/>
  <c r="M25" i="4" s="1"/>
  <c r="L30" i="23"/>
  <c r="L24" i="4" s="1"/>
  <c r="K29" i="23"/>
  <c r="K23" i="4" s="1"/>
  <c r="T35" i="23"/>
  <c r="T29" i="4" s="1"/>
  <c r="V34" i="23"/>
  <c r="V28" i="4" s="1"/>
  <c r="S33" i="23"/>
  <c r="S27" i="4" s="1"/>
  <c r="T32" i="23"/>
  <c r="T26" i="4" s="1"/>
  <c r="V31" i="23"/>
  <c r="V25" i="4" s="1"/>
  <c r="S30" i="23"/>
  <c r="S24" i="4" s="1"/>
  <c r="T29" i="23"/>
  <c r="T23" i="4" s="1"/>
  <c r="U28" i="23"/>
  <c r="L35" i="23"/>
  <c r="L29" i="4" s="1"/>
  <c r="K34" i="23"/>
  <c r="K28" i="4" s="1"/>
  <c r="M32" i="23"/>
  <c r="M26" i="4" s="1"/>
  <c r="L31" i="23"/>
  <c r="L25" i="4" s="1"/>
  <c r="K30" i="23"/>
  <c r="K24" i="4" s="1"/>
  <c r="M28" i="23"/>
  <c r="M22" i="4" s="1"/>
  <c r="O33" i="23"/>
  <c r="O27" i="4" s="1"/>
  <c r="S35" i="23"/>
  <c r="S29" i="4" s="1"/>
  <c r="U34" i="23"/>
  <c r="U28" i="4" s="1"/>
  <c r="V33" i="23"/>
  <c r="V27" i="4" s="1"/>
  <c r="S32" i="23"/>
  <c r="S26" i="4" s="1"/>
  <c r="U31" i="23"/>
  <c r="U25" i="4" s="1"/>
  <c r="V30" i="23"/>
  <c r="V24" i="4" s="1"/>
  <c r="S29" i="23"/>
  <c r="S23" i="4" s="1"/>
  <c r="T28" i="23"/>
  <c r="T46" i="23" s="1"/>
  <c r="T53" i="23" s="1"/>
  <c r="T31" i="1"/>
  <c r="T9" i="4" s="1"/>
  <c r="E29" i="1"/>
  <c r="D33" i="1"/>
  <c r="D11" i="4" s="1"/>
  <c r="D35" i="1"/>
  <c r="D13" i="4" s="1"/>
  <c r="H34" i="1"/>
  <c r="H12" i="4" s="1"/>
  <c r="G29" i="1"/>
  <c r="J32" i="1"/>
  <c r="J10" i="4" s="1"/>
  <c r="T34" i="1"/>
  <c r="T12" i="4" s="1"/>
  <c r="T30" i="1"/>
  <c r="J35" i="1"/>
  <c r="J13" i="4" s="1"/>
  <c r="J31" i="1"/>
  <c r="J9" i="4" s="1"/>
  <c r="J28" i="1"/>
  <c r="J6" i="4" s="1"/>
  <c r="S34" i="1"/>
  <c r="S12" i="4" s="1"/>
  <c r="S33" i="1"/>
  <c r="S11" i="4" s="1"/>
  <c r="S32" i="1"/>
  <c r="S10" i="4" s="1"/>
  <c r="S31" i="1"/>
  <c r="S9" i="4" s="1"/>
  <c r="S30" i="1"/>
  <c r="S8" i="4" s="1"/>
  <c r="S29" i="1"/>
  <c r="S7" i="4" s="1"/>
  <c r="S28" i="1"/>
  <c r="J34" i="1"/>
  <c r="J12" i="4" s="1"/>
  <c r="J30" i="1"/>
  <c r="J8" i="4" s="1"/>
  <c r="V35" i="1"/>
  <c r="V13" i="4" s="1"/>
  <c r="V34" i="1"/>
  <c r="V12" i="4" s="1"/>
  <c r="V33" i="1"/>
  <c r="V11" i="4" s="1"/>
  <c r="V32" i="1"/>
  <c r="V10" i="4" s="1"/>
  <c r="V31" i="1"/>
  <c r="V9" i="4" s="1"/>
  <c r="V30" i="1"/>
  <c r="V8" i="4" s="1"/>
  <c r="V29" i="1"/>
  <c r="V7" i="4" s="1"/>
  <c r="V28" i="1"/>
  <c r="R33" i="1"/>
  <c r="R11" i="4" s="1"/>
  <c r="J33" i="1"/>
  <c r="J11" i="4" s="1"/>
  <c r="J29" i="1"/>
  <c r="J7" i="4" s="1"/>
  <c r="U35" i="1"/>
  <c r="U13" i="4" s="1"/>
  <c r="U34" i="1"/>
  <c r="U12" i="4" s="1"/>
  <c r="U33" i="1"/>
  <c r="U11" i="4" s="1"/>
  <c r="U32" i="1"/>
  <c r="U10" i="4" s="1"/>
  <c r="U31" i="1"/>
  <c r="U9" i="4" s="1"/>
  <c r="U30" i="1"/>
  <c r="U8" i="4" s="1"/>
  <c r="U29" i="1"/>
  <c r="U7" i="4" s="1"/>
  <c r="U28" i="1"/>
  <c r="P31" i="23"/>
  <c r="P25" i="4" s="1"/>
  <c r="Q28" i="23"/>
  <c r="H31" i="23"/>
  <c r="H25" i="4" s="1"/>
  <c r="D35" i="23"/>
  <c r="D29" i="4" s="1"/>
  <c r="G33" i="23"/>
  <c r="G27" i="4" s="1"/>
  <c r="C30" i="23"/>
  <c r="C24" i="4" s="1"/>
  <c r="E32" i="23"/>
  <c r="E26" i="4" s="1"/>
  <c r="C34" i="23"/>
  <c r="C28" i="4" s="1"/>
  <c r="C33" i="23"/>
  <c r="C27" i="4" s="1"/>
  <c r="C31" i="23"/>
  <c r="C25" i="4" s="1"/>
  <c r="E33" i="23"/>
  <c r="E27" i="4" s="1"/>
  <c r="C35" i="23"/>
  <c r="C29" i="4" s="1"/>
  <c r="E30" i="23"/>
  <c r="O43" i="23"/>
  <c r="O37" i="4" s="1"/>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M35" i="1"/>
  <c r="M13" i="4" s="1"/>
  <c r="L34" i="1"/>
  <c r="L12" i="4" s="1"/>
  <c r="K33" i="1"/>
  <c r="K11" i="4" s="1"/>
  <c r="M31" i="1"/>
  <c r="M9" i="4" s="1"/>
  <c r="L30" i="1"/>
  <c r="L8" i="4" s="1"/>
  <c r="K29" i="1"/>
  <c r="K7" i="4" s="1"/>
  <c r="L35" i="1"/>
  <c r="L13" i="4" s="1"/>
  <c r="K34" i="1"/>
  <c r="K12" i="4" s="1"/>
  <c r="M32" i="1"/>
  <c r="M10" i="4" s="1"/>
  <c r="L31" i="1"/>
  <c r="L9" i="4" s="1"/>
  <c r="K30" i="1"/>
  <c r="K8" i="4" s="1"/>
  <c r="M28" i="1"/>
  <c r="K35" i="1"/>
  <c r="K13" i="4" s="1"/>
  <c r="M33" i="1"/>
  <c r="M11" i="4" s="1"/>
  <c r="L32" i="1"/>
  <c r="L10" i="4" s="1"/>
  <c r="K31" i="1"/>
  <c r="M29" i="1"/>
  <c r="M7" i="4" s="1"/>
  <c r="L28" i="1"/>
  <c r="L6" i="4" s="1"/>
  <c r="O9" i="12"/>
  <c r="O10" i="12" s="1"/>
  <c r="E22" i="4"/>
  <c r="F22" i="4"/>
  <c r="T6" i="4"/>
  <c r="P6" i="4"/>
  <c r="Q6" i="4"/>
  <c r="H22" i="4"/>
  <c r="I22" i="4"/>
  <c r="D22" i="4"/>
  <c r="J22" i="4"/>
  <c r="C22" i="4"/>
  <c r="K6" i="4"/>
  <c r="S6" i="4"/>
  <c r="L22" i="4"/>
  <c r="Q22" i="4"/>
  <c r="G22" i="4"/>
  <c r="M6" i="4"/>
  <c r="U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R47" i="23"/>
  <c r="R48" i="23" s="1"/>
  <c r="R54" i="23" s="1"/>
  <c r="P37" i="1"/>
  <c r="F22" i="23"/>
  <c r="O36" i="1"/>
  <c r="H45" i="23"/>
  <c r="R31" i="1"/>
  <c r="R9" i="4" s="1"/>
  <c r="R22" i="4"/>
  <c r="T27" i="4"/>
  <c r="I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J47" i="1"/>
  <c r="J48" i="1" s="1"/>
  <c r="J54" i="1" s="1"/>
  <c r="B28" i="1"/>
  <c r="D32" i="1"/>
  <c r="B30" i="1"/>
  <c r="B8" i="4" s="1"/>
  <c r="C28" i="1"/>
  <c r="D31" i="1"/>
  <c r="D9" i="4" s="1"/>
  <c r="O28" i="1"/>
  <c r="C30" i="1"/>
  <c r="C8" i="4" s="1"/>
  <c r="C31" i="1"/>
  <c r="C9" i="4" s="1"/>
  <c r="D29" i="1"/>
  <c r="D7" i="4" s="1"/>
  <c r="D30" i="1"/>
  <c r="T46" i="1"/>
  <c r="T53" i="1" s="1"/>
  <c r="G21" i="4"/>
  <c r="I21" i="4"/>
  <c r="F21" i="4"/>
  <c r="H21" i="4"/>
  <c r="E21" i="4"/>
  <c r="L52" i="23"/>
  <c r="E7" i="4"/>
  <c r="D17" i="4"/>
  <c r="F8" i="4"/>
  <c r="H9" i="4"/>
  <c r="G7" i="4"/>
  <c r="C4" i="4"/>
  <c r="I46" i="23"/>
  <c r="I53" i="23" s="1"/>
  <c r="A47" i="22"/>
  <c r="I47" i="23"/>
  <c r="I48" i="23" s="1"/>
  <c r="I54" i="23" s="1"/>
  <c r="G27" i="23"/>
  <c r="G52" i="23" s="1"/>
  <c r="A50" i="22"/>
  <c r="H50" i="22" s="1"/>
  <c r="K27" i="23"/>
  <c r="L22" i="1"/>
  <c r="I7" i="4"/>
  <c r="D27" i="1"/>
  <c r="D52" i="1" s="1"/>
  <c r="D45" i="1"/>
  <c r="D22" i="23"/>
  <c r="D45" i="23"/>
  <c r="D27" i="23"/>
  <c r="D52"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U56" i="23"/>
  <c r="L56" i="23"/>
  <c r="S56" i="23"/>
  <c r="K56" i="23"/>
  <c r="V56" i="23"/>
  <c r="M56" i="23"/>
  <c r="T56" i="23"/>
  <c r="J56" i="23"/>
  <c r="T56" i="1"/>
  <c r="U56" i="1"/>
  <c r="V56" i="1"/>
  <c r="S56" i="1"/>
  <c r="J56" i="1"/>
  <c r="Q56" i="1"/>
  <c r="D56" i="1"/>
  <c r="R56" i="1"/>
  <c r="C56" i="1"/>
  <c r="B56" i="23"/>
  <c r="K56" i="1"/>
  <c r="O56" i="1"/>
  <c r="O56" i="23"/>
  <c r="B56" i="1"/>
  <c r="M56" i="1"/>
  <c r="H56" i="1"/>
  <c r="D56" i="23"/>
  <c r="F56" i="1"/>
  <c r="H56" i="23"/>
  <c r="F56" i="23"/>
  <c r="I56" i="1"/>
  <c r="P56" i="23"/>
  <c r="G56" i="23"/>
  <c r="G56" i="1"/>
  <c r="L56" i="1"/>
  <c r="P56" i="1"/>
  <c r="E56" i="23"/>
  <c r="M78" i="4"/>
  <c r="C56" i="23"/>
  <c r="Q56" i="23"/>
  <c r="L78" i="4"/>
  <c r="E56" i="1"/>
  <c r="Q46" i="23" l="1"/>
  <c r="Q53" i="23" s="1"/>
  <c r="V47" i="23"/>
  <c r="V48" i="23" s="1"/>
  <c r="V54" i="23" s="1"/>
  <c r="M46" i="23"/>
  <c r="M53" i="23" s="1"/>
  <c r="U46" i="23"/>
  <c r="U53" i="23" s="1"/>
  <c r="J57" i="23"/>
  <c r="T57" i="23"/>
  <c r="M57" i="23"/>
  <c r="V57" i="23"/>
  <c r="K57" i="23"/>
  <c r="S57" i="23"/>
  <c r="L57" i="23"/>
  <c r="U57" i="23"/>
  <c r="J23" i="4"/>
  <c r="J63" i="4" s="1"/>
  <c r="J64" i="4" s="1"/>
  <c r="U47" i="23"/>
  <c r="U48" i="23" s="1"/>
  <c r="U54" i="23" s="1"/>
  <c r="G47" i="23"/>
  <c r="G48" i="23" s="1"/>
  <c r="G54" i="23" s="1"/>
  <c r="P47" i="23"/>
  <c r="P48" i="23" s="1"/>
  <c r="P54" i="23" s="1"/>
  <c r="T22" i="4"/>
  <c r="T56" i="4" s="1"/>
  <c r="T75" i="4" s="1"/>
  <c r="S47" i="23"/>
  <c r="S48" i="23" s="1"/>
  <c r="S54" i="23" s="1"/>
  <c r="K22" i="4"/>
  <c r="S22" i="4"/>
  <c r="U22" i="4"/>
  <c r="U57" i="4" s="1"/>
  <c r="U58" i="4" s="1"/>
  <c r="U76" i="4" s="1"/>
  <c r="Q47" i="23"/>
  <c r="Q48" i="23" s="1"/>
  <c r="Q54" i="23" s="1"/>
  <c r="L47" i="23"/>
  <c r="L48" i="23" s="1"/>
  <c r="L54" i="23" s="1"/>
  <c r="L46" i="23"/>
  <c r="L53" i="23" s="1"/>
  <c r="S46" i="23"/>
  <c r="S53" i="23" s="1"/>
  <c r="J46" i="23"/>
  <c r="J53" i="23" s="1"/>
  <c r="J47" i="23"/>
  <c r="J48" i="23" s="1"/>
  <c r="J54" i="23" s="1"/>
  <c r="T47" i="23"/>
  <c r="T48" i="23" s="1"/>
  <c r="T54" i="23" s="1"/>
  <c r="K46" i="23"/>
  <c r="K53" i="23" s="1"/>
  <c r="M47" i="23"/>
  <c r="M48" i="23" s="1"/>
  <c r="M54" i="23" s="1"/>
  <c r="T57" i="1"/>
  <c r="V47" i="1"/>
  <c r="V48" i="1" s="1"/>
  <c r="V54" i="1" s="1"/>
  <c r="K47" i="1"/>
  <c r="T47" i="1"/>
  <c r="T48" i="1" s="1"/>
  <c r="T54" i="1" s="1"/>
  <c r="V46" i="1"/>
  <c r="V53" i="1" s="1"/>
  <c r="T8" i="4"/>
  <c r="J57" i="1"/>
  <c r="S57" i="1"/>
  <c r="V57" i="1"/>
  <c r="U57" i="1"/>
  <c r="V6" i="4"/>
  <c r="S47" i="1"/>
  <c r="S48" i="1" s="1"/>
  <c r="S54" i="1" s="1"/>
  <c r="M47" i="1"/>
  <c r="M48" i="1" s="1"/>
  <c r="M54" i="1" s="1"/>
  <c r="U46" i="1"/>
  <c r="U53" i="1" s="1"/>
  <c r="J46" i="1"/>
  <c r="J53" i="1" s="1"/>
  <c r="U47" i="1"/>
  <c r="U48" i="1" s="1"/>
  <c r="U54" i="1" s="1"/>
  <c r="S46" i="1"/>
  <c r="S53" i="1" s="1"/>
  <c r="M46" i="1"/>
  <c r="M53" i="1" s="1"/>
  <c r="K48" i="1"/>
  <c r="K54" i="1" s="1"/>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K63" i="4"/>
  <c r="K64" i="4" s="1"/>
  <c r="U63" i="4"/>
  <c r="U64" i="4" s="1"/>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H57" i="1"/>
  <c r="G57" i="1"/>
  <c r="F57" i="1"/>
  <c r="I57" i="1"/>
  <c r="E57" i="1"/>
  <c r="H7" i="4"/>
  <c r="G46" i="1"/>
  <c r="G53" i="1" s="1"/>
  <c r="H46" i="1"/>
  <c r="H53" i="1" s="1"/>
  <c r="H47" i="1"/>
  <c r="H48" i="1" s="1"/>
  <c r="H54" i="1" s="1"/>
  <c r="G11" i="4"/>
  <c r="F9" i="4"/>
  <c r="I13" i="4"/>
  <c r="E12" i="4"/>
  <c r="I55" i="4"/>
  <c r="I62" i="4"/>
  <c r="V57" i="4"/>
  <c r="V58" i="4" s="1"/>
  <c r="V76" i="4" s="1"/>
  <c r="V56" i="4"/>
  <c r="V75" i="4" s="1"/>
  <c r="L56" i="4"/>
  <c r="L75" i="4" s="1"/>
  <c r="K57" i="4"/>
  <c r="K58" i="4" s="1"/>
  <c r="K76" i="4" s="1"/>
  <c r="J56" i="4"/>
  <c r="J75" i="4" s="1"/>
  <c r="O55" i="4"/>
  <c r="O62" i="4"/>
  <c r="F55" i="4"/>
  <c r="F62" i="4"/>
  <c r="M55" i="4"/>
  <c r="M62" i="4"/>
  <c r="J55" i="4"/>
  <c r="J62" i="4"/>
  <c r="L57" i="4"/>
  <c r="L58" i="4" s="1"/>
  <c r="L76" i="4" s="1"/>
  <c r="K56" i="4"/>
  <c r="K75" i="4" s="1"/>
  <c r="P55" i="4"/>
  <c r="P62" i="4"/>
  <c r="G55" i="4"/>
  <c r="G62" i="4"/>
  <c r="H74" i="4"/>
  <c r="H62" i="4"/>
  <c r="U22" i="33"/>
  <c r="U45" i="33"/>
  <c r="U27" i="33"/>
  <c r="U52" i="33" s="1"/>
  <c r="R45" i="33"/>
  <c r="R27" i="33"/>
  <c r="R52" i="33" s="1"/>
  <c r="R22" i="33"/>
  <c r="U56" i="4"/>
  <c r="U75" i="4" s="1"/>
  <c r="M56" i="4"/>
  <c r="M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M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J78" i="4"/>
  <c r="U78" i="4"/>
  <c r="K78" i="4"/>
  <c r="S78" i="4"/>
  <c r="T78" i="4"/>
  <c r="V78" i="4"/>
  <c r="B78" i="4"/>
  <c r="Q78" i="4"/>
  <c r="R78" i="4"/>
  <c r="O78" i="4"/>
  <c r="G78" i="4"/>
  <c r="P78" i="4"/>
  <c r="I78" i="4"/>
  <c r="H78" i="4"/>
  <c r="C78" i="4"/>
  <c r="D78" i="4"/>
  <c r="E78" i="4"/>
  <c r="F78" i="4"/>
  <c r="J57" i="4" l="1"/>
  <c r="J58" i="4" s="1"/>
  <c r="J76" i="4" s="1"/>
  <c r="T57" i="4"/>
  <c r="T58" i="4" s="1"/>
  <c r="T76" i="4" s="1"/>
  <c r="T63" i="4"/>
  <c r="T64" i="4" s="1"/>
  <c r="S79" i="4"/>
  <c r="K79" i="4"/>
  <c r="U79" i="4"/>
  <c r="J79" i="4"/>
  <c r="S57" i="4"/>
  <c r="S58" i="4" s="1"/>
  <c r="S76" i="4" s="1"/>
  <c r="S56" i="4"/>
  <c r="S75" i="4" s="1"/>
  <c r="S63" i="4"/>
  <c r="S64" i="4" s="1"/>
  <c r="T79" i="4"/>
  <c r="V79" i="4"/>
  <c r="F55" i="23"/>
  <c r="C55" i="23"/>
  <c r="C63" i="4"/>
  <c r="C64" i="4" s="1"/>
  <c r="R63" i="4"/>
  <c r="R64" i="4" s="1"/>
  <c r="I57" i="4"/>
  <c r="I58" i="4" s="1"/>
  <c r="I76" i="4"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F59" i="23"/>
  <c r="Q59" i="23"/>
  <c r="Q60" i="23" s="1"/>
  <c r="V59" i="23"/>
  <c r="P59" i="23"/>
  <c r="P60" i="23" s="1"/>
  <c r="T59" i="23"/>
  <c r="T60" i="23" s="1"/>
  <c r="U59" i="23"/>
  <c r="S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E59" i="23"/>
  <c r="J59" i="23"/>
  <c r="K59" i="23"/>
  <c r="D59" i="23"/>
  <c r="I59" i="23"/>
  <c r="I60" i="23" s="1"/>
  <c r="O59" i="23"/>
  <c r="G59" i="23"/>
  <c r="H59" i="23"/>
  <c r="M59" i="23"/>
  <c r="C55" i="1"/>
  <c r="H55" i="1"/>
  <c r="F55" i="1"/>
  <c r="I55" i="1"/>
  <c r="L55" i="1"/>
  <c r="J55" i="1"/>
  <c r="D55" i="1"/>
  <c r="K55" i="1"/>
  <c r="E55" i="1"/>
  <c r="H3" i="12"/>
  <c r="O59" i="1"/>
  <c r="J59" i="1"/>
  <c r="F59" i="1"/>
  <c r="F60" i="1" s="1"/>
  <c r="M59" i="1"/>
  <c r="M60" i="1" s="1"/>
  <c r="I59" i="1"/>
  <c r="I60" i="1" s="1"/>
  <c r="E59" i="1"/>
  <c r="L59" i="1"/>
  <c r="L60" i="1" s="1"/>
  <c r="H59" i="1"/>
  <c r="H60" i="1" s="1"/>
  <c r="D59" i="1"/>
  <c r="K59" i="1"/>
  <c r="K60" i="1" s="1"/>
  <c r="C59" i="1"/>
  <c r="C60" i="1" s="1"/>
  <c r="G59" i="1"/>
  <c r="M55" i="1"/>
  <c r="T59" i="1"/>
  <c r="P59" i="1"/>
  <c r="S59" i="1"/>
  <c r="V59" i="1"/>
  <c r="R59" i="1"/>
  <c r="U59" i="1"/>
  <c r="Q59" i="1"/>
  <c r="B65" i="1"/>
  <c r="B64" i="1"/>
  <c r="B55" i="1"/>
  <c r="G3" i="12"/>
  <c r="T27" i="23"/>
  <c r="T52" i="23" s="1"/>
  <c r="T45" i="23"/>
  <c r="T22" i="23"/>
  <c r="F3" i="12"/>
  <c r="J3" i="12"/>
  <c r="I3" i="12"/>
  <c r="T27" i="1"/>
  <c r="T52" i="1" s="1"/>
  <c r="T45" i="1"/>
  <c r="T4" i="4"/>
  <c r="T62" i="4" s="1"/>
  <c r="T22" i="1"/>
  <c r="V60" i="23"/>
  <c r="S60" i="23"/>
  <c r="J60" i="23"/>
  <c r="O60" i="23"/>
  <c r="E60" i="23"/>
  <c r="L60" i="23"/>
  <c r="K60" i="23"/>
  <c r="G60" i="23"/>
  <c r="C60" i="23"/>
  <c r="H60" i="23"/>
  <c r="U60" i="23"/>
  <c r="F60" i="23"/>
  <c r="D60" i="23"/>
  <c r="M60" i="23"/>
  <c r="Q60" i="1"/>
  <c r="P60" i="1"/>
  <c r="T60" i="1"/>
  <c r="U60" i="1"/>
  <c r="O60" i="1"/>
  <c r="V60" i="1"/>
  <c r="D60" i="1"/>
  <c r="G60" i="1"/>
  <c r="S60" i="1"/>
  <c r="E60" i="1"/>
  <c r="R60" i="1"/>
  <c r="J60" i="1"/>
  <c r="V62" i="4" l="1"/>
  <c r="V74" i="4"/>
  <c r="Z2" i="12" s="1"/>
  <c r="AA2" i="12"/>
  <c r="P75" i="4"/>
  <c r="B5" i="27" s="1"/>
  <c r="O81" i="4"/>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Q82" i="4"/>
  <c r="P82" i="4"/>
  <c r="O82" i="4"/>
  <c r="B5" i="12" l="1"/>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R5" i="12" l="1"/>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I12" i="22" l="1"/>
  <c r="G12" i="22"/>
  <c r="G13" i="22"/>
  <c r="G24" i="22"/>
  <c r="K25" i="22"/>
  <c r="M25" i="22" s="1"/>
  <c r="G14" i="22"/>
  <c r="I24" i="22"/>
  <c r="I36" i="22"/>
  <c r="I15" i="22"/>
  <c r="G15" i="22"/>
  <c r="I34" i="22"/>
  <c r="K34" i="22" s="1"/>
  <c r="N34" i="22" s="1"/>
  <c r="I25" i="22"/>
  <c r="I32" i="22"/>
  <c r="K32" i="22" s="1"/>
  <c r="N32" i="22" s="1"/>
  <c r="I7" i="22"/>
  <c r="G3" i="28" s="1"/>
  <c r="I33" i="22"/>
  <c r="I9" i="22"/>
  <c r="K26" i="22"/>
  <c r="M26" i="22" s="1"/>
  <c r="I35" i="22"/>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K9" i="22"/>
  <c r="M9" i="22" s="1"/>
  <c r="I16" i="22"/>
  <c r="G20" i="22"/>
  <c r="K23" i="22"/>
  <c r="M23" i="22" s="1"/>
  <c r="I21" i="22"/>
  <c r="K22" i="22"/>
  <c r="M22" i="22" s="1"/>
  <c r="I8" i="22"/>
  <c r="K8" i="22" s="1"/>
  <c r="M8" i="22" s="1"/>
  <c r="I23" i="22"/>
  <c r="K20" i="22"/>
  <c r="M20" i="22" s="1"/>
  <c r="H3" i="28"/>
  <c r="N15" i="22"/>
  <c r="N12" i="22"/>
  <c r="N24" i="22"/>
  <c r="N25"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K7" i="22" l="1"/>
  <c r="M7" i="22" s="1"/>
  <c r="M32" i="22"/>
  <c r="M34" i="22"/>
  <c r="K36" i="22"/>
  <c r="N36" i="22" s="1"/>
  <c r="N20" i="22"/>
  <c r="N26" i="22"/>
  <c r="M10" i="22"/>
  <c r="N10" i="22"/>
  <c r="K33" i="22"/>
  <c r="N33" i="22" s="1"/>
  <c r="K35" i="22"/>
  <c r="N35" i="22" s="1"/>
  <c r="N18" i="22"/>
  <c r="N13" i="22"/>
  <c r="N19" i="22"/>
  <c r="N16" i="22"/>
  <c r="N8" i="22"/>
  <c r="N21" i="22"/>
  <c r="N11" i="22"/>
  <c r="N9" i="22"/>
  <c r="N23" i="22"/>
  <c r="N22" i="22"/>
  <c r="M36" i="22" l="1"/>
  <c r="M35" i="22"/>
  <c r="N7" i="22"/>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<sst xmlns="http://schemas.openxmlformats.org/spreadsheetml/2006/main" count="490" uniqueCount="174">
  <si>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</si>
  <si>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</si>
  <si>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</si>
  <si>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</si>
  <si>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</si>
  <si>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</si>
  <si>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</si>
  <si>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</si>
  <si>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</si>
  <si>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</si>
  <si>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</si>
  <si>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</si>
  <si>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</si>
  <si>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</si>
  <si>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</si>
  <si>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</si>
  <si>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</si>
  <si>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</si>
  <si>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</si>
  <si>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</si>
  <si>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</si>
  <si>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</si>
  <si>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</si>
  <si>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</si>
  <si>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</si>
  <si>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</si>
  <si>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</si>
  <si>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</si>
  <si>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</si>
  <si>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</si>
  <si>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</si>
  <si>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</si>
  <si>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</si>
  <si>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</si>
  <si>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</si>
  <si>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</si>
  <si>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</si>
  <si>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</si>
  <si>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</si>
  <si>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</si>
  <si>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</si>
  <si>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</si>
  <si>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</si>
  <si>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</si>
  <si>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</si>
  <si>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</si>
  <si>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</si>
  <si>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</si>
  <si>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</si>
  <si>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</si>
  <si>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</si>
  <si>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</si>
  <si>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</si>
  <si>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</si>
  <si>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</si>
  <si>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</si>
  <si>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</si>
  <si>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</si>
  <si>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</si>
  <si>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</si>
  <si>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</si>
  <si>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</si>
  <si>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</si>
  <si>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</si>
  <si>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</si>
  <si>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</si>
  <si>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</si>
  <si>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</si>
  <si>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</si>
  <si>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</si>
  <si>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</si>
  <si>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</si>
  <si>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</si>
  <si>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</si>
  <si>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</si>
  <si>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</si>
  <si>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</si>
  <si>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</si>
  <si>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</si>
  <si>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</si>
  <si>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</si>
  <si>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</si>
  <si>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</si>
  <si>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</si>
  <si>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</si>
  <si>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</si>
  <si>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</si>
  <si>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</si>
  <si>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</si>
  <si>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</si>
  <si>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</si>
  <si>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</si>
  <si>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</si>
  <si>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</si>
  <si>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</si>
  <si>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</si>
  <si>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</si>
  <si>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</si>
  <si>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</si>
  <si>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</si>
  <si>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</si>
  <si>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</si>
  <si>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</si>
  <si>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</si>
  <si>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</si>
  <si>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</si>
  <si>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</si>
  <si>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</si>
  <si>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</si>
  <si>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</si>
  <si>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</si>
  <si>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</si>
  <si>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</si>
  <si>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</si>
  <si>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</si>
  <si>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</si>
  <si>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</si>
  <si>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</si>
  <si>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</si>
  <si>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</si>
  <si>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</si>
  <si>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</si>
  <si>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</si>
  <si>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</si>
  <si>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</si>
  <si>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</si>
  <si>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</si>
  <si>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</si>
  <si>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</si>
  <si>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</si>
  <si>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</si>
  <si>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</si>
  <si>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</si>
  <si>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</si>
  <si>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</si>
  <si>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</si>
  <si>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</si>
  <si>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</si>
  <si>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</si>
  <si>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</si>
  <si>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</si>
  <si>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</si>
  <si>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</si>
  <si>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</si>
  <si>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</si>
  <si>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</si>
  <si>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</si>
  <si>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</si>
  <si>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</si>
  <si>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</si>
  <si>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</si>
  <si>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</si>
  <si>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</si>
  <si>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</si>
  <si>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</si>
  <si>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</si>
  <si>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</si>
  <si>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</si>
  <si>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</si>
  <si>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</si>
  <si>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</si>
  <si>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</si>
  <si>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</si>
  <si>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</si>
  <si>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</si>
  <si>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</si>
  <si>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mg/L</t>
  </si>
  <si>
    <t>Test</t>
  </si>
  <si>
    <t>Cefuroxime</t>
  </si>
  <si>
    <t>ns</t>
  </si>
  <si>
    <t>&gt;0,99</t>
  </si>
  <si>
    <t>***</t>
  </si>
  <si>
    <t>&lt;0,001</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</si>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</sst>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0.24076090351031579</c:v>
                  </c:pt>
                  <c:pt idx="2">
                    <c:v>0.25586902757649799</c:v>
                  </c:pt>
                  <c:pt idx="3">
                    <c:v>1.2642337006416728E-2</c:v>
                  </c:pt>
                  <c:pt idx="4">
                    <c:v>0.38764617891778497</c:v>
                  </c:pt>
                  <c:pt idx="5">
                    <c:v>0.47668285649374698</c:v>
                  </c:pt>
                  <c:pt idx="6">
                    <c:v>0.24799311556393241</c:v>
                  </c:pt>
                  <c:pt idx="7">
                    <c:v>0.18157772391646718</c:v>
                  </c:pt>
                  <c:pt idx="8">
                    <c:v>0.24682339055413044</c:v>
                  </c:pt>
                </c:numCache>
              </c:numRef>
            </c:plus>
            <c:minus>
              <c:numRef>
                <c:f>'R1'!$N$48:$V$48</c:f>
                <c:numCache>
                  <c:formatCode>General</c:formatCode>
                  <c:ptCount val="9"/>
                  <c:pt idx="0">
                    <c:v>0</c:v>
                  </c:pt>
                  <c:pt idx="1">
                    <c:v>0.24076090351031579</c:v>
                  </c:pt>
                  <c:pt idx="2">
                    <c:v>0.25586902757649799</c:v>
                  </c:pt>
                  <c:pt idx="3">
                    <c:v>1.2642337006416728E-2</c:v>
                  </c:pt>
                  <c:pt idx="4">
                    <c:v>0.38764617891778497</c:v>
                  </c:pt>
                  <c:pt idx="5">
                    <c:v>0.47668285649374698</c:v>
                  </c:pt>
                  <c:pt idx="6">
                    <c:v>0.24799311556393241</c:v>
                  </c:pt>
                  <c:pt idx="7">
                    <c:v>0.18157772391646718</c:v>
                  </c:pt>
                  <c:pt idx="8">
                    <c:v>0.24682339055413044</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'R1'!$B$53:$V$53</c:f>
              <c:numCache>
                <c:formatCode>0.0000</c:formatCode>
                <c:ptCount val="21"/>
                <c:pt idx="0">
                  <c:v>2.5003780902281558E-2</c:v>
                </c:pt>
                <c:pt idx="1">
                  <c:v>3.7587579630040627E-2</c:v>
                </c:pt>
                <c:pt idx="2">
                  <c:v>0.21502241531703259</c:v>
                </c:pt>
                <c:pt idx="3">
                  <c:v>0.64158507327735825</c:v>
                </c:pt>
                <c:pt idx="4">
                  <c:v>1.3785810014462572</c:v>
                </c:pt>
                <c:pt idx="5">
                  <c:v>3.1161419231224654</c:v>
                </c:pt>
                <c:pt idx="6">
                  <c:v>3.4068606174093929</c:v>
                </c:pt>
                <c:pt idx="7">
                  <c:v>3.2938941111082955E-2</c:v>
                </c:pt>
                <c:pt idx="8">
                  <c:v>3.7763751188943838E-2</c:v>
                </c:pt>
                <c:pt idx="9">
                  <c:v>5.0271661323502477E-2</c:v>
                </c:pt>
                <c:pt idx="10">
                  <c:v>5.6989222196480123E-2</c:v>
                </c:pt>
                <c:pt idx="11">
                  <c:v>3.8986671293631321E-2</c:v>
                </c:pt>
                <c:pt idx="13">
                  <c:v>0.99999999999999989</c:v>
                </c:pt>
                <c:pt idx="14">
                  <c:v>2.4095628465319812</c:v>
                </c:pt>
                <c:pt idx="15">
                  <c:v>4.9186585205394755E-2</c:v>
                </c:pt>
                <c:pt idx="16">
                  <c:v>1.2743054650598988</c:v>
                </c:pt>
                <c:pt idx="17">
                  <c:v>0.93391681082235622</c:v>
                </c:pt>
                <c:pt idx="18">
                  <c:v>0.67749665580658647</c:v>
                </c:pt>
                <c:pt idx="19">
                  <c:v>0.82452519127036783</c:v>
                </c:pt>
                <c:pt idx="20">
                  <c:v>1.1614801495190161</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8.1721466812207946E-2</c:v>
                  </c:pt>
                  <c:pt idx="1">
                    <c:v>0.14665058091977781</c:v>
                  </c:pt>
                  <c:pt idx="2">
                    <c:v>0.17131992243403188</c:v>
                  </c:pt>
                  <c:pt idx="3">
                    <c:v>0.92605680388370104</c:v>
                  </c:pt>
                  <c:pt idx="4">
                    <c:v>1.1753047340212472</c:v>
                  </c:pt>
                  <c:pt idx="5">
                    <c:v>0.69242405817708874</c:v>
                  </c:pt>
                  <c:pt idx="6">
                    <c:v>2.4071190636421536</c:v>
                  </c:pt>
                  <c:pt idx="7">
                    <c:v>5.0658754958153092E-2</c:v>
                  </c:pt>
                  <c:pt idx="8">
                    <c:v>5.1300968033562301E-2</c:v>
                  </c:pt>
                  <c:pt idx="9">
                    <c:v>3.480001403101448E-2</c:v>
                  </c:pt>
                  <c:pt idx="10">
                    <c:v>8.3418080776183318E-2</c:v>
                  </c:pt>
                  <c:pt idx="11">
                    <c:v>1.4780291208521951E-2</c:v>
                  </c:pt>
                  <c:pt idx="13">
                    <c:v>0.1982274976914849</c:v>
                  </c:pt>
                  <c:pt idx="14">
                    <c:v>1.055269098875659</c:v>
                  </c:pt>
                  <c:pt idx="15">
                    <c:v>5.322104105158286E-2</c:v>
                  </c:pt>
                  <c:pt idx="16">
                    <c:v>1.3230316520789143</c:v>
                  </c:pt>
                  <c:pt idx="17">
                    <c:v>0.54253554384881719</c:v>
                  </c:pt>
                  <c:pt idx="18">
                    <c:v>0.55232809399772853</c:v>
                  </c:pt>
                  <c:pt idx="19">
                    <c:v>1.5622785779154322</c:v>
                  </c:pt>
                  <c:pt idx="20">
                    <c:v>0.65166713014225408</c:v>
                  </c:pt>
                </c:numCache>
              </c:numRef>
            </c:plus>
            <c:minus>
              <c:numRef>
                <c:f>'R1'!$N$48:$V$48</c:f>
                <c:numCache>
                  <c:formatCode>General</c:formatCode>
                  <c:ptCount val="9"/>
                  <c:pt idx="0">
                    <c:v>0</c:v>
                  </c:pt>
                  <c:pt idx="1">
                    <c:v>0.24076090351031579</c:v>
                  </c:pt>
                  <c:pt idx="2">
                    <c:v>0.25586902757649799</c:v>
                  </c:pt>
                  <c:pt idx="3">
                    <c:v>1.2642337006416728E-2</c:v>
                  </c:pt>
                  <c:pt idx="4">
                    <c:v>0.38764617891778497</c:v>
                  </c:pt>
                  <c:pt idx="5">
                    <c:v>0.47668285649374698</c:v>
                  </c:pt>
                  <c:pt idx="6">
                    <c:v>0.24799311556393241</c:v>
                  </c:pt>
                  <c:pt idx="7">
                    <c:v>0.18157772391646718</c:v>
                  </c:pt>
                  <c:pt idx="8">
                    <c:v>0.24682339055413044</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'R2'!$B$53:$V$53</c:f>
              <c:numCache>
                <c:formatCode>0.0000</c:formatCode>
                <c:ptCount val="21"/>
                <c:pt idx="0">
                  <c:v>0.19353549486383892</c:v>
                </c:pt>
                <c:pt idx="1">
                  <c:v>0.35807834469837907</c:v>
                </c:pt>
                <c:pt idx="2">
                  <c:v>0.55283901685210557</c:v>
                </c:pt>
                <c:pt idx="3">
                  <c:v>4.188856333426564</c:v>
                </c:pt>
                <c:pt idx="4">
                  <c:v>9.6247691732431946</c:v>
                </c:pt>
                <c:pt idx="5">
                  <c:v>13.876703406663943</c:v>
                </c:pt>
                <c:pt idx="6">
                  <c:v>21.630273163285498</c:v>
                </c:pt>
                <c:pt idx="7">
                  <c:v>0.22815485450358944</c:v>
                </c:pt>
                <c:pt idx="8">
                  <c:v>0.1556010652778515</c:v>
                </c:pt>
                <c:pt idx="9">
                  <c:v>0.12867831845278793</c:v>
                </c:pt>
                <c:pt idx="10">
                  <c:v>0.19968413362085508</c:v>
                </c:pt>
                <c:pt idx="11">
                  <c:v>7.5805402960603813E-2</c:v>
                </c:pt>
                <c:pt idx="13">
                  <c:v>1</c:v>
                </c:pt>
                <c:pt idx="14">
                  <c:v>10.250921411001592</c:v>
                </c:pt>
                <c:pt idx="15">
                  <c:v>0.17945917075422979</c:v>
                </c:pt>
                <c:pt idx="16">
                  <c:v>3.1880347223195775</c:v>
                </c:pt>
                <c:pt idx="17">
                  <c:v>1.2084325107952805</c:v>
                </c:pt>
                <c:pt idx="18">
                  <c:v>1.5881579524945606</c:v>
                </c:pt>
                <c:pt idx="19">
                  <c:v>2.7130871962653118</c:v>
                </c:pt>
                <c:pt idx="20">
                  <c:v>1.4188198814719686</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2.2314561989413142E-2</c:v>
                  </c:pt>
                  <c:pt idx="1">
                    <c:v>3.4953019464222801E-2</c:v>
                  </c:pt>
                  <c:pt idx="2">
                    <c:v>3.1503740866866775E-2</c:v>
                  </c:pt>
                  <c:pt idx="3">
                    <c:v>0.62678990705798077</c:v>
                  </c:pt>
                  <c:pt idx="4">
                    <c:v>0.62377923292169413</c:v>
                  </c:pt>
                  <c:pt idx="5">
                    <c:v>0.51557583467027435</c:v>
                  </c:pt>
                  <c:pt idx="6">
                    <c:v>0.57929397609006039</c:v>
                  </c:pt>
                  <c:pt idx="7">
                    <c:v>2.7509188130808517E-2</c:v>
                  </c:pt>
                  <c:pt idx="8">
                    <c:v>1.8455018118812477E-2</c:v>
                  </c:pt>
                  <c:pt idx="9">
                    <c:v>5.3489634498886267E-2</c:v>
                  </c:pt>
                  <c:pt idx="10">
                    <c:v>3.5391793409966781E-2</c:v>
                  </c:pt>
                  <c:pt idx="11">
                    <c:v>3.2496133756604532E-2</c:v>
                  </c:pt>
                  <c:pt idx="13">
                    <c:v>0.3125171419020728</c:v>
                  </c:pt>
                  <c:pt idx="14">
                    <c:v>0.72598424768853176</c:v>
                  </c:pt>
                  <c:pt idx="15">
                    <c:v>1.8798115221922231E-2</c:v>
                  </c:pt>
                  <c:pt idx="16">
                    <c:v>0.37279386154753763</c:v>
                  </c:pt>
                  <c:pt idx="17">
                    <c:v>0.29514730615170026</c:v>
                  </c:pt>
                  <c:pt idx="18">
                    <c:v>0.36021362254270267</c:v>
                  </c:pt>
                  <c:pt idx="19">
                    <c:v>0.18807223510333171</c:v>
                  </c:pt>
                  <c:pt idx="20">
                    <c:v>0.51237377590226918</c:v>
                  </c:pt>
                </c:numCache>
              </c:numRef>
            </c:plus>
            <c:minus>
              <c:numRef>
                <c:f>'R1'!$N$48:$V$48</c:f>
                <c:numCache>
                  <c:formatCode>General</c:formatCode>
                  <c:ptCount val="9"/>
                  <c:pt idx="0">
                    <c:v>0</c:v>
                  </c:pt>
                  <c:pt idx="1">
                    <c:v>0.24076090351031579</c:v>
                  </c:pt>
                  <c:pt idx="2">
                    <c:v>0.25586902757649799</c:v>
                  </c:pt>
                  <c:pt idx="3">
                    <c:v>1.2642337006416728E-2</c:v>
                  </c:pt>
                  <c:pt idx="4">
                    <c:v>0.38764617891778497</c:v>
                  </c:pt>
                  <c:pt idx="5">
                    <c:v>0.47668285649374698</c:v>
                  </c:pt>
                  <c:pt idx="6">
                    <c:v>0.24799311556393241</c:v>
                  </c:pt>
                  <c:pt idx="7">
                    <c:v>0.18157772391646718</c:v>
                  </c:pt>
                  <c:pt idx="8">
                    <c:v>0.24682339055413044</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'R3'!$B$53:$V$53</c:f>
              <c:numCache>
                <c:formatCode>0.0000</c:formatCode>
                <c:ptCount val="21"/>
                <c:pt idx="0">
                  <c:v>8.5059109805423028E-2</c:v>
                </c:pt>
                <c:pt idx="1">
                  <c:v>0.13785041726169631</c:v>
                </c:pt>
                <c:pt idx="2">
                  <c:v>0.18186338784923781</c:v>
                </c:pt>
                <c:pt idx="3">
                  <c:v>1.4950741163469687</c:v>
                </c:pt>
                <c:pt idx="4">
                  <c:v>2.6180646823675859</c:v>
                </c:pt>
                <c:pt idx="5">
                  <c:v>4.237728223729933</c:v>
                </c:pt>
                <c:pt idx="6">
                  <c:v>5.9090668907062867</c:v>
                </c:pt>
                <c:pt idx="7">
                  <c:v>0.11278060145928183</c:v>
                </c:pt>
                <c:pt idx="8">
                  <c:v>7.9987225386640742E-2</c:v>
                </c:pt>
                <c:pt idx="9">
                  <c:v>0.12482727960616449</c:v>
                </c:pt>
                <c:pt idx="10">
                  <c:v>0.10345106905730973</c:v>
                </c:pt>
                <c:pt idx="11">
                  <c:v>0.12317412850462627</c:v>
                </c:pt>
                <c:pt idx="13">
                  <c:v>0.99999999999999978</c:v>
                </c:pt>
                <c:pt idx="14">
                  <c:v>4.8609579145443682</c:v>
                </c:pt>
                <c:pt idx="15">
                  <c:v>0.1023886712406073</c:v>
                </c:pt>
                <c:pt idx="16">
                  <c:v>0.99039153101200694</c:v>
                </c:pt>
                <c:pt idx="17">
                  <c:v>0.63614068768792209</c:v>
                </c:pt>
                <c:pt idx="18">
                  <c:v>1.1963367344531686</c:v>
                </c:pt>
                <c:pt idx="19">
                  <c:v>0.85525419484551601</c:v>
                </c:pt>
                <c:pt idx="20">
                  <c:v>1.7887127581007198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305CA55D-E7B3-4083-B740-D0BD7265BFC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CEB638BC-CBCA-4A9D-91F6-00D5AD8D3F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B3B2F41D-3CC6-410F-8EB6-662E9DE160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094E9CE4-A566-4AE6-8BD3-B4D1741A6E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91240474-4E3A-4913-AA95-05AC5DCDF3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ADB1C5DE-0EDB-4EC6-8AEB-3488B2809F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D862044D-BCA3-4483-833A-05DF415A42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681687C-C385-416F-AA87-8AD212E4DC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CCF84A2B-94E4-48B3-ADC0-4EBE29E0B6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3CF32F38-B4E5-4D78-9993-8FA4A35AE1D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E5581E47-33C2-4CEB-A226-B14C251E61A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E0CB806A-80DC-4433-9667-5082ED2E7C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AD5C6AF5-0AEC-4167-A53A-6324A75B3B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2EF00E66-7EA8-40C0-81CB-2825A04061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9BDC1E94-B5AC-4D7C-90DD-2A36A4B620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D09BE4F4-0DDB-46CE-ABFC-9963F1200B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834F4550-7D19-4216-A34E-6863881338A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CA31E76E-55B7-4140-9A26-4D1DE17DC6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AD4A5B8B-A25F-4F49-AF7E-BE350ADFAE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DB187204-3EC7-4E84-ADAD-B324D087F3B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3.0712026401181976E-2</c:v>
                  </c:pt>
                  <c:pt idx="1">
                    <c:v>5.5626999473382788E-2</c:v>
                  </c:pt>
                  <c:pt idx="2">
                    <c:v>7.2459623098953554E-2</c:v>
                  </c:pt>
                  <c:pt idx="3">
                    <c:v>0.49096172156874646</c:v>
                  </c:pt>
                  <c:pt idx="4">
                    <c:v>0.87818956053338149</c:v>
                  </c:pt>
                  <c:pt idx="5">
                    <c:v>1.0633825578728027</c:v>
                  </c:pt>
                  <c:pt idx="6">
                    <c:v>1.8623597071701008</c:v>
                  </c:pt>
                  <c:pt idx="7">
                    <c:v>2.4954822183503166E-2</c:v>
                  </c:pt>
                  <c:pt idx="8">
                    <c:v>2.1594355410903397E-2</c:v>
                  </c:pt>
                  <c:pt idx="9">
                    <c:v>2.1949972773304988E-2</c:v>
                  </c:pt>
                  <c:pt idx="10">
                    <c:v>3.1727506669353235E-2</c:v>
                  </c:pt>
                  <c:pt idx="11">
                    <c:v>1.408133669661063E-2</c:v>
                  </c:pt>
                  <c:pt idx="13">
                    <c:v>0.14400314619892318</c:v>
                  </c:pt>
                  <c:pt idx="14">
                    <c:v>0.79968702371687139</c:v>
                  </c:pt>
                  <c:pt idx="15">
                    <c:v>2.1535330824563818E-2</c:v>
                  </c:pt>
                  <c:pt idx="16">
                    <c:v>0.48264678023702146</c:v>
                  </c:pt>
                  <c:pt idx="17">
                    <c:v>0.25232446343590931</c:v>
                  </c:pt>
                  <c:pt idx="18">
                    <c:v>0.23748642378778226</c:v>
                  </c:pt>
                  <c:pt idx="19">
                    <c:v>0.53707622314155257</c:v>
                  </c:pt>
                  <c:pt idx="20">
                    <c:v>0.28067343412657569</c:v>
                  </c:pt>
                </c:numCache>
              </c:numRef>
            </c:plus>
            <c:minus>
              <c:numRef>
                <c:f>'pooled normalised values'!$B$76:$V$76</c:f>
                <c:numCache>
                  <c:formatCode>General</c:formatCode>
                  <c:ptCount val="21"/>
                  <c:pt idx="0">
                    <c:v>3.0712026401181976E-2</c:v>
                  </c:pt>
                  <c:pt idx="1">
                    <c:v>5.5626999473382788E-2</c:v>
                  </c:pt>
                  <c:pt idx="2">
                    <c:v>7.2459623098953554E-2</c:v>
                  </c:pt>
                  <c:pt idx="3">
                    <c:v>0.49096172156874646</c:v>
                  </c:pt>
                  <c:pt idx="4">
                    <c:v>0.87818956053338149</c:v>
                  </c:pt>
                  <c:pt idx="5">
                    <c:v>1.0633825578728027</c:v>
                  </c:pt>
                  <c:pt idx="6">
                    <c:v>1.8623597071701008</c:v>
                  </c:pt>
                  <c:pt idx="7">
                    <c:v>2.4954822183503166E-2</c:v>
                  </c:pt>
                  <c:pt idx="8">
                    <c:v>2.1594355410903397E-2</c:v>
                  </c:pt>
                  <c:pt idx="9">
                    <c:v>2.1949972773304988E-2</c:v>
                  </c:pt>
                  <c:pt idx="10">
                    <c:v>3.1727506669353235E-2</c:v>
                  </c:pt>
                  <c:pt idx="11">
                    <c:v>1.408133669661063E-2</c:v>
                  </c:pt>
                  <c:pt idx="13">
                    <c:v>0.14400314619892318</c:v>
                  </c:pt>
                  <c:pt idx="14">
                    <c:v>0.79968702371687139</c:v>
                  </c:pt>
                  <c:pt idx="15">
                    <c:v>2.1535330824563818E-2</c:v>
                  </c:pt>
                  <c:pt idx="16">
                    <c:v>0.48264678023702146</c:v>
                  </c:pt>
                  <c:pt idx="17">
                    <c:v>0.25232446343590931</c:v>
                  </c:pt>
                  <c:pt idx="18">
                    <c:v>0.23748642378778226</c:v>
                  </c:pt>
                  <c:pt idx="19">
                    <c:v>0.53707622314155257</c:v>
                  </c:pt>
                  <c:pt idx="20">
                    <c:v>0.28067343412657569</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Cefuroxime-0,001mg/L</c:v>
                </c:pt>
                <c:pt idx="8">
                  <c:v>Cefuroxime-0,01mg/L</c:v>
                </c:pt>
                <c:pt idx="9">
                  <c:v>Cefuroxime-0,1mg/L</c:v>
                </c:pt>
                <c:pt idx="10">
                  <c:v>Cefuroxime-1mg/L</c:v>
                </c:pt>
                <c:pt idx="11">
                  <c:v>Cefuroxime-10mg/L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'pooled normalised values'!$B$75:$V$75</c:f>
              <c:numCache>
                <c:formatCode>0.0000</c:formatCode>
                <c:ptCount val="21"/>
                <c:pt idx="0">
                  <c:v>0.10119946185718116</c:v>
                </c:pt>
                <c:pt idx="1">
                  <c:v>0.17783878053003865</c:v>
                </c:pt>
                <c:pt idx="2">
                  <c:v>0.31657494000612535</c:v>
                </c:pt>
                <c:pt idx="3">
                  <c:v>2.1085051743502969</c:v>
                </c:pt>
                <c:pt idx="4">
                  <c:v>4.5404716190190131</c:v>
                </c:pt>
                <c:pt idx="5">
                  <c:v>7.0768578511721154</c:v>
                </c:pt>
                <c:pt idx="6">
                  <c:v>10.315400223800392</c:v>
                </c:pt>
                <c:pt idx="7">
                  <c:v>0.12462479902465139</c:v>
                </c:pt>
                <c:pt idx="8">
                  <c:v>9.3696696004213584E-2</c:v>
                </c:pt>
                <c:pt idx="9">
                  <c:v>0.10125908646081828</c:v>
                </c:pt>
                <c:pt idx="10">
                  <c:v>0.12004147495821497</c:v>
                </c:pt>
                <c:pt idx="11">
                  <c:v>7.932206758628714E-2</c:v>
                </c:pt>
                <c:pt idx="13">
                  <c:v>1.0000000000000002</c:v>
                </c:pt>
                <c:pt idx="14">
                  <c:v>5.8404807240259808</c:v>
                </c:pt>
                <c:pt idx="15">
                  <c:v>0.11034480906674397</c:v>
                </c:pt>
                <c:pt idx="16">
                  <c:v>1.7958463684876702</c:v>
                </c:pt>
                <c:pt idx="17">
                  <c:v>0.92582622885313515</c:v>
                </c:pt>
                <c:pt idx="18">
                  <c:v>1.1539971142514385</c:v>
                </c:pt>
                <c:pt idx="19">
                  <c:v>1.4642888607937319</c:v>
                </c:pt>
                <c:pt idx="20">
                  <c:v>1.4563375963639018</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8E3847C5-39E1-42CC-91A0-3DC44074B3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429AE675-FF50-41A7-B82D-A2EB70DC34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13F56472-ED44-4C83-A24B-7D0D365FB4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8B9550EB-709B-4344-AD0C-38AF220CE8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C6365E13-19AE-42D1-AE85-E3002E2EFF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79D0BCE4-B3ED-42A2-B4DC-FCDB4C5C15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6E232760-77AF-4F75-B896-C28BBFB4D4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D48D2191-18B3-4DE8-B2E7-343EA9DAD4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B93C2872-49AD-4C38-8EEA-6253D54238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F0636FC4-711E-4B8F-8577-900131C6AC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1CBAFF51-B102-4E03-AAE9-3F16AC56338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33E85FF7-9F89-4813-9E25-F9668FBDC6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01560449-AF62-436D-BE61-3FAE2541E83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361402DD-CCA5-4FE1-ADCE-7CC0B3E0B7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2.1594355410903397E-2</c:v>
                  </c:pt>
                  <c:pt idx="2">
                    <c:v>2.1949972773304988E-2</c:v>
                  </c:pt>
                  <c:pt idx="3">
                    <c:v>3.1727506669353235E-2</c:v>
                  </c:pt>
                  <c:pt idx="4">
                    <c:v>1.408133669661063E-2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2.1594355410903397E-2</c:v>
                  </c:pt>
                  <c:pt idx="2">
                    <c:v>2.1949972773304988E-2</c:v>
                  </c:pt>
                  <c:pt idx="3">
                    <c:v>3.1727506669353235E-2</c:v>
                  </c:pt>
                  <c:pt idx="4">
                    <c:v>1.408133669661063E-2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9.3696696004213584E-2</c:v>
                </c:pt>
                <c:pt idx="2">
                  <c:v>0.10125908646081828</c:v>
                </c:pt>
                <c:pt idx="3">
                  <c:v>0.12004147495821497</c:v>
                </c:pt>
                <c:pt idx="4">
                  <c:v>7.932206758628714E-2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0.10119946185718116</c:v>
                </c:pt>
                <c:pt idx="1">
                  <c:v>0.10119946185718116</c:v>
                </c:pt>
                <c:pt idx="2">
                  <c:v>0.10119946185718116</c:v>
                </c:pt>
                <c:pt idx="3">
                  <c:v>0.10119946185718116</c:v>
                </c:pt>
                <c:pt idx="4">
                  <c:v>0.10119946185718116</c:v>
                </c:pt>
                <c:pt idx="5">
                  <c:v>0.10119946185718116</c:v>
                </c:pt>
                <c:pt idx="6">
                  <c:v>0.10119946185718116</c:v>
                </c:pt>
                <c:pt idx="7">
                  <c:v>0.10119946185718116</c:v>
                </c:pt>
                <c:pt idx="8">
                  <c:v>0.10119946185718116</c:v>
                </c:pt>
                <c:pt idx="9">
                  <c:v>0.10119946185718116</c:v>
                </c:pt>
                <c:pt idx="10">
                  <c:v>0.10119946185718116</c:v>
                </c:pt>
                <c:pt idx="11">
                  <c:v>0.10119946185718116</c:v>
                </c:pt>
                <c:pt idx="12">
                  <c:v>0.10119946185718116</c:v>
                </c:pt>
                <c:pt idx="13">
                  <c:v>0.10119946185718116</c:v>
                </c:pt>
                <c:pt idx="14">
                  <c:v>0.10119946185718116</c:v>
                </c:pt>
                <c:pt idx="15">
                  <c:v>0.10119946185718116</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0.11034480906674397</c:v>
                </c:pt>
                <c:pt idx="1">
                  <c:v>0.11034480906674397</c:v>
                </c:pt>
                <c:pt idx="2">
                  <c:v>0.11034480906674397</c:v>
                </c:pt>
                <c:pt idx="3">
                  <c:v>0.11034480906674397</c:v>
                </c:pt>
                <c:pt idx="4">
                  <c:v>0.11034480906674397</c:v>
                </c:pt>
                <c:pt idx="5">
                  <c:v>0.11034480906674397</c:v>
                </c:pt>
                <c:pt idx="6">
                  <c:v>0.11034480906674397</c:v>
                </c:pt>
                <c:pt idx="7">
                  <c:v>0.11034480906674397</c:v>
                </c:pt>
                <c:pt idx="8">
                  <c:v>0.11034480906674397</c:v>
                </c:pt>
                <c:pt idx="9">
                  <c:v>0.11034480906674397</c:v>
                </c:pt>
                <c:pt idx="10">
                  <c:v>0.11034480906674397</c:v>
                </c:pt>
                <c:pt idx="11">
                  <c:v>0.11034480906674397</c:v>
                </c:pt>
                <c:pt idx="12">
                  <c:v>0.11034480906674397</c:v>
                </c:pt>
                <c:pt idx="13">
                  <c:v>0.11034480906674397</c:v>
                </c:pt>
                <c:pt idx="14">
                  <c:v>0.11034480906674397</c:v>
                </c:pt>
                <c:pt idx="15">
                  <c:v>0.11034480906674397</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5.730135914959237</c:v>
                </c:pt>
                <c:pt idx="1">
                  <c:v>5.730135914959237</c:v>
                </c:pt>
                <c:pt idx="2">
                  <c:v>5.730135914959237</c:v>
                </c:pt>
                <c:pt idx="3">
                  <c:v>5.730135914959237</c:v>
                </c:pt>
                <c:pt idx="4">
                  <c:v>5.730135914959237</c:v>
                </c:pt>
                <c:pt idx="5">
                  <c:v>5.730135914959237</c:v>
                </c:pt>
                <c:pt idx="6">
                  <c:v>5.730135914959237</c:v>
                </c:pt>
                <c:pt idx="7">
                  <c:v>5.730135914959237</c:v>
                </c:pt>
                <c:pt idx="8">
                  <c:v>5.730135914959237</c:v>
                </c:pt>
                <c:pt idx="9">
                  <c:v>5.730135914959237</c:v>
                </c:pt>
                <c:pt idx="10">
                  <c:v>5.730135914959237</c:v>
                </c:pt>
                <c:pt idx="11">
                  <c:v>5.730135914959237</c:v>
                </c:pt>
                <c:pt idx="12">
                  <c:v>5.730135914959237</c:v>
                </c:pt>
                <c:pt idx="13">
                  <c:v>5.730135914959237</c:v>
                </c:pt>
                <c:pt idx="14">
                  <c:v>5.730135914959237</c:v>
                </c:pt>
                <c:pt idx="15">
                  <c:v>5.730135914959237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-3.230135914959237</c:v>
                </c:pt>
                <c:pt idx="1">
                  <c:v>-3.230135914959237</c:v>
                </c:pt>
                <c:pt idx="2">
                  <c:v>-3.230135914959237</c:v>
                </c:pt>
                <c:pt idx="3">
                  <c:v>-3.230135914959237</c:v>
                </c:pt>
                <c:pt idx="4">
                  <c:v>-3.230135914959237</c:v>
                </c:pt>
                <c:pt idx="5">
                  <c:v>-3.230135914959237</c:v>
                </c:pt>
                <c:pt idx="6">
                  <c:v>-3.230135914959237</c:v>
                </c:pt>
                <c:pt idx="7">
                  <c:v>-3.230135914959237</c:v>
                </c:pt>
                <c:pt idx="8">
                  <c:v>-3.230135914959237</c:v>
                </c:pt>
                <c:pt idx="9">
                  <c:v>-3.230135914959237</c:v>
                </c:pt>
                <c:pt idx="10">
                  <c:v>-3.230135914959237</c:v>
                </c:pt>
                <c:pt idx="11">
                  <c:v>-3.230135914959237</c:v>
                </c:pt>
                <c:pt idx="12">
                  <c:v>-3.230135914959237</c:v>
                </c:pt>
                <c:pt idx="13">
                  <c:v>-3.230135914959237</c:v>
                </c:pt>
                <c:pt idx="14">
                  <c:v>-3.230135914959237</c:v>
                </c:pt>
                <c:pt idx="15">
                  <c:v>-3.230135914959237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113A5FD-D2F0-4703-A9E2-5132C2DD25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C8DFD8DA-9BA6-4816-BCE2-3596696E33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AE6D1FB0-596A-4EFA-9761-8002959CCA3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0F5CC911-4E34-476B-9911-70D36BD86A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23D62B13-BEEB-4110-A852-412974D450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4895324E-56E0-400C-90CC-1B2AFC4DA28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665E21CF-5E84-45A9-A858-A0CD255FD0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39F864A7-DECF-4734-9F93-54E72FA288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F99E9392-3692-4CA9-908A-FE56F8C627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8F9AA601-8D46-4203-AA74-F43443DDA8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EFD4108F-0565-4C96-B057-ABB27BD054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F5F632DC-06CC-4938-80B9-008D1A1FAF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50BA808E-5C32-47C8-8570-FD25539FB3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2C0BC53E-775D-40E9-847D-4685E28E8B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0.48264678023702146</c:v>
                  </c:pt>
                  <c:pt idx="2">
                    <c:v>0.25232446343590931</c:v>
                  </c:pt>
                  <c:pt idx="3">
                    <c:v>0.23748642378778226</c:v>
                  </c:pt>
                  <c:pt idx="4">
                    <c:v>0.53707622314155257</c:v>
                  </c:pt>
                  <c:pt idx="5">
                    <c:v>0.28067343412657569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0.48264678023702146</c:v>
                  </c:pt>
                  <c:pt idx="2">
                    <c:v>0.25232446343590931</c:v>
                  </c:pt>
                  <c:pt idx="3">
                    <c:v>0.23748642378778226</c:v>
                  </c:pt>
                  <c:pt idx="4">
                    <c:v>0.53707622314155257</c:v>
                  </c:pt>
                  <c:pt idx="5">
                    <c:v>0.28067343412657569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1.7958463684876702</c:v>
                </c:pt>
                <c:pt idx="2">
                  <c:v>0.92582622885313515</c:v>
                </c:pt>
                <c:pt idx="3">
                  <c:v>1.1539971142514385</c:v>
                </c:pt>
                <c:pt idx="4">
                  <c:v>1.4642888607937319</c:v>
                </c:pt>
                <c:pt idx="5">
                  <c:v>1.4563375963639018</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541DD119-2CDB-4EAF-B054-EBEDAEF1BC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C9886B24-CBA7-4D2B-8844-8B35A0F5D5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35C84DB7-9BBF-4AB8-8D5F-9E93CC40FA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97A336F1-C104-446B-A698-288139C74B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769A933C-9DB0-4269-8A54-E698D4B829C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D99CEB91-1F23-41BB-B8AE-7921F12AA7F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E0D75989-E74C-4DE6-B218-72A1BAD5292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100A9C6F-7FE5-4333-A346-64A2D80924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799C3555-0D38-4E13-8737-E9BFFC35F7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AD99CE88-FE97-4B1F-B472-BDD9B38817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CDCA2849-5739-4DA3-981C-978D8A4A0AB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AFD0628-D6D7-40A4-8DC7-F9CF540802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1C347173-9275-4F80-B962-37A7CC090A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EEEAD7FD-C357-4EEB-84B7-DA315BEA95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2.1594355410903397E-2</c:v>
                  </c:pt>
                  <c:pt idx="2">
                    <c:v>2.1949972773304988E-2</c:v>
                  </c:pt>
                  <c:pt idx="3">
                    <c:v>3.1727506669353235E-2</c:v>
                  </c:pt>
                  <c:pt idx="4">
                    <c:v>1.408133669661063E-2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2.1594355410903397E-2</c:v>
                  </c:pt>
                  <c:pt idx="2">
                    <c:v>2.1949972773304988E-2</c:v>
                  </c:pt>
                  <c:pt idx="3">
                    <c:v>3.1727506669353235E-2</c:v>
                  </c:pt>
                  <c:pt idx="4">
                    <c:v>1.408133669661063E-2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Cefuroxime-0,01mg/L</c:v>
                </c:pt>
                <c:pt idx="2">
                  <c:v>Cefuroxime-0,1mg/L</c:v>
                </c:pt>
                <c:pt idx="3">
                  <c:v>Cefuroxime-1mg/L</c:v>
                </c:pt>
                <c:pt idx="4">
                  <c:v>Cefuroxime-10mg/L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9.3696696004213584E-2</c:v>
                </c:pt>
                <c:pt idx="2">
                  <c:v>0.10125908646081828</c:v>
                </c:pt>
                <c:pt idx="3">
                  <c:v>0.12004147495821497</c:v>
                </c:pt>
                <c:pt idx="4">
                  <c:v>7.932206758628714E-2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0.10119946185718116</c:v>
                </c:pt>
                <c:pt idx="1">
                  <c:v>0.10119946185718116</c:v>
                </c:pt>
                <c:pt idx="2">
                  <c:v>0.10119946185718116</c:v>
                </c:pt>
                <c:pt idx="3">
                  <c:v>0.10119946185718116</c:v>
                </c:pt>
                <c:pt idx="4">
                  <c:v>0.10119946185718116</c:v>
                </c:pt>
                <c:pt idx="5">
                  <c:v>0.10119946185718116</c:v>
                </c:pt>
                <c:pt idx="6">
                  <c:v>0.10119946185718116</c:v>
                </c:pt>
                <c:pt idx="7">
                  <c:v>0.10119946185718116</c:v>
                </c:pt>
                <c:pt idx="8">
                  <c:v>0.10119946185718116</c:v>
                </c:pt>
                <c:pt idx="9">
                  <c:v>0.10119946185718116</c:v>
                </c:pt>
                <c:pt idx="10">
                  <c:v>0.10119946185718116</c:v>
                </c:pt>
                <c:pt idx="11">
                  <c:v>0.10119946185718116</c:v>
                </c:pt>
                <c:pt idx="12">
                  <c:v>0.10119946185718116</c:v>
                </c:pt>
                <c:pt idx="13">
                  <c:v>0.10119946185718116</c:v>
                </c:pt>
                <c:pt idx="14">
                  <c:v>0.10119946185718116</c:v>
                </c:pt>
                <c:pt idx="15">
                  <c:v>0.10119946185718116</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0.11034480906674397</c:v>
                </c:pt>
                <c:pt idx="1">
                  <c:v>0.11034480906674397</c:v>
                </c:pt>
                <c:pt idx="2">
                  <c:v>0.11034480906674397</c:v>
                </c:pt>
                <c:pt idx="3">
                  <c:v>0.11034480906674397</c:v>
                </c:pt>
                <c:pt idx="4">
                  <c:v>0.11034480906674397</c:v>
                </c:pt>
                <c:pt idx="5">
                  <c:v>0.11034480906674397</c:v>
                </c:pt>
                <c:pt idx="6">
                  <c:v>0.11034480906674397</c:v>
                </c:pt>
                <c:pt idx="7">
                  <c:v>0.11034480906674397</c:v>
                </c:pt>
                <c:pt idx="8">
                  <c:v>0.11034480906674397</c:v>
                </c:pt>
                <c:pt idx="9">
                  <c:v>0.11034480906674397</c:v>
                </c:pt>
                <c:pt idx="10">
                  <c:v>0.11034480906674397</c:v>
                </c:pt>
                <c:pt idx="11">
                  <c:v>0.11034480906674397</c:v>
                </c:pt>
                <c:pt idx="12">
                  <c:v>0.11034480906674397</c:v>
                </c:pt>
                <c:pt idx="13">
                  <c:v>0.11034480906674397</c:v>
                </c:pt>
                <c:pt idx="14">
                  <c:v>0.11034480906674397</c:v>
                </c:pt>
                <c:pt idx="15">
                  <c:v>0.11034480906674397</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5.730135914959237</c:v>
                </c:pt>
                <c:pt idx="1">
                  <c:v>5.730135914959237</c:v>
                </c:pt>
                <c:pt idx="2">
                  <c:v>5.730135914959237</c:v>
                </c:pt>
                <c:pt idx="3">
                  <c:v>5.730135914959237</c:v>
                </c:pt>
                <c:pt idx="4">
                  <c:v>5.730135914959237</c:v>
                </c:pt>
                <c:pt idx="5">
                  <c:v>5.730135914959237</c:v>
                </c:pt>
                <c:pt idx="6">
                  <c:v>5.730135914959237</c:v>
                </c:pt>
                <c:pt idx="7">
                  <c:v>5.730135914959237</c:v>
                </c:pt>
                <c:pt idx="8">
                  <c:v>5.730135914959237</c:v>
                </c:pt>
                <c:pt idx="9">
                  <c:v>5.730135914959237</c:v>
                </c:pt>
                <c:pt idx="10">
                  <c:v>5.730135914959237</c:v>
                </c:pt>
                <c:pt idx="11">
                  <c:v>5.730135914959237</c:v>
                </c:pt>
                <c:pt idx="12">
                  <c:v>5.730135914959237</c:v>
                </c:pt>
                <c:pt idx="13">
                  <c:v>5.730135914959237</c:v>
                </c:pt>
                <c:pt idx="14">
                  <c:v>5.730135914959237</c:v>
                </c:pt>
                <c:pt idx="15">
                  <c:v>5.730135914959237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-3.230135914959237</c:v>
                </c:pt>
                <c:pt idx="1">
                  <c:v>-3.230135914959237</c:v>
                </c:pt>
                <c:pt idx="2">
                  <c:v>-3.230135914959237</c:v>
                </c:pt>
                <c:pt idx="3">
                  <c:v>-3.230135914959237</c:v>
                </c:pt>
                <c:pt idx="4">
                  <c:v>-3.230135914959237</c:v>
                </c:pt>
                <c:pt idx="5">
                  <c:v>-3.230135914959237</c:v>
                </c:pt>
                <c:pt idx="6">
                  <c:v>-3.230135914959237</c:v>
                </c:pt>
                <c:pt idx="7">
                  <c:v>-3.230135914959237</c:v>
                </c:pt>
                <c:pt idx="8">
                  <c:v>-3.230135914959237</c:v>
                </c:pt>
                <c:pt idx="9">
                  <c:v>-3.230135914959237</c:v>
                </c:pt>
                <c:pt idx="10">
                  <c:v>-3.230135914959237</c:v>
                </c:pt>
                <c:pt idx="11">
                  <c:v>-3.230135914959237</c:v>
                </c:pt>
                <c:pt idx="12">
                  <c:v>-3.230135914959237</c:v>
                </c:pt>
                <c:pt idx="13">
                  <c:v>-3.230135914959237</c:v>
                </c:pt>
                <c:pt idx="14">
                  <c:v>-3.230135914959237</c:v>
                </c:pt>
                <c:pt idx="15">
                  <c:v>-3.230135914959237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6EA8A985-DD2A-49CF-8B81-9CEF4B5481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B25EF018-24B6-464A-84A6-9795857C34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2366E47B-3616-4370-A5FD-96F6AA6F32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607ED8BA-8CC6-43EB-A500-C998814AF8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0CE4BC77-5B18-4B27-BD08-6F4BA51C19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A211A5D0-2AEF-401E-9A78-8C344BE7FE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0092E583-897B-43FC-9C72-EBA748A8F2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37496B6A-2380-45BA-B259-71BD344D23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DA4326F5-958D-4081-BDF7-DC7231A225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CAA63803-D1B7-4EBC-8B87-5C07A6B875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191AC2F1-4CFF-4C45-AA7B-7B7E224550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2DAFD9F1-A560-4332-8104-1138F18EFD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EB6446E4-5A36-427C-9328-D336CBDA00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AAE43013-9B95-49EC-A9E2-2D217D35FE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0.48264678023702146</c:v>
                  </c:pt>
                  <c:pt idx="2">
                    <c:v>0.25232446343590931</c:v>
                  </c:pt>
                  <c:pt idx="3">
                    <c:v>0.23748642378778226</c:v>
                  </c:pt>
                  <c:pt idx="4">
                    <c:v>0.53707622314155257</c:v>
                  </c:pt>
                  <c:pt idx="5">
                    <c:v>0.28067343412657569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0.48264678023702146</c:v>
                  </c:pt>
                  <c:pt idx="2">
                    <c:v>0.25232446343590931</c:v>
                  </c:pt>
                  <c:pt idx="3">
                    <c:v>0.23748642378778226</c:v>
                  </c:pt>
                  <c:pt idx="4">
                    <c:v>0.53707622314155257</c:v>
                  </c:pt>
                  <c:pt idx="5">
                    <c:v>0.28067343412657569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1.7958463684876702</c:v>
                </c:pt>
                <c:pt idx="2">
                  <c:v>0.92582622885313515</c:v>
                </c:pt>
                <c:pt idx="3">
                  <c:v>1.1539971142514385</c:v>
                </c:pt>
                <c:pt idx="4">
                  <c:v>1.4642888607937319</c:v>
                </c:pt>
                <c:pt idx="5">
                  <c:v>1.4563375963639018</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Cefuroxime-0,01mg/L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3D0FC9B1-36E7-47CF-A446-55AA3C7A11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4CD78267-D2B4-492A-B618-77E0F75A93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2.1594355410903397E-2</c:v>
                  </c:pt>
                </c:numCache>
              </c:numRef>
            </c:plus>
            <c:minus>
              <c:numRef>
                <c:f>'Graph format rapport CHG 1éch'!$E$4:$G$4</c:f>
                <c:numCache>
                  <c:formatCode>General</c:formatCode>
                  <c:ptCount val="3"/>
                  <c:pt idx="1">
                    <c:v>2.1594355410903397E-2</c:v>
                  </c:pt>
                </c:numCache>
              </c:numRef>
            </c:minus>
          </c:errBars>
          <c:cat>
            <c:strRef>
              <c:f>'Graph format rapport CHG 1éch'!$E$2:$G$2</c:f>
              <c:strCache>
                <c:ptCount val="2"/>
                <c:pt idx="1">
                  <c:v>Cefuroxime-0,01mg/L</c:v>
                </c:pt>
              </c:strCache>
            </c:strRef>
          </c:cat>
          <c:val>
            <c:numRef>
              <c:f>'Graph format rapport CHG 1éch'!$E$3:$G$3</c:f>
              <c:numCache>
                <c:formatCode>General</c:formatCode>
                <c:ptCount val="3"/>
                <c:pt idx="1">
                  <c:v>9.3696696004213584E-2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0.10119946185718116</c:v>
                </c:pt>
                <c:pt idx="1">
                  <c:v>0.10119946185718116</c:v>
                </c:pt>
                <c:pt idx="2">
                  <c:v>0.10119946185718116</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1éch'!$H$8:$J$8</c:f>
              <c:numCache>
                <c:formatCode>General</c:formatCode>
                <c:ptCount val="3"/>
                <c:pt idx="0">
                  <c:v>0.11034480906674397</c:v>
                </c:pt>
                <c:pt idx="1">
                  <c:v>0.11034480906674397</c:v>
                </c:pt>
                <c:pt idx="2">
                  <c:v>0.11034480906674397</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Cefuroxime-0,001mg/L + Testostérone</c:v>
                </c:pt>
              </c:strCache>
            </c:strRef>
          </c:cat>
          <c:val>
            <c:numRef>
              <c:f>'Graph format rapport CHG 1éch'!$H$9:$J$9</c:f>
              <c:numCache>
                <c:formatCode>General</c:formatCode>
                <c:ptCount val="3"/>
                <c:pt idx="0">
                  <c:v>5.730135914959237</c:v>
                </c:pt>
                <c:pt idx="1">
                  <c:v>5.730135914959237</c:v>
                </c:pt>
                <c:pt idx="2">
                  <c:v>5.730135914959237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1éch'!$H$10:$J$10</c:f>
              <c:numCache>
                <c:formatCode>General</c:formatCode>
                <c:ptCount val="3"/>
                <c:pt idx="0">
                  <c:v>-3.230135914959237</c:v>
                </c:pt>
                <c:pt idx="1">
                  <c:v>-3.230135914959237</c:v>
                </c:pt>
                <c:pt idx="2">
                  <c:v>-3.230135914959237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3FFF4B8B-1A6D-484D-B722-69E24190EE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C8BE8FDE-FF22-4AEC-BE52-BE1E81029B1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0.48264678023702146</c:v>
                  </c:pt>
                </c:numCache>
              </c:numRef>
            </c:plus>
            <c:minus>
              <c:numRef>
                <c:f>'Graph format rapport CHG 1éch'!$H$4:$J$4</c:f>
                <c:numCache>
                  <c:formatCode>General</c:formatCode>
                  <c:ptCount val="3"/>
                  <c:pt idx="1">
                    <c:v>0.48264678023702146</c:v>
                  </c:pt>
                </c:numCache>
              </c:numRef>
            </c:minus>
          </c:errBars>
          <c:cat>
            <c:strRef>
              <c:f>'Graph format rapport CHG 1éch'!$H$2:$J$2</c:f>
              <c:strCache>
                <c:ptCount val="2"/>
                <c:pt idx="1">
                  <c:v>Cefuroxime-0,001mg/L + Testostérone</c:v>
                </c:pt>
              </c:strCache>
            </c:strRef>
          </c:cat>
          <c:val>
            <c:numRef>
              <c:f>'Graph format rapport CHG 1éch'!$H$3:$J$3</c:f>
              <c:numCache>
                <c:formatCode>General</c:formatCode>
                <c:ptCount val="3"/>
                <c:pt idx="1">
                  <c:v>1.7958463684876702</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Cefuroxime-0,001mg/L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Cefuroxime-0,01mg/L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Cefuroxime-0,01mg/L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1AF5769B-FF11-4CEB-A8C6-BAFFE217AF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873500BA-E1F8-418E-91B4-BD53788F7E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2.1594355410903397E-2</c:v>
                  </c:pt>
                </c:numCache>
              </c:numRef>
            </c:plus>
            <c:minus>
              <c:numRef>
                <c:f>'Graph format rapport CHG 1éch'!$E$4:$G$4</c:f>
                <c:numCache>
                  <c:formatCode>General</c:formatCode>
                  <c:ptCount val="3"/>
                  <c:pt idx="1">
                    <c:v>2.1594355410903397E-2</c:v>
                  </c:pt>
                </c:numCache>
              </c:numRef>
            </c:minus>
          </c:errBars>
          <c:cat>
            <c:strRef>
              <c:f>'Graph format rapport CHG 1éch'!$E$2:$G$2</c:f>
              <c:strCache>
                <c:ptCount val="2"/>
                <c:pt idx="1">
                  <c:v>Cefuroxime-0,01mg/L</c:v>
                </c:pt>
              </c:strCache>
            </c:strRef>
          </c:cat>
          <c:val>
            <c:numRef>
              <c:f>'Graph format rapport CHG 1éch'!$E$3:$G$3</c:f>
              <c:numCache>
                <c:formatCode>General</c:formatCode>
                <c:ptCount val="3"/>
                <c:pt idx="1">
                  <c:v>9.3696696004213584E-2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0.10119946185718116</c:v>
                </c:pt>
                <c:pt idx="1">
                  <c:v>0.10119946185718116</c:v>
                </c:pt>
                <c:pt idx="2">
                  <c:v>0.10119946185718116</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1éch'!$H$8:$J$8</c:f>
              <c:numCache>
                <c:formatCode>General</c:formatCode>
                <c:ptCount val="3"/>
                <c:pt idx="0">
                  <c:v>0.11034480906674397</c:v>
                </c:pt>
                <c:pt idx="1">
                  <c:v>0.11034480906674397</c:v>
                </c:pt>
                <c:pt idx="2">
                  <c:v>0.11034480906674397</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Cefuroxime-0,001mg/L + Testostérone</c:v>
                </c:pt>
              </c:strCache>
            </c:strRef>
          </c:cat>
          <c:val>
            <c:numRef>
              <c:f>'Graph format rapport CHG 1éch'!$H$9:$J$9</c:f>
              <c:numCache>
                <c:formatCode>General</c:formatCode>
                <c:ptCount val="3"/>
                <c:pt idx="0">
                  <c:v>5.730135914959237</c:v>
                </c:pt>
                <c:pt idx="1">
                  <c:v>5.730135914959237</c:v>
                </c:pt>
                <c:pt idx="2">
                  <c:v>5.730135914959237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1éch'!$H$10:$J$10</c:f>
              <c:numCache>
                <c:formatCode>General</c:formatCode>
                <c:ptCount val="3"/>
                <c:pt idx="0">
                  <c:v>-3.230135914959237</c:v>
                </c:pt>
                <c:pt idx="1">
                  <c:v>-3.230135914959237</c:v>
                </c:pt>
                <c:pt idx="2">
                  <c:v>-3.230135914959237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20152C6-64A6-4471-A5ED-52D39419C2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209DD8E1-02B0-4A55-A05F-CEFF1E535F9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0.48264678023702146</c:v>
                  </c:pt>
                </c:numCache>
              </c:numRef>
            </c:plus>
            <c:minus>
              <c:numRef>
                <c:f>'Graph format rapport CHG 1éch'!$H$4:$J$4</c:f>
                <c:numCache>
                  <c:formatCode>General</c:formatCode>
                  <c:ptCount val="3"/>
                  <c:pt idx="1">
                    <c:v>0.48264678023702146</c:v>
                  </c:pt>
                </c:numCache>
              </c:numRef>
            </c:minus>
          </c:errBars>
          <c:cat>
            <c:strRef>
              <c:f>'Graph format rapport CHG 1éch'!$H$2:$J$2</c:f>
              <c:strCache>
                <c:ptCount val="2"/>
                <c:pt idx="1">
                  <c:v>Cefuroxime-0,001mg/L + Testostérone</c:v>
                </c:pt>
              </c:strCache>
            </c:strRef>
          </c:cat>
          <c:val>
            <c:numRef>
              <c:f>'Graph format rapport CHG 1éch'!$H$3:$J$3</c:f>
              <c:numCache>
                <c:formatCode>General</c:formatCode>
                <c:ptCount val="3"/>
                <c:pt idx="1">
                  <c:v>1.7958463684876702</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Cefuroxime-0,001mg/L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6"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47"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46"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45"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44"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44"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7" zoomScale="55" zoomScaleNormal="55" workbookViewId="0">
      <selection activeCell="F15" sqref="F15"/>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5" t="s">
        <v>36</v>
      </c>
      <c r="B1" s="196"/>
      <c r="C1" s="196"/>
      <c r="D1" s="196"/>
      <c r="E1" s="196"/>
      <c r="F1" s="196"/>
      <c r="G1" s="196"/>
      <c r="H1" s="196"/>
      <c r="I1" s="197"/>
    </row>
    <row r="2" spans="1:9" ht="21" x14ac:dyDescent="0.5">
      <c r="A2" s="188" t="s">
        <v>17</v>
      </c>
      <c r="B2" s="42" t="s">
        <v>115</v>
      </c>
      <c r="C2" s="198"/>
      <c r="D2" s="199"/>
      <c r="E2" s="42" t="s">
        <v>21</v>
      </c>
      <c r="F2" s="210"/>
      <c r="G2" s="211"/>
      <c r="H2" s="211"/>
      <c r="I2" s="212"/>
    </row>
    <row r="3" spans="1:9" ht="21" x14ac:dyDescent="0.5">
      <c r="A3" s="189" t="s">
        <v>18</v>
      </c>
      <c r="B3" s="43" t="s">
        <v>115</v>
      </c>
      <c r="C3" s="200"/>
      <c r="D3" s="201"/>
      <c r="E3" s="43" t="s">
        <v>21</v>
      </c>
      <c r="F3" s="207"/>
      <c r="G3" s="208"/>
      <c r="H3" s="208"/>
      <c r="I3" s="209"/>
    </row>
    <row r="4" spans="1:9" ht="21.5" thickBot="1" x14ac:dyDescent="0.55000000000000004">
      <c r="A4" s="190" t="s">
        <v>22</v>
      </c>
      <c r="B4" s="178" t="s">
        <v>115</v>
      </c>
      <c r="C4" s="202"/>
      <c r="D4" s="203"/>
      <c r="E4" s="178" t="s">
        <v>21</v>
      </c>
      <c r="F4" s="204"/>
      <c r="G4" s="205"/>
      <c r="H4" s="205"/>
      <c r="I4" s="206"/>
    </row>
    <row r="5" spans="1:9" s="1" customFormat="1" ht="65.25" customHeight="1" thickBot="1" x14ac:dyDescent="0.4">
      <c r="A5" s="195" t="s">
        <v>37</v>
      </c>
      <c r="B5" s="196"/>
      <c r="C5" s="196"/>
      <c r="D5" s="196"/>
      <c r="E5" s="196"/>
      <c r="F5" s="196"/>
      <c r="G5" s="196"/>
      <c r="H5" s="196"/>
      <c r="I5" s="197"/>
    </row>
    <row r="6" spans="1:9" s="109" customFormat="1" ht="39" customHeight="1" x14ac:dyDescent="0.5">
      <c r="A6" s="75" t="s">
        <v>35</v>
      </c>
      <c r="B6" s="100" t="s">
        <v>7</v>
      </c>
      <c r="C6" s="64" t="s">
        <v>19</v>
      </c>
      <c r="D6" s="64" t="s">
        <v>75</v>
      </c>
      <c r="E6" s="157" t="s">
        <v>51</v>
      </c>
      <c r="F6" s="108"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5">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Cefuroxime-0,001mg/L</v>
      </c>
      <c r="B15" s="162" t="s">
        <v>167</v>
      </c>
      <c r="C15" s="163">
        <v>1E-3</v>
      </c>
      <c r="D15" s="164" t="s">
        <v>166</v>
      </c>
      <c r="E15" s="165" t="s">
        <v>168</v>
      </c>
      <c r="F15" s="110"/>
    </row>
    <row r="16" spans="1:9" s="111"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Cefuroxime-0,01mg/L</v>
      </c>
      <c r="B16" s="162" t="s">
        <v>167</v>
      </c>
      <c r="C16" s="105">
        <v>0.01</v>
      </c>
      <c r="D16" s="164" t="s">
        <v>166</v>
      </c>
      <c r="E16" s="165" t="s">
        <v>168</v>
      </c>
      <c r="F16" s="110"/>
    </row>
    <row r="17" spans="1:6" s="111"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Cefuroxime-0,1mg/L</v>
      </c>
      <c r="B17" s="162" t="s">
        <v>167</v>
      </c>
      <c r="C17" s="105">
        <v>0.1</v>
      </c>
      <c r="D17" s="164" t="s">
        <v>166</v>
      </c>
      <c r="E17" s="165" t="s">
        <v>168</v>
      </c>
      <c r="F17" s="110"/>
    </row>
    <row r="18" spans="1:6" s="111"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Cefuroxime-1mg/L</v>
      </c>
      <c r="B18" s="162" t="s">
        <v>167</v>
      </c>
      <c r="C18" s="105">
        <v>1</v>
      </c>
      <c r="D18" s="164" t="s">
        <v>166</v>
      </c>
      <c r="E18" s="165" t="s">
        <v>168</v>
      </c>
      <c r="F18" s="110"/>
    </row>
    <row r="19" spans="1:6" s="111"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Cefuroxime-10mg/L</v>
      </c>
      <c r="B19" s="162" t="s">
        <v>167</v>
      </c>
      <c r="C19" s="105">
        <v>10</v>
      </c>
      <c r="D19" s="164" t="s">
        <v>166</v>
      </c>
      <c r="E19" s="165" t="s">
        <v>168</v>
      </c>
      <c r="F19" s="110"/>
    </row>
    <row r="20" spans="1:6" s="111"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4">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5">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4">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4">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Cefuroxime-0,001mg/L + Testostérone</v>
      </c>
      <c r="B39" s="191" t="str">
        <f>B15</f>
        <v>Test</v>
      </c>
      <c r="C39" s="191">
        <f t="shared" ref="C39:E39" si="0">C15</f>
        <v>1E-3</v>
      </c>
      <c r="D39" s="191" t="str">
        <f t="shared" si="0"/>
        <v>mg/L</v>
      </c>
      <c r="E39" s="191" t="str">
        <f t="shared" si="0"/>
        <v>Cefuroxime</v>
      </c>
      <c r="F39" s="112" t="s">
        <v>50</v>
      </c>
    </row>
    <row r="40" spans="1:6" s="111" customFormat="1" ht="39" customHeight="1" x14ac:dyDescent="0.3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Cefuroxime-0,01mg/L + Testostérone</v>
      </c>
      <c r="B40" s="193" t="str">
        <f t="shared" ref="B40:E40" si="1">B16</f>
        <v>Test</v>
      </c>
      <c r="C40" s="193">
        <f t="shared" si="1"/>
        <v>0.01</v>
      </c>
      <c r="D40" s="193" t="str">
        <f t="shared" si="1"/>
        <v>mg/L</v>
      </c>
      <c r="E40" s="193" t="str">
        <f t="shared" si="1"/>
        <v>Cefuroxime</v>
      </c>
      <c r="F40" s="113" t="s">
        <v>50</v>
      </c>
    </row>
    <row r="41" spans="1:6" s="111" customFormat="1" ht="39" customHeight="1" x14ac:dyDescent="0.3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Cefuroxime-0,1mg/L + Testostérone</v>
      </c>
      <c r="B41" s="193" t="str">
        <f t="shared" ref="B41:E41" si="2">B17</f>
        <v>Test</v>
      </c>
      <c r="C41" s="193">
        <f t="shared" si="2"/>
        <v>0.1</v>
      </c>
      <c r="D41" s="193" t="str">
        <f t="shared" si="2"/>
        <v>mg/L</v>
      </c>
      <c r="E41" s="193" t="str">
        <f t="shared" si="2"/>
        <v>Cefuroxime</v>
      </c>
      <c r="F41" s="113" t="s">
        <v>50</v>
      </c>
    </row>
    <row r="42" spans="1:6" s="111" customFormat="1" ht="39" customHeight="1" x14ac:dyDescent="0.3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Cefuroxime-1mg/L + Testostérone</v>
      </c>
      <c r="B42" s="193" t="str">
        <f t="shared" ref="B42:E42" si="3">B18</f>
        <v>Test</v>
      </c>
      <c r="C42" s="193">
        <f t="shared" si="3"/>
        <v>1</v>
      </c>
      <c r="D42" s="193" t="str">
        <f t="shared" si="3"/>
        <v>mg/L</v>
      </c>
      <c r="E42" s="193" t="str">
        <f t="shared" si="3"/>
        <v>Cefuroxime</v>
      </c>
      <c r="F42" s="113" t="s">
        <v>50</v>
      </c>
    </row>
    <row r="43" spans="1:6" s="111" customFormat="1" ht="39" customHeight="1" x14ac:dyDescent="0.3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Cefuroxime-10mg/L + Testostérone</v>
      </c>
      <c r="B43" s="193" t="str">
        <f t="shared" ref="B43:E43" si="4">B19</f>
        <v>Test</v>
      </c>
      <c r="C43" s="193">
        <f t="shared" si="4"/>
        <v>10</v>
      </c>
      <c r="D43" s="193" t="str">
        <f t="shared" si="4"/>
        <v>mg/L</v>
      </c>
      <c r="E43" s="193" t="str">
        <f t="shared" si="4"/>
        <v>Cefuroxime</v>
      </c>
      <c r="F43" s="113" t="s">
        <v>50</v>
      </c>
    </row>
    <row r="44" spans="1:6" s="111" customFormat="1" ht="39" customHeight="1" x14ac:dyDescent="0.3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152</v>
      </c>
      <c r="B2" t="s">
        <v>163</v>
      </c>
      <c r="C2" t="s">
        <v>143</v>
      </c>
      <c r="D2" t="s">
        <v>146</v>
      </c>
      <c r="E2" t="s">
        <v>147</v>
      </c>
      <c r="F2" t="s">
        <v>112</v>
      </c>
      <c r="G2">
        <v>360268</v>
      </c>
    </row>
    <row r="3" spans="1:9" x14ac:dyDescent="0.35">
      <c r="A3" t="s">
        <v>152</v>
      </c>
      <c r="B3" t="s">
        <v>163</v>
      </c>
      <c r="C3" t="s">
        <v>144</v>
      </c>
      <c r="D3" t="s">
        <v>148</v>
      </c>
      <c r="E3" t="s">
        <v>149</v>
      </c>
      <c r="F3" t="s">
        <v>112</v>
      </c>
      <c r="G3">
        <v>372315</v>
      </c>
    </row>
    <row r="4" spans="1:9" x14ac:dyDescent="0.35">
      <c r="A4" t="s">
        <v>152</v>
      </c>
      <c r="B4" t="s">
        <v>163</v>
      </c>
      <c r="C4" t="s">
        <v>145</v>
      </c>
      <c r="D4" t="s">
        <v>150</v>
      </c>
      <c r="E4" t="s">
        <v>151</v>
      </c>
      <c r="F4" t="s">
        <v>112</v>
      </c>
      <c r="G4">
        <v>237626</v>
      </c>
    </row>
    <row r="5" spans="1:9" x14ac:dyDescent="0.35">
      <c r="A5" t="s">
        <v>152</v>
      </c>
      <c r="B5" t="s">
        <v>163</v>
      </c>
      <c r="C5" t="s">
        <v>160</v>
      </c>
      <c r="D5" t="s">
        <v>161</v>
      </c>
      <c r="E5" t="s">
        <v>162</v>
      </c>
      <c r="F5" t="s">
        <v>112</v>
      </c>
      <c r="G5">
        <v>1439015</v>
      </c>
    </row>
    <row r="6" spans="1:9" x14ac:dyDescent="0.35">
      <c r="A6" t="s">
        <v>152</v>
      </c>
      <c r="B6" t="s">
        <v>163</v>
      </c>
      <c r="C6" t="s">
        <v>157</v>
      </c>
      <c r="D6" t="s">
        <v>158</v>
      </c>
      <c r="E6" t="s">
        <v>159</v>
      </c>
      <c r="F6" t="s">
        <v>112</v>
      </c>
      <c r="G6">
        <v>1433586</v>
      </c>
    </row>
    <row r="7" spans="1:9" x14ac:dyDescent="0.3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5">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5">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5">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5">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5">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5">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5">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5">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5">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5">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5">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5">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5">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5">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5">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5">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5">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5">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5">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5">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5">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5">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5">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5">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5">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5">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5">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5">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5">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5">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5">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5">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5">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5">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5">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5">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5">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5">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5">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5">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5">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5">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5">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5">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5">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5">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5">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5">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5">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5">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5">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5">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5">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5">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5">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5">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5">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5">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5">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5">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5">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5">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5">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5">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5">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5">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5">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5">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5">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5">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5">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5">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5">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5">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5">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5">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5">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5">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5">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5">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5">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5">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5">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5">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5">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5">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5">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5">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5">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5">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5">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5">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5">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5">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5">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5">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5">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5">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5">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5">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5">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5">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5">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5">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5">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5">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5">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5">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5">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5">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5">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5">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5">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5">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5">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5">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5">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5">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5">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5">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5">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5">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5">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5">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5">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5">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5">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5">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5">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5">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5">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5">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5">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5">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5">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5">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5">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5">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5">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5">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5">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5">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5">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5">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5">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5">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5">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5">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5">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5">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5">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5">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5">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5">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5">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5">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5">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5">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5">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5">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5">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5">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5">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5">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5">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5">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5">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5">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5">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5">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5">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5">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5">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5">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5">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5">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5">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5">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5">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5">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5">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5">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5">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5">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5">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5">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5">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5">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5">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5">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5">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5">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5">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5">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5">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5">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5">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5">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5">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5">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5">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5">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5">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5">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5">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5">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5">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5">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5">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5">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5">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5">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5">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5">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5">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5">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5">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5">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5">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5">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5">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5">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5">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5">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5">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5">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5">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5">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5">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5">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5">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5">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5">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5">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5">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5">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5">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5">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5">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5">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5">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5">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5">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5">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5">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5">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5">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5">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5">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5">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5">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5">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5">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5">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5">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5">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5">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5">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5">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5">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5">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5">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5">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5">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5">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5">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5">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5">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5">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5">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5">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5">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5">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5">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5">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5">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5">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5">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5">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5">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5">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5">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5">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5">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5">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5">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5">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5">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5">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5">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5">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5">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5">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5">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5">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5">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5">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5">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5">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5">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5">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5">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5">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5">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5">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5">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5">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5">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5">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5">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5">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5">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5">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5">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5">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5">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5">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5">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5">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5">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5">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5">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5">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5">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5">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5">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5">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5">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5">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5">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5">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5">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5">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5">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5">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5">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5">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5">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5">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5">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5">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5">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5">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5">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5">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5">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5">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5">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5">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5">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5">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5">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5">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5">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5">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5">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5">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5">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5">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5">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5">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5">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5">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5">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5">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5">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5">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5">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5">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5">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5">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5">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5">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5">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5">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5">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5">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5">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5">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5">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5">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5">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N1" activePane="topRight" state="frozen"/>
      <selection pane="topRight" activeCell="Q5" sqref="Q5:Q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c r="A2"/>
      <c r="B2"/>
      <c r="C2"/>
      <c r="D2"/>
      <c r="E2"/>
      <c r="F2"/>
      <c r="G2"/>
      <c r="H2"/>
      <c r="I2"/>
      <c r="J2"/>
      <c r="K2"/>
      <c r="L2"/>
      <c r="M2"/>
      <c r="S2"/>
      <c r="T2"/>
      <c r="U2"/>
      <c r="V2"/>
    </row>
    <row r="3" spans="1:22" ht="15" thickBot="1" x14ac:dyDescent="0.4">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Cefuroxime-0,001mg/L</v>
      </c>
      <c r="J4" s="35" t="str">
        <f>'Page de garde'!A16</f>
        <v>Cefuroxime-0,01mg/L</v>
      </c>
      <c r="K4" s="35" t="str">
        <f>'Page de garde'!A17</f>
        <v>Cefuroxime-0,1mg/L</v>
      </c>
      <c r="L4" s="35" t="str">
        <f>'Page de garde'!A18</f>
        <v>Cefuroxime-1mg/L</v>
      </c>
      <c r="M4" s="35" t="str">
        <f>'Page de garde'!A19</f>
        <v>Cefuroxime-10mg/L</v>
      </c>
      <c r="N4" s="3"/>
      <c r="O4" s="36" t="str">
        <f>'Page de garde'!A36</f>
        <v>Testo -30µg/L</v>
      </c>
      <c r="P4" s="36" t="str">
        <f>'Page de garde'!A37</f>
        <v>Testo 30µg/L + EE2 -64ng/L</v>
      </c>
      <c r="Q4" s="36" t="str">
        <f>'Page de garde'!A38</f>
        <v>Testo 30µg/L + FAD-10µg/L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17" t="s">
        <v>33</v>
      </c>
      <c r="B5" s="1">
        <v>169681</v>
      </c>
      <c r="C5" s="1">
        <v>112330</v>
      </c>
      <c r="D5" s="1">
        <v>135380</v>
      </c>
      <c r="E5" s="1">
        <v>1789038</v>
      </c>
      <c r="F5" s="1">
        <v>2916176</v>
      </c>
      <c r="G5" s="1">
        <v>7232207</v>
      </c>
      <c r="H5" s="1">
        <v>8342427</v>
      </c>
      <c r="I5" s="1">
        <v>54162</v>
      </c>
      <c r="J5" s="1">
        <v>90254</v>
      </c>
      <c r="K5" s="1">
        <v>21312</v>
      </c>
      <c r="L5" s="1">
        <v>329293</v>
      </c>
      <c r="M5" s="1">
        <v>64177</v>
      </c>
      <c r="N5" s="3"/>
      <c r="O5" s="1">
        <v>2110795</v>
      </c>
      <c r="P5" s="1">
        <v>8566086</v>
      </c>
      <c r="Q5" s="1">
        <v>59236</v>
      </c>
      <c r="R5" s="1">
        <v>3914651</v>
      </c>
      <c r="S5" s="1">
        <v>192414</v>
      </c>
      <c r="T5" s="1">
        <v>40905</v>
      </c>
      <c r="U5" s="1">
        <v>1843233</v>
      </c>
      <c r="V5" s="1">
        <v>2356432</v>
      </c>
    </row>
    <row r="6" spans="1:22" x14ac:dyDescent="0.35">
      <c r="A6" s="218"/>
      <c r="B6" s="1">
        <v>41495</v>
      </c>
      <c r="C6" s="1">
        <v>37120</v>
      </c>
      <c r="D6" s="1">
        <v>1905490</v>
      </c>
      <c r="E6" s="1">
        <v>9007472</v>
      </c>
      <c r="F6" s="1">
        <v>6530692</v>
      </c>
      <c r="G6" s="1">
        <v>4903898</v>
      </c>
      <c r="H6" s="1">
        <v>12525669</v>
      </c>
      <c r="I6" s="1">
        <v>67270</v>
      </c>
      <c r="J6" s="1">
        <v>23621</v>
      </c>
      <c r="K6" s="1">
        <v>151986</v>
      </c>
      <c r="L6" s="1">
        <v>278723</v>
      </c>
      <c r="M6" s="1">
        <v>14102</v>
      </c>
      <c r="N6" s="3"/>
      <c r="O6" s="1">
        <v>1713058</v>
      </c>
      <c r="P6" s="1">
        <v>5496286</v>
      </c>
      <c r="Q6" s="1">
        <v>371232</v>
      </c>
      <c r="R6" s="1">
        <v>3899343</v>
      </c>
      <c r="S6" s="1">
        <v>3318358</v>
      </c>
      <c r="T6" s="1">
        <v>3146327</v>
      </c>
      <c r="U6" s="1">
        <v>3801014</v>
      </c>
      <c r="V6" s="1">
        <v>1276485</v>
      </c>
    </row>
    <row r="7" spans="1:22" x14ac:dyDescent="0.35">
      <c r="A7" s="218"/>
      <c r="B7" s="1">
        <v>3828</v>
      </c>
      <c r="C7" s="1">
        <v>55630</v>
      </c>
      <c r="D7" s="1">
        <v>143688</v>
      </c>
      <c r="E7" s="1">
        <v>47012</v>
      </c>
      <c r="F7" s="1">
        <v>807741</v>
      </c>
      <c r="G7" s="1">
        <v>4253161</v>
      </c>
      <c r="H7" s="1">
        <v>11831319</v>
      </c>
      <c r="I7" s="1">
        <v>118116</v>
      </c>
      <c r="J7" s="1">
        <v>336038</v>
      </c>
      <c r="K7" s="1">
        <v>1636</v>
      </c>
      <c r="L7" s="1">
        <v>113225</v>
      </c>
      <c r="M7" s="1">
        <v>25163</v>
      </c>
      <c r="N7" s="3"/>
      <c r="O7" s="1">
        <v>1511217</v>
      </c>
      <c r="P7" s="1">
        <v>7143725</v>
      </c>
      <c r="Q7" s="1">
        <v>81901</v>
      </c>
      <c r="R7" s="1">
        <v>10949341</v>
      </c>
      <c r="S7" s="1">
        <v>63866</v>
      </c>
      <c r="T7" s="1">
        <v>5345979</v>
      </c>
      <c r="U7" s="1">
        <v>130353</v>
      </c>
      <c r="V7" s="1">
        <v>1700428</v>
      </c>
    </row>
    <row r="8" spans="1:22" x14ac:dyDescent="0.35">
      <c r="A8" s="218"/>
      <c r="B8" s="1">
        <v>62184</v>
      </c>
      <c r="C8" s="1">
        <v>13553</v>
      </c>
      <c r="D8" s="1">
        <v>1707825</v>
      </c>
      <c r="E8" s="1">
        <v>133662</v>
      </c>
      <c r="F8" s="1">
        <v>2193690</v>
      </c>
      <c r="G8" s="1">
        <v>7068058</v>
      </c>
      <c r="H8" s="1">
        <v>7803907</v>
      </c>
      <c r="I8" s="1">
        <v>134327</v>
      </c>
      <c r="J8" s="1">
        <v>11864</v>
      </c>
      <c r="K8" s="1">
        <v>190803</v>
      </c>
      <c r="L8" s="1">
        <v>57765</v>
      </c>
      <c r="M8" s="1">
        <v>96556</v>
      </c>
      <c r="N8" s="3"/>
      <c r="O8" s="1">
        <v>83600</v>
      </c>
      <c r="P8" s="1">
        <v>3029339</v>
      </c>
      <c r="Q8" s="1">
        <v>116263</v>
      </c>
      <c r="R8" s="1">
        <v>3479596</v>
      </c>
      <c r="S8" s="1">
        <v>3884028</v>
      </c>
      <c r="T8" s="1">
        <v>183510</v>
      </c>
      <c r="U8" s="1">
        <v>1779142</v>
      </c>
      <c r="V8" s="1">
        <v>3332489</v>
      </c>
    </row>
    <row r="9" spans="1:22" x14ac:dyDescent="0.35">
      <c r="A9" s="218"/>
      <c r="B9" s="1">
        <v>53615</v>
      </c>
      <c r="C9" s="1">
        <v>154775</v>
      </c>
      <c r="D9" s="1">
        <v>92697</v>
      </c>
      <c r="E9" s="1">
        <v>370760</v>
      </c>
      <c r="F9" s="1">
        <v>237374</v>
      </c>
      <c r="G9" s="1">
        <v>7936873</v>
      </c>
      <c r="H9" s="1">
        <v>10266920</v>
      </c>
      <c r="I9" s="1">
        <v>87737</v>
      </c>
      <c r="J9" s="1">
        <v>127586</v>
      </c>
      <c r="K9" s="1">
        <v>134295</v>
      </c>
      <c r="L9" s="1">
        <v>29913</v>
      </c>
      <c r="M9" s="1">
        <v>232705</v>
      </c>
      <c r="N9" s="3"/>
      <c r="O9" s="1">
        <v>2699303</v>
      </c>
      <c r="P9" s="1">
        <v>9393827</v>
      </c>
      <c r="Q9" s="1">
        <v>109088</v>
      </c>
      <c r="R9" s="1">
        <v>759727</v>
      </c>
      <c r="S9" s="1">
        <v>197813</v>
      </c>
      <c r="T9" s="1">
        <v>728794</v>
      </c>
      <c r="U9" s="1">
        <v>1562575</v>
      </c>
      <c r="V9" s="1">
        <v>2348591</v>
      </c>
    </row>
    <row r="10" spans="1:22" x14ac:dyDescent="0.35">
      <c r="A10" s="218"/>
      <c r="B10" s="1">
        <v>62110</v>
      </c>
      <c r="C10" s="1">
        <v>157906</v>
      </c>
      <c r="D10" s="1">
        <v>485203</v>
      </c>
      <c r="E10" s="1">
        <v>902522</v>
      </c>
      <c r="F10" s="1">
        <v>10554320</v>
      </c>
      <c r="G10" s="1">
        <v>4873982</v>
      </c>
      <c r="H10" s="1">
        <v>10352797</v>
      </c>
      <c r="I10" s="1">
        <v>33742</v>
      </c>
      <c r="J10" s="1">
        <v>142800</v>
      </c>
      <c r="K10" s="1">
        <v>187113</v>
      </c>
      <c r="L10" s="1">
        <v>232849</v>
      </c>
      <c r="M10" s="1">
        <v>14298</v>
      </c>
      <c r="N10" s="3"/>
      <c r="O10" s="1">
        <v>786437</v>
      </c>
      <c r="P10" s="1">
        <v>7338344</v>
      </c>
      <c r="Q10" s="1">
        <v>152696</v>
      </c>
      <c r="R10" s="1">
        <v>3842465</v>
      </c>
      <c r="S10" s="1">
        <v>799687</v>
      </c>
      <c r="T10" s="1">
        <v>1896929</v>
      </c>
      <c r="U10" s="1">
        <v>1345247</v>
      </c>
      <c r="V10" s="1">
        <v>2620287</v>
      </c>
    </row>
    <row r="11" spans="1:22" x14ac:dyDescent="0.35">
      <c r="A11" s="218"/>
      <c r="B11" s="1">
        <v>80565</v>
      </c>
      <c r="C11" s="1">
        <v>63115</v>
      </c>
      <c r="D11" s="1">
        <v>157483</v>
      </c>
      <c r="E11" s="1">
        <v>308373</v>
      </c>
      <c r="F11" s="1">
        <v>3203906</v>
      </c>
      <c r="G11" s="1">
        <v>16607068</v>
      </c>
      <c r="H11" s="1">
        <v>2436220</v>
      </c>
      <c r="I11" s="1">
        <v>212407</v>
      </c>
      <c r="J11" s="1">
        <v>20024</v>
      </c>
      <c r="K11" s="1">
        <v>245754</v>
      </c>
      <c r="L11" s="1">
        <v>148599</v>
      </c>
      <c r="M11" s="1">
        <v>283879</v>
      </c>
      <c r="N11" s="3"/>
      <c r="O11" s="1">
        <v>7327126</v>
      </c>
      <c r="P11" s="1">
        <v>5374887</v>
      </c>
      <c r="Q11" s="1">
        <v>81837</v>
      </c>
      <c r="R11" s="1">
        <v>681155</v>
      </c>
      <c r="S11" s="1">
        <v>9666574</v>
      </c>
      <c r="T11" s="1">
        <v>3463225</v>
      </c>
      <c r="U11" s="1">
        <v>3691484</v>
      </c>
      <c r="V11" s="1">
        <v>7086966</v>
      </c>
    </row>
    <row r="12" spans="1:22" x14ac:dyDescent="0.35">
      <c r="A12" s="218"/>
      <c r="B12" s="1">
        <v>81037</v>
      </c>
      <c r="C12" s="1">
        <v>239160</v>
      </c>
      <c r="D12" s="1">
        <v>140839</v>
      </c>
      <c r="E12" s="1">
        <v>1669751</v>
      </c>
      <c r="F12" s="1">
        <v>4129231</v>
      </c>
      <c r="G12" s="32">
        <v>16232199</v>
      </c>
      <c r="H12" s="1">
        <v>11995527</v>
      </c>
      <c r="I12" s="32">
        <v>22734</v>
      </c>
      <c r="J12" s="1">
        <v>85309</v>
      </c>
      <c r="K12" s="1">
        <v>181988</v>
      </c>
      <c r="L12" s="1">
        <v>73497</v>
      </c>
      <c r="M12" s="1">
        <v>133737</v>
      </c>
      <c r="N12" s="3"/>
      <c r="O12" s="1">
        <v>3153359</v>
      </c>
      <c r="P12" s="1">
        <v>7094974</v>
      </c>
      <c r="Q12" s="1">
        <v>118570</v>
      </c>
      <c r="R12" s="1">
        <v>130529</v>
      </c>
      <c r="T12" s="1">
        <v>219341</v>
      </c>
      <c r="U12" s="1">
        <v>4132650</v>
      </c>
      <c r="V12" s="32">
        <v>5036753</v>
      </c>
    </row>
    <row r="13" spans="1:22" ht="16.5" x14ac:dyDescent="0.35">
      <c r="A13" s="218"/>
      <c r="B13" s="14"/>
      <c r="C13" s="13"/>
      <c r="D13" s="16"/>
      <c r="E13" s="16"/>
      <c r="F13" s="16"/>
      <c r="G13" s="16"/>
      <c r="H13" s="16"/>
      <c r="I13" s="32"/>
      <c r="J13" s="16"/>
      <c r="K13" s="13"/>
      <c r="L13" s="13"/>
      <c r="M13" s="13"/>
      <c r="N13" s="3"/>
      <c r="O13" s="1">
        <v>2260450</v>
      </c>
      <c r="P13" s="13"/>
      <c r="Q13" s="13"/>
      <c r="R13" s="4">
        <v>4136352</v>
      </c>
      <c r="S13" s="32"/>
      <c r="T13" s="32"/>
      <c r="U13" s="32"/>
      <c r="V13" s="32"/>
    </row>
    <row r="14" spans="1:22" ht="16.5" x14ac:dyDescent="0.35">
      <c r="A14" s="218"/>
      <c r="B14" s="14"/>
      <c r="C14" s="16"/>
      <c r="D14" s="16"/>
      <c r="E14" s="16"/>
      <c r="F14" s="16"/>
      <c r="G14" s="16"/>
      <c r="H14" s="16"/>
      <c r="I14" s="32"/>
      <c r="J14" s="16"/>
      <c r="K14" s="13"/>
      <c r="L14" s="13"/>
      <c r="M14" s="13"/>
      <c r="N14" s="3"/>
      <c r="O14" s="1">
        <v>2902666</v>
      </c>
      <c r="P14" s="13"/>
      <c r="Q14" s="13"/>
      <c r="R14" s="4"/>
      <c r="S14" s="32"/>
      <c r="T14" s="32"/>
      <c r="U14" s="32"/>
      <c r="V14" s="32"/>
    </row>
    <row r="15" spans="1:22" ht="16.5" x14ac:dyDescent="0.35">
      <c r="A15" s="218"/>
      <c r="B15" s="14"/>
      <c r="C15" s="16"/>
      <c r="D15" s="16"/>
      <c r="E15" s="16"/>
      <c r="F15" s="16"/>
      <c r="G15" s="16"/>
      <c r="H15" s="16"/>
      <c r="I15" s="32"/>
      <c r="J15" s="16"/>
      <c r="K15" s="13"/>
      <c r="L15" s="13"/>
      <c r="M15" s="13"/>
      <c r="N15" s="3"/>
      <c r="O15" s="1">
        <v>3345693</v>
      </c>
      <c r="P15" s="13"/>
      <c r="Q15" s="13"/>
      <c r="R15" s="4"/>
      <c r="S15" s="32"/>
      <c r="T15" s="32"/>
      <c r="U15" s="32"/>
      <c r="V15" s="32"/>
    </row>
    <row r="16" spans="1:22" ht="16.5" x14ac:dyDescent="0.35">
      <c r="A16" s="218"/>
      <c r="B16" s="14"/>
      <c r="C16" s="16"/>
      <c r="D16" s="16"/>
      <c r="E16" s="16"/>
      <c r="F16" s="16"/>
      <c r="G16" s="16"/>
      <c r="H16" s="16"/>
      <c r="I16" s="32"/>
      <c r="J16" s="16"/>
      <c r="K16" s="13"/>
      <c r="L16" s="13"/>
      <c r="M16" s="13"/>
      <c r="N16" s="3"/>
      <c r="O16" s="1">
        <v>323332</v>
      </c>
      <c r="P16" s="13"/>
      <c r="Q16" s="13"/>
      <c r="R16" s="4"/>
      <c r="S16" s="32"/>
      <c r="T16" s="32"/>
      <c r="U16" s="32"/>
      <c r="V16" s="32"/>
    </row>
    <row r="17" spans="1:22" s="1" customFormat="1" ht="16.5" x14ac:dyDescent="0.35">
      <c r="A17" s="218"/>
      <c r="B17" s="14"/>
      <c r="C17" s="32"/>
      <c r="D17" s="32"/>
      <c r="E17" s="32"/>
      <c r="F17" s="32"/>
      <c r="G17" s="32"/>
      <c r="H17" s="32"/>
      <c r="I17" s="32"/>
      <c r="J17" s="32"/>
      <c r="K17" s="13"/>
      <c r="L17" s="13"/>
      <c r="M17" s="13"/>
      <c r="N17" s="3"/>
      <c r="O17" s="1">
        <v>3970833</v>
      </c>
      <c r="P17" s="13"/>
      <c r="Q17" s="13"/>
      <c r="R17" s="32"/>
      <c r="S17" s="32"/>
      <c r="T17" s="32"/>
      <c r="U17" s="32"/>
      <c r="V17" s="32"/>
    </row>
    <row r="18" spans="1:22" s="1" customFormat="1" ht="16.5" x14ac:dyDescent="0.35">
      <c r="A18" s="218"/>
      <c r="B18" s="14"/>
      <c r="C18" s="32"/>
      <c r="D18" s="32"/>
      <c r="E18" s="32"/>
      <c r="F18" s="32"/>
      <c r="G18" s="32"/>
      <c r="H18" s="32"/>
      <c r="I18" s="32"/>
      <c r="J18" s="32"/>
      <c r="K18" s="13"/>
      <c r="L18" s="13"/>
      <c r="M18" s="13"/>
      <c r="N18" s="3"/>
      <c r="O18" s="1">
        <v>10282313</v>
      </c>
      <c r="P18" s="13"/>
      <c r="Q18" s="13"/>
      <c r="R18" s="32"/>
      <c r="S18" s="32"/>
      <c r="T18" s="32"/>
      <c r="U18" s="32"/>
      <c r="V18" s="32"/>
    </row>
    <row r="19" spans="1:22" s="1" customFormat="1" ht="16.5" x14ac:dyDescent="0.35">
      <c r="A19" s="218"/>
      <c r="B19" s="14"/>
      <c r="C19" s="32"/>
      <c r="D19" s="32"/>
      <c r="E19" s="32"/>
      <c r="F19" s="32"/>
      <c r="G19" s="32"/>
      <c r="H19" s="32"/>
      <c r="I19" s="32"/>
      <c r="J19" s="32"/>
      <c r="K19" s="13"/>
      <c r="L19" s="13"/>
      <c r="M19" s="13"/>
      <c r="N19" s="3"/>
      <c r="O19" s="1">
        <v>417975</v>
      </c>
      <c r="P19" s="13"/>
      <c r="Q19" s="13"/>
      <c r="R19" s="32"/>
      <c r="S19" s="32"/>
      <c r="T19" s="32"/>
      <c r="U19" s="32"/>
      <c r="V19" s="32"/>
    </row>
    <row r="20" spans="1:22" ht="16.5" x14ac:dyDescent="0.35">
      <c r="A20" s="218"/>
      <c r="B20" s="14"/>
      <c r="C20" s="16"/>
      <c r="D20" s="16"/>
      <c r="E20" s="16"/>
      <c r="F20" s="16"/>
      <c r="G20" s="16"/>
      <c r="H20" s="16"/>
      <c r="I20" s="32"/>
      <c r="J20" s="16"/>
      <c r="K20" s="13"/>
      <c r="L20" s="13"/>
      <c r="M20" s="13"/>
      <c r="N20" s="3"/>
      <c r="O20" s="1">
        <v>1466335</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Cefuroxime-0,001mg/L</v>
      </c>
      <c r="J22" s="68" t="str">
        <f t="shared" si="0"/>
        <v>Cefuroxime-0,01mg/L</v>
      </c>
      <c r="K22" s="68" t="str">
        <f t="shared" si="0"/>
        <v>Cefuroxime-0,1mg/L</v>
      </c>
      <c r="L22" s="68" t="str">
        <f t="shared" si="0"/>
        <v>Cefuroxime-1mg/L</v>
      </c>
      <c r="M22" s="68" t="str">
        <f t="shared" si="0"/>
        <v>Cefuroxime-10mg/L</v>
      </c>
      <c r="N22" s="68" t="s">
        <v>47</v>
      </c>
      <c r="O22" s="68" t="str">
        <f t="shared" ref="O22:V22" si="1">O4</f>
        <v>Testo -30µg/L</v>
      </c>
      <c r="P22" s="68" t="str">
        <f t="shared" si="1"/>
        <v>Testo 30µg/L + EE2 -64ng/L</v>
      </c>
      <c r="Q22" s="68" t="str">
        <f t="shared" si="1"/>
        <v>Testo 30µg/L + FAD-10µg/L</v>
      </c>
      <c r="R22" s="68" t="str">
        <f t="shared" si="1"/>
        <v>Cefuroxime-0,001mg/L + Testostérone</v>
      </c>
      <c r="S22" s="68" t="str">
        <f t="shared" si="1"/>
        <v>Cefuroxime-0,01mg/L + Testostérone</v>
      </c>
      <c r="T22" s="68" t="str">
        <f t="shared" si="1"/>
        <v>Cefuroxime-0,1mg/L + Testostérone</v>
      </c>
      <c r="U22" s="68" t="str">
        <f t="shared" si="1"/>
        <v>Cefuroxime-1mg/L + Testostérone</v>
      </c>
      <c r="V22" s="68" t="str">
        <f t="shared" si="1"/>
        <v>Cefuroxime-10mg/L + Testostérone</v>
      </c>
    </row>
    <row r="23" spans="1:22" x14ac:dyDescent="0.35">
      <c r="A23" s="5" t="s">
        <v>0</v>
      </c>
      <c r="B23" s="5">
        <f t="shared" ref="B23:M23" si="2">AVERAGE(B5:B20)</f>
        <v>69314.375</v>
      </c>
      <c r="C23" s="5">
        <f t="shared" si="2"/>
        <v>104198.625</v>
      </c>
      <c r="D23" s="5">
        <f t="shared" si="2"/>
        <v>596075.625</v>
      </c>
      <c r="E23" s="5">
        <f t="shared" si="2"/>
        <v>1778573.75</v>
      </c>
      <c r="F23" s="5">
        <f t="shared" si="2"/>
        <v>3821641.25</v>
      </c>
      <c r="G23" s="5">
        <f t="shared" si="2"/>
        <v>8638430.75</v>
      </c>
      <c r="H23" s="5">
        <f t="shared" si="2"/>
        <v>9444348.25</v>
      </c>
      <c r="I23" s="5">
        <f t="shared" si="2"/>
        <v>91311.875</v>
      </c>
      <c r="J23" s="5">
        <f t="shared" si="2"/>
        <v>104687</v>
      </c>
      <c r="K23" s="5">
        <f t="shared" si="2"/>
        <v>139360.875</v>
      </c>
      <c r="L23" s="5">
        <f t="shared" si="2"/>
        <v>157983</v>
      </c>
      <c r="M23" s="5">
        <f t="shared" si="2"/>
        <v>108077.125</v>
      </c>
      <c r="N23" s="5" t="s">
        <v>0</v>
      </c>
      <c r="O23" s="5">
        <f t="shared" ref="O23:V23" si="3">AVERAGE(O5:O20)</f>
        <v>2772155.75</v>
      </c>
      <c r="P23" s="5">
        <f t="shared" si="3"/>
        <v>6679683.5</v>
      </c>
      <c r="Q23" s="5">
        <f t="shared" si="3"/>
        <v>136352.875</v>
      </c>
      <c r="R23" s="5">
        <f t="shared" si="3"/>
        <v>3532573.222222222</v>
      </c>
      <c r="S23" s="5">
        <f t="shared" si="3"/>
        <v>2588962.8571428573</v>
      </c>
      <c r="T23" s="5">
        <f t="shared" si="3"/>
        <v>1878126.25</v>
      </c>
      <c r="U23" s="5">
        <f t="shared" si="3"/>
        <v>2285712.25</v>
      </c>
      <c r="V23" s="5">
        <f t="shared" si="3"/>
        <v>3219803.875</v>
      </c>
    </row>
    <row r="24" spans="1:22" x14ac:dyDescent="0.35">
      <c r="A24" s="3" t="s">
        <v>1</v>
      </c>
      <c r="B24" s="3">
        <f t="shared" ref="B24:M24" si="4">STDEV(B5:B20)</f>
        <v>47432.741091051379</v>
      </c>
      <c r="C24" s="3">
        <f t="shared" si="4"/>
        <v>76050.820113803784</v>
      </c>
      <c r="D24" s="3">
        <f t="shared" si="4"/>
        <v>759015.74940782681</v>
      </c>
      <c r="E24" s="3">
        <f t="shared" si="4"/>
        <v>2997233.4631484388</v>
      </c>
      <c r="F24" s="3">
        <f t="shared" si="4"/>
        <v>3349728.9109479017</v>
      </c>
      <c r="G24" s="3">
        <f t="shared" si="4"/>
        <v>4977788.0195761584</v>
      </c>
      <c r="H24" s="3">
        <f t="shared" si="4"/>
        <v>3299820.8362579215</v>
      </c>
      <c r="I24" s="3">
        <f t="shared" si="4"/>
        <v>62359.455164479383</v>
      </c>
      <c r="J24" s="3">
        <f t="shared" si="4"/>
        <v>105856.84254690388</v>
      </c>
      <c r="K24" s="3">
        <f t="shared" si="4"/>
        <v>85483.383057657134</v>
      </c>
      <c r="L24" s="3">
        <f t="shared" si="4"/>
        <v>110327.41939725203</v>
      </c>
      <c r="M24" s="3">
        <f t="shared" si="4"/>
        <v>102579.1635002485</v>
      </c>
      <c r="N24" s="3" t="s">
        <v>1</v>
      </c>
      <c r="O24" s="3">
        <f t="shared" ref="O24:V24" si="5">STDEV(O5:O20)</f>
        <v>2669706.8921652678</v>
      </c>
      <c r="P24" s="3">
        <f t="shared" si="5"/>
        <v>2006228.2385493573</v>
      </c>
      <c r="Q24" s="3">
        <f t="shared" si="5"/>
        <v>99126.548233540481</v>
      </c>
      <c r="R24" s="3">
        <f t="shared" si="5"/>
        <v>3223846.7515573991</v>
      </c>
      <c r="S24" s="3">
        <f t="shared" si="5"/>
        <v>3496199.2883476783</v>
      </c>
      <c r="T24" s="3">
        <f t="shared" si="5"/>
        <v>1944474.468530379</v>
      </c>
      <c r="U24" s="3">
        <f t="shared" si="5"/>
        <v>1423721.9747271838</v>
      </c>
      <c r="V24" s="3">
        <f t="shared" si="5"/>
        <v>1935302.8412794017</v>
      </c>
    </row>
    <row r="25" spans="1:22" ht="15" thickBot="1" x14ac:dyDescent="0.4"/>
    <row r="26" spans="1:22" ht="15" thickBot="1" x14ac:dyDescent="0.4">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Cefuroxime-0,001mg/L</v>
      </c>
      <c r="J27" s="35" t="str">
        <f t="shared" si="6"/>
        <v>Cefuroxime-0,01mg/L</v>
      </c>
      <c r="K27" s="35" t="str">
        <f t="shared" si="6"/>
        <v>Cefuroxime-0,1mg/L</v>
      </c>
      <c r="L27" s="35" t="str">
        <f t="shared" si="6"/>
        <v>Cefuroxime-1mg/L</v>
      </c>
      <c r="M27" s="35" t="str">
        <f t="shared" si="6"/>
        <v>Cefuroxime-10mg/L</v>
      </c>
      <c r="N27" s="3"/>
      <c r="O27" s="36" t="str">
        <f t="shared" ref="O27:V27" si="7">O4</f>
        <v>Testo -30µg/L</v>
      </c>
      <c r="P27" s="36" t="str">
        <f t="shared" si="7"/>
        <v>Testo 30µg/L + EE2 -64ng/L</v>
      </c>
      <c r="Q27" s="36" t="str">
        <f t="shared" si="7"/>
        <v>Testo 30µg/L + FAD-10µg/L</v>
      </c>
      <c r="R27" s="36" t="str">
        <f t="shared" si="7"/>
        <v>Cefuroxime-0,001mg/L + Testostérone</v>
      </c>
      <c r="S27" s="36" t="str">
        <f t="shared" si="7"/>
        <v>Cefuroxime-0,01mg/L + Testostérone</v>
      </c>
      <c r="T27" s="36" t="str">
        <f t="shared" si="7"/>
        <v>Cefuroxime-0,1mg/L + Testostérone</v>
      </c>
      <c r="U27" s="36" t="str">
        <f t="shared" si="7"/>
        <v>Cefuroxime-1mg/L + Testostérone</v>
      </c>
      <c r="V27" s="36" t="str">
        <f t="shared" si="7"/>
        <v>Cefuroxime-10mg/L + Testostérone</v>
      </c>
    </row>
    <row r="28" spans="1:22" x14ac:dyDescent="0.35">
      <c r="A28" s="219" t="s">
        <v>34</v>
      </c>
      <c r="B28" s="11">
        <f t="shared" ref="B28:M28" si="8">IF(B5="","",(B5/$O$23))</f>
        <v>6.1209042818030697E-2</v>
      </c>
      <c r="C28" s="11">
        <f t="shared" si="8"/>
        <v>4.0520811285585233E-2</v>
      </c>
      <c r="D28" s="11">
        <f t="shared" si="8"/>
        <v>4.8835639916696601E-2</v>
      </c>
      <c r="E28" s="11">
        <f t="shared" si="8"/>
        <v>0.64535984314734118</v>
      </c>
      <c r="F28" s="11">
        <f t="shared" si="8"/>
        <v>1.0519524380980398</v>
      </c>
      <c r="G28" s="11">
        <f t="shared" si="8"/>
        <v>2.6088746997711079</v>
      </c>
      <c r="H28" s="11">
        <f t="shared" si="8"/>
        <v>3.0093644630176355</v>
      </c>
      <c r="I28" s="11">
        <f t="shared" si="8"/>
        <v>1.9537863267603199E-2</v>
      </c>
      <c r="J28" s="11">
        <f t="shared" si="8"/>
        <v>3.255733376452604E-2</v>
      </c>
      <c r="K28" s="11">
        <f t="shared" si="8"/>
        <v>7.6878797304227942E-3</v>
      </c>
      <c r="L28" s="11">
        <f t="shared" si="8"/>
        <v>0.11878589433512168</v>
      </c>
      <c r="M28" s="11">
        <f t="shared" si="8"/>
        <v>2.3150575143550286E-2</v>
      </c>
      <c r="N28" s="6"/>
      <c r="O28" s="11">
        <f t="shared" ref="O28:V28" si="9">IF(O5="","",(O5/$O$23))</f>
        <v>0.76142727550571432</v>
      </c>
      <c r="P28" s="11">
        <f t="shared" si="9"/>
        <v>3.0900449947662572</v>
      </c>
      <c r="Q28" s="11">
        <f t="shared" si="9"/>
        <v>2.1368207756725068E-2</v>
      </c>
      <c r="R28" s="11">
        <f t="shared" si="9"/>
        <v>1.4121324171630689</v>
      </c>
      <c r="S28" s="11">
        <f t="shared" si="9"/>
        <v>6.9409520009833497E-2</v>
      </c>
      <c r="T28" s="11">
        <f t="shared" si="9"/>
        <v>1.4755664431913684E-2</v>
      </c>
      <c r="U28" s="11">
        <f t="shared" si="9"/>
        <v>0.66490961050799546</v>
      </c>
      <c r="V28" s="11">
        <f t="shared" si="9"/>
        <v>0.85003593322633475</v>
      </c>
    </row>
    <row r="29" spans="1:22" x14ac:dyDescent="0.35">
      <c r="A29" s="220"/>
      <c r="B29" s="11">
        <f t="shared" ref="B29:M29" si="10">IF(B6="","",(B6/$O$23))</f>
        <v>1.4968495186462738E-2</v>
      </c>
      <c r="C29" s="11">
        <f t="shared" si="10"/>
        <v>1.339030103196763E-2</v>
      </c>
      <c r="D29" s="11">
        <f t="shared" si="10"/>
        <v>0.68736758387403019</v>
      </c>
      <c r="E29" s="11">
        <f t="shared" si="10"/>
        <v>3.2492662073550522</v>
      </c>
      <c r="F29" s="11">
        <f t="shared" si="10"/>
        <v>2.3558171289618195</v>
      </c>
      <c r="G29" s="11">
        <f t="shared" si="10"/>
        <v>1.7689835789349138</v>
      </c>
      <c r="H29" s="11">
        <f t="shared" si="10"/>
        <v>4.5183857364435598</v>
      </c>
      <c r="I29" s="11">
        <f t="shared" si="10"/>
        <v>2.4266313319516768E-2</v>
      </c>
      <c r="J29" s="11">
        <f t="shared" si="10"/>
        <v>8.5208055139037557E-3</v>
      </c>
      <c r="K29" s="11">
        <f t="shared" si="10"/>
        <v>5.4825923832021346E-2</v>
      </c>
      <c r="L29" s="11">
        <f t="shared" si="10"/>
        <v>0.10054377355962052</v>
      </c>
      <c r="M29" s="11">
        <f t="shared" si="10"/>
        <v>5.087015763814858E-3</v>
      </c>
      <c r="N29" s="6"/>
      <c r="O29" s="11">
        <f t="shared" ref="O29:V29" si="11">IF(O6="","",(O6/$O$23))</f>
        <v>0.61795157072253248</v>
      </c>
      <c r="P29" s="11">
        <f t="shared" si="11"/>
        <v>1.9826757569447533</v>
      </c>
      <c r="Q29" s="11">
        <f t="shared" si="11"/>
        <v>0.13391455368263488</v>
      </c>
      <c r="R29" s="11">
        <f t="shared" si="11"/>
        <v>1.406610360907752</v>
      </c>
      <c r="S29" s="11">
        <f t="shared" si="11"/>
        <v>1.1970315881421887</v>
      </c>
      <c r="T29" s="11">
        <f t="shared" si="11"/>
        <v>1.1349748296068862</v>
      </c>
      <c r="U29" s="11">
        <f t="shared" si="11"/>
        <v>1.3711401316466436</v>
      </c>
      <c r="V29" s="11">
        <f t="shared" si="11"/>
        <v>0.46046655206872844</v>
      </c>
    </row>
    <row r="30" spans="1:22" x14ac:dyDescent="0.35">
      <c r="A30" s="220"/>
      <c r="B30" s="11">
        <f t="shared" ref="B30:M30" si="12">IF(B7="","",(B7/$O$23))</f>
        <v>1.380874793921662E-3</v>
      </c>
      <c r="C30" s="11">
        <f t="shared" si="12"/>
        <v>2.0067415043328644E-2</v>
      </c>
      <c r="D30" s="11">
        <f t="shared" si="12"/>
        <v>5.1832585524821249E-2</v>
      </c>
      <c r="E30" s="11">
        <f t="shared" si="12"/>
        <v>1.6958643106542624E-2</v>
      </c>
      <c r="F30" s="11">
        <f t="shared" si="12"/>
        <v>0.29137648561052171</v>
      </c>
      <c r="G30" s="11">
        <f t="shared" si="12"/>
        <v>1.5342431607603577</v>
      </c>
      <c r="H30" s="11">
        <f t="shared" si="12"/>
        <v>4.2679127967467192</v>
      </c>
      <c r="I30" s="11">
        <f t="shared" si="12"/>
        <v>4.260799560053579E-2</v>
      </c>
      <c r="J30" s="11">
        <f t="shared" si="12"/>
        <v>0.12121901880873757</v>
      </c>
      <c r="K30" s="11">
        <f t="shared" si="12"/>
        <v>5.9015443125805614E-4</v>
      </c>
      <c r="L30" s="11">
        <f t="shared" si="12"/>
        <v>4.0843664718333374E-2</v>
      </c>
      <c r="M30" s="11">
        <f t="shared" si="12"/>
        <v>9.0770513164709458E-3</v>
      </c>
      <c r="N30" s="6"/>
      <c r="O30" s="11">
        <f t="shared" ref="O30:V30" si="13">IF(O7="","",(O7/$O$23))</f>
        <v>0.54514144813111598</v>
      </c>
      <c r="P30" s="11">
        <f t="shared" si="13"/>
        <v>2.5769565797304139</v>
      </c>
      <c r="Q30" s="11">
        <f t="shared" si="13"/>
        <v>2.9544155302240863E-2</v>
      </c>
      <c r="R30" s="11">
        <f t="shared" si="13"/>
        <v>3.9497567912625402</v>
      </c>
      <c r="S30" s="11">
        <f t="shared" si="13"/>
        <v>2.3038388084796461E-2</v>
      </c>
      <c r="T30" s="11">
        <f t="shared" si="13"/>
        <v>1.9284554989379654</v>
      </c>
      <c r="U30" s="11">
        <f t="shared" si="13"/>
        <v>4.7022249741920166E-2</v>
      </c>
      <c r="V30" s="11">
        <f t="shared" si="13"/>
        <v>0.61339554965481291</v>
      </c>
    </row>
    <row r="31" spans="1:22" x14ac:dyDescent="0.35">
      <c r="A31" s="220"/>
      <c r="B31" s="11">
        <f t="shared" ref="B31:M31" si="14">IF(B8="","",(B8/$O$23))</f>
        <v>2.2431640069285427E-2</v>
      </c>
      <c r="C31" s="11">
        <f t="shared" si="14"/>
        <v>4.8889749430565E-3</v>
      </c>
      <c r="D31" s="11">
        <f t="shared" si="14"/>
        <v>0.61606387014871011</v>
      </c>
      <c r="E31" s="11">
        <f t="shared" si="14"/>
        <v>4.8215905617857151E-2</v>
      </c>
      <c r="F31" s="11">
        <f t="shared" si="14"/>
        <v>0.79132999651985647</v>
      </c>
      <c r="G31" s="11">
        <f t="shared" si="14"/>
        <v>2.549661215824544</v>
      </c>
      <c r="H31" s="11">
        <f t="shared" si="14"/>
        <v>2.815104093628217</v>
      </c>
      <c r="I31" s="11">
        <f t="shared" si="14"/>
        <v>4.8455791129340404E-2</v>
      </c>
      <c r="J31" s="11">
        <f t="shared" si="14"/>
        <v>4.2797018168982751E-3</v>
      </c>
      <c r="K31" s="11">
        <f t="shared" si="14"/>
        <v>6.8828383830886852E-2</v>
      </c>
      <c r="L31" s="11">
        <f t="shared" si="14"/>
        <v>2.0837573790722257E-2</v>
      </c>
      <c r="M31" s="11">
        <f t="shared" si="14"/>
        <v>3.4830654807183906E-2</v>
      </c>
      <c r="N31" s="6"/>
      <c r="O31" s="11">
        <f t="shared" ref="O31:V31" si="15">IF(O8="","",(O8/$O$23))</f>
        <v>3.0157035729323649E-2</v>
      </c>
      <c r="P31" s="11">
        <f t="shared" si="15"/>
        <v>1.0927737375506408</v>
      </c>
      <c r="Q31" s="11">
        <f t="shared" si="15"/>
        <v>4.1939562739214779E-2</v>
      </c>
      <c r="R31" s="11">
        <f t="shared" si="15"/>
        <v>1.2551949867896131</v>
      </c>
      <c r="S31" s="11">
        <f t="shared" si="15"/>
        <v>1.4010857795417879</v>
      </c>
      <c r="T31" s="11">
        <f t="shared" si="15"/>
        <v>6.6197579266605064E-2</v>
      </c>
      <c r="U31" s="11">
        <f t="shared" si="15"/>
        <v>0.64179005815239643</v>
      </c>
      <c r="V31" s="11">
        <f t="shared" si="15"/>
        <v>1.2021290650786847</v>
      </c>
    </row>
    <row r="32" spans="1:22" x14ac:dyDescent="0.35">
      <c r="A32" s="220"/>
      <c r="B32" s="11">
        <f t="shared" ref="B32:M32" si="16">IF(B9="","",(B9/$O$23))</f>
        <v>1.9340543907029755E-2</v>
      </c>
      <c r="C32" s="11">
        <f t="shared" si="16"/>
        <v>5.5832000059881197E-2</v>
      </c>
      <c r="D32" s="11">
        <f t="shared" si="16"/>
        <v>3.3438597380396104E-2</v>
      </c>
      <c r="E32" s="11">
        <f t="shared" si="16"/>
        <v>0.13374428907899566</v>
      </c>
      <c r="F32" s="11">
        <f t="shared" si="16"/>
        <v>8.5627944966656364E-2</v>
      </c>
      <c r="G32" s="11">
        <f t="shared" si="16"/>
        <v>2.8630689311017248</v>
      </c>
      <c r="H32" s="11">
        <f t="shared" si="16"/>
        <v>3.7035870008386071</v>
      </c>
      <c r="I32" s="11">
        <f t="shared" si="16"/>
        <v>3.1649376121814225E-2</v>
      </c>
      <c r="J32" s="11">
        <f t="shared" si="16"/>
        <v>4.6024109576094346E-2</v>
      </c>
      <c r="K32" s="11">
        <f t="shared" si="16"/>
        <v>4.8444247766381815E-2</v>
      </c>
      <c r="L32" s="11">
        <f t="shared" si="16"/>
        <v>1.0790519255637062E-2</v>
      </c>
      <c r="M32" s="11">
        <f t="shared" si="16"/>
        <v>8.3943696164979181E-2</v>
      </c>
      <c r="N32" s="6"/>
      <c r="O32" s="11">
        <f t="shared" ref="O32:V32" si="17">IF(O9="","",(O9/$O$23))</f>
        <v>0.97371982075682439</v>
      </c>
      <c r="P32" s="11">
        <f t="shared" si="17"/>
        <v>3.3886360822258994</v>
      </c>
      <c r="Q32" s="11">
        <f t="shared" si="17"/>
        <v>3.9351324325842804E-2</v>
      </c>
      <c r="R32" s="11">
        <f t="shared" si="17"/>
        <v>0.27405639095133816</v>
      </c>
      <c r="S32" s="11">
        <f t="shared" si="17"/>
        <v>7.1357101779003576E-2</v>
      </c>
      <c r="T32" s="11">
        <f t="shared" si="17"/>
        <v>0.26289792700139591</v>
      </c>
      <c r="U32" s="11">
        <f t="shared" si="17"/>
        <v>0.56366782421947248</v>
      </c>
      <c r="V32" s="11">
        <f t="shared" si="17"/>
        <v>0.84720744857138708</v>
      </c>
    </row>
    <row r="33" spans="1:22" x14ac:dyDescent="0.35">
      <c r="A33" s="220"/>
      <c r="B33" s="11">
        <f t="shared" ref="B33:M33" si="18">IF(B10="","",(B10/$O$23))</f>
        <v>2.2404946042443682E-2</v>
      </c>
      <c r="C33" s="11">
        <f t="shared" si="18"/>
        <v>5.6961445979361008E-2</v>
      </c>
      <c r="D33" s="11">
        <f t="shared" si="18"/>
        <v>0.17502732304994045</v>
      </c>
      <c r="E33" s="11">
        <f t="shared" si="18"/>
        <v>0.32556684450359619</v>
      </c>
      <c r="F33" s="11">
        <f t="shared" si="18"/>
        <v>3.8072608294104686</v>
      </c>
      <c r="G33" s="11">
        <f t="shared" si="18"/>
        <v>1.7581919774889994</v>
      </c>
      <c r="H33" s="11">
        <f t="shared" si="18"/>
        <v>3.7345654189884532</v>
      </c>
      <c r="I33" s="11">
        <f t="shared" si="18"/>
        <v>1.2171754779651179E-2</v>
      </c>
      <c r="J33" s="11">
        <f t="shared" si="18"/>
        <v>5.1512257202720305E-2</v>
      </c>
      <c r="K33" s="11">
        <f t="shared" si="18"/>
        <v>6.7497289789724121E-2</v>
      </c>
      <c r="L33" s="11">
        <f t="shared" si="18"/>
        <v>8.3995641298292859E-2</v>
      </c>
      <c r="M33" s="11">
        <f t="shared" si="18"/>
        <v>5.1577188619362389E-3</v>
      </c>
      <c r="N33" s="6"/>
      <c r="O33" s="11">
        <f t="shared" ref="O33:V33" si="19">IF(O10="","",(O10/$O$23))</f>
        <v>0.28369149172083857</v>
      </c>
      <c r="P33" s="11">
        <f t="shared" si="19"/>
        <v>2.6471615095941128</v>
      </c>
      <c r="Q33" s="11">
        <f t="shared" si="19"/>
        <v>5.5082042197665118E-2</v>
      </c>
      <c r="R33" s="11">
        <f t="shared" si="19"/>
        <v>1.3860927547090383</v>
      </c>
      <c r="S33" s="11">
        <f t="shared" si="19"/>
        <v>0.28847116544588086</v>
      </c>
      <c r="T33" s="11">
        <f t="shared" si="19"/>
        <v>0.68427937355251411</v>
      </c>
      <c r="U33" s="11">
        <f t="shared" si="19"/>
        <v>0.48527107468618963</v>
      </c>
      <c r="V33" s="11">
        <f t="shared" si="19"/>
        <v>0.94521637177131912</v>
      </c>
    </row>
    <row r="34" spans="1:22" x14ac:dyDescent="0.35">
      <c r="A34" s="220"/>
      <c r="B34" s="11">
        <f t="shared" ref="B34:M34" si="20">IF(B11="","",(B11/$O$23))</f>
        <v>2.9062219898719616E-2</v>
      </c>
      <c r="C34" s="11">
        <f t="shared" si="20"/>
        <v>2.2767479785361987E-2</v>
      </c>
      <c r="D34" s="11">
        <f t="shared" si="20"/>
        <v>5.6808857150252107E-2</v>
      </c>
      <c r="E34" s="11">
        <f t="shared" si="20"/>
        <v>0.11123942080094165</v>
      </c>
      <c r="F34" s="11">
        <f t="shared" si="20"/>
        <v>1.1557453076004116</v>
      </c>
      <c r="G34" s="11">
        <f t="shared" si="20"/>
        <v>5.990669175063486</v>
      </c>
      <c r="H34" s="11">
        <f t="shared" si="20"/>
        <v>0.87881786584321608</v>
      </c>
      <c r="I34" s="11">
        <f t="shared" si="20"/>
        <v>7.6621596748306806E-2</v>
      </c>
      <c r="J34" s="11">
        <f t="shared" si="20"/>
        <v>7.223259371339435E-3</v>
      </c>
      <c r="K34" s="11">
        <f t="shared" si="20"/>
        <v>8.8650863141437844E-2</v>
      </c>
      <c r="L34" s="11">
        <f t="shared" si="20"/>
        <v>5.3604131008872791E-2</v>
      </c>
      <c r="M34" s="11">
        <f t="shared" si="20"/>
        <v>0.10240369791632378</v>
      </c>
      <c r="N34" s="6"/>
      <c r="O34" s="11">
        <f t="shared" ref="O34:V34" si="21">IF(O11="","",(O11/$O$23))</f>
        <v>2.643114839416941</v>
      </c>
      <c r="P34" s="11">
        <f t="shared" si="21"/>
        <v>1.9388834844506844</v>
      </c>
      <c r="Q34" s="11">
        <f t="shared" si="21"/>
        <v>2.9521068576323677E-2</v>
      </c>
      <c r="R34" s="11">
        <f t="shared" si="21"/>
        <v>0.24571310612688338</v>
      </c>
      <c r="S34" s="11">
        <f t="shared" si="21"/>
        <v>3.4870241327530027</v>
      </c>
      <c r="T34" s="11">
        <f t="shared" si="21"/>
        <v>1.2492894744460155</v>
      </c>
      <c r="U34" s="11">
        <f t="shared" si="21"/>
        <v>1.3316293646199353</v>
      </c>
      <c r="V34" s="11">
        <f t="shared" si="21"/>
        <v>2.5564819004127024</v>
      </c>
    </row>
    <row r="35" spans="1:22" x14ac:dyDescent="0.35">
      <c r="A35" s="220"/>
      <c r="B35" s="11">
        <f t="shared" ref="B35:M35" si="22">IF(B12="","",(B12/$O$23))</f>
        <v>2.9232484502358859E-2</v>
      </c>
      <c r="C35" s="11">
        <f t="shared" si="22"/>
        <v>8.6272208911782819E-2</v>
      </c>
      <c r="D35" s="11">
        <f t="shared" si="22"/>
        <v>5.0804865491414039E-2</v>
      </c>
      <c r="E35" s="11">
        <f t="shared" si="22"/>
        <v>0.60232943260853944</v>
      </c>
      <c r="F35" s="11">
        <f t="shared" si="22"/>
        <v>1.4895378804022825</v>
      </c>
      <c r="G35" s="11">
        <f t="shared" si="22"/>
        <v>5.8554426460345885</v>
      </c>
      <c r="H35" s="11">
        <f t="shared" si="22"/>
        <v>4.3271475637687384</v>
      </c>
      <c r="I35" s="11">
        <f t="shared" si="22"/>
        <v>8.2008379218952623E-3</v>
      </c>
      <c r="J35" s="11">
        <f t="shared" si="22"/>
        <v>3.0773523457330997E-2</v>
      </c>
      <c r="K35" s="11">
        <f t="shared" si="22"/>
        <v>6.5648548065886991E-2</v>
      </c>
      <c r="L35" s="11">
        <f t="shared" si="22"/>
        <v>2.6512579605240436E-2</v>
      </c>
      <c r="M35" s="11">
        <f t="shared" si="22"/>
        <v>4.8242960374791352E-2</v>
      </c>
      <c r="N35" s="6"/>
      <c r="O35" s="11">
        <f t="shared" ref="O35:V35" si="23">IF(O12="","",(O12/$O$23))</f>
        <v>1.137511483617037</v>
      </c>
      <c r="P35" s="11">
        <f t="shared" si="23"/>
        <v>2.5593706269930903</v>
      </c>
      <c r="Q35" s="11">
        <f t="shared" si="23"/>
        <v>4.2771767062510825E-2</v>
      </c>
      <c r="R35" s="11">
        <f t="shared" si="23"/>
        <v>4.7085738238192426E-2</v>
      </c>
      <c r="S35" s="11" t="str">
        <f t="shared" si="23"/>
        <v/>
      </c>
      <c r="T35" s="11">
        <f t="shared" si="23"/>
        <v>7.9122899209396871E-2</v>
      </c>
      <c r="U35" s="11">
        <f t="shared" si="23"/>
        <v>1.4907712165883897</v>
      </c>
      <c r="V35" s="11">
        <f t="shared" si="23"/>
        <v>1.816908375368159</v>
      </c>
    </row>
    <row r="36" spans="1:22" s="1" customFormat="1" x14ac:dyDescent="0.35">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0.81541233749222064</v>
      </c>
      <c r="P36" s="11" t="str">
        <f t="shared" si="25"/>
        <v/>
      </c>
      <c r="Q36" s="11" t="str">
        <f t="shared" si="25"/>
        <v/>
      </c>
      <c r="R36" s="11">
        <f t="shared" si="25"/>
        <v>1.4921066393906619</v>
      </c>
      <c r="S36" s="11" t="str">
        <f t="shared" si="25"/>
        <v/>
      </c>
      <c r="T36" s="11" t="str">
        <f t="shared" si="25"/>
        <v/>
      </c>
      <c r="U36" s="11" t="str">
        <f t="shared" si="25"/>
        <v/>
      </c>
      <c r="V36" s="11" t="str">
        <f t="shared" si="25"/>
        <v/>
      </c>
    </row>
    <row r="37" spans="1:22" s="1" customFormat="1" x14ac:dyDescent="0.35">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1.0470789745489588</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1.2068921452194741</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0.11663558225399132</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1.4323989552174332</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3.709139719151783</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0.15077616039430686</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0.52895116012150467</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Cefuroxime-0,001mg/L</v>
      </c>
      <c r="J45" s="70" t="str">
        <f t="shared" si="46"/>
        <v>Cefuroxime-0,01mg/L</v>
      </c>
      <c r="K45" s="70" t="str">
        <f t="shared" si="46"/>
        <v>Cefuroxime-0,1mg/L</v>
      </c>
      <c r="L45" s="70" t="str">
        <f t="shared" si="46"/>
        <v>Cefuroxime-1mg/L</v>
      </c>
      <c r="M45" s="70" t="str">
        <f t="shared" si="46"/>
        <v>Cefuroxime-10mg/L</v>
      </c>
      <c r="N45" s="70" t="str">
        <f>N22</f>
        <v>Nom des groupes</v>
      </c>
      <c r="O45" s="70" t="str">
        <f t="shared" ref="O45:V45" si="47">O4</f>
        <v>Testo -30µg/L</v>
      </c>
      <c r="P45" s="70" t="str">
        <f t="shared" si="47"/>
        <v>Testo 30µg/L + EE2 -64ng/L</v>
      </c>
      <c r="Q45" s="70" t="str">
        <f t="shared" si="47"/>
        <v>Testo 30µg/L + FAD-10µg/L</v>
      </c>
      <c r="R45" s="70" t="str">
        <f t="shared" si="47"/>
        <v>Cefuroxime-0,001mg/L + Testostérone</v>
      </c>
      <c r="S45" s="70" t="str">
        <f t="shared" si="47"/>
        <v>Cefuroxime-0,01mg/L + Testostérone</v>
      </c>
      <c r="T45" s="70" t="str">
        <f t="shared" si="47"/>
        <v>Cefuroxime-0,1mg/L + Testostérone</v>
      </c>
      <c r="U45" s="70" t="str">
        <f t="shared" si="47"/>
        <v>Cefuroxime-1mg/L + Testostérone</v>
      </c>
      <c r="V45" s="70" t="str">
        <f t="shared" si="47"/>
        <v>Cefuroxime-10mg/L + Testostérone</v>
      </c>
    </row>
    <row r="46" spans="1:22" x14ac:dyDescent="0.35">
      <c r="A46" s="8" t="s">
        <v>0</v>
      </c>
      <c r="B46" s="10">
        <f t="shared" ref="B46:H46" si="48">AVERAGE(B28:B43)</f>
        <v>2.5003780902281558E-2</v>
      </c>
      <c r="C46" s="10">
        <f t="shared" si="48"/>
        <v>3.7587579630040627E-2</v>
      </c>
      <c r="D46" s="10">
        <f t="shared" si="48"/>
        <v>0.21502241531703259</v>
      </c>
      <c r="E46" s="10">
        <f t="shared" si="48"/>
        <v>0.64158507327735825</v>
      </c>
      <c r="F46" s="10">
        <f t="shared" si="48"/>
        <v>1.3785810014462572</v>
      </c>
      <c r="G46" s="10">
        <f t="shared" si="48"/>
        <v>3.1161419231224654</v>
      </c>
      <c r="H46" s="10">
        <f t="shared" si="48"/>
        <v>3.4068606174093929</v>
      </c>
      <c r="I46" s="10">
        <f>AVERAGE(I28:I43)</f>
        <v>3.2938941111082955E-2</v>
      </c>
      <c r="J46" s="9">
        <f>AVERAGE(J28:J43)</f>
        <v>3.7763751188943838E-2</v>
      </c>
      <c r="K46" s="9">
        <f>AVERAGE(K28:K43)</f>
        <v>5.0271661323502477E-2</v>
      </c>
      <c r="L46" s="9">
        <f t="shared" ref="L46:M46" si="49">AVERAGE(L28:L43)</f>
        <v>5.6989222196480123E-2</v>
      </c>
      <c r="M46" s="9">
        <f t="shared" si="49"/>
        <v>3.8986671293631321E-2</v>
      </c>
      <c r="N46" s="8" t="s">
        <v>0</v>
      </c>
      <c r="O46" s="10">
        <f>AVERAGE(O28:O43)</f>
        <v>0.99999999999999989</v>
      </c>
      <c r="P46" s="10">
        <f>AVERAGE(P28:P43)</f>
        <v>2.4095628465319812</v>
      </c>
      <c r="Q46" s="10">
        <f>AVERAGE(Q28:Q43)</f>
        <v>4.9186585205394755E-2</v>
      </c>
      <c r="R46" s="10">
        <f>AVERAGE(R28:R43)</f>
        <v>1.2743054650598988</v>
      </c>
      <c r="S46" s="10">
        <f t="shared" ref="S46:V46" si="50">AVERAGE(S28:S43)</f>
        <v>0.93391681082235622</v>
      </c>
      <c r="T46" s="10">
        <f t="shared" si="50"/>
        <v>0.67749665580658647</v>
      </c>
      <c r="U46" s="10">
        <f t="shared" si="50"/>
        <v>0.82452519127036783</v>
      </c>
      <c r="V46" s="10">
        <f t="shared" si="50"/>
        <v>1.1614801495190161</v>
      </c>
    </row>
    <row r="47" spans="1:22" x14ac:dyDescent="0.35">
      <c r="A47" s="8" t="s">
        <v>1</v>
      </c>
      <c r="B47" s="8">
        <f t="shared" ref="B47:K47" si="51">STDEV(B28:B43)</f>
        <v>1.7110417079217628E-2</v>
      </c>
      <c r="C47" s="8">
        <f t="shared" si="51"/>
        <v>2.743381937100893E-2</v>
      </c>
      <c r="D47" s="8">
        <f t="shared" si="51"/>
        <v>0.27379982145946419</v>
      </c>
      <c r="E47" s="8">
        <f t="shared" si="51"/>
        <v>1.0811923042738272</v>
      </c>
      <c r="F47" s="8">
        <f t="shared" si="51"/>
        <v>1.2083480197488548</v>
      </c>
      <c r="G47" s="8">
        <f t="shared" si="51"/>
        <v>1.795637932528199</v>
      </c>
      <c r="H47" s="8">
        <f t="shared" si="51"/>
        <v>1.1903446753516385</v>
      </c>
      <c r="I47" s="8">
        <f>STDEV(I28:I43)</f>
        <v>2.2494932026989971E-2</v>
      </c>
      <c r="J47" s="8">
        <f t="shared" si="51"/>
        <v>3.818574859904747E-2</v>
      </c>
      <c r="K47" s="8">
        <f t="shared" si="51"/>
        <v>3.0836428673842411E-2</v>
      </c>
      <c r="L47" s="8">
        <f t="shared" ref="L47:M47" si="52">STDEV(L28:L43)</f>
        <v>3.9798420199605326E-2</v>
      </c>
      <c r="M47" s="8">
        <f t="shared" si="52"/>
        <v>3.7003391133506293E-2</v>
      </c>
      <c r="N47" s="8" t="s">
        <v>1</v>
      </c>
      <c r="O47" s="8">
        <f>STDEV(O28:O43)</f>
        <v>0.96304361404126315</v>
      </c>
      <c r="P47" s="8">
        <f>STDEV(P28:P43)</f>
        <v>0.72370689797979781</v>
      </c>
      <c r="Q47" s="8">
        <f>STDEV(Q28:Q43)</f>
        <v>3.5757928909131625E-2</v>
      </c>
      <c r="R47" s="8">
        <f>STDEV(R28:R43)</f>
        <v>1.1629385367533549</v>
      </c>
      <c r="S47" s="8">
        <f t="shared" ref="S47:V47" si="53">STDEV(S28:S43)</f>
        <v>1.2611842925303451</v>
      </c>
      <c r="T47" s="8">
        <f t="shared" si="53"/>
        <v>0.70143045481134303</v>
      </c>
      <c r="U47" s="8">
        <f t="shared" si="53"/>
        <v>0.51357935957501077</v>
      </c>
      <c r="V47" s="8">
        <f t="shared" si="53"/>
        <v>0.69812197286512512</v>
      </c>
    </row>
    <row r="48" spans="1:22" x14ac:dyDescent="0.35">
      <c r="A48" s="8" t="s">
        <v>2</v>
      </c>
      <c r="B48" s="8">
        <f t="shared" ref="B48:K48" si="54" xml:space="preserve"> B47/SQRT(COUNT(B28:B43))</f>
        <v>6.0494459728224525E-3</v>
      </c>
      <c r="C48" s="8">
        <f t="shared" si="54"/>
        <v>9.6993198555436391E-3</v>
      </c>
      <c r="D48" s="8">
        <f t="shared" si="54"/>
        <v>9.6802855220826559E-2</v>
      </c>
      <c r="E48" s="8">
        <f t="shared" si="54"/>
        <v>0.38225920505936611</v>
      </c>
      <c r="F48" s="8">
        <f t="shared" si="54"/>
        <v>0.42721553939887569</v>
      </c>
      <c r="G48" s="8">
        <f t="shared" si="54"/>
        <v>0.63485387932324089</v>
      </c>
      <c r="H48" s="8">
        <f t="shared" si="54"/>
        <v>0.42085039594522144</v>
      </c>
      <c r="I48" s="8">
        <f xml:space="preserve"> I47/SQRT(COUNT(I28:I43))</f>
        <v>7.9531594893075281E-3</v>
      </c>
      <c r="J48" s="8">
        <f t="shared" si="54"/>
        <v>1.3500700889535585E-2</v>
      </c>
      <c r="K48" s="8">
        <f t="shared" si="54"/>
        <v>1.0902323911424632E-2</v>
      </c>
      <c r="L48" s="8">
        <f t="shared" ref="L48:M48" si="55" xml:space="preserve"> L47/SQRT(COUNT(L28:L43))</f>
        <v>1.4070866401826298E-2</v>
      </c>
      <c r="M48" s="8">
        <f t="shared" si="55"/>
        <v>1.3082674398700233E-2</v>
      </c>
      <c r="N48" s="8" t="s">
        <v>2</v>
      </c>
      <c r="O48" s="8">
        <f xml:space="preserve"> O47/SQRT(COUNT(O28:O43))</f>
        <v>0.24076090351031579</v>
      </c>
      <c r="P48" s="8">
        <f xml:space="preserve"> P47/SQRT(COUNT(P28:P43))</f>
        <v>0.25586902757649799</v>
      </c>
      <c r="Q48" s="8">
        <f xml:space="preserve"> Q47/SQRT(COUNT(Q28:Q43))</f>
        <v>1.2642337006416728E-2</v>
      </c>
      <c r="R48" s="8">
        <f xml:space="preserve"> R47/SQRT(COUNT(R28:R43))</f>
        <v>0.38764617891778497</v>
      </c>
      <c r="S48" s="8">
        <f t="shared" ref="S48:V48" si="56" xml:space="preserve"> S47/SQRT(COUNT(S28:S43))</f>
        <v>0.47668285649374698</v>
      </c>
      <c r="T48" s="8">
        <f t="shared" si="56"/>
        <v>0.24799311556393241</v>
      </c>
      <c r="U48" s="8">
        <f t="shared" si="56"/>
        <v>0.18157772391646718</v>
      </c>
      <c r="V48" s="8">
        <f t="shared" si="56"/>
        <v>0.24682339055413044</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Cefuroxime-0,001mg/L</v>
      </c>
      <c r="J52" s="46" t="str">
        <f>J4</f>
        <v>Cefuroxime-0,01mg/L</v>
      </c>
      <c r="K52" s="46" t="str">
        <f>K27</f>
        <v>Cefuroxime-0,1mg/L</v>
      </c>
      <c r="L52" s="46" t="str">
        <f t="shared" ref="L52:M52" si="58">L27</f>
        <v>Cefuroxime-1mg/L</v>
      </c>
      <c r="M52" s="46" t="str">
        <f t="shared" si="58"/>
        <v>Cefuroxime-10mg/L</v>
      </c>
      <c r="N52" s="47"/>
      <c r="O52" s="46" t="str">
        <f>O27</f>
        <v>Testo -30µg/L</v>
      </c>
      <c r="P52" s="46" t="str">
        <f>P27</f>
        <v>Testo 30µg/L + EE2 -64ng/L</v>
      </c>
      <c r="Q52" s="46" t="str">
        <f>Q27</f>
        <v>Testo 30µg/L + FAD-10µg/L</v>
      </c>
      <c r="R52" s="46" t="str">
        <f>R27</f>
        <v>Cefuroxime-0,001mg/L + Testostérone</v>
      </c>
      <c r="S52" s="46" t="str">
        <f t="shared" ref="S52:V52" si="59">S27</f>
        <v>Cefuroxime-0,01mg/L + Testostérone</v>
      </c>
      <c r="T52" s="46" t="str">
        <f t="shared" si="59"/>
        <v>Cefuroxime-0,1mg/L + Testostérone</v>
      </c>
      <c r="U52" s="46" t="str">
        <f t="shared" si="59"/>
        <v>Cefuroxime-1mg/L + Testostérone</v>
      </c>
      <c r="V52" s="46" t="str">
        <f t="shared" si="59"/>
        <v>Cefuroxime-10mg/L + Testostérone</v>
      </c>
    </row>
    <row r="53" spans="1:22" s="3" customFormat="1" x14ac:dyDescent="0.35">
      <c r="A53" s="61" t="s">
        <v>32</v>
      </c>
      <c r="B53" s="141">
        <f t="shared" ref="B53:M53" si="60">B46</f>
        <v>2.5003780902281558E-2</v>
      </c>
      <c r="C53" s="141">
        <f t="shared" si="60"/>
        <v>3.7587579630040627E-2</v>
      </c>
      <c r="D53" s="141">
        <f t="shared" si="60"/>
        <v>0.21502241531703259</v>
      </c>
      <c r="E53" s="141">
        <f t="shared" si="60"/>
        <v>0.64158507327735825</v>
      </c>
      <c r="F53" s="141">
        <f t="shared" si="60"/>
        <v>1.3785810014462572</v>
      </c>
      <c r="G53" s="141">
        <f t="shared" si="60"/>
        <v>3.1161419231224654</v>
      </c>
      <c r="H53" s="141">
        <f t="shared" si="60"/>
        <v>3.4068606174093929</v>
      </c>
      <c r="I53" s="141">
        <f t="shared" si="60"/>
        <v>3.2938941111082955E-2</v>
      </c>
      <c r="J53" s="141">
        <f t="shared" si="60"/>
        <v>3.7763751188943838E-2</v>
      </c>
      <c r="K53" s="141">
        <f t="shared" si="60"/>
        <v>5.0271661323502477E-2</v>
      </c>
      <c r="L53" s="141">
        <f t="shared" si="60"/>
        <v>5.6989222196480123E-2</v>
      </c>
      <c r="M53" s="141">
        <f t="shared" si="60"/>
        <v>3.8986671293631321E-2</v>
      </c>
      <c r="N53" s="141"/>
      <c r="O53" s="141">
        <f t="shared" ref="O53:V53" si="61">O46</f>
        <v>0.99999999999999989</v>
      </c>
      <c r="P53" s="141">
        <f t="shared" si="61"/>
        <v>2.4095628465319812</v>
      </c>
      <c r="Q53" s="141">
        <f t="shared" si="61"/>
        <v>4.9186585205394755E-2</v>
      </c>
      <c r="R53" s="141">
        <f t="shared" si="61"/>
        <v>1.2743054650598988</v>
      </c>
      <c r="S53" s="141">
        <f t="shared" si="61"/>
        <v>0.93391681082235622</v>
      </c>
      <c r="T53" s="141">
        <f t="shared" si="61"/>
        <v>0.67749665580658647</v>
      </c>
      <c r="U53" s="141">
        <f t="shared" si="61"/>
        <v>0.82452519127036783</v>
      </c>
      <c r="V53" s="141">
        <f t="shared" si="61"/>
        <v>1.1614801495190161</v>
      </c>
    </row>
    <row r="54" spans="1:22" s="3" customFormat="1" x14ac:dyDescent="0.35">
      <c r="A54" s="61" t="s">
        <v>2</v>
      </c>
      <c r="B54" s="141">
        <f t="shared" ref="B54:M54" si="62">B48</f>
        <v>6.0494459728224525E-3</v>
      </c>
      <c r="C54" s="141">
        <f t="shared" si="62"/>
        <v>9.6993198555436391E-3</v>
      </c>
      <c r="D54" s="141">
        <f t="shared" si="62"/>
        <v>9.6802855220826559E-2</v>
      </c>
      <c r="E54" s="141">
        <f t="shared" si="62"/>
        <v>0.38225920505936611</v>
      </c>
      <c r="F54" s="141">
        <f t="shared" si="62"/>
        <v>0.42721553939887569</v>
      </c>
      <c r="G54" s="141">
        <f t="shared" si="62"/>
        <v>0.63485387932324089</v>
      </c>
      <c r="H54" s="141">
        <f t="shared" si="62"/>
        <v>0.42085039594522144</v>
      </c>
      <c r="I54" s="141">
        <f t="shared" si="62"/>
        <v>7.9531594893075281E-3</v>
      </c>
      <c r="J54" s="141">
        <f t="shared" si="62"/>
        <v>1.3500700889535585E-2</v>
      </c>
      <c r="K54" s="141">
        <f t="shared" si="62"/>
        <v>1.0902323911424632E-2</v>
      </c>
      <c r="L54" s="141">
        <f t="shared" si="62"/>
        <v>1.4070866401826298E-2</v>
      </c>
      <c r="M54" s="141">
        <f t="shared" si="62"/>
        <v>1.3082674398700233E-2</v>
      </c>
      <c r="N54" s="141"/>
      <c r="O54" s="141">
        <f t="shared" ref="O54:V54" si="63">O48</f>
        <v>0.24076090351031579</v>
      </c>
      <c r="P54" s="141">
        <f t="shared" si="63"/>
        <v>0.25586902757649799</v>
      </c>
      <c r="Q54" s="141">
        <f t="shared" si="63"/>
        <v>1.2642337006416728E-2</v>
      </c>
      <c r="R54" s="141">
        <f t="shared" si="63"/>
        <v>0.38764617891778497</v>
      </c>
      <c r="S54" s="141">
        <f t="shared" si="63"/>
        <v>0.47668285649374698</v>
      </c>
      <c r="T54" s="141">
        <f t="shared" si="63"/>
        <v>0.24799311556393241</v>
      </c>
      <c r="U54" s="141">
        <f t="shared" si="63"/>
        <v>0.18157772391646718</v>
      </c>
      <c r="V54" s="141">
        <f t="shared" si="63"/>
        <v>0.24682339055413044</v>
      </c>
    </row>
    <row r="55" spans="1:22" s="3" customFormat="1" x14ac:dyDescent="0.35">
      <c r="A55" s="61" t="s">
        <v>79</v>
      </c>
      <c r="B55" s="141">
        <f t="shared" ref="B55:M55" si="64">(B53*100/$B$53)-100</f>
        <v>0</v>
      </c>
      <c r="C55" s="141">
        <f t="shared" si="64"/>
        <v>50.327583564015384</v>
      </c>
      <c r="D55" s="141">
        <f t="shared" si="64"/>
        <v>759.95960433892662</v>
      </c>
      <c r="E55" s="141">
        <f t="shared" si="64"/>
        <v>2465.952228524025</v>
      </c>
      <c r="F55" s="141">
        <f t="shared" si="64"/>
        <v>5413.4901670829458</v>
      </c>
      <c r="G55" s="141">
        <f t="shared" si="64"/>
        <v>12362.682885043685</v>
      </c>
      <c r="H55" s="141">
        <f t="shared" si="64"/>
        <v>13525.381820149136</v>
      </c>
      <c r="I55" s="141">
        <f t="shared" si="64"/>
        <v>31.735841230624942</v>
      </c>
      <c r="J55" s="141">
        <f t="shared" si="64"/>
        <v>51.032163241751789</v>
      </c>
      <c r="K55" s="141">
        <f t="shared" si="64"/>
        <v>101.05623833440029</v>
      </c>
      <c r="L55" s="141">
        <f t="shared" si="64"/>
        <v>127.92241869020674</v>
      </c>
      <c r="M55" s="141">
        <f t="shared" si="64"/>
        <v>55.923103973742826</v>
      </c>
      <c r="N55" s="141"/>
      <c r="O55" s="141">
        <f>(O53*100/$O$53)-100</f>
        <v>0</v>
      </c>
      <c r="P55" s="141">
        <f t="shared" ref="P55:V55" si="65">(P53*100/$O$53)-100</f>
        <v>140.95628465319814</v>
      </c>
      <c r="Q55" s="141">
        <f t="shared" si="65"/>
        <v>-95.081341479460519</v>
      </c>
      <c r="R55" s="141">
        <f t="shared" si="65"/>
        <v>27.430546505989895</v>
      </c>
      <c r="S55" s="141">
        <f t="shared" si="65"/>
        <v>-6.6083189177643646</v>
      </c>
      <c r="T55" s="141">
        <f t="shared" si="65"/>
        <v>-32.250334419341343</v>
      </c>
      <c r="U55" s="141">
        <f t="shared" si="65"/>
        <v>-17.547480872963206</v>
      </c>
      <c r="V55" s="141">
        <f t="shared" si="65"/>
        <v>16.148014951901629</v>
      </c>
    </row>
    <row r="56" spans="1:22" s="3" customFormat="1" x14ac:dyDescent="0.35">
      <c r="A56" s="61" t="s">
        <v>81</v>
      </c>
      <c r="B56" s="141">
        <f>[1]!SWTEST(B28:B43)</f>
        <v>0.17964431825444105</v>
      </c>
      <c r="C56" s="141">
        <f>[1]!SWTEST(C28:C43)</f>
        <v>0.58944388113431134</v>
      </c>
      <c r="D56" s="141">
        <f>[1]!SWTEST(D28:D43)</f>
        <v>1.3159420649785369E-3</v>
      </c>
      <c r="E56" s="141">
        <f>[1]!SWTEST(E28:E43)</f>
        <v>2.315362402612875E-4</v>
      </c>
      <c r="F56" s="141">
        <f>[1]!SWTEST(F28:F43)</f>
        <v>0.28895482570949771</v>
      </c>
      <c r="G56" s="141">
        <f>[1]!SWTEST(G28:G43)</f>
        <v>1.6096811232468422E-2</v>
      </c>
      <c r="H56" s="141">
        <f>[1]!SWTEST(H28:H43)</f>
        <v>9.3969813475919595E-2</v>
      </c>
      <c r="I56" s="141">
        <f>[1]!SWTEST(I28:I43)</f>
        <v>0.49773503958799337</v>
      </c>
      <c r="J56" s="141">
        <f>[1]!SWTEST(J28:J43)</f>
        <v>4.5573709101372373E-2</v>
      </c>
      <c r="K56" s="141">
        <f>[1]!SWTEST(K28:K43)</f>
        <v>0.19166194324363128</v>
      </c>
      <c r="L56" s="141">
        <f>[1]!SWTEST(L28:L43)</f>
        <v>0.48293259832789337</v>
      </c>
      <c r="M56" s="141">
        <f>[1]!SWTEST(M28:M43)</f>
        <v>0.15099635609714435</v>
      </c>
      <c r="N56" s="141"/>
      <c r="O56" s="141">
        <f>[1]!SWTEST(O28:O43)</f>
        <v>3.5807868780829422E-3</v>
      </c>
      <c r="P56" s="141">
        <f>[1]!SWTEST(P28:P43)</f>
        <v>0.75559660087052238</v>
      </c>
      <c r="Q56" s="141">
        <f>[1]!SWTEST(Q28:Q43)</f>
        <v>1.7825783024104647E-3</v>
      </c>
      <c r="R56" s="141">
        <f>[1]!SWTEST(R28:R43)</f>
        <v>2.0258527739138832E-2</v>
      </c>
      <c r="S56" s="141">
        <f>[1]!SWTEST(S28:S43)</f>
        <v>2.335778400917965E-2</v>
      </c>
      <c r="T56" s="141">
        <f>[1]!SWTEST(T28:T43)</f>
        <v>0.18793954959370529</v>
      </c>
      <c r="U56" s="141">
        <f>[1]!SWTEST(U28:U43)</f>
        <v>0.29289696129588116</v>
      </c>
      <c r="V56" s="141">
        <f>[1]!SWTEST(V28:V43)</f>
        <v>0.13022029455856599</v>
      </c>
    </row>
    <row r="57" spans="1:22" s="3" customFormat="1" x14ac:dyDescent="0.35">
      <c r="A57" s="61" t="s">
        <v>85</v>
      </c>
      <c r="B57" s="141" t="str">
        <f t="shared" ref="B57:M57" si="66">IF(B56&gt;0.05,"Oui","Non")</f>
        <v>Oui</v>
      </c>
      <c r="C57" s="141" t="str">
        <f t="shared" si="66"/>
        <v>Oui</v>
      </c>
      <c r="D57" s="141" t="str">
        <f t="shared" si="66"/>
        <v>Non</v>
      </c>
      <c r="E57" s="141" t="str">
        <f t="shared" si="66"/>
        <v>Non</v>
      </c>
      <c r="F57" s="141" t="str">
        <f t="shared" si="66"/>
        <v>Oui</v>
      </c>
      <c r="G57" s="141" t="str">
        <f t="shared" si="66"/>
        <v>Non</v>
      </c>
      <c r="H57" s="141" t="str">
        <f t="shared" si="66"/>
        <v>Oui</v>
      </c>
      <c r="I57" s="141" t="str">
        <f t="shared" si="66"/>
        <v>Oui</v>
      </c>
      <c r="J57" s="141" t="str">
        <f t="shared" si="66"/>
        <v>Non</v>
      </c>
      <c r="K57" s="141" t="str">
        <f t="shared" si="66"/>
        <v>Oui</v>
      </c>
      <c r="L57" s="141" t="str">
        <f t="shared" si="66"/>
        <v>Oui</v>
      </c>
      <c r="M57" s="141" t="str">
        <f t="shared" si="66"/>
        <v>Oui</v>
      </c>
      <c r="N57" s="141"/>
      <c r="O57" s="141" t="str">
        <f t="shared" ref="O57:V57" si="67">IF(O56&gt;0.05,"Oui","Non")</f>
        <v>Non</v>
      </c>
      <c r="P57" s="141" t="str">
        <f t="shared" si="67"/>
        <v>Oui</v>
      </c>
      <c r="Q57" s="141" t="str">
        <f t="shared" si="67"/>
        <v>Non</v>
      </c>
      <c r="R57" s="141" t="str">
        <f t="shared" si="67"/>
        <v>Non</v>
      </c>
      <c r="S57" s="141" t="str">
        <f t="shared" si="67"/>
        <v>Non</v>
      </c>
      <c r="T57" s="141" t="str">
        <f t="shared" si="67"/>
        <v>Oui</v>
      </c>
      <c r="U57" s="141" t="str">
        <f t="shared" si="67"/>
        <v>Oui</v>
      </c>
      <c r="V57" s="141" t="str">
        <f t="shared" si="67"/>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M59" si="68">IF($B57="Non",IF(C$57="Non","Mann Withney",IF(C$57="Oui","Mann Withney","")),IF($B$57="Oui",IF(C$57="Oui","T-Test Welch",IF(C$57="Non","Mann Withney",""))))</f>
        <v>T-Test Welch</v>
      </c>
      <c r="D59" s="150" t="str">
        <f t="shared" si="68"/>
        <v>Mann Withney</v>
      </c>
      <c r="E59" s="150" t="str">
        <f t="shared" si="68"/>
        <v>Mann Withney</v>
      </c>
      <c r="F59" s="150" t="str">
        <f t="shared" si="68"/>
        <v>T-Test Welch</v>
      </c>
      <c r="G59" s="150" t="str">
        <f t="shared" si="68"/>
        <v>Mann Withney</v>
      </c>
      <c r="H59" s="150" t="str">
        <f t="shared" si="68"/>
        <v>T-Test Welch</v>
      </c>
      <c r="I59" s="150" t="str">
        <f t="shared" si="68"/>
        <v>T-Test Welch</v>
      </c>
      <c r="J59" s="150" t="str">
        <f t="shared" si="68"/>
        <v>Mann Withney</v>
      </c>
      <c r="K59" s="150" t="str">
        <f t="shared" si="68"/>
        <v>T-Test Welch</v>
      </c>
      <c r="L59" s="150" t="str">
        <f t="shared" si="68"/>
        <v>T-Test Welch</v>
      </c>
      <c r="M59" s="150" t="str">
        <f t="shared" si="68"/>
        <v>T-Test Welch</v>
      </c>
      <c r="N59" s="150"/>
      <c r="O59" s="150" t="str">
        <f>IF($B57="Non",IF(O$57="Non","Mann Withney",IF(O$57="Oui","Mann Withney","")),IF($B$57="Oui",IF(O$57="Oui","T-Test Welch",IF(O$57="Non","Mann Withney",""))))</f>
        <v>Mann Withney</v>
      </c>
      <c r="P59" s="150" t="str">
        <f>IF($O57="Non",IF(P$57="Non","Mann Withney",IF(P$57="Oui","Mann Withney","")),IF($O$57="Oui",IF(P$57="Oui","T-Test Welch",IF(P$57="Non","Mann Withney",""))))</f>
        <v>Mann Withney</v>
      </c>
      <c r="Q59" s="150" t="str">
        <f t="shared" ref="Q59:V59" si="69">IF($O57="Non",IF(Q$57="Non","Mann Withney",IF(Q$57="Oui","Mann Withney","")),IF($O$57="Oui",IF(Q$57="Oui","T-Test Welch",IF(Q$57="Non","Mann Withney",""))))</f>
        <v>Mann Withney</v>
      </c>
      <c r="R59" s="150" t="str">
        <f t="shared" si="69"/>
        <v>Mann Withney</v>
      </c>
      <c r="S59" s="150" t="str">
        <f t="shared" si="69"/>
        <v>Mann Withney</v>
      </c>
      <c r="T59" s="150" t="str">
        <f t="shared" si="69"/>
        <v>Mann Withney</v>
      </c>
      <c r="U59" s="150" t="str">
        <f t="shared" si="69"/>
        <v>Mann Withney</v>
      </c>
      <c r="V59" s="150" t="str">
        <f t="shared" si="69"/>
        <v>Mann Withney</v>
      </c>
    </row>
    <row r="60" spans="1:22" s="3" customFormat="1" x14ac:dyDescent="0.35">
      <c r="A60" s="61" t="s">
        <v>83</v>
      </c>
      <c r="B60" s="151"/>
      <c r="C60" s="151">
        <f>IF(C59="Mann Withney",[1]!MTEST($B28:$B43,C28:C43,2), IF(C59="T-Test Welch",_xlfn.T.TEST($B28:$B43,C28:C43,2,3),""))</f>
        <v>0.2930483280254883</v>
      </c>
      <c r="D60" s="151">
        <f>IF(D59="Mann Withney",[1]!MTEST($B28:$B43,D28:D43,2), IF(D59="T-Test Welch",_xlfn.T.TEST($B28:$B43,D28:D43,2,3),""))</f>
        <v>4.5744394562106105E-3</v>
      </c>
      <c r="E60" s="151">
        <f>IF(E59="Mann Withney",[1]!MTEST($B28:$B43,E28:E43,2), IF(E59="T-Test Welch",_xlfn.T.TEST($B28:$B43,E28:E43,2,3),""))</f>
        <v>8.6515415339474266E-3</v>
      </c>
      <c r="F60" s="151">
        <f>IF(F59="Mann Withney",[1]!MTEST($B28:$B43,F28:F43,2), IF(F59="T-Test Welch",_xlfn.T.TEST($B28:$B43,F28:F43,2,3),""))</f>
        <v>1.5742162290698372E-2</v>
      </c>
      <c r="G60" s="151">
        <f>IF(G59="Mann Withney",[1]!MTEST($B28:$B43,G28:G43,2), IF(G59="T-Test Welch",_xlfn.T.TEST($B28:$B43,G28:G43,2,3),""))</f>
        <v>7.7753044694039986E-4</v>
      </c>
      <c r="H60" s="151">
        <f>IF(H59="Mann Withney",[1]!MTEST($B28:$B43,H28:H43,2), IF(H59="T-Test Welch",_xlfn.T.TEST($B28:$B43,H28:H43,2,3),""))</f>
        <v>8.8449427259515887E-5</v>
      </c>
      <c r="I60" s="151">
        <f>IF(I59="Mann Withney",[1]!MTEST($B28:$B43,I28:I43,2), IF(I59="T-Test Welch",_xlfn.T.TEST($B28:$B43,I28:I43,2,3),""))</f>
        <v>0.44130924384804016</v>
      </c>
      <c r="J60" s="151">
        <f>IF(J59="Mann Withney",[1]!MTEST($B28:$B43,J28:J43,2), IF(J59="T-Test Welch",_xlfn.T.TEST($B28:$B43,J28:J43,2,3),""))</f>
        <v>0.46224994612554271</v>
      </c>
      <c r="K60" s="151">
        <f>IF(K59="Mann Withney",[1]!MTEST($B28:$B43,K28:K43,2), IF(K59="T-Test Welch",_xlfn.T.TEST($B28:$B43,K28:K43,2,3),""))</f>
        <v>6.7793578704005916E-2</v>
      </c>
      <c r="L60" s="151">
        <f>IF(L59="Mann Withney",[1]!MTEST($B28:$B43,L28:L43,2), IF(L59="T-Test Welch",_xlfn.T.TEST($B28:$B43,L28:L43,2,3),""))</f>
        <v>6.4744152438487107E-2</v>
      </c>
      <c r="M60" s="151">
        <f>IF(M59="Mann Withney",[1]!MTEST($B28:$B43,M28:M43,2), IF(M59="T-Test Welch",_xlfn.T.TEST($B28:$B43,M28:M43,2,3),""))</f>
        <v>0.35517740802386533</v>
      </c>
      <c r="N60" s="151"/>
      <c r="O60" s="151">
        <f>IF(O59="Mann Withney",[1]!MTEST($B28:$B43,O28:O43,2), IF(O59="T-Test Welch",_xlfn.T.TEST($B28:$B43,O28:O43,2,3),""))</f>
        <v>1.1434374037588846E-4</v>
      </c>
      <c r="P60" s="151">
        <f>IF(P59="Mann Withney",[1]!MTEST($O28:$O43,P28:P43,2), IF(P59="T-Test Welch",_xlfn.T.TEST($O28:$O43,P28:P43,2,3),""))</f>
        <v>3.2886143038479698E-3</v>
      </c>
      <c r="Q60" s="151">
        <f>IF(Q59="Mann Withney",[1]!MTEST($O28:$O43,Q28:Q43,2), IF(Q59="T-Test Welch",_xlfn.T.TEST($O28:$O43,Q28:Q43,2,3),""))</f>
        <v>3.8266353795202157E-4</v>
      </c>
      <c r="R60" s="151">
        <f>IF(R59="Mann Withney",[1]!MTEST($O28:$O43,R28:R43,2), IF(R59="T-Test Welch",_xlfn.T.TEST($O28:$O43,R28:R43,2,3),""))</f>
        <v>0.33583089893655305</v>
      </c>
      <c r="S60" s="151">
        <f>IF(S59="Mann Withney",[1]!MTEST($O28:$O43,S28:S43,2), IF(S59="T-Test Welch",_xlfn.T.TEST($O28:$O43,S28:S43,2,3),""))</f>
        <v>0.50403586645250464</v>
      </c>
      <c r="T60" s="151">
        <f>IF(T59="Mann Withney",[1]!MTEST($O28:$O43,T28:T43,2), IF(T59="T-Test Welch",_xlfn.T.TEST($O28:$O43,T28:T43,2,3),""))</f>
        <v>0.39126727928263927</v>
      </c>
      <c r="U60" s="151">
        <f>IF(U59="Mann Withney",[1]!MTEST($O28:$O43,U28:U43,2), IF(U59="T-Test Welch",_xlfn.T.TEST($O28:$O43,U28:U43,2,3),""))</f>
        <v>0.95117026929693571</v>
      </c>
      <c r="V60" s="151">
        <f>IF(V59="Mann Withney",[1]!MTEST($O28:$O43,V28:V43,2), IF(V59="T-Test Welch",_xlfn.T.TEST($O28:$O43,V28:V43,2,3),""))</f>
        <v>0.42598311654491883</v>
      </c>
    </row>
    <row r="61" spans="1:22" s="3" customFormat="1" ht="15" thickBot="1" x14ac:dyDescent="0.4">
      <c r="A61" s="62" t="s">
        <v>84</v>
      </c>
      <c r="B61" s="142"/>
      <c r="C61" s="142" t="str">
        <f t="shared" ref="C61:M61" si="70">IF(C60&gt;0.05,"NS",IF(C60&gt;0.01,"*",IF(C60&gt;0.001,"**","***")))</f>
        <v>NS</v>
      </c>
      <c r="D61" s="142" t="str">
        <f t="shared" si="70"/>
        <v>**</v>
      </c>
      <c r="E61" s="142" t="str">
        <f t="shared" si="70"/>
        <v>**</v>
      </c>
      <c r="F61" s="142" t="str">
        <f t="shared" si="70"/>
        <v>*</v>
      </c>
      <c r="G61" s="142" t="str">
        <f t="shared" si="70"/>
        <v>***</v>
      </c>
      <c r="H61" s="142" t="str">
        <f t="shared" si="70"/>
        <v>***</v>
      </c>
      <c r="I61" s="142" t="str">
        <f t="shared" si="70"/>
        <v>NS</v>
      </c>
      <c r="J61" s="142" t="str">
        <f t="shared" si="70"/>
        <v>NS</v>
      </c>
      <c r="K61" s="142" t="str">
        <f t="shared" si="70"/>
        <v>NS</v>
      </c>
      <c r="L61" s="142" t="str">
        <f t="shared" si="70"/>
        <v>NS</v>
      </c>
      <c r="M61" s="142" t="str">
        <f t="shared" si="70"/>
        <v>NS</v>
      </c>
      <c r="N61" s="142"/>
      <c r="O61" s="142" t="str">
        <f>IF(O60&gt;0.05,"NS",IF(O60&gt;0.01,"*",IF(O60&gt;0.001,"**","***")))</f>
        <v>***</v>
      </c>
      <c r="P61" s="142" t="str">
        <f>IF(P60&gt;0.05,"NS",IF(P60&gt;0.01,"*",IF(P60&gt;0.001,"**","***")))</f>
        <v>**</v>
      </c>
      <c r="Q61" s="142" t="str">
        <f t="shared" ref="Q61" si="71">IF(Q60&gt;0.05,"NS",IF(Q60&gt;0.01,"*",IF(Q60&gt;0.001,"**","***")))</f>
        <v>***</v>
      </c>
      <c r="R61" s="142" t="str">
        <f t="shared" ref="R61" si="72">IF(R60&gt;0.05,"NS",IF(R60&gt;0.01,"*",IF(R60&gt;0.001,"**","***")))</f>
        <v>NS</v>
      </c>
      <c r="S61" s="142" t="str">
        <f t="shared" ref="S61" si="73">IF(S60&gt;0.05,"NS",IF(S60&gt;0.01,"*",IF(S60&gt;0.001,"**","***")))</f>
        <v>NS</v>
      </c>
      <c r="T61" s="142" t="str">
        <f t="shared" ref="T61" si="74">IF(T60&gt;0.05,"NS",IF(T60&gt;0.01,"*",IF(T60&gt;0.001,"**","***")))</f>
        <v>NS</v>
      </c>
      <c r="U61" s="142" t="str">
        <f t="shared" ref="U61" si="75">IF(U60&gt;0.05,"NS",IF(U60&gt;0.01,"*",IF(U60&gt;0.001,"**","***")))</f>
        <v>NS</v>
      </c>
      <c r="V61" s="142" t="str">
        <f t="shared" ref="V61" si="76">IF(V60&gt;0.05,"NS",IF(V60&gt;0.01,"*",IF(V60&gt;0.001,"**","***")))</f>
        <v>NS</v>
      </c>
    </row>
    <row r="63" spans="1:22" x14ac:dyDescent="0.35">
      <c r="A63" s="2" t="s">
        <v>39</v>
      </c>
    </row>
    <row r="64" spans="1:22" x14ac:dyDescent="0.35">
      <c r="A64" s="1" t="s">
        <v>23</v>
      </c>
      <c r="B64" s="1">
        <f>B46+(3*B47)</f>
        <v>7.633503213993445E-2</v>
      </c>
    </row>
    <row r="65" spans="1:22" x14ac:dyDescent="0.35">
      <c r="A65" s="1" t="s">
        <v>24</v>
      </c>
      <c r="B65" s="1">
        <f>B46+(10*B47)</f>
        <v>0.19610795169445783</v>
      </c>
    </row>
    <row r="66" spans="1:22" ht="15" thickBot="1" x14ac:dyDescent="0.4"/>
    <row r="67" spans="1:22" s="1" customFormat="1" ht="26.5" thickBot="1" x14ac:dyDescent="0.65">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5">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5">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5">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5">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5">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5">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5">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5">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5">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5">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5">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5">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5">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5">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5">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5">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5">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5">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5">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5">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5">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5">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5">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5">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5">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5">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5">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5">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5">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5">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5">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5">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5">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5">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5">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5">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5">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5">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5">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5">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5">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5">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5">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5">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5">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5">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5">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5">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5">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5">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5">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5">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5">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5">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5">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5">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5">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5">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5">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5">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5">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5">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5">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5">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5">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5">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5">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5">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5">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5">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5">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5">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5">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5">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5">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5">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5">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5">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5">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5">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5">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5">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5">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5">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5">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5">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5">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5">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5">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5">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5">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5">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5">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5">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5">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5">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5">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5">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5">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5">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5">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5">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5">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5">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5">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5">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5">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5">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5">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5">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5">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5">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5">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5">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5">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5">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5">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5">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5">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5">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5">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5">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5">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5">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5">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5">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5">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5">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5">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5">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5">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5">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5">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5">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5">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5">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5">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5">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5">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5">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5">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5">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5">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5">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5">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5">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5">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5">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5">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5">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5">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5">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5">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5">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5">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5">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5">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5">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5">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5">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5">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5">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5">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5">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5">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5">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5">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5">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5">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5">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5">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5">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5">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5">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5">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5">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5">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5">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5">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5">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5">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5">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5">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5">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5">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5">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5">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5">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5">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5">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5">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5">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5">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5">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5">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5">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5">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5">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5">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5">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5">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5">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5">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5">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5">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5">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5">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5">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5">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5">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5">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5">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5">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5">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5">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5">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5">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5">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5">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5">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5">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5">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5">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5">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5">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5">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5">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5">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5">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5">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5">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5">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5">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5">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5">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5">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5">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5">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5">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5">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5">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5">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5">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5">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5">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5">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5">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5">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5">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5">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5">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5">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5">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5">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5">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5">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5">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5">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5">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5">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5">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5">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5">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5">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5">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5">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5">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5">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5">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5">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5">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5">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5">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5">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5">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5">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5">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5">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5">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5">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5">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5">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5">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5">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5">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5">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5">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5">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5">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5">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5">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5">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5">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5">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5">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5">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5">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5">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5">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5">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5">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5">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5">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5">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5">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5">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5">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5">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5">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5">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5">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5">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5">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5">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5">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5">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5">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5">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5">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5">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5">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5">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5">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5">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5">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5">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5">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5">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5">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5">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5">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5">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5">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5">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5">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5">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5">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5">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5">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5">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5">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5">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5">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5">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5">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5">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5">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5">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5">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5">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5">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5">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5">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5">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5">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M1" zoomScale="70" zoomScaleNormal="70" zoomScaleSheetLayoutView="40" zoomScalePageLayoutView="30" workbookViewId="0">
      <selection activeCell="R5" sqref="R5:R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4"/>
    <row r="3" spans="1:22" ht="15" thickBot="1" x14ac:dyDescent="0.4">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Cefuroxime-0,001mg/L</v>
      </c>
      <c r="J4" s="35" t="str">
        <f>'Page de garde'!A16</f>
        <v>Cefuroxime-0,01mg/L</v>
      </c>
      <c r="K4" s="35" t="str">
        <f>'Page de garde'!A17</f>
        <v>Cefuroxime-0,1mg/L</v>
      </c>
      <c r="L4" s="35" t="str">
        <f>'Page de garde'!A18</f>
        <v>Cefuroxime-1mg/L</v>
      </c>
      <c r="M4" s="35" t="str">
        <f>'Page de garde'!A19</f>
        <v>Cefuroxime-10mg/L</v>
      </c>
      <c r="N4" s="3"/>
      <c r="O4" s="36" t="str">
        <f>'Page de garde'!A36</f>
        <v>Testo -30µg/L</v>
      </c>
      <c r="P4" s="36" t="str">
        <f>'Page de garde'!A37</f>
        <v>Testo 30µg/L + EE2 -64ng/L</v>
      </c>
      <c r="Q4" s="36" t="str">
        <f>'Page de garde'!A38</f>
        <v>Testo 30µg/L + FAD-10µg/L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23" t="s">
        <v>33</v>
      </c>
      <c r="B5" s="32">
        <v>67745</v>
      </c>
      <c r="C5" s="32">
        <v>52445</v>
      </c>
      <c r="D5" s="32">
        <v>739976</v>
      </c>
      <c r="E5" s="32">
        <v>1208134</v>
      </c>
      <c r="F5" s="32">
        <v>4811721</v>
      </c>
      <c r="G5" s="32">
        <v>8084938</v>
      </c>
      <c r="H5" s="32">
        <v>4629766</v>
      </c>
      <c r="I5" s="32">
        <v>106628</v>
      </c>
      <c r="J5" s="32">
        <v>58434</v>
      </c>
      <c r="K5" s="13">
        <v>15190</v>
      </c>
      <c r="L5" s="13">
        <v>12102</v>
      </c>
      <c r="M5" s="13">
        <v>4209</v>
      </c>
      <c r="N5" s="3"/>
      <c r="O5" s="32">
        <v>820181</v>
      </c>
      <c r="P5" s="13">
        <v>6630058</v>
      </c>
      <c r="Q5" s="13">
        <v>15675</v>
      </c>
      <c r="R5" s="32">
        <v>75720</v>
      </c>
      <c r="S5" s="32">
        <v>1548540</v>
      </c>
      <c r="T5" s="32">
        <v>1749691</v>
      </c>
      <c r="U5" s="32">
        <v>7106480</v>
      </c>
      <c r="V5" s="32">
        <v>751289</v>
      </c>
    </row>
    <row r="6" spans="1:22" ht="16.5" x14ac:dyDescent="0.35">
      <c r="A6" s="223"/>
      <c r="B6" s="14">
        <v>107450</v>
      </c>
      <c r="C6" s="13">
        <v>718991</v>
      </c>
      <c r="D6" s="32">
        <v>49541</v>
      </c>
      <c r="E6" s="32">
        <v>435645</v>
      </c>
      <c r="F6" s="32">
        <v>5611797</v>
      </c>
      <c r="G6" s="32">
        <v>8920633</v>
      </c>
      <c r="H6" s="32">
        <v>12041526</v>
      </c>
      <c r="I6" s="32">
        <v>83302</v>
      </c>
      <c r="J6" s="32">
        <v>59935</v>
      </c>
      <c r="K6" s="13">
        <v>125357</v>
      </c>
      <c r="L6" s="13">
        <v>4650</v>
      </c>
      <c r="M6" s="13">
        <v>30674</v>
      </c>
      <c r="N6" s="3"/>
      <c r="O6" s="32">
        <v>940573</v>
      </c>
      <c r="P6" s="13">
        <v>4204481</v>
      </c>
      <c r="Q6" s="13">
        <v>221788</v>
      </c>
      <c r="R6" s="32">
        <v>7802</v>
      </c>
      <c r="S6" s="32">
        <v>144074</v>
      </c>
      <c r="T6" s="32">
        <v>111796</v>
      </c>
      <c r="U6" s="32">
        <v>2159411</v>
      </c>
      <c r="V6" s="32">
        <v>374581</v>
      </c>
    </row>
    <row r="7" spans="1:22" ht="16.5" x14ac:dyDescent="0.35">
      <c r="A7" s="223"/>
      <c r="B7" s="14">
        <v>36720</v>
      </c>
      <c r="C7" s="13">
        <v>256973</v>
      </c>
      <c r="D7" s="32">
        <v>304214</v>
      </c>
      <c r="E7" s="32">
        <v>4278538</v>
      </c>
      <c r="F7" s="32">
        <v>4735914</v>
      </c>
      <c r="G7" s="32">
        <v>7585758</v>
      </c>
      <c r="H7" s="32">
        <v>12306662</v>
      </c>
      <c r="I7" s="32">
        <v>50958</v>
      </c>
      <c r="J7" s="32">
        <v>42468</v>
      </c>
      <c r="K7" s="13">
        <v>104229</v>
      </c>
      <c r="L7" s="13">
        <v>6799</v>
      </c>
      <c r="M7" s="13">
        <v>25924</v>
      </c>
      <c r="N7" s="3"/>
      <c r="O7" s="32">
        <v>399361</v>
      </c>
      <c r="P7" s="13">
        <v>5811892</v>
      </c>
      <c r="Q7" s="13">
        <v>12147</v>
      </c>
      <c r="R7" s="32">
        <v>4342371</v>
      </c>
      <c r="S7" s="32">
        <v>120166</v>
      </c>
      <c r="T7" s="32">
        <v>1213268</v>
      </c>
      <c r="U7" s="32">
        <v>20616</v>
      </c>
      <c r="V7" s="32">
        <v>157929</v>
      </c>
    </row>
    <row r="8" spans="1:22" ht="16.5" x14ac:dyDescent="0.35">
      <c r="A8" s="223"/>
      <c r="B8" s="14">
        <v>35033</v>
      </c>
      <c r="C8" s="13">
        <v>130350</v>
      </c>
      <c r="D8" s="32">
        <v>631100</v>
      </c>
      <c r="E8" s="32">
        <v>3239177</v>
      </c>
      <c r="F8" s="32">
        <v>5999659</v>
      </c>
      <c r="G8" s="32">
        <v>6143819</v>
      </c>
      <c r="H8" s="32">
        <v>15545029</v>
      </c>
      <c r="I8" s="32">
        <v>297718</v>
      </c>
      <c r="J8" s="32">
        <v>278011</v>
      </c>
      <c r="K8" s="13">
        <v>146049</v>
      </c>
      <c r="L8" s="13">
        <v>38617</v>
      </c>
      <c r="M8" s="13">
        <v>29599</v>
      </c>
      <c r="N8" s="3"/>
      <c r="O8" s="32">
        <v>229095</v>
      </c>
      <c r="P8" s="13">
        <v>6574735</v>
      </c>
      <c r="Q8" s="13">
        <v>164850</v>
      </c>
      <c r="R8" s="32">
        <v>2283822</v>
      </c>
      <c r="S8" s="32">
        <v>130231</v>
      </c>
      <c r="T8" s="32">
        <v>105339</v>
      </c>
      <c r="U8" s="32">
        <v>3809</v>
      </c>
      <c r="V8" s="32">
        <v>109740</v>
      </c>
    </row>
    <row r="9" spans="1:22" ht="16.5" x14ac:dyDescent="0.35">
      <c r="A9" s="223"/>
      <c r="B9" s="14">
        <v>105079</v>
      </c>
      <c r="C9" s="13">
        <v>27437</v>
      </c>
      <c r="D9" s="32">
        <v>17719</v>
      </c>
      <c r="E9" s="32">
        <v>1669083</v>
      </c>
      <c r="F9" s="32">
        <v>2617217</v>
      </c>
      <c r="G9" s="32">
        <v>5906315</v>
      </c>
      <c r="H9" s="32">
        <v>13307103</v>
      </c>
      <c r="I9" s="32">
        <v>155530</v>
      </c>
      <c r="J9" s="32">
        <v>3068</v>
      </c>
      <c r="K9" s="13">
        <v>19721</v>
      </c>
      <c r="L9" s="13">
        <v>169834</v>
      </c>
      <c r="M9" s="13">
        <v>76113</v>
      </c>
      <c r="N9" s="3"/>
      <c r="O9" s="32">
        <v>66563</v>
      </c>
      <c r="P9" s="13">
        <v>2685382</v>
      </c>
      <c r="Q9" s="13">
        <v>91503</v>
      </c>
      <c r="R9" s="32">
        <v>5027989</v>
      </c>
      <c r="S9" s="32">
        <v>2260121</v>
      </c>
      <c r="T9" s="32">
        <v>210604</v>
      </c>
      <c r="U9" s="32">
        <v>279259</v>
      </c>
      <c r="V9" s="32">
        <v>284492</v>
      </c>
    </row>
    <row r="10" spans="1:22" ht="16.5" x14ac:dyDescent="0.35">
      <c r="A10" s="223"/>
      <c r="B10" s="14">
        <v>56550</v>
      </c>
      <c r="C10" s="13">
        <v>49552</v>
      </c>
      <c r="D10" s="32">
        <v>145923</v>
      </c>
      <c r="E10" s="32">
        <v>4072882</v>
      </c>
      <c r="F10" s="32">
        <v>6826551</v>
      </c>
      <c r="G10" s="32">
        <v>8561958</v>
      </c>
      <c r="H10" s="32">
        <v>11018668</v>
      </c>
      <c r="I10" s="32">
        <v>127726</v>
      </c>
      <c r="J10" s="32">
        <v>133967</v>
      </c>
      <c r="K10" s="13">
        <v>53970</v>
      </c>
      <c r="L10" s="13">
        <v>98455</v>
      </c>
      <c r="M10" s="13">
        <v>56515</v>
      </c>
      <c r="N10" s="3"/>
      <c r="O10" s="32">
        <v>501155</v>
      </c>
      <c r="P10" s="13">
        <v>4673068</v>
      </c>
      <c r="Q10" s="13">
        <v>161818</v>
      </c>
      <c r="R10" s="32">
        <v>1915444</v>
      </c>
      <c r="S10" s="32">
        <v>858877</v>
      </c>
      <c r="T10" s="32">
        <v>313683</v>
      </c>
      <c r="U10" s="32">
        <v>749315</v>
      </c>
      <c r="V10" s="32">
        <v>163015</v>
      </c>
    </row>
    <row r="11" spans="1:22" ht="16.5" x14ac:dyDescent="0.35">
      <c r="A11" s="223"/>
      <c r="B11" s="14">
        <v>406971</v>
      </c>
      <c r="C11" s="13">
        <v>191595</v>
      </c>
      <c r="D11" s="32">
        <v>176611</v>
      </c>
      <c r="E11" s="32">
        <v>1220120</v>
      </c>
      <c r="F11" s="32">
        <v>3186942</v>
      </c>
      <c r="G11" s="32">
        <v>7776477</v>
      </c>
      <c r="H11" s="32">
        <v>16238130</v>
      </c>
      <c r="I11" s="32">
        <v>62399</v>
      </c>
      <c r="J11" s="32">
        <v>29674</v>
      </c>
      <c r="K11" s="13">
        <v>7328</v>
      </c>
      <c r="L11" s="13">
        <v>158617</v>
      </c>
      <c r="M11" s="13">
        <v>50199</v>
      </c>
      <c r="N11" s="3"/>
      <c r="O11" s="32">
        <v>26488</v>
      </c>
      <c r="P11" s="13">
        <v>6268133</v>
      </c>
      <c r="Q11" s="13">
        <v>4426</v>
      </c>
      <c r="R11" s="32">
        <v>105997</v>
      </c>
      <c r="S11" s="32">
        <v>190391</v>
      </c>
      <c r="T11" s="32">
        <v>2372420</v>
      </c>
      <c r="U11" s="32">
        <v>55926</v>
      </c>
      <c r="V11" s="32">
        <v>1281756</v>
      </c>
    </row>
    <row r="12" spans="1:22" ht="16.5" x14ac:dyDescent="0.35">
      <c r="A12" s="223"/>
      <c r="B12" s="14">
        <v>26565</v>
      </c>
      <c r="C12" s="13">
        <v>130730</v>
      </c>
      <c r="D12" s="32">
        <v>340433</v>
      </c>
      <c r="E12" s="32">
        <v>2103002</v>
      </c>
      <c r="F12" s="32">
        <v>8089562</v>
      </c>
      <c r="G12" s="32">
        <v>7400511</v>
      </c>
      <c r="H12" s="32">
        <v>9030912</v>
      </c>
      <c r="I12" s="32">
        <v>108488</v>
      </c>
      <c r="J12" s="32">
        <v>119254</v>
      </c>
      <c r="K12" s="13">
        <v>88062</v>
      </c>
      <c r="L12" s="13">
        <v>379793</v>
      </c>
      <c r="M12" s="13">
        <v>56612</v>
      </c>
      <c r="N12" s="3"/>
      <c r="O12" s="32">
        <v>1375680</v>
      </c>
      <c r="P12" s="13">
        <v>7756132</v>
      </c>
      <c r="Q12" s="13">
        <v>108657</v>
      </c>
      <c r="R12" s="32">
        <v>112654</v>
      </c>
      <c r="S12" s="32">
        <v>5740</v>
      </c>
      <c r="T12" s="32">
        <v>833603</v>
      </c>
      <c r="U12" s="32">
        <v>1430388</v>
      </c>
      <c r="V12" s="32">
        <v>3050777</v>
      </c>
    </row>
    <row r="13" spans="1:22" ht="16.5" x14ac:dyDescent="0.35">
      <c r="A13" s="223"/>
      <c r="B13" s="14"/>
      <c r="C13" s="13"/>
      <c r="D13" s="32"/>
      <c r="E13" s="32"/>
      <c r="F13" s="32"/>
      <c r="G13" s="32"/>
      <c r="H13" s="32"/>
      <c r="I13" s="32"/>
      <c r="J13" s="32">
        <v>36873</v>
      </c>
      <c r="K13" s="13"/>
      <c r="L13" s="13"/>
      <c r="M13" s="13"/>
      <c r="N13" s="3"/>
      <c r="O13" s="32">
        <v>464533</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32">
        <v>324599</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32">
        <v>116800</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32">
        <v>611589</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32">
        <v>1276184</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32">
        <v>273988</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32">
        <v>1073008</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v>202617</v>
      </c>
      <c r="P20" s="13"/>
      <c r="Q20" s="13"/>
      <c r="R20" s="32"/>
      <c r="S20" s="32"/>
      <c r="T20" s="32"/>
      <c r="U20" s="32"/>
      <c r="V20" s="32"/>
    </row>
    <row r="21" spans="1:22" x14ac:dyDescent="0.35">
      <c r="A21" s="3"/>
      <c r="B21" s="7"/>
      <c r="C21" s="7"/>
      <c r="D21" s="7"/>
      <c r="E21" s="7"/>
      <c r="F21" s="7"/>
      <c r="G21" s="7"/>
      <c r="H21" s="7"/>
      <c r="I21" s="7"/>
      <c r="J21" s="7"/>
      <c r="N21" s="3"/>
      <c r="O21" s="7">
        <v>3061822</v>
      </c>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Cefuroxime-0,001mg/L</v>
      </c>
      <c r="J22" s="3" t="str">
        <f t="shared" si="0"/>
        <v>Cefuroxime-0,01mg/L</v>
      </c>
      <c r="K22" s="3" t="str">
        <f t="shared" si="0"/>
        <v>Cefuroxime-0,1mg/L</v>
      </c>
      <c r="L22" s="3" t="str">
        <f t="shared" si="0"/>
        <v>Cefuroxime-1mg/L</v>
      </c>
      <c r="M22" s="3" t="str">
        <f t="shared" si="0"/>
        <v>Cefuroxime-10mg/L</v>
      </c>
      <c r="N22" s="3" t="s">
        <v>41</v>
      </c>
      <c r="O22" s="3" t="str">
        <f t="shared" si="0"/>
        <v>Testo -30µg/L</v>
      </c>
      <c r="P22" s="3" t="str">
        <f t="shared" si="0"/>
        <v>Testo 30µg/L + EE2 -64ng/L</v>
      </c>
      <c r="Q22" s="3" t="str">
        <f t="shared" si="0"/>
        <v>Testo 30µg/L + FAD-10µg/L</v>
      </c>
      <c r="R22" s="3" t="str">
        <f t="shared" si="0"/>
        <v>Cefuroxime-0,001mg/L + Testostérone</v>
      </c>
      <c r="S22" s="3" t="str">
        <f t="shared" si="0"/>
        <v>Cefuroxime-0,01mg/L + Testostérone</v>
      </c>
      <c r="T22" s="3" t="str">
        <f t="shared" si="0"/>
        <v>Cefuroxime-0,1mg/L + Testostérone</v>
      </c>
      <c r="U22" s="3" t="str">
        <f t="shared" si="0"/>
        <v>Cefuroxime-1mg/L + Testostérone</v>
      </c>
      <c r="V22" s="3" t="str">
        <f t="shared" si="0"/>
        <v>Cefuroxime-10mg/L + Testostérone</v>
      </c>
    </row>
    <row r="23" spans="1:22" x14ac:dyDescent="0.35">
      <c r="A23" s="5" t="s">
        <v>0</v>
      </c>
      <c r="B23" s="5">
        <f t="shared" ref="B23:J23" si="1">AVERAGE(B5:B20)</f>
        <v>105264.125</v>
      </c>
      <c r="C23" s="5">
        <f t="shared" si="1"/>
        <v>194759.125</v>
      </c>
      <c r="D23" s="5">
        <f t="shared" si="1"/>
        <v>300689.625</v>
      </c>
      <c r="E23" s="5">
        <f t="shared" si="1"/>
        <v>2278322.625</v>
      </c>
      <c r="F23" s="5">
        <f t="shared" si="1"/>
        <v>5234920.375</v>
      </c>
      <c r="G23" s="5">
        <f t="shared" si="1"/>
        <v>7547551.125</v>
      </c>
      <c r="H23" s="5">
        <f t="shared" si="1"/>
        <v>11764724.5</v>
      </c>
      <c r="I23" s="5">
        <f t="shared" si="1"/>
        <v>124093.625</v>
      </c>
      <c r="J23" s="5">
        <f t="shared" si="1"/>
        <v>84631.555555555562</v>
      </c>
      <c r="K23" s="5"/>
      <c r="L23" s="5">
        <f>AVERAGE(L5:L20)</f>
        <v>108608.375</v>
      </c>
      <c r="M23" s="5"/>
      <c r="N23" s="5" t="s">
        <v>0</v>
      </c>
      <c r="O23" s="5">
        <f>AVERAGE(O5:O20)</f>
        <v>543900.875</v>
      </c>
      <c r="P23" s="5">
        <f>AVERAGE(P5:P20)</f>
        <v>5575485.125</v>
      </c>
      <c r="Q23" s="5">
        <f>AVERAGE(Q5:Q20)</f>
        <v>97608</v>
      </c>
      <c r="R23" s="5">
        <f>AVERAGE(R5:R20)</f>
        <v>1733974.875</v>
      </c>
      <c r="S23" s="5">
        <f>AVERAGE(S5:S20)</f>
        <v>657267.5</v>
      </c>
      <c r="T23" s="5">
        <f t="shared" ref="T23:V23" si="2">AVERAGE(T5:T20)</f>
        <v>863800.5</v>
      </c>
      <c r="U23" s="5">
        <f t="shared" si="2"/>
        <v>1475650.5</v>
      </c>
      <c r="V23" s="5">
        <f t="shared" si="2"/>
        <v>771697.375</v>
      </c>
    </row>
    <row r="24" spans="1:22" x14ac:dyDescent="0.35">
      <c r="A24" s="3" t="s">
        <v>1</v>
      </c>
      <c r="B24" s="3">
        <f t="shared" ref="B24:J24" si="3">STDEV(B5:B20)</f>
        <v>125718.99602166901</v>
      </c>
      <c r="C24" s="3">
        <f t="shared" si="3"/>
        <v>225604.90552128485</v>
      </c>
      <c r="D24" s="3">
        <f t="shared" si="3"/>
        <v>263555.82550188899</v>
      </c>
      <c r="E24" s="3">
        <f t="shared" si="3"/>
        <v>1424630.9590946138</v>
      </c>
      <c r="F24" s="3">
        <f t="shared" si="3"/>
        <v>1808069.9838661379</v>
      </c>
      <c r="G24" s="3">
        <f t="shared" si="3"/>
        <v>1065214.0840216698</v>
      </c>
      <c r="H24" s="3">
        <f t="shared" si="3"/>
        <v>3703073.4247724554</v>
      </c>
      <c r="I24" s="3">
        <f t="shared" si="3"/>
        <v>77932.617480812958</v>
      </c>
      <c r="J24" s="3">
        <f t="shared" si="3"/>
        <v>83707.924205404692</v>
      </c>
      <c r="K24" s="3"/>
      <c r="L24" s="3">
        <f>STDEV(L5:L20)</f>
        <v>128329.03977770526</v>
      </c>
      <c r="M24" s="3"/>
      <c r="N24" s="3" t="s">
        <v>1</v>
      </c>
      <c r="O24" s="3">
        <f>STDEV(O5:O20)</f>
        <v>431264.43777383654</v>
      </c>
      <c r="P24" s="3">
        <f>STDEV(P5:P20)</f>
        <v>1623409.0847659737</v>
      </c>
      <c r="Q24" s="3">
        <f>STDEV(Q5:Q20)</f>
        <v>81874.39737967978</v>
      </c>
      <c r="R24" s="3">
        <f>STDEV(R5:R20)</f>
        <v>2035330.7092060661</v>
      </c>
      <c r="S24" s="3">
        <f>STDEV(S5:S20)</f>
        <v>834627.99359047215</v>
      </c>
      <c r="T24" s="3">
        <f t="shared" ref="T24:V24" si="4">STDEV(T5:T20)</f>
        <v>849692.69594147138</v>
      </c>
      <c r="U24" s="3">
        <f t="shared" si="4"/>
        <v>2403384.3490967364</v>
      </c>
      <c r="V24" s="3">
        <f t="shared" si="4"/>
        <v>1002514.278531866</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Cefuroxime-0,001mg/L</v>
      </c>
      <c r="J27" s="35" t="str">
        <f t="shared" si="5"/>
        <v>Cefuroxime-0,01mg/L</v>
      </c>
      <c r="K27" s="35" t="str">
        <f t="shared" si="5"/>
        <v>Cefuroxime-0,1mg/L</v>
      </c>
      <c r="L27" s="35" t="str">
        <f t="shared" si="5"/>
        <v>Cefuroxime-1mg/L</v>
      </c>
      <c r="M27" s="35" t="str">
        <f t="shared" si="5"/>
        <v>Cefuroxime-10mg/L</v>
      </c>
      <c r="N27" s="3"/>
      <c r="O27" s="36" t="str">
        <f>O4</f>
        <v>Testo -30µg/L</v>
      </c>
      <c r="P27" s="36" t="str">
        <f t="shared" ref="P27:R27" si="6">P4</f>
        <v>Testo 30µg/L + EE2 -64ng/L</v>
      </c>
      <c r="Q27" s="36" t="str">
        <f t="shared" si="6"/>
        <v>Testo 30µg/L + FAD-10µg/L</v>
      </c>
      <c r="R27" s="36" t="str">
        <f t="shared" si="6"/>
        <v>Cefuroxime-0,001mg/L + Testostérone</v>
      </c>
      <c r="S27" s="36" t="str">
        <f t="shared" ref="S27:V27" si="7">S4</f>
        <v>Cefuroxime-0,01mg/L + Testostérone</v>
      </c>
      <c r="T27" s="36" t="str">
        <f t="shared" si="7"/>
        <v>Cefuroxime-0,1mg/L + Testostérone</v>
      </c>
      <c r="U27" s="36" t="str">
        <f t="shared" si="7"/>
        <v>Cefuroxime-1mg/L + Testostérone</v>
      </c>
      <c r="V27" s="36" t="str">
        <f t="shared" si="7"/>
        <v>Cefuroxime-10mg/L + Testostérone</v>
      </c>
    </row>
    <row r="28" spans="1:22" x14ac:dyDescent="0.35">
      <c r="A28" s="224" t="s">
        <v>34</v>
      </c>
      <c r="B28" s="11">
        <f t="shared" ref="B28:M28" si="8">IF(B5="","",(B5/$O$23))</f>
        <v>0.12455394560635705</v>
      </c>
      <c r="C28" s="11">
        <f t="shared" si="8"/>
        <v>9.6423819873428226E-2</v>
      </c>
      <c r="D28" s="11">
        <f t="shared" si="8"/>
        <v>1.3604979032254729</v>
      </c>
      <c r="E28" s="11">
        <f t="shared" si="8"/>
        <v>2.2212393021062891</v>
      </c>
      <c r="F28" s="11">
        <f t="shared" si="8"/>
        <v>8.8466873674362088</v>
      </c>
      <c r="G28" s="11">
        <f t="shared" si="8"/>
        <v>14.864726959668891</v>
      </c>
      <c r="H28" s="11">
        <f t="shared" si="8"/>
        <v>8.5121503067999296</v>
      </c>
      <c r="I28" s="11">
        <f t="shared" si="8"/>
        <v>0.19604307494449241</v>
      </c>
      <c r="J28" s="11">
        <f t="shared" si="8"/>
        <v>0.10743501745607598</v>
      </c>
      <c r="K28" s="11">
        <f t="shared" si="8"/>
        <v>2.7927882998901223E-2</v>
      </c>
      <c r="L28" s="11">
        <f t="shared" si="8"/>
        <v>2.2250377883653891E-2</v>
      </c>
      <c r="M28" s="11">
        <f t="shared" si="8"/>
        <v>7.7385424320194377E-3</v>
      </c>
      <c r="N28" s="6"/>
      <c r="O28" s="11">
        <f t="shared" ref="O28:S37" si="9">IF(O5="","",(O5/$O$23))</f>
        <v>1.5079604348862281</v>
      </c>
      <c r="P28" s="11">
        <f t="shared" si="9"/>
        <v>12.189827788013762</v>
      </c>
      <c r="Q28" s="11">
        <f t="shared" si="9"/>
        <v>2.8819589598931973E-2</v>
      </c>
      <c r="R28" s="11">
        <f t="shared" si="9"/>
        <v>0.13921654382335752</v>
      </c>
      <c r="S28" s="11">
        <f t="shared" si="9"/>
        <v>2.8470996668280777</v>
      </c>
      <c r="T28" s="11">
        <f t="shared" ref="T28:V43" si="10">IF(T5="","",(T5/$O$23))</f>
        <v>3.2169299231224806</v>
      </c>
      <c r="U28" s="11">
        <f t="shared" si="10"/>
        <v>13.065763131930979</v>
      </c>
      <c r="V28" s="11">
        <f t="shared" si="10"/>
        <v>1.3812976491350561</v>
      </c>
    </row>
    <row r="29" spans="1:22" x14ac:dyDescent="0.35">
      <c r="A29" s="224"/>
      <c r="B29" s="11">
        <f t="shared" ref="B29:M29" si="11">IF(B6="","",(B6/$O$23))</f>
        <v>0.19755437973877132</v>
      </c>
      <c r="C29" s="11">
        <f t="shared" si="11"/>
        <v>1.3219155052839362</v>
      </c>
      <c r="D29" s="11">
        <f t="shared" si="11"/>
        <v>9.1084611695099779E-2</v>
      </c>
      <c r="E29" s="11">
        <f t="shared" si="11"/>
        <v>0.8009639624131879</v>
      </c>
      <c r="F29" s="11">
        <f t="shared" si="11"/>
        <v>10.317683346253119</v>
      </c>
      <c r="G29" s="11">
        <f t="shared" si="11"/>
        <v>16.401210974334248</v>
      </c>
      <c r="H29" s="11">
        <f t="shared" si="11"/>
        <v>22.139192182766759</v>
      </c>
      <c r="I29" s="11">
        <f t="shared" si="11"/>
        <v>0.1531565839087867</v>
      </c>
      <c r="J29" s="11">
        <f t="shared" si="11"/>
        <v>0.11019471149039795</v>
      </c>
      <c r="K29" s="11">
        <f t="shared" si="11"/>
        <v>0.23047765826815411</v>
      </c>
      <c r="L29" s="11">
        <f t="shared" si="11"/>
        <v>8.5493519384391495E-3</v>
      </c>
      <c r="M29" s="11">
        <f t="shared" si="11"/>
        <v>5.6396305668748925E-2</v>
      </c>
      <c r="N29" s="6"/>
      <c r="O29" s="11">
        <f t="shared" si="9"/>
        <v>1.7293095915685004</v>
      </c>
      <c r="P29" s="11">
        <f t="shared" si="9"/>
        <v>7.7302339327915224</v>
      </c>
      <c r="Q29" s="11">
        <f t="shared" si="9"/>
        <v>0.40777283176828866</v>
      </c>
      <c r="R29" s="11">
        <f t="shared" si="9"/>
        <v>1.4344525553484354E-2</v>
      </c>
      <c r="S29" s="11">
        <f t="shared" si="9"/>
        <v>0.26489017874810367</v>
      </c>
      <c r="T29" s="11">
        <f t="shared" si="10"/>
        <v>0.2055448063031706</v>
      </c>
      <c r="U29" s="11">
        <f t="shared" si="10"/>
        <v>3.9702289502659838</v>
      </c>
      <c r="V29" s="11">
        <f t="shared" si="10"/>
        <v>0.6886935050435431</v>
      </c>
    </row>
    <row r="30" spans="1:22" x14ac:dyDescent="0.35">
      <c r="A30" s="224"/>
      <c r="B30" s="11">
        <f t="shared" ref="B30:M30" si="12">IF(B7="","",(B7/$O$23))</f>
        <v>6.7512301759029156E-2</v>
      </c>
      <c r="C30" s="11">
        <f t="shared" si="12"/>
        <v>0.47246292810247825</v>
      </c>
      <c r="D30" s="11">
        <f t="shared" si="12"/>
        <v>0.55931882808609201</v>
      </c>
      <c r="E30" s="11">
        <f t="shared" si="12"/>
        <v>7.8663929341904444</v>
      </c>
      <c r="F30" s="11">
        <f t="shared" si="12"/>
        <v>8.7073108679959379</v>
      </c>
      <c r="G30" s="11">
        <f t="shared" si="12"/>
        <v>13.946949432651676</v>
      </c>
      <c r="H30" s="11">
        <f t="shared" si="12"/>
        <v>22.626663360304395</v>
      </c>
      <c r="I30" s="11">
        <f t="shared" si="12"/>
        <v>9.3689865823437038E-2</v>
      </c>
      <c r="J30" s="11">
        <f t="shared" si="12"/>
        <v>7.8080403897125561E-2</v>
      </c>
      <c r="K30" s="11">
        <f t="shared" si="12"/>
        <v>0.19163234477238156</v>
      </c>
      <c r="L30" s="11">
        <f t="shared" si="12"/>
        <v>1.2500439533214577E-2</v>
      </c>
      <c r="M30" s="11">
        <f t="shared" si="12"/>
        <v>4.7663096699375601E-2</v>
      </c>
      <c r="N30" s="6"/>
      <c r="O30" s="11">
        <f t="shared" si="9"/>
        <v>0.73425327730903167</v>
      </c>
      <c r="P30" s="11">
        <f t="shared" si="9"/>
        <v>10.685572072300857</v>
      </c>
      <c r="Q30" s="11">
        <f t="shared" si="9"/>
        <v>2.2333113547574272E-2</v>
      </c>
      <c r="R30" s="11">
        <f t="shared" si="9"/>
        <v>7.9837543927466559</v>
      </c>
      <c r="S30" s="11">
        <f t="shared" si="9"/>
        <v>0.22093363979236105</v>
      </c>
      <c r="T30" s="11">
        <f t="shared" si="10"/>
        <v>2.2306785220744496</v>
      </c>
      <c r="U30" s="11">
        <f t="shared" si="10"/>
        <v>3.7903965497389572E-2</v>
      </c>
      <c r="V30" s="11">
        <f t="shared" si="10"/>
        <v>0.29036357038403365</v>
      </c>
    </row>
    <row r="31" spans="1:22" x14ac:dyDescent="0.35">
      <c r="A31" s="224"/>
      <c r="B31" s="11">
        <f t="shared" ref="B31:M31" si="13">IF(B8="","",(B8/$O$23))</f>
        <v>6.4410633647169618E-2</v>
      </c>
      <c r="C31" s="11">
        <f t="shared" si="13"/>
        <v>0.23965763982269747</v>
      </c>
      <c r="D31" s="11">
        <f t="shared" si="13"/>
        <v>1.1603217222255802</v>
      </c>
      <c r="E31" s="11">
        <f t="shared" si="13"/>
        <v>5.9554546589026911</v>
      </c>
      <c r="F31" s="11">
        <f t="shared" si="13"/>
        <v>11.030794903575032</v>
      </c>
      <c r="G31" s="11">
        <f t="shared" si="13"/>
        <v>11.295843199369738</v>
      </c>
      <c r="H31" s="11">
        <f t="shared" si="13"/>
        <v>28.580628777256518</v>
      </c>
      <c r="I31" s="11">
        <f t="shared" si="13"/>
        <v>0.54737547535660791</v>
      </c>
      <c r="J31" s="11">
        <f t="shared" si="13"/>
        <v>0.51114277027041</v>
      </c>
      <c r="K31" s="11">
        <f t="shared" si="13"/>
        <v>0.26852135510905367</v>
      </c>
      <c r="L31" s="11">
        <f t="shared" si="13"/>
        <v>7.1000069635850468E-2</v>
      </c>
      <c r="M31" s="11">
        <f t="shared" si="13"/>
        <v>5.4419842586206538E-2</v>
      </c>
      <c r="N31" s="6"/>
      <c r="O31" s="11">
        <f t="shared" si="9"/>
        <v>0.42120726501864886</v>
      </c>
      <c r="P31" s="11">
        <f t="shared" si="9"/>
        <v>12.088112562790048</v>
      </c>
      <c r="Q31" s="11">
        <f t="shared" si="9"/>
        <v>0.30308831549498794</v>
      </c>
      <c r="R31" s="11">
        <f t="shared" si="9"/>
        <v>4.1989673210215006</v>
      </c>
      <c r="S31" s="11">
        <f t="shared" si="9"/>
        <v>0.2394388499558858</v>
      </c>
      <c r="T31" s="11">
        <f t="shared" si="10"/>
        <v>0.1936731578157509</v>
      </c>
      <c r="U31" s="11">
        <f t="shared" si="10"/>
        <v>7.0031143082827365E-3</v>
      </c>
      <c r="V31" s="11">
        <f t="shared" si="10"/>
        <v>0.20176470574716396</v>
      </c>
    </row>
    <row r="32" spans="1:22" x14ac:dyDescent="0.35">
      <c r="A32" s="224"/>
      <c r="B32" s="11">
        <f t="shared" ref="B32:M32" si="14">IF(B9="","",(B9/$O$23))</f>
        <v>0.19319512953532203</v>
      </c>
      <c r="C32" s="11">
        <f t="shared" si="14"/>
        <v>5.0444853577409673E-2</v>
      </c>
      <c r="D32" s="11">
        <f t="shared" si="14"/>
        <v>3.2577627311226515E-2</v>
      </c>
      <c r="E32" s="11">
        <f t="shared" si="14"/>
        <v>3.0687264476270606</v>
      </c>
      <c r="F32" s="11">
        <f t="shared" si="14"/>
        <v>4.8119374693044943</v>
      </c>
      <c r="G32" s="11">
        <f t="shared" si="14"/>
        <v>10.859175396619834</v>
      </c>
      <c r="H32" s="11">
        <f t="shared" si="14"/>
        <v>24.466044479152565</v>
      </c>
      <c r="I32" s="11">
        <f t="shared" si="14"/>
        <v>0.2859528402119228</v>
      </c>
      <c r="J32" s="11">
        <f t="shared" si="14"/>
        <v>5.6407337090604972E-3</v>
      </c>
      <c r="K32" s="11">
        <f t="shared" si="14"/>
        <v>3.6258445070528708E-2</v>
      </c>
      <c r="L32" s="11">
        <f t="shared" si="14"/>
        <v>0.31225174991674726</v>
      </c>
      <c r="M32" s="11">
        <f t="shared" si="14"/>
        <v>0.13993910195492884</v>
      </c>
      <c r="N32" s="6"/>
      <c r="O32" s="11">
        <f t="shared" si="9"/>
        <v>0.12238075550071509</v>
      </c>
      <c r="P32" s="11">
        <f t="shared" si="9"/>
        <v>4.9372636144407744</v>
      </c>
      <c r="Q32" s="11">
        <f t="shared" si="9"/>
        <v>0.1682346990156984</v>
      </c>
      <c r="R32" s="11">
        <f t="shared" si="9"/>
        <v>9.2443112910969294</v>
      </c>
      <c r="S32" s="11">
        <f t="shared" si="9"/>
        <v>4.1553913661197912</v>
      </c>
      <c r="T32" s="11">
        <f t="shared" si="10"/>
        <v>0.38721026142861048</v>
      </c>
      <c r="U32" s="11">
        <f t="shared" si="10"/>
        <v>0.51343730601646853</v>
      </c>
      <c r="V32" s="11">
        <f t="shared" si="10"/>
        <v>0.5230585444452539</v>
      </c>
    </row>
    <row r="33" spans="1:22" x14ac:dyDescent="0.35">
      <c r="A33" s="224"/>
      <c r="B33" s="11">
        <f t="shared" ref="B33:M33" si="15">IF(B10="","",(B10/$O$23))</f>
        <v>0.10397115099327611</v>
      </c>
      <c r="C33" s="11">
        <f t="shared" si="15"/>
        <v>9.1104835968502537E-2</v>
      </c>
      <c r="D33" s="11">
        <f t="shared" si="15"/>
        <v>0.26828969525007657</v>
      </c>
      <c r="E33" s="11">
        <f t="shared" si="15"/>
        <v>7.4882799186524567</v>
      </c>
      <c r="F33" s="11">
        <f t="shared" si="15"/>
        <v>12.551093983807252</v>
      </c>
      <c r="G33" s="11">
        <f t="shared" si="15"/>
        <v>15.741761768631095</v>
      </c>
      <c r="H33" s="11">
        <f t="shared" si="15"/>
        <v>20.258595833294073</v>
      </c>
      <c r="I33" s="11">
        <f t="shared" si="15"/>
        <v>0.23483323133098472</v>
      </c>
      <c r="J33" s="11">
        <f t="shared" si="15"/>
        <v>0.24630774863158658</v>
      </c>
      <c r="K33" s="11">
        <f t="shared" si="15"/>
        <v>9.9227639595174402E-2</v>
      </c>
      <c r="L33" s="11">
        <f t="shared" si="15"/>
        <v>0.18101643980624227</v>
      </c>
      <c r="M33" s="11">
        <f t="shared" si="15"/>
        <v>0.10390680103244916</v>
      </c>
      <c r="N33" s="6"/>
      <c r="O33" s="11">
        <f t="shared" si="9"/>
        <v>0.92140870337816605</v>
      </c>
      <c r="P33" s="11">
        <f t="shared" si="9"/>
        <v>8.5917640783350464</v>
      </c>
      <c r="Q33" s="11">
        <f t="shared" si="9"/>
        <v>0.29751377031706377</v>
      </c>
      <c r="R33" s="11">
        <f t="shared" si="9"/>
        <v>3.5216784676068045</v>
      </c>
      <c r="S33" s="11">
        <f t="shared" si="9"/>
        <v>1.5791057515765166</v>
      </c>
      <c r="T33" s="11">
        <f t="shared" si="10"/>
        <v>0.57672825034524899</v>
      </c>
      <c r="U33" s="11">
        <f t="shared" si="10"/>
        <v>1.3776683113444155</v>
      </c>
      <c r="V33" s="11">
        <f t="shared" si="10"/>
        <v>0.29971453897734585</v>
      </c>
    </row>
    <row r="34" spans="1:22" x14ac:dyDescent="0.35">
      <c r="A34" s="224"/>
      <c r="B34" s="11">
        <f t="shared" ref="B34:M34" si="16">IF(B11="","",(B11/$O$23))</f>
        <v>0.74824479736312244</v>
      </c>
      <c r="C34" s="11">
        <f t="shared" si="16"/>
        <v>0.35226087841833315</v>
      </c>
      <c r="D34" s="11">
        <f t="shared" si="16"/>
        <v>0.3247117409031563</v>
      </c>
      <c r="E34" s="11">
        <f t="shared" si="16"/>
        <v>2.2432764058340595</v>
      </c>
      <c r="F34" s="11">
        <f t="shared" si="16"/>
        <v>5.8594169387942241</v>
      </c>
      <c r="G34" s="11">
        <f t="shared" si="16"/>
        <v>14.297599723479026</v>
      </c>
      <c r="H34" s="11">
        <f t="shared" si="16"/>
        <v>29.854943697231597</v>
      </c>
      <c r="I34" s="11">
        <f t="shared" si="16"/>
        <v>0.11472494873261603</v>
      </c>
      <c r="J34" s="11">
        <f t="shared" si="16"/>
        <v>5.4557735359407174E-2</v>
      </c>
      <c r="K34" s="11">
        <f t="shared" si="16"/>
        <v>1.3473043226856364E-2</v>
      </c>
      <c r="L34" s="11">
        <f t="shared" si="16"/>
        <v>0.29162850675686081</v>
      </c>
      <c r="M34" s="11">
        <f t="shared" si="16"/>
        <v>9.2294390958646652E-2</v>
      </c>
      <c r="N34" s="6"/>
      <c r="O34" s="11">
        <f t="shared" si="9"/>
        <v>4.8700050353844344E-2</v>
      </c>
      <c r="P34" s="11">
        <f t="shared" si="9"/>
        <v>11.524403228805248</v>
      </c>
      <c r="Q34" s="11">
        <f t="shared" si="9"/>
        <v>8.1375121891465972E-3</v>
      </c>
      <c r="R34" s="11">
        <f t="shared" si="9"/>
        <v>0.19488293707929777</v>
      </c>
      <c r="S34" s="11">
        <f t="shared" si="9"/>
        <v>0.35004723976588564</v>
      </c>
      <c r="T34" s="11">
        <f t="shared" si="10"/>
        <v>4.3618609732885609</v>
      </c>
      <c r="U34" s="11">
        <f t="shared" si="10"/>
        <v>0.10282388312024686</v>
      </c>
      <c r="V34" s="11">
        <f t="shared" si="10"/>
        <v>2.3565985254206478</v>
      </c>
    </row>
    <row r="35" spans="1:22" x14ac:dyDescent="0.35">
      <c r="A35" s="224"/>
      <c r="B35" s="11">
        <f t="shared" ref="B35:M35" si="17">IF(B12="","",(B12/$O$23))</f>
        <v>4.8841620267663664E-2</v>
      </c>
      <c r="C35" s="11">
        <f t="shared" si="17"/>
        <v>0.24035629654024734</v>
      </c>
      <c r="D35" s="11">
        <f t="shared" si="17"/>
        <v>0.62591000612014092</v>
      </c>
      <c r="E35" s="11">
        <f t="shared" si="17"/>
        <v>3.8665170376863247</v>
      </c>
      <c r="F35" s="11">
        <f t="shared" si="17"/>
        <v>14.873228508779288</v>
      </c>
      <c r="G35" s="11">
        <f t="shared" si="17"/>
        <v>13.606359798557044</v>
      </c>
      <c r="H35" s="11">
        <f t="shared" si="17"/>
        <v>16.603966669478147</v>
      </c>
      <c r="I35" s="11">
        <f t="shared" si="17"/>
        <v>0.19946281571986807</v>
      </c>
      <c r="J35" s="11">
        <f t="shared" si="17"/>
        <v>0.21925686367024139</v>
      </c>
      <c r="K35" s="11">
        <f t="shared" si="17"/>
        <v>0.16190817858125342</v>
      </c>
      <c r="L35" s="11">
        <f t="shared" si="17"/>
        <v>0.69827613349583229</v>
      </c>
      <c r="M35" s="11">
        <f t="shared" si="17"/>
        <v>0.10408514235245531</v>
      </c>
      <c r="N35" s="6"/>
      <c r="O35" s="11">
        <f t="shared" si="9"/>
        <v>2.5292844031552626</v>
      </c>
      <c r="P35" s="11">
        <f t="shared" si="9"/>
        <v>14.260194010535468</v>
      </c>
      <c r="Q35" s="11">
        <f t="shared" si="9"/>
        <v>0.19977353410214682</v>
      </c>
      <c r="R35" s="11">
        <f t="shared" si="9"/>
        <v>0.2071222996285858</v>
      </c>
      <c r="S35" s="11">
        <f t="shared" si="9"/>
        <v>1.0553393575621661E-2</v>
      </c>
      <c r="T35" s="11">
        <f t="shared" si="10"/>
        <v>1.5326377255782131</v>
      </c>
      <c r="U35" s="11">
        <f t="shared" si="10"/>
        <v>2.6298689076387309</v>
      </c>
      <c r="V35" s="11">
        <f t="shared" si="10"/>
        <v>5.6090680126227044</v>
      </c>
    </row>
    <row r="36" spans="1:22" x14ac:dyDescent="0.35">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f t="shared" si="18"/>
        <v>6.779360301635845E-2</v>
      </c>
      <c r="K36" s="11" t="str">
        <f t="shared" si="18"/>
        <v/>
      </c>
      <c r="L36" s="11" t="str">
        <f t="shared" si="18"/>
        <v/>
      </c>
      <c r="M36" s="11" t="str">
        <f t="shared" si="18"/>
        <v/>
      </c>
      <c r="N36" s="6"/>
      <c r="O36" s="11">
        <f t="shared" si="9"/>
        <v>0.85407658150945243</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5">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0.5967980838420236</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5">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0.21474501213111671</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5">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1.1244493769200132</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5">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2.3463540116569952</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5">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0.50374620191592812</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5">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1.9728006504861755</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5">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0.37252560036789795</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Cefuroxime-0,001mg/L</v>
      </c>
      <c r="J45" s="7" t="str">
        <f t="shared" si="27"/>
        <v>Cefuroxime-0,01mg/L</v>
      </c>
      <c r="K45" s="7" t="str">
        <f t="shared" ref="K45:M45" si="28">K4</f>
        <v>Cefuroxime-0,1mg/L</v>
      </c>
      <c r="L45" s="7" t="str">
        <f t="shared" si="28"/>
        <v>Cefuroxime-1mg/L</v>
      </c>
      <c r="M45" s="7" t="str">
        <f t="shared" si="28"/>
        <v>Cefuroxime-10mg/L</v>
      </c>
      <c r="N45" s="7"/>
      <c r="O45" s="7" t="str">
        <f t="shared" si="27"/>
        <v>Testo -30µg/L</v>
      </c>
      <c r="P45" s="7" t="str">
        <f t="shared" si="27"/>
        <v>Testo 30µg/L + EE2 -64ng/L</v>
      </c>
      <c r="Q45" s="7" t="str">
        <f t="shared" si="27"/>
        <v>Testo 30µg/L + FAD-10µg/L</v>
      </c>
      <c r="R45" s="7" t="str">
        <f t="shared" si="27"/>
        <v>Cefuroxime-0,001mg/L + Testostérone</v>
      </c>
      <c r="S45" s="7" t="str">
        <f t="shared" ref="S45:V45" si="29">S4</f>
        <v>Cefuroxime-0,01mg/L + Testostérone</v>
      </c>
      <c r="T45" s="7" t="str">
        <f t="shared" si="29"/>
        <v>Cefuroxime-0,1mg/L + Testostérone</v>
      </c>
      <c r="U45" s="7" t="str">
        <f t="shared" si="29"/>
        <v>Cefuroxime-1mg/L + Testostérone</v>
      </c>
      <c r="V45" s="7" t="str">
        <f t="shared" si="29"/>
        <v>Cefuroxime-10mg/L + Testostérone</v>
      </c>
    </row>
    <row r="46" spans="1:22" x14ac:dyDescent="0.35">
      <c r="A46" s="8" t="s">
        <v>0</v>
      </c>
      <c r="B46" s="10">
        <f t="shared" ref="B46:H46" si="30">AVERAGE(B28:B43)</f>
        <v>0.19353549486383892</v>
      </c>
      <c r="C46" s="10">
        <f t="shared" si="30"/>
        <v>0.35807834469837907</v>
      </c>
      <c r="D46" s="10">
        <f t="shared" si="30"/>
        <v>0.55283901685210557</v>
      </c>
      <c r="E46" s="10">
        <f t="shared" si="30"/>
        <v>4.188856333426564</v>
      </c>
      <c r="F46" s="10">
        <f t="shared" si="30"/>
        <v>9.6247691732431946</v>
      </c>
      <c r="G46" s="10">
        <f t="shared" si="30"/>
        <v>13.876703406663943</v>
      </c>
      <c r="H46" s="10">
        <f t="shared" si="30"/>
        <v>21.630273163285498</v>
      </c>
      <c r="I46" s="10">
        <f>AVERAGE(I28:I43)</f>
        <v>0.22815485450358944</v>
      </c>
      <c r="J46" s="9">
        <f>AVERAGE(J28:J43)</f>
        <v>0.1556010652778515</v>
      </c>
      <c r="K46" s="9">
        <f t="shared" ref="K46:M46" si="31">AVERAGE(K28:K43)</f>
        <v>0.12867831845278793</v>
      </c>
      <c r="L46" s="9">
        <f t="shared" si="31"/>
        <v>0.19968413362085508</v>
      </c>
      <c r="M46" s="9">
        <f t="shared" si="31"/>
        <v>7.5805402960603813E-2</v>
      </c>
      <c r="N46" s="8" t="s">
        <v>0</v>
      </c>
      <c r="O46" s="10">
        <f t="shared" ref="O46:R46" si="32">AVERAGE(O28:O43)</f>
        <v>1</v>
      </c>
      <c r="P46" s="10">
        <f t="shared" si="32"/>
        <v>10.250921411001592</v>
      </c>
      <c r="Q46" s="10">
        <f t="shared" si="32"/>
        <v>0.17945917075422979</v>
      </c>
      <c r="R46" s="10">
        <f t="shared" si="32"/>
        <v>3.1880347223195775</v>
      </c>
      <c r="S46" s="10">
        <f t="shared" ref="S46:V46" si="33">AVERAGE(S28:S43)</f>
        <v>1.2084325107952805</v>
      </c>
      <c r="T46" s="10">
        <f t="shared" si="33"/>
        <v>1.5881579524945606</v>
      </c>
      <c r="U46" s="10">
        <f t="shared" si="33"/>
        <v>2.7130871962653118</v>
      </c>
      <c r="V46" s="10">
        <f t="shared" si="33"/>
        <v>1.4188198814719686</v>
      </c>
    </row>
    <row r="47" spans="1:22" x14ac:dyDescent="0.35">
      <c r="A47" s="8" t="s">
        <v>1</v>
      </c>
      <c r="B47" s="8">
        <f t="shared" ref="B47:J47" si="34">STDEV(B28:B43)</f>
        <v>0.23114321340569455</v>
      </c>
      <c r="C47" s="8">
        <f t="shared" si="34"/>
        <v>0.41479048093328563</v>
      </c>
      <c r="D47" s="8">
        <f t="shared" si="34"/>
        <v>0.4845659156218291</v>
      </c>
      <c r="E47" s="8">
        <f t="shared" si="34"/>
        <v>2.6192841831604232</v>
      </c>
      <c r="F47" s="8">
        <f t="shared" si="34"/>
        <v>3.324263789548302</v>
      </c>
      <c r="G47" s="8">
        <f t="shared" si="34"/>
        <v>1.9584709879749118</v>
      </c>
      <c r="H47" s="8">
        <f t="shared" si="34"/>
        <v>6.8083608520991179</v>
      </c>
      <c r="I47" s="8">
        <f t="shared" si="34"/>
        <v>0.14328459662951076</v>
      </c>
      <c r="J47" s="8">
        <f t="shared" si="34"/>
        <v>0.15390290410068691</v>
      </c>
      <c r="K47" s="8">
        <f t="shared" ref="K47:M47" si="35">STDEV(K28:K43)</f>
        <v>9.8429303626869372E-2</v>
      </c>
      <c r="L47" s="8">
        <f t="shared" si="35"/>
        <v>0.23594196236162562</v>
      </c>
      <c r="M47" s="8">
        <f t="shared" si="35"/>
        <v>4.1804976565831133E-2</v>
      </c>
      <c r="N47" s="8" t="s">
        <v>1</v>
      </c>
      <c r="O47" s="8">
        <f t="shared" ref="O47:R47" si="36">STDEV(O28:O43)</f>
        <v>0.7929099907659396</v>
      </c>
      <c r="P47" s="8">
        <f t="shared" si="36"/>
        <v>2.9847517431663833</v>
      </c>
      <c r="Q47" s="8">
        <f t="shared" si="36"/>
        <v>0.15053183611752746</v>
      </c>
      <c r="R47" s="8">
        <f t="shared" si="36"/>
        <v>3.7420986116377652</v>
      </c>
      <c r="S47" s="8">
        <f t="shared" ref="S47:V47" si="37">STDEV(S28:S43)</f>
        <v>1.5345222483609207</v>
      </c>
      <c r="T47" s="8">
        <f t="shared" si="37"/>
        <v>1.5622197628225387</v>
      </c>
      <c r="U47" s="8">
        <f t="shared" si="37"/>
        <v>4.4187911061859131</v>
      </c>
      <c r="V47" s="8">
        <f t="shared" si="37"/>
        <v>1.8431929871998571</v>
      </c>
    </row>
    <row r="48" spans="1:22" x14ac:dyDescent="0.35">
      <c r="A48" s="8" t="s">
        <v>2</v>
      </c>
      <c r="B48" s="8">
        <f t="shared" ref="B48:J48" si="38" xml:space="preserve"> B47/SQRT(COUNT(B28:B43))</f>
        <v>8.1721466812207946E-2</v>
      </c>
      <c r="C48" s="8">
        <f t="shared" si="38"/>
        <v>0.14665058091977781</v>
      </c>
      <c r="D48" s="8">
        <f t="shared" si="38"/>
        <v>0.17131992243403188</v>
      </c>
      <c r="E48" s="8">
        <f t="shared" si="38"/>
        <v>0.92605680388370104</v>
      </c>
      <c r="F48" s="8">
        <f t="shared" si="38"/>
        <v>1.1753047340212472</v>
      </c>
      <c r="G48" s="8">
        <f t="shared" si="38"/>
        <v>0.69242405817708874</v>
      </c>
      <c r="H48" s="8">
        <f t="shared" si="38"/>
        <v>2.4071190636421536</v>
      </c>
      <c r="I48" s="8">
        <f t="shared" si="38"/>
        <v>5.0658754958153092E-2</v>
      </c>
      <c r="J48" s="8">
        <f t="shared" si="38"/>
        <v>5.1300968033562301E-2</v>
      </c>
      <c r="K48" s="8">
        <f t="shared" ref="K48:M48" si="39" xml:space="preserve"> K47/SQRT(COUNT(K28:K43))</f>
        <v>3.480001403101448E-2</v>
      </c>
      <c r="L48" s="8">
        <f t="shared" si="39"/>
        <v>8.3418080776183318E-2</v>
      </c>
      <c r="M48" s="8">
        <f t="shared" si="39"/>
        <v>1.4780291208521951E-2</v>
      </c>
      <c r="N48" s="8" t="s">
        <v>2</v>
      </c>
      <c r="O48" s="8">
        <f t="shared" ref="O48:R48" si="40" xml:space="preserve"> O47/SQRT(COUNT(O28:O43))</f>
        <v>0.1982274976914849</v>
      </c>
      <c r="P48" s="8">
        <f t="shared" si="40"/>
        <v>1.055269098875659</v>
      </c>
      <c r="Q48" s="8">
        <f t="shared" si="40"/>
        <v>5.322104105158286E-2</v>
      </c>
      <c r="R48" s="8">
        <f t="shared" si="40"/>
        <v>1.3230316520789143</v>
      </c>
      <c r="S48" s="8">
        <f t="shared" ref="S48:V48" si="41" xml:space="preserve"> S47/SQRT(COUNT(S28:S43))</f>
        <v>0.54253554384881719</v>
      </c>
      <c r="T48" s="8">
        <f t="shared" si="41"/>
        <v>0.55232809399772853</v>
      </c>
      <c r="U48" s="8">
        <f t="shared" si="41"/>
        <v>1.5622785779154322</v>
      </c>
      <c r="V48" s="8">
        <f t="shared" si="41"/>
        <v>0.65166713014225408</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4"/>
    <row r="52" spans="1:22" x14ac:dyDescent="0.3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Cefuroxime-0,001mg/L</v>
      </c>
      <c r="J52" s="46" t="str">
        <f>J4</f>
        <v>Cefuroxime-0,01mg/L</v>
      </c>
      <c r="K52" s="46" t="str">
        <f t="shared" ref="K52:M52" si="43">K4</f>
        <v>Cefuroxime-0,1mg/L</v>
      </c>
      <c r="L52" s="46" t="str">
        <f t="shared" si="43"/>
        <v>Cefuroxime-1mg/L</v>
      </c>
      <c r="M52" s="46" t="str">
        <f t="shared" si="43"/>
        <v>Cefuroxime-10mg/L</v>
      </c>
      <c r="N52" s="47"/>
      <c r="O52" s="46" t="str">
        <f>O27</f>
        <v>Testo -30µg/L</v>
      </c>
      <c r="P52" s="46" t="str">
        <f>P27</f>
        <v>Testo 30µg/L + EE2 -64ng/L</v>
      </c>
      <c r="Q52" s="46" t="str">
        <f>Q27</f>
        <v>Testo 30µg/L + FAD-10µg/L</v>
      </c>
      <c r="R52" s="46" t="str">
        <f>R27</f>
        <v>Cefuroxime-0,001mg/L + Testostérone</v>
      </c>
      <c r="S52" s="46" t="str">
        <f t="shared" ref="S52:V52" si="44">S27</f>
        <v>Cefuroxime-0,01mg/L + Testostérone</v>
      </c>
      <c r="T52" s="46" t="str">
        <f t="shared" si="44"/>
        <v>Cefuroxime-0,1mg/L + Testostérone</v>
      </c>
      <c r="U52" s="46" t="str">
        <f t="shared" si="44"/>
        <v>Cefuroxime-1mg/L + Testostérone</v>
      </c>
      <c r="V52" s="46" t="str">
        <f t="shared" si="44"/>
        <v>Cefuroxime-10mg/L + Testostérone</v>
      </c>
    </row>
    <row r="53" spans="1:22" s="3" customFormat="1" x14ac:dyDescent="0.35">
      <c r="A53" s="61" t="s">
        <v>32</v>
      </c>
      <c r="B53" s="141">
        <f t="shared" ref="B53" si="45">B46</f>
        <v>0.19353549486383892</v>
      </c>
      <c r="C53" s="141">
        <f t="shared" ref="C53:V53" si="46">C46</f>
        <v>0.35807834469837907</v>
      </c>
      <c r="D53" s="141">
        <f t="shared" si="46"/>
        <v>0.55283901685210557</v>
      </c>
      <c r="E53" s="141">
        <f t="shared" si="46"/>
        <v>4.188856333426564</v>
      </c>
      <c r="F53" s="141">
        <f t="shared" si="46"/>
        <v>9.6247691732431946</v>
      </c>
      <c r="G53" s="141">
        <f t="shared" si="46"/>
        <v>13.876703406663943</v>
      </c>
      <c r="H53" s="141">
        <f t="shared" si="46"/>
        <v>21.630273163285498</v>
      </c>
      <c r="I53" s="141">
        <f t="shared" si="46"/>
        <v>0.22815485450358944</v>
      </c>
      <c r="J53" s="141">
        <f t="shared" si="46"/>
        <v>0.1556010652778515</v>
      </c>
      <c r="K53" s="141">
        <f t="shared" si="46"/>
        <v>0.12867831845278793</v>
      </c>
      <c r="L53" s="141">
        <f t="shared" si="46"/>
        <v>0.19968413362085508</v>
      </c>
      <c r="M53" s="141">
        <f t="shared" si="46"/>
        <v>7.5805402960603813E-2</v>
      </c>
      <c r="N53" s="141"/>
      <c r="O53" s="141">
        <f t="shared" si="46"/>
        <v>1</v>
      </c>
      <c r="P53" s="141">
        <f t="shared" si="46"/>
        <v>10.250921411001592</v>
      </c>
      <c r="Q53" s="141">
        <f t="shared" si="46"/>
        <v>0.17945917075422979</v>
      </c>
      <c r="R53" s="141">
        <f t="shared" si="46"/>
        <v>3.1880347223195775</v>
      </c>
      <c r="S53" s="141">
        <f t="shared" si="46"/>
        <v>1.2084325107952805</v>
      </c>
      <c r="T53" s="141">
        <f t="shared" si="46"/>
        <v>1.5881579524945606</v>
      </c>
      <c r="U53" s="141">
        <f t="shared" si="46"/>
        <v>2.7130871962653118</v>
      </c>
      <c r="V53" s="141">
        <f t="shared" si="46"/>
        <v>1.4188198814719686</v>
      </c>
    </row>
    <row r="54" spans="1:22" s="3" customFormat="1" x14ac:dyDescent="0.35">
      <c r="A54" s="61" t="s">
        <v>2</v>
      </c>
      <c r="B54" s="141">
        <f t="shared" ref="B54" si="47">B48</f>
        <v>8.1721466812207946E-2</v>
      </c>
      <c r="C54" s="141">
        <f t="shared" ref="C54:V54" si="48">C48</f>
        <v>0.14665058091977781</v>
      </c>
      <c r="D54" s="141">
        <f t="shared" si="48"/>
        <v>0.17131992243403188</v>
      </c>
      <c r="E54" s="141">
        <f t="shared" si="48"/>
        <v>0.92605680388370104</v>
      </c>
      <c r="F54" s="141">
        <f t="shared" si="48"/>
        <v>1.1753047340212472</v>
      </c>
      <c r="G54" s="141">
        <f t="shared" si="48"/>
        <v>0.69242405817708874</v>
      </c>
      <c r="H54" s="141">
        <f t="shared" si="48"/>
        <v>2.4071190636421536</v>
      </c>
      <c r="I54" s="141">
        <f t="shared" si="48"/>
        <v>5.0658754958153092E-2</v>
      </c>
      <c r="J54" s="141">
        <f t="shared" si="48"/>
        <v>5.1300968033562301E-2</v>
      </c>
      <c r="K54" s="141">
        <f t="shared" si="48"/>
        <v>3.480001403101448E-2</v>
      </c>
      <c r="L54" s="141">
        <f t="shared" si="48"/>
        <v>8.3418080776183318E-2</v>
      </c>
      <c r="M54" s="141">
        <f t="shared" si="48"/>
        <v>1.4780291208521951E-2</v>
      </c>
      <c r="N54" s="141"/>
      <c r="O54" s="141">
        <f t="shared" si="48"/>
        <v>0.1982274976914849</v>
      </c>
      <c r="P54" s="141">
        <f t="shared" si="48"/>
        <v>1.055269098875659</v>
      </c>
      <c r="Q54" s="141">
        <f t="shared" si="48"/>
        <v>5.322104105158286E-2</v>
      </c>
      <c r="R54" s="141">
        <f t="shared" si="48"/>
        <v>1.3230316520789143</v>
      </c>
      <c r="S54" s="141">
        <f t="shared" si="48"/>
        <v>0.54253554384881719</v>
      </c>
      <c r="T54" s="141">
        <f t="shared" si="48"/>
        <v>0.55232809399772853</v>
      </c>
      <c r="U54" s="141">
        <f t="shared" si="48"/>
        <v>1.5622785779154322</v>
      </c>
      <c r="V54" s="141">
        <f t="shared" si="48"/>
        <v>0.65166713014225408</v>
      </c>
    </row>
    <row r="55" spans="1:22" s="3" customFormat="1" x14ac:dyDescent="0.35">
      <c r="A55" s="61" t="s">
        <v>79</v>
      </c>
      <c r="B55" s="141">
        <f>(B53*100/$B53)-100</f>
        <v>0</v>
      </c>
      <c r="C55" s="141">
        <f t="shared" ref="C55:M55" si="49">(C53*100/$B53)-100</f>
        <v>85.019468883629628</v>
      </c>
      <c r="D55" s="141">
        <f t="shared" si="49"/>
        <v>185.65251931747878</v>
      </c>
      <c r="E55" s="141">
        <f t="shared" si="49"/>
        <v>2064.3866084480351</v>
      </c>
      <c r="F55" s="141">
        <f t="shared" si="49"/>
        <v>4873.1286656303846</v>
      </c>
      <c r="G55" s="141">
        <f t="shared" si="49"/>
        <v>7070.1076933855666</v>
      </c>
      <c r="H55" s="141">
        <f t="shared" si="49"/>
        <v>11076.385591957374</v>
      </c>
      <c r="I55" s="141">
        <f t="shared" si="49"/>
        <v>17.887860655280235</v>
      </c>
      <c r="J55" s="141">
        <f t="shared" si="49"/>
        <v>-19.600760890231541</v>
      </c>
      <c r="K55" s="141">
        <f t="shared" si="49"/>
        <v>-33.511773360582239</v>
      </c>
      <c r="L55" s="141">
        <f t="shared" si="49"/>
        <v>3.1770083112361363</v>
      </c>
      <c r="M55" s="141">
        <f t="shared" si="49"/>
        <v>-60.831266112742583</v>
      </c>
      <c r="N55" s="141"/>
      <c r="O55" s="141">
        <f t="shared" ref="O55:V55" si="50">(O53*100/$O53)-100</f>
        <v>0</v>
      </c>
      <c r="P55" s="141">
        <f t="shared" si="50"/>
        <v>925.0921411001591</v>
      </c>
      <c r="Q55" s="141">
        <f t="shared" si="50"/>
        <v>-82.054082924577017</v>
      </c>
      <c r="R55" s="141">
        <f t="shared" si="50"/>
        <v>218.80347223195776</v>
      </c>
      <c r="S55" s="141">
        <f t="shared" si="50"/>
        <v>20.843251079528045</v>
      </c>
      <c r="T55" s="141">
        <f t="shared" si="50"/>
        <v>58.815795249456073</v>
      </c>
      <c r="U55" s="141">
        <f t="shared" si="50"/>
        <v>171.30871962653117</v>
      </c>
      <c r="V55" s="141">
        <f t="shared" si="50"/>
        <v>41.881988147196864</v>
      </c>
    </row>
    <row r="56" spans="1:22" s="3" customFormat="1" x14ac:dyDescent="0.35">
      <c r="A56" s="61" t="s">
        <v>81</v>
      </c>
      <c r="B56" s="141">
        <f>[1]!SWTEST(B28:B43)</f>
        <v>4.3972352968690842E-4</v>
      </c>
      <c r="C56" s="141">
        <f>[1]!SWTEST(C28:C43)</f>
        <v>4.3658355572218088E-3</v>
      </c>
      <c r="D56" s="141">
        <f>[1]!SWTEST(D28:D43)</f>
        <v>0.3006665328048822</v>
      </c>
      <c r="E56" s="141">
        <f>[1]!SWTEST(E28:E43)</f>
        <v>0.40587545101658895</v>
      </c>
      <c r="F56" s="141">
        <f>[1]!SWTEST(F28:F43)</f>
        <v>0.94762877762045572</v>
      </c>
      <c r="G56" s="141">
        <f>[1]!SWTEST(G28:G43)</f>
        <v>0.52528248524303545</v>
      </c>
      <c r="H56" s="141">
        <f>[1]!SWTEST(H28:H43)</f>
        <v>0.61295190515713671</v>
      </c>
      <c r="I56" s="141" t="e">
        <f ca="1">[1]!SWTEST(I28:I43)</f>
        <v>#NAME?</v>
      </c>
      <c r="J56" s="141">
        <f>[1]!SWTEST(J28:J43)</f>
        <v>2.9732463414894772E-2</v>
      </c>
      <c r="K56" s="141">
        <f>[1]!SWTEST(K28:K43)</f>
        <v>0.39223121331368227</v>
      </c>
      <c r="L56" s="141">
        <f>[1]!SWTEST(L28:L43)</f>
        <v>4.7480196950233533E-2</v>
      </c>
      <c r="M56" s="141">
        <f>[1]!SWTEST(M28:M43)</f>
        <v>0.83636952766371975</v>
      </c>
      <c r="N56" s="141"/>
      <c r="O56" s="141">
        <f>[1]!SWTEST(O28:O43)</f>
        <v>0.12764835206467762</v>
      </c>
      <c r="P56" s="141">
        <f>[1]!SWTEST(P28:P43)</f>
        <v>0.74647132971993968</v>
      </c>
      <c r="Q56" s="141">
        <f>[1]!SWTEST(Q28:Q43)</f>
        <v>0.33798907222422103</v>
      </c>
      <c r="R56" s="141" t="e">
        <f ca="1">[1]!SWTEST(R28:R43)</f>
        <v>#NAME?</v>
      </c>
      <c r="S56" s="141">
        <f>[1]!SWTEST(S28:S43)</f>
        <v>1.6015720459079952E-2</v>
      </c>
      <c r="T56" s="141">
        <f>[1]!SWTEST(T28:T43)</f>
        <v>0.14484436213232454</v>
      </c>
      <c r="U56" s="141">
        <f>[1]!SWTEST(U28:U43)</f>
        <v>1.3147490567401166E-3</v>
      </c>
      <c r="V56" s="141">
        <f>[1]!SWTEST(V28:V43)</f>
        <v>3.3397701367267052E-3</v>
      </c>
    </row>
    <row r="57" spans="1:22" s="3" customFormat="1" x14ac:dyDescent="0.35">
      <c r="A57" s="61" t="s">
        <v>85</v>
      </c>
      <c r="B57" s="141" t="str">
        <f>IF(B56&gt;0.05,"Oui","Non")</f>
        <v>Non</v>
      </c>
      <c r="C57" s="141" t="str">
        <f t="shared" ref="C57:V57" si="51">IF(C56&gt;0.05,"Oui","Non")</f>
        <v>Non</v>
      </c>
      <c r="D57" s="141" t="str">
        <f t="shared" si="51"/>
        <v>Oui</v>
      </c>
      <c r="E57" s="141" t="str">
        <f t="shared" si="51"/>
        <v>Oui</v>
      </c>
      <c r="F57" s="141" t="str">
        <f t="shared" si="51"/>
        <v>Oui</v>
      </c>
      <c r="G57" s="141" t="str">
        <f t="shared" si="51"/>
        <v>Oui</v>
      </c>
      <c r="H57" s="141" t="str">
        <f t="shared" si="51"/>
        <v>Oui</v>
      </c>
      <c r="I57" s="141" t="e">
        <f t="shared" ca="1" si="51"/>
        <v>#NAME?</v>
      </c>
      <c r="J57" s="141" t="str">
        <f t="shared" si="51"/>
        <v>Non</v>
      </c>
      <c r="K57" s="141" t="str">
        <f t="shared" si="51"/>
        <v>Oui</v>
      </c>
      <c r="L57" s="141" t="str">
        <f t="shared" si="51"/>
        <v>Non</v>
      </c>
      <c r="M57" s="141" t="str">
        <f t="shared" si="51"/>
        <v>Oui</v>
      </c>
      <c r="N57" s="141"/>
      <c r="O57" s="141" t="str">
        <f t="shared" si="51"/>
        <v>Oui</v>
      </c>
      <c r="P57" s="141" t="str">
        <f t="shared" si="51"/>
        <v>Oui</v>
      </c>
      <c r="Q57" s="141" t="str">
        <f t="shared" si="51"/>
        <v>Oui</v>
      </c>
      <c r="R57" s="141" t="e">
        <f t="shared" ca="1" si="51"/>
        <v>#NAME?</v>
      </c>
      <c r="S57" s="141" t="str">
        <f t="shared" si="51"/>
        <v>Non</v>
      </c>
      <c r="T57" s="141" t="str">
        <f t="shared" si="51"/>
        <v>Oui</v>
      </c>
      <c r="U57" s="141" t="str">
        <f t="shared" si="51"/>
        <v>Non</v>
      </c>
      <c r="V57" s="141" t="str">
        <f t="shared" si="51"/>
        <v>Non</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52">IF($B57="Non",IF(C57="Non","MW",IF(C57="Oui","MW","")),IF($B57="Oui",IF(C57="Oui","T-Test Welch",IF(C57="Non","MW",""))))</f>
        <v>MW</v>
      </c>
      <c r="D59" s="150" t="str">
        <f t="shared" si="52"/>
        <v>MW</v>
      </c>
      <c r="E59" s="150" t="str">
        <f t="shared" si="52"/>
        <v>MW</v>
      </c>
      <c r="F59" s="150" t="str">
        <f t="shared" si="52"/>
        <v>MW</v>
      </c>
      <c r="G59" s="150" t="str">
        <f t="shared" si="52"/>
        <v>MW</v>
      </c>
      <c r="H59" s="150" t="str">
        <f t="shared" si="52"/>
        <v>MW</v>
      </c>
      <c r="I59" s="150" t="e">
        <f t="shared" ca="1" si="52"/>
        <v>#NAME?</v>
      </c>
      <c r="J59" s="150" t="str">
        <f t="shared" si="52"/>
        <v>MW</v>
      </c>
      <c r="K59" s="150" t="str">
        <f t="shared" si="52"/>
        <v>MW</v>
      </c>
      <c r="L59" s="150" t="str">
        <f t="shared" si="52"/>
        <v>MW</v>
      </c>
      <c r="M59" s="150" t="str">
        <f t="shared" si="52"/>
        <v>MW</v>
      </c>
      <c r="N59" s="150"/>
      <c r="O59" s="150" t="str">
        <f t="shared" si="52"/>
        <v>MW</v>
      </c>
      <c r="P59" s="150" t="str">
        <f t="shared" ref="P59:V59" si="53">IF($O57="Non",IF(P57="Non","MW",IF(P57="Oui","MW","")),IF($O57="Oui",IF(P57="Oui","T-Test Welch",IF(P57="Non","MW",""))))</f>
        <v>T-Test Welch</v>
      </c>
      <c r="Q59" s="150" t="str">
        <f t="shared" si="53"/>
        <v>T-Test Welch</v>
      </c>
      <c r="R59" s="150" t="e">
        <f t="shared" ca="1" si="53"/>
        <v>#NAME?</v>
      </c>
      <c r="S59" s="150" t="str">
        <f t="shared" si="53"/>
        <v>MW</v>
      </c>
      <c r="T59" s="150" t="str">
        <f t="shared" si="53"/>
        <v>T-Test Welch</v>
      </c>
      <c r="U59" s="150" t="str">
        <f t="shared" si="53"/>
        <v>MW</v>
      </c>
      <c r="V59" s="150" t="str">
        <f t="shared" si="53"/>
        <v>MW</v>
      </c>
    </row>
    <row r="60" spans="1:22" s="3" customFormat="1" x14ac:dyDescent="0.35">
      <c r="A60" s="61" t="s">
        <v>83</v>
      </c>
      <c r="B60" s="151"/>
      <c r="C60" s="151">
        <f>IF(C59="MW",[1]!MTEST($B28:$B43,C28:C43,2), IF(C59="T-Test Welch",_xlfn.T.TEST($B28:$B43,C28:C43,2,3),""))</f>
        <v>0.24799581483148536</v>
      </c>
      <c r="D60" s="151">
        <f>IF(D59="MW",[1]!MTEST($B28:$B43,D28:D43,2), IF(D59="T-Test Welch",_xlfn.T.TEST($B28:$B43,D28:D43,2,3),""))</f>
        <v>0.11518373151505124</v>
      </c>
      <c r="E60" s="151">
        <f>IF(E59="MW",[1]!MTEST($B28:$B43,E28:E43,2), IF(E59="T-Test Welch",_xlfn.T.TEST($B28:$B43,E28:E43,2,3),""))</f>
        <v>7.7753044694039986E-4</v>
      </c>
      <c r="F60" s="151">
        <f>IF(F59="MW",[1]!MTEST($B28:$B43,F28:F43,2), IF(F59="T-Test Welch",_xlfn.T.TEST($B28:$B43,F28:F43,2,3),""))</f>
        <v>7.7753044694039986E-4</v>
      </c>
      <c r="G60" s="151">
        <f>IF(G59="MW",[1]!MTEST($B28:$B43,G28:G43,2), IF(G59="T-Test Welch",_xlfn.T.TEST($B28:$B43,G28:G43,2,3),""))</f>
        <v>7.7753044694039986E-4</v>
      </c>
      <c r="H60" s="151">
        <f>IF(H59="MW",[1]!MTEST($B28:$B43,H28:H43,2), IF(H59="T-Test Welch",_xlfn.T.TEST($B28:$B43,H28:H43,2,3),""))</f>
        <v>7.7753044694039986E-4</v>
      </c>
      <c r="I60" s="151" t="e">
        <f ca="1">IF(I59="MW",[1]!MTEST($B28:$B43,I28:I43,2), IF(I59="T-Test Welch",_xlfn.T.TEST($B28:$B43,I28:I43,2,3),""))</f>
        <v>#NAME?</v>
      </c>
      <c r="J60" s="151">
        <f>IF(J59="MW",[1]!MTEST($B28:$B43,J28:J43,2), IF(J59="T-Test Welch",_xlfn.T.TEST($B28:$B43,J28:J43,2,3),""))</f>
        <v>1</v>
      </c>
      <c r="K60" s="151">
        <f>IF(K59="MW",[1]!MTEST($B28:$B43,K28:K43,2), IF(K59="T-Test Welch",_xlfn.T.TEST($B28:$B43,K28:K43,2,3),""))</f>
        <v>0.59951017856000322</v>
      </c>
      <c r="L60" s="151">
        <f>IF(L59="MW",[1]!MTEST($B28:$B43,L28:L43,2), IF(L59="T-Test Welch",_xlfn.T.TEST($B28:$B43,L28:L43,2,3),""))</f>
        <v>0.75271380626305229</v>
      </c>
      <c r="M60" s="151">
        <f>IF(M59="MW",[1]!MTEST($B28:$B43,M28:M43,2), IF(M59="T-Test Welch",_xlfn.T.TEST($B28:$B43,M28:M43,2,3),""))</f>
        <v>0.11518373151505124</v>
      </c>
      <c r="N60" s="151"/>
      <c r="O60" s="151">
        <f>IF(O59="MW",[1]!MTEST($B28:$B43,O28:O43,2), IF(O59="T-Test Welch",_xlfn.T.TEST($B28:$B43,O28:O43,2,3),""))</f>
        <v>4.8487627216788898E-3</v>
      </c>
      <c r="P60" s="151">
        <f>IF(P59="MW",[1]!MTEST($O28:$O43,P28:P43,2), IF(P59="T-Test Welch",_xlfn.T.TEST($O28:$O43,P28:P43,2,3),""))</f>
        <v>3.7753212237122146E-5</v>
      </c>
      <c r="Q60" s="151">
        <f>IF(Q59="MW",[1]!MTEST($O28:$O43,Q28:Q43,2), IF(Q59="T-Test Welch",_xlfn.T.TEST($O28:$O43,Q28:Q43,2,3),""))</f>
        <v>9.2679897899402501E-4</v>
      </c>
      <c r="R60" s="151" t="e">
        <f ca="1">IF(R59="MW",[1]!MTEST($O28:$O43,R28:R43,2), IF(R59="T-Test Welch",_xlfn.T.TEST($O28:$O43,R28:R43,2,3),""))</f>
        <v>#NAME?</v>
      </c>
      <c r="S60" s="151">
        <f>IF(S59="MW",[1]!MTEST($O28:$O43,S28:S43,2), IF(S59="T-Test Welch",_xlfn.T.TEST($O28:$O43,S28:S43,2,3),""))</f>
        <v>0.62420611476640597</v>
      </c>
      <c r="T60" s="151">
        <f>IF(T59="MW",[1]!MTEST($O28:$O43,T28:T43,2), IF(T59="T-Test Welch",_xlfn.T.TEST($O28:$O43,T28:T43,2,3),""))</f>
        <v>0.34282246572112912</v>
      </c>
      <c r="U60" s="151">
        <f>IF(U59="MW",[1]!MTEST($O28:$O43,U28:U43,2), IF(U59="T-Test Welch",_xlfn.T.TEST($O28:$O43,U28:U43,2,3),""))</f>
        <v>0.90252325017767943</v>
      </c>
      <c r="V60" s="151">
        <f>IF(V59="MW",[1]!MTEST($O28:$O43,V28:V43,2), IF(V59="T-Test Welch",_xlfn.T.TEST($O28:$O43,V28:V43,2,3),""))</f>
        <v>0.95117026929693571</v>
      </c>
    </row>
    <row r="61" spans="1:22" s="3" customFormat="1" ht="15" thickBot="1" x14ac:dyDescent="0.4">
      <c r="A61" s="62" t="s">
        <v>84</v>
      </c>
      <c r="B61" s="142"/>
      <c r="C61" s="142" t="str">
        <f t="shared" ref="C61:O61" si="54">IF(C60&gt;0.05,"NS",IF(C60&gt;0.01,"*",IF(C60&gt;0.001,"**","***")))</f>
        <v>NS</v>
      </c>
      <c r="D61" s="142" t="str">
        <f t="shared" si="54"/>
        <v>NS</v>
      </c>
      <c r="E61" s="142" t="str">
        <f t="shared" si="54"/>
        <v>***</v>
      </c>
      <c r="F61" s="142" t="str">
        <f t="shared" si="54"/>
        <v>***</v>
      </c>
      <c r="G61" s="142" t="str">
        <f t="shared" si="54"/>
        <v>***</v>
      </c>
      <c r="H61" s="142" t="str">
        <f t="shared" si="54"/>
        <v>***</v>
      </c>
      <c r="I61" s="142" t="e">
        <f t="shared" ca="1" si="54"/>
        <v>#NAME?</v>
      </c>
      <c r="J61" s="142" t="str">
        <f t="shared" si="54"/>
        <v>NS</v>
      </c>
      <c r="K61" s="142" t="str">
        <f t="shared" si="54"/>
        <v>NS</v>
      </c>
      <c r="L61" s="142" t="str">
        <f t="shared" si="54"/>
        <v>NS</v>
      </c>
      <c r="M61" s="142" t="str">
        <f t="shared" si="54"/>
        <v>NS</v>
      </c>
      <c r="N61" s="142"/>
      <c r="O61" s="142" t="str">
        <f t="shared" si="54"/>
        <v>**</v>
      </c>
      <c r="P61" s="142" t="str">
        <f>IF(P60&gt;0.05,"NS",IF(P60&gt;0.01,"*",IF(P60&gt;0.001,"**","***")))</f>
        <v>***</v>
      </c>
      <c r="Q61" s="142" t="str">
        <f t="shared" ref="Q61:V61" si="55">IF(Q60&gt;0.05,"NS",IF(Q60&gt;0.01,"*",IF(Q60&gt;0.001,"**","***")))</f>
        <v>***</v>
      </c>
      <c r="R61" s="142" t="e">
        <f t="shared" ca="1" si="55"/>
        <v>#NAME?</v>
      </c>
      <c r="S61" s="142" t="str">
        <f t="shared" si="55"/>
        <v>NS</v>
      </c>
      <c r="T61" s="142" t="str">
        <f t="shared" si="55"/>
        <v>NS</v>
      </c>
      <c r="U61" s="142" t="str">
        <f t="shared" si="55"/>
        <v>NS</v>
      </c>
      <c r="V61" s="142" t="str">
        <f t="shared" si="55"/>
        <v>NS</v>
      </c>
    </row>
    <row r="63" spans="1:22" x14ac:dyDescent="0.35">
      <c r="A63" s="2" t="s">
        <v>39</v>
      </c>
    </row>
    <row r="64" spans="1:22" x14ac:dyDescent="0.35">
      <c r="A64" s="1" t="s">
        <v>23</v>
      </c>
      <c r="B64" s="1">
        <f>B46+(3*B47)</f>
        <v>0.88696513508092256</v>
      </c>
    </row>
    <row r="65" spans="1:22" x14ac:dyDescent="0.35">
      <c r="A65" s="1" t="s">
        <v>24</v>
      </c>
      <c r="B65" s="1">
        <f>B46+(10*B47)</f>
        <v>2.5049676289207845</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5">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5">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5">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5">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5">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5">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5">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5">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5">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5">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5">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5">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5">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5">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5">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5">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5">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5">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5">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5">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5">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5">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5">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5">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5">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5">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5">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5">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5">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5">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5">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5">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5">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5">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5">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5">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5">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5">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5">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5">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5">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5">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5">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5">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5">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5">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5">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5">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5">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5">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5">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5">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5">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5">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5">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5">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5">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5">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5">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5">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5">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5">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5">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5">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5">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5">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5">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5">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5">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5">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5">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5">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5">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5">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5">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5">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5">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5">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5">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5">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5">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5">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5">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5">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5">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5">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5">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5">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5">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5">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5">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5">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5">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5">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5">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5">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5">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5">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5">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5">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5">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5">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5">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5">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5">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5">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5">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5">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5">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5">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5">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5">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5">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5">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5">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5">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5">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5">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5">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5">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5">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5">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5">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5">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5">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5">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5">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5">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5">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5">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5">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5">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5">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5">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5">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5">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5">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5">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5">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5">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5">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5">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5">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5">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5">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5">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5">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5">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5">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5">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5">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5">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5">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5">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5">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5">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5">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5">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5">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5">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5">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5">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5">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5">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5">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5">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5">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5">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5">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5">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5">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5">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5">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5">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5">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5">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5">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5">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5">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5">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5">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5">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5">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5">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5">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5">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5">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5">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5">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5">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5">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5">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5">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5">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5">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5">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5">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5">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5">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5">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5">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5">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5">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5">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5">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5">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5">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5">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5">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5">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5">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5">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5">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5">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5">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5">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5">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5">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5">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5">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5">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5">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5">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5">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5">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5">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5">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5">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5">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5">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5">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5">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5">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5">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5">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5">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5">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5">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5">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5">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5">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5">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5">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5">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5">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5">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5">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5">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5">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5">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5">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5">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5">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5">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5">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5">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5">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5">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5">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5">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5">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5">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5">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5">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5">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5">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5">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5">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5">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5">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5">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5">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5">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5">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5">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5">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5">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5">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5">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5">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5">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5">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5">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5">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5">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5">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5">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5">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5">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5">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5">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5">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5">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5">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5">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5">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5">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5">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5">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5">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5">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5">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5">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5">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5">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5">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5">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5">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5">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5">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5">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5">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5">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5">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I1" zoomScale="70" zoomScaleNormal="70" zoomScaleSheetLayoutView="40" zoomScalePageLayoutView="30" workbookViewId="0">
      <selection activeCell="Q5" sqref="Q5:Q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row r="3" spans="1:22" ht="15" thickBot="1" x14ac:dyDescent="0.4">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Cefuroxime-0,001mg/L</v>
      </c>
      <c r="J4" s="35" t="str">
        <f>'Page de garde'!A16</f>
        <v>Cefuroxime-0,01mg/L</v>
      </c>
      <c r="K4" s="35" t="str">
        <f>'Page de garde'!A17</f>
        <v>Cefuroxime-0,1mg/L</v>
      </c>
      <c r="L4" s="35" t="str">
        <f>'Page de garde'!A18</f>
        <v>Cefuroxime-1mg/L</v>
      </c>
      <c r="M4" s="35" t="str">
        <f>'Page de garde'!A19</f>
        <v>Cefuroxime-10mg/L</v>
      </c>
      <c r="N4" s="3"/>
      <c r="O4" s="36" t="str">
        <f>'Page de garde'!A36</f>
        <v>Testo -30µg/L</v>
      </c>
      <c r="P4" s="36" t="str">
        <f>'Page de garde'!A37</f>
        <v>Testo 30µg/L + EE2 -64ng/L</v>
      </c>
      <c r="Q4" s="36" t="str">
        <f>'Page de garde'!A38</f>
        <v>Testo 30µg/L + FAD-10µg/L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23" t="s">
        <v>33</v>
      </c>
      <c r="B5" s="32">
        <v>131008</v>
      </c>
      <c r="C5" s="32">
        <v>330344</v>
      </c>
      <c r="D5" s="32">
        <v>397211</v>
      </c>
      <c r="E5" s="32">
        <v>1842173</v>
      </c>
      <c r="F5" s="32">
        <v>3711177</v>
      </c>
      <c r="G5" s="32">
        <v>5796356</v>
      </c>
      <c r="H5" s="32">
        <v>11254231</v>
      </c>
      <c r="I5" s="32">
        <v>22193</v>
      </c>
      <c r="J5" s="32">
        <v>121479</v>
      </c>
      <c r="K5" s="13">
        <v>189660</v>
      </c>
      <c r="L5" s="13">
        <v>73164</v>
      </c>
      <c r="M5" s="13">
        <v>170137</v>
      </c>
      <c r="N5" s="3"/>
      <c r="O5" s="32">
        <v>244763</v>
      </c>
      <c r="P5" s="13">
        <v>4974417</v>
      </c>
      <c r="Q5" s="13">
        <v>91584</v>
      </c>
      <c r="R5" s="32">
        <v>604371</v>
      </c>
      <c r="S5" s="32">
        <v>154090</v>
      </c>
      <c r="T5" s="32">
        <v>5470083</v>
      </c>
      <c r="U5" s="32">
        <v>34007</v>
      </c>
      <c r="V5" s="32">
        <v>165255</v>
      </c>
    </row>
    <row r="6" spans="1:22" ht="16.5" x14ac:dyDescent="0.35">
      <c r="A6" s="223"/>
      <c r="B6" s="14">
        <v>370152</v>
      </c>
      <c r="C6" s="13">
        <v>45008</v>
      </c>
      <c r="D6" s="32">
        <v>39414</v>
      </c>
      <c r="E6" s="32">
        <v>3557195</v>
      </c>
      <c r="F6" s="32">
        <v>2919031</v>
      </c>
      <c r="G6" s="32">
        <v>7701770</v>
      </c>
      <c r="H6" s="32">
        <v>11214454</v>
      </c>
      <c r="I6" s="32">
        <v>249557</v>
      </c>
      <c r="J6" s="32">
        <v>109137</v>
      </c>
      <c r="K6" s="13">
        <v>40286</v>
      </c>
      <c r="L6" s="13">
        <v>24913</v>
      </c>
      <c r="M6" s="13">
        <v>3255</v>
      </c>
      <c r="N6" s="3"/>
      <c r="O6" s="32">
        <v>1163039</v>
      </c>
      <c r="P6" s="13">
        <v>8543530</v>
      </c>
      <c r="Q6" s="13">
        <v>105279</v>
      </c>
      <c r="R6" s="32">
        <v>302582</v>
      </c>
      <c r="S6" s="32">
        <v>864113</v>
      </c>
      <c r="T6" s="32">
        <v>533456</v>
      </c>
      <c r="U6" s="32">
        <v>565851</v>
      </c>
      <c r="V6" s="32">
        <v>2326590</v>
      </c>
    </row>
    <row r="7" spans="1:22" ht="16.5" x14ac:dyDescent="0.35">
      <c r="A7" s="223"/>
      <c r="B7" s="14">
        <v>112092</v>
      </c>
      <c r="C7" s="13">
        <v>254427</v>
      </c>
      <c r="D7" s="32">
        <v>276842</v>
      </c>
      <c r="E7" s="32">
        <v>4452237</v>
      </c>
      <c r="F7" s="32">
        <v>3991451</v>
      </c>
      <c r="G7" s="32">
        <v>3829377</v>
      </c>
      <c r="H7" s="32">
        <v>11905591</v>
      </c>
      <c r="I7" s="32">
        <v>54735</v>
      </c>
      <c r="J7" s="32">
        <v>303521</v>
      </c>
      <c r="K7" s="13">
        <v>61525</v>
      </c>
      <c r="L7" s="13">
        <v>82523</v>
      </c>
      <c r="M7" s="13">
        <v>46513</v>
      </c>
      <c r="N7" s="3"/>
      <c r="O7" s="32">
        <v>7690153</v>
      </c>
      <c r="P7" s="13">
        <v>9692917</v>
      </c>
      <c r="Q7" s="13">
        <v>288139</v>
      </c>
      <c r="R7" s="32">
        <v>580218</v>
      </c>
      <c r="S7" s="32">
        <v>98268</v>
      </c>
      <c r="T7" s="32">
        <v>341126</v>
      </c>
      <c r="U7" s="32">
        <v>1398090</v>
      </c>
      <c r="V7" s="32">
        <v>2763635</v>
      </c>
    </row>
    <row r="8" spans="1:22" ht="16.5" x14ac:dyDescent="0.35">
      <c r="A8" s="223"/>
      <c r="B8" s="14">
        <v>144457</v>
      </c>
      <c r="C8" s="13">
        <v>289048</v>
      </c>
      <c r="D8" s="32">
        <v>272533</v>
      </c>
      <c r="E8" s="32">
        <v>490424</v>
      </c>
      <c r="F8" s="32">
        <v>3683657</v>
      </c>
      <c r="G8" s="32">
        <v>6595752</v>
      </c>
      <c r="H8" s="32">
        <v>15049853</v>
      </c>
      <c r="I8" s="32">
        <v>286945</v>
      </c>
      <c r="J8" s="32">
        <v>188189</v>
      </c>
      <c r="K8" s="13">
        <v>830574</v>
      </c>
      <c r="L8" s="13">
        <v>101181</v>
      </c>
      <c r="M8" s="13">
        <v>323009</v>
      </c>
      <c r="N8" s="3"/>
      <c r="O8" s="32">
        <v>1414410</v>
      </c>
      <c r="P8" s="13">
        <v>8153098</v>
      </c>
      <c r="Q8" s="13">
        <v>348318</v>
      </c>
      <c r="R8" s="32">
        <v>1713440</v>
      </c>
      <c r="S8" s="32">
        <v>329162</v>
      </c>
      <c r="T8" s="32">
        <v>3243160</v>
      </c>
      <c r="U8" s="32">
        <v>1610326</v>
      </c>
      <c r="V8" s="32">
        <v>7822011</v>
      </c>
    </row>
    <row r="9" spans="1:22" ht="16.5" x14ac:dyDescent="0.35">
      <c r="A9" s="223"/>
      <c r="B9" s="14">
        <v>218056</v>
      </c>
      <c r="C9" s="13">
        <v>37583</v>
      </c>
      <c r="D9" s="32">
        <v>531155</v>
      </c>
      <c r="E9" s="32">
        <v>253584</v>
      </c>
      <c r="F9" s="32">
        <v>3911070</v>
      </c>
      <c r="G9" s="32">
        <v>7465596</v>
      </c>
      <c r="H9" s="32">
        <v>10392704</v>
      </c>
      <c r="I9" s="32">
        <v>156487</v>
      </c>
      <c r="J9" s="32">
        <v>116381</v>
      </c>
      <c r="K9" s="13">
        <v>158726</v>
      </c>
      <c r="L9" s="13">
        <v>513689</v>
      </c>
      <c r="M9" s="13">
        <v>137899</v>
      </c>
      <c r="N9" s="3"/>
      <c r="O9" s="32">
        <v>516110</v>
      </c>
      <c r="P9" s="13">
        <v>5665936</v>
      </c>
      <c r="Q9" s="13">
        <v>131141</v>
      </c>
      <c r="R9" s="32">
        <v>3920933</v>
      </c>
      <c r="S9" s="32">
        <v>1402106</v>
      </c>
      <c r="T9" s="32">
        <v>329202</v>
      </c>
      <c r="U9" s="32">
        <v>2651363</v>
      </c>
      <c r="V9" s="32">
        <v>1730572</v>
      </c>
    </row>
    <row r="10" spans="1:22" ht="16.5" x14ac:dyDescent="0.35">
      <c r="A10" s="223"/>
      <c r="B10" s="14">
        <v>21634</v>
      </c>
      <c r="C10" s="13">
        <v>93622</v>
      </c>
      <c r="D10" s="32">
        <v>208535</v>
      </c>
      <c r="E10" s="32">
        <v>490336</v>
      </c>
      <c r="F10" s="32">
        <v>8147645</v>
      </c>
      <c r="G10" s="32">
        <v>7287966</v>
      </c>
      <c r="H10" s="32">
        <v>7436478</v>
      </c>
      <c r="I10" s="32">
        <v>178449</v>
      </c>
      <c r="J10" s="32">
        <v>18472</v>
      </c>
      <c r="K10" s="13">
        <v>191693</v>
      </c>
      <c r="L10" s="13">
        <v>154504</v>
      </c>
      <c r="M10" s="13">
        <v>383830</v>
      </c>
      <c r="N10" s="3"/>
      <c r="O10" s="32">
        <v>1393672</v>
      </c>
      <c r="P10" s="13">
        <v>6146274</v>
      </c>
      <c r="Q10" s="13">
        <v>150215</v>
      </c>
      <c r="R10" s="32">
        <v>973679</v>
      </c>
      <c r="S10" s="32">
        <v>1055499</v>
      </c>
      <c r="T10" s="32">
        <v>1882928</v>
      </c>
      <c r="U10" s="32">
        <v>1983526</v>
      </c>
      <c r="V10" s="32">
        <v>709981</v>
      </c>
    </row>
    <row r="11" spans="1:22" ht="16.5" x14ac:dyDescent="0.35">
      <c r="A11" s="223"/>
      <c r="B11" s="14">
        <v>129191</v>
      </c>
      <c r="C11" s="13">
        <v>315909</v>
      </c>
      <c r="D11" s="32">
        <v>320643</v>
      </c>
      <c r="E11" s="32">
        <v>476489</v>
      </c>
      <c r="F11" s="32">
        <v>9683965</v>
      </c>
      <c r="G11" s="32">
        <v>12692322</v>
      </c>
      <c r="H11" s="32">
        <v>6997469</v>
      </c>
      <c r="I11" s="32">
        <v>443720</v>
      </c>
      <c r="J11" s="32">
        <v>50632</v>
      </c>
      <c r="K11" s="13">
        <v>20821</v>
      </c>
      <c r="L11" s="13">
        <v>375926</v>
      </c>
      <c r="M11" s="13">
        <v>186515</v>
      </c>
      <c r="N11" s="3"/>
      <c r="O11" s="32">
        <v>3133301</v>
      </c>
      <c r="P11" s="13">
        <v>16200765</v>
      </c>
      <c r="Q11" s="13">
        <v>143088</v>
      </c>
      <c r="R11" s="32">
        <v>5109850</v>
      </c>
      <c r="S11" s="32">
        <v>395051</v>
      </c>
      <c r="T11" s="32">
        <v>2179941</v>
      </c>
      <c r="U11" s="32">
        <v>1017957</v>
      </c>
      <c r="V11" s="32">
        <v>4804655</v>
      </c>
    </row>
    <row r="12" spans="1:22" ht="16.5" x14ac:dyDescent="0.35">
      <c r="A12" s="223"/>
      <c r="B12" s="14">
        <v>45297</v>
      </c>
      <c r="C12" s="13">
        <v>533269</v>
      </c>
      <c r="D12" s="32">
        <v>459258</v>
      </c>
      <c r="E12" s="32">
        <v>9035684</v>
      </c>
      <c r="F12" s="32">
        <v>21932</v>
      </c>
      <c r="G12" s="32">
        <v>7015420</v>
      </c>
      <c r="H12" s="32">
        <v>7160355</v>
      </c>
      <c r="I12" s="32">
        <v>161729</v>
      </c>
      <c r="J12" s="32">
        <v>194199</v>
      </c>
      <c r="K12" s="13">
        <v>226501</v>
      </c>
      <c r="L12" s="13">
        <v>99379</v>
      </c>
      <c r="M12" s="13">
        <v>445852</v>
      </c>
      <c r="N12" s="3"/>
      <c r="O12" s="32">
        <v>1248206</v>
      </c>
      <c r="P12" s="13">
        <v>7594060</v>
      </c>
      <c r="Q12" s="13">
        <v>152878</v>
      </c>
      <c r="R12" s="32">
        <v>439873</v>
      </c>
      <c r="S12" s="32">
        <v>4466028</v>
      </c>
      <c r="T12" s="32">
        <v>2502424</v>
      </c>
      <c r="U12" s="32">
        <v>2521995</v>
      </c>
      <c r="V12" s="32">
        <v>4320978</v>
      </c>
    </row>
    <row r="13" spans="1:22" ht="16.5" x14ac:dyDescent="0.35">
      <c r="A13" s="223"/>
      <c r="B13" s="14"/>
      <c r="C13" s="13"/>
      <c r="D13" s="32"/>
      <c r="E13" s="32"/>
      <c r="F13" s="32"/>
      <c r="G13" s="32"/>
      <c r="H13" s="32"/>
      <c r="I13" s="32"/>
      <c r="J13" s="32"/>
      <c r="K13" s="13"/>
      <c r="L13" s="13"/>
      <c r="M13" s="13"/>
      <c r="N13" s="3"/>
      <c r="O13" s="32">
        <v>505562</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32">
        <v>1231964</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32">
        <v>319967</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32">
        <v>2124615</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32">
        <v>5845080</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32">
        <v>164661</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32">
        <v>56463</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v>502684</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Cefuroxime-0,001mg/L</v>
      </c>
      <c r="J22" s="3" t="str">
        <f t="shared" si="0"/>
        <v>Cefuroxime-0,01mg/L</v>
      </c>
      <c r="K22" s="3" t="str">
        <f t="shared" si="0"/>
        <v>Cefuroxime-0,1mg/L</v>
      </c>
      <c r="L22" s="3" t="str">
        <f t="shared" si="0"/>
        <v>Cefuroxime-1mg/L</v>
      </c>
      <c r="M22" s="3" t="str">
        <f t="shared" si="0"/>
        <v>Cefuroxime-10mg/L</v>
      </c>
      <c r="N22" s="3" t="s">
        <v>41</v>
      </c>
      <c r="O22" s="3" t="str">
        <f t="shared" si="0"/>
        <v>Testo -30µg/L</v>
      </c>
      <c r="P22" s="3" t="str">
        <f t="shared" si="0"/>
        <v>Testo 30µg/L + EE2 -64ng/L</v>
      </c>
      <c r="Q22" s="3" t="str">
        <f t="shared" si="0"/>
        <v>Testo 30µg/L + FAD-10µg/L</v>
      </c>
      <c r="R22" s="3" t="str">
        <f t="shared" si="0"/>
        <v>Cefuroxime-0,001mg/L + Testostérone</v>
      </c>
      <c r="S22" s="3" t="str">
        <f t="shared" si="0"/>
        <v>Cefuroxime-0,01mg/L + Testostérone</v>
      </c>
      <c r="T22" s="3" t="str">
        <f t="shared" si="0"/>
        <v>Cefuroxime-0,1mg/L + Testostérone</v>
      </c>
      <c r="U22" s="3" t="str">
        <f t="shared" si="0"/>
        <v>Cefuroxime-1mg/L + Testostérone</v>
      </c>
      <c r="V22" s="3" t="str">
        <f t="shared" si="0"/>
        <v>Cefuroxime-10mg/L + Testostérone</v>
      </c>
    </row>
    <row r="23" spans="1:22" x14ac:dyDescent="0.35">
      <c r="A23" s="5" t="s">
        <v>0</v>
      </c>
      <c r="B23" s="5">
        <f t="shared" ref="B23:J23" si="1">AVERAGE(B5:B20)</f>
        <v>146485.875</v>
      </c>
      <c r="C23" s="5">
        <f t="shared" si="1"/>
        <v>237401.25</v>
      </c>
      <c r="D23" s="5">
        <f t="shared" si="1"/>
        <v>313198.875</v>
      </c>
      <c r="E23" s="5">
        <f t="shared" si="1"/>
        <v>2574765.25</v>
      </c>
      <c r="F23" s="5">
        <f t="shared" si="1"/>
        <v>4508741</v>
      </c>
      <c r="G23" s="5">
        <f t="shared" si="1"/>
        <v>7298069.875</v>
      </c>
      <c r="H23" s="5">
        <f t="shared" si="1"/>
        <v>10176391.875</v>
      </c>
      <c r="I23" s="5">
        <f t="shared" si="1"/>
        <v>194226.875</v>
      </c>
      <c r="J23" s="5">
        <f t="shared" si="1"/>
        <v>137751.25</v>
      </c>
      <c r="K23" s="5"/>
      <c r="L23" s="5">
        <f>AVERAGE(L5:L20)</f>
        <v>178159.875</v>
      </c>
      <c r="M23" s="5"/>
      <c r="N23" s="5" t="s">
        <v>0</v>
      </c>
      <c r="O23" s="5">
        <f>AVERAGE(O5:O20)</f>
        <v>1722165.625</v>
      </c>
      <c r="P23" s="5">
        <f>AVERAGE(P5:P20)</f>
        <v>8371374.625</v>
      </c>
      <c r="Q23" s="5">
        <f>AVERAGE(Q5:Q20)</f>
        <v>176330.25</v>
      </c>
      <c r="R23" s="5">
        <f>AVERAGE(R5:R20)</f>
        <v>1705618.25</v>
      </c>
      <c r="S23" s="5">
        <f>AVERAGE(S5:S20)</f>
        <v>1095539.625</v>
      </c>
      <c r="T23" s="5">
        <f t="shared" ref="T23:V23" si="2">AVERAGE(T5:T20)</f>
        <v>2060290</v>
      </c>
      <c r="U23" s="5">
        <f t="shared" si="2"/>
        <v>1472889.375</v>
      </c>
      <c r="V23" s="5">
        <f t="shared" si="2"/>
        <v>3080459.625</v>
      </c>
    </row>
    <row r="24" spans="1:22" x14ac:dyDescent="0.35">
      <c r="A24" s="3" t="s">
        <v>1</v>
      </c>
      <c r="B24" s="3">
        <f t="shared" ref="B24:J24" si="3">STDEV(B5:B20)</f>
        <v>108694.67700652858</v>
      </c>
      <c r="C24" s="3">
        <f t="shared" si="3"/>
        <v>170256.85571910796</v>
      </c>
      <c r="D24" s="3">
        <f t="shared" si="3"/>
        <v>153455.35079944963</v>
      </c>
      <c r="E24" s="3">
        <f t="shared" si="3"/>
        <v>3053106.1524282703</v>
      </c>
      <c r="F24" s="3">
        <f t="shared" si="3"/>
        <v>3038441.0985961207</v>
      </c>
      <c r="G24" s="3">
        <f t="shared" si="3"/>
        <v>2511380.1852101986</v>
      </c>
      <c r="H24" s="3">
        <f t="shared" si="3"/>
        <v>2821752.52432964</v>
      </c>
      <c r="I24" s="3">
        <f t="shared" si="3"/>
        <v>133997.80466265377</v>
      </c>
      <c r="J24" s="3">
        <f t="shared" si="3"/>
        <v>89894.761749106226</v>
      </c>
      <c r="K24" s="3"/>
      <c r="L24" s="3">
        <f>STDEV(L5:L20)</f>
        <v>172394.13236985059</v>
      </c>
      <c r="M24" s="3"/>
      <c r="N24" s="3" t="s">
        <v>1</v>
      </c>
      <c r="O24" s="3">
        <f>STDEV(O5:O20)</f>
        <v>2152825.1160279871</v>
      </c>
      <c r="P24" s="3">
        <f>STDEV(P5:P20)</f>
        <v>3536283.766258582</v>
      </c>
      <c r="Q24" s="3">
        <f>STDEV(Q5:Q20)</f>
        <v>91565.994588992631</v>
      </c>
      <c r="R24" s="3">
        <f>STDEV(R5:R20)</f>
        <v>1815886.3431937702</v>
      </c>
      <c r="S24" s="3">
        <f>STDEV(S5:S20)</f>
        <v>1437668.4214875672</v>
      </c>
      <c r="T24" s="3">
        <f t="shared" ref="T24:V24" si="4">STDEV(T5:T20)</f>
        <v>1754607.747810889</v>
      </c>
      <c r="U24" s="3">
        <f t="shared" si="4"/>
        <v>916103.61243708013</v>
      </c>
      <c r="V24" s="3">
        <f t="shared" si="4"/>
        <v>2495782.8930155612</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Cefuroxime-0,001mg/L</v>
      </c>
      <c r="J27" s="35" t="str">
        <f t="shared" si="5"/>
        <v>Cefuroxime-0,01mg/L</v>
      </c>
      <c r="K27" s="35" t="str">
        <f t="shared" si="5"/>
        <v>Cefuroxime-0,1mg/L</v>
      </c>
      <c r="L27" s="35" t="str">
        <f t="shared" si="5"/>
        <v>Cefuroxime-1mg/L</v>
      </c>
      <c r="M27" s="35" t="str">
        <f t="shared" si="5"/>
        <v>Cefuroxime-10mg/L</v>
      </c>
      <c r="N27" s="3"/>
      <c r="O27" s="36" t="str">
        <f>O4</f>
        <v>Testo -30µg/L</v>
      </c>
      <c r="P27" s="36" t="str">
        <f t="shared" ref="P27:V27" si="6">P4</f>
        <v>Testo 30µg/L + EE2 -64ng/L</v>
      </c>
      <c r="Q27" s="36" t="str">
        <f t="shared" si="6"/>
        <v>Testo 30µg/L + FAD-10µg/L</v>
      </c>
      <c r="R27" s="36" t="str">
        <f t="shared" si="6"/>
        <v>Cefuroxime-0,001mg/L + Testostérone</v>
      </c>
      <c r="S27" s="36" t="str">
        <f t="shared" si="6"/>
        <v>Cefuroxime-0,01mg/L + Testostérone</v>
      </c>
      <c r="T27" s="36" t="str">
        <f t="shared" si="6"/>
        <v>Cefuroxime-0,1mg/L + Testostérone</v>
      </c>
      <c r="U27" s="36" t="str">
        <f t="shared" si="6"/>
        <v>Cefuroxime-1mg/L + Testostérone</v>
      </c>
      <c r="V27" s="36" t="str">
        <f t="shared" si="6"/>
        <v>Cefuroxime-10mg/L + Testostérone</v>
      </c>
    </row>
    <row r="28" spans="1:22" x14ac:dyDescent="0.35">
      <c r="A28" s="224" t="s">
        <v>34</v>
      </c>
      <c r="B28" s="11">
        <f t="shared" ref="B28:M28" si="7">IF(B5="","",(B5/$O$23))</f>
        <v>7.6071661225963677E-2</v>
      </c>
      <c r="C28" s="11">
        <f t="shared" si="7"/>
        <v>0.19181894888884454</v>
      </c>
      <c r="D28" s="11">
        <f t="shared" si="7"/>
        <v>0.23064622486585748</v>
      </c>
      <c r="E28" s="11">
        <f t="shared" si="7"/>
        <v>1.0696839916311767</v>
      </c>
      <c r="F28" s="11">
        <f t="shared" si="7"/>
        <v>2.1549477855824697</v>
      </c>
      <c r="G28" s="11">
        <f t="shared" si="7"/>
        <v>3.3657366723946773</v>
      </c>
      <c r="H28" s="11">
        <f t="shared" si="7"/>
        <v>6.5349295309503113</v>
      </c>
      <c r="I28" s="11">
        <f t="shared" si="7"/>
        <v>1.288668155828508E-2</v>
      </c>
      <c r="J28" s="11">
        <f t="shared" si="7"/>
        <v>7.0538511648669103E-2</v>
      </c>
      <c r="K28" s="11">
        <f t="shared" si="7"/>
        <v>0.11012878044177661</v>
      </c>
      <c r="L28" s="11">
        <f t="shared" si="7"/>
        <v>4.2483718718982093E-2</v>
      </c>
      <c r="M28" s="11">
        <f t="shared" si="7"/>
        <v>9.8792472413911994E-2</v>
      </c>
      <c r="N28" s="6"/>
      <c r="O28" s="11">
        <f t="shared" ref="O28:V39" si="8">IF(O5="","",(O5/$O$23))</f>
        <v>0.14212512225704191</v>
      </c>
      <c r="P28" s="11">
        <f t="shared" si="8"/>
        <v>2.8884660846717343</v>
      </c>
      <c r="Q28" s="11">
        <f t="shared" si="8"/>
        <v>5.3179554086152429E-2</v>
      </c>
      <c r="R28" s="11">
        <f t="shared" si="8"/>
        <v>0.3509366295706895</v>
      </c>
      <c r="S28" s="11">
        <f t="shared" si="8"/>
        <v>8.9474553296811976E-2</v>
      </c>
      <c r="T28" s="11">
        <f t="shared" si="8"/>
        <v>3.1762816076415414</v>
      </c>
      <c r="U28" s="11">
        <f t="shared" si="8"/>
        <v>1.9746648932212892E-2</v>
      </c>
      <c r="V28" s="11">
        <f t="shared" si="8"/>
        <v>9.5957669576641327E-2</v>
      </c>
    </row>
    <row r="29" spans="1:22" x14ac:dyDescent="0.35">
      <c r="A29" s="224"/>
      <c r="B29" s="11">
        <f t="shared" ref="B29:M29" si="9">IF(B6="","",(B6/$O$23))</f>
        <v>0.21493403109819939</v>
      </c>
      <c r="C29" s="11">
        <f t="shared" si="9"/>
        <v>2.613453627609133E-2</v>
      </c>
      <c r="D29" s="11">
        <f t="shared" si="9"/>
        <v>2.2886300497375216E-2</v>
      </c>
      <c r="E29" s="11">
        <f t="shared" si="9"/>
        <v>2.0655359440239671</v>
      </c>
      <c r="F29" s="11">
        <f t="shared" si="9"/>
        <v>1.6949769276691955</v>
      </c>
      <c r="G29" s="11">
        <f t="shared" si="9"/>
        <v>4.4721424514555617</v>
      </c>
      <c r="H29" s="11">
        <f t="shared" si="9"/>
        <v>6.5118324493325082</v>
      </c>
      <c r="I29" s="11">
        <f t="shared" si="9"/>
        <v>0.14490882664087551</v>
      </c>
      <c r="J29" s="11">
        <f t="shared" si="9"/>
        <v>6.3371953554118815E-2</v>
      </c>
      <c r="K29" s="11">
        <f t="shared" si="9"/>
        <v>2.3392639717797179E-2</v>
      </c>
      <c r="L29" s="11">
        <f t="shared" si="9"/>
        <v>1.4466088300885695E-2</v>
      </c>
      <c r="M29" s="11">
        <f t="shared" si="9"/>
        <v>1.8900621129283078E-3</v>
      </c>
      <c r="N29" s="6"/>
      <c r="O29" s="11">
        <f t="shared" si="8"/>
        <v>0.67533516121598347</v>
      </c>
      <c r="P29" s="11">
        <f t="shared" si="8"/>
        <v>4.9609223851509636</v>
      </c>
      <c r="Q29" s="11">
        <f t="shared" si="8"/>
        <v>6.1131750902297798E-2</v>
      </c>
      <c r="R29" s="11">
        <f t="shared" si="8"/>
        <v>0.17569854815793343</v>
      </c>
      <c r="S29" s="11">
        <f t="shared" si="8"/>
        <v>0.50175952153266323</v>
      </c>
      <c r="T29" s="11">
        <f t="shared" si="8"/>
        <v>0.30975882473557093</v>
      </c>
      <c r="U29" s="11">
        <f t="shared" si="8"/>
        <v>0.32856944290709555</v>
      </c>
      <c r="V29" s="11">
        <f t="shared" si="8"/>
        <v>1.3509676225246918</v>
      </c>
    </row>
    <row r="30" spans="1:22" x14ac:dyDescent="0.35">
      <c r="A30" s="224"/>
      <c r="B30" s="11">
        <f t="shared" ref="B30:M30" si="10">IF(B7="","",(B7/$O$23))</f>
        <v>6.5087816393966172E-2</v>
      </c>
      <c r="C30" s="11">
        <f t="shared" si="10"/>
        <v>0.14773666150722292</v>
      </c>
      <c r="D30" s="11">
        <f t="shared" si="10"/>
        <v>0.1607522505275879</v>
      </c>
      <c r="E30" s="11">
        <f t="shared" si="10"/>
        <v>2.5852548299470324</v>
      </c>
      <c r="F30" s="11">
        <f t="shared" si="10"/>
        <v>2.3176928757941035</v>
      </c>
      <c r="G30" s="11">
        <f t="shared" si="10"/>
        <v>2.2235822991763641</v>
      </c>
      <c r="H30" s="11">
        <f t="shared" si="10"/>
        <v>6.9131509926636703</v>
      </c>
      <c r="I30" s="11">
        <f t="shared" si="10"/>
        <v>3.1782657373619336E-2</v>
      </c>
      <c r="J30" s="11">
        <f t="shared" si="10"/>
        <v>0.17624379188267678</v>
      </c>
      <c r="K30" s="11">
        <f t="shared" si="10"/>
        <v>3.5725367587684839E-2</v>
      </c>
      <c r="L30" s="11">
        <f t="shared" si="10"/>
        <v>4.7918155374864137E-2</v>
      </c>
      <c r="M30" s="11">
        <f t="shared" si="10"/>
        <v>2.7008435962714097E-2</v>
      </c>
      <c r="N30" s="6"/>
      <c r="O30" s="11">
        <f t="shared" si="8"/>
        <v>4.4653968749376238</v>
      </c>
      <c r="P30" s="11">
        <f t="shared" si="8"/>
        <v>5.6283303181132771</v>
      </c>
      <c r="Q30" s="11">
        <f t="shared" si="8"/>
        <v>0.16731201448757288</v>
      </c>
      <c r="R30" s="11">
        <f t="shared" si="8"/>
        <v>0.33691184609494224</v>
      </c>
      <c r="S30" s="11">
        <f t="shared" si="8"/>
        <v>5.7060713890395992E-2</v>
      </c>
      <c r="T30" s="11">
        <f t="shared" si="8"/>
        <v>0.19807967076337388</v>
      </c>
      <c r="U30" s="11">
        <f t="shared" si="8"/>
        <v>0.81182087233915146</v>
      </c>
      <c r="V30" s="11">
        <f t="shared" si="8"/>
        <v>1.604744026870238</v>
      </c>
    </row>
    <row r="31" spans="1:22" x14ac:dyDescent="0.35">
      <c r="A31" s="224"/>
      <c r="B31" s="11">
        <f t="shared" ref="B31:M31" si="11">IF(B8="","",(B8/$O$23))</f>
        <v>8.3881014638182663E-2</v>
      </c>
      <c r="C31" s="11">
        <f t="shared" si="11"/>
        <v>0.16783983828500815</v>
      </c>
      <c r="D31" s="11">
        <f t="shared" si="11"/>
        <v>0.15825016830190186</v>
      </c>
      <c r="E31" s="11">
        <f t="shared" si="11"/>
        <v>0.28477168100483946</v>
      </c>
      <c r="F31" s="11">
        <f t="shared" si="11"/>
        <v>2.1389679055985105</v>
      </c>
      <c r="G31" s="11">
        <f t="shared" si="11"/>
        <v>3.8299173460740747</v>
      </c>
      <c r="H31" s="11">
        <f t="shared" si="11"/>
        <v>8.7389115085838505</v>
      </c>
      <c r="I31" s="11">
        <f t="shared" si="11"/>
        <v>0.16661870138071069</v>
      </c>
      <c r="J31" s="11">
        <f t="shared" si="11"/>
        <v>0.10927462333943636</v>
      </c>
      <c r="K31" s="11">
        <f t="shared" si="11"/>
        <v>0.48228462346645667</v>
      </c>
      <c r="L31" s="11">
        <f t="shared" si="11"/>
        <v>5.8752188832012019E-2</v>
      </c>
      <c r="M31" s="11">
        <f t="shared" si="11"/>
        <v>0.18755977666201532</v>
      </c>
      <c r="N31" s="6"/>
      <c r="O31" s="11">
        <f t="shared" si="8"/>
        <v>0.82129731279475515</v>
      </c>
      <c r="P31" s="11">
        <f t="shared" si="8"/>
        <v>4.7342124831924917</v>
      </c>
      <c r="Q31" s="11">
        <f t="shared" si="8"/>
        <v>0.20225580800336784</v>
      </c>
      <c r="R31" s="11">
        <f t="shared" si="8"/>
        <v>0.99493334155941016</v>
      </c>
      <c r="S31" s="11">
        <f t="shared" si="8"/>
        <v>0.19113260375290558</v>
      </c>
      <c r="T31" s="11">
        <f t="shared" si="8"/>
        <v>1.8831870482840465</v>
      </c>
      <c r="U31" s="11">
        <f t="shared" si="8"/>
        <v>0.93505872874451312</v>
      </c>
      <c r="V31" s="11">
        <f t="shared" si="8"/>
        <v>4.5419621007706503</v>
      </c>
    </row>
    <row r="32" spans="1:22" x14ac:dyDescent="0.35">
      <c r="A32" s="224"/>
      <c r="B32" s="11">
        <f t="shared" ref="B32:M32" si="12">IF(B9="","",(B9/$O$23))</f>
        <v>0.12661732230313213</v>
      </c>
      <c r="C32" s="11">
        <f t="shared" si="12"/>
        <v>2.1823104267337818E-2</v>
      </c>
      <c r="D32" s="11">
        <f t="shared" si="12"/>
        <v>0.30842271631104007</v>
      </c>
      <c r="E32" s="11">
        <f t="shared" si="12"/>
        <v>0.14724716154986545</v>
      </c>
      <c r="F32" s="11">
        <f t="shared" si="12"/>
        <v>2.2710185032290378</v>
      </c>
      <c r="G32" s="11">
        <f t="shared" si="12"/>
        <v>4.3350046543868279</v>
      </c>
      <c r="H32" s="11">
        <f t="shared" si="12"/>
        <v>6.0346716071516058</v>
      </c>
      <c r="I32" s="11">
        <f t="shared" si="12"/>
        <v>9.0866405488728763E-2</v>
      </c>
      <c r="J32" s="11">
        <f t="shared" si="12"/>
        <v>6.757828533478015E-2</v>
      </c>
      <c r="K32" s="11">
        <f t="shared" si="12"/>
        <v>9.2166512730156247E-2</v>
      </c>
      <c r="L32" s="11">
        <f t="shared" si="12"/>
        <v>0.29828083463226712</v>
      </c>
      <c r="M32" s="11">
        <f t="shared" si="12"/>
        <v>8.0073018528633091E-2</v>
      </c>
      <c r="N32" s="6"/>
      <c r="O32" s="11">
        <f t="shared" si="8"/>
        <v>0.29968662276603042</v>
      </c>
      <c r="P32" s="11">
        <f t="shared" si="8"/>
        <v>3.2900064417439525</v>
      </c>
      <c r="Q32" s="11">
        <f t="shared" si="8"/>
        <v>7.6148889570362893E-2</v>
      </c>
      <c r="R32" s="11">
        <f t="shared" si="8"/>
        <v>2.2767455946636956</v>
      </c>
      <c r="S32" s="11">
        <f t="shared" si="8"/>
        <v>0.81415281994146182</v>
      </c>
      <c r="T32" s="11">
        <f t="shared" si="8"/>
        <v>0.19115583032264971</v>
      </c>
      <c r="U32" s="11">
        <f t="shared" si="8"/>
        <v>1.5395516909124232</v>
      </c>
      <c r="V32" s="11">
        <f t="shared" si="8"/>
        <v>1.0048812813808197</v>
      </c>
    </row>
    <row r="33" spans="1:22" x14ac:dyDescent="0.35">
      <c r="A33" s="224"/>
      <c r="B33" s="11">
        <f t="shared" ref="B33:M33" si="13">IF(B10="","",(B10/$O$23))</f>
        <v>1.2562090246110911E-2</v>
      </c>
      <c r="C33" s="11">
        <f t="shared" si="13"/>
        <v>5.4362947814615682E-2</v>
      </c>
      <c r="D33" s="11">
        <f t="shared" si="13"/>
        <v>0.12108881803978638</v>
      </c>
      <c r="E33" s="11">
        <f t="shared" si="13"/>
        <v>0.28472058255140237</v>
      </c>
      <c r="F33" s="11">
        <f t="shared" si="13"/>
        <v>4.731046121072124</v>
      </c>
      <c r="G33" s="11">
        <f t="shared" si="13"/>
        <v>4.2318612647955973</v>
      </c>
      <c r="H33" s="11">
        <f t="shared" si="13"/>
        <v>4.3180968729415907</v>
      </c>
      <c r="I33" s="11">
        <f t="shared" si="13"/>
        <v>0.10361895360674152</v>
      </c>
      <c r="J33" s="11">
        <f t="shared" si="13"/>
        <v>1.0726029907837697E-2</v>
      </c>
      <c r="K33" s="11">
        <f t="shared" si="13"/>
        <v>0.11130927084902185</v>
      </c>
      <c r="L33" s="11">
        <f t="shared" si="13"/>
        <v>8.9714948293663679E-2</v>
      </c>
      <c r="M33" s="11">
        <f t="shared" si="13"/>
        <v>0.22287635662220351</v>
      </c>
      <c r="N33" s="6"/>
      <c r="O33" s="11">
        <f t="shared" si="8"/>
        <v>0.80925549771091265</v>
      </c>
      <c r="P33" s="11">
        <f t="shared" si="8"/>
        <v>3.5689215431878103</v>
      </c>
      <c r="Q33" s="11">
        <f t="shared" si="8"/>
        <v>8.7224479352849701E-2</v>
      </c>
      <c r="R33" s="11">
        <f t="shared" si="8"/>
        <v>0.56538058004728786</v>
      </c>
      <c r="S33" s="11">
        <f t="shared" si="8"/>
        <v>0.61289052845889891</v>
      </c>
      <c r="T33" s="11">
        <f t="shared" si="8"/>
        <v>1.0933489628792237</v>
      </c>
      <c r="U33" s="11">
        <f t="shared" si="8"/>
        <v>1.151762624457215</v>
      </c>
      <c r="V33" s="11">
        <f t="shared" si="8"/>
        <v>0.41226058033761998</v>
      </c>
    </row>
    <row r="34" spans="1:22" x14ac:dyDescent="0.35">
      <c r="A34" s="224"/>
      <c r="B34" s="11">
        <f t="shared" ref="B34:M34" si="14">IF(B11="","",(B11/$O$23))</f>
        <v>7.5016594295336719E-2</v>
      </c>
      <c r="C34" s="11">
        <f t="shared" si="14"/>
        <v>0.18343706053243283</v>
      </c>
      <c r="D34" s="11">
        <f t="shared" si="14"/>
        <v>0.18618592506165021</v>
      </c>
      <c r="E34" s="11">
        <f t="shared" si="14"/>
        <v>0.27668012477022935</v>
      </c>
      <c r="F34" s="11">
        <f t="shared" si="14"/>
        <v>5.623132211804541</v>
      </c>
      <c r="G34" s="11">
        <f t="shared" si="14"/>
        <v>7.3699775536978329</v>
      </c>
      <c r="H34" s="11">
        <f t="shared" si="14"/>
        <v>4.0631800440216077</v>
      </c>
      <c r="I34" s="11">
        <f t="shared" si="14"/>
        <v>0.25765233817159716</v>
      </c>
      <c r="J34" s="11">
        <f t="shared" si="14"/>
        <v>2.9400191982115541E-2</v>
      </c>
      <c r="K34" s="11">
        <f t="shared" si="14"/>
        <v>1.2090010216061537E-2</v>
      </c>
      <c r="L34" s="11">
        <f t="shared" si="14"/>
        <v>0.21828678644076407</v>
      </c>
      <c r="M34" s="11">
        <f t="shared" si="14"/>
        <v>0.10830259139564466</v>
      </c>
      <c r="N34" s="6"/>
      <c r="O34" s="11">
        <f t="shared" si="8"/>
        <v>1.8193958551460461</v>
      </c>
      <c r="P34" s="11">
        <f t="shared" si="8"/>
        <v>9.4072049545176579</v>
      </c>
      <c r="Q34" s="11">
        <f t="shared" si="8"/>
        <v>8.3086085288689937E-2</v>
      </c>
      <c r="R34" s="11">
        <f t="shared" si="8"/>
        <v>2.9671071851756419</v>
      </c>
      <c r="S34" s="11">
        <f t="shared" si="8"/>
        <v>0.22939199009967465</v>
      </c>
      <c r="T34" s="11">
        <f t="shared" si="8"/>
        <v>1.2658137918645311</v>
      </c>
      <c r="U34" s="11">
        <f t="shared" si="8"/>
        <v>0.59109123142554887</v>
      </c>
      <c r="V34" s="11">
        <f t="shared" si="8"/>
        <v>2.7898913613491731</v>
      </c>
    </row>
    <row r="35" spans="1:22" x14ac:dyDescent="0.35">
      <c r="A35" s="224"/>
      <c r="B35" s="11">
        <f t="shared" ref="B35:M35" si="15">IF(B12="","",(B12/$O$23))</f>
        <v>2.6302348242492647E-2</v>
      </c>
      <c r="C35" s="11">
        <f t="shared" si="15"/>
        <v>0.30965024052201717</v>
      </c>
      <c r="D35" s="11">
        <f t="shared" si="15"/>
        <v>0.26667469918870318</v>
      </c>
      <c r="E35" s="11">
        <f t="shared" si="15"/>
        <v>5.2466986152972366</v>
      </c>
      <c r="F35" s="11">
        <f t="shared" si="15"/>
        <v>1.2735128190704654E-2</v>
      </c>
      <c r="G35" s="11">
        <f t="shared" si="15"/>
        <v>4.0736035478585286</v>
      </c>
      <c r="H35" s="11">
        <f t="shared" si="15"/>
        <v>4.1577621200051533</v>
      </c>
      <c r="I35" s="11">
        <f t="shared" si="15"/>
        <v>9.3910247453696569E-2</v>
      </c>
      <c r="J35" s="11">
        <f t="shared" si="15"/>
        <v>0.11276441544349139</v>
      </c>
      <c r="K35" s="11">
        <f t="shared" si="15"/>
        <v>0.13152103184036087</v>
      </c>
      <c r="L35" s="11">
        <f t="shared" si="15"/>
        <v>5.7705831865039116E-2</v>
      </c>
      <c r="M35" s="11">
        <f t="shared" si="15"/>
        <v>0.25889031433895915</v>
      </c>
      <c r="N35" s="6"/>
      <c r="O35" s="11">
        <f t="shared" si="8"/>
        <v>0.72478859285093444</v>
      </c>
      <c r="P35" s="11">
        <f t="shared" si="8"/>
        <v>4.4095991057770645</v>
      </c>
      <c r="Q35" s="11">
        <f t="shared" si="8"/>
        <v>8.8770788233564935E-2</v>
      </c>
      <c r="R35" s="11">
        <f t="shared" si="8"/>
        <v>0.25541852282645577</v>
      </c>
      <c r="S35" s="11">
        <f t="shared" si="8"/>
        <v>2.593262770530564</v>
      </c>
      <c r="T35" s="11">
        <f t="shared" si="8"/>
        <v>1.4530681391344111</v>
      </c>
      <c r="U35" s="11">
        <f t="shared" si="8"/>
        <v>1.4644323190459687</v>
      </c>
      <c r="V35" s="11">
        <f t="shared" si="8"/>
        <v>2.5090374219959246</v>
      </c>
    </row>
    <row r="36" spans="1:22" x14ac:dyDescent="0.35">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0.2935617763245042</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0.71535744420633174</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0.18579339603297448</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1.2336879619229422</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3.3940289569999984</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9.5612755015941048E-2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3.278604518656561E-2</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0.2918906246314143</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Cefuroxime-0,001mg/L</v>
      </c>
      <c r="J45" s="7" t="str">
        <f t="shared" si="26"/>
        <v>Cefuroxime-0,01mg/L</v>
      </c>
      <c r="K45" s="7" t="str">
        <f t="shared" si="26"/>
        <v>Cefuroxime-0,1mg/L</v>
      </c>
      <c r="L45" s="7" t="str">
        <f t="shared" si="26"/>
        <v>Cefuroxime-1mg/L</v>
      </c>
      <c r="M45" s="7" t="str">
        <f t="shared" si="26"/>
        <v>Cefuroxime-10mg/L</v>
      </c>
      <c r="N45" s="7"/>
      <c r="O45" s="7" t="str">
        <f t="shared" si="26"/>
        <v>Testo -30µg/L</v>
      </c>
      <c r="P45" s="7" t="str">
        <f t="shared" si="26"/>
        <v>Testo 30µg/L + EE2 -64ng/L</v>
      </c>
      <c r="Q45" s="7" t="str">
        <f t="shared" si="26"/>
        <v>Testo 30µg/L + FAD-10µg/L</v>
      </c>
      <c r="R45" s="7" t="str">
        <f t="shared" si="26"/>
        <v>Cefuroxime-0,001mg/L + Testostérone</v>
      </c>
      <c r="S45" s="7" t="str">
        <f t="shared" si="26"/>
        <v>Cefuroxime-0,01mg/L + Testostérone</v>
      </c>
      <c r="T45" s="7" t="str">
        <f t="shared" si="26"/>
        <v>Cefuroxime-0,1mg/L + Testostérone</v>
      </c>
      <c r="U45" s="7" t="str">
        <f t="shared" si="26"/>
        <v>Cefuroxime-1mg/L + Testostérone</v>
      </c>
      <c r="V45" s="7" t="str">
        <f t="shared" si="26"/>
        <v>Cefuroxime-10mg/L + Testostérone</v>
      </c>
    </row>
    <row r="46" spans="1:22" x14ac:dyDescent="0.35">
      <c r="A46" s="8" t="s">
        <v>0</v>
      </c>
      <c r="B46" s="10">
        <f t="shared" ref="B46:H46" si="27">AVERAGE(B28:B43)</f>
        <v>8.5059109805423028E-2</v>
      </c>
      <c r="C46" s="10">
        <f t="shared" si="27"/>
        <v>0.13785041726169631</v>
      </c>
      <c r="D46" s="10">
        <f t="shared" si="27"/>
        <v>0.18186338784923781</v>
      </c>
      <c r="E46" s="10">
        <f t="shared" si="27"/>
        <v>1.4950741163469687</v>
      </c>
      <c r="F46" s="10">
        <f t="shared" si="27"/>
        <v>2.6180646823675859</v>
      </c>
      <c r="G46" s="10">
        <f t="shared" si="27"/>
        <v>4.237728223729933</v>
      </c>
      <c r="H46" s="10">
        <f t="shared" si="27"/>
        <v>5.9090668907062867</v>
      </c>
      <c r="I46" s="10">
        <f>AVERAGE(I28:I43)</f>
        <v>0.11278060145928183</v>
      </c>
      <c r="J46" s="9">
        <f>AVERAGE(J28:J43)</f>
        <v>7.9987225386640742E-2</v>
      </c>
      <c r="K46" s="9">
        <f t="shared" ref="K46:M46" si="28">AVERAGE(K28:K43)</f>
        <v>0.12482727960616449</v>
      </c>
      <c r="L46" s="9">
        <f t="shared" si="28"/>
        <v>0.10345106905730973</v>
      </c>
      <c r="M46" s="9">
        <f t="shared" si="28"/>
        <v>0.12317412850462627</v>
      </c>
      <c r="N46" s="8" t="s">
        <v>0</v>
      </c>
      <c r="O46" s="10">
        <f t="shared" ref="O46:V46" si="29">AVERAGE(O28:O43)</f>
        <v>0.99999999999999978</v>
      </c>
      <c r="P46" s="10">
        <f t="shared" si="29"/>
        <v>4.8609579145443682</v>
      </c>
      <c r="Q46" s="10">
        <f t="shared" si="29"/>
        <v>0.1023886712406073</v>
      </c>
      <c r="R46" s="10">
        <f t="shared" si="29"/>
        <v>0.99039153101200694</v>
      </c>
      <c r="S46" s="10">
        <f t="shared" si="29"/>
        <v>0.63614068768792209</v>
      </c>
      <c r="T46" s="10">
        <f t="shared" si="29"/>
        <v>1.1963367344531686</v>
      </c>
      <c r="U46" s="10">
        <f t="shared" si="29"/>
        <v>0.85525419484551601</v>
      </c>
      <c r="V46" s="10">
        <f t="shared" si="29"/>
        <v>1.7887127581007198</v>
      </c>
    </row>
    <row r="47" spans="1:22" x14ac:dyDescent="0.35">
      <c r="A47" s="8" t="s">
        <v>1</v>
      </c>
      <c r="B47" s="8">
        <f t="shared" ref="B47:M47" si="30">STDEV(B28:B43)</f>
        <v>6.3115112407686441E-2</v>
      </c>
      <c r="C47" s="8">
        <f t="shared" si="30"/>
        <v>9.886206834438932E-2</v>
      </c>
      <c r="D47" s="8">
        <f t="shared" si="30"/>
        <v>8.9106035198821043E-2</v>
      </c>
      <c r="E47" s="8">
        <f t="shared" si="30"/>
        <v>1.7728295746399365</v>
      </c>
      <c r="F47" s="8">
        <f t="shared" si="30"/>
        <v>1.7643141022490914</v>
      </c>
      <c r="G47" s="8">
        <f t="shared" si="30"/>
        <v>1.4582686756450611</v>
      </c>
      <c r="H47" s="8">
        <f t="shared" si="30"/>
        <v>1.6384907951751979</v>
      </c>
      <c r="I47" s="8">
        <f t="shared" si="30"/>
        <v>7.7807733888924757E-2</v>
      </c>
      <c r="J47" s="8">
        <f t="shared" si="30"/>
        <v>5.2198673834931625E-2</v>
      </c>
      <c r="K47" s="8">
        <f t="shared" si="30"/>
        <v>0.15129153310940952</v>
      </c>
      <c r="L47" s="8">
        <f t="shared" si="30"/>
        <v>0.10010310847416351</v>
      </c>
      <c r="M47" s="8">
        <f t="shared" si="30"/>
        <v>9.1912946166560566E-2</v>
      </c>
      <c r="N47" s="8" t="s">
        <v>1</v>
      </c>
      <c r="O47" s="8">
        <f t="shared" ref="O47:V47" si="31">STDEV(O28:O43)</f>
        <v>1.2500685676082912</v>
      </c>
      <c r="P47" s="8">
        <f t="shared" si="31"/>
        <v>2.0533935383006998</v>
      </c>
      <c r="Q47" s="8">
        <f t="shared" si="31"/>
        <v>5.3169098987789092E-2</v>
      </c>
      <c r="R47" s="8">
        <f t="shared" si="31"/>
        <v>1.0544202699399312</v>
      </c>
      <c r="S47" s="8">
        <f t="shared" si="31"/>
        <v>0.83480264651523717</v>
      </c>
      <c r="T47" s="8">
        <f t="shared" si="31"/>
        <v>1.018837980702866</v>
      </c>
      <c r="U47" s="8">
        <f t="shared" si="31"/>
        <v>0.53194861117790604</v>
      </c>
      <c r="V47" s="8">
        <f t="shared" si="31"/>
        <v>1.449211885770604</v>
      </c>
    </row>
    <row r="48" spans="1:22" x14ac:dyDescent="0.35">
      <c r="A48" s="8" t="s">
        <v>2</v>
      </c>
      <c r="B48" s="8">
        <f t="shared" ref="B48:M48" si="32" xml:space="preserve"> B47/SQRT(COUNT(B28:B43))</f>
        <v>2.2314561989413142E-2</v>
      </c>
      <c r="C48" s="8">
        <f t="shared" si="32"/>
        <v>3.4953019464222801E-2</v>
      </c>
      <c r="D48" s="8">
        <f t="shared" si="32"/>
        <v>3.1503740866866775E-2</v>
      </c>
      <c r="E48" s="8">
        <f t="shared" si="32"/>
        <v>0.62678990705798077</v>
      </c>
      <c r="F48" s="8">
        <f t="shared" si="32"/>
        <v>0.62377923292169413</v>
      </c>
      <c r="G48" s="8">
        <f t="shared" si="32"/>
        <v>0.51557583467027435</v>
      </c>
      <c r="H48" s="8">
        <f t="shared" si="32"/>
        <v>0.57929397609006039</v>
      </c>
      <c r="I48" s="8">
        <f t="shared" si="32"/>
        <v>2.7509188130808517E-2</v>
      </c>
      <c r="J48" s="8">
        <f t="shared" si="32"/>
        <v>1.8455018118812477E-2</v>
      </c>
      <c r="K48" s="8">
        <f t="shared" si="32"/>
        <v>5.3489634498886267E-2</v>
      </c>
      <c r="L48" s="8">
        <f t="shared" si="32"/>
        <v>3.5391793409966781E-2</v>
      </c>
      <c r="M48" s="8">
        <f t="shared" si="32"/>
        <v>3.2496133756604532E-2</v>
      </c>
      <c r="N48" s="8" t="s">
        <v>2</v>
      </c>
      <c r="O48" s="8">
        <f t="shared" ref="O48:V48" si="33" xml:space="preserve"> O47/SQRT(COUNT(O28:O43))</f>
        <v>0.3125171419020728</v>
      </c>
      <c r="P48" s="8">
        <f t="shared" si="33"/>
        <v>0.72598424768853176</v>
      </c>
      <c r="Q48" s="8">
        <f t="shared" si="33"/>
        <v>1.8798115221922231E-2</v>
      </c>
      <c r="R48" s="8">
        <f t="shared" si="33"/>
        <v>0.37279386154753763</v>
      </c>
      <c r="S48" s="8">
        <f t="shared" si="33"/>
        <v>0.29514730615170026</v>
      </c>
      <c r="T48" s="8">
        <f t="shared" si="33"/>
        <v>0.36021362254270267</v>
      </c>
      <c r="U48" s="8">
        <f t="shared" si="33"/>
        <v>0.18807223510333171</v>
      </c>
      <c r="V48" s="8">
        <f t="shared" si="33"/>
        <v>0.51237377590226918</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Cefuroxime-0,001mg/L</v>
      </c>
      <c r="J52" s="46" t="str">
        <f>J4</f>
        <v>Cefuroxime-0,01mg/L</v>
      </c>
      <c r="K52" s="46" t="str">
        <f t="shared" ref="K52:M52" si="35">K4</f>
        <v>Cefuroxime-0,1mg/L</v>
      </c>
      <c r="L52" s="46" t="str">
        <f t="shared" si="35"/>
        <v>Cefuroxime-1mg/L</v>
      </c>
      <c r="M52" s="46" t="str">
        <f t="shared" si="35"/>
        <v>Cefuroxime-10mg/L</v>
      </c>
      <c r="N52" s="47"/>
      <c r="O52" s="46" t="str">
        <f>O27</f>
        <v>Testo -30µg/L</v>
      </c>
      <c r="P52" s="46" t="str">
        <f>P27</f>
        <v>Testo 30µg/L + EE2 -64ng/L</v>
      </c>
      <c r="Q52" s="46" t="str">
        <f>Q27</f>
        <v>Testo 30µg/L + FAD-10µg/L</v>
      </c>
      <c r="R52" s="46" t="str">
        <f>R27</f>
        <v>Cefuroxime-0,001mg/L + Testostérone</v>
      </c>
      <c r="S52" s="46" t="str">
        <f t="shared" ref="S52:V52" si="36">S27</f>
        <v>Cefuroxime-0,01mg/L + Testostérone</v>
      </c>
      <c r="T52" s="46" t="str">
        <f t="shared" si="36"/>
        <v>Cefuroxime-0,1mg/L + Testostérone</v>
      </c>
      <c r="U52" s="46" t="str">
        <f t="shared" si="36"/>
        <v>Cefuroxime-1mg/L + Testostérone</v>
      </c>
      <c r="V52" s="46" t="str">
        <f t="shared" si="36"/>
        <v>Cefuroxime-10mg/L + Testostérone</v>
      </c>
    </row>
    <row r="53" spans="1:22" s="3" customFormat="1" x14ac:dyDescent="0.35">
      <c r="A53" s="61" t="s">
        <v>32</v>
      </c>
      <c r="B53" s="141">
        <f t="shared" ref="B53:V53" si="37">B46</f>
        <v>8.5059109805423028E-2</v>
      </c>
      <c r="C53" s="141">
        <f t="shared" si="37"/>
        <v>0.13785041726169631</v>
      </c>
      <c r="D53" s="141">
        <f t="shared" si="37"/>
        <v>0.18186338784923781</v>
      </c>
      <c r="E53" s="141">
        <f t="shared" si="37"/>
        <v>1.4950741163469687</v>
      </c>
      <c r="F53" s="141">
        <f t="shared" si="37"/>
        <v>2.6180646823675859</v>
      </c>
      <c r="G53" s="141">
        <f t="shared" si="37"/>
        <v>4.237728223729933</v>
      </c>
      <c r="H53" s="141">
        <f t="shared" si="37"/>
        <v>5.9090668907062867</v>
      </c>
      <c r="I53" s="141">
        <f t="shared" si="37"/>
        <v>0.11278060145928183</v>
      </c>
      <c r="J53" s="141">
        <f t="shared" si="37"/>
        <v>7.9987225386640742E-2</v>
      </c>
      <c r="K53" s="141">
        <f t="shared" si="37"/>
        <v>0.12482727960616449</v>
      </c>
      <c r="L53" s="141">
        <f t="shared" si="37"/>
        <v>0.10345106905730973</v>
      </c>
      <c r="M53" s="141">
        <f t="shared" si="37"/>
        <v>0.12317412850462627</v>
      </c>
      <c r="N53" s="141"/>
      <c r="O53" s="141">
        <f t="shared" si="37"/>
        <v>0.99999999999999978</v>
      </c>
      <c r="P53" s="141">
        <f t="shared" si="37"/>
        <v>4.8609579145443682</v>
      </c>
      <c r="Q53" s="141">
        <f t="shared" si="37"/>
        <v>0.1023886712406073</v>
      </c>
      <c r="R53" s="141">
        <f t="shared" si="37"/>
        <v>0.99039153101200694</v>
      </c>
      <c r="S53" s="141">
        <f t="shared" si="37"/>
        <v>0.63614068768792209</v>
      </c>
      <c r="T53" s="141">
        <f t="shared" si="37"/>
        <v>1.1963367344531686</v>
      </c>
      <c r="U53" s="141">
        <f t="shared" si="37"/>
        <v>0.85525419484551601</v>
      </c>
      <c r="V53" s="141">
        <f t="shared" si="37"/>
        <v>1.7887127581007198</v>
      </c>
    </row>
    <row r="54" spans="1:22" s="3" customFormat="1" x14ac:dyDescent="0.35">
      <c r="A54" s="61" t="s">
        <v>2</v>
      </c>
      <c r="B54" s="141">
        <f t="shared" ref="B54:V54" si="38">B48</f>
        <v>2.2314561989413142E-2</v>
      </c>
      <c r="C54" s="141">
        <f t="shared" si="38"/>
        <v>3.4953019464222801E-2</v>
      </c>
      <c r="D54" s="141">
        <f t="shared" si="38"/>
        <v>3.1503740866866775E-2</v>
      </c>
      <c r="E54" s="141">
        <f t="shared" si="38"/>
        <v>0.62678990705798077</v>
      </c>
      <c r="F54" s="141">
        <f t="shared" si="38"/>
        <v>0.62377923292169413</v>
      </c>
      <c r="G54" s="141">
        <f t="shared" si="38"/>
        <v>0.51557583467027435</v>
      </c>
      <c r="H54" s="141">
        <f t="shared" si="38"/>
        <v>0.57929397609006039</v>
      </c>
      <c r="I54" s="141">
        <f t="shared" si="38"/>
        <v>2.7509188130808517E-2</v>
      </c>
      <c r="J54" s="141">
        <f t="shared" si="38"/>
        <v>1.8455018118812477E-2</v>
      </c>
      <c r="K54" s="141">
        <f t="shared" si="38"/>
        <v>5.3489634498886267E-2</v>
      </c>
      <c r="L54" s="141">
        <f t="shared" si="38"/>
        <v>3.5391793409966781E-2</v>
      </c>
      <c r="M54" s="141">
        <f t="shared" si="38"/>
        <v>3.2496133756604532E-2</v>
      </c>
      <c r="N54" s="141"/>
      <c r="O54" s="141">
        <f t="shared" si="38"/>
        <v>0.3125171419020728</v>
      </c>
      <c r="P54" s="141">
        <f t="shared" si="38"/>
        <v>0.72598424768853176</v>
      </c>
      <c r="Q54" s="141">
        <f t="shared" si="38"/>
        <v>1.8798115221922231E-2</v>
      </c>
      <c r="R54" s="141">
        <f t="shared" si="38"/>
        <v>0.37279386154753763</v>
      </c>
      <c r="S54" s="141">
        <f t="shared" si="38"/>
        <v>0.29514730615170026</v>
      </c>
      <c r="T54" s="141">
        <f t="shared" si="38"/>
        <v>0.36021362254270267</v>
      </c>
      <c r="U54" s="141">
        <f t="shared" si="38"/>
        <v>0.18807223510333171</v>
      </c>
      <c r="V54" s="141">
        <f t="shared" si="38"/>
        <v>0.51237377590226918</v>
      </c>
    </row>
    <row r="55" spans="1:22" s="3" customFormat="1" x14ac:dyDescent="0.35">
      <c r="A55" s="61" t="s">
        <v>79</v>
      </c>
      <c r="B55" s="141">
        <f>(B53*100/$B53)-100</f>
        <v>0</v>
      </c>
      <c r="C55" s="141">
        <f t="shared" ref="C55:M55" si="39">(C53*100/$B53)-100</f>
        <v>62.064260461972907</v>
      </c>
      <c r="D55" s="141">
        <f t="shared" si="39"/>
        <v>113.8082426035958</v>
      </c>
      <c r="E55" s="141">
        <f t="shared" si="39"/>
        <v>1657.6884119373287</v>
      </c>
      <c r="F55" s="141">
        <f t="shared" si="39"/>
        <v>2977.9356712720601</v>
      </c>
      <c r="G55" s="141">
        <f t="shared" si="39"/>
        <v>4882.098017982963</v>
      </c>
      <c r="H55" s="141">
        <f t="shared" si="39"/>
        <v>6847.0123825932023</v>
      </c>
      <c r="I55" s="141">
        <f t="shared" si="39"/>
        <v>32.590855602971999</v>
      </c>
      <c r="J55" s="141">
        <f t="shared" si="39"/>
        <v>-5.9627762745042503</v>
      </c>
      <c r="K55" s="141">
        <f t="shared" si="39"/>
        <v>46.753569243450983</v>
      </c>
      <c r="L55" s="141">
        <f t="shared" si="39"/>
        <v>21.622562584959141</v>
      </c>
      <c r="M55" s="141">
        <f t="shared" si="39"/>
        <v>44.810037145219638</v>
      </c>
      <c r="N55" s="141"/>
      <c r="O55" s="141">
        <f>(O53*100/$O53)-100</f>
        <v>0</v>
      </c>
      <c r="P55" s="141">
        <f t="shared" ref="P55:V55" si="40">(P53*100/$O53)-100</f>
        <v>386.09579145443695</v>
      </c>
      <c r="Q55" s="141">
        <f t="shared" si="40"/>
        <v>-89.761132875939268</v>
      </c>
      <c r="R55" s="141">
        <f t="shared" si="40"/>
        <v>-0.9608468987992751</v>
      </c>
      <c r="S55" s="141">
        <f t="shared" si="40"/>
        <v>-36.385931231207778</v>
      </c>
      <c r="T55" s="141">
        <f t="shared" si="40"/>
        <v>19.633673445316887</v>
      </c>
      <c r="U55" s="141">
        <f t="shared" si="40"/>
        <v>-14.47458051544838</v>
      </c>
      <c r="V55" s="141">
        <f t="shared" si="40"/>
        <v>78.871275810072007</v>
      </c>
    </row>
    <row r="56" spans="1:22" s="3" customFormat="1" x14ac:dyDescent="0.35">
      <c r="A56" s="61" t="s">
        <v>81</v>
      </c>
      <c r="B56" s="141">
        <f>[1]!SWTEST(B28:B43)</f>
        <v>0.23361033627781536</v>
      </c>
      <c r="C56" s="141">
        <f>[1]!SWTEST(C28:C43)</f>
        <v>0.39596480186686289</v>
      </c>
      <c r="D56" s="141">
        <f>[1]!SWTEST(D28:D43)</f>
        <v>0.94172028495547644</v>
      </c>
      <c r="E56" s="141">
        <f>[1]!SWTEST(E28:E43)</f>
        <v>2.2965629213094085E-2</v>
      </c>
      <c r="F56" s="141">
        <f>[1]!SWTEST(F28:F43)</f>
        <v>0.21280855494115725</v>
      </c>
      <c r="G56" s="141">
        <f>[1]!SWTEST(G28:G43)</f>
        <v>9.9749901524717188E-2</v>
      </c>
      <c r="H56" s="141">
        <f>[1]!SWTEST(H28:H43)</f>
        <v>0.29745274576252922</v>
      </c>
      <c r="I56" s="141">
        <f>[1]!SWTEST(I28:I43)</f>
        <v>0.7218714975831374</v>
      </c>
      <c r="J56" s="141">
        <f>[1]!SWTEST(J28:J43)</f>
        <v>0.72745438073996538</v>
      </c>
      <c r="K56" s="141">
        <f>[1]!SWTEST(K28:K43)</f>
        <v>1.8220727670578141E-3</v>
      </c>
      <c r="L56" s="141">
        <f>[1]!SWTEST(L28:L43)</f>
        <v>1.9916167898344384E-2</v>
      </c>
      <c r="M56" s="141">
        <f>[1]!SWTEST(M28:M43)</f>
        <v>0.69442789279238271</v>
      </c>
      <c r="N56" s="141"/>
      <c r="O56" s="141">
        <f>[1]!SWTEST(O28:O43)</f>
        <v>2.8054187776171968E-4</v>
      </c>
      <c r="P56" s="141">
        <f>[1]!SWTEST(P28:P43)</f>
        <v>5.7699436982929786E-2</v>
      </c>
      <c r="Q56" s="141">
        <f>[1]!SWTEST(Q28:Q43)</f>
        <v>3.253069445254686E-2</v>
      </c>
      <c r="R56" s="141">
        <f>[1]!SWTEST(R28:R43)</f>
        <v>1.5306925270418659E-2</v>
      </c>
      <c r="S56" s="141">
        <f>[1]!SWTEST(S28:S43)</f>
        <v>2.4910157857709336E-3</v>
      </c>
      <c r="T56" s="141">
        <f>[1]!SWTEST(T28:T43)</f>
        <v>0.25638363061714187</v>
      </c>
      <c r="U56" s="141">
        <f>[1]!SWTEST(U28:U43)</f>
        <v>0.87353538600437086</v>
      </c>
      <c r="V56" s="141">
        <f>[1]!SWTEST(V28:V43)</f>
        <v>0.62323429208702452</v>
      </c>
    </row>
    <row r="57" spans="1:22" s="3" customFormat="1" x14ac:dyDescent="0.35">
      <c r="A57" s="61" t="s">
        <v>85</v>
      </c>
      <c r="B57" s="141" t="str">
        <f>IF(B56&gt;0.05,"Oui","Non")</f>
        <v>Oui</v>
      </c>
      <c r="C57" s="141" t="str">
        <f t="shared" ref="C57:V57" si="41">IF(C56&gt;0.05,"Oui","Non")</f>
        <v>Oui</v>
      </c>
      <c r="D57" s="141" t="str">
        <f t="shared" si="41"/>
        <v>Oui</v>
      </c>
      <c r="E57" s="141" t="str">
        <f t="shared" si="41"/>
        <v>Non</v>
      </c>
      <c r="F57" s="141" t="str">
        <f t="shared" si="41"/>
        <v>Oui</v>
      </c>
      <c r="G57" s="141" t="str">
        <f t="shared" si="41"/>
        <v>Oui</v>
      </c>
      <c r="H57" s="141" t="str">
        <f t="shared" si="41"/>
        <v>Oui</v>
      </c>
      <c r="I57" s="141" t="str">
        <f t="shared" si="41"/>
        <v>Oui</v>
      </c>
      <c r="J57" s="141" t="str">
        <f t="shared" si="41"/>
        <v>Oui</v>
      </c>
      <c r="K57" s="141" t="str">
        <f t="shared" si="41"/>
        <v>Non</v>
      </c>
      <c r="L57" s="141" t="str">
        <f t="shared" si="41"/>
        <v>Non</v>
      </c>
      <c r="M57" s="141" t="str">
        <f t="shared" si="41"/>
        <v>Oui</v>
      </c>
      <c r="N57" s="141"/>
      <c r="O57" s="141" t="str">
        <f t="shared" si="41"/>
        <v>Non</v>
      </c>
      <c r="P57" s="141" t="str">
        <f t="shared" si="41"/>
        <v>Oui</v>
      </c>
      <c r="Q57" s="141" t="str">
        <f t="shared" si="41"/>
        <v>Non</v>
      </c>
      <c r="R57" s="141" t="str">
        <f t="shared" si="41"/>
        <v>Non</v>
      </c>
      <c r="S57" s="141" t="str">
        <f t="shared" si="41"/>
        <v>Non</v>
      </c>
      <c r="T57" s="141" t="str">
        <f t="shared" si="41"/>
        <v>Oui</v>
      </c>
      <c r="U57" s="141" t="str">
        <f t="shared" si="41"/>
        <v>Oui</v>
      </c>
      <c r="V57" s="141" t="str">
        <f t="shared" si="4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42">IF($B57="Non",IF(C57="Non","MW",IF(C57="Oui","MW","")),IF($B57="Oui",IF(C57="Oui","T-Test Welch",IF(C57="Non","MW",""))))</f>
        <v>T-Test Welch</v>
      </c>
      <c r="D59" s="150" t="str">
        <f t="shared" si="42"/>
        <v>T-Test Welch</v>
      </c>
      <c r="E59" s="150" t="str">
        <f t="shared" si="42"/>
        <v>MW</v>
      </c>
      <c r="F59" s="150" t="str">
        <f t="shared" si="42"/>
        <v>T-Test Welch</v>
      </c>
      <c r="G59" s="150" t="str">
        <f t="shared" si="42"/>
        <v>T-Test Welch</v>
      </c>
      <c r="H59" s="150" t="str">
        <f t="shared" si="42"/>
        <v>T-Test Welch</v>
      </c>
      <c r="I59" s="150" t="str">
        <f t="shared" si="42"/>
        <v>T-Test Welch</v>
      </c>
      <c r="J59" s="150" t="str">
        <f t="shared" si="42"/>
        <v>T-Test Welch</v>
      </c>
      <c r="K59" s="150" t="str">
        <f t="shared" si="42"/>
        <v>MW</v>
      </c>
      <c r="L59" s="150" t="str">
        <f t="shared" si="42"/>
        <v>MW</v>
      </c>
      <c r="M59" s="150" t="str">
        <f t="shared" si="42"/>
        <v>T-Test Welch</v>
      </c>
      <c r="N59" s="150"/>
      <c r="O59" s="150" t="str">
        <f t="shared" si="42"/>
        <v>MW</v>
      </c>
      <c r="P59" s="150" t="str">
        <f>IF($O57="Non",IF(P57="Non","MW",IF(P57="Oui","MW","")),IF($O57="Oui",IF(P57="Oui","T-Test Welch",IF(P57="Non","MW",""))))</f>
        <v>MW</v>
      </c>
      <c r="Q59" s="150" t="str">
        <f t="shared" ref="Q59:V59" si="43">IF($O57="Non",IF(Q57="Non","MW",IF(Q57="Oui","MW","")),IF($O57="Oui",IF(Q57="Oui","T-Test Welch",IF(Q57="Non","MW",""))))</f>
        <v>MW</v>
      </c>
      <c r="R59" s="150" t="str">
        <f t="shared" si="43"/>
        <v>MW</v>
      </c>
      <c r="S59" s="150" t="str">
        <f t="shared" si="43"/>
        <v>MW</v>
      </c>
      <c r="T59" s="150" t="str">
        <f t="shared" si="43"/>
        <v>MW</v>
      </c>
      <c r="U59" s="150" t="str">
        <f t="shared" si="43"/>
        <v>MW</v>
      </c>
      <c r="V59" s="150" t="str">
        <f t="shared" si="43"/>
        <v>MW</v>
      </c>
    </row>
    <row r="60" spans="1:22" s="3" customFormat="1" x14ac:dyDescent="0.35">
      <c r="A60" s="61" t="s">
        <v>83</v>
      </c>
      <c r="B60" s="151"/>
      <c r="C60" s="151">
        <f>IF(C59="MW",[1]!MTEST($B28:$B43,C28:C43,2), IF(C59="T-Test Welch",_xlfn.T.TEST($B28:$B43,C28:C43,2,3),""))</f>
        <v>0.22732546719023364</v>
      </c>
      <c r="D60" s="151">
        <f>IF(D59="MW",[1]!MTEST($B28:$B43,D28:D43,2), IF(D59="T-Test Welch",_xlfn.T.TEST($B28:$B43,D28:D43,2,3),""))</f>
        <v>2.6701025184224413E-2</v>
      </c>
      <c r="E60" s="151">
        <f>IF(E59="MW",[1]!MTEST($B28:$B43,E28:E43,2), IF(E59="T-Test Welch",_xlfn.T.TEST($B28:$B43,E28:E43,2,3),""))</f>
        <v>1.1313264268228984E-3</v>
      </c>
      <c r="F60" s="151">
        <f>IF(F59="MW",[1]!MTEST($B28:$B43,F28:F43,2), IF(F59="T-Test Welch",_xlfn.T.TEST($B28:$B43,F28:F43,2,3),""))</f>
        <v>4.7950555015359424E-3</v>
      </c>
      <c r="G60" s="151">
        <f>IF(G59="MW",[1]!MTEST($B28:$B43,G28:G43,2), IF(G59="T-Test Welch",_xlfn.T.TEST($B28:$B43,G28:G43,2,3),""))</f>
        <v>8.6050114742714995E-5</v>
      </c>
      <c r="H60" s="151">
        <f>IF(H59="MW",[1]!MTEST($B28:$B43,H28:H43,2), IF(H59="T-Test Welch",_xlfn.T.TEST($B28:$B43,H28:H43,2,3),""))</f>
        <v>2.0343592693453169E-5</v>
      </c>
      <c r="I60" s="151">
        <f>IF(I59="MW",[1]!MTEST($B28:$B43,I28:I43,2), IF(I59="T-Test Welch",_xlfn.T.TEST($B28:$B43,I28:I43,2,3),""))</f>
        <v>0.44743584461184482</v>
      </c>
      <c r="J60" s="151">
        <f>IF(J59="MW",[1]!MTEST($B28:$B43,J28:J43,2), IF(J59="T-Test Welch",_xlfn.T.TEST($B28:$B43,J28:J43,2,3),""))</f>
        <v>0.86355681820060326</v>
      </c>
      <c r="K60" s="151">
        <f>IF(K59="MW",[1]!MTEST($B28:$B43,K28:K43,2), IF(K59="T-Test Welch",_xlfn.T.TEST($B28:$B43,K28:K43,2,3),""))</f>
        <v>0.67442407223529366</v>
      </c>
      <c r="L60" s="151">
        <f>IF(L59="MW",[1]!MTEST($B28:$B43,L28:L43,2), IF(L59="T-Test Welch",_xlfn.T.TEST($B28:$B43,L28:L43,2,3),""))</f>
        <v>0.91635914027348853</v>
      </c>
      <c r="M60" s="151">
        <f>IF(M59="MW",[1]!MTEST($B28:$B43,M28:M43,2), IF(M59="T-Test Welch",_xlfn.T.TEST($B28:$B43,M28:M43,2,3),""))</f>
        <v>0.35207617964103188</v>
      </c>
      <c r="N60" s="151"/>
      <c r="O60" s="151">
        <f>IF(O59="MW",[1]!MTEST($B28:$B43,O28:O43,2), IF(O59="T-Test Welch",_xlfn.T.TEST($B28:$B43,O28:O43,2,3),""))</f>
        <v>9.436448512079032E-4</v>
      </c>
      <c r="P60" s="151">
        <f>IF(P59="MW",[1]!MTEST($O28:$O43,P28:P43,2), IF(P59="T-Test Welch",_xlfn.T.TEST($O28:$O43,P28:P43,2,3),""))</f>
        <v>3.8266353795202157E-4</v>
      </c>
      <c r="Q60" s="151">
        <f>IF(Q59="MW",[1]!MTEST($O28:$O43,Q28:Q43,2), IF(Q59="T-Test Welch",_xlfn.T.TEST($O28:$O43,Q28:Q43,2,3),""))</f>
        <v>1.7895728484755846E-3</v>
      </c>
      <c r="R60" s="151">
        <f>IF(R59="MW",[1]!MTEST($O28:$O43,R28:R43,2), IF(R59="T-Test Welch",_xlfn.T.TEST($O28:$O43,R28:R43,2,3),""))</f>
        <v>0.80649594050733997</v>
      </c>
      <c r="S60" s="151">
        <f>IF(S59="MW",[1]!MTEST($O28:$O43,S28:S43,2), IF(S59="T-Test Welch",_xlfn.T.TEST($O28:$O43,S28:S43,2,3),""))</f>
        <v>0.35832646674888036</v>
      </c>
      <c r="T60" s="151">
        <f>IF(T59="MW",[1]!MTEST($O28:$O43,T28:T43,2), IF(T59="T-Test Welch",_xlfn.T.TEST($O28:$O43,T28:T43,2,3),""))</f>
        <v>0.29786016754980604</v>
      </c>
      <c r="U60" s="151">
        <f>IF(U59="MW",[1]!MTEST($O28:$O43,U28:U43,2), IF(U59="T-Test Welch",_xlfn.T.TEST($O28:$O43,U28:U43,2,3),""))</f>
        <v>0.50055949781813913</v>
      </c>
      <c r="V60" s="151">
        <f>IF(V59="MW",[1]!MTEST($O28:$O43,V28:V43,2), IF(V59="T-Test Welch",_xlfn.T.TEST($O28:$O43,V28:V43,2,3),""))</f>
        <v>9.8248348729491175E-2</v>
      </c>
    </row>
    <row r="61" spans="1:22" s="3" customFormat="1" ht="15" thickBot="1" x14ac:dyDescent="0.4">
      <c r="A61" s="62" t="s">
        <v>84</v>
      </c>
      <c r="B61" s="142"/>
      <c r="C61" s="142" t="str">
        <f t="shared" ref="C61:O61" si="44">IF(C60&gt;0.05,"NS",IF(C60&gt;0.01,"*",IF(C60&gt;0.001,"**","***")))</f>
        <v>NS</v>
      </c>
      <c r="D61" s="142" t="str">
        <f t="shared" si="44"/>
        <v>*</v>
      </c>
      <c r="E61" s="142" t="str">
        <f t="shared" si="44"/>
        <v>**</v>
      </c>
      <c r="F61" s="142" t="str">
        <f t="shared" si="44"/>
        <v>**</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v>
      </c>
      <c r="Q61" s="142" t="str">
        <f t="shared" ref="Q61:V61" si="45">IF(Q60&gt;0.05,"NS",IF(Q60&gt;0.01,"*",IF(Q60&gt;0.001,"**","***")))</f>
        <v>**</v>
      </c>
      <c r="R61" s="142" t="str">
        <f t="shared" si="45"/>
        <v>NS</v>
      </c>
      <c r="S61" s="142" t="str">
        <f t="shared" si="45"/>
        <v>NS</v>
      </c>
      <c r="T61" s="142" t="str">
        <f t="shared" si="45"/>
        <v>NS</v>
      </c>
      <c r="U61" s="142" t="str">
        <f t="shared" si="45"/>
        <v>NS</v>
      </c>
      <c r="V61" s="142" t="str">
        <f t="shared" si="45"/>
        <v>NS</v>
      </c>
    </row>
    <row r="63" spans="1:22" x14ac:dyDescent="0.35">
      <c r="A63" s="2" t="s">
        <v>39</v>
      </c>
    </row>
    <row r="64" spans="1:22" x14ac:dyDescent="0.35">
      <c r="A64" s="1" t="s">
        <v>23</v>
      </c>
      <c r="B64" s="1">
        <f>B46+(3*B47)</f>
        <v>0.27440444702848232</v>
      </c>
    </row>
    <row r="65" spans="1:22" x14ac:dyDescent="0.35">
      <c r="A65" s="1" t="s">
        <v>24</v>
      </c>
      <c r="B65" s="1">
        <f>B46+(10*B47)</f>
        <v>0.71621023388228733</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18"/>
  <sheetViews>
    <sheetView showGridLines="0" tabSelected="1" topLeftCell="M73"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Cefuroxime-0,001mg/L</v>
      </c>
      <c r="J4" s="35" t="str">
        <f>'R1'!J4</f>
        <v>Cefuroxime-0,01mg/L</v>
      </c>
      <c r="K4" s="35" t="str">
        <f>'R1'!K4</f>
        <v>Cefuroxime-0,1mg/L</v>
      </c>
      <c r="L4" s="35" t="str">
        <f>'R1'!L4</f>
        <v>Cefuroxime-1mg/L</v>
      </c>
      <c r="M4" s="35" t="str">
        <f>'R1'!M4</f>
        <v>Cefuroxime-10mg/L</v>
      </c>
      <c r="O4" s="35" t="str">
        <f>'R1'!O4</f>
        <v>Testo -30µg/L</v>
      </c>
      <c r="P4" s="35" t="str">
        <f>'R1'!P4</f>
        <v>Testo 30µg/L + EE2 -64ng/L</v>
      </c>
      <c r="Q4" s="35" t="str">
        <f>'R1'!Q4</f>
        <v>Testo 30µg/L + FAD-10µg/L</v>
      </c>
      <c r="R4" s="35" t="str">
        <f>'R1'!R4</f>
        <v>Cefuroxime-0,001mg/L + Testostérone</v>
      </c>
      <c r="S4" s="35" t="str">
        <f>'R1'!S4</f>
        <v>Cefuroxime-0,01mg/L + Testostérone</v>
      </c>
      <c r="T4" s="35" t="str">
        <f>'R1'!T4</f>
        <v>Cefuroxime-0,1mg/L + Testostérone</v>
      </c>
      <c r="U4" s="35" t="str">
        <f>'R1'!U4</f>
        <v>Cefuroxime-1mg/L + Testostérone</v>
      </c>
      <c r="V4" s="35" t="str">
        <f>'R1'!V4</f>
        <v>Cefuroxime-10mg/L + Testostérone</v>
      </c>
    </row>
    <row r="5" spans="1:22" s="1" customFormat="1" x14ac:dyDescent="0.35">
      <c r="A5" s="34"/>
      <c r="B5" s="35"/>
      <c r="C5" s="194"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6.1209042818030697E-2</v>
      </c>
      <c r="C6" s="53">
        <f>'R1'!C28</f>
        <v>4.0520811285585233E-2</v>
      </c>
      <c r="D6" s="53">
        <f>'R1'!D28</f>
        <v>4.8835639916696601E-2</v>
      </c>
      <c r="E6" s="53">
        <f>'R1'!E28</f>
        <v>0.64535984314734118</v>
      </c>
      <c r="F6" s="53">
        <f>'R1'!F28</f>
        <v>1.0519524380980398</v>
      </c>
      <c r="G6" s="53">
        <f>'R1'!G28</f>
        <v>2.6088746997711079</v>
      </c>
      <c r="H6" s="53">
        <f>'R1'!H28</f>
        <v>3.0093644630176355</v>
      </c>
      <c r="I6" s="53">
        <f>'R1'!I28</f>
        <v>1.9537863267603199E-2</v>
      </c>
      <c r="J6" s="53">
        <f>'R1'!J28</f>
        <v>3.255733376452604E-2</v>
      </c>
      <c r="K6" s="53">
        <f>'R1'!K28</f>
        <v>7.6878797304227942E-3</v>
      </c>
      <c r="L6" s="53">
        <f>'R1'!L28</f>
        <v>0.11878589433512168</v>
      </c>
      <c r="M6" s="53">
        <f>'R1'!M28</f>
        <v>2.3150575143550286E-2</v>
      </c>
      <c r="N6"/>
      <c r="O6" s="53">
        <f>'R1'!O28</f>
        <v>0.76142727550571432</v>
      </c>
      <c r="P6" s="53">
        <f>'R1'!P28</f>
        <v>3.0900449947662572</v>
      </c>
      <c r="Q6" s="53">
        <f>'R1'!Q28</f>
        <v>2.1368207756725068E-2</v>
      </c>
      <c r="R6" s="53">
        <f>'R1'!R28</f>
        <v>1.4121324171630689</v>
      </c>
      <c r="S6" s="53">
        <f>'R1'!S28</f>
        <v>6.9409520009833497E-2</v>
      </c>
      <c r="T6" s="53">
        <f>'R1'!T28</f>
        <v>1.4755664431913684E-2</v>
      </c>
      <c r="U6" s="53">
        <f>'R1'!U28</f>
        <v>0.66490961050799546</v>
      </c>
      <c r="V6" s="53">
        <f>'R1'!V28</f>
        <v>0.85003593322633475</v>
      </c>
    </row>
    <row r="7" spans="1:22" s="1" customFormat="1" x14ac:dyDescent="0.35">
      <c r="A7" s="225" t="s">
        <v>34</v>
      </c>
      <c r="B7" s="53">
        <f>'R1'!B29</f>
        <v>1.4968495186462738E-2</v>
      </c>
      <c r="C7" s="53">
        <f>'R1'!C29</f>
        <v>1.339030103196763E-2</v>
      </c>
      <c r="D7" s="53">
        <f>'R1'!D29</f>
        <v>0.68736758387403019</v>
      </c>
      <c r="E7" s="53">
        <f>'R1'!E29</f>
        <v>3.2492662073550522</v>
      </c>
      <c r="F7" s="53">
        <f>'R1'!F29</f>
        <v>2.3558171289618195</v>
      </c>
      <c r="G7" s="53">
        <f>'R1'!G29</f>
        <v>1.7689835789349138</v>
      </c>
      <c r="H7" s="53">
        <f>'R1'!H29</f>
        <v>4.5183857364435598</v>
      </c>
      <c r="I7" s="53">
        <f>'R1'!I29</f>
        <v>2.4266313319516768E-2</v>
      </c>
      <c r="J7" s="53">
        <f>'R1'!J29</f>
        <v>8.5208055139037557E-3</v>
      </c>
      <c r="K7" s="53">
        <f>'R1'!K29</f>
        <v>5.4825923832021346E-2</v>
      </c>
      <c r="L7" s="53">
        <f>'R1'!L29</f>
        <v>0.10054377355962052</v>
      </c>
      <c r="M7" s="53">
        <f>'R1'!M29</f>
        <v>5.087015763814858E-3</v>
      </c>
      <c r="N7"/>
      <c r="O7" s="53">
        <f>'R1'!O29</f>
        <v>0.61795157072253248</v>
      </c>
      <c r="P7" s="53">
        <f>'R1'!P29</f>
        <v>1.9826757569447533</v>
      </c>
      <c r="Q7" s="53">
        <f>'R1'!Q29</f>
        <v>0.13391455368263488</v>
      </c>
      <c r="R7" s="53">
        <f>'R1'!R29</f>
        <v>1.406610360907752</v>
      </c>
      <c r="S7" s="53">
        <f>'R1'!S29</f>
        <v>1.1970315881421887</v>
      </c>
      <c r="T7" s="53">
        <f>'R1'!T29</f>
        <v>1.1349748296068862</v>
      </c>
      <c r="U7" s="53">
        <f>'R1'!U29</f>
        <v>1.3711401316466436</v>
      </c>
      <c r="V7" s="53">
        <f>'R1'!V29</f>
        <v>0.46046655206872844</v>
      </c>
    </row>
    <row r="8" spans="1:22" s="1" customFormat="1" x14ac:dyDescent="0.35">
      <c r="A8" s="226"/>
      <c r="B8" s="53">
        <f>'R1'!B30</f>
        <v>1.380874793921662E-3</v>
      </c>
      <c r="C8" s="53">
        <f>'R1'!C30</f>
        <v>2.0067415043328644E-2</v>
      </c>
      <c r="D8" s="53">
        <f>'R1'!D30</f>
        <v>5.1832585524821249E-2</v>
      </c>
      <c r="E8" s="53">
        <f>'R1'!E30</f>
        <v>1.6958643106542624E-2</v>
      </c>
      <c r="F8" s="53">
        <f>'R1'!F30</f>
        <v>0.29137648561052171</v>
      </c>
      <c r="G8" s="53">
        <f>'R1'!G30</f>
        <v>1.5342431607603577</v>
      </c>
      <c r="H8" s="53">
        <f>'R1'!H30</f>
        <v>4.2679127967467192</v>
      </c>
      <c r="I8" s="53">
        <f>'R1'!I30</f>
        <v>4.260799560053579E-2</v>
      </c>
      <c r="J8" s="53">
        <f>'R1'!J30</f>
        <v>0.12121901880873757</v>
      </c>
      <c r="K8" s="53">
        <f>'R1'!K30</f>
        <v>5.9015443125805614E-4</v>
      </c>
      <c r="L8" s="53">
        <f>'R1'!L30</f>
        <v>4.0843664718333374E-2</v>
      </c>
      <c r="M8" s="53">
        <f>'R1'!M30</f>
        <v>9.0770513164709458E-3</v>
      </c>
      <c r="N8"/>
      <c r="O8" s="53">
        <f>'R1'!O30</f>
        <v>0.54514144813111598</v>
      </c>
      <c r="P8" s="53">
        <f>'R1'!P30</f>
        <v>2.5769565797304139</v>
      </c>
      <c r="Q8" s="53">
        <f>'R1'!Q30</f>
        <v>2.9544155302240863E-2</v>
      </c>
      <c r="R8" s="53">
        <f>'R1'!R30</f>
        <v>3.9497567912625402</v>
      </c>
      <c r="S8" s="53">
        <f>'R1'!S30</f>
        <v>2.3038388084796461E-2</v>
      </c>
      <c r="T8" s="53">
        <f>'R1'!T30</f>
        <v>1.9284554989379654</v>
      </c>
      <c r="U8" s="53">
        <f>'R1'!U30</f>
        <v>4.7022249741920166E-2</v>
      </c>
      <c r="V8" s="53">
        <f>'R1'!V30</f>
        <v>0.61339554965481291</v>
      </c>
    </row>
    <row r="9" spans="1:22" s="1" customFormat="1" x14ac:dyDescent="0.35">
      <c r="A9" s="226"/>
      <c r="B9" s="53">
        <f>'R1'!B31</f>
        <v>2.2431640069285427E-2</v>
      </c>
      <c r="C9" s="53">
        <f>'R1'!C31</f>
        <v>4.8889749430565E-3</v>
      </c>
      <c r="D9" s="53">
        <f>'R1'!D31</f>
        <v>0.61606387014871011</v>
      </c>
      <c r="E9" s="53">
        <f>'R1'!E31</f>
        <v>4.8215905617857151E-2</v>
      </c>
      <c r="F9" s="53">
        <f>'R1'!F31</f>
        <v>0.79132999651985647</v>
      </c>
      <c r="G9" s="53">
        <f>'R1'!G31</f>
        <v>2.549661215824544</v>
      </c>
      <c r="H9" s="53">
        <f>'R1'!H31</f>
        <v>2.815104093628217</v>
      </c>
      <c r="I9" s="53">
        <f>'R1'!I31</f>
        <v>4.8455791129340404E-2</v>
      </c>
      <c r="J9" s="53">
        <f>'R1'!J31</f>
        <v>4.2797018168982751E-3</v>
      </c>
      <c r="K9" s="53">
        <f>'R1'!K31</f>
        <v>6.8828383830886852E-2</v>
      </c>
      <c r="L9" s="53">
        <f>'R1'!L31</f>
        <v>2.0837573790722257E-2</v>
      </c>
      <c r="M9" s="53">
        <f>'R1'!M31</f>
        <v>3.4830654807183906E-2</v>
      </c>
      <c r="N9"/>
      <c r="O9" s="53">
        <f>'R1'!O31</f>
        <v>3.0157035729323649E-2</v>
      </c>
      <c r="P9" s="53">
        <f>'R1'!P31</f>
        <v>1.0927737375506408</v>
      </c>
      <c r="Q9" s="53">
        <f>'R1'!Q31</f>
        <v>4.1939562739214779E-2</v>
      </c>
      <c r="R9" s="53">
        <f>'R1'!R31</f>
        <v>1.2551949867896131</v>
      </c>
      <c r="S9" s="53">
        <f>'R1'!S31</f>
        <v>1.4010857795417879</v>
      </c>
      <c r="T9" s="53">
        <f>'R1'!T31</f>
        <v>6.6197579266605064E-2</v>
      </c>
      <c r="U9" s="53">
        <f>'R1'!U31</f>
        <v>0.64179005815239643</v>
      </c>
      <c r="V9" s="53">
        <f>'R1'!V31</f>
        <v>1.2021290650786847</v>
      </c>
    </row>
    <row r="10" spans="1:22" s="1" customFormat="1" x14ac:dyDescent="0.35">
      <c r="A10" s="226"/>
      <c r="B10" s="53">
        <f>'R1'!B32</f>
        <v>1.9340543907029755E-2</v>
      </c>
      <c r="C10" s="53">
        <f>'R1'!C32</f>
        <v>5.5832000059881197E-2</v>
      </c>
      <c r="D10" s="53">
        <f>'R1'!D32</f>
        <v>3.3438597380396104E-2</v>
      </c>
      <c r="E10" s="53">
        <f>'R1'!E32</f>
        <v>0.13374428907899566</v>
      </c>
      <c r="F10" s="53">
        <f>'R1'!F32</f>
        <v>8.5627944966656364E-2</v>
      </c>
      <c r="G10" s="53">
        <f>'R1'!G32</f>
        <v>2.8630689311017248</v>
      </c>
      <c r="H10" s="53">
        <f>'R1'!H32</f>
        <v>3.7035870008386071</v>
      </c>
      <c r="I10" s="53">
        <f>'R1'!I32</f>
        <v>3.1649376121814225E-2</v>
      </c>
      <c r="J10" s="53">
        <f>'R1'!J32</f>
        <v>4.6024109576094346E-2</v>
      </c>
      <c r="K10" s="53">
        <f>'R1'!K32</f>
        <v>4.8444247766381815E-2</v>
      </c>
      <c r="L10" s="53">
        <f>'R1'!L32</f>
        <v>1.0790519255637062E-2</v>
      </c>
      <c r="M10" s="53">
        <f>'R1'!M32</f>
        <v>8.3943696164979181E-2</v>
      </c>
      <c r="N10"/>
      <c r="O10" s="53">
        <f>'R1'!O32</f>
        <v>0.97371982075682439</v>
      </c>
      <c r="P10" s="53">
        <f>'R1'!P32</f>
        <v>3.3886360822258994</v>
      </c>
      <c r="Q10" s="53">
        <f>'R1'!Q32</f>
        <v>3.9351324325842804E-2</v>
      </c>
      <c r="R10" s="53">
        <f>'R1'!R32</f>
        <v>0.27405639095133816</v>
      </c>
      <c r="S10" s="53">
        <f>'R1'!S32</f>
        <v>7.1357101779003576E-2</v>
      </c>
      <c r="T10" s="53">
        <f>'R1'!T32</f>
        <v>0.26289792700139591</v>
      </c>
      <c r="U10" s="53">
        <f>'R1'!U32</f>
        <v>0.56366782421947248</v>
      </c>
      <c r="V10" s="53">
        <f>'R1'!V32</f>
        <v>0.84720744857138708</v>
      </c>
    </row>
    <row r="11" spans="1:22" s="1" customFormat="1" x14ac:dyDescent="0.35">
      <c r="A11" s="226"/>
      <c r="B11" s="53">
        <f>'R1'!B33</f>
        <v>2.2404946042443682E-2</v>
      </c>
      <c r="C11" s="53">
        <f>'R1'!C33</f>
        <v>5.6961445979361008E-2</v>
      </c>
      <c r="D11" s="53">
        <f>'R1'!D33</f>
        <v>0.17502732304994045</v>
      </c>
      <c r="E11" s="53">
        <f>'R1'!E33</f>
        <v>0.32556684450359619</v>
      </c>
      <c r="F11" s="53">
        <f>'R1'!F33</f>
        <v>3.8072608294104686</v>
      </c>
      <c r="G11" s="53">
        <f>'R1'!G33</f>
        <v>1.7581919774889994</v>
      </c>
      <c r="H11" s="53">
        <f>'R1'!H33</f>
        <v>3.7345654189884532</v>
      </c>
      <c r="I11" s="53">
        <f>'R1'!I33</f>
        <v>1.2171754779651179E-2</v>
      </c>
      <c r="J11" s="53">
        <f>'R1'!J33</f>
        <v>5.1512257202720305E-2</v>
      </c>
      <c r="K11" s="53">
        <f>'R1'!K33</f>
        <v>6.7497289789724121E-2</v>
      </c>
      <c r="L11" s="53">
        <f>'R1'!L33</f>
        <v>8.3995641298292859E-2</v>
      </c>
      <c r="M11" s="53">
        <f>'R1'!M33</f>
        <v>5.1577188619362389E-3</v>
      </c>
      <c r="N11"/>
      <c r="O11" s="53">
        <f>'R1'!O33</f>
        <v>0.28369149172083857</v>
      </c>
      <c r="P11" s="53">
        <f>'R1'!P33</f>
        <v>2.6471615095941128</v>
      </c>
      <c r="Q11" s="53">
        <f>'R1'!Q33</f>
        <v>5.5082042197665118E-2</v>
      </c>
      <c r="R11" s="53">
        <f>'R1'!R33</f>
        <v>1.3860927547090383</v>
      </c>
      <c r="S11" s="53">
        <f>'R1'!S33</f>
        <v>0.28847116544588086</v>
      </c>
      <c r="T11" s="53">
        <f>'R1'!T33</f>
        <v>0.68427937355251411</v>
      </c>
      <c r="U11" s="53">
        <f>'R1'!U33</f>
        <v>0.48527107468618963</v>
      </c>
      <c r="V11" s="53">
        <f>'R1'!V33</f>
        <v>0.94521637177131912</v>
      </c>
    </row>
    <row r="12" spans="1:22" s="1" customFormat="1" x14ac:dyDescent="0.35">
      <c r="A12" s="226"/>
      <c r="B12" s="53">
        <f>'R1'!B34</f>
        <v>2.9062219898719616E-2</v>
      </c>
      <c r="C12" s="53">
        <f>'R1'!C34</f>
        <v>2.2767479785361987E-2</v>
      </c>
      <c r="D12" s="53">
        <f>'R1'!D34</f>
        <v>5.6808857150252107E-2</v>
      </c>
      <c r="E12" s="53">
        <f>'R1'!E34</f>
        <v>0.11123942080094165</v>
      </c>
      <c r="F12" s="53">
        <f>'R1'!F34</f>
        <v>1.1557453076004116</v>
      </c>
      <c r="G12" s="53">
        <f>'R1'!G34</f>
        <v>5.990669175063486</v>
      </c>
      <c r="H12" s="53">
        <f>'R1'!H34</f>
        <v>0.87881786584321608</v>
      </c>
      <c r="I12" s="53">
        <f>'R1'!I34</f>
        <v>7.6621596748306806E-2</v>
      </c>
      <c r="J12" s="53">
        <f>'R1'!J34</f>
        <v>7.223259371339435E-3</v>
      </c>
      <c r="K12" s="53">
        <f>'R1'!K34</f>
        <v>8.8650863141437844E-2</v>
      </c>
      <c r="L12" s="53">
        <f>'R1'!L34</f>
        <v>5.3604131008872791E-2</v>
      </c>
      <c r="M12" s="53">
        <f>'R1'!M34</f>
        <v>0.10240369791632378</v>
      </c>
      <c r="N12"/>
      <c r="O12" s="53">
        <f>'R1'!O34</f>
        <v>2.643114839416941</v>
      </c>
      <c r="P12" s="53">
        <f>'R1'!P34</f>
        <v>1.9388834844506844</v>
      </c>
      <c r="Q12" s="53">
        <f>'R1'!Q34</f>
        <v>2.9521068576323677E-2</v>
      </c>
      <c r="R12" s="53">
        <f>'R1'!R34</f>
        <v>0.24571310612688338</v>
      </c>
      <c r="S12" s="53">
        <f>'R1'!S34</f>
        <v>3.4870241327530027</v>
      </c>
      <c r="T12" s="53">
        <f>'R1'!T34</f>
        <v>1.2492894744460155</v>
      </c>
      <c r="U12" s="53">
        <f>'R1'!U34</f>
        <v>1.3316293646199353</v>
      </c>
      <c r="V12" s="53">
        <f>'R1'!V34</f>
        <v>2.5564819004127024</v>
      </c>
    </row>
    <row r="13" spans="1:22" s="1" customFormat="1" x14ac:dyDescent="0.35">
      <c r="A13" s="226"/>
      <c r="B13" s="53">
        <f>'R1'!B35</f>
        <v>2.9232484502358859E-2</v>
      </c>
      <c r="C13" s="53">
        <f>'R1'!C35</f>
        <v>8.6272208911782819E-2</v>
      </c>
      <c r="D13" s="53">
        <f>'R1'!D35</f>
        <v>5.0804865491414039E-2</v>
      </c>
      <c r="E13" s="53">
        <f>'R1'!E35</f>
        <v>0.60232943260853944</v>
      </c>
      <c r="F13" s="53">
        <f>'R1'!F35</f>
        <v>1.4895378804022825</v>
      </c>
      <c r="G13" s="53">
        <f>'R1'!G35</f>
        <v>5.8554426460345885</v>
      </c>
      <c r="H13" s="53">
        <f>'R1'!H35</f>
        <v>4.3271475637687384</v>
      </c>
      <c r="I13" s="53">
        <f>'R1'!I35</f>
        <v>8.2008379218952623E-3</v>
      </c>
      <c r="J13" s="53">
        <f>'R1'!J35</f>
        <v>3.0773523457330997E-2</v>
      </c>
      <c r="K13" s="53">
        <f>'R1'!K35</f>
        <v>6.5648548065886991E-2</v>
      </c>
      <c r="L13" s="53">
        <f>'R1'!L35</f>
        <v>2.6512579605240436E-2</v>
      </c>
      <c r="M13" s="53">
        <f>'R1'!M35</f>
        <v>4.8242960374791352E-2</v>
      </c>
      <c r="N13"/>
      <c r="O13" s="53">
        <f>'R1'!O35</f>
        <v>1.137511483617037</v>
      </c>
      <c r="P13" s="53">
        <f>'R1'!P35</f>
        <v>2.5593706269930903</v>
      </c>
      <c r="Q13" s="53">
        <f>'R1'!Q35</f>
        <v>4.2771767062510825E-2</v>
      </c>
      <c r="R13" s="53">
        <f>'R1'!R35</f>
        <v>4.7085738238192426E-2</v>
      </c>
      <c r="S13" s="53" t="str">
        <f>'R1'!S35</f>
        <v/>
      </c>
      <c r="T13" s="53">
        <f>'R1'!T35</f>
        <v>7.9122899209396871E-2</v>
      </c>
      <c r="U13" s="53">
        <f>'R1'!U35</f>
        <v>1.4907712165883897</v>
      </c>
      <c r="V13" s="53">
        <f>'R1'!V35</f>
        <v>1.816908375368159</v>
      </c>
    </row>
    <row r="14" spans="1:22" s="1" customFormat="1" x14ac:dyDescent="0.35">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0.81541233749222064</v>
      </c>
      <c r="P14" s="53" t="str">
        <f>'R1'!P36</f>
        <v/>
      </c>
      <c r="Q14" s="53" t="str">
        <f>'R1'!Q36</f>
        <v/>
      </c>
      <c r="R14" s="53">
        <f>'R1'!R36</f>
        <v>1.4921066393906619</v>
      </c>
      <c r="S14" s="53" t="str">
        <f>'R1'!S36</f>
        <v/>
      </c>
      <c r="T14" s="53" t="str">
        <f>'R1'!T36</f>
        <v/>
      </c>
      <c r="U14" s="53" t="str">
        <f>'R1'!U36</f>
        <v/>
      </c>
      <c r="V14" s="53" t="str">
        <f>'R1'!V36</f>
        <v/>
      </c>
    </row>
    <row r="15" spans="1:22" s="1" customFormat="1" x14ac:dyDescent="0.35">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1.0470789745489588</v>
      </c>
      <c r="P15" s="53" t="str">
        <f>'R1'!P37</f>
        <v/>
      </c>
      <c r="Q15" s="53" t="str">
        <f>'R1'!Q37</f>
        <v/>
      </c>
      <c r="R15" s="53" t="str">
        <f>'R1'!R37</f>
        <v/>
      </c>
      <c r="S15" s="53" t="str">
        <f>'R1'!S37</f>
        <v/>
      </c>
      <c r="T15" s="53" t="str">
        <f>'R1'!T37</f>
        <v/>
      </c>
      <c r="U15" s="53" t="str">
        <f>'R1'!U37</f>
        <v/>
      </c>
      <c r="V15" s="53" t="str">
        <f>'R1'!V37</f>
        <v/>
      </c>
    </row>
    <row r="16" spans="1:22" s="1" customFormat="1" x14ac:dyDescent="0.35">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1.2068921452194741</v>
      </c>
      <c r="P16" s="53" t="str">
        <f>'R1'!P38</f>
        <v/>
      </c>
      <c r="Q16" s="53" t="str">
        <f>'R1'!Q38</f>
        <v/>
      </c>
      <c r="R16" s="53" t="str">
        <f>'R1'!R38</f>
        <v/>
      </c>
      <c r="S16" s="53" t="str">
        <f>'R1'!S38</f>
        <v/>
      </c>
      <c r="T16" s="53" t="str">
        <f>'R1'!T38</f>
        <v/>
      </c>
      <c r="U16" s="53" t="str">
        <f>'R1'!U38</f>
        <v/>
      </c>
      <c r="V16" s="53" t="str">
        <f>'R1'!V38</f>
        <v/>
      </c>
    </row>
    <row r="17" spans="1:22" s="1" customFormat="1" x14ac:dyDescent="0.35">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0.11663558225399132</v>
      </c>
      <c r="P17" s="53" t="str">
        <f>'R1'!P39</f>
        <v/>
      </c>
      <c r="Q17" s="53" t="str">
        <f>'R1'!Q39</f>
        <v/>
      </c>
      <c r="R17" s="53" t="str">
        <f>'R1'!R39</f>
        <v/>
      </c>
      <c r="S17" s="53" t="str">
        <f>'R1'!S39</f>
        <v/>
      </c>
      <c r="T17" s="53" t="str">
        <f>'R1'!T39</f>
        <v/>
      </c>
      <c r="U17" s="53" t="str">
        <f>'R1'!U39</f>
        <v/>
      </c>
      <c r="V17" s="53" t="str">
        <f>'R1'!V39</f>
        <v/>
      </c>
    </row>
    <row r="18" spans="1:22" s="1" customFormat="1" x14ac:dyDescent="0.35">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1.4323989552174332</v>
      </c>
      <c r="P18" s="53" t="str">
        <f>'R1'!P40</f>
        <v/>
      </c>
      <c r="Q18" s="53" t="str">
        <f>'R1'!Q40</f>
        <v/>
      </c>
      <c r="R18" s="53" t="str">
        <f>'R1'!R40</f>
        <v/>
      </c>
      <c r="S18" s="53" t="str">
        <f>'R1'!S40</f>
        <v/>
      </c>
      <c r="T18" s="53" t="str">
        <f>'R1'!T40</f>
        <v/>
      </c>
      <c r="U18" s="53" t="str">
        <f>'R1'!U40</f>
        <v/>
      </c>
      <c r="V18" s="53" t="str">
        <f>'R1'!V40</f>
        <v/>
      </c>
    </row>
    <row r="19" spans="1:22" s="1" customFormat="1" x14ac:dyDescent="0.35">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3.709139719151783</v>
      </c>
      <c r="P19" s="53" t="str">
        <f>'R1'!P41</f>
        <v/>
      </c>
      <c r="Q19" s="53" t="str">
        <f>'R1'!Q41</f>
        <v/>
      </c>
      <c r="R19" s="53" t="str">
        <f>'R1'!R41</f>
        <v/>
      </c>
      <c r="S19" s="53" t="str">
        <f>'R1'!S41</f>
        <v/>
      </c>
      <c r="T19" s="53" t="str">
        <f>'R1'!T41</f>
        <v/>
      </c>
      <c r="U19" s="53" t="str">
        <f>'R1'!U41</f>
        <v/>
      </c>
      <c r="V19" s="53" t="str">
        <f>'R1'!V41</f>
        <v/>
      </c>
    </row>
    <row r="20" spans="1:22" s="1" customFormat="1" x14ac:dyDescent="0.35">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0.15077616039430686</v>
      </c>
      <c r="P20" s="53" t="str">
        <f>'R1'!P42</f>
        <v/>
      </c>
      <c r="Q20" s="53" t="str">
        <f>'R1'!Q42</f>
        <v/>
      </c>
      <c r="R20" s="53" t="str">
        <f>'R1'!R42</f>
        <v/>
      </c>
      <c r="S20" s="53" t="str">
        <f>'R1'!S42</f>
        <v/>
      </c>
      <c r="T20" s="53" t="str">
        <f>'R1'!T42</f>
        <v/>
      </c>
      <c r="U20" s="53" t="str">
        <f>'R1'!U42</f>
        <v/>
      </c>
      <c r="V20" s="53" t="str">
        <f>'R1'!V42</f>
        <v/>
      </c>
    </row>
    <row r="21" spans="1:22" s="1" customFormat="1" x14ac:dyDescent="0.35">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0.52895116012150467</v>
      </c>
      <c r="P21" s="53" t="str">
        <f>'R1'!P43</f>
        <v/>
      </c>
      <c r="Q21" s="53" t="str">
        <f>'R1'!Q43</f>
        <v/>
      </c>
      <c r="R21" s="53" t="str">
        <f>'R1'!R43</f>
        <v/>
      </c>
      <c r="S21" s="53" t="str">
        <f>'R1'!S43</f>
        <v/>
      </c>
      <c r="T21" s="53" t="str">
        <f>'R1'!T43</f>
        <v/>
      </c>
      <c r="U21" s="53" t="str">
        <f>'R1'!U43</f>
        <v/>
      </c>
      <c r="V21" s="53" t="str">
        <f>'R1'!V43</f>
        <v/>
      </c>
    </row>
    <row r="22" spans="1:22" x14ac:dyDescent="0.35">
      <c r="A22" s="39" t="s">
        <v>5</v>
      </c>
      <c r="B22" s="54">
        <f>'R2'!B28</f>
        <v>0.12455394560635705</v>
      </c>
      <c r="C22" s="54">
        <f>'R2'!C28</f>
        <v>9.6423819873428226E-2</v>
      </c>
      <c r="D22" s="54">
        <f>'R2'!D28</f>
        <v>1.3604979032254729</v>
      </c>
      <c r="E22" s="54">
        <f>'R2'!E28</f>
        <v>2.2212393021062891</v>
      </c>
      <c r="F22" s="54">
        <f>'R2'!F28</f>
        <v>8.8466873674362088</v>
      </c>
      <c r="G22" s="54">
        <f>'R2'!G28</f>
        <v>14.864726959668891</v>
      </c>
      <c r="H22" s="54">
        <f>'R2'!H28</f>
        <v>8.5121503067999296</v>
      </c>
      <c r="I22" s="54">
        <f>'R2'!I28</f>
        <v>0.19604307494449241</v>
      </c>
      <c r="J22" s="54">
        <f>'R2'!J28</f>
        <v>0.10743501745607598</v>
      </c>
      <c r="K22" s="54">
        <f>'R2'!K28</f>
        <v>2.7927882998901223E-2</v>
      </c>
      <c r="L22" s="54">
        <f>'R2'!L28</f>
        <v>2.2250377883653891E-2</v>
      </c>
      <c r="M22" s="54">
        <f>'R2'!M28</f>
        <v>7.7385424320194377E-3</v>
      </c>
      <c r="O22" s="54">
        <f>'R2'!O28</f>
        <v>1.5079604348862281</v>
      </c>
      <c r="P22" s="54">
        <f>'R2'!P28</f>
        <v>12.189827788013762</v>
      </c>
      <c r="Q22" s="54">
        <f>'R2'!Q28</f>
        <v>2.8819589598931973E-2</v>
      </c>
      <c r="R22" s="54">
        <f>'R2'!R28</f>
        <v>0.13921654382335752</v>
      </c>
      <c r="S22" s="54">
        <f>'R2'!S28</f>
        <v>2.8470996668280777</v>
      </c>
      <c r="T22" s="54">
        <f>'R2'!T28</f>
        <v>3.2169299231224806</v>
      </c>
      <c r="U22" s="54">
        <f>'R2'!U28</f>
        <v>13.065763131930979</v>
      </c>
      <c r="V22" s="54">
        <f>'R2'!V28</f>
        <v>1.3812976491350561</v>
      </c>
    </row>
    <row r="23" spans="1:22" x14ac:dyDescent="0.35">
      <c r="A23" s="225" t="s">
        <v>34</v>
      </c>
      <c r="B23" s="54">
        <f>'R2'!B29</f>
        <v>0.19755437973877132</v>
      </c>
      <c r="C23" s="54">
        <f>'R2'!C29</f>
        <v>1.3219155052839362</v>
      </c>
      <c r="D23" s="54">
        <f>'R2'!D29</f>
        <v>9.1084611695099779E-2</v>
      </c>
      <c r="E23" s="54">
        <f>'R2'!E29</f>
        <v>0.8009639624131879</v>
      </c>
      <c r="F23" s="54">
        <f>'R2'!F29</f>
        <v>10.317683346253119</v>
      </c>
      <c r="G23" s="54">
        <f>'R2'!G29</f>
        <v>16.401210974334248</v>
      </c>
      <c r="H23" s="54">
        <f>'R2'!H29</f>
        <v>22.139192182766759</v>
      </c>
      <c r="I23" s="54">
        <f>'R2'!I29</f>
        <v>0.1531565839087867</v>
      </c>
      <c r="J23" s="54">
        <f>'R2'!J29</f>
        <v>0.11019471149039795</v>
      </c>
      <c r="K23" s="54">
        <f>'R2'!K29</f>
        <v>0.23047765826815411</v>
      </c>
      <c r="L23" s="54">
        <f>'R2'!L29</f>
        <v>8.5493519384391495E-3</v>
      </c>
      <c r="M23" s="54">
        <f>'R2'!M29</f>
        <v>5.6396305668748925E-2</v>
      </c>
      <c r="O23" s="54">
        <f>'R2'!O29</f>
        <v>1.7293095915685004</v>
      </c>
      <c r="P23" s="54">
        <f>'R2'!P29</f>
        <v>7.7302339327915224</v>
      </c>
      <c r="Q23" s="54">
        <f>'R2'!Q29</f>
        <v>0.40777283176828866</v>
      </c>
      <c r="R23" s="54">
        <f>'R2'!R29</f>
        <v>1.4344525553484354E-2</v>
      </c>
      <c r="S23" s="54">
        <f>'R2'!S29</f>
        <v>0.26489017874810367</v>
      </c>
      <c r="T23" s="54">
        <f>'R2'!T29</f>
        <v>0.2055448063031706</v>
      </c>
      <c r="U23" s="54">
        <f>'R2'!U29</f>
        <v>3.9702289502659838</v>
      </c>
      <c r="V23" s="54">
        <f>'R2'!V29</f>
        <v>0.6886935050435431</v>
      </c>
    </row>
    <row r="24" spans="1:22" x14ac:dyDescent="0.35">
      <c r="A24" s="226"/>
      <c r="B24" s="54">
        <f>'R2'!B30</f>
        <v>6.7512301759029156E-2</v>
      </c>
      <c r="C24" s="54">
        <f>'R2'!C30</f>
        <v>0.47246292810247825</v>
      </c>
      <c r="D24" s="54">
        <f>'R2'!D30</f>
        <v>0.55931882808609201</v>
      </c>
      <c r="E24" s="54">
        <f>'R2'!E30</f>
        <v>7.8663929341904444</v>
      </c>
      <c r="F24" s="54">
        <f>'R2'!F30</f>
        <v>8.7073108679959379</v>
      </c>
      <c r="G24" s="54">
        <f>'R2'!G30</f>
        <v>13.946949432651676</v>
      </c>
      <c r="H24" s="54">
        <f>'R2'!H30</f>
        <v>22.626663360304395</v>
      </c>
      <c r="I24" s="54">
        <f>'R2'!I30</f>
        <v>9.3689865823437038E-2</v>
      </c>
      <c r="J24" s="54">
        <f>'R2'!J30</f>
        <v>7.8080403897125561E-2</v>
      </c>
      <c r="K24" s="54">
        <f>'R2'!K30</f>
        <v>0.19163234477238156</v>
      </c>
      <c r="L24" s="54">
        <f>'R2'!L30</f>
        <v>1.2500439533214577E-2</v>
      </c>
      <c r="M24" s="54">
        <f>'R2'!M30</f>
        <v>4.7663096699375601E-2</v>
      </c>
      <c r="O24" s="54">
        <f>'R2'!O30</f>
        <v>0.73425327730903167</v>
      </c>
      <c r="P24" s="54">
        <f>'R2'!P30</f>
        <v>10.685572072300857</v>
      </c>
      <c r="Q24" s="54">
        <f>'R2'!Q30</f>
        <v>2.2333113547574272E-2</v>
      </c>
      <c r="R24" s="54">
        <f>'R2'!R30</f>
        <v>7.9837543927466559</v>
      </c>
      <c r="S24" s="54">
        <f>'R2'!S30</f>
        <v>0.22093363979236105</v>
      </c>
      <c r="T24" s="54">
        <f>'R2'!T30</f>
        <v>2.2306785220744496</v>
      </c>
      <c r="U24" s="54">
        <f>'R2'!U30</f>
        <v>3.7903965497389572E-2</v>
      </c>
      <c r="V24" s="54">
        <f>'R2'!V30</f>
        <v>0.29036357038403365</v>
      </c>
    </row>
    <row r="25" spans="1:22" x14ac:dyDescent="0.35">
      <c r="A25" s="226"/>
      <c r="B25" s="54">
        <f>'R2'!B31</f>
        <v>6.4410633647169618E-2</v>
      </c>
      <c r="C25" s="54">
        <f>'R2'!C31</f>
        <v>0.23965763982269747</v>
      </c>
      <c r="D25" s="54">
        <f>'R2'!D31</f>
        <v>1.1603217222255802</v>
      </c>
      <c r="E25" s="54">
        <f>'R2'!E31</f>
        <v>5.9554546589026911</v>
      </c>
      <c r="F25" s="54">
        <f>'R2'!F31</f>
        <v>11.030794903575032</v>
      </c>
      <c r="G25" s="54">
        <f>'R2'!G31</f>
        <v>11.295843199369738</v>
      </c>
      <c r="H25" s="54">
        <f>'R2'!H31</f>
        <v>28.580628777256518</v>
      </c>
      <c r="I25" s="54">
        <f>'R2'!I31</f>
        <v>0.54737547535660791</v>
      </c>
      <c r="J25" s="54">
        <f>'R2'!J31</f>
        <v>0.51114277027041</v>
      </c>
      <c r="K25" s="54">
        <f>'R2'!K31</f>
        <v>0.26852135510905367</v>
      </c>
      <c r="L25" s="54">
        <f>'R2'!L31</f>
        <v>7.1000069635850468E-2</v>
      </c>
      <c r="M25" s="54">
        <f>'R2'!M31</f>
        <v>5.4419842586206538E-2</v>
      </c>
      <c r="O25" s="54">
        <f>'R2'!O31</f>
        <v>0.42120726501864886</v>
      </c>
      <c r="P25" s="54">
        <f>'R2'!P31</f>
        <v>12.088112562790048</v>
      </c>
      <c r="Q25" s="54">
        <f>'R2'!Q31</f>
        <v>0.30308831549498794</v>
      </c>
      <c r="R25" s="54">
        <f>'R2'!R31</f>
        <v>4.1989673210215006</v>
      </c>
      <c r="S25" s="54">
        <f>'R2'!S31</f>
        <v>0.2394388499558858</v>
      </c>
      <c r="T25" s="54">
        <f>'R2'!T31</f>
        <v>0.1936731578157509</v>
      </c>
      <c r="U25" s="54">
        <f>'R2'!U31</f>
        <v>7.0031143082827365E-3</v>
      </c>
      <c r="V25" s="54">
        <f>'R2'!V31</f>
        <v>0.20176470574716396</v>
      </c>
    </row>
    <row r="26" spans="1:22" x14ac:dyDescent="0.35">
      <c r="A26" s="226"/>
      <c r="B26" s="54">
        <f>'R2'!B32</f>
        <v>0.19319512953532203</v>
      </c>
      <c r="C26" s="54">
        <f>'R2'!C32</f>
        <v>5.0444853577409673E-2</v>
      </c>
      <c r="D26" s="54">
        <f>'R2'!D32</f>
        <v>3.2577627311226515E-2</v>
      </c>
      <c r="E26" s="54">
        <f>'R2'!E32</f>
        <v>3.0687264476270606</v>
      </c>
      <c r="F26" s="54">
        <f>'R2'!F32</f>
        <v>4.8119374693044943</v>
      </c>
      <c r="G26" s="54">
        <f>'R2'!G32</f>
        <v>10.859175396619834</v>
      </c>
      <c r="H26" s="54">
        <f>'R2'!H32</f>
        <v>24.466044479152565</v>
      </c>
      <c r="I26" s="54">
        <f>'R2'!I32</f>
        <v>0.2859528402119228</v>
      </c>
      <c r="J26" s="54">
        <f>'R2'!J32</f>
        <v>5.6407337090604972E-3</v>
      </c>
      <c r="K26" s="54">
        <f>'R2'!K32</f>
        <v>3.6258445070528708E-2</v>
      </c>
      <c r="L26" s="54">
        <f>'R2'!L32</f>
        <v>0.31225174991674726</v>
      </c>
      <c r="M26" s="54">
        <f>'R2'!M32</f>
        <v>0.13993910195492884</v>
      </c>
      <c r="O26" s="54">
        <f>'R2'!O32</f>
        <v>0.12238075550071509</v>
      </c>
      <c r="P26" s="54">
        <f>'R2'!P32</f>
        <v>4.9372636144407744</v>
      </c>
      <c r="Q26" s="54">
        <f>'R2'!Q32</f>
        <v>0.1682346990156984</v>
      </c>
      <c r="R26" s="54">
        <f>'R2'!R32</f>
        <v>9.2443112910969294</v>
      </c>
      <c r="S26" s="54">
        <f>'R2'!S32</f>
        <v>4.1553913661197912</v>
      </c>
      <c r="T26" s="54">
        <f>'R2'!T32</f>
        <v>0.38721026142861048</v>
      </c>
      <c r="U26" s="54">
        <f>'R2'!U32</f>
        <v>0.51343730601646853</v>
      </c>
      <c r="V26" s="54">
        <f>'R2'!V32</f>
        <v>0.5230585444452539</v>
      </c>
    </row>
    <row r="27" spans="1:22" x14ac:dyDescent="0.35">
      <c r="A27" s="226"/>
      <c r="B27" s="54">
        <f>'R2'!B33</f>
        <v>0.10397115099327611</v>
      </c>
      <c r="C27" s="54">
        <f>'R2'!C33</f>
        <v>9.1104835968502537E-2</v>
      </c>
      <c r="D27" s="54">
        <f>'R2'!D33</f>
        <v>0.26828969525007657</v>
      </c>
      <c r="E27" s="54">
        <f>'R2'!E33</f>
        <v>7.4882799186524567</v>
      </c>
      <c r="F27" s="54">
        <f>'R2'!F33</f>
        <v>12.551093983807252</v>
      </c>
      <c r="G27" s="54">
        <f>'R2'!G33</f>
        <v>15.741761768631095</v>
      </c>
      <c r="H27" s="54">
        <f>'R2'!H33</f>
        <v>20.258595833294073</v>
      </c>
      <c r="I27" s="54">
        <f>'R2'!I33</f>
        <v>0.23483323133098472</v>
      </c>
      <c r="J27" s="54">
        <f>'R2'!J33</f>
        <v>0.24630774863158658</v>
      </c>
      <c r="K27" s="54">
        <f>'R2'!K33</f>
        <v>9.9227639595174402E-2</v>
      </c>
      <c r="L27" s="54">
        <f>'R2'!L33</f>
        <v>0.18101643980624227</v>
      </c>
      <c r="M27" s="54">
        <f>'R2'!M33</f>
        <v>0.10390680103244916</v>
      </c>
      <c r="O27" s="54">
        <f>'R2'!O33</f>
        <v>0.92140870337816605</v>
      </c>
      <c r="P27" s="54">
        <f>'R2'!P33</f>
        <v>8.5917640783350464</v>
      </c>
      <c r="Q27" s="54">
        <f>'R2'!Q33</f>
        <v>0.29751377031706377</v>
      </c>
      <c r="R27" s="54">
        <f>'R2'!R33</f>
        <v>3.5216784676068045</v>
      </c>
      <c r="S27" s="54">
        <f>'R2'!S33</f>
        <v>1.5791057515765166</v>
      </c>
      <c r="T27" s="54">
        <f>'R2'!T33</f>
        <v>0.57672825034524899</v>
      </c>
      <c r="U27" s="54">
        <f>'R2'!U33</f>
        <v>1.3776683113444155</v>
      </c>
      <c r="V27" s="54">
        <f>'R2'!V33</f>
        <v>0.29971453897734585</v>
      </c>
    </row>
    <row r="28" spans="1:22" x14ac:dyDescent="0.35">
      <c r="A28" s="226"/>
      <c r="B28" s="54">
        <f>'R2'!B34</f>
        <v>0.74824479736312244</v>
      </c>
      <c r="C28" s="54">
        <f>'R2'!C34</f>
        <v>0.35226087841833315</v>
      </c>
      <c r="D28" s="54">
        <f>'R2'!D34</f>
        <v>0.3247117409031563</v>
      </c>
      <c r="E28" s="54">
        <f>'R2'!E34</f>
        <v>2.2432764058340595</v>
      </c>
      <c r="F28" s="54">
        <f>'R2'!F34</f>
        <v>5.8594169387942241</v>
      </c>
      <c r="G28" s="54">
        <f>'R2'!G34</f>
        <v>14.297599723479026</v>
      </c>
      <c r="H28" s="54">
        <f>'R2'!H34</f>
        <v>29.854943697231597</v>
      </c>
      <c r="I28" s="54">
        <f>'R2'!I34</f>
        <v>0.11472494873261603</v>
      </c>
      <c r="J28" s="54">
        <f>'R2'!J34</f>
        <v>5.4557735359407174E-2</v>
      </c>
      <c r="K28" s="54">
        <f>'R2'!K34</f>
        <v>1.3473043226856364E-2</v>
      </c>
      <c r="L28" s="54">
        <f>'R2'!L34</f>
        <v>0.29162850675686081</v>
      </c>
      <c r="M28" s="54">
        <f>'R2'!M34</f>
        <v>9.2294390958646652E-2</v>
      </c>
      <c r="O28" s="54">
        <f>'R2'!O34</f>
        <v>4.8700050353844344E-2</v>
      </c>
      <c r="P28" s="54">
        <f>'R2'!P34</f>
        <v>11.524403228805248</v>
      </c>
      <c r="Q28" s="54">
        <f>'R2'!Q34</f>
        <v>8.1375121891465972E-3</v>
      </c>
      <c r="R28" s="54">
        <f>'R2'!R34</f>
        <v>0.19488293707929777</v>
      </c>
      <c r="S28" s="54">
        <f>'R2'!S34</f>
        <v>0.35004723976588564</v>
      </c>
      <c r="T28" s="54">
        <f>'R2'!T34</f>
        <v>4.3618609732885609</v>
      </c>
      <c r="U28" s="54">
        <f>'R2'!U34</f>
        <v>0.10282388312024686</v>
      </c>
      <c r="V28" s="54">
        <f>'R2'!V34</f>
        <v>2.3565985254206478</v>
      </c>
    </row>
    <row r="29" spans="1:22" x14ac:dyDescent="0.35">
      <c r="A29" s="226"/>
      <c r="B29" s="54">
        <f>'R2'!B35</f>
        <v>4.8841620267663664E-2</v>
      </c>
      <c r="C29" s="54">
        <f>'R2'!C35</f>
        <v>0.24035629654024734</v>
      </c>
      <c r="D29" s="54">
        <f>'R2'!D35</f>
        <v>0.62591000612014092</v>
      </c>
      <c r="E29" s="54">
        <f>'R2'!E35</f>
        <v>3.8665170376863247</v>
      </c>
      <c r="F29" s="54">
        <f>'R2'!F35</f>
        <v>14.873228508779288</v>
      </c>
      <c r="G29" s="54">
        <f>'R2'!G35</f>
        <v>13.606359798557044</v>
      </c>
      <c r="H29" s="54">
        <f>'R2'!H35</f>
        <v>16.603966669478147</v>
      </c>
      <c r="I29" s="54">
        <f>'R2'!I35</f>
        <v>0.19946281571986807</v>
      </c>
      <c r="J29" s="54">
        <f>'R2'!J35</f>
        <v>0.21925686367024139</v>
      </c>
      <c r="K29" s="54">
        <f>'R2'!K35</f>
        <v>0.16190817858125342</v>
      </c>
      <c r="L29" s="54">
        <f>'R2'!L35</f>
        <v>0.69827613349583229</v>
      </c>
      <c r="M29" s="54">
        <f>'R2'!M35</f>
        <v>0.10408514235245531</v>
      </c>
      <c r="O29" s="54">
        <f>'R2'!O35</f>
        <v>2.5292844031552626</v>
      </c>
      <c r="P29" s="54">
        <f>'R2'!P35</f>
        <v>14.260194010535468</v>
      </c>
      <c r="Q29" s="54">
        <f>'R2'!Q35</f>
        <v>0.19977353410214682</v>
      </c>
      <c r="R29" s="54">
        <f>'R2'!R35</f>
        <v>0.2071222996285858</v>
      </c>
      <c r="S29" s="54">
        <f>'R2'!S35</f>
        <v>1.0553393575621661E-2</v>
      </c>
      <c r="T29" s="54">
        <f>'R2'!T35</f>
        <v>1.5326377255782131</v>
      </c>
      <c r="U29" s="54">
        <f>'R2'!U35</f>
        <v>2.6298689076387309</v>
      </c>
      <c r="V29" s="54">
        <f>'R2'!V35</f>
        <v>5.6090680126227044</v>
      </c>
    </row>
    <row r="30" spans="1:22" x14ac:dyDescent="0.35">
      <c r="A30" s="226"/>
      <c r="B30" s="54" t="str">
        <f>'R2'!B36</f>
        <v/>
      </c>
      <c r="C30" s="54" t="str">
        <f>'R2'!C36</f>
        <v/>
      </c>
      <c r="D30" s="54" t="str">
        <f>'R2'!D36</f>
        <v/>
      </c>
      <c r="E30" s="54" t="str">
        <f>'R2'!E36</f>
        <v/>
      </c>
      <c r="F30" s="54" t="str">
        <f>'R2'!F36</f>
        <v/>
      </c>
      <c r="G30" s="54" t="str">
        <f>'R2'!G36</f>
        <v/>
      </c>
      <c r="H30" s="54" t="str">
        <f>'R2'!H36</f>
        <v/>
      </c>
      <c r="I30" s="54" t="str">
        <f>'R2'!I36</f>
        <v/>
      </c>
      <c r="J30" s="54">
        <f>'R2'!J36</f>
        <v>6.779360301635845E-2</v>
      </c>
      <c r="K30" s="54" t="str">
        <f>'R2'!K36</f>
        <v/>
      </c>
      <c r="L30" s="54" t="str">
        <f>'R2'!L36</f>
        <v/>
      </c>
      <c r="M30" s="54" t="str">
        <f>'R2'!M36</f>
        <v/>
      </c>
      <c r="O30" s="54">
        <f>'R2'!O36</f>
        <v>0.85407658150945243</v>
      </c>
      <c r="P30" s="54" t="str">
        <f>'R2'!P36</f>
        <v/>
      </c>
      <c r="Q30" s="54" t="str">
        <f>'R2'!Q36</f>
        <v/>
      </c>
      <c r="R30" s="54" t="str">
        <f>'R2'!R36</f>
        <v/>
      </c>
      <c r="S30" s="54" t="str">
        <f>'R2'!S36</f>
        <v/>
      </c>
      <c r="T30" s="54" t="str">
        <f>'R2'!T36</f>
        <v/>
      </c>
      <c r="U30" s="54" t="str">
        <f>'R2'!U36</f>
        <v/>
      </c>
      <c r="V30" s="54" t="str">
        <f>'R2'!V36</f>
        <v/>
      </c>
    </row>
    <row r="31" spans="1:22" s="1" customFormat="1" x14ac:dyDescent="0.35">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0.5967980838420236</v>
      </c>
      <c r="P31" s="54" t="str">
        <f>'R2'!P37</f>
        <v/>
      </c>
      <c r="Q31" s="54" t="str">
        <f>'R2'!Q37</f>
        <v/>
      </c>
      <c r="R31" s="54" t="str">
        <f>'R2'!R37</f>
        <v/>
      </c>
      <c r="S31" s="54" t="str">
        <f>'R2'!S37</f>
        <v/>
      </c>
      <c r="T31" s="54" t="str">
        <f>'R2'!T37</f>
        <v/>
      </c>
      <c r="U31" s="54" t="str">
        <f>'R2'!U37</f>
        <v/>
      </c>
      <c r="V31" s="54" t="str">
        <f>'R2'!V37</f>
        <v/>
      </c>
    </row>
    <row r="32" spans="1:22" s="1" customFormat="1" x14ac:dyDescent="0.35">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0.21474501213111671</v>
      </c>
      <c r="P32" s="54" t="str">
        <f>'R2'!P38</f>
        <v/>
      </c>
      <c r="Q32" s="54" t="str">
        <f>'R2'!Q38</f>
        <v/>
      </c>
      <c r="R32" s="54" t="str">
        <f>'R2'!R38</f>
        <v/>
      </c>
      <c r="S32" s="54" t="str">
        <f>'R2'!S38</f>
        <v/>
      </c>
      <c r="T32" s="54" t="str">
        <f>'R2'!T38</f>
        <v/>
      </c>
      <c r="U32" s="54" t="str">
        <f>'R2'!U38</f>
        <v/>
      </c>
      <c r="V32" s="54" t="str">
        <f>'R2'!V38</f>
        <v/>
      </c>
    </row>
    <row r="33" spans="1:22" s="1" customFormat="1" x14ac:dyDescent="0.35">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1.1244493769200132</v>
      </c>
      <c r="P33" s="54" t="str">
        <f>'R2'!P39</f>
        <v/>
      </c>
      <c r="Q33" s="54" t="str">
        <f>'R2'!Q39</f>
        <v/>
      </c>
      <c r="R33" s="54" t="str">
        <f>'R2'!R39</f>
        <v/>
      </c>
      <c r="S33" s="54" t="str">
        <f>'R2'!S39</f>
        <v/>
      </c>
      <c r="T33" s="54" t="str">
        <f>'R2'!T39</f>
        <v/>
      </c>
      <c r="U33" s="54" t="str">
        <f>'R2'!U39</f>
        <v/>
      </c>
      <c r="V33" s="54" t="str">
        <f>'R2'!V39</f>
        <v/>
      </c>
    </row>
    <row r="34" spans="1:22" s="1" customFormat="1" x14ac:dyDescent="0.35">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2.3463540116569952</v>
      </c>
      <c r="P34" s="54" t="str">
        <f>'R2'!P40</f>
        <v/>
      </c>
      <c r="Q34" s="54" t="str">
        <f>'R2'!Q40</f>
        <v/>
      </c>
      <c r="R34" s="54" t="str">
        <f>'R2'!R40</f>
        <v/>
      </c>
      <c r="S34" s="54" t="str">
        <f>'R2'!S40</f>
        <v/>
      </c>
      <c r="T34" s="54" t="str">
        <f>'R2'!T40</f>
        <v/>
      </c>
      <c r="U34" s="54" t="str">
        <f>'R2'!U40</f>
        <v/>
      </c>
      <c r="V34" s="54" t="str">
        <f>'R2'!V40</f>
        <v/>
      </c>
    </row>
    <row r="35" spans="1:22" s="1" customFormat="1" x14ac:dyDescent="0.35">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0.50374620191592812</v>
      </c>
      <c r="P35" s="54" t="str">
        <f>'R2'!P41</f>
        <v/>
      </c>
      <c r="Q35" s="54" t="str">
        <f>'R2'!Q41</f>
        <v/>
      </c>
      <c r="R35" s="54" t="str">
        <f>'R2'!R41</f>
        <v/>
      </c>
      <c r="S35" s="54" t="str">
        <f>'R2'!S41</f>
        <v/>
      </c>
      <c r="T35" s="54" t="str">
        <f>'R2'!T41</f>
        <v/>
      </c>
      <c r="U35" s="54" t="str">
        <f>'R2'!U41</f>
        <v/>
      </c>
      <c r="V35" s="54" t="str">
        <f>'R2'!V41</f>
        <v/>
      </c>
    </row>
    <row r="36" spans="1:22" x14ac:dyDescent="0.35">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1.9728006504861755</v>
      </c>
      <c r="P36" s="54" t="str">
        <f>'R2'!P42</f>
        <v/>
      </c>
      <c r="Q36" s="54" t="str">
        <f>'R2'!Q42</f>
        <v/>
      </c>
      <c r="R36" s="54" t="str">
        <f>'R2'!R42</f>
        <v/>
      </c>
      <c r="S36" s="54" t="str">
        <f>'R2'!S42</f>
        <v/>
      </c>
      <c r="T36" s="54" t="str">
        <f>'R2'!T42</f>
        <v/>
      </c>
      <c r="U36" s="54" t="str">
        <f>'R2'!U42</f>
        <v/>
      </c>
      <c r="V36" s="54" t="str">
        <f>'R2'!V42</f>
        <v/>
      </c>
    </row>
    <row r="37" spans="1:22" x14ac:dyDescent="0.35">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0.37252560036789795</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7.6071661225963677E-2</v>
      </c>
      <c r="C38" s="155">
        <f>'R3'!C28</f>
        <v>0.19181894888884454</v>
      </c>
      <c r="D38" s="155">
        <f>'R3'!D28</f>
        <v>0.23064622486585748</v>
      </c>
      <c r="E38" s="155">
        <f>'R3'!E28</f>
        <v>1.0696839916311767</v>
      </c>
      <c r="F38" s="155">
        <f>'R3'!F28</f>
        <v>2.1549477855824697</v>
      </c>
      <c r="G38" s="155">
        <f>'R3'!G28</f>
        <v>3.3657366723946773</v>
      </c>
      <c r="H38" s="155">
        <f>'R3'!H28</f>
        <v>6.5349295309503113</v>
      </c>
      <c r="I38" s="155">
        <f>'R3'!I28</f>
        <v>1.288668155828508E-2</v>
      </c>
      <c r="J38" s="155">
        <f>'R3'!J28</f>
        <v>7.0538511648669103E-2</v>
      </c>
      <c r="K38" s="155">
        <f>'R3'!K28</f>
        <v>0.11012878044177661</v>
      </c>
      <c r="L38" s="155">
        <f>'R3'!L28</f>
        <v>4.2483718718982093E-2</v>
      </c>
      <c r="M38" s="155">
        <f>'R3'!M28</f>
        <v>9.8792472413911994E-2</v>
      </c>
      <c r="N38"/>
      <c r="O38" s="155">
        <f>'R3'!O28</f>
        <v>0.14212512225704191</v>
      </c>
      <c r="P38" s="155">
        <f>'R3'!P28</f>
        <v>2.8884660846717343</v>
      </c>
      <c r="Q38" s="155">
        <f>'R3'!Q28</f>
        <v>5.3179554086152429E-2</v>
      </c>
      <c r="R38" s="155">
        <f>'R3'!R28</f>
        <v>0.3509366295706895</v>
      </c>
      <c r="S38" s="155">
        <f>'R3'!S28</f>
        <v>8.9474553296811976E-2</v>
      </c>
      <c r="T38" s="155">
        <f>'R3'!T28</f>
        <v>3.1762816076415414</v>
      </c>
      <c r="U38" s="155">
        <f>'R3'!U28</f>
        <v>1.9746648932212892E-2</v>
      </c>
      <c r="V38" s="155">
        <f>'R3'!V28</f>
        <v>9.5957669576641327E-2</v>
      </c>
    </row>
    <row r="39" spans="1:22" s="1" customFormat="1" x14ac:dyDescent="0.35">
      <c r="A39" s="225" t="s">
        <v>34</v>
      </c>
      <c r="B39" s="155">
        <f>'R3'!B29</f>
        <v>0.21493403109819939</v>
      </c>
      <c r="C39" s="155">
        <f>'R3'!C29</f>
        <v>2.613453627609133E-2</v>
      </c>
      <c r="D39" s="155">
        <f>'R3'!D29</f>
        <v>2.2886300497375216E-2</v>
      </c>
      <c r="E39" s="155">
        <f>'R3'!E29</f>
        <v>2.0655359440239671</v>
      </c>
      <c r="F39" s="155">
        <f>'R3'!F29</f>
        <v>1.6949769276691955</v>
      </c>
      <c r="G39" s="155">
        <f>'R3'!G29</f>
        <v>4.4721424514555617</v>
      </c>
      <c r="H39" s="155">
        <f>'R3'!H29</f>
        <v>6.5118324493325082</v>
      </c>
      <c r="I39" s="155">
        <f>'R3'!I29</f>
        <v>0.14490882664087551</v>
      </c>
      <c r="J39" s="155">
        <f>'R3'!J29</f>
        <v>6.3371953554118815E-2</v>
      </c>
      <c r="K39" s="155">
        <f>'R3'!K29</f>
        <v>2.3392639717797179E-2</v>
      </c>
      <c r="L39" s="155">
        <f>'R3'!L29</f>
        <v>1.4466088300885695E-2</v>
      </c>
      <c r="M39" s="155">
        <f>'R3'!M29</f>
        <v>1.8900621129283078E-3</v>
      </c>
      <c r="N39"/>
      <c r="O39" s="155">
        <f>'R3'!O29</f>
        <v>0.67533516121598347</v>
      </c>
      <c r="P39" s="155">
        <f>'R3'!P29</f>
        <v>4.9609223851509636</v>
      </c>
      <c r="Q39" s="155">
        <f>'R3'!Q29</f>
        <v>6.1131750902297798E-2</v>
      </c>
      <c r="R39" s="155">
        <f>'R3'!R29</f>
        <v>0.17569854815793343</v>
      </c>
      <c r="S39" s="155">
        <f>'R3'!S29</f>
        <v>0.50175952153266323</v>
      </c>
      <c r="T39" s="155">
        <f>'R3'!T29</f>
        <v>0.30975882473557093</v>
      </c>
      <c r="U39" s="155">
        <f>'R3'!U29</f>
        <v>0.32856944290709555</v>
      </c>
      <c r="V39" s="155">
        <f>'R3'!V29</f>
        <v>1.3509676225246918</v>
      </c>
    </row>
    <row r="40" spans="1:22" s="1" customFormat="1" x14ac:dyDescent="0.35">
      <c r="A40" s="226"/>
      <c r="B40" s="155">
        <f>'R3'!B30</f>
        <v>6.5087816393966172E-2</v>
      </c>
      <c r="C40" s="155">
        <f>'R3'!C30</f>
        <v>0.14773666150722292</v>
      </c>
      <c r="D40" s="155">
        <f>'R3'!D30</f>
        <v>0.1607522505275879</v>
      </c>
      <c r="E40" s="155">
        <f>'R3'!E30</f>
        <v>2.5852548299470324</v>
      </c>
      <c r="F40" s="155">
        <f>'R3'!F30</f>
        <v>2.3176928757941035</v>
      </c>
      <c r="G40" s="155">
        <f>'R3'!G30</f>
        <v>2.2235822991763641</v>
      </c>
      <c r="H40" s="155">
        <f>'R3'!H30</f>
        <v>6.9131509926636703</v>
      </c>
      <c r="I40" s="155">
        <f>'R3'!I30</f>
        <v>3.1782657373619336E-2</v>
      </c>
      <c r="J40" s="155">
        <f>'R3'!J30</f>
        <v>0.17624379188267678</v>
      </c>
      <c r="K40" s="155">
        <f>'R3'!K30</f>
        <v>3.5725367587684839E-2</v>
      </c>
      <c r="L40" s="155">
        <f>'R3'!L30</f>
        <v>4.7918155374864137E-2</v>
      </c>
      <c r="M40" s="155">
        <f>'R3'!M30</f>
        <v>2.7008435962714097E-2</v>
      </c>
      <c r="N40"/>
      <c r="O40" s="155">
        <f>'R3'!O30</f>
        <v>4.4653968749376238</v>
      </c>
      <c r="P40" s="155">
        <f>'R3'!P30</f>
        <v>5.6283303181132771</v>
      </c>
      <c r="Q40" s="155">
        <f>'R3'!Q30</f>
        <v>0.16731201448757288</v>
      </c>
      <c r="R40" s="155">
        <f>'R3'!R30</f>
        <v>0.33691184609494224</v>
      </c>
      <c r="S40" s="155">
        <f>'R3'!S30</f>
        <v>5.7060713890395992E-2</v>
      </c>
      <c r="T40" s="155">
        <f>'R3'!T30</f>
        <v>0.19807967076337388</v>
      </c>
      <c r="U40" s="155">
        <f>'R3'!U30</f>
        <v>0.81182087233915146</v>
      </c>
      <c r="V40" s="155">
        <f>'R3'!V30</f>
        <v>1.604744026870238</v>
      </c>
    </row>
    <row r="41" spans="1:22" s="1" customFormat="1" x14ac:dyDescent="0.35">
      <c r="A41" s="226"/>
      <c r="B41" s="155">
        <f>'R3'!B31</f>
        <v>8.3881014638182663E-2</v>
      </c>
      <c r="C41" s="155">
        <f>'R3'!C31</f>
        <v>0.16783983828500815</v>
      </c>
      <c r="D41" s="155">
        <f>'R3'!D31</f>
        <v>0.15825016830190186</v>
      </c>
      <c r="E41" s="155">
        <f>'R3'!E31</f>
        <v>0.28477168100483946</v>
      </c>
      <c r="F41" s="155">
        <f>'R3'!F31</f>
        <v>2.1389679055985105</v>
      </c>
      <c r="G41" s="155">
        <f>'R3'!G31</f>
        <v>3.8299173460740747</v>
      </c>
      <c r="H41" s="155">
        <f>'R3'!H31</f>
        <v>8.7389115085838505</v>
      </c>
      <c r="I41" s="155">
        <f>'R3'!I31</f>
        <v>0.16661870138071069</v>
      </c>
      <c r="J41" s="155">
        <f>'R3'!J31</f>
        <v>0.10927462333943636</v>
      </c>
      <c r="K41" s="155">
        <f>'R3'!K31</f>
        <v>0.48228462346645667</v>
      </c>
      <c r="L41" s="155">
        <f>'R3'!L31</f>
        <v>5.8752188832012019E-2</v>
      </c>
      <c r="M41" s="155">
        <f>'R3'!M31</f>
        <v>0.18755977666201532</v>
      </c>
      <c r="N41"/>
      <c r="O41" s="155">
        <f>'R3'!O31</f>
        <v>0.82129731279475515</v>
      </c>
      <c r="P41" s="155">
        <f>'R3'!P31</f>
        <v>4.7342124831924917</v>
      </c>
      <c r="Q41" s="155">
        <f>'R3'!Q31</f>
        <v>0.20225580800336784</v>
      </c>
      <c r="R41" s="155">
        <f>'R3'!R31</f>
        <v>0.99493334155941016</v>
      </c>
      <c r="S41" s="155">
        <f>'R3'!S31</f>
        <v>0.19113260375290558</v>
      </c>
      <c r="T41" s="155">
        <f>'R3'!T31</f>
        <v>1.8831870482840465</v>
      </c>
      <c r="U41" s="155">
        <f>'R3'!U31</f>
        <v>0.93505872874451312</v>
      </c>
      <c r="V41" s="155">
        <f>'R3'!V31</f>
        <v>4.5419621007706503</v>
      </c>
    </row>
    <row r="42" spans="1:22" s="1" customFormat="1" x14ac:dyDescent="0.35">
      <c r="A42" s="226"/>
      <c r="B42" s="155">
        <f>'R3'!B32</f>
        <v>0.12661732230313213</v>
      </c>
      <c r="C42" s="155">
        <f>'R3'!C32</f>
        <v>2.1823104267337818E-2</v>
      </c>
      <c r="D42" s="155">
        <f>'R3'!D32</f>
        <v>0.30842271631104007</v>
      </c>
      <c r="E42" s="155">
        <f>'R3'!E32</f>
        <v>0.14724716154986545</v>
      </c>
      <c r="F42" s="155">
        <f>'R3'!F32</f>
        <v>2.2710185032290378</v>
      </c>
      <c r="G42" s="155">
        <f>'R3'!G32</f>
        <v>4.3350046543868279</v>
      </c>
      <c r="H42" s="155">
        <f>'R3'!H32</f>
        <v>6.0346716071516058</v>
      </c>
      <c r="I42" s="155">
        <f>'R3'!I32</f>
        <v>9.0866405488728763E-2</v>
      </c>
      <c r="J42" s="155">
        <f>'R3'!J32</f>
        <v>6.757828533478015E-2</v>
      </c>
      <c r="K42" s="155">
        <f>'R3'!K32</f>
        <v>9.2166512730156247E-2</v>
      </c>
      <c r="L42" s="155">
        <f>'R3'!L32</f>
        <v>0.29828083463226712</v>
      </c>
      <c r="M42" s="155">
        <f>'R3'!M32</f>
        <v>8.0073018528633091E-2</v>
      </c>
      <c r="N42"/>
      <c r="O42" s="155">
        <f>'R3'!O32</f>
        <v>0.29968662276603042</v>
      </c>
      <c r="P42" s="155">
        <f>'R3'!P32</f>
        <v>3.2900064417439525</v>
      </c>
      <c r="Q42" s="155">
        <f>'R3'!Q32</f>
        <v>7.6148889570362893E-2</v>
      </c>
      <c r="R42" s="155">
        <f>'R3'!R32</f>
        <v>2.2767455946636956</v>
      </c>
      <c r="S42" s="155">
        <f>'R3'!S32</f>
        <v>0.81415281994146182</v>
      </c>
      <c r="T42" s="155">
        <f>'R3'!T32</f>
        <v>0.19115583032264971</v>
      </c>
      <c r="U42" s="155">
        <f>'R3'!U32</f>
        <v>1.5395516909124232</v>
      </c>
      <c r="V42" s="155">
        <f>'R3'!V32</f>
        <v>1.0048812813808197</v>
      </c>
    </row>
    <row r="43" spans="1:22" s="1" customFormat="1" x14ac:dyDescent="0.35">
      <c r="A43" s="226"/>
      <c r="B43" s="155">
        <f>'R3'!B33</f>
        <v>1.2562090246110911E-2</v>
      </c>
      <c r="C43" s="155">
        <f>'R3'!C33</f>
        <v>5.4362947814615682E-2</v>
      </c>
      <c r="D43" s="155">
        <f>'R3'!D33</f>
        <v>0.12108881803978638</v>
      </c>
      <c r="E43" s="155">
        <f>'R3'!E33</f>
        <v>0.28472058255140237</v>
      </c>
      <c r="F43" s="155">
        <f>'R3'!F33</f>
        <v>4.731046121072124</v>
      </c>
      <c r="G43" s="155">
        <f>'R3'!G33</f>
        <v>4.2318612647955973</v>
      </c>
      <c r="H43" s="155">
        <f>'R3'!H33</f>
        <v>4.3180968729415907</v>
      </c>
      <c r="I43" s="155">
        <f>'R3'!I33</f>
        <v>0.10361895360674152</v>
      </c>
      <c r="J43" s="155">
        <f>'R3'!J33</f>
        <v>1.0726029907837697E-2</v>
      </c>
      <c r="K43" s="155">
        <f>'R3'!K33</f>
        <v>0.11130927084902185</v>
      </c>
      <c r="L43" s="155">
        <f>'R3'!L33</f>
        <v>8.9714948293663679E-2</v>
      </c>
      <c r="M43" s="155">
        <f>'R3'!M33</f>
        <v>0.22287635662220351</v>
      </c>
      <c r="N43"/>
      <c r="O43" s="155">
        <f>'R3'!O33</f>
        <v>0.80925549771091265</v>
      </c>
      <c r="P43" s="155">
        <f>'R3'!P33</f>
        <v>3.5689215431878103</v>
      </c>
      <c r="Q43" s="155">
        <f>'R3'!Q33</f>
        <v>8.7224479352849701E-2</v>
      </c>
      <c r="R43" s="155">
        <f>'R3'!R33</f>
        <v>0.56538058004728786</v>
      </c>
      <c r="S43" s="155">
        <f>'R3'!S33</f>
        <v>0.61289052845889891</v>
      </c>
      <c r="T43" s="155">
        <f>'R3'!T33</f>
        <v>1.0933489628792237</v>
      </c>
      <c r="U43" s="155">
        <f>'R3'!U33</f>
        <v>1.151762624457215</v>
      </c>
      <c r="V43" s="155">
        <f>'R3'!V33</f>
        <v>0.41226058033761998</v>
      </c>
    </row>
    <row r="44" spans="1:22" s="1" customFormat="1" x14ac:dyDescent="0.35">
      <c r="A44" s="226"/>
      <c r="B44" s="155">
        <f>'R3'!B34</f>
        <v>7.5016594295336719E-2</v>
      </c>
      <c r="C44" s="155">
        <f>'R3'!C34</f>
        <v>0.18343706053243283</v>
      </c>
      <c r="D44" s="155">
        <f>'R3'!D34</f>
        <v>0.18618592506165021</v>
      </c>
      <c r="E44" s="155">
        <f>'R3'!E34</f>
        <v>0.27668012477022935</v>
      </c>
      <c r="F44" s="155">
        <f>'R3'!F34</f>
        <v>5.623132211804541</v>
      </c>
      <c r="G44" s="155">
        <f>'R3'!G34</f>
        <v>7.3699775536978329</v>
      </c>
      <c r="H44" s="155">
        <f>'R3'!H34</f>
        <v>4.0631800440216077</v>
      </c>
      <c r="I44" s="155">
        <f>'R3'!I34</f>
        <v>0.25765233817159716</v>
      </c>
      <c r="J44" s="155">
        <f>'R3'!J34</f>
        <v>2.9400191982115541E-2</v>
      </c>
      <c r="K44" s="155">
        <f>'R3'!K34</f>
        <v>1.2090010216061537E-2</v>
      </c>
      <c r="L44" s="155">
        <f>'R3'!L34</f>
        <v>0.21828678644076407</v>
      </c>
      <c r="M44" s="155">
        <f>'R3'!M34</f>
        <v>0.10830259139564466</v>
      </c>
      <c r="N44"/>
      <c r="O44" s="155">
        <f>'R3'!O34</f>
        <v>1.8193958551460461</v>
      </c>
      <c r="P44" s="155">
        <f>'R3'!P34</f>
        <v>9.4072049545176579</v>
      </c>
      <c r="Q44" s="155">
        <f>'R3'!Q34</f>
        <v>8.3086085288689937E-2</v>
      </c>
      <c r="R44" s="155">
        <f>'R3'!R34</f>
        <v>2.9671071851756419</v>
      </c>
      <c r="S44" s="155">
        <f>'R3'!S34</f>
        <v>0.22939199009967465</v>
      </c>
      <c r="T44" s="155">
        <f>'R3'!T34</f>
        <v>1.2658137918645311</v>
      </c>
      <c r="U44" s="155">
        <f>'R3'!U34</f>
        <v>0.59109123142554887</v>
      </c>
      <c r="V44" s="155">
        <f>'R3'!V34</f>
        <v>2.7898913613491731</v>
      </c>
    </row>
    <row r="45" spans="1:22" s="1" customFormat="1" x14ac:dyDescent="0.35">
      <c r="A45" s="226"/>
      <c r="B45" s="155">
        <f>'R3'!B35</f>
        <v>2.6302348242492647E-2</v>
      </c>
      <c r="C45" s="155">
        <f>'R3'!C35</f>
        <v>0.30965024052201717</v>
      </c>
      <c r="D45" s="155">
        <f>'R3'!D35</f>
        <v>0.26667469918870318</v>
      </c>
      <c r="E45" s="155">
        <f>'R3'!E35</f>
        <v>5.2466986152972366</v>
      </c>
      <c r="F45" s="155">
        <f>'R3'!F35</f>
        <v>1.2735128190704654E-2</v>
      </c>
      <c r="G45" s="155">
        <f>'R3'!G35</f>
        <v>4.0736035478585286</v>
      </c>
      <c r="H45" s="155">
        <f>'R3'!H35</f>
        <v>4.1577621200051533</v>
      </c>
      <c r="I45" s="155">
        <f>'R3'!I35</f>
        <v>9.3910247453696569E-2</v>
      </c>
      <c r="J45" s="155">
        <f>'R3'!J35</f>
        <v>0.11276441544349139</v>
      </c>
      <c r="K45" s="155">
        <f>'R3'!K35</f>
        <v>0.13152103184036087</v>
      </c>
      <c r="L45" s="155">
        <f>'R3'!L35</f>
        <v>5.7705831865039116E-2</v>
      </c>
      <c r="M45" s="155">
        <f>'R3'!M35</f>
        <v>0.25889031433895915</v>
      </c>
      <c r="N45"/>
      <c r="O45" s="155">
        <f>'R3'!O35</f>
        <v>0.72478859285093444</v>
      </c>
      <c r="P45" s="155">
        <f>'R3'!P35</f>
        <v>4.4095991057770645</v>
      </c>
      <c r="Q45" s="155">
        <f>'R3'!Q35</f>
        <v>8.8770788233564935E-2</v>
      </c>
      <c r="R45" s="155">
        <f>'R3'!R35</f>
        <v>0.25541852282645577</v>
      </c>
      <c r="S45" s="155">
        <f>'R3'!S35</f>
        <v>2.593262770530564</v>
      </c>
      <c r="T45" s="155">
        <f>'R3'!T35</f>
        <v>1.4530681391344111</v>
      </c>
      <c r="U45" s="155">
        <f>'R3'!U35</f>
        <v>1.4644323190459687</v>
      </c>
      <c r="V45" s="155">
        <f>'R3'!V35</f>
        <v>2.5090374219959246</v>
      </c>
    </row>
    <row r="46" spans="1:22" s="1" customFormat="1" x14ac:dyDescent="0.35">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0.2935617763245042</v>
      </c>
      <c r="P46" s="155" t="str">
        <f>'R3'!P36</f>
        <v/>
      </c>
      <c r="Q46" s="155" t="str">
        <f>'R3'!Q36</f>
        <v/>
      </c>
      <c r="R46" s="155" t="str">
        <f>'R3'!R36</f>
        <v/>
      </c>
      <c r="S46" s="155" t="str">
        <f>'R3'!S36</f>
        <v/>
      </c>
      <c r="T46" s="155" t="str">
        <f>'R3'!T36</f>
        <v/>
      </c>
      <c r="U46" s="155" t="str">
        <f>'R3'!U36</f>
        <v/>
      </c>
      <c r="V46" s="155" t="str">
        <f>'R3'!V36</f>
        <v/>
      </c>
    </row>
    <row r="47" spans="1:22" s="1" customFormat="1" x14ac:dyDescent="0.35">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0.71535744420633174</v>
      </c>
      <c r="P47" s="155" t="str">
        <f>'R3'!P37</f>
        <v/>
      </c>
      <c r="Q47" s="155" t="str">
        <f>'R3'!Q37</f>
        <v/>
      </c>
      <c r="R47" s="155" t="str">
        <f>'R3'!R37</f>
        <v/>
      </c>
      <c r="S47" s="155" t="str">
        <f>'R3'!S37</f>
        <v/>
      </c>
      <c r="T47" s="155" t="str">
        <f>'R3'!T37</f>
        <v/>
      </c>
      <c r="U47" s="155" t="str">
        <f>'R3'!U37</f>
        <v/>
      </c>
      <c r="V47" s="155" t="str">
        <f>'R3'!V37</f>
        <v/>
      </c>
    </row>
    <row r="48" spans="1:22" s="1" customFormat="1" x14ac:dyDescent="0.35">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0.18579339603297448</v>
      </c>
      <c r="P48" s="155" t="str">
        <f>'R3'!P38</f>
        <v/>
      </c>
      <c r="Q48" s="155" t="str">
        <f>'R3'!Q38</f>
        <v/>
      </c>
      <c r="R48" s="155" t="str">
        <f>'R3'!R38</f>
        <v/>
      </c>
      <c r="S48" s="155" t="str">
        <f>'R3'!S38</f>
        <v/>
      </c>
      <c r="T48" s="155" t="str">
        <f>'R3'!T38</f>
        <v/>
      </c>
      <c r="U48" s="155" t="str">
        <f>'R3'!U38</f>
        <v/>
      </c>
      <c r="V48" s="155" t="str">
        <f>'R3'!V38</f>
        <v/>
      </c>
    </row>
    <row r="49" spans="1:24" s="1" customFormat="1" x14ac:dyDescent="0.35">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1.2336879619229422</v>
      </c>
      <c r="P49" s="155" t="str">
        <f>'R3'!P39</f>
        <v/>
      </c>
      <c r="Q49" s="155" t="str">
        <f>'R3'!Q39</f>
        <v/>
      </c>
      <c r="R49" s="155" t="str">
        <f>'R3'!R39</f>
        <v/>
      </c>
      <c r="S49" s="155" t="str">
        <f>'R3'!S39</f>
        <v/>
      </c>
      <c r="T49" s="155" t="str">
        <f>'R3'!T39</f>
        <v/>
      </c>
      <c r="U49" s="155" t="str">
        <f>'R3'!U39</f>
        <v/>
      </c>
      <c r="V49" s="155" t="str">
        <f>'R3'!V39</f>
        <v/>
      </c>
    </row>
    <row r="50" spans="1:24" s="1" customFormat="1" x14ac:dyDescent="0.35">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3.3940289569999984</v>
      </c>
      <c r="P50" s="155" t="str">
        <f>'R3'!P40</f>
        <v/>
      </c>
      <c r="Q50" s="155" t="str">
        <f>'R3'!Q40</f>
        <v/>
      </c>
      <c r="R50" s="155" t="str">
        <f>'R3'!R40</f>
        <v/>
      </c>
      <c r="S50" s="155" t="str">
        <f>'R3'!S40</f>
        <v/>
      </c>
      <c r="T50" s="155" t="str">
        <f>'R3'!T40</f>
        <v/>
      </c>
      <c r="U50" s="155" t="str">
        <f>'R3'!U40</f>
        <v/>
      </c>
      <c r="V50" s="155" t="str">
        <f>'R3'!V40</f>
        <v/>
      </c>
    </row>
    <row r="51" spans="1:24" s="1" customFormat="1" x14ac:dyDescent="0.35">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9.5612755015941048E-2</v>
      </c>
      <c r="P51" s="155" t="str">
        <f>'R3'!P41</f>
        <v/>
      </c>
      <c r="Q51" s="155" t="str">
        <f>'R3'!Q41</f>
        <v/>
      </c>
      <c r="R51" s="155" t="str">
        <f>'R3'!R41</f>
        <v/>
      </c>
      <c r="S51" s="155" t="str">
        <f>'R3'!S41</f>
        <v/>
      </c>
      <c r="T51" s="155" t="str">
        <f>'R3'!T41</f>
        <v/>
      </c>
      <c r="U51" s="155" t="str">
        <f>'R3'!U41</f>
        <v/>
      </c>
      <c r="V51" s="155" t="str">
        <f>'R3'!V41</f>
        <v/>
      </c>
    </row>
    <row r="52" spans="1:24" s="1" customFormat="1" x14ac:dyDescent="0.35">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3.278604518656561E-2</v>
      </c>
      <c r="P52" s="155" t="str">
        <f>'R3'!P42</f>
        <v/>
      </c>
      <c r="Q52" s="155" t="str">
        <f>'R3'!Q42</f>
        <v/>
      </c>
      <c r="R52" s="155" t="str">
        <f>'R3'!R42</f>
        <v/>
      </c>
      <c r="S52" s="155" t="str">
        <f>'R3'!S42</f>
        <v/>
      </c>
      <c r="T52" s="155" t="str">
        <f>'R3'!T42</f>
        <v/>
      </c>
      <c r="U52" s="155" t="str">
        <f>'R3'!U42</f>
        <v/>
      </c>
      <c r="V52" s="155" t="str">
        <f>'R3'!V42</f>
        <v/>
      </c>
    </row>
    <row r="53" spans="1:24" s="1" customFormat="1" x14ac:dyDescent="0.35">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0.2918906246314143</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Cefuroxime-0,001mg/L</v>
      </c>
      <c r="J55" s="15" t="str">
        <f t="shared" si="0"/>
        <v>Cefuroxime-0,01mg/L</v>
      </c>
      <c r="K55" s="15" t="str">
        <f t="shared" si="0"/>
        <v>Cefuroxime-0,1mg/L</v>
      </c>
      <c r="L55" s="15" t="str">
        <f t="shared" si="0"/>
        <v>Cefuroxime-1mg/L</v>
      </c>
      <c r="M55" s="15" t="str">
        <f t="shared" si="0"/>
        <v>Cefuroxime-10mg/L</v>
      </c>
      <c r="O55" s="15" t="str">
        <f t="shared" ref="O55:V55" si="1">O4</f>
        <v>Testo -30µg/L</v>
      </c>
      <c r="P55" s="15" t="str">
        <f t="shared" si="1"/>
        <v>Testo 30µg/L + EE2 -64ng/L</v>
      </c>
      <c r="Q55" s="15" t="str">
        <f t="shared" si="1"/>
        <v>Testo 30µg/L + FAD-10µg/L</v>
      </c>
      <c r="R55" s="15" t="str">
        <f t="shared" si="1"/>
        <v>Cefuroxime-0,001mg/L + Testostérone</v>
      </c>
      <c r="S55" s="15" t="str">
        <f t="shared" si="1"/>
        <v>Cefuroxime-0,01mg/L + Testostérone</v>
      </c>
      <c r="T55" s="15" t="str">
        <f t="shared" si="1"/>
        <v>Cefuroxime-0,1mg/L + Testostérone</v>
      </c>
      <c r="U55" s="15" t="str">
        <f t="shared" si="1"/>
        <v>Cefuroxime-1mg/L + Testostérone</v>
      </c>
      <c r="V55" s="15" t="str">
        <f t="shared" si="1"/>
        <v>Cefuroxime-10mg/L + Testostérone</v>
      </c>
    </row>
    <row r="56" spans="1:24" x14ac:dyDescent="0.35">
      <c r="A56" t="s">
        <v>48</v>
      </c>
      <c r="B56" s="9">
        <f t="shared" ref="B56:V56" si="2">AVERAGE(B6:B53)</f>
        <v>0.10119946185718116</v>
      </c>
      <c r="C56" s="9">
        <f t="shared" si="2"/>
        <v>0.17783878053003865</v>
      </c>
      <c r="D56" s="9">
        <f t="shared" si="2"/>
        <v>0.31657494000612535</v>
      </c>
      <c r="E56" s="9">
        <f t="shared" si="2"/>
        <v>2.1085051743502969</v>
      </c>
      <c r="F56" s="9">
        <f t="shared" si="2"/>
        <v>4.5404716190190131</v>
      </c>
      <c r="G56" s="9">
        <f t="shared" si="2"/>
        <v>7.0768578511721154</v>
      </c>
      <c r="H56" s="9">
        <f t="shared" si="2"/>
        <v>10.315400223800392</v>
      </c>
      <c r="I56" s="9">
        <f t="shared" si="2"/>
        <v>0.12462479902465139</v>
      </c>
      <c r="J56" s="9">
        <f t="shared" si="2"/>
        <v>9.3696696004213584E-2</v>
      </c>
      <c r="K56" s="9">
        <f t="shared" si="2"/>
        <v>0.10125908646081828</v>
      </c>
      <c r="L56" s="9">
        <f t="shared" si="2"/>
        <v>0.12004147495821497</v>
      </c>
      <c r="M56" s="9">
        <f t="shared" si="2"/>
        <v>7.932206758628714E-2</v>
      </c>
      <c r="N56" s="9"/>
      <c r="O56" s="9">
        <f t="shared" si="2"/>
        <v>1.0000000000000002</v>
      </c>
      <c r="P56" s="9">
        <f t="shared" si="2"/>
        <v>5.8404807240259808</v>
      </c>
      <c r="Q56" s="9">
        <f t="shared" si="2"/>
        <v>0.11034480906674397</v>
      </c>
      <c r="R56" s="9">
        <f t="shared" si="2"/>
        <v>1.7958463684876702</v>
      </c>
      <c r="S56" s="9">
        <f t="shared" si="2"/>
        <v>0.92582622885313515</v>
      </c>
      <c r="T56" s="9">
        <f t="shared" si="2"/>
        <v>1.1539971142514385</v>
      </c>
      <c r="U56" s="9">
        <f t="shared" si="2"/>
        <v>1.4642888607937319</v>
      </c>
      <c r="V56" s="9">
        <f t="shared" si="2"/>
        <v>1.4563375963639018</v>
      </c>
    </row>
    <row r="57" spans="1:24" x14ac:dyDescent="0.35">
      <c r="A57" t="s">
        <v>1</v>
      </c>
      <c r="B57" s="3">
        <f>STDEV(B6:B53)</f>
        <v>0.15045758729956282</v>
      </c>
      <c r="C57" s="3">
        <f t="shared" ref="C57:V57" si="3">STDEV(C6:C53)</f>
        <v>0.27251552926371275</v>
      </c>
      <c r="D57" s="3">
        <f t="shared" si="3"/>
        <v>0.35497820709364353</v>
      </c>
      <c r="E57" s="3">
        <f t="shared" si="3"/>
        <v>2.4052114021636299</v>
      </c>
      <c r="F57" s="3">
        <f t="shared" si="3"/>
        <v>4.3022326414915693</v>
      </c>
      <c r="G57" s="3">
        <f t="shared" si="3"/>
        <v>5.2094893363279384</v>
      </c>
      <c r="H57" s="3">
        <f t="shared" si="3"/>
        <v>9.1236620001716897</v>
      </c>
      <c r="I57" s="3">
        <f t="shared" si="3"/>
        <v>0.12225316194293821</v>
      </c>
      <c r="J57" s="3">
        <f t="shared" si="3"/>
        <v>0.10797177705451698</v>
      </c>
      <c r="K57" s="3">
        <f t="shared" si="3"/>
        <v>0.10753246632516118</v>
      </c>
      <c r="L57" s="3">
        <f t="shared" si="3"/>
        <v>0.15543240430133123</v>
      </c>
      <c r="M57" s="3">
        <f t="shared" si="3"/>
        <v>6.898417960604819E-2</v>
      </c>
      <c r="N57" s="3"/>
      <c r="O57" s="3">
        <f t="shared" si="3"/>
        <v>0.997683062665216</v>
      </c>
      <c r="P57" s="3">
        <f t="shared" si="3"/>
        <v>3.9176503240625689</v>
      </c>
      <c r="Q57" s="3">
        <f t="shared" si="3"/>
        <v>0.10550114392442293</v>
      </c>
      <c r="R57" s="3">
        <f t="shared" si="3"/>
        <v>2.4132339011851074</v>
      </c>
      <c r="S57" s="3">
        <f t="shared" si="3"/>
        <v>1.2101056158489014</v>
      </c>
      <c r="T57" s="3">
        <f t="shared" si="3"/>
        <v>1.1634411182368631</v>
      </c>
      <c r="U57" s="3">
        <f t="shared" si="3"/>
        <v>2.6311253993559247</v>
      </c>
      <c r="V57" s="3">
        <f t="shared" si="3"/>
        <v>1.3750133959295543</v>
      </c>
      <c r="W57" s="3"/>
      <c r="X57" s="3"/>
    </row>
    <row r="58" spans="1:24" x14ac:dyDescent="0.35">
      <c r="A58" t="s">
        <v>2</v>
      </c>
      <c r="B58" s="3">
        <f xml:space="preserve"> B57/SQRT(COUNT(B6:B53))</f>
        <v>3.0712026401181976E-2</v>
      </c>
      <c r="C58" s="3">
        <f t="shared" ref="C58:V58" si="4" xml:space="preserve"> C57/SQRT(COUNT(C6:C53))</f>
        <v>5.5626999473382788E-2</v>
      </c>
      <c r="D58" s="3">
        <f t="shared" si="4"/>
        <v>7.2459623098953554E-2</v>
      </c>
      <c r="E58" s="3">
        <f t="shared" si="4"/>
        <v>0.49096172156874646</v>
      </c>
      <c r="F58" s="3">
        <f t="shared" si="4"/>
        <v>0.87818956053338149</v>
      </c>
      <c r="G58" s="3">
        <f t="shared" si="4"/>
        <v>1.0633825578728027</v>
      </c>
      <c r="H58" s="3">
        <f t="shared" si="4"/>
        <v>1.8623597071701008</v>
      </c>
      <c r="I58" s="3">
        <f t="shared" si="4"/>
        <v>2.4954822183503166E-2</v>
      </c>
      <c r="J58" s="3">
        <f t="shared" si="4"/>
        <v>2.1594355410903397E-2</v>
      </c>
      <c r="K58" s="3">
        <f t="shared" si="4"/>
        <v>2.1949972773304988E-2</v>
      </c>
      <c r="L58" s="3">
        <f t="shared" si="4"/>
        <v>3.1727506669353235E-2</v>
      </c>
      <c r="M58" s="3">
        <f t="shared" si="4"/>
        <v>1.408133669661063E-2</v>
      </c>
      <c r="N58" s="3"/>
      <c r="O58" s="3">
        <f t="shared" si="4"/>
        <v>0.14400314619892318</v>
      </c>
      <c r="P58" s="3">
        <f t="shared" si="4"/>
        <v>0.79968702371687139</v>
      </c>
      <c r="Q58" s="3">
        <f t="shared" si="4"/>
        <v>2.1535330824563818E-2</v>
      </c>
      <c r="R58" s="3">
        <f t="shared" si="4"/>
        <v>0.48264678023702146</v>
      </c>
      <c r="S58" s="3">
        <f t="shared" si="4"/>
        <v>0.25232446343590931</v>
      </c>
      <c r="T58" s="3">
        <f t="shared" si="4"/>
        <v>0.23748642378778226</v>
      </c>
      <c r="U58" s="3">
        <f t="shared" si="4"/>
        <v>0.53707622314155257</v>
      </c>
      <c r="V58" s="3">
        <f t="shared" si="4"/>
        <v>0.28067343412657569</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Cefuroxime-0,001mg/L</v>
      </c>
      <c r="J62" s="3" t="str">
        <f t="shared" si="6"/>
        <v>Cefuroxime-0,01mg/L</v>
      </c>
      <c r="K62" s="3" t="str">
        <f t="shared" si="6"/>
        <v>Cefuroxime-0,1mg/L</v>
      </c>
      <c r="L62" s="3" t="str">
        <f t="shared" si="6"/>
        <v>Cefuroxime-1mg/L</v>
      </c>
      <c r="M62" s="3" t="str">
        <f t="shared" si="6"/>
        <v>Cefuroxime-10mg/L</v>
      </c>
      <c r="N62" s="3"/>
      <c r="O62" s="3" t="str">
        <f t="shared" si="6"/>
        <v>Testo -30µg/L</v>
      </c>
      <c r="P62" s="3" t="str">
        <f t="shared" si="6"/>
        <v>Testo 30µg/L + EE2 -64ng/L</v>
      </c>
      <c r="Q62" s="3" t="str">
        <f t="shared" si="6"/>
        <v>Testo 30µg/L + FAD-10µg/L</v>
      </c>
      <c r="R62" s="3" t="str">
        <f t="shared" si="6"/>
        <v>Cefuroxime-0,001mg/L + Testostérone</v>
      </c>
      <c r="S62" s="3" t="str">
        <f t="shared" si="6"/>
        <v>Cefuroxime-0,01mg/L + Testostérone</v>
      </c>
      <c r="T62" s="3" t="str">
        <f t="shared" si="6"/>
        <v>Cefuroxime-0,1mg/L + Testostérone</v>
      </c>
      <c r="U62" s="3" t="str">
        <f t="shared" si="6"/>
        <v>Cefuroxime-1mg/L + Testostérone</v>
      </c>
      <c r="V62" s="3" t="str">
        <f t="shared" si="6"/>
        <v>Cefuroxime-10mg/L + Testostérone</v>
      </c>
    </row>
    <row r="63" spans="1:24" s="1" customFormat="1" x14ac:dyDescent="0.35">
      <c r="A63" s="1" t="s">
        <v>49</v>
      </c>
      <c r="B63" s="3">
        <f>COUNT(B6:B53)</f>
        <v>24</v>
      </c>
      <c r="C63" s="3">
        <f t="shared" ref="C63:V63" si="7">COUNT(C6:C53)</f>
        <v>24</v>
      </c>
      <c r="D63" s="3">
        <f t="shared" si="7"/>
        <v>24</v>
      </c>
      <c r="E63" s="3">
        <f t="shared" si="7"/>
        <v>24</v>
      </c>
      <c r="F63" s="3">
        <f t="shared" si="7"/>
        <v>24</v>
      </c>
      <c r="G63" s="3">
        <f t="shared" si="7"/>
        <v>24</v>
      </c>
      <c r="H63" s="3">
        <f t="shared" si="7"/>
        <v>24</v>
      </c>
      <c r="I63" s="3">
        <f t="shared" si="7"/>
        <v>24</v>
      </c>
      <c r="J63" s="3">
        <f t="shared" si="7"/>
        <v>25</v>
      </c>
      <c r="K63" s="3">
        <f t="shared" si="7"/>
        <v>24</v>
      </c>
      <c r="L63" s="3">
        <f t="shared" si="7"/>
        <v>24</v>
      </c>
      <c r="M63" s="3">
        <f t="shared" si="7"/>
        <v>24</v>
      </c>
      <c r="N63" s="3"/>
      <c r="O63" s="3">
        <f t="shared" si="7"/>
        <v>48</v>
      </c>
      <c r="P63" s="3">
        <f t="shared" si="7"/>
        <v>24</v>
      </c>
      <c r="Q63" s="3">
        <f t="shared" si="7"/>
        <v>24</v>
      </c>
      <c r="R63" s="3">
        <f t="shared" si="7"/>
        <v>25</v>
      </c>
      <c r="S63" s="3">
        <f t="shared" si="7"/>
        <v>23</v>
      </c>
      <c r="T63" s="3">
        <f t="shared" si="7"/>
        <v>24</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4"/>
    <row r="72" spans="1:22" s="48" customFormat="1" ht="26.5" thickBot="1" x14ac:dyDescent="0.4">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Cefuroxime-0,001mg/L</v>
      </c>
      <c r="J74" s="46" t="str">
        <f t="shared" si="9"/>
        <v>Cefuroxime-0,01mg/L</v>
      </c>
      <c r="K74" s="46" t="str">
        <f t="shared" si="9"/>
        <v>Cefuroxime-0,1mg/L</v>
      </c>
      <c r="L74" s="46" t="str">
        <f t="shared" si="9"/>
        <v>Cefuroxime-1mg/L</v>
      </c>
      <c r="M74" s="46" t="str">
        <f t="shared" si="9"/>
        <v>Cefuroxime-10mg/L</v>
      </c>
      <c r="N74" s="46"/>
      <c r="O74" s="46" t="str">
        <f t="shared" ref="O74:V74" si="10">O4</f>
        <v>Testo -30µg/L</v>
      </c>
      <c r="P74" s="46" t="str">
        <f t="shared" si="10"/>
        <v>Testo 30µg/L + EE2 -64ng/L</v>
      </c>
      <c r="Q74" s="46" t="str">
        <f t="shared" si="10"/>
        <v>Testo 30µg/L + FAD-10µg/L</v>
      </c>
      <c r="R74" s="46" t="str">
        <f t="shared" si="10"/>
        <v>Cefuroxime-0,001mg/L + Testostérone</v>
      </c>
      <c r="S74" s="46" t="str">
        <f t="shared" si="10"/>
        <v>Cefuroxime-0,01mg/L + Testostérone</v>
      </c>
      <c r="T74" s="46" t="str">
        <f t="shared" si="10"/>
        <v>Cefuroxime-0,1mg/L + Testostérone</v>
      </c>
      <c r="U74" s="46" t="str">
        <f t="shared" si="10"/>
        <v>Cefuroxime-1mg/L + Testostérone</v>
      </c>
      <c r="V74" s="46" t="str">
        <f t="shared" si="10"/>
        <v>Cefuroxime-10mg/L + Testostérone</v>
      </c>
    </row>
    <row r="75" spans="1:22" s="3" customFormat="1" x14ac:dyDescent="0.35">
      <c r="A75" s="61" t="s">
        <v>32</v>
      </c>
      <c r="B75" s="141">
        <f>B56</f>
        <v>0.10119946185718116</v>
      </c>
      <c r="C75" s="141">
        <f t="shared" ref="C75:V75" si="11">C56</f>
        <v>0.17783878053003865</v>
      </c>
      <c r="D75" s="141">
        <f t="shared" si="11"/>
        <v>0.31657494000612535</v>
      </c>
      <c r="E75" s="141">
        <f t="shared" si="11"/>
        <v>2.1085051743502969</v>
      </c>
      <c r="F75" s="141">
        <f t="shared" si="11"/>
        <v>4.5404716190190131</v>
      </c>
      <c r="G75" s="141">
        <f t="shared" si="11"/>
        <v>7.0768578511721154</v>
      </c>
      <c r="H75" s="141">
        <f t="shared" si="11"/>
        <v>10.315400223800392</v>
      </c>
      <c r="I75" s="141">
        <f t="shared" si="11"/>
        <v>0.12462479902465139</v>
      </c>
      <c r="J75" s="141">
        <f t="shared" si="11"/>
        <v>9.3696696004213584E-2</v>
      </c>
      <c r="K75" s="141">
        <f t="shared" si="11"/>
        <v>0.10125908646081828</v>
      </c>
      <c r="L75" s="141">
        <f t="shared" si="11"/>
        <v>0.12004147495821497</v>
      </c>
      <c r="M75" s="141">
        <f t="shared" si="11"/>
        <v>7.932206758628714E-2</v>
      </c>
      <c r="N75" s="141"/>
      <c r="O75" s="141">
        <f t="shared" si="11"/>
        <v>1.0000000000000002</v>
      </c>
      <c r="P75" s="141">
        <f t="shared" si="11"/>
        <v>5.8404807240259808</v>
      </c>
      <c r="Q75" s="141">
        <f t="shared" si="11"/>
        <v>0.11034480906674397</v>
      </c>
      <c r="R75" s="141">
        <f t="shared" si="11"/>
        <v>1.7958463684876702</v>
      </c>
      <c r="S75" s="141">
        <f t="shared" si="11"/>
        <v>0.92582622885313515</v>
      </c>
      <c r="T75" s="141">
        <f t="shared" si="11"/>
        <v>1.1539971142514385</v>
      </c>
      <c r="U75" s="141">
        <f t="shared" si="11"/>
        <v>1.4642888607937319</v>
      </c>
      <c r="V75" s="141">
        <f t="shared" si="11"/>
        <v>1.4563375963639018</v>
      </c>
    </row>
    <row r="76" spans="1:22" s="3" customFormat="1" x14ac:dyDescent="0.35">
      <c r="A76" s="61" t="s">
        <v>2</v>
      </c>
      <c r="B76" s="141">
        <f>B58</f>
        <v>3.0712026401181976E-2</v>
      </c>
      <c r="C76" s="141">
        <f t="shared" ref="C76:V76" si="12">C58</f>
        <v>5.5626999473382788E-2</v>
      </c>
      <c r="D76" s="141">
        <f t="shared" si="12"/>
        <v>7.2459623098953554E-2</v>
      </c>
      <c r="E76" s="141">
        <f t="shared" si="12"/>
        <v>0.49096172156874646</v>
      </c>
      <c r="F76" s="141">
        <f t="shared" si="12"/>
        <v>0.87818956053338149</v>
      </c>
      <c r="G76" s="141">
        <f t="shared" si="12"/>
        <v>1.0633825578728027</v>
      </c>
      <c r="H76" s="141">
        <f t="shared" si="12"/>
        <v>1.8623597071701008</v>
      </c>
      <c r="I76" s="141">
        <f t="shared" si="12"/>
        <v>2.4954822183503166E-2</v>
      </c>
      <c r="J76" s="141">
        <f t="shared" si="12"/>
        <v>2.1594355410903397E-2</v>
      </c>
      <c r="K76" s="141">
        <f t="shared" si="12"/>
        <v>2.1949972773304988E-2</v>
      </c>
      <c r="L76" s="141">
        <f t="shared" si="12"/>
        <v>3.1727506669353235E-2</v>
      </c>
      <c r="M76" s="141">
        <f t="shared" si="12"/>
        <v>1.408133669661063E-2</v>
      </c>
      <c r="N76" s="141"/>
      <c r="O76" s="141">
        <f t="shared" si="12"/>
        <v>0.14400314619892318</v>
      </c>
      <c r="P76" s="141">
        <f t="shared" si="12"/>
        <v>0.79968702371687139</v>
      </c>
      <c r="Q76" s="141">
        <f t="shared" si="12"/>
        <v>2.1535330824563818E-2</v>
      </c>
      <c r="R76" s="141">
        <f t="shared" si="12"/>
        <v>0.48264678023702146</v>
      </c>
      <c r="S76" s="141">
        <f t="shared" si="12"/>
        <v>0.25232446343590931</v>
      </c>
      <c r="T76" s="141">
        <f t="shared" si="12"/>
        <v>0.23748642378778226</v>
      </c>
      <c r="U76" s="141">
        <f t="shared" si="12"/>
        <v>0.53707622314155257</v>
      </c>
      <c r="V76" s="141">
        <f t="shared" si="12"/>
        <v>0.28067343412657569</v>
      </c>
    </row>
    <row r="77" spans="1:22" s="3" customFormat="1" x14ac:dyDescent="0.35">
      <c r="A77" s="61" t="s">
        <v>79</v>
      </c>
      <c r="B77" s="141">
        <f>(B75*100/$B$75)-100</f>
        <v>0</v>
      </c>
      <c r="C77" s="141">
        <f t="shared" ref="C77:M77" si="13">(C75*100/$B$75)-100</f>
        <v>75.730954756474432</v>
      </c>
      <c r="D77" s="141">
        <f t="shared" si="13"/>
        <v>212.8227504340835</v>
      </c>
      <c r="E77" s="141">
        <f t="shared" si="13"/>
        <v>1983.5142160399505</v>
      </c>
      <c r="F77" s="141">
        <f t="shared" si="13"/>
        <v>4386.6558929204612</v>
      </c>
      <c r="G77" s="141">
        <f t="shared" si="13"/>
        <v>6892.9797266702944</v>
      </c>
      <c r="H77" s="141">
        <f t="shared" si="13"/>
        <v>10093.137428297901</v>
      </c>
      <c r="I77" s="141">
        <f t="shared" si="13"/>
        <v>23.147689461560077</v>
      </c>
      <c r="J77" s="141">
        <f t="shared" si="13"/>
        <v>-7.4138396739262618</v>
      </c>
      <c r="K77" s="141">
        <f t="shared" si="13"/>
        <v>5.8917905829645179E-2</v>
      </c>
      <c r="L77" s="141">
        <f t="shared" si="13"/>
        <v>18.618689027837718</v>
      </c>
      <c r="M77" s="141">
        <f t="shared" si="13"/>
        <v>-21.618093485288227</v>
      </c>
      <c r="N77" s="141"/>
      <c r="O77" s="141">
        <f>(O75*100/$O$75)-100</f>
        <v>0</v>
      </c>
      <c r="P77" s="141">
        <f t="shared" ref="P77:V77" si="14">(P75*100/$O$75)-100</f>
        <v>484.048072402598</v>
      </c>
      <c r="Q77" s="141">
        <f t="shared" si="14"/>
        <v>-88.965519093325611</v>
      </c>
      <c r="R77" s="141">
        <f t="shared" si="14"/>
        <v>79.584636848766991</v>
      </c>
      <c r="S77" s="141">
        <f t="shared" si="14"/>
        <v>-7.4173771146865022</v>
      </c>
      <c r="T77" s="141">
        <f t="shared" si="14"/>
        <v>15.399711425143821</v>
      </c>
      <c r="U77" s="141">
        <f t="shared" si="14"/>
        <v>46.428886079373171</v>
      </c>
      <c r="V77" s="141">
        <f t="shared" si="14"/>
        <v>45.633759636390153</v>
      </c>
    </row>
    <row r="78" spans="1:22" s="3" customFormat="1" x14ac:dyDescent="0.35">
      <c r="A78" s="61" t="s">
        <v>81</v>
      </c>
      <c r="B78" s="141">
        <f>[1]!DPTEST(B6:B53)</f>
        <v>6.349398784522009E-11</v>
      </c>
      <c r="C78" s="141">
        <f>[1]!DPTEST(C6:C53)</f>
        <v>3.0246904980657519E-10</v>
      </c>
      <c r="D78" s="141">
        <f>[1]!DPTEST(D6:D53)</f>
        <v>3.9753027127198415E-4</v>
      </c>
      <c r="E78" s="141">
        <f>[1]!DPTEST(E6:E53)</f>
        <v>3.0432467808996111E-2</v>
      </c>
      <c r="F78" s="141">
        <f>[1]!DPTEST(F6:F53)</f>
        <v>0.1004778732589704</v>
      </c>
      <c r="G78" s="141">
        <f>[1]!DPTEST(G6:G53)</f>
        <v>4.5331828860538215E-2</v>
      </c>
      <c r="H78" s="141">
        <f>[1]!DPTEST(H6:H53)</f>
        <v>8.3595506400001796E-2</v>
      </c>
      <c r="I78" s="141" t="e">
        <f ca="1">[1]!DPTEST(I6:I53)</f>
        <v>#NAME?</v>
      </c>
      <c r="J78" s="141">
        <f>[1]!DPTEST(J6:J53)</f>
        <v>7.1076205143683069E-8</v>
      </c>
      <c r="K78" s="141">
        <f>[1]!DPTEST(K6:K53)</f>
        <v>4.3176601108863011E-6</v>
      </c>
      <c r="L78" s="141">
        <f>[1]!DPTEST(L6:L53)</f>
        <v>3.4031024254144171E-7</v>
      </c>
      <c r="M78" s="141">
        <f>[1]!DPTEST(M6:M53)</f>
        <v>3.5324386444507416E-2</v>
      </c>
      <c r="N78" s="141"/>
      <c r="O78" s="141">
        <f>[1]!DPTEST(O6:O53)</f>
        <v>5.1130261847776026E-6</v>
      </c>
      <c r="P78" s="141">
        <f>[1]!DPTEST(P6:P53)</f>
        <v>0.16469413595848537</v>
      </c>
      <c r="Q78" s="141">
        <f>[1]!DPTEST(Q6:Q53)</f>
        <v>5.2804795625753798E-3</v>
      </c>
      <c r="R78" s="141" t="e">
        <f ca="1">[1]!DPTEST(R6:R53)</f>
        <v>#NAME?</v>
      </c>
      <c r="S78" s="141">
        <f>[1]!DPTEST(S6:S53)</f>
        <v>4.0910406763531304E-3</v>
      </c>
      <c r="T78" s="141">
        <f>[1]!DPTEST(T6:T53)</f>
        <v>1.5489547482266719E-2</v>
      </c>
      <c r="U78" s="141">
        <f>[1]!DPTEST(U6:U53)</f>
        <v>9.7981622815268565E-12</v>
      </c>
      <c r="V78" s="141">
        <f>[1]!DPTEST(V6:V53)</f>
        <v>4.6582968402530955E-4</v>
      </c>
    </row>
    <row r="79" spans="1:22" s="3" customFormat="1" x14ac:dyDescent="0.35">
      <c r="A79" s="61" t="s">
        <v>85</v>
      </c>
      <c r="B79" s="141" t="str">
        <f>IF(B78&gt;0.05,"Oui","Non")</f>
        <v>Non</v>
      </c>
      <c r="C79" s="141" t="str">
        <f t="shared" ref="C79:V79" si="15">IF(C78&gt;0.05,"Oui","Non")</f>
        <v>Non</v>
      </c>
      <c r="D79" s="141" t="str">
        <f t="shared" si="15"/>
        <v>Non</v>
      </c>
      <c r="E79" s="141" t="str">
        <f t="shared" si="15"/>
        <v>Non</v>
      </c>
      <c r="F79" s="141" t="str">
        <f t="shared" si="15"/>
        <v>Oui</v>
      </c>
      <c r="G79" s="141" t="str">
        <f t="shared" si="15"/>
        <v>Non</v>
      </c>
      <c r="H79" s="141" t="str">
        <f t="shared" si="15"/>
        <v>Oui</v>
      </c>
      <c r="I79" s="141" t="e">
        <f t="shared" ca="1" si="15"/>
        <v>#NAME?</v>
      </c>
      <c r="J79" s="141" t="str">
        <f t="shared" si="15"/>
        <v>Non</v>
      </c>
      <c r="K79" s="141" t="str">
        <f t="shared" si="15"/>
        <v>Non</v>
      </c>
      <c r="L79" s="141" t="str">
        <f t="shared" si="15"/>
        <v>Non</v>
      </c>
      <c r="M79" s="141" t="str">
        <f t="shared" si="15"/>
        <v>Non</v>
      </c>
      <c r="N79" s="141"/>
      <c r="O79" s="141" t="str">
        <f t="shared" si="15"/>
        <v>Non</v>
      </c>
      <c r="P79" s="141" t="str">
        <f t="shared" si="15"/>
        <v>Oui</v>
      </c>
      <c r="Q79" s="141" t="str">
        <f t="shared" si="15"/>
        <v>Non</v>
      </c>
      <c r="R79" s="141" t="e">
        <f t="shared" ca="1" si="15"/>
        <v>#NAME?</v>
      </c>
      <c r="S79" s="141" t="str">
        <f t="shared" si="15"/>
        <v>Non</v>
      </c>
      <c r="T79" s="141" t="str">
        <f t="shared" si="15"/>
        <v>Non</v>
      </c>
      <c r="U79" s="141" t="str">
        <f t="shared" si="15"/>
        <v>Non</v>
      </c>
      <c r="V79" s="141" t="str">
        <f t="shared" si="15"/>
        <v>Non</v>
      </c>
    </row>
    <row r="80" spans="1:22" s="3" customFormat="1" x14ac:dyDescent="0.35">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5">
      <c r="A81" s="61" t="s">
        <v>82</v>
      </c>
      <c r="B81" s="141"/>
      <c r="C81" s="141" t="s">
        <v>173</v>
      </c>
      <c r="D81" s="141" t="s">
        <v>173</v>
      </c>
      <c r="E81" s="141" t="s">
        <v>173</v>
      </c>
      <c r="F81" s="141" t="s">
        <v>173</v>
      </c>
      <c r="G81" s="141" t="s">
        <v>173</v>
      </c>
      <c r="H81" s="141" t="s">
        <v>173</v>
      </c>
      <c r="I81" s="141" t="s">
        <v>173</v>
      </c>
      <c r="J81" s="141" t="s">
        <v>173</v>
      </c>
      <c r="K81" s="141" t="s">
        <v>173</v>
      </c>
      <c r="L81" s="141" t="s">
        <v>173</v>
      </c>
      <c r="M81" s="141" t="s">
        <v>173</v>
      </c>
      <c r="N81" s="141"/>
      <c r="O81" s="141" t="str">
        <f>IF($B79="Non",IF(O79="Non","Mann Withney",IF(O79="Oui","Mann Withney","")),IF($B79="Oui",IF(O79="Oui","T-Test Welch",IF(O79="Non","Mann Withney",""))))</f>
        <v>Mann Withney</v>
      </c>
      <c r="P81" s="141" t="str">
        <f t="shared" ref="P81:Q81" si="16">IF($O79="Non",IF(P79="Non","Mann Withney",IF(P$79="Oui","Mann Withney","")),IF($O79="Oui",IF(P79="Oui","T-Test Welch",IF(P79="Non","Mann Withney",""))))</f>
        <v>Mann Withney</v>
      </c>
      <c r="Q81" s="141" t="str">
        <f t="shared" si="16"/>
        <v>Mann Withney</v>
      </c>
      <c r="R81" s="141" t="s">
        <v>173</v>
      </c>
      <c r="S81" s="141" t="s">
        <v>173</v>
      </c>
      <c r="T81" s="141" t="s">
        <v>173</v>
      </c>
      <c r="U81" s="141" t="s">
        <v>173</v>
      </c>
      <c r="V81" s="141" t="s">
        <v>173</v>
      </c>
    </row>
    <row r="82" spans="1:22" s="3" customFormat="1" x14ac:dyDescent="0.35">
      <c r="A82" s="61" t="s">
        <v>83</v>
      </c>
      <c r="B82" s="141"/>
      <c r="C82" s="141" t="s">
        <v>170</v>
      </c>
      <c r="D82" s="141">
        <v>0.66</v>
      </c>
      <c r="E82" s="141" t="s">
        <v>172</v>
      </c>
      <c r="F82" s="141" t="s">
        <v>172</v>
      </c>
      <c r="G82" s="141" t="s">
        <v>172</v>
      </c>
      <c r="H82" s="141" t="s">
        <v>172</v>
      </c>
      <c r="I82" s="141" t="s">
        <v>170</v>
      </c>
      <c r="J82" s="141" t="s">
        <v>170</v>
      </c>
      <c r="K82" s="141" t="s">
        <v>170</v>
      </c>
      <c r="L82" s="141" t="s">
        <v>170</v>
      </c>
      <c r="M82" s="141" t="s">
        <v>170</v>
      </c>
      <c r="N82" s="141"/>
      <c r="O82" s="141">
        <f>IF(O81="Mann Withney",[1]!MTEST($B6:$B53,O6:O53,2), IF(O81="T-Test Welch",_xlfn.T.TEST($B6:$B53,O6:O53,2,3),""))</f>
        <v>7.943248947483994E-9</v>
      </c>
      <c r="P82" s="141">
        <f>IF(P81="Mann Withney",[1]!MTEST($O6:$O53,P6:P53,2), IF(P81="T-Test Welch",_xlfn.T.TEST($O6:$O53,P6:P53,2,3),""))</f>
        <v>4.5024761696765836E-10</v>
      </c>
      <c r="Q82" s="141">
        <f>IF(Q81="Mann Withney",[1]!MTEST($O6:$O53,Q6:Q53,2), IF(Q81="T-Test Welch",_xlfn.T.TEST($O6:$O53,Q6:Q53,2,3),""))</f>
        <v>2.4255855324284425E-8</v>
      </c>
      <c r="R82" s="141" t="s">
        <v>170</v>
      </c>
      <c r="S82" s="141" t="s">
        <v>170</v>
      </c>
      <c r="T82" s="141" t="s">
        <v>170</v>
      </c>
      <c r="U82" s="141" t="s">
        <v>170</v>
      </c>
      <c r="V82" s="141">
        <v>0.72</v>
      </c>
    </row>
    <row r="83" spans="1:22" s="3" customFormat="1" ht="15" thickBot="1" x14ac:dyDescent="0.4">
      <c r="A83" s="62" t="s">
        <v>84</v>
      </c>
      <c r="B83" s="142"/>
      <c r="C83" s="142" t="s">
        <v>169</v>
      </c>
      <c r="D83" s="142" t="s">
        <v>169</v>
      </c>
      <c r="E83" s="142" t="s">
        <v>171</v>
      </c>
      <c r="F83" s="142" t="s">
        <v>171</v>
      </c>
      <c r="G83" s="142" t="s">
        <v>171</v>
      </c>
      <c r="H83" s="142" t="s">
        <v>171</v>
      </c>
      <c r="I83" s="142" t="s">
        <v>169</v>
      </c>
      <c r="J83" s="142" t="s">
        <v>169</v>
      </c>
      <c r="K83" s="142" t="s">
        <v>169</v>
      </c>
      <c r="L83" s="142" t="s">
        <v>169</v>
      </c>
      <c r="M83" s="142" t="s">
        <v>169</v>
      </c>
      <c r="N83" s="142"/>
      <c r="O83" s="142" t="str">
        <f t="shared" ref="O83" si="17">IF(O82&gt;0.05,"NS",IF(O82&gt;0.01,"*",IF(O82&gt;0.001,"**","***")))</f>
        <v>***</v>
      </c>
      <c r="P83" s="142" t="str">
        <f t="shared" ref="P83" si="18">IF(P82&gt;0.05,"NS",IF(P82&gt;0.01,"*",IF(P82&gt;0.001,"**","***")))</f>
        <v>***</v>
      </c>
      <c r="Q83" s="142" t="str">
        <f t="shared" ref="Q83" si="19">IF(Q82&gt;0.05,"NS",IF(Q82&gt;0.01,"*",IF(Q82&gt;0.001,"**","***")))</f>
        <v>***</v>
      </c>
      <c r="R83" s="142" t="s">
        <v>169</v>
      </c>
      <c r="S83" s="142" t="s">
        <v>169</v>
      </c>
      <c r="T83" s="142" t="s">
        <v>169</v>
      </c>
      <c r="U83" s="142" t="s">
        <v>169</v>
      </c>
      <c r="V83" s="142" t="s">
        <v>169</v>
      </c>
    </row>
    <row r="84" spans="1:22" s="1" customFormat="1" x14ac:dyDescent="0.35"/>
    <row r="85" spans="1:22" s="1" customFormat="1" x14ac:dyDescent="0.35">
      <c r="A85" s="2" t="s">
        <v>39</v>
      </c>
    </row>
    <row r="86" spans="1:22" x14ac:dyDescent="0.35">
      <c r="A86" s="1" t="s">
        <v>23</v>
      </c>
      <c r="B86" s="1">
        <f>B56+(3*B57)</f>
        <v>0.55257222375586967</v>
      </c>
    </row>
    <row r="87" spans="1:22" x14ac:dyDescent="0.35">
      <c r="A87" s="1" t="s">
        <v>24</v>
      </c>
      <c r="B87" s="1">
        <f>B56+(10*B57)</f>
        <v>1.6057753348528094</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5">
      <c r="B94" s="1">
        <f t="shared" ref="B94:V94" si="20">B75/$B$75</f>
        <v>1</v>
      </c>
      <c r="C94" s="1">
        <f t="shared" si="20"/>
        <v>1.7573095475647444</v>
      </c>
      <c r="D94" s="1">
        <f t="shared" si="20"/>
        <v>3.1282275043408347</v>
      </c>
      <c r="E94" s="1">
        <f t="shared" si="20"/>
        <v>20.835142160399506</v>
      </c>
      <c r="F94" s="1">
        <f t="shared" si="20"/>
        <v>44.866558929204615</v>
      </c>
      <c r="G94" s="1">
        <f t="shared" si="20"/>
        <v>69.929797266702934</v>
      </c>
      <c r="H94" s="1">
        <f>H75/$B$75</f>
        <v>101.93137428297902</v>
      </c>
      <c r="I94" s="1">
        <f t="shared" si="20"/>
        <v>1.2314768946156007</v>
      </c>
      <c r="J94" s="1">
        <f t="shared" si="20"/>
        <v>0.9258616032607373</v>
      </c>
      <c r="K94" s="1">
        <f t="shared" si="20"/>
        <v>1.0005891790582964</v>
      </c>
      <c r="L94" s="1">
        <f t="shared" si="20"/>
        <v>1.1861868902783772</v>
      </c>
      <c r="M94" s="1">
        <f t="shared" si="20"/>
        <v>0.78381906514711774</v>
      </c>
      <c r="N94" s="1">
        <f t="shared" si="20"/>
        <v>0</v>
      </c>
      <c r="O94" s="1">
        <f t="shared" si="20"/>
        <v>9.8814754708010302</v>
      </c>
      <c r="P94" s="1">
        <f t="shared" si="20"/>
        <v>57.712567012148966</v>
      </c>
      <c r="Q94" s="1">
        <f t="shared" si="20"/>
        <v>1.0903695241232536</v>
      </c>
      <c r="R94" s="1">
        <f t="shared" si="20"/>
        <v>17.745611839538018</v>
      </c>
      <c r="S94" s="1">
        <f t="shared" si="20"/>
        <v>9.1485291706364755</v>
      </c>
      <c r="T94" s="1">
        <f t="shared" si="20"/>
        <v>11.403194177850761</v>
      </c>
      <c r="U94" s="1">
        <f t="shared" si="20"/>
        <v>14.469334460100445</v>
      </c>
      <c r="V94" s="1">
        <f t="shared" si="20"/>
        <v>14.390764235675226</v>
      </c>
    </row>
    <row r="98" spans="5:28" x14ac:dyDescent="0.35">
      <c r="E98" s="1"/>
      <c r="F98" s="1"/>
    </row>
    <row r="99" spans="5:28" x14ac:dyDescent="0.35">
      <c r="E99" s="1"/>
      <c r="F99" s="1"/>
    </row>
    <row r="100" spans="5:28" x14ac:dyDescent="0.35">
      <c r="E100" s="1"/>
      <c r="F100" s="1"/>
      <c r="H100" s="1"/>
      <c r="I100" s="1"/>
      <c r="J100" s="1"/>
      <c r="K100" s="1"/>
      <c r="L100" s="1"/>
      <c r="M100" s="1"/>
      <c r="N100" s="1"/>
      <c r="O100" s="1"/>
      <c r="P100" s="1"/>
      <c r="Q100" s="1"/>
      <c r="R100" s="1"/>
      <c r="S100" s="1"/>
      <c r="T100" s="1"/>
      <c r="U100" s="1"/>
      <c r="V100" s="1"/>
      <c r="W100" s="1"/>
      <c r="X100" s="1"/>
      <c r="Y100" s="1"/>
      <c r="Z100" s="1"/>
      <c r="AA100" s="1"/>
      <c r="AB100" s="1"/>
    </row>
    <row r="101" spans="5:28" x14ac:dyDescent="0.35">
      <c r="E101" s="1"/>
      <c r="F101" s="1"/>
      <c r="H101" s="1"/>
      <c r="I101" s="1"/>
      <c r="J101" s="1"/>
      <c r="K101" s="1"/>
      <c r="L101" s="1"/>
      <c r="M101" s="1"/>
      <c r="N101" s="1"/>
      <c r="O101" s="1"/>
      <c r="P101" s="1"/>
      <c r="Q101" s="1"/>
      <c r="R101" s="1"/>
      <c r="S101" s="1"/>
      <c r="T101" s="1"/>
      <c r="U101" s="1"/>
      <c r="V101" s="1"/>
      <c r="W101" s="1"/>
      <c r="X101" s="1"/>
      <c r="Y101" s="1"/>
      <c r="Z101" s="1"/>
      <c r="AA101" s="1"/>
      <c r="AB101" s="1"/>
    </row>
    <row r="102" spans="5:28" x14ac:dyDescent="0.35">
      <c r="E102" s="1"/>
      <c r="F102" s="1"/>
    </row>
    <row r="103" spans="5:28" x14ac:dyDescent="0.35">
      <c r="E103" s="1"/>
      <c r="F103" s="1"/>
    </row>
    <row r="104" spans="5:28" x14ac:dyDescent="0.35">
      <c r="E104" s="1"/>
      <c r="F104" s="1"/>
    </row>
    <row r="105" spans="5:28" x14ac:dyDescent="0.35">
      <c r="E105" s="1"/>
      <c r="F105" s="1"/>
    </row>
    <row r="106" spans="5:28" x14ac:dyDescent="0.35">
      <c r="E106" s="1"/>
      <c r="F106" s="1"/>
    </row>
    <row r="107" spans="5:28" x14ac:dyDescent="0.35">
      <c r="E107" s="1"/>
      <c r="F107" s="1"/>
    </row>
    <row r="108" spans="5:28" x14ac:dyDescent="0.35">
      <c r="E108" s="1"/>
      <c r="F108" s="1"/>
    </row>
    <row r="114" spans="5:6" x14ac:dyDescent="0.35">
      <c r="E114" s="1"/>
      <c r="F114" s="1"/>
    </row>
    <row r="115" spans="5:6" x14ac:dyDescent="0.35">
      <c r="E115" s="1"/>
      <c r="F115" s="1"/>
    </row>
    <row r="116" spans="5:6" x14ac:dyDescent="0.35">
      <c r="E116" s="1"/>
      <c r="F116" s="1"/>
    </row>
    <row r="117" spans="5:6" x14ac:dyDescent="0.35">
      <c r="E117" s="1"/>
      <c r="F117" s="1"/>
    </row>
    <row r="118" spans="5:6" x14ac:dyDescent="0.35">
      <c r="E118" s="1"/>
      <c r="F118"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8" t="s">
        <v>104</v>
      </c>
      <c r="B1" s="229"/>
      <c r="C1" s="229"/>
      <c r="D1" s="229"/>
      <c r="E1" s="229"/>
      <c r="F1" s="229"/>
      <c r="G1" s="229"/>
      <c r="H1" s="229"/>
      <c r="I1" s="229"/>
      <c r="J1" s="229"/>
      <c r="K1" s="229"/>
      <c r="L1" s="229"/>
      <c r="M1" s="229"/>
      <c r="N1" s="229"/>
      <c r="O1" s="230"/>
    </row>
    <row r="2" spans="1:15" s="48" customFormat="1" ht="26.5" thickBot="1" x14ac:dyDescent="0.4">
      <c r="A2" s="228" t="s">
        <v>105</v>
      </c>
      <c r="B2" s="229"/>
      <c r="C2" s="229"/>
      <c r="D2" s="229"/>
      <c r="E2" s="229"/>
      <c r="F2" s="229"/>
      <c r="G2" s="229"/>
      <c r="H2" s="229"/>
      <c r="I2" s="229"/>
      <c r="J2" s="229"/>
      <c r="K2" s="229"/>
      <c r="L2" s="229"/>
      <c r="M2" s="229"/>
      <c r="N2" s="229"/>
      <c r="O2" s="230"/>
    </row>
    <row r="3" spans="1:15" s="76" customFormat="1" ht="15.5" x14ac:dyDescent="0.35">
      <c r="H3" s="77"/>
      <c r="I3" s="77"/>
      <c r="J3" s="77"/>
      <c r="K3" s="77"/>
      <c r="L3" s="77"/>
      <c r="M3" s="77"/>
      <c r="N3" s="77"/>
    </row>
    <row r="4" spans="1:15" s="76" customFormat="1" ht="15.5" x14ac:dyDescent="0.35">
      <c r="O4"/>
    </row>
    <row r="5" spans="1:15" s="76" customFormat="1" ht="45.75" customHeight="1" thickBot="1" x14ac:dyDescent="0.4">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5" x14ac:dyDescent="0.35">
      <c r="A6" s="79" t="s">
        <v>28</v>
      </c>
      <c r="B6" s="99">
        <v>64</v>
      </c>
      <c r="C6" s="79"/>
      <c r="D6" s="79"/>
      <c r="E6" s="89"/>
      <c r="F6" s="90"/>
      <c r="G6" s="128">
        <f>IF(F6="NS","NC",ROUND(B6,2-(1+INT(LOG10(ABS(B6))))))</f>
        <v>64</v>
      </c>
      <c r="H6" s="120"/>
      <c r="I6" s="120"/>
      <c r="J6" s="121"/>
      <c r="K6" s="122"/>
      <c r="L6" s="124"/>
      <c r="M6" s="121"/>
      <c r="N6" s="91"/>
      <c r="O6"/>
    </row>
    <row r="7" spans="1:15" s="76" customFormat="1" ht="15.5" x14ac:dyDescent="0.35">
      <c r="A7" s="79" t="str">
        <f>'Page de garde'!A15</f>
        <v>Cefuroxime-0,001mg/L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Cefuroxime-0,001mg/L : 0%</v>
      </c>
      <c r="O7"/>
    </row>
    <row r="8" spans="1:15" s="76" customFormat="1" ht="15.5" x14ac:dyDescent="0.35">
      <c r="A8" s="79" t="str">
        <f>'Page de garde'!A16</f>
        <v>Cefuroxime-0,01mg/L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Cefuroxime-0,01mg/L : 0%</v>
      </c>
      <c r="O8"/>
    </row>
    <row r="9" spans="1:15" s="76" customFormat="1" ht="15.5" x14ac:dyDescent="0.35">
      <c r="A9" s="79" t="str">
        <f>'Page de garde'!A17</f>
        <v>Cefuroxime-0,1mg/L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Cefuroxime-0,1mg/L : 0%</v>
      </c>
      <c r="O9"/>
    </row>
    <row r="10" spans="1:15" s="76" customFormat="1" ht="15.5" x14ac:dyDescent="0.35">
      <c r="A10" s="79" t="str">
        <f>'Page de garde'!A18</f>
        <v>Cefuroxime-1mg/L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Cefuroxime-1mg/L : 0%</v>
      </c>
      <c r="O10"/>
    </row>
    <row r="11" spans="1:15" s="76" customFormat="1" ht="15.5" x14ac:dyDescent="0.35">
      <c r="A11" s="79" t="str">
        <f>'Page de garde'!A19</f>
        <v>Cefuroxime-10mg/L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Cefuroxime-10mg/L : 0%</v>
      </c>
      <c r="O11"/>
    </row>
    <row r="12" spans="1:15" s="76" customFormat="1" ht="15.5" x14ac:dyDescent="0.3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5" x14ac:dyDescent="0.3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5" x14ac:dyDescent="0.3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5" x14ac:dyDescent="0.3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5" x14ac:dyDescent="0.3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5" x14ac:dyDescent="0.3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5" x14ac:dyDescent="0.3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5" x14ac:dyDescent="0.3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5" x14ac:dyDescent="0.3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5" x14ac:dyDescent="0.3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5" x14ac:dyDescent="0.3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5" x14ac:dyDescent="0.3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5" x14ac:dyDescent="0.3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5" x14ac:dyDescent="0.3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5" x14ac:dyDescent="0.3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5" x14ac:dyDescent="0.35">
      <c r="A27"/>
      <c r="B27"/>
      <c r="C27"/>
      <c r="D27"/>
      <c r="E27"/>
      <c r="F27"/>
      <c r="G27"/>
      <c r="H27"/>
      <c r="I27"/>
      <c r="J27"/>
      <c r="K27"/>
      <c r="L27"/>
      <c r="M27"/>
      <c r="N27"/>
      <c r="O27" s="1"/>
    </row>
    <row r="28" spans="1:15" s="76" customFormat="1" ht="31.5" thickBot="1" x14ac:dyDescent="0.4">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5" x14ac:dyDescent="0.35">
      <c r="A29" s="83" t="s">
        <v>29</v>
      </c>
      <c r="B29" s="99"/>
      <c r="C29" s="79"/>
      <c r="D29" s="79"/>
      <c r="E29" s="81"/>
      <c r="F29" s="90"/>
      <c r="G29" s="133"/>
      <c r="H29" s="120"/>
      <c r="I29" s="120"/>
      <c r="J29" s="121"/>
      <c r="K29" s="122"/>
      <c r="L29" s="124"/>
      <c r="M29" s="121"/>
      <c r="N29" s="91"/>
      <c r="O29"/>
    </row>
    <row r="30" spans="1:15" s="76" customFormat="1" ht="15.5" x14ac:dyDescent="0.35">
      <c r="A30" s="83" t="s">
        <v>31</v>
      </c>
      <c r="B30" s="99"/>
      <c r="C30" s="79"/>
      <c r="D30" s="79"/>
      <c r="E30" s="81"/>
      <c r="F30" s="90"/>
      <c r="G30" s="132" t="e">
        <f>IF(F30="NS","NC",ROUND(B30-$B$29,2-(1+INT(LOG10(ABS(B30-$B$29))))))</f>
        <v>#NUM!</v>
      </c>
      <c r="H30" s="120"/>
      <c r="I30" s="133"/>
      <c r="J30" s="134"/>
      <c r="K30" s="135"/>
      <c r="L30" s="134"/>
      <c r="M30" s="134"/>
      <c r="N30" s="136"/>
      <c r="O30"/>
    </row>
    <row r="31" spans="1:15" s="76" customFormat="1" ht="15.5" x14ac:dyDescent="0.3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5" x14ac:dyDescent="0.35">
      <c r="A32" s="127" t="str">
        <f>'Page de garde'!A39</f>
        <v>Cefuroxime-0,001mg/L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Cefuroxime-0,001mg/L : 0%</v>
      </c>
    </row>
    <row r="33" spans="1:14" s="76" customFormat="1" ht="15.5" x14ac:dyDescent="0.35">
      <c r="A33" s="127" t="str">
        <f>'Page de garde'!A40</f>
        <v>Cefuroxime-0,01mg/L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Cefuroxime-0,01mg/L : 0%</v>
      </c>
    </row>
    <row r="34" spans="1:14" s="76" customFormat="1" ht="15.5" x14ac:dyDescent="0.35">
      <c r="A34" s="127" t="str">
        <f>'Page de garde'!A41</f>
        <v>Cefuroxime-0,1mg/L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Cefuroxime-0,1mg/L : 0%</v>
      </c>
    </row>
    <row r="35" spans="1:14" s="76" customFormat="1" ht="15.5" x14ac:dyDescent="0.35">
      <c r="A35" s="127" t="str">
        <f>'Page de garde'!A42</f>
        <v>Cefuroxime-1mg/L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Cefuroxime-1mg/L : 0%</v>
      </c>
    </row>
    <row r="36" spans="1:14" s="76" customFormat="1" ht="15.5" x14ac:dyDescent="0.35">
      <c r="A36" s="127" t="str">
        <f>'Page de garde'!A43</f>
        <v>Cefuroxime-10mg/L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Cefuroxime-10mg/L : 0%</v>
      </c>
    </row>
    <row r="37" spans="1:14" s="76" customFormat="1" ht="15.5" x14ac:dyDescent="0.3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5" x14ac:dyDescent="0.3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5" x14ac:dyDescent="0.3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5" x14ac:dyDescent="0.3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5" x14ac:dyDescent="0.3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5" x14ac:dyDescent="0.3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5" x14ac:dyDescent="0.3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5" x14ac:dyDescent="0.3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5" x14ac:dyDescent="0.3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5" x14ac:dyDescent="0.3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5" x14ac:dyDescent="0.3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5" x14ac:dyDescent="0.3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5" x14ac:dyDescent="0.3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5" x14ac:dyDescent="0.3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5" x14ac:dyDescent="0.3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 thickBot="1" x14ac:dyDescent="0.4">
      <c r="E52" s="77"/>
      <c r="F52" s="77"/>
      <c r="G52" s="77"/>
      <c r="H52" s="77"/>
      <c r="I52" s="77"/>
      <c r="J52" s="77"/>
      <c r="K52" s="77"/>
      <c r="L52" s="77"/>
      <c r="M52" s="77"/>
      <c r="N52" s="77"/>
    </row>
    <row r="53" spans="1:15" s="48" customFormat="1" ht="26.5" thickBot="1" x14ac:dyDescent="0.4">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79" customWidth="1"/>
    <col min="2" max="2" width="46.26953125" style="179" customWidth="1"/>
    <col min="3" max="3" width="15.26953125" style="179" customWidth="1"/>
    <col min="4" max="4" width="24.7265625" style="179" customWidth="1"/>
    <col min="5" max="5" width="24.453125" style="179" customWidth="1"/>
    <col min="6" max="6" width="23.1796875" style="179" customWidth="1"/>
    <col min="7" max="7" width="21.26953125" style="179" customWidth="1"/>
    <col min="8" max="16384" width="11.453125" style="179"/>
  </cols>
  <sheetData>
    <row r="1" spans="1:7" ht="29.5" thickBot="1" x14ac:dyDescent="0.4">
      <c r="A1" s="184" t="s">
        <v>131</v>
      </c>
      <c r="B1" s="185" t="s">
        <v>132</v>
      </c>
      <c r="C1" s="185" t="s">
        <v>138</v>
      </c>
      <c r="D1" s="185" t="s">
        <v>137</v>
      </c>
      <c r="E1" s="185" t="s">
        <v>139</v>
      </c>
      <c r="F1" s="186" t="s">
        <v>140</v>
      </c>
      <c r="G1" s="187" t="s">
        <v>141</v>
      </c>
    </row>
    <row r="2" spans="1:7" ht="58" x14ac:dyDescent="0.3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0.10119946185718116</v>
      </c>
      <c r="D2" s="17" t="s">
        <v>9</v>
      </c>
      <c r="E2" s="18"/>
      <c r="F2" s="19" t="str">
        <f>'pooled normalised values'!J74</f>
        <v>Cefuroxime-0,01mg/L</v>
      </c>
      <c r="G2" s="19" t="str">
        <f>'pooled normalised values'!K74</f>
        <v>Cefuroxime-0,1mg/L</v>
      </c>
      <c r="H2" s="19" t="str">
        <f>'pooled normalised values'!L74</f>
        <v>Cefuroxime-1mg/L</v>
      </c>
      <c r="I2" s="19" t="str">
        <f>'pooled normalised values'!M74</f>
        <v>Cefuroxime-10mg/L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Cefuroxime-0,001mg/L + Testostérone</v>
      </c>
      <c r="W2" s="19" t="str">
        <f>'pooled normalised values'!S74</f>
        <v>Cefuroxime-0,01mg/L + Testostérone</v>
      </c>
      <c r="X2" s="19" t="str">
        <f>'pooled normalised values'!T74</f>
        <v>Cefuroxime-0,1mg/L + Testostérone</v>
      </c>
      <c r="Y2" s="19" t="str">
        <f>'pooled normalised values'!U74</f>
        <v>Cefuroxime-1mg/L + Testostérone</v>
      </c>
      <c r="Z2" s="19" t="str">
        <f>'pooled normalised values'!V74</f>
        <v>Cefuroxime-10mg/L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9.3696696004213584E-2</v>
      </c>
      <c r="G3" s="19">
        <f>HLOOKUP(G2,'pooled normalised values'!C74:W83,2,FALSE)</f>
        <v>0.10125908646081828</v>
      </c>
      <c r="H3" s="19">
        <f>HLOOKUP(H2,'pooled normalised values'!C74:X83,2,FALSE)</f>
        <v>0.12004147495821497</v>
      </c>
      <c r="I3" s="19">
        <f>HLOOKUP(I2,'pooled normalised values'!D74:Y83,2,FALSE)</f>
        <v>7.932206758628714E-2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1.7958463684876702</v>
      </c>
      <c r="W3" s="19">
        <f>HLOOKUP(W2,'pooled normalised values'!N74:AM83,2,FALSE)</f>
        <v>0.92582622885313515</v>
      </c>
      <c r="X3" s="19">
        <f>HLOOKUP(X2,'pooled normalised values'!N74:AN83,2,FALSE)</f>
        <v>1.1539971142514385</v>
      </c>
      <c r="Y3" s="19">
        <f>HLOOKUP(Y2,'pooled normalised values'!N74:AO83,2,FALSE)</f>
        <v>1.4642888607937319</v>
      </c>
      <c r="Z3" s="19">
        <f>HLOOKUP(Z2,'pooled normalised values'!N74:AP83,2,FALSE)</f>
        <v>1.4563375963639018</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2.1594355410903397E-2</v>
      </c>
      <c r="G4" s="19">
        <f>HLOOKUP(G2,'pooled normalised values'!C74:W83,3,FALSE)</f>
        <v>2.1949972773304988E-2</v>
      </c>
      <c r="H4" s="19">
        <f>HLOOKUP(H2,'pooled normalised values'!C74:X83,3,FALSE)</f>
        <v>3.1727506669353235E-2</v>
      </c>
      <c r="I4" s="19">
        <f>HLOOKUP(I2,'pooled normalised values'!D74:Y83,3,FALSE)</f>
        <v>1.408133669661063E-2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0.48264678023702146</v>
      </c>
      <c r="W4" s="19">
        <f>HLOOKUP(W2,'pooled normalised values'!N74:AM83,3,FALSE)</f>
        <v>0.25232446343590931</v>
      </c>
      <c r="X4" s="19">
        <f>HLOOKUP(X2,'pooled normalised values'!N74:AN83,3,FALSE)</f>
        <v>0.23748642378778226</v>
      </c>
      <c r="Y4" s="19">
        <f>HLOOKUP(Y2,'pooled normalised values'!N74:AO83,3,FALSE)</f>
        <v>0.53707622314155257</v>
      </c>
      <c r="Z4" s="19">
        <f>HLOOKUP(Z2,'pooled normalised values'!N74:AP83,3,FALSE)</f>
        <v>0.28067343412657569</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5.8404807240259808</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0.11034480906674397</v>
      </c>
      <c r="D6" s="21" t="s">
        <v>12</v>
      </c>
      <c r="E6" s="24">
        <f>$B$2</f>
        <v>0.10119946185718116</v>
      </c>
      <c r="F6" s="24">
        <f>$B$2</f>
        <v>0.10119946185718116</v>
      </c>
      <c r="G6" s="24">
        <f t="shared" ref="G6:R6" si="0">$B$2</f>
        <v>0.10119946185718116</v>
      </c>
      <c r="H6" s="24">
        <f t="shared" si="0"/>
        <v>0.10119946185718116</v>
      </c>
      <c r="I6" s="24">
        <f t="shared" si="0"/>
        <v>0.10119946185718116</v>
      </c>
      <c r="J6" s="24">
        <f t="shared" si="0"/>
        <v>0.10119946185718116</v>
      </c>
      <c r="K6" s="24">
        <f t="shared" si="0"/>
        <v>0.10119946185718116</v>
      </c>
      <c r="L6" s="24">
        <f t="shared" si="0"/>
        <v>0.10119946185718116</v>
      </c>
      <c r="M6" s="24">
        <f t="shared" si="0"/>
        <v>0.10119946185718116</v>
      </c>
      <c r="N6" s="24">
        <f t="shared" si="0"/>
        <v>0.10119946185718116</v>
      </c>
      <c r="O6" s="24">
        <f t="shared" si="0"/>
        <v>0.10119946185718116</v>
      </c>
      <c r="P6" s="24">
        <f t="shared" si="0"/>
        <v>0.10119946185718116</v>
      </c>
      <c r="Q6" s="24">
        <f t="shared" si="0"/>
        <v>0.10119946185718116</v>
      </c>
      <c r="R6" s="24">
        <f t="shared" si="0"/>
        <v>0.10119946185718116</v>
      </c>
      <c r="S6" s="24">
        <f>$B$2</f>
        <v>0.10119946185718116</v>
      </c>
      <c r="T6" s="24">
        <f>$B$2</f>
        <v>0.10119946185718116</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0.11034480906674397</v>
      </c>
      <c r="V8" s="25">
        <f t="shared" ref="V8:AJ8" si="2">$B$6</f>
        <v>0.11034480906674397</v>
      </c>
      <c r="W8" s="25">
        <f t="shared" si="2"/>
        <v>0.11034480906674397</v>
      </c>
      <c r="X8" s="25">
        <f t="shared" si="2"/>
        <v>0.11034480906674397</v>
      </c>
      <c r="Y8" s="25">
        <f t="shared" si="2"/>
        <v>0.11034480906674397</v>
      </c>
      <c r="Z8" s="25">
        <f t="shared" si="2"/>
        <v>0.11034480906674397</v>
      </c>
      <c r="AA8" s="25">
        <f t="shared" si="2"/>
        <v>0.11034480906674397</v>
      </c>
      <c r="AB8" s="25">
        <f t="shared" si="2"/>
        <v>0.11034480906674397</v>
      </c>
      <c r="AC8" s="25">
        <f t="shared" si="2"/>
        <v>0.11034480906674397</v>
      </c>
      <c r="AD8" s="25">
        <f t="shared" si="2"/>
        <v>0.11034480906674397</v>
      </c>
      <c r="AE8" s="25">
        <f t="shared" si="2"/>
        <v>0.11034480906674397</v>
      </c>
      <c r="AF8" s="25">
        <f t="shared" si="2"/>
        <v>0.11034480906674397</v>
      </c>
      <c r="AG8" s="25">
        <f t="shared" si="2"/>
        <v>0.11034480906674397</v>
      </c>
      <c r="AH8" s="25">
        <f t="shared" si="2"/>
        <v>0.11034480906674397</v>
      </c>
      <c r="AI8" s="25">
        <f t="shared" si="2"/>
        <v>0.11034480906674397</v>
      </c>
      <c r="AJ8" s="25">
        <f t="shared" si="2"/>
        <v>0.11034480906674397</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5.730135914959237</v>
      </c>
      <c r="V9" s="25">
        <f>$B$5-V8</f>
        <v>5.730135914959237</v>
      </c>
      <c r="W9" s="25">
        <f t="shared" ref="W9:AH9" si="4">$B$5-W8</f>
        <v>5.730135914959237</v>
      </c>
      <c r="X9" s="25">
        <f t="shared" si="4"/>
        <v>5.730135914959237</v>
      </c>
      <c r="Y9" s="25">
        <f t="shared" si="4"/>
        <v>5.730135914959237</v>
      </c>
      <c r="Z9" s="25">
        <f t="shared" si="4"/>
        <v>5.730135914959237</v>
      </c>
      <c r="AA9" s="25">
        <f t="shared" si="4"/>
        <v>5.730135914959237</v>
      </c>
      <c r="AB9" s="25">
        <f t="shared" si="4"/>
        <v>5.730135914959237</v>
      </c>
      <c r="AC9" s="25">
        <f t="shared" si="4"/>
        <v>5.730135914959237</v>
      </c>
      <c r="AD9" s="25">
        <f t="shared" si="4"/>
        <v>5.730135914959237</v>
      </c>
      <c r="AE9" s="25">
        <f t="shared" si="4"/>
        <v>5.730135914959237</v>
      </c>
      <c r="AF9" s="25">
        <f t="shared" si="4"/>
        <v>5.730135914959237</v>
      </c>
      <c r="AG9" s="25">
        <f t="shared" si="4"/>
        <v>5.730135914959237</v>
      </c>
      <c r="AH9" s="25">
        <f t="shared" si="4"/>
        <v>5.730135914959237</v>
      </c>
      <c r="AI9" s="25">
        <f>$B$5-AI8</f>
        <v>5.730135914959237</v>
      </c>
      <c r="AJ9" s="25">
        <f>$B$5-AJ8</f>
        <v>5.730135914959237</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-3.230135914959237</v>
      </c>
      <c r="V10" s="25">
        <f>2.5-V9</f>
        <v>-3.230135914959237</v>
      </c>
      <c r="W10" s="25">
        <f t="shared" ref="W10:AH10" si="6">2.5-W9</f>
        <v>-3.230135914959237</v>
      </c>
      <c r="X10" s="25">
        <f t="shared" si="6"/>
        <v>-3.230135914959237</v>
      </c>
      <c r="Y10" s="25">
        <f t="shared" si="6"/>
        <v>-3.230135914959237</v>
      </c>
      <c r="Z10" s="25">
        <f t="shared" si="6"/>
        <v>-3.230135914959237</v>
      </c>
      <c r="AA10" s="25">
        <f t="shared" si="6"/>
        <v>-3.230135914959237</v>
      </c>
      <c r="AB10" s="25">
        <f t="shared" si="6"/>
        <v>-3.230135914959237</v>
      </c>
      <c r="AC10" s="25">
        <f t="shared" si="6"/>
        <v>-3.230135914959237</v>
      </c>
      <c r="AD10" s="25">
        <f t="shared" si="6"/>
        <v>-3.230135914959237</v>
      </c>
      <c r="AE10" s="25">
        <f t="shared" si="6"/>
        <v>-3.230135914959237</v>
      </c>
      <c r="AF10" s="25">
        <f t="shared" si="6"/>
        <v>-3.230135914959237</v>
      </c>
      <c r="AG10" s="25">
        <f t="shared" si="6"/>
        <v>-3.230135914959237</v>
      </c>
      <c r="AH10" s="25">
        <f t="shared" si="6"/>
        <v>-3.230135914959237</v>
      </c>
      <c r="AI10" s="25">
        <f>2.5-AI9</f>
        <v>-3.230135914959237</v>
      </c>
      <c r="AJ10" s="25">
        <f>2.5-AJ9</f>
        <v>-3.230135914959237</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0.10119946185718116</v>
      </c>
      <c r="D2" s="17" t="s">
        <v>9</v>
      </c>
      <c r="E2" s="18"/>
      <c r="F2" s="19" t="str">
        <f>'pooled normalised values'!J74</f>
        <v>Cefuroxime-0,01mg/L</v>
      </c>
      <c r="G2" s="18"/>
      <c r="H2" s="20"/>
      <c r="I2" s="19" t="str">
        <f>'pooled normalised values'!R74</f>
        <v>Cefuroxime-0,001mg/L + Testostérone</v>
      </c>
      <c r="J2" s="20"/>
      <c r="K2" s="17" t="s">
        <v>9</v>
      </c>
    </row>
    <row r="3" spans="1:11" x14ac:dyDescent="0.25">
      <c r="A3" s="17" t="s">
        <v>71</v>
      </c>
      <c r="B3" s="63">
        <f>'summary results'!E6</f>
        <v>0</v>
      </c>
      <c r="D3" s="21" t="s">
        <v>10</v>
      </c>
      <c r="E3" s="22"/>
      <c r="F3" s="19">
        <f>HLOOKUP(F2,'pooled normalised values'!B74:V83,2,FALSE)</f>
        <v>9.3696696004213584E-2</v>
      </c>
      <c r="G3" s="22"/>
      <c r="H3" s="20"/>
      <c r="I3" s="19">
        <f>HLOOKUP(I2,'pooled normalised values'!N74:AL83,2,FALSE)</f>
        <v>1.7958463684876702</v>
      </c>
      <c r="J3" s="20"/>
      <c r="K3" s="21" t="s">
        <v>10</v>
      </c>
    </row>
    <row r="4" spans="1:11" x14ac:dyDescent="0.25">
      <c r="A4" s="17" t="s">
        <v>72</v>
      </c>
      <c r="B4" s="63">
        <f>'pooled normalised values'!O75</f>
        <v>1.0000000000000002</v>
      </c>
      <c r="D4" s="21" t="s">
        <v>2</v>
      </c>
      <c r="E4" s="22"/>
      <c r="F4" s="19">
        <f>HLOOKUP(F2,'pooled normalised values'!B74:V83,3,FALSE)</f>
        <v>2.1594355410903397E-2</v>
      </c>
      <c r="G4" s="22"/>
      <c r="H4" s="20"/>
      <c r="I4" s="19">
        <f>HLOOKUP(I2,'pooled normalised values'!N74:AL83,3,FALSE)</f>
        <v>0.48264678023702146</v>
      </c>
      <c r="J4" s="20"/>
      <c r="K4" s="21" t="s">
        <v>2</v>
      </c>
    </row>
    <row r="5" spans="1:11" x14ac:dyDescent="0.25">
      <c r="A5" s="17" t="s">
        <v>73</v>
      </c>
      <c r="B5" s="63">
        <f>'pooled normalised values'!P75</f>
        <v>5.8404807240259808</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0.11034480906674397</v>
      </c>
      <c r="D6" s="21" t="s">
        <v>12</v>
      </c>
      <c r="E6" s="24">
        <f>$B$2</f>
        <v>0.10119946185718116</v>
      </c>
      <c r="F6" s="24">
        <f>$B$2</f>
        <v>0.10119946185718116</v>
      </c>
      <c r="G6" s="24">
        <f>$B$2</f>
        <v>0.10119946185718116</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0.11034480906674397</v>
      </c>
      <c r="I8" s="25">
        <f t="shared" ref="I8:J8" si="1">$B$6</f>
        <v>0.11034480906674397</v>
      </c>
      <c r="J8" s="25">
        <f t="shared" si="1"/>
        <v>0.11034480906674397</v>
      </c>
      <c r="K8" s="28" t="s">
        <v>14</v>
      </c>
    </row>
    <row r="9" spans="1:11" x14ac:dyDescent="0.25">
      <c r="D9" s="28" t="s">
        <v>15</v>
      </c>
      <c r="E9" s="29">
        <f>$B$3-E8</f>
        <v>0</v>
      </c>
      <c r="F9" s="29">
        <f>$B$3-F8</f>
        <v>0</v>
      </c>
      <c r="G9" s="29">
        <f>$B$3-G8</f>
        <v>0</v>
      </c>
      <c r="H9" s="25">
        <f>$B$5-H8</f>
        <v>5.730135914959237</v>
      </c>
      <c r="I9" s="25">
        <f>$B$5-I8</f>
        <v>5.730135914959237</v>
      </c>
      <c r="J9" s="25">
        <f>$B$5-J8</f>
        <v>5.730135914959237</v>
      </c>
      <c r="K9" s="28" t="s">
        <v>15</v>
      </c>
    </row>
    <row r="10" spans="1:11" x14ac:dyDescent="0.25">
      <c r="D10" s="28" t="s">
        <v>16</v>
      </c>
      <c r="E10" s="27">
        <f t="shared" ref="E10:J10" si="2">2.5-E9</f>
        <v>2.5</v>
      </c>
      <c r="F10" s="27">
        <f t="shared" si="2"/>
        <v>2.5</v>
      </c>
      <c r="G10" s="27">
        <f t="shared" si="2"/>
        <v>2.5</v>
      </c>
      <c r="H10" s="25">
        <f t="shared" si="2"/>
        <v>-3.230135914959237</v>
      </c>
      <c r="I10" s="25">
        <f t="shared" si="2"/>
        <v>-3.230135914959237</v>
      </c>
      <c r="J10" s="25">
        <f t="shared" si="2"/>
        <v>-3.230135914959237</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FF2B8B-759C-4D37-9FAA-10C120B74323}"/>
</file>

<file path=customXml/itemProps2.xml><?xml version="1.0" encoding="utf-8"?>
<ds:datastoreItem xmlns:ds="http://schemas.openxmlformats.org/officeDocument/2006/customXml" ds:itemID="{E7891A2A-A8EC-4D3A-819F-9EC6A78BC0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2022-10-05T13:53:27Z</dcterms:modified>
</cp:coreProperties>
</file>