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23" documentId="13_ncr:1_{5623BA6F-03D2-457E-816F-0122272D994F}" xr6:coauthVersionLast="47" xr6:coauthVersionMax="47" xr10:uidLastSave="{CC929F45-DCCC-4118-B491-E82B9F325644}"/>
  <bookViews>
    <workbookView xWindow="-108" yWindow="-108" windowWidth="23256" windowHeight="12576" activeTab="9" xr2:uid="{00000000-000D-0000-FFFF-FFFF00000000}"/>
  </bookViews>
  <sheets>
    <sheet name="Page de garde" sheetId="10" r:id="rId1"/>
    <sheet name="Feuil1" sheetId="39" r:id="rId2"/>
    <sheet name="Raw data R1" sheetId="35" r:id="rId3"/>
    <sheet name="R1" sheetId="1" r:id="rId4"/>
    <sheet name="Graph R3" sheetId="8" r:id="rId5"/>
    <sheet name="Raw data R2" sheetId="36" r:id="rId6"/>
    <sheet name="R2" sheetId="23" r:id="rId7"/>
    <sheet name="Graph R4" sheetId="19" r:id="rId8"/>
    <sheet name="Raw data R3" sheetId="37" r:id="rId9"/>
    <sheet name="R3" sheetId="33" r:id="rId10"/>
    <sheet name="Graph R5"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O43" i="33"/>
  <c r="O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P35" i="33"/>
  <c r="P45"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T35" i="33" s="1"/>
  <c r="T45" i="4" s="1"/>
  <c r="L23" i="33"/>
  <c r="J23" i="33"/>
  <c r="I23" i="33"/>
  <c r="H23" i="33"/>
  <c r="G23" i="33"/>
  <c r="F23" i="33"/>
  <c r="E23" i="33"/>
  <c r="D23" i="33"/>
  <c r="C23" i="33"/>
  <c r="B23" i="33"/>
  <c r="A22" i="33"/>
  <c r="H22" i="33"/>
  <c r="G45" i="33"/>
  <c r="F27" i="33"/>
  <c r="F52" i="33" s="1"/>
  <c r="E45" i="33"/>
  <c r="D22" i="33"/>
  <c r="C45" i="33"/>
  <c r="B45" i="33"/>
  <c r="P56" i="33"/>
  <c r="Q56" i="33"/>
  <c r="Q29" i="33" l="1"/>
  <c r="Q39" i="4" s="1"/>
  <c r="Q33" i="33"/>
  <c r="Q43" i="4" s="1"/>
  <c r="P30" i="33"/>
  <c r="P40" i="4" s="1"/>
  <c r="P34" i="33"/>
  <c r="P44" i="4" s="1"/>
  <c r="Q30" i="33"/>
  <c r="Q40" i="4" s="1"/>
  <c r="Q34" i="33"/>
  <c r="Q44" i="4" s="1"/>
  <c r="P31" i="33"/>
  <c r="P41" i="4" s="1"/>
  <c r="Q31" i="33"/>
  <c r="Q41" i="4" s="1"/>
  <c r="Q35" i="33"/>
  <c r="Q45" i="4" s="1"/>
  <c r="P28" i="33"/>
  <c r="P32" i="33"/>
  <c r="P42" i="4" s="1"/>
  <c r="Q28" i="33"/>
  <c r="Q32" i="33"/>
  <c r="Q42" i="4" s="1"/>
  <c r="P29" i="33"/>
  <c r="P39" i="4" s="1"/>
  <c r="P33" i="33"/>
  <c r="P43" i="4" s="1"/>
  <c r="D35" i="33"/>
  <c r="D45" i="4" s="1"/>
  <c r="C28" i="33"/>
  <c r="T28" i="33"/>
  <c r="T38" i="4" s="1"/>
  <c r="C30" i="33"/>
  <c r="C40" i="4" s="1"/>
  <c r="O42" i="33"/>
  <c r="O52" i="4" s="1"/>
  <c r="H28" i="33"/>
  <c r="L29" i="33"/>
  <c r="L39" i="4" s="1"/>
  <c r="C32" i="33"/>
  <c r="C42" i="4" s="1"/>
  <c r="L31" i="33"/>
  <c r="L41" i="4" s="1"/>
  <c r="H30" i="33"/>
  <c r="H40" i="4" s="1"/>
  <c r="T30" i="33"/>
  <c r="T40" i="4" s="1"/>
  <c r="H32" i="33"/>
  <c r="H42" i="4" s="1"/>
  <c r="T32" i="33"/>
  <c r="T42" i="4" s="1"/>
  <c r="K28" i="33"/>
  <c r="K38" i="4" s="1"/>
  <c r="D29" i="33"/>
  <c r="D39" i="4" s="1"/>
  <c r="K30" i="33"/>
  <c r="K40" i="4" s="1"/>
  <c r="D31" i="33"/>
  <c r="D41" i="4" s="1"/>
  <c r="K32" i="33"/>
  <c r="K42" i="4" s="1"/>
  <c r="G33" i="33"/>
  <c r="G43" i="4" s="1"/>
  <c r="T33" i="33"/>
  <c r="T43" i="4" s="1"/>
  <c r="O36" i="33"/>
  <c r="O46" i="4" s="1"/>
  <c r="O37" i="33"/>
  <c r="O47" i="4" s="1"/>
  <c r="O38" i="33"/>
  <c r="O48" i="4" s="1"/>
  <c r="O39" i="33"/>
  <c r="O49" i="4" s="1"/>
  <c r="O40" i="33"/>
  <c r="O50" i="4" s="1"/>
  <c r="O41" i="33"/>
  <c r="O51" i="4" s="1"/>
  <c r="G29" i="33"/>
  <c r="G39" i="4" s="1"/>
  <c r="U29" i="33"/>
  <c r="U39" i="4" s="1"/>
  <c r="G31" i="33"/>
  <c r="G41" i="4" s="1"/>
  <c r="U31" i="33"/>
  <c r="U41" i="4" s="1"/>
  <c r="K33" i="33"/>
  <c r="K43" i="4" s="1"/>
  <c r="C34" i="33"/>
  <c r="C44" i="4" s="1"/>
  <c r="O35" i="33"/>
  <c r="O45" i="4" s="1"/>
  <c r="G35" i="33"/>
  <c r="G45" i="4" s="1"/>
  <c r="D28" i="33"/>
  <c r="L28" i="33"/>
  <c r="L38" i="4" s="1"/>
  <c r="U28" i="33"/>
  <c r="H29" i="33"/>
  <c r="D30" i="33"/>
  <c r="D40" i="4" s="1"/>
  <c r="L30" i="33"/>
  <c r="L40" i="4" s="1"/>
  <c r="U30" i="33"/>
  <c r="U40" i="4" s="1"/>
  <c r="H31" i="33"/>
  <c r="H41" i="4" s="1"/>
  <c r="D32" i="33"/>
  <c r="D42" i="4" s="1"/>
  <c r="L32" i="33"/>
  <c r="L42" i="4" s="1"/>
  <c r="U32" i="33"/>
  <c r="U42" i="4" s="1"/>
  <c r="G34" i="33"/>
  <c r="G44" i="4" s="1"/>
  <c r="T34" i="33"/>
  <c r="T44" i="4" s="1"/>
  <c r="K35" i="33"/>
  <c r="K45" i="4" s="1"/>
  <c r="S35" i="33"/>
  <c r="S45" i="4" s="1"/>
  <c r="J35" i="33"/>
  <c r="J45" i="4" s="1"/>
  <c r="F35" i="33"/>
  <c r="F45" i="4" s="1"/>
  <c r="B35" i="33"/>
  <c r="B45" i="4" s="1"/>
  <c r="S34" i="33"/>
  <c r="S44" i="4" s="1"/>
  <c r="O34" i="33"/>
  <c r="O44" i="4" s="1"/>
  <c r="J34" i="33"/>
  <c r="J44" i="4" s="1"/>
  <c r="F34" i="33"/>
  <c r="F44" i="4" s="1"/>
  <c r="B34" i="33"/>
  <c r="B44" i="4" s="1"/>
  <c r="S33" i="33"/>
  <c r="S43" i="4" s="1"/>
  <c r="O33" i="33"/>
  <c r="O43" i="4" s="1"/>
  <c r="J33" i="33"/>
  <c r="J43" i="4" s="1"/>
  <c r="F33" i="33"/>
  <c r="F43" i="4" s="1"/>
  <c r="B33" i="33"/>
  <c r="B43" i="4" s="1"/>
  <c r="S32" i="33"/>
  <c r="S42" i="4" s="1"/>
  <c r="O32" i="33"/>
  <c r="O42" i="4" s="1"/>
  <c r="J32" i="33"/>
  <c r="J42" i="4" s="1"/>
  <c r="F32" i="33"/>
  <c r="F42" i="4" s="1"/>
  <c r="B32" i="33"/>
  <c r="B42" i="4" s="1"/>
  <c r="S31" i="33"/>
  <c r="S41" i="4" s="1"/>
  <c r="O31" i="33"/>
  <c r="O41" i="4" s="1"/>
  <c r="J31" i="33"/>
  <c r="J41" i="4" s="1"/>
  <c r="F31" i="33"/>
  <c r="F41" i="4" s="1"/>
  <c r="B31" i="33"/>
  <c r="B41" i="4" s="1"/>
  <c r="S30" i="33"/>
  <c r="S40" i="4" s="1"/>
  <c r="O30" i="33"/>
  <c r="O40" i="4" s="1"/>
  <c r="J30" i="33"/>
  <c r="J40" i="4" s="1"/>
  <c r="F30" i="33"/>
  <c r="F40" i="4" s="1"/>
  <c r="B30" i="33"/>
  <c r="B40" i="4" s="1"/>
  <c r="S29" i="33"/>
  <c r="S39" i="4" s="1"/>
  <c r="O29" i="33"/>
  <c r="O39" i="4" s="1"/>
  <c r="J29" i="33"/>
  <c r="J39" i="4" s="1"/>
  <c r="F29" i="33"/>
  <c r="F39" i="4" s="1"/>
  <c r="B29" i="33"/>
  <c r="B39" i="4" s="1"/>
  <c r="S28" i="33"/>
  <c r="S38" i="4" s="1"/>
  <c r="O28" i="33"/>
  <c r="J28" i="33"/>
  <c r="J38" i="4" s="1"/>
  <c r="F28" i="33"/>
  <c r="B28" i="33"/>
  <c r="B38" i="4" s="1"/>
  <c r="R35" i="33"/>
  <c r="R45" i="4" s="1"/>
  <c r="M35" i="33"/>
  <c r="M45" i="4" s="1"/>
  <c r="I35" i="33"/>
  <c r="I45" i="4" s="1"/>
  <c r="E35" i="33"/>
  <c r="E45" i="4" s="1"/>
  <c r="V34" i="33"/>
  <c r="V44" i="4" s="1"/>
  <c r="R34" i="33"/>
  <c r="R44" i="4" s="1"/>
  <c r="M34" i="33"/>
  <c r="M44" i="4" s="1"/>
  <c r="I34" i="33"/>
  <c r="I44" i="4" s="1"/>
  <c r="E34" i="33"/>
  <c r="E44" i="4" s="1"/>
  <c r="V33" i="33"/>
  <c r="V43" i="4" s="1"/>
  <c r="R33" i="33"/>
  <c r="R43" i="4" s="1"/>
  <c r="M33" i="33"/>
  <c r="M43" i="4" s="1"/>
  <c r="I33" i="33"/>
  <c r="I43" i="4" s="1"/>
  <c r="E33" i="33"/>
  <c r="E43" i="4" s="1"/>
  <c r="V32" i="33"/>
  <c r="V42" i="4" s="1"/>
  <c r="R32" i="33"/>
  <c r="R42" i="4" s="1"/>
  <c r="M32" i="33"/>
  <c r="M42" i="4" s="1"/>
  <c r="I32" i="33"/>
  <c r="I42" i="4" s="1"/>
  <c r="E32" i="33"/>
  <c r="E42" i="4" s="1"/>
  <c r="V31" i="33"/>
  <c r="V41" i="4" s="1"/>
  <c r="R31" i="33"/>
  <c r="R41" i="4" s="1"/>
  <c r="M31" i="33"/>
  <c r="M41" i="4" s="1"/>
  <c r="I31" i="33"/>
  <c r="I41" i="4" s="1"/>
  <c r="E31" i="33"/>
  <c r="E41" i="4" s="1"/>
  <c r="V30" i="33"/>
  <c r="V40" i="4" s="1"/>
  <c r="R30" i="33"/>
  <c r="R40" i="4" s="1"/>
  <c r="M30" i="33"/>
  <c r="M40" i="4" s="1"/>
  <c r="I30" i="33"/>
  <c r="I40" i="4" s="1"/>
  <c r="E30" i="33"/>
  <c r="E40" i="4" s="1"/>
  <c r="V29" i="33"/>
  <c r="V39" i="4" s="1"/>
  <c r="R29" i="33"/>
  <c r="R39" i="4" s="1"/>
  <c r="M29" i="33"/>
  <c r="M39" i="4" s="1"/>
  <c r="I29" i="33"/>
  <c r="I39" i="4" s="1"/>
  <c r="E29" i="33"/>
  <c r="E39" i="4" s="1"/>
  <c r="V28" i="33"/>
  <c r="V38" i="4" s="1"/>
  <c r="R28" i="33"/>
  <c r="R38" i="4" s="1"/>
  <c r="M28" i="33"/>
  <c r="M38" i="4" s="1"/>
  <c r="I28" i="33"/>
  <c r="I38" i="4" s="1"/>
  <c r="E28" i="33"/>
  <c r="U35" i="33"/>
  <c r="U45" i="4" s="1"/>
  <c r="L35" i="33"/>
  <c r="L45" i="4" s="1"/>
  <c r="H35" i="33"/>
  <c r="H45" i="4" s="1"/>
  <c r="U33" i="33"/>
  <c r="U43" i="4" s="1"/>
  <c r="L33" i="33"/>
  <c r="L43" i="4" s="1"/>
  <c r="H33" i="33"/>
  <c r="H43" i="4" s="1"/>
  <c r="D33" i="33"/>
  <c r="D43" i="4" s="1"/>
  <c r="V35" i="33"/>
  <c r="V45" i="4" s="1"/>
  <c r="U34" i="33"/>
  <c r="U44" i="4" s="1"/>
  <c r="L34" i="33"/>
  <c r="L44" i="4" s="1"/>
  <c r="H34" i="33"/>
  <c r="H44" i="4" s="1"/>
  <c r="D34" i="33"/>
  <c r="D44" i="4" s="1"/>
  <c r="G28" i="33"/>
  <c r="G38" i="4" s="1"/>
  <c r="C29" i="33"/>
  <c r="K29" i="33"/>
  <c r="T29" i="33"/>
  <c r="G30" i="33"/>
  <c r="G40" i="4" s="1"/>
  <c r="C31" i="33"/>
  <c r="C41" i="4" s="1"/>
  <c r="K31" i="33"/>
  <c r="K41" i="4" s="1"/>
  <c r="T31" i="33"/>
  <c r="T41" i="4" s="1"/>
  <c r="G32" i="33"/>
  <c r="G42" i="4" s="1"/>
  <c r="C33" i="33"/>
  <c r="C43" i="4" s="1"/>
  <c r="K34" i="33"/>
  <c r="K44" i="4" s="1"/>
  <c r="C35" i="33"/>
  <c r="C45" i="4" s="1"/>
  <c r="D38" i="4"/>
  <c r="H38" i="4"/>
  <c r="E38" i="4"/>
  <c r="B22" i="33"/>
  <c r="E22" i="33"/>
  <c r="I45" i="33"/>
  <c r="I52" i="33"/>
  <c r="I27" i="33"/>
  <c r="C38" i="4"/>
  <c r="P46" i="33"/>
  <c r="P53" i="33" s="1"/>
  <c r="P38" i="4"/>
  <c r="P47" i="33"/>
  <c r="P48" i="33" s="1"/>
  <c r="P54" i="33" s="1"/>
  <c r="B27" i="33"/>
  <c r="B52" i="33" s="1"/>
  <c r="Q38" i="4"/>
  <c r="D27" i="33"/>
  <c r="D52" i="33" s="1"/>
  <c r="I22" i="33"/>
  <c r="E27" i="33"/>
  <c r="E52" i="33" s="1"/>
  <c r="F38" i="4"/>
  <c r="O38" i="4"/>
  <c r="D45" i="33"/>
  <c r="P57" i="33"/>
  <c r="Q57" i="33"/>
  <c r="F22" i="33"/>
  <c r="F45" i="33"/>
  <c r="G22" i="33"/>
  <c r="G27" i="33"/>
  <c r="G52" i="33" s="1"/>
  <c r="C22" i="33"/>
  <c r="C27" i="33"/>
  <c r="C52" i="33" s="1"/>
  <c r="H27" i="33"/>
  <c r="H52" i="33" s="1"/>
  <c r="H45" i="33"/>
  <c r="O56" i="33"/>
  <c r="U56" i="33"/>
  <c r="V56" i="33"/>
  <c r="T56" i="33"/>
  <c r="I56" i="33"/>
  <c r="H56" i="33"/>
  <c r="M56" i="33"/>
  <c r="K56" i="33"/>
  <c r="G56" i="33"/>
  <c r="J56" i="33"/>
  <c r="L56" i="33"/>
  <c r="B56" i="33"/>
  <c r="E56" i="33"/>
  <c r="R56" i="33"/>
  <c r="F56" i="33"/>
  <c r="D56" i="33"/>
  <c r="S56" i="33"/>
  <c r="C56" i="33"/>
  <c r="Q47" i="33" l="1"/>
  <c r="Q48" i="33" s="1"/>
  <c r="Q54" i="33" s="1"/>
  <c r="Q46" i="33"/>
  <c r="Q53" i="33" s="1"/>
  <c r="L46" i="33"/>
  <c r="L53" i="33" s="1"/>
  <c r="C47" i="33"/>
  <c r="U46" i="33"/>
  <c r="U53" i="33" s="1"/>
  <c r="E46" i="33"/>
  <c r="E53" i="33" s="1"/>
  <c r="K46" i="33"/>
  <c r="K53" i="33" s="1"/>
  <c r="C48" i="33"/>
  <c r="C54" i="33" s="1"/>
  <c r="G46" i="33"/>
  <c r="G53" i="33" s="1"/>
  <c r="C46" i="33"/>
  <c r="C53" i="33" s="1"/>
  <c r="T47" i="33"/>
  <c r="T48" i="33" s="1"/>
  <c r="T54" i="33" s="1"/>
  <c r="D46" i="33"/>
  <c r="D53" i="33" s="1"/>
  <c r="F46" i="33"/>
  <c r="F53" i="33" s="1"/>
  <c r="V46" i="33"/>
  <c r="V53" i="33" s="1"/>
  <c r="L47" i="33"/>
  <c r="L48" i="33" s="1"/>
  <c r="L54" i="33" s="1"/>
  <c r="G47" i="33"/>
  <c r="G48" i="33" s="1"/>
  <c r="G54" i="33" s="1"/>
  <c r="M46" i="33"/>
  <c r="M53" i="33" s="1"/>
  <c r="J47" i="33"/>
  <c r="J48" i="33" s="1"/>
  <c r="J54" i="33" s="1"/>
  <c r="T46" i="33"/>
  <c r="T53" i="33" s="1"/>
  <c r="C57" i="33"/>
  <c r="M57" i="33"/>
  <c r="O57" i="33"/>
  <c r="P59" i="33" s="1"/>
  <c r="L57" i="33"/>
  <c r="K57" i="33"/>
  <c r="G57" i="33"/>
  <c r="R57" i="33"/>
  <c r="B57" i="33"/>
  <c r="S57" i="33"/>
  <c r="D57" i="33"/>
  <c r="I57" i="33"/>
  <c r="J57" i="33"/>
  <c r="U57" i="33"/>
  <c r="T57" i="33"/>
  <c r="E57" i="33"/>
  <c r="V57" i="33"/>
  <c r="F57" i="33"/>
  <c r="H57" i="33"/>
  <c r="C39" i="4"/>
  <c r="K39" i="4"/>
  <c r="V47" i="33"/>
  <c r="V48" i="33" s="1"/>
  <c r="V54" i="33" s="1"/>
  <c r="M47" i="33"/>
  <c r="M48" i="33" s="1"/>
  <c r="M54" i="33" s="1"/>
  <c r="E47" i="33"/>
  <c r="E48" i="33" s="1"/>
  <c r="E54" i="33" s="1"/>
  <c r="H47" i="33"/>
  <c r="H48" i="33" s="1"/>
  <c r="H54" i="33" s="1"/>
  <c r="O46" i="33"/>
  <c r="O53" i="33" s="1"/>
  <c r="O55" i="33" s="1"/>
  <c r="J46" i="33"/>
  <c r="J53" i="33" s="1"/>
  <c r="R46" i="33"/>
  <c r="R53" i="33" s="1"/>
  <c r="B46" i="33"/>
  <c r="B53" i="33" s="1"/>
  <c r="M55" i="33" s="1"/>
  <c r="H46" i="33"/>
  <c r="H53" i="33" s="1"/>
  <c r="S47" i="33"/>
  <c r="S48" i="33" s="1"/>
  <c r="S54" i="33" s="1"/>
  <c r="O47" i="33"/>
  <c r="O48" i="33" s="1"/>
  <c r="O54" i="33" s="1"/>
  <c r="K47" i="33"/>
  <c r="K48" i="33" s="1"/>
  <c r="K54" i="33" s="1"/>
  <c r="I46" i="33"/>
  <c r="I53" i="33" s="1"/>
  <c r="R47" i="33"/>
  <c r="R48" i="33" s="1"/>
  <c r="R54" i="33" s="1"/>
  <c r="I47" i="33"/>
  <c r="I48" i="33" s="1"/>
  <c r="I54" i="33" s="1"/>
  <c r="B47" i="33"/>
  <c r="B48" i="33" s="1"/>
  <c r="B54" i="33" s="1"/>
  <c r="U47" i="33"/>
  <c r="U48" i="33" s="1"/>
  <c r="U54" i="33" s="1"/>
  <c r="D47" i="33"/>
  <c r="D48" i="33" s="1"/>
  <c r="D54" i="33" s="1"/>
  <c r="S46" i="33"/>
  <c r="S53" i="33" s="1"/>
  <c r="F47" i="33"/>
  <c r="F48" i="33" s="1"/>
  <c r="F54" i="33" s="1"/>
  <c r="U38" i="4"/>
  <c r="T39" i="4"/>
  <c r="H39" i="4"/>
  <c r="B64" i="33"/>
  <c r="R59" i="33" l="1"/>
  <c r="R60" i="33" s="1"/>
  <c r="U59" i="33"/>
  <c r="U60" i="33" s="1"/>
  <c r="S59" i="33"/>
  <c r="S60" i="33" s="1"/>
  <c r="V55" i="33"/>
  <c r="T59" i="33"/>
  <c r="T60" i="33" s="1"/>
  <c r="Q55" i="33"/>
  <c r="F59" i="33"/>
  <c r="F60" i="33" s="1"/>
  <c r="S55" i="33"/>
  <c r="R55" i="33"/>
  <c r="P55" i="33"/>
  <c r="U55" i="33"/>
  <c r="T55" i="33"/>
  <c r="E59" i="33"/>
  <c r="E60" i="33" s="1"/>
  <c r="H59" i="33"/>
  <c r="H60" i="33" s="1"/>
  <c r="J59" i="33"/>
  <c r="J60" i="33" s="1"/>
  <c r="B65" i="33"/>
  <c r="D59" i="33"/>
  <c r="D60" i="33" s="1"/>
  <c r="V59" i="33"/>
  <c r="V60" i="33" s="1"/>
  <c r="C59" i="33"/>
  <c r="C60" i="33" s="1"/>
  <c r="G59" i="33"/>
  <c r="G60" i="33" s="1"/>
  <c r="I59" i="33"/>
  <c r="I60" i="33" s="1"/>
  <c r="L59" i="33"/>
  <c r="L60" i="33" s="1"/>
  <c r="O59" i="33"/>
  <c r="O60" i="33" s="1"/>
  <c r="Q59" i="33"/>
  <c r="Q60" i="33" s="1"/>
  <c r="K59" i="33"/>
  <c r="K60" i="33" s="1"/>
  <c r="M59" i="33"/>
  <c r="M60" i="33" s="1"/>
  <c r="D55" i="33"/>
  <c r="B55" i="33"/>
  <c r="K55" i="33"/>
  <c r="L55" i="33"/>
  <c r="G55" i="33"/>
  <c r="F55" i="33"/>
  <c r="C55" i="33"/>
  <c r="J55" i="33"/>
  <c r="H55" i="33"/>
  <c r="I55" i="33"/>
  <c r="E55" i="33"/>
  <c r="P60" i="33"/>
  <c r="Q61" i="33" l="1"/>
  <c r="P61" i="33"/>
  <c r="K61" i="33"/>
  <c r="I61" i="33"/>
  <c r="E61" i="33"/>
  <c r="F61" i="33"/>
  <c r="U61" i="33"/>
  <c r="T61" i="33"/>
  <c r="S61" i="33"/>
  <c r="O61" i="33"/>
  <c r="C61" i="33"/>
  <c r="J61" i="33"/>
  <c r="R61" i="33"/>
  <c r="M61" i="33"/>
  <c r="L61" i="33"/>
  <c r="V61" i="33"/>
  <c r="H61" i="33"/>
  <c r="D61" i="33"/>
  <c r="G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35" i="23"/>
  <c r="P29" i="4" s="1"/>
  <c r="R35" i="23"/>
  <c r="R29" i="4" s="1"/>
  <c r="P36" i="23"/>
  <c r="P30" i="4" s="1"/>
  <c r="Q36" i="23"/>
  <c r="Q30" i="4" s="1"/>
  <c r="R36" i="23"/>
  <c r="R30" i="4" s="1"/>
  <c r="S36" i="23"/>
  <c r="S30" i="4" s="1"/>
  <c r="T36" i="23"/>
  <c r="T30" i="4" s="1"/>
  <c r="U36" i="23"/>
  <c r="U30" i="4" s="1"/>
  <c r="V36" i="23"/>
  <c r="V30" i="4" s="1"/>
  <c r="P37" i="23"/>
  <c r="P31" i="4" s="1"/>
  <c r="Q37" i="23"/>
  <c r="Q31" i="4" s="1"/>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Q37" i="4" s="1"/>
  <c r="R43" i="23"/>
  <c r="S43" i="23"/>
  <c r="T43" i="23"/>
  <c r="U43" i="23"/>
  <c r="U37" i="4" s="1"/>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G35" i="23"/>
  <c r="G29" i="4" s="1"/>
  <c r="G31" i="23"/>
  <c r="G25" i="4" s="1"/>
  <c r="I29" i="23"/>
  <c r="I23" i="4" s="1"/>
  <c r="J42" i="23"/>
  <c r="J36" i="4" s="1"/>
  <c r="J38" i="23"/>
  <c r="J32" i="4" s="1"/>
  <c r="J41" i="23"/>
  <c r="J35" i="4" s="1"/>
  <c r="J37" i="23"/>
  <c r="J31" i="4" s="1"/>
  <c r="E34" i="23"/>
  <c r="E28" i="4" s="1"/>
  <c r="J43" i="23"/>
  <c r="J39" i="23"/>
  <c r="J33" i="4" s="1"/>
  <c r="J35" i="23"/>
  <c r="J29" i="4" s="1"/>
  <c r="D29" i="23"/>
  <c r="D23" i="4" s="1"/>
  <c r="I35" i="23"/>
  <c r="I29" i="4" s="1"/>
  <c r="E35" i="23"/>
  <c r="E29" i="4" s="1"/>
  <c r="G32" i="23"/>
  <c r="G26"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D35" i="1"/>
  <c r="D13" i="4" s="1"/>
  <c r="I29" i="1"/>
  <c r="F30" i="1"/>
  <c r="G30" i="1"/>
  <c r="G8" i="4" s="1"/>
  <c r="O32" i="1"/>
  <c r="O10" i="4" s="1"/>
  <c r="Q28" i="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V56" i="1"/>
  <c r="T56" i="1"/>
  <c r="U56" i="1"/>
  <c r="S56" i="1"/>
  <c r="V35" i="1" l="1"/>
  <c r="V13" i="4" s="1"/>
  <c r="V33" i="1"/>
  <c r="V11" i="4" s="1"/>
  <c r="V31" i="1"/>
  <c r="V9" i="4" s="1"/>
  <c r="V29" i="1"/>
  <c r="V7" i="4" s="1"/>
  <c r="B33" i="1"/>
  <c r="B11" i="4" s="1"/>
  <c r="O42" i="1"/>
  <c r="O20" i="4" s="1"/>
  <c r="F29" i="1"/>
  <c r="F7" i="4" s="1"/>
  <c r="H35" i="1"/>
  <c r="H13" i="4" s="1"/>
  <c r="G29" i="1"/>
  <c r="J33" i="23"/>
  <c r="J27" i="4" s="1"/>
  <c r="U35" i="1"/>
  <c r="U13" i="4" s="1"/>
  <c r="U33" i="1"/>
  <c r="U11" i="4" s="1"/>
  <c r="U31" i="1"/>
  <c r="U9" i="4" s="1"/>
  <c r="U29" i="1"/>
  <c r="U7" i="4" s="1"/>
  <c r="O40" i="23"/>
  <c r="O34" i="4" s="1"/>
  <c r="E30" i="1"/>
  <c r="E8" i="4" s="1"/>
  <c r="E29" i="1"/>
  <c r="T35" i="1"/>
  <c r="T13" i="4" s="1"/>
  <c r="T33" i="1"/>
  <c r="T11" i="4" s="1"/>
  <c r="T31" i="1"/>
  <c r="T9" i="4" s="1"/>
  <c r="T29" i="1"/>
  <c r="T7" i="4" s="1"/>
  <c r="J31" i="1"/>
  <c r="J9" i="4" s="1"/>
  <c r="G35" i="1"/>
  <c r="G13" i="4" s="1"/>
  <c r="S35" i="1"/>
  <c r="S13" i="4" s="1"/>
  <c r="S33" i="1"/>
  <c r="S11" i="4" s="1"/>
  <c r="S31" i="1"/>
  <c r="S9" i="4" s="1"/>
  <c r="S29" i="1"/>
  <c r="S7" i="4" s="1"/>
  <c r="C35" i="1"/>
  <c r="C13" i="4" s="1"/>
  <c r="E32" i="1"/>
  <c r="E10" i="4" s="1"/>
  <c r="O43" i="1"/>
  <c r="V34" i="1"/>
  <c r="V12" i="4" s="1"/>
  <c r="V32" i="1"/>
  <c r="V10" i="4" s="1"/>
  <c r="V30" i="1"/>
  <c r="V8" i="4" s="1"/>
  <c r="V28" i="1"/>
  <c r="T34" i="23"/>
  <c r="T28" i="4" s="1"/>
  <c r="P34" i="1"/>
  <c r="P12" i="4" s="1"/>
  <c r="F35" i="1"/>
  <c r="F13" i="4" s="1"/>
  <c r="P30" i="1"/>
  <c r="P8" i="4" s="1"/>
  <c r="H33" i="1"/>
  <c r="H11" i="4" s="1"/>
  <c r="E35" i="1"/>
  <c r="E13" i="4" s="1"/>
  <c r="G30" i="23"/>
  <c r="G24" i="4" s="1"/>
  <c r="U34" i="1"/>
  <c r="U12" i="4" s="1"/>
  <c r="U32" i="1"/>
  <c r="U10" i="4" s="1"/>
  <c r="U30" i="1"/>
  <c r="U8" i="4" s="1"/>
  <c r="U28" i="1"/>
  <c r="Q32" i="23"/>
  <c r="Q26" i="4" s="1"/>
  <c r="O41" i="1"/>
  <c r="O19" i="4" s="1"/>
  <c r="F34" i="1"/>
  <c r="F12" i="4" s="1"/>
  <c r="I34" i="1"/>
  <c r="I12" i="4" s="1"/>
  <c r="R33" i="1"/>
  <c r="R11" i="4" s="1"/>
  <c r="I33" i="1"/>
  <c r="I11" i="4" s="1"/>
  <c r="Q35" i="1"/>
  <c r="Q13" i="4" s="1"/>
  <c r="P28" i="1"/>
  <c r="G34" i="1"/>
  <c r="G12" i="4" s="1"/>
  <c r="E33" i="1"/>
  <c r="E11" i="4" s="1"/>
  <c r="D33" i="1"/>
  <c r="D11" i="4" s="1"/>
  <c r="H34" i="1"/>
  <c r="H12" i="4" s="1"/>
  <c r="J35" i="1"/>
  <c r="J13" i="4" s="1"/>
  <c r="H33" i="23"/>
  <c r="H27" i="4" s="1"/>
  <c r="E31" i="23"/>
  <c r="E25" i="4" s="1"/>
  <c r="T34" i="1"/>
  <c r="T12" i="4" s="1"/>
  <c r="T32" i="1"/>
  <c r="T10" i="4" s="1"/>
  <c r="T30" i="1"/>
  <c r="T8" i="4" s="1"/>
  <c r="T28" i="1"/>
  <c r="T6" i="4" s="1"/>
  <c r="R29" i="23"/>
  <c r="R23" i="4" s="1"/>
  <c r="H30" i="1"/>
  <c r="H8" i="4" s="1"/>
  <c r="Q34" i="1"/>
  <c r="Q12" i="4" s="1"/>
  <c r="Q31" i="1"/>
  <c r="Q9" i="4" s="1"/>
  <c r="P33" i="1"/>
  <c r="P11" i="4" s="1"/>
  <c r="H31" i="1"/>
  <c r="O38" i="1"/>
  <c r="O16" i="4" s="1"/>
  <c r="O39" i="1"/>
  <c r="O17" i="4" s="1"/>
  <c r="Q33" i="1"/>
  <c r="Q11" i="4" s="1"/>
  <c r="O40" i="1"/>
  <c r="O18" i="4" s="1"/>
  <c r="F33" i="1"/>
  <c r="F11" i="4" s="1"/>
  <c r="H32" i="1"/>
  <c r="H10" i="4" s="1"/>
  <c r="I30" i="1"/>
  <c r="I8" i="4" s="1"/>
  <c r="C33" i="1"/>
  <c r="C11" i="4" s="1"/>
  <c r="J32" i="1"/>
  <c r="G34" i="23"/>
  <c r="G28" i="4" s="1"/>
  <c r="I31" i="23"/>
  <c r="I25" i="4" s="1"/>
  <c r="F29" i="23"/>
  <c r="F23" i="4" s="1"/>
  <c r="J28" i="1"/>
  <c r="S34" i="1"/>
  <c r="S12" i="4" s="1"/>
  <c r="S32" i="1"/>
  <c r="S10" i="4" s="1"/>
  <c r="S30" i="1"/>
  <c r="S8" i="4" s="1"/>
  <c r="S28" i="1"/>
  <c r="S6" i="4" s="1"/>
  <c r="L32" i="23"/>
  <c r="L26" i="4" s="1"/>
  <c r="K31" i="23"/>
  <c r="K25" i="4" s="1"/>
  <c r="V35" i="23"/>
  <c r="V29" i="4" s="1"/>
  <c r="U33" i="23"/>
  <c r="U27" i="4" s="1"/>
  <c r="T31" i="23"/>
  <c r="T25" i="4" s="1"/>
  <c r="I30" i="23"/>
  <c r="I24" i="4" s="1"/>
  <c r="H28" i="23"/>
  <c r="E28" i="23"/>
  <c r="E22" i="4" s="1"/>
  <c r="J31" i="23"/>
  <c r="J25" i="4" s="1"/>
  <c r="I34" i="23"/>
  <c r="I28" i="4" s="1"/>
  <c r="D28" i="23"/>
  <c r="H32" i="23"/>
  <c r="H26" i="4" s="1"/>
  <c r="J28" i="23"/>
  <c r="J22" i="4" s="1"/>
  <c r="J32" i="23"/>
  <c r="J26" i="4" s="1"/>
  <c r="K35" i="23"/>
  <c r="K29" i="4" s="1"/>
  <c r="M29" i="23"/>
  <c r="M23" i="4" s="1"/>
  <c r="V32" i="23"/>
  <c r="V26" i="4" s="1"/>
  <c r="U30" i="23"/>
  <c r="U24" i="4" s="1"/>
  <c r="S28" i="23"/>
  <c r="S22" i="4" s="1"/>
  <c r="G28" i="23"/>
  <c r="G22" i="4" s="1"/>
  <c r="D32" i="23"/>
  <c r="D26" i="4" s="1"/>
  <c r="I28" i="23"/>
  <c r="I32" i="23"/>
  <c r="I26" i="4" s="1"/>
  <c r="H35" i="23"/>
  <c r="H29" i="4" s="1"/>
  <c r="F30" i="23"/>
  <c r="F24" i="4" s="1"/>
  <c r="J34" i="23"/>
  <c r="J28" i="4" s="1"/>
  <c r="E29" i="23"/>
  <c r="E23" i="4" s="1"/>
  <c r="I33" i="23"/>
  <c r="I27" i="4" s="1"/>
  <c r="C28" i="23"/>
  <c r="C22" i="4" s="1"/>
  <c r="M33" i="23"/>
  <c r="M27" i="4" s="1"/>
  <c r="L28" i="23"/>
  <c r="R32" i="23"/>
  <c r="R26" i="4" s="1"/>
  <c r="V29" i="23"/>
  <c r="V23" i="4" s="1"/>
  <c r="M34" i="23"/>
  <c r="M28" i="4" s="1"/>
  <c r="L33" i="23"/>
  <c r="L27" i="4" s="1"/>
  <c r="K32" i="23"/>
  <c r="K26" i="4" s="1"/>
  <c r="M30" i="23"/>
  <c r="M24" i="4" s="1"/>
  <c r="L29" i="23"/>
  <c r="K28" i="23"/>
  <c r="U35" i="23"/>
  <c r="U47" i="23" s="1"/>
  <c r="U48" i="23" s="1"/>
  <c r="U54" i="23" s="1"/>
  <c r="S34" i="23"/>
  <c r="S28" i="4" s="1"/>
  <c r="T33" i="23"/>
  <c r="U32" i="23"/>
  <c r="U26" i="4" s="1"/>
  <c r="S31" i="23"/>
  <c r="S25" i="4" s="1"/>
  <c r="T30" i="23"/>
  <c r="T24" i="4" s="1"/>
  <c r="U29" i="23"/>
  <c r="U23" i="4" s="1"/>
  <c r="V28" i="23"/>
  <c r="R28" i="23"/>
  <c r="R47" i="23" s="1"/>
  <c r="R48" i="23" s="1"/>
  <c r="R54" i="23" s="1"/>
  <c r="J30" i="23"/>
  <c r="J24" i="4" s="1"/>
  <c r="F34" i="23"/>
  <c r="F28" i="4" s="1"/>
  <c r="F28" i="23"/>
  <c r="H30" i="23"/>
  <c r="H24" i="4" s="1"/>
  <c r="H34" i="23"/>
  <c r="H28" i="4" s="1"/>
  <c r="J29" i="23"/>
  <c r="M35" i="23"/>
  <c r="M29" i="4" s="1"/>
  <c r="L34" i="23"/>
  <c r="L28" i="4" s="1"/>
  <c r="K33" i="23"/>
  <c r="K27" i="4" s="1"/>
  <c r="M31" i="23"/>
  <c r="M25" i="4" s="1"/>
  <c r="L30" i="23"/>
  <c r="L24" i="4" s="1"/>
  <c r="K29" i="23"/>
  <c r="K23" i="4" s="1"/>
  <c r="T35" i="23"/>
  <c r="T29" i="4" s="1"/>
  <c r="V34" i="23"/>
  <c r="V28" i="4" s="1"/>
  <c r="R34" i="23"/>
  <c r="R28" i="4" s="1"/>
  <c r="S33" i="23"/>
  <c r="S27" i="4" s="1"/>
  <c r="T32" i="23"/>
  <c r="T26" i="4" s="1"/>
  <c r="V31" i="23"/>
  <c r="V25" i="4" s="1"/>
  <c r="R31" i="23"/>
  <c r="R25" i="4" s="1"/>
  <c r="S30" i="23"/>
  <c r="S24" i="4" s="1"/>
  <c r="T29" i="23"/>
  <c r="T23" i="4" s="1"/>
  <c r="U28" i="23"/>
  <c r="L35" i="23"/>
  <c r="L29" i="4" s="1"/>
  <c r="K34" i="23"/>
  <c r="K28" i="4" s="1"/>
  <c r="M32" i="23"/>
  <c r="M26" i="4" s="1"/>
  <c r="L31" i="23"/>
  <c r="L25" i="4" s="1"/>
  <c r="K30" i="23"/>
  <c r="K24" i="4" s="1"/>
  <c r="M28" i="23"/>
  <c r="O33" i="23"/>
  <c r="O27" i="4" s="1"/>
  <c r="S35" i="23"/>
  <c r="S29" i="4" s="1"/>
  <c r="U34" i="23"/>
  <c r="U28" i="4" s="1"/>
  <c r="V33" i="23"/>
  <c r="V27" i="4" s="1"/>
  <c r="R33" i="23"/>
  <c r="R27" i="4" s="1"/>
  <c r="S32" i="23"/>
  <c r="S26" i="4" s="1"/>
  <c r="U31" i="23"/>
  <c r="U25" i="4" s="1"/>
  <c r="V30" i="23"/>
  <c r="V24" i="4" s="1"/>
  <c r="R30" i="23"/>
  <c r="R24" i="4" s="1"/>
  <c r="S29" i="23"/>
  <c r="T28" i="23"/>
  <c r="F32" i="1"/>
  <c r="F10" i="4" s="1"/>
  <c r="J34" i="1"/>
  <c r="J12" i="4" s="1"/>
  <c r="J30" i="1"/>
  <c r="J8" i="4" s="1"/>
  <c r="J33" i="1"/>
  <c r="J11" i="4" s="1"/>
  <c r="J29" i="1"/>
  <c r="P31" i="23"/>
  <c r="P25" i="4" s="1"/>
  <c r="Q28" i="23"/>
  <c r="H31" i="23"/>
  <c r="H25" i="4" s="1"/>
  <c r="D35" i="23"/>
  <c r="D29" i="4" s="1"/>
  <c r="G33" i="23"/>
  <c r="G27" i="4" s="1"/>
  <c r="C30" i="23"/>
  <c r="C24" i="4" s="1"/>
  <c r="E32" i="23"/>
  <c r="E26" i="4" s="1"/>
  <c r="C34" i="23"/>
  <c r="C28" i="4" s="1"/>
  <c r="C33" i="23"/>
  <c r="C27" i="4" s="1"/>
  <c r="C31" i="23"/>
  <c r="C25" i="4" s="1"/>
  <c r="E33" i="23"/>
  <c r="E27" i="4" s="1"/>
  <c r="C35" i="23"/>
  <c r="C29" i="4" s="1"/>
  <c r="E30" i="23"/>
  <c r="O43" i="23"/>
  <c r="O39" i="23"/>
  <c r="O33" i="4" s="1"/>
  <c r="O29" i="23"/>
  <c r="O23" i="4" s="1"/>
  <c r="Q33" i="23"/>
  <c r="Q27" i="4" s="1"/>
  <c r="P32" i="23"/>
  <c r="P26" i="4" s="1"/>
  <c r="Q29" i="23"/>
  <c r="Q23" i="4" s="1"/>
  <c r="P28" i="23"/>
  <c r="O42" i="23"/>
  <c r="O36" i="4" s="1"/>
  <c r="O36" i="23"/>
  <c r="O30" i="4" s="1"/>
  <c r="Q34" i="23"/>
  <c r="Q28" i="4" s="1"/>
  <c r="P33" i="23"/>
  <c r="P27" i="4" s="1"/>
  <c r="Q30" i="23"/>
  <c r="Q24" i="4" s="1"/>
  <c r="P29" i="23"/>
  <c r="F33" i="23"/>
  <c r="F27" i="4" s="1"/>
  <c r="G29" i="23"/>
  <c r="H29" i="23"/>
  <c r="F31" i="23"/>
  <c r="D33" i="23"/>
  <c r="D27" i="4" s="1"/>
  <c r="F35" i="23"/>
  <c r="F29" i="4" s="1"/>
  <c r="C32" i="23"/>
  <c r="C26" i="4" s="1"/>
  <c r="C29" i="23"/>
  <c r="D30" i="23"/>
  <c r="F32" i="23"/>
  <c r="F26" i="4" s="1"/>
  <c r="D34" i="23"/>
  <c r="D28" i="4" s="1"/>
  <c r="D31" i="23"/>
  <c r="D25" i="4" s="1"/>
  <c r="O41" i="23"/>
  <c r="O35" i="4" s="1"/>
  <c r="O35" i="23"/>
  <c r="O29" i="4" s="1"/>
  <c r="Q35" i="23"/>
  <c r="Q29" i="4" s="1"/>
  <c r="P34" i="23"/>
  <c r="P28" i="4" s="1"/>
  <c r="Q31" i="23"/>
  <c r="Q25" i="4" s="1"/>
  <c r="P30" i="23"/>
  <c r="P24" i="4" s="1"/>
  <c r="M34" i="1"/>
  <c r="M12" i="4" s="1"/>
  <c r="L33" i="1"/>
  <c r="L11" i="4" s="1"/>
  <c r="K32" i="1"/>
  <c r="K10" i="4" s="1"/>
  <c r="M30" i="1"/>
  <c r="M8" i="4" s="1"/>
  <c r="L29" i="1"/>
  <c r="L7" i="4" s="1"/>
  <c r="K28" i="1"/>
  <c r="K6" i="4" s="1"/>
  <c r="M35" i="1"/>
  <c r="M13" i="4" s="1"/>
  <c r="L34" i="1"/>
  <c r="L12" i="4" s="1"/>
  <c r="K33" i="1"/>
  <c r="K11" i="4" s="1"/>
  <c r="M31" i="1"/>
  <c r="M9" i="4" s="1"/>
  <c r="L30" i="1"/>
  <c r="L8" i="4" s="1"/>
  <c r="K29" i="1"/>
  <c r="K7" i="4" s="1"/>
  <c r="L35" i="1"/>
  <c r="L13" i="4" s="1"/>
  <c r="K34" i="1"/>
  <c r="K12" i="4" s="1"/>
  <c r="M32" i="1"/>
  <c r="M10" i="4" s="1"/>
  <c r="L31" i="1"/>
  <c r="L9" i="4" s="1"/>
  <c r="K30" i="1"/>
  <c r="K8" i="4" s="1"/>
  <c r="M28" i="1"/>
  <c r="K35" i="1"/>
  <c r="K13" i="4" s="1"/>
  <c r="M33" i="1"/>
  <c r="M11" i="4" s="1"/>
  <c r="L32" i="1"/>
  <c r="L10" i="4" s="1"/>
  <c r="K31" i="1"/>
  <c r="M29" i="1"/>
  <c r="M7" i="4" s="1"/>
  <c r="L28" i="1"/>
  <c r="L6" i="4" s="1"/>
  <c r="O9" i="12"/>
  <c r="O10" i="12" s="1"/>
  <c r="F22" i="4"/>
  <c r="M22" i="4"/>
  <c r="P6" i="4"/>
  <c r="Q6" i="4"/>
  <c r="H22" i="4"/>
  <c r="I22" i="4"/>
  <c r="D22" i="4"/>
  <c r="J6" i="4"/>
  <c r="L22" i="4"/>
  <c r="Q22" i="4"/>
  <c r="M6" i="4"/>
  <c r="U6"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P23" i="4"/>
  <c r="O29" i="1"/>
  <c r="O7" i="4" s="1"/>
  <c r="B27" i="23"/>
  <c r="B52" i="23" s="1"/>
  <c r="K45" i="23"/>
  <c r="E27" i="23"/>
  <c r="E52" i="23" s="1"/>
  <c r="Q30" i="1"/>
  <c r="Q8" i="4" s="1"/>
  <c r="B29" i="1"/>
  <c r="B7" i="4" s="1"/>
  <c r="P35" i="1"/>
  <c r="P13" i="4" s="1"/>
  <c r="P31" i="1"/>
  <c r="P9" i="4" s="1"/>
  <c r="H22" i="23"/>
  <c r="L46" i="23"/>
  <c r="L53" i="23" s="1"/>
  <c r="P37" i="1"/>
  <c r="F22" i="23"/>
  <c r="O36" i="1"/>
  <c r="H45" i="23"/>
  <c r="M47" i="1"/>
  <c r="M48" i="1" s="1"/>
  <c r="M54" i="1" s="1"/>
  <c r="R31" i="1"/>
  <c r="R9" i="4" s="1"/>
  <c r="R22" i="4"/>
  <c r="V22" i="4"/>
  <c r="T27" i="4"/>
  <c r="V57" i="1"/>
  <c r="U57" i="1"/>
  <c r="T57" i="1"/>
  <c r="S57" i="1"/>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9" i="4"/>
  <c r="B32" i="1"/>
  <c r="D28" i="1"/>
  <c r="C32" i="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E7" i="4"/>
  <c r="D17" i="4"/>
  <c r="F8" i="4"/>
  <c r="H9" i="4"/>
  <c r="J10" i="4"/>
  <c r="G7" i="4"/>
  <c r="C4" i="4"/>
  <c r="I46" i="23"/>
  <c r="I53" i="23" s="1"/>
  <c r="A47" i="22"/>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J56" i="23"/>
  <c r="K56" i="23"/>
  <c r="J56" i="1"/>
  <c r="C56" i="1"/>
  <c r="F56" i="23"/>
  <c r="D56" i="23"/>
  <c r="B56" i="1"/>
  <c r="L56" i="1"/>
  <c r="I56" i="1"/>
  <c r="P56" i="1"/>
  <c r="L56" i="23"/>
  <c r="M56" i="23"/>
  <c r="O56" i="1"/>
  <c r="G56" i="1"/>
  <c r="H56" i="1"/>
  <c r="U56" i="23"/>
  <c r="V56" i="23"/>
  <c r="Q56" i="1"/>
  <c r="B56" i="23"/>
  <c r="V78" i="4"/>
  <c r="F56" i="1"/>
  <c r="M56" i="1"/>
  <c r="Q56" i="23"/>
  <c r="H56" i="23"/>
  <c r="I56" i="23"/>
  <c r="S56" i="23"/>
  <c r="T56" i="23"/>
  <c r="D56" i="1"/>
  <c r="K56" i="1"/>
  <c r="C56" i="23"/>
  <c r="O56" i="23"/>
  <c r="G56" i="23"/>
  <c r="E56" i="23"/>
  <c r="P56" i="23"/>
  <c r="R56" i="23"/>
  <c r="R56" i="1"/>
  <c r="E56" i="1"/>
  <c r="M78" i="4"/>
  <c r="I57" i="23" l="1"/>
  <c r="I47" i="23"/>
  <c r="I48" i="23" s="1"/>
  <c r="I54" i="23" s="1"/>
  <c r="L47" i="23"/>
  <c r="L48" i="23" s="1"/>
  <c r="L54" i="23" s="1"/>
  <c r="S47" i="23"/>
  <c r="S48" i="23" s="1"/>
  <c r="S54" i="23" s="1"/>
  <c r="U46" i="23"/>
  <c r="U53" i="23" s="1"/>
  <c r="V47" i="23"/>
  <c r="V48" i="23" s="1"/>
  <c r="V54" i="23" s="1"/>
  <c r="M57" i="23"/>
  <c r="T57" i="23"/>
  <c r="V57" i="23"/>
  <c r="K57" i="23"/>
  <c r="R57" i="23"/>
  <c r="S57" i="23"/>
  <c r="U57" i="23"/>
  <c r="J57" i="23"/>
  <c r="L57" i="23"/>
  <c r="S46" i="23"/>
  <c r="S53" i="23" s="1"/>
  <c r="J46" i="23"/>
  <c r="J53" i="23" s="1"/>
  <c r="J47" i="23"/>
  <c r="J48" i="23" s="1"/>
  <c r="J54" i="23" s="1"/>
  <c r="T47" i="23"/>
  <c r="T48" i="23" s="1"/>
  <c r="T54" i="23" s="1"/>
  <c r="Q47" i="23"/>
  <c r="Q48" i="23" s="1"/>
  <c r="Q54" i="23" s="1"/>
  <c r="U29" i="4"/>
  <c r="K46" i="23"/>
  <c r="K53" i="23" s="1"/>
  <c r="M47" i="23"/>
  <c r="M48" i="23" s="1"/>
  <c r="M54" i="23" s="1"/>
  <c r="T22" i="4"/>
  <c r="T56" i="4" s="1"/>
  <c r="T75" i="4" s="1"/>
  <c r="K22" i="4"/>
  <c r="G47" i="23"/>
  <c r="G48" i="23" s="1"/>
  <c r="G54" i="23" s="1"/>
  <c r="P47" i="23"/>
  <c r="P48" i="23" s="1"/>
  <c r="P54" i="23" s="1"/>
  <c r="V46" i="23"/>
  <c r="V53" i="23" s="1"/>
  <c r="T46" i="23"/>
  <c r="T53" i="23" s="1"/>
  <c r="Q46" i="23"/>
  <c r="Q53" i="23" s="1"/>
  <c r="K47" i="23"/>
  <c r="K48" i="23" s="1"/>
  <c r="K54" i="23" s="1"/>
  <c r="M46" i="23"/>
  <c r="M53" i="23" s="1"/>
  <c r="R46" i="23"/>
  <c r="R53" i="23" s="1"/>
  <c r="S23" i="4"/>
  <c r="S57" i="4" s="1"/>
  <c r="S58" i="4" s="1"/>
  <c r="S76" i="4" s="1"/>
  <c r="U22" i="4"/>
  <c r="J23" i="4"/>
  <c r="J57" i="4" s="1"/>
  <c r="J58" i="4" s="1"/>
  <c r="J76" i="4" s="1"/>
  <c r="L23" i="4"/>
  <c r="J46" i="1"/>
  <c r="J53" i="1" s="1"/>
  <c r="M46" i="1"/>
  <c r="M53" i="1" s="1"/>
  <c r="K47" i="1"/>
  <c r="K48" i="1" s="1"/>
  <c r="K54" i="1" s="1"/>
  <c r="J47" i="1"/>
  <c r="J48" i="1" s="1"/>
  <c r="J54" i="1" s="1"/>
  <c r="J57" i="1"/>
  <c r="J7" i="4"/>
  <c r="D47" i="23"/>
  <c r="D48" i="23" s="1"/>
  <c r="D54" i="23" s="1"/>
  <c r="C57" i="23"/>
  <c r="F57" i="23"/>
  <c r="Q57" i="23"/>
  <c r="G57" i="23"/>
  <c r="P57" i="23"/>
  <c r="D57" i="23"/>
  <c r="H57" i="23"/>
  <c r="E57" i="23"/>
  <c r="F46" i="23"/>
  <c r="F53" i="23" s="1"/>
  <c r="C47" i="23"/>
  <c r="C48" i="23" s="1"/>
  <c r="C54" i="23" s="1"/>
  <c r="H46" i="23"/>
  <c r="H53" i="23" s="1"/>
  <c r="H47" i="23"/>
  <c r="H48" i="23" s="1"/>
  <c r="H54" i="23" s="1"/>
  <c r="E46" i="23"/>
  <c r="E53" i="23" s="1"/>
  <c r="C23" i="4"/>
  <c r="F25" i="4"/>
  <c r="G23" i="4"/>
  <c r="F47" i="23"/>
  <c r="F48" i="23" s="1"/>
  <c r="F54" i="23" s="1"/>
  <c r="D46" i="23"/>
  <c r="D53" i="23" s="1"/>
  <c r="D24" i="4"/>
  <c r="C46" i="23"/>
  <c r="C53" i="23" s="1"/>
  <c r="E47" i="23"/>
  <c r="E48" i="23" s="1"/>
  <c r="E54" i="23" s="1"/>
  <c r="G46" i="23"/>
  <c r="G53" i="23" s="1"/>
  <c r="P46" i="23"/>
  <c r="P53" i="23" s="1"/>
  <c r="P22" i="4"/>
  <c r="H23" i="4"/>
  <c r="E24" i="4"/>
  <c r="L57" i="1"/>
  <c r="M57" i="1"/>
  <c r="K57" i="1"/>
  <c r="K46" i="1"/>
  <c r="K53" i="1" s="1"/>
  <c r="L47" i="1"/>
  <c r="L48" i="1" s="1"/>
  <c r="L54" i="1" s="1"/>
  <c r="L46" i="1"/>
  <c r="L53" i="1" s="1"/>
  <c r="F46" i="1"/>
  <c r="F53" i="1" s="1"/>
  <c r="L63" i="4"/>
  <c r="L64" i="4" s="1"/>
  <c r="M63" i="4"/>
  <c r="M64" i="4" s="1"/>
  <c r="P47" i="1"/>
  <c r="P48" i="1" s="1"/>
  <c r="P54" i="1" s="1"/>
  <c r="D6" i="4"/>
  <c r="R6" i="4"/>
  <c r="C6" i="4"/>
  <c r="B22" i="4"/>
  <c r="I6" i="4"/>
  <c r="P7" i="4"/>
  <c r="E6" i="4"/>
  <c r="H6" i="4"/>
  <c r="F6" i="4"/>
  <c r="O6" i="4"/>
  <c r="B6" i="4"/>
  <c r="G6" i="4"/>
  <c r="Q7" i="4"/>
  <c r="K63" i="4"/>
  <c r="K64" i="4" s="1"/>
  <c r="U63" i="4"/>
  <c r="U64" i="4" s="1"/>
  <c r="J63" i="4"/>
  <c r="J64" i="4" s="1"/>
  <c r="V63" i="4"/>
  <c r="V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L56" i="4"/>
  <c r="L75" i="4" s="1"/>
  <c r="K57" i="4"/>
  <c r="K58" i="4" s="1"/>
  <c r="K76" i="4" s="1"/>
  <c r="O55" i="4"/>
  <c r="O62" i="4"/>
  <c r="F55" i="4"/>
  <c r="F62" i="4"/>
  <c r="M55" i="4"/>
  <c r="M62" i="4"/>
  <c r="J55" i="4"/>
  <c r="J62" i="4"/>
  <c r="L57" i="4"/>
  <c r="L58" i="4" s="1"/>
  <c r="L76" i="4" s="1"/>
  <c r="K56" i="4"/>
  <c r="K75" i="4" s="1"/>
  <c r="P55" i="4"/>
  <c r="P62" i="4"/>
  <c r="G55" i="4"/>
  <c r="G62" i="4"/>
  <c r="H74" i="4"/>
  <c r="H62" i="4"/>
  <c r="U22" i="33"/>
  <c r="U45" i="33"/>
  <c r="U27" i="33"/>
  <c r="U52" i="33" s="1"/>
  <c r="R45" i="33"/>
  <c r="R27" i="33"/>
  <c r="R52" i="33" s="1"/>
  <c r="R22" i="33"/>
  <c r="U56" i="4"/>
  <c r="U75" i="4" s="1"/>
  <c r="M56" i="4"/>
  <c r="M75" i="4" s="1"/>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V79" i="4"/>
  <c r="M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U78" i="4"/>
  <c r="B78" i="4"/>
  <c r="P78" i="4"/>
  <c r="D78" i="4"/>
  <c r="O78" i="4"/>
  <c r="G78" i="4"/>
  <c r="K78" i="4"/>
  <c r="Q78" i="4"/>
  <c r="I78" i="4"/>
  <c r="E78" i="4"/>
  <c r="H78" i="4"/>
  <c r="S78" i="4"/>
  <c r="C78" i="4"/>
  <c r="T78" i="4"/>
  <c r="L78" i="4"/>
  <c r="R78" i="4"/>
  <c r="J78" i="4"/>
  <c r="F78" i="4"/>
  <c r="J56" i="4" l="1"/>
  <c r="J75" i="4" s="1"/>
  <c r="T57" i="4"/>
  <c r="T58" i="4" s="1"/>
  <c r="T76" i="4" s="1"/>
  <c r="T63" i="4"/>
  <c r="T64" i="4" s="1"/>
  <c r="L79" i="4"/>
  <c r="K79" i="4"/>
  <c r="U79" i="4"/>
  <c r="S79" i="4"/>
  <c r="T79" i="4"/>
  <c r="S56" i="4"/>
  <c r="S75" i="4" s="1"/>
  <c r="S63" i="4"/>
  <c r="S64" i="4" s="1"/>
  <c r="J79" i="4"/>
  <c r="F55" i="23"/>
  <c r="C55" i="23"/>
  <c r="C63" i="4"/>
  <c r="C64" i="4" s="1"/>
  <c r="R63" i="4"/>
  <c r="R64" i="4" s="1"/>
  <c r="I57" i="4"/>
  <c r="I58" i="4" s="1"/>
  <c r="I76" i="4" s="1"/>
  <c r="H4" i="12" s="1"/>
  <c r="H56" i="4"/>
  <c r="H75" i="4" s="1"/>
  <c r="G55" i="1"/>
  <c r="V4" i="4"/>
  <c r="V55" i="4" s="1"/>
  <c r="I63" i="4"/>
  <c r="I64" i="4" s="1"/>
  <c r="F63" i="4"/>
  <c r="F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F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C56" i="4"/>
  <c r="C75" i="4" s="1"/>
  <c r="R2" i="12"/>
  <c r="R4" i="12" s="1"/>
  <c r="P56" i="4"/>
  <c r="R57" i="4"/>
  <c r="R58" i="4" s="1"/>
  <c r="R76" i="4" s="1"/>
  <c r="Q57" i="4"/>
  <c r="Q58" i="4" s="1"/>
  <c r="Q76" i="4" s="1"/>
  <c r="Q79" i="4"/>
  <c r="P79" i="4"/>
  <c r="R79" i="4"/>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H3" i="12"/>
  <c r="O59" i="1"/>
  <c r="O60" i="1" s="1"/>
  <c r="J59" i="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G3" i="12"/>
  <c r="T27" i="23"/>
  <c r="T52" i="23" s="1"/>
  <c r="T45" i="23"/>
  <c r="T22" i="23"/>
  <c r="J3" i="12"/>
  <c r="I3" i="12"/>
  <c r="T27" i="1"/>
  <c r="T52" i="1" s="1"/>
  <c r="T45" i="1"/>
  <c r="T4" i="4"/>
  <c r="T62" i="4" s="1"/>
  <c r="T22" i="1"/>
  <c r="J60" i="1"/>
  <c r="T77" i="4" l="1"/>
  <c r="F3" i="12"/>
  <c r="I4" i="12"/>
  <c r="V62" i="4"/>
  <c r="V74" i="4"/>
  <c r="Z2" i="12" s="1"/>
  <c r="AA2" i="12"/>
  <c r="P75" i="4"/>
  <c r="O81" i="4"/>
  <c r="O82" i="4" s="1"/>
  <c r="AE2" i="12"/>
  <c r="U74" i="4"/>
  <c r="Y2" i="12" s="1"/>
  <c r="U62" i="4"/>
  <c r="B6" i="12"/>
  <c r="B6" i="27"/>
  <c r="R61" i="23"/>
  <c r="U55" i="4"/>
  <c r="F3" i="27"/>
  <c r="V77" i="4"/>
  <c r="U77" i="4"/>
  <c r="O77" i="4"/>
  <c r="S77" i="4"/>
  <c r="Q77" i="4"/>
  <c r="R77" i="4"/>
  <c r="P81" i="4"/>
  <c r="P82" i="4" s="1"/>
  <c r="Q81" i="4"/>
  <c r="Q82" i="4" s="1"/>
  <c r="B86" i="4"/>
  <c r="B87" i="4"/>
  <c r="B75" i="4"/>
  <c r="C94" i="4" s="1"/>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G94" i="4" l="1"/>
  <c r="S94" i="4"/>
  <c r="N94" i="4"/>
  <c r="B94" i="4"/>
  <c r="T94" i="4"/>
  <c r="K94" i="4"/>
  <c r="M94" i="4"/>
  <c r="U94" i="4"/>
  <c r="L94" i="4"/>
  <c r="V94" i="4"/>
  <c r="R94" i="4"/>
  <c r="J94" i="4"/>
  <c r="Q94" i="4"/>
  <c r="E94" i="4"/>
  <c r="B5" i="27"/>
  <c r="P94" i="4"/>
  <c r="D94" i="4"/>
  <c r="O94" i="4"/>
  <c r="I94" i="4"/>
  <c r="H94" i="4"/>
  <c r="F94" i="4"/>
  <c r="B5" i="12"/>
  <c r="P77" i="4"/>
  <c r="AB4" i="12"/>
  <c r="AD4" i="12"/>
  <c r="AE4" i="12"/>
  <c r="Z4" i="12"/>
  <c r="W4" i="12"/>
  <c r="AG4" i="12"/>
  <c r="AC4" i="12"/>
  <c r="AH4" i="12"/>
  <c r="AF4" i="12"/>
  <c r="Y4" i="12"/>
  <c r="AA4" i="12"/>
  <c r="K77" i="4"/>
  <c r="J77" i="4"/>
  <c r="G77" i="4"/>
  <c r="F77" i="4"/>
  <c r="L77" i="4"/>
  <c r="B77" i="4"/>
  <c r="B2" i="27"/>
  <c r="G6" i="27" s="1"/>
  <c r="M77" i="4"/>
  <c r="I77" i="4"/>
  <c r="B2" i="12"/>
  <c r="E6" i="12" s="1"/>
  <c r="H77" i="4"/>
  <c r="D77" i="4"/>
  <c r="C77" i="4"/>
  <c r="E77" i="4"/>
  <c r="AG8" i="12"/>
  <c r="U8" i="12"/>
  <c r="AJ8" i="12"/>
  <c r="AB8" i="12"/>
  <c r="AB9" i="12" s="1"/>
  <c r="AB10" i="12" s="1"/>
  <c r="Z8" i="12"/>
  <c r="Z9" i="12" s="1"/>
  <c r="Z10" i="12" s="1"/>
  <c r="AC8" i="12"/>
  <c r="AC9" i="12" s="1"/>
  <c r="AC10" i="12" s="1"/>
  <c r="V8" i="12"/>
  <c r="V9" i="12" s="1"/>
  <c r="V10" i="12" s="1"/>
  <c r="X8" i="12"/>
  <c r="X9" i="12" s="1"/>
  <c r="X10" i="12" s="1"/>
  <c r="AH8" i="12"/>
  <c r="AD8" i="12"/>
  <c r="AI8" i="12"/>
  <c r="AI9" i="12" s="1"/>
  <c r="AI10" i="12" s="1"/>
  <c r="W8" i="12"/>
  <c r="W9" i="12" s="1"/>
  <c r="W10" i="12" s="1"/>
  <c r="Y8" i="12"/>
  <c r="Y9" i="12" s="1"/>
  <c r="Y10" i="12" s="1"/>
  <c r="AE8" i="12"/>
  <c r="AE9" i="12" s="1"/>
  <c r="AE10" i="12" s="1"/>
  <c r="AA8" i="12"/>
  <c r="AA9" i="12" s="1"/>
  <c r="AA10" i="12" s="1"/>
  <c r="AF8" i="12"/>
  <c r="AF9" i="12" s="1"/>
  <c r="AF10" i="12" s="1"/>
  <c r="H8" i="27"/>
  <c r="J8" i="27"/>
  <c r="I8" i="27"/>
  <c r="P83" i="4"/>
  <c r="S5" i="12"/>
  <c r="Q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I9" i="27" l="1"/>
  <c r="I10" i="27" s="1"/>
  <c r="AJ9" i="12"/>
  <c r="AJ10" i="12" s="1"/>
  <c r="J9" i="27"/>
  <c r="J10" i="27" s="1"/>
  <c r="AD9" i="12"/>
  <c r="AD10" i="12" s="1"/>
  <c r="U9" i="12"/>
  <c r="U10" i="12" s="1"/>
  <c r="H9" i="27"/>
  <c r="H10" i="27" s="1"/>
  <c r="AH9" i="12"/>
  <c r="AH10" i="12" s="1"/>
  <c r="AG9" i="12"/>
  <c r="AG10" i="12" s="1"/>
  <c r="R5" i="12"/>
  <c r="Q5" i="12"/>
  <c r="P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K12" i="22" s="1"/>
  <c r="M12" i="22" s="1"/>
  <c r="F16" i="22"/>
  <c r="G16" i="22" s="1"/>
  <c r="F22" i="22"/>
  <c r="I22" i="22" s="1"/>
  <c r="J5" i="12"/>
  <c r="F15" i="22"/>
  <c r="K15" i="22" s="1"/>
  <c r="M15" i="22" s="1"/>
  <c r="L5" i="12"/>
  <c r="F21" i="22"/>
  <c r="G21" i="22" s="1"/>
  <c r="F5" i="12"/>
  <c r="F24" i="22"/>
  <c r="K24" i="22" s="1"/>
  <c r="M24" i="22" s="1"/>
  <c r="F10" i="22"/>
  <c r="F11" i="22"/>
  <c r="F13" i="22"/>
  <c r="I13" i="22" s="1"/>
  <c r="F14" i="22"/>
  <c r="K14" i="22" s="1"/>
  <c r="M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I14" i="22"/>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12" i="22"/>
  <c r="I12" i="22"/>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G13" i="22" l="1"/>
  <c r="G24" i="22"/>
  <c r="K25" i="22"/>
  <c r="M25" i="22" s="1"/>
  <c r="G14" i="22"/>
  <c r="I24" i="22"/>
  <c r="I36" i="22"/>
  <c r="I15" i="22"/>
  <c r="G15" i="22"/>
  <c r="I34" i="22"/>
  <c r="K34" i="22" s="1"/>
  <c r="N34" i="22" s="1"/>
  <c r="I25" i="22"/>
  <c r="I32" i="22"/>
  <c r="K32" i="22" s="1"/>
  <c r="N32" i="22" s="1"/>
  <c r="I7" i="22"/>
  <c r="G3" i="28" s="1"/>
  <c r="I33" i="22"/>
  <c r="I9" i="22"/>
  <c r="K26" i="22"/>
  <c r="M26" i="22" s="1"/>
  <c r="I35" i="22"/>
  <c r="I18" i="22"/>
  <c r="K19" i="22"/>
  <c r="M19" i="22" s="1"/>
  <c r="K16" i="22"/>
  <c r="M16" i="22" s="1"/>
  <c r="I19" i="22"/>
  <c r="K18" i="22"/>
  <c r="M18" i="22" s="1"/>
  <c r="G10" i="22"/>
  <c r="I10" i="22" s="1"/>
  <c r="K10" i="22" s="1"/>
  <c r="G22" i="22"/>
  <c r="K21" i="22"/>
  <c r="M21" i="22" s="1"/>
  <c r="G11" i="22"/>
  <c r="I11" i="22" s="1"/>
  <c r="K11" i="22" s="1"/>
  <c r="M11" i="22" s="1"/>
  <c r="I17" i="22"/>
  <c r="I26" i="22"/>
  <c r="G17" i="22"/>
  <c r="K13" i="22"/>
  <c r="M13" i="22" s="1"/>
  <c r="K9" i="22"/>
  <c r="M9" i="22" s="1"/>
  <c r="I16" i="22"/>
  <c r="G20" i="22"/>
  <c r="K23" i="22"/>
  <c r="M23" i="22" s="1"/>
  <c r="I21" i="22"/>
  <c r="K22" i="22"/>
  <c r="M22" i="22" s="1"/>
  <c r="I8" i="22"/>
  <c r="K8" i="22" s="1"/>
  <c r="M8" i="22" s="1"/>
  <c r="I23" i="22"/>
  <c r="K20" i="22"/>
  <c r="M20" i="22" s="1"/>
  <c r="H3" i="28"/>
  <c r="N15" i="22"/>
  <c r="N12" i="22"/>
  <c r="N24" i="22"/>
  <c r="N25" i="22"/>
  <c r="N17" i="22"/>
  <c r="N14" i="22"/>
  <c r="L2" i="28"/>
  <c r="K3" i="28"/>
  <c r="K2" i="28"/>
  <c r="G2" i="28"/>
  <c r="G13" i="28"/>
  <c r="G14" i="28"/>
  <c r="G4" i="28"/>
  <c r="G8" i="28"/>
  <c r="G11" i="28"/>
  <c r="G12" i="28"/>
  <c r="G9" i="28"/>
  <c r="G6" i="28"/>
  <c r="G15" i="28"/>
  <c r="G7" i="28"/>
  <c r="G5" i="28"/>
  <c r="G10" i="28"/>
  <c r="H6" i="28"/>
  <c r="H15" i="28"/>
  <c r="H12" i="28"/>
  <c r="H9" i="28"/>
  <c r="H14" i="28"/>
  <c r="H10" i="28"/>
  <c r="H13" i="28"/>
  <c r="H11" i="28"/>
  <c r="H8" i="28"/>
  <c r="H5" i="28"/>
  <c r="H4" i="28"/>
  <c r="H7" i="28"/>
  <c r="H2" i="28"/>
  <c r="K7" i="22" l="1"/>
  <c r="M7" i="22" s="1"/>
  <c r="M32" i="22"/>
  <c r="M34" i="22"/>
  <c r="M36" i="22"/>
  <c r="K36" i="22"/>
  <c r="N36" i="22" s="1"/>
  <c r="N20" i="22"/>
  <c r="N26" i="22"/>
  <c r="M10" i="22"/>
  <c r="N10" i="22"/>
  <c r="K33" i="22"/>
  <c r="N33" i="22" s="1"/>
  <c r="K35" i="22"/>
  <c r="N35" i="22" s="1"/>
  <c r="N18" i="22"/>
  <c r="N13" i="22"/>
  <c r="N19" i="22"/>
  <c r="N16" i="22"/>
  <c r="N8" i="22"/>
  <c r="N21" i="22"/>
  <c r="N11" i="22"/>
  <c r="N9" i="22"/>
  <c r="N23" i="22"/>
  <c r="N22" i="22"/>
  <c r="M35" i="22" l="1"/>
  <c r="N7" i="22"/>
  <c r="M3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<sst xmlns="http://schemas.openxmlformats.org/spreadsheetml/2006/main" count="490" uniqueCount="175">
  <si>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</si>
  <si>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</si>
  <si>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</si>
  <si>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</si>
  <si>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</si>
  <si>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</si>
  <si>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</si>
  <si>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</si>
  <si>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</si>
  <si>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</si>
  <si>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</si>
  <si>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</si>
  <si>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</si>
  <si>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</si>
  <si>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</si>
  <si>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</si>
  <si>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</si>
  <si>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</si>
  <si>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</si>
  <si>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</si>
  <si>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</si>
  <si>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</si>
  <si>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</si>
  <si>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</si>
  <si>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</si>
  <si>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</si>
  <si>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</si>
  <si>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</si>
  <si>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</si>
  <si>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</si>
  <si>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</si>
  <si>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</si>
  <si>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</si>
  <si>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</si>
  <si>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</si>
  <si>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</si>
  <si>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</si>
  <si>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</si>
  <si>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</si>
  <si>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</si>
  <si>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</si>
  <si>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</si>
  <si>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</si>
  <si>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</si>
  <si>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</si>
  <si>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</si>
  <si>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</si>
  <si>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</si>
  <si>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</si>
  <si>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</si>
  <si>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</si>
  <si>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</si>
  <si>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</si>
  <si>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</si>
  <si>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</si>
  <si>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</si>
  <si>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</si>
  <si>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</si>
  <si>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</si>
  <si>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</si>
  <si>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</si>
  <si>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</si>
  <si>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</si>
  <si>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</si>
  <si>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</si>
  <si>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</si>
  <si>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</si>
  <si>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</si>
  <si>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</si>
  <si>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</si>
  <si>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</si>
  <si>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</si>
  <si>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</si>
  <si>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</si>
  <si>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</si>
  <si>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</si>
  <si>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</si>
  <si>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</si>
  <si>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</si>
  <si>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</si>
  <si>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</si>
  <si>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</si>
  <si>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</si>
  <si>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</si>
  <si>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</si>
  <si>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</si>
  <si>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</si>
  <si>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</si>
  <si>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</si>
  <si>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</si>
  <si>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</si>
  <si>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</si>
  <si>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</si>
  <si>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</si>
  <si>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</si>
  <si>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</si>
  <si>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</si>
  <si>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</si>
  <si>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</si>
  <si>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</si>
  <si>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</si>
  <si>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</si>
  <si>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</si>
  <si>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</si>
  <si>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</si>
  <si>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</si>
  <si>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</si>
  <si>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</si>
  <si>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</si>
  <si>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</si>
  <si>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</si>
  <si>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</si>
  <si>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</si>
  <si>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</si>
  <si>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</si>
  <si>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</si>
  <si>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</si>
  <si>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</si>
  <si>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</si>
  <si>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</si>
  <si>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</si>
  <si>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</si>
  <si>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</si>
  <si>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</si>
  <si>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</si>
  <si>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</si>
  <si>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</si>
  <si>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</si>
  <si>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</si>
  <si>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</si>
  <si>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</si>
  <si>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</si>
  <si>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</si>
  <si>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</si>
  <si>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</si>
  <si>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</si>
  <si>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</si>
  <si>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</si>
  <si>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</si>
  <si>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</si>
  <si>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</si>
  <si>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</si>
  <si>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</si>
  <si>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</si>
  <si>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</si>
  <si>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</si>
  <si>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</si>
  <si>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</si>
  <si>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</si>
  <si>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</si>
  <si>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</si>
  <si>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</si>
  <si>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</si>
  <si>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</si>
  <si>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</si>
  <si>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</si>
  <si>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</si>
  <si>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</si>
  <si>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</si>
  <si>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</si>
  <si>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</si>
  <si>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</si>
  <si>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</si>
  <si>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</si>
  <si>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</si>
  <si>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</si>
  <si>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Test</t>
  </si>
  <si>
    <t>Fadrozole</t>
  </si>
  <si>
    <t xml:space="preserve"> µg/L</t>
  </si>
  <si>
    <t>ns</t>
  </si>
  <si>
    <t>&gt;0,99</t>
  </si>
  <si>
    <t>***</t>
  </si>
  <si>
    <t>&lt;0,001</t>
  </si>
  <si>
    <t>**</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</si>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</sst>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1">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0.36917465692726648</c:v>
                  </c:pt>
                  <c:pt idx="2">
                    <c:v>0.47229409990554033</c:v>
                  </c:pt>
                  <c:pt idx="3">
                    <c:v>2.4347555671737044E-2</c:v>
                  </c:pt>
                  <c:pt idx="4">
                    <c:v>0.26041700572277715</c:v>
                  </c:pt>
                  <c:pt idx="5">
                    <c:v>0.47946120379474483</c:v>
                  </c:pt>
                  <c:pt idx="6">
                    <c:v>0.30094104799610638</c:v>
                  </c:pt>
                  <c:pt idx="7">
                    <c:v>0.58946552459380264</c:v>
                  </c:pt>
                  <c:pt idx="8">
                    <c:v>0.28549926067412523</c:v>
                  </c:pt>
                </c:numCache>
              </c:numRef>
            </c:plus>
            <c:minus>
              <c:numRef>
                <c:f>'R1'!$N$48:$V$48</c:f>
                <c:numCache>
                  <c:formatCode>General</c:formatCode>
                  <c:ptCount val="9"/>
                  <c:pt idx="0">
                    <c:v>0</c:v>
                  </c:pt>
                  <c:pt idx="1">
                    <c:v>0.36917465692726648</c:v>
                  </c:pt>
                  <c:pt idx="2">
                    <c:v>0.47229409990554033</c:v>
                  </c:pt>
                  <c:pt idx="3">
                    <c:v>2.4347555671737044E-2</c:v>
                  </c:pt>
                  <c:pt idx="4">
                    <c:v>0.26041700572277715</c:v>
                  </c:pt>
                  <c:pt idx="5">
                    <c:v>0.47946120379474483</c:v>
                  </c:pt>
                  <c:pt idx="6">
                    <c:v>0.30094104799610638</c:v>
                  </c:pt>
                  <c:pt idx="7">
                    <c:v>0.58946552459380264</c:v>
                  </c:pt>
                  <c:pt idx="8">
                    <c:v>0.28549926067412523</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Fadrozole-0.016µg/L</c:v>
                </c:pt>
                <c:pt idx="8">
                  <c:v>Fadrozole-0.08µg/L</c:v>
                </c:pt>
                <c:pt idx="9">
                  <c:v>Fadrozole-0.4µg/L</c:v>
                </c:pt>
                <c:pt idx="10">
                  <c:v>Fadrozole-2µg/L</c:v>
                </c:pt>
                <c:pt idx="11">
                  <c:v>Fadrozole-10 µg/L</c:v>
                </c:pt>
                <c:pt idx="13">
                  <c:v>Testo -30µg/L</c:v>
                </c:pt>
                <c:pt idx="14">
                  <c:v>Testo 30µg/L + EE2 -64ng/L</c:v>
                </c:pt>
                <c:pt idx="15">
                  <c:v>Testo 30µg/L + FAD-10µg/L</c:v>
                </c:pt>
                <c:pt idx="16">
                  <c:v>Fadrozole-0.016µg/L + Testostérone</c:v>
                </c:pt>
                <c:pt idx="17">
                  <c:v>Fadrozole-0.08µg/L + Testostérone</c:v>
                </c:pt>
                <c:pt idx="18">
                  <c:v>Fadrozole-0.4µg/L + Testostérone</c:v>
                </c:pt>
                <c:pt idx="19">
                  <c:v>Fadrozole-2µg/L + Testostérone</c:v>
                </c:pt>
                <c:pt idx="20">
                  <c:v>Fadrozole-10 µg/L + Testostérone</c:v>
                </c:pt>
              </c:strCache>
            </c:strRef>
          </c:cat>
          <c:val>
            <c:numRef>
              <c:f>'R1'!$B$53:$V$53</c:f>
              <c:numCache>
                <c:formatCode>0.0000</c:formatCode>
                <c:ptCount val="21"/>
                <c:pt idx="0">
                  <c:v>8.8883574144122346E-2</c:v>
                </c:pt>
                <c:pt idx="1">
                  <c:v>0.21461443181402268</c:v>
                </c:pt>
                <c:pt idx="2">
                  <c:v>0.55509271692906592</c:v>
                </c:pt>
                <c:pt idx="3">
                  <c:v>0.48956652872533107</c:v>
                </c:pt>
                <c:pt idx="4">
                  <c:v>3.7239819905230593</c:v>
                </c:pt>
                <c:pt idx="5">
                  <c:v>6.0217654604122393</c:v>
                </c:pt>
                <c:pt idx="6">
                  <c:v>10.064237680127739</c:v>
                </c:pt>
                <c:pt idx="7">
                  <c:v>9.6687936723997961E-2</c:v>
                </c:pt>
                <c:pt idx="8">
                  <c:v>0.13618549407591185</c:v>
                </c:pt>
                <c:pt idx="9">
                  <c:v>0.18539025069344828</c:v>
                </c:pt>
                <c:pt idx="10">
                  <c:v>9.4097160943363262E-2</c:v>
                </c:pt>
                <c:pt idx="11">
                  <c:v>9.1517929138349968E-2</c:v>
                </c:pt>
                <c:pt idx="13">
                  <c:v>1</c:v>
                </c:pt>
                <c:pt idx="14">
                  <c:v>4.1912094163898672</c:v>
                </c:pt>
                <c:pt idx="15">
                  <c:v>9.9831454427817101E-2</c:v>
                </c:pt>
                <c:pt idx="16">
                  <c:v>0.80530780991370787</c:v>
                </c:pt>
                <c:pt idx="17">
                  <c:v>1.1950732118439977</c:v>
                </c:pt>
                <c:pt idx="18">
                  <c:v>0.70168974802034412</c:v>
                </c:pt>
                <c:pt idx="19">
                  <c:v>0.89315530518958641</c:v>
                </c:pt>
                <c:pt idx="20">
                  <c:v>0.42847126553111903</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4.7487890869105367E-3</c:v>
                  </c:pt>
                  <c:pt idx="1">
                    <c:v>1.8634860109319664E-2</c:v>
                  </c:pt>
                  <c:pt idx="2">
                    <c:v>0.33281591685585354</c:v>
                  </c:pt>
                  <c:pt idx="3">
                    <c:v>0.4515840537195574</c:v>
                  </c:pt>
                  <c:pt idx="4">
                    <c:v>0.70294700206313299</c:v>
                  </c:pt>
                  <c:pt idx="5">
                    <c:v>0.48140424899945583</c:v>
                  </c:pt>
                  <c:pt idx="6">
                    <c:v>0.73481982132116441</c:v>
                  </c:pt>
                  <c:pt idx="7">
                    <c:v>3.9421539940356571E-3</c:v>
                  </c:pt>
                  <c:pt idx="8">
                    <c:v>1.0935691290587685E-2</c:v>
                  </c:pt>
                  <c:pt idx="9">
                    <c:v>8.7318815211474016E-3</c:v>
                  </c:pt>
                  <c:pt idx="10">
                    <c:v>3.9406456514134811E-2</c:v>
                  </c:pt>
                  <c:pt idx="11">
                    <c:v>3.0763386182865011E-3</c:v>
                  </c:pt>
                  <c:pt idx="13">
                    <c:v>0.24128902052892395</c:v>
                  </c:pt>
                  <c:pt idx="14">
                    <c:v>0.97600579280760891</c:v>
                  </c:pt>
                  <c:pt idx="15">
                    <c:v>1.1075188318575745E-2</c:v>
                  </c:pt>
                  <c:pt idx="16">
                    <c:v>0.35796187595936768</c:v>
                  </c:pt>
                  <c:pt idx="17">
                    <c:v>0.44473103629661914</c:v>
                  </c:pt>
                  <c:pt idx="18">
                    <c:v>0.12465143254651809</c:v>
                  </c:pt>
                  <c:pt idx="19">
                    <c:v>0.2129858651929549</c:v>
                  </c:pt>
                  <c:pt idx="20">
                    <c:v>2.2409052451917728E-2</c:v>
                  </c:pt>
                </c:numCache>
              </c:numRef>
            </c:plus>
            <c:minus>
              <c:numRef>
                <c:f>'R1'!$N$48:$V$48</c:f>
                <c:numCache>
                  <c:formatCode>General</c:formatCode>
                  <c:ptCount val="9"/>
                  <c:pt idx="0">
                    <c:v>0</c:v>
                  </c:pt>
                  <c:pt idx="1">
                    <c:v>0.36917465692726648</c:v>
                  </c:pt>
                  <c:pt idx="2">
                    <c:v>0.47229409990554033</c:v>
                  </c:pt>
                  <c:pt idx="3">
                    <c:v>2.4347555671737044E-2</c:v>
                  </c:pt>
                  <c:pt idx="4">
                    <c:v>0.26041700572277715</c:v>
                  </c:pt>
                  <c:pt idx="5">
                    <c:v>0.47946120379474483</c:v>
                  </c:pt>
                  <c:pt idx="6">
                    <c:v>0.30094104799610638</c:v>
                  </c:pt>
                  <c:pt idx="7">
                    <c:v>0.58946552459380264</c:v>
                  </c:pt>
                  <c:pt idx="8">
                    <c:v>0.28549926067412523</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Fadrozole-0.016µg/L</c:v>
                </c:pt>
                <c:pt idx="8">
                  <c:v>Fadrozole-0.08µg/L</c:v>
                </c:pt>
                <c:pt idx="9">
                  <c:v>Fadrozole-0.4µg/L</c:v>
                </c:pt>
                <c:pt idx="10">
                  <c:v>Fadrozole-2µg/L</c:v>
                </c:pt>
                <c:pt idx="11">
                  <c:v>Fadrozole-10 µg/L</c:v>
                </c:pt>
                <c:pt idx="13">
                  <c:v>Testo -30µg/L</c:v>
                </c:pt>
                <c:pt idx="14">
                  <c:v>Testo 30µg/L + EE2 -64ng/L</c:v>
                </c:pt>
                <c:pt idx="15">
                  <c:v>Testo 30µg/L + FAD-10µg/L</c:v>
                </c:pt>
                <c:pt idx="16">
                  <c:v>Fadrozole-0.016µg/L + Testostérone</c:v>
                </c:pt>
                <c:pt idx="17">
                  <c:v>Fadrozole-0.08µg/L + Testostérone</c:v>
                </c:pt>
                <c:pt idx="18">
                  <c:v>Fadrozole-0.4µg/L + Testostérone</c:v>
                </c:pt>
                <c:pt idx="19">
                  <c:v>Fadrozole-2µg/L + Testostérone</c:v>
                </c:pt>
                <c:pt idx="20">
                  <c:v>Fadrozole-10 µg/L + Testostérone</c:v>
                </c:pt>
              </c:strCache>
            </c:strRef>
          </c:cat>
          <c:val>
            <c:numRef>
              <c:f>'R2'!$B$53:$V$53</c:f>
              <c:numCache>
                <c:formatCode>0.0000</c:formatCode>
                <c:ptCount val="21"/>
                <c:pt idx="0">
                  <c:v>1.5003543806172503E-2</c:v>
                </c:pt>
                <c:pt idx="1">
                  <c:v>5.3290790996826931E-2</c:v>
                </c:pt>
                <c:pt idx="2">
                  <c:v>0.40188471415139548</c:v>
                </c:pt>
                <c:pt idx="3">
                  <c:v>1.3486353155869371</c:v>
                </c:pt>
                <c:pt idx="4">
                  <c:v>2.6183382677668421</c:v>
                </c:pt>
                <c:pt idx="5">
                  <c:v>4.0961413855164777</c:v>
                </c:pt>
                <c:pt idx="6">
                  <c:v>6.3866038466351718</c:v>
                </c:pt>
                <c:pt idx="7">
                  <c:v>1.2524843692624861E-2</c:v>
                </c:pt>
                <c:pt idx="8">
                  <c:v>2.2280166988192879E-2</c:v>
                </c:pt>
                <c:pt idx="9">
                  <c:v>2.2715193307393255E-2</c:v>
                </c:pt>
                <c:pt idx="10">
                  <c:v>5.716613946717998E-2</c:v>
                </c:pt>
                <c:pt idx="11">
                  <c:v>1.3747680294814565E-2</c:v>
                </c:pt>
                <c:pt idx="13">
                  <c:v>1.0000000000000002</c:v>
                </c:pt>
                <c:pt idx="14">
                  <c:v>9.9330878819236261</c:v>
                </c:pt>
                <c:pt idx="15">
                  <c:v>3.7451138875565483E-2</c:v>
                </c:pt>
                <c:pt idx="16">
                  <c:v>0.79204537248072782</c:v>
                </c:pt>
                <c:pt idx="17">
                  <c:v>1.3928891567881945</c:v>
                </c:pt>
                <c:pt idx="18">
                  <c:v>0.32124546350467731</c:v>
                </c:pt>
                <c:pt idx="19">
                  <c:v>0.41459606049428865</c:v>
                </c:pt>
                <c:pt idx="20">
                  <c:v>4.9787377510509684E-2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9.8476859274550261E-3</c:v>
                  </c:pt>
                  <c:pt idx="1">
                    <c:v>4.5031726309805141E-3</c:v>
                  </c:pt>
                  <c:pt idx="2">
                    <c:v>2.3450553514561059E-2</c:v>
                  </c:pt>
                  <c:pt idx="3">
                    <c:v>0.75506430949555836</c:v>
                  </c:pt>
                  <c:pt idx="4">
                    <c:v>2.7417511207046776</c:v>
                  </c:pt>
                  <c:pt idx="5">
                    <c:v>0.71668172654108686</c:v>
                  </c:pt>
                  <c:pt idx="6">
                    <c:v>1.8439146987341581</c:v>
                  </c:pt>
                  <c:pt idx="7">
                    <c:v>2.0060806435402371E-2</c:v>
                  </c:pt>
                  <c:pt idx="8">
                    <c:v>1.0301924798048421E-2</c:v>
                  </c:pt>
                  <c:pt idx="9">
                    <c:v>2.528405043734511E-2</c:v>
                  </c:pt>
                  <c:pt idx="10">
                    <c:v>1.339452955733238E-2</c:v>
                  </c:pt>
                  <c:pt idx="11">
                    <c:v>5.3451074057033624E-3</c:v>
                  </c:pt>
                  <c:pt idx="13">
                    <c:v>0.63413109113267119</c:v>
                  </c:pt>
                  <c:pt idx="14">
                    <c:v>2.2706366262814832</c:v>
                  </c:pt>
                  <c:pt idx="15">
                    <c:v>6.9386216055436434E-2</c:v>
                  </c:pt>
                  <c:pt idx="16">
                    <c:v>0.40637355056495567</c:v>
                  </c:pt>
                  <c:pt idx="17">
                    <c:v>0.35316396957888357</c:v>
                  </c:pt>
                  <c:pt idx="18">
                    <c:v>0.49270676734552754</c:v>
                  </c:pt>
                  <c:pt idx="19">
                    <c:v>0.50155647087522859</c:v>
                  </c:pt>
                  <c:pt idx="20">
                    <c:v>6.9459254416024052E-3</c:v>
                  </c:pt>
                </c:numCache>
              </c:numRef>
            </c:plus>
            <c:minus>
              <c:numRef>
                <c:f>'R1'!$N$48:$V$48</c:f>
                <c:numCache>
                  <c:formatCode>General</c:formatCode>
                  <c:ptCount val="9"/>
                  <c:pt idx="0">
                    <c:v>0</c:v>
                  </c:pt>
                  <c:pt idx="1">
                    <c:v>0.36917465692726648</c:v>
                  </c:pt>
                  <c:pt idx="2">
                    <c:v>0.47229409990554033</c:v>
                  </c:pt>
                  <c:pt idx="3">
                    <c:v>2.4347555671737044E-2</c:v>
                  </c:pt>
                  <c:pt idx="4">
                    <c:v>0.26041700572277715</c:v>
                  </c:pt>
                  <c:pt idx="5">
                    <c:v>0.47946120379474483</c:v>
                  </c:pt>
                  <c:pt idx="6">
                    <c:v>0.30094104799610638</c:v>
                  </c:pt>
                  <c:pt idx="7">
                    <c:v>0.58946552459380264</c:v>
                  </c:pt>
                  <c:pt idx="8">
                    <c:v>0.28549926067412523</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Fadrozole-0.016µg/L</c:v>
                </c:pt>
                <c:pt idx="8">
                  <c:v>Fadrozole-0.08µg/L</c:v>
                </c:pt>
                <c:pt idx="9">
                  <c:v>Fadrozole-0.4µg/L</c:v>
                </c:pt>
                <c:pt idx="10">
                  <c:v>Fadrozole-2µg/L</c:v>
                </c:pt>
                <c:pt idx="11">
                  <c:v>Fadrozole-10 µg/L</c:v>
                </c:pt>
                <c:pt idx="13">
                  <c:v>Testo -30µg/L</c:v>
                </c:pt>
                <c:pt idx="14">
                  <c:v>Testo 30µg/L + EE2 -64ng/L</c:v>
                </c:pt>
                <c:pt idx="15">
                  <c:v>Testo 30µg/L + FAD-10µg/L</c:v>
                </c:pt>
                <c:pt idx="16">
                  <c:v>Fadrozole-0.016µg/L + Testostérone</c:v>
                </c:pt>
                <c:pt idx="17">
                  <c:v>Fadrozole-0.08µg/L + Testostérone</c:v>
                </c:pt>
                <c:pt idx="18">
                  <c:v>Fadrozole-0.4µg/L + Testostérone</c:v>
                </c:pt>
                <c:pt idx="19">
                  <c:v>Fadrozole-2µg/L + Testostérone</c:v>
                </c:pt>
                <c:pt idx="20">
                  <c:v>Fadrozole-10 µg/L + Testostérone</c:v>
                </c:pt>
              </c:strCache>
            </c:strRef>
          </c:cat>
          <c:val>
            <c:numRef>
              <c:f>'R3'!$B$53:$V$53</c:f>
              <c:numCache>
                <c:formatCode>0.0000</c:formatCode>
                <c:ptCount val="21"/>
                <c:pt idx="0">
                  <c:v>2.3659826579187013E-2</c:v>
                </c:pt>
                <c:pt idx="1">
                  <c:v>1.1959057178353291E-2</c:v>
                </c:pt>
                <c:pt idx="2">
                  <c:v>6.5288064654023148E-2</c:v>
                </c:pt>
                <c:pt idx="3">
                  <c:v>2.6854682875498148</c:v>
                </c:pt>
                <c:pt idx="4">
                  <c:v>6.293861051055603</c:v>
                </c:pt>
                <c:pt idx="5">
                  <c:v>7.4665977799288124</c:v>
                </c:pt>
                <c:pt idx="6">
                  <c:v>16.00501361766181</c:v>
                </c:pt>
                <c:pt idx="7">
                  <c:v>5.0752185685879102E-2</c:v>
                </c:pt>
                <c:pt idx="8">
                  <c:v>2.8424719152811705E-2</c:v>
                </c:pt>
                <c:pt idx="9">
                  <c:v>5.0557485755111133E-2</c:v>
                </c:pt>
                <c:pt idx="10">
                  <c:v>4.7676047899453206E-2</c:v>
                </c:pt>
                <c:pt idx="11">
                  <c:v>1.6746702954285014E-2</c:v>
                </c:pt>
                <c:pt idx="13">
                  <c:v>0.99999999999999989</c:v>
                </c:pt>
                <c:pt idx="14">
                  <c:v>18.722979663862588</c:v>
                </c:pt>
                <c:pt idx="15">
                  <c:v>0.1011576662073269</c:v>
                </c:pt>
                <c:pt idx="16">
                  <c:v>0.95555819147927701</c:v>
                </c:pt>
                <c:pt idx="17">
                  <c:v>0.93887637408290181</c:v>
                </c:pt>
                <c:pt idx="18">
                  <c:v>0.83170329757287409</c:v>
                </c:pt>
                <c:pt idx="19">
                  <c:v>0.76518617068092365</c:v>
                </c:pt>
                <c:pt idx="20">
                  <c:v>2.3572014790815769E-2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FC1AA830-8993-4AEA-A2BF-5BF7E529A50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27A56ECD-8697-4AE9-A9C1-405FBA4D46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3D8F0D38-40EC-42AD-B009-24E770E4367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476D1927-D6F4-4058-9C32-6F71F425CF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62471E11-D2EA-4CDF-8544-87EA212255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A2AF4DF2-2800-461E-8E6C-7BF755A2A69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3942A53B-0C13-40F5-B591-0C485E35555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BFAAF0F4-C6E3-443C-9542-29317903DE7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92065628-90A5-442A-A097-70239B021B0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7534B7D9-85F0-4AC6-BDB3-4E2B2F768B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BE74AA6B-E74C-4198-8247-687778E71FD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EDF493D8-6599-4529-8E5E-8E279EE47D8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66015FD5-FD77-4511-B7A3-C8FDD18E325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5AE2412D-4065-4563-8494-88DEF54A651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C0A6E698-3823-4B31-B722-ECDD58C075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3E780DC7-08B9-4B24-A1F6-1EB10CFF3EA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0A9D9640-BE89-4482-AD6D-0C05AC9A111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8CEF4040-E8D9-477D-BBD2-01155B8D3C2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00C8FC5E-69E1-4C48-834B-89109FFD77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073E031E-A072-47A2-9FD7-2142C06CBB4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1.0613049063618209E-2</c:v>
                  </c:pt>
                  <c:pt idx="1">
                    <c:v>3.1659828082516175E-2</c:v>
                  </c:pt>
                  <c:pt idx="2">
                    <c:v>0.1757462258198359</c:v>
                  </c:pt>
                  <c:pt idx="3">
                    <c:v>0.34176226062383674</c:v>
                  </c:pt>
                  <c:pt idx="4">
                    <c:v>0.89607368189738235</c:v>
                  </c:pt>
                  <c:pt idx="5">
                    <c:v>0.50191857506124793</c:v>
                  </c:pt>
                  <c:pt idx="6">
                    <c:v>1.0771752407034751</c:v>
                  </c:pt>
                  <c:pt idx="7">
                    <c:v>1.4111947755091277E-2</c:v>
                  </c:pt>
                  <c:pt idx="8">
                    <c:v>2.2303267637442052E-2</c:v>
                  </c:pt>
                  <c:pt idx="9">
                    <c:v>2.188321114960854E-2</c:v>
                  </c:pt>
                  <c:pt idx="10">
                    <c:v>1.651834649453645E-2</c:v>
                  </c:pt>
                  <c:pt idx="11">
                    <c:v>1.2689106442257096E-2</c:v>
                  </c:pt>
                  <c:pt idx="13">
                    <c:v>0.25830562123417461</c:v>
                  </c:pt>
                  <c:pt idx="14">
                    <c:v>1.5552235052141077</c:v>
                  </c:pt>
                  <c:pt idx="15">
                    <c:v>2.5433736549682246E-2</c:v>
                  </c:pt>
                  <c:pt idx="16">
                    <c:v>0.19149736586142838</c:v>
                  </c:pt>
                  <c:pt idx="17">
                    <c:v>0.23987879089583367</c:v>
                  </c:pt>
                  <c:pt idx="18">
                    <c:v>0.19347247718356628</c:v>
                  </c:pt>
                  <c:pt idx="19">
                    <c:v>0.25913763983991966</c:v>
                  </c:pt>
                  <c:pt idx="20">
                    <c:v>9.9060737774059909E-2</c:v>
                  </c:pt>
                </c:numCache>
              </c:numRef>
            </c:plus>
            <c:minus>
              <c:numRef>
                <c:f>'pooled normalised values'!$B$76:$V$76</c:f>
                <c:numCache>
                  <c:formatCode>General</c:formatCode>
                  <c:ptCount val="21"/>
                  <c:pt idx="0">
                    <c:v>1.0613049063618209E-2</c:v>
                  </c:pt>
                  <c:pt idx="1">
                    <c:v>3.1659828082516175E-2</c:v>
                  </c:pt>
                  <c:pt idx="2">
                    <c:v>0.1757462258198359</c:v>
                  </c:pt>
                  <c:pt idx="3">
                    <c:v>0.34176226062383674</c:v>
                  </c:pt>
                  <c:pt idx="4">
                    <c:v>0.89607368189738235</c:v>
                  </c:pt>
                  <c:pt idx="5">
                    <c:v>0.50191857506124793</c:v>
                  </c:pt>
                  <c:pt idx="6">
                    <c:v>1.0771752407034751</c:v>
                  </c:pt>
                  <c:pt idx="7">
                    <c:v>1.4111947755091277E-2</c:v>
                  </c:pt>
                  <c:pt idx="8">
                    <c:v>2.2303267637442052E-2</c:v>
                  </c:pt>
                  <c:pt idx="9">
                    <c:v>2.188321114960854E-2</c:v>
                  </c:pt>
                  <c:pt idx="10">
                    <c:v>1.651834649453645E-2</c:v>
                  </c:pt>
                  <c:pt idx="11">
                    <c:v>1.2689106442257096E-2</c:v>
                  </c:pt>
                  <c:pt idx="13">
                    <c:v>0.25830562123417461</c:v>
                  </c:pt>
                  <c:pt idx="14">
                    <c:v>1.5552235052141077</c:v>
                  </c:pt>
                  <c:pt idx="15">
                    <c:v>2.5433736549682246E-2</c:v>
                  </c:pt>
                  <c:pt idx="16">
                    <c:v>0.19149736586142838</c:v>
                  </c:pt>
                  <c:pt idx="17">
                    <c:v>0.23987879089583367</c:v>
                  </c:pt>
                  <c:pt idx="18">
                    <c:v>0.19347247718356628</c:v>
                  </c:pt>
                  <c:pt idx="19">
                    <c:v>0.25913763983991966</c:v>
                  </c:pt>
                  <c:pt idx="20">
                    <c:v>9.9060737774059909E-2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Fadrozole-0.016µg/L</c:v>
                </c:pt>
                <c:pt idx="8">
                  <c:v>Fadrozole-0.08µg/L</c:v>
                </c:pt>
                <c:pt idx="9">
                  <c:v>Fadrozole-0.4µg/L</c:v>
                </c:pt>
                <c:pt idx="10">
                  <c:v>Fadrozole-2µg/L</c:v>
                </c:pt>
                <c:pt idx="11">
                  <c:v>Fadrozole-10 µg/L</c:v>
                </c:pt>
                <c:pt idx="13">
                  <c:v>Testo -30µg/L</c:v>
                </c:pt>
                <c:pt idx="14">
                  <c:v>Testo 30µg/L + EE2 -64ng/L</c:v>
                </c:pt>
                <c:pt idx="15">
                  <c:v>Testo 30µg/L + FAD-10µg/L</c:v>
                </c:pt>
                <c:pt idx="16">
                  <c:v>Fadrozole-0.016µg/L + Testostérone</c:v>
                </c:pt>
                <c:pt idx="17">
                  <c:v>Fadrozole-0.08µg/L + Testostérone</c:v>
                </c:pt>
                <c:pt idx="18">
                  <c:v>Fadrozole-0.4µg/L + Testostérone</c:v>
                </c:pt>
                <c:pt idx="19">
                  <c:v>Fadrozole-2µg/L + Testostérone</c:v>
                </c:pt>
                <c:pt idx="20">
                  <c:v>Fadrozole-10 µg/L + Testostérone</c:v>
                </c:pt>
              </c:strCache>
            </c:strRef>
          </c:cat>
          <c:val>
            <c:numRef>
              <c:f>'pooled normalised values'!$B$75:$V$75</c:f>
              <c:numCache>
                <c:formatCode>0.0000</c:formatCode>
                <c:ptCount val="21"/>
                <c:pt idx="0">
                  <c:v>4.3711826627377513E-2</c:v>
                </c:pt>
                <c:pt idx="1">
                  <c:v>9.3288093329734312E-2</c:v>
                </c:pt>
                <c:pt idx="2">
                  <c:v>0.33143614125855703</c:v>
                </c:pt>
                <c:pt idx="3">
                  <c:v>1.5078900439540277</c:v>
                </c:pt>
                <c:pt idx="4">
                  <c:v>4.1215473662481932</c:v>
                </c:pt>
                <c:pt idx="5">
                  <c:v>5.791714748997018</c:v>
                </c:pt>
                <c:pt idx="6">
                  <c:v>10.593122936423304</c:v>
                </c:pt>
                <c:pt idx="7">
                  <c:v>5.1436164873739899E-2</c:v>
                </c:pt>
                <c:pt idx="8">
                  <c:v>6.5655370708833038E-2</c:v>
                </c:pt>
                <c:pt idx="9">
                  <c:v>8.6220976585317521E-2</c:v>
                </c:pt>
                <c:pt idx="10">
                  <c:v>6.631311610333214E-2</c:v>
                </c:pt>
                <c:pt idx="11">
                  <c:v>4.1710947658491801E-2</c:v>
                </c:pt>
                <c:pt idx="13">
                  <c:v>1.0000000000000002</c:v>
                </c:pt>
                <c:pt idx="14">
                  <c:v>10.949092320725359</c:v>
                </c:pt>
                <c:pt idx="15">
                  <c:v>8.1307432052613482E-2</c:v>
                </c:pt>
                <c:pt idx="16">
                  <c:v>0.85353241819604231</c:v>
                </c:pt>
                <c:pt idx="17">
                  <c:v>1.1756129142383647</c:v>
                </c:pt>
                <c:pt idx="18">
                  <c:v>0.61821283636596513</c:v>
                </c:pt>
                <c:pt idx="19">
                  <c:v>0.69097917878826631</c:v>
                </c:pt>
                <c:pt idx="20">
                  <c:v>0.16727688594414816</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ns</c:v>
                  </c:pt>
                  <c:pt idx="11">
                    <c:v>ns</c:v>
                  </c:pt>
                  <c:pt idx="13">
                    <c:v>#NAME?</c:v>
                  </c:pt>
                  <c:pt idx="14">
                    <c:v>#NAME?</c:v>
                  </c:pt>
                  <c:pt idx="15">
                    <c:v>#NAME?</c:v>
                  </c:pt>
                  <c:pt idx="16">
                    <c:v>ns</c:v>
                  </c:pt>
                  <c:pt idx="17">
                    <c:v>ns</c:v>
                  </c:pt>
                  <c:pt idx="18">
                    <c:v>ns</c:v>
                  </c:pt>
                  <c:pt idx="19">
                    <c:v>ns</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Fadrozole-0.016µg/L : 0%</c:v>
                  </c:pt>
                  <c:pt idx="1">
                    <c:v>Fadrozole-0.08µg/L : 0%</c:v>
                  </c:pt>
                  <c:pt idx="2">
                    <c:v>Fadrozole-0.4µg/L : 0%</c:v>
                  </c:pt>
                  <c:pt idx="3">
                    <c:v>Fadrozole-2µg/L : 0%</c:v>
                  </c:pt>
                  <c:pt idx="4">
                    <c:v>Fadrozole-10 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Fadrozole-0.016µg/L : 0%</c:v>
                  </c:pt>
                  <c:pt idx="1">
                    <c:v>Fadrozole-0.08µg/L : 0%</c:v>
                  </c:pt>
                  <c:pt idx="2">
                    <c:v>Fadrozole-0.4µg/L : 0%</c:v>
                  </c:pt>
                  <c:pt idx="3">
                    <c:v>Fadrozole-2µg/L : 0%</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Fadrozole-0.016µg/L : 0%</c:v>
                  </c:pt>
                  <c:pt idx="1">
                    <c:v>Fadrozole-0.08µg/L : 0%</c:v>
                  </c:pt>
                  <c:pt idx="2">
                    <c:v>Fadrozole-0.4µg/L : 0%</c:v>
                  </c:pt>
                  <c:pt idx="3">
                    <c:v>Fadrozole-2µg/L : 0%</c:v>
                  </c:pt>
                  <c:pt idx="4">
                    <c:v>Fadrozole-10 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Fadrozole-0.016µg/L : 0%</c:v>
                  </c:pt>
                  <c:pt idx="1">
                    <c:v>Fadrozole-0.08µg/L : 0%</c:v>
                  </c:pt>
                  <c:pt idx="2">
                    <c:v>Fadrozole-0.4µg/L : 0%</c:v>
                  </c:pt>
                  <c:pt idx="3">
                    <c:v>Fadrozole-2µg/L : 0%</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Fadrozole-0.08µg/L</c:v>
                </c:pt>
                <c:pt idx="2">
                  <c:v>Fadrozole-0.4µg/L</c:v>
                </c:pt>
                <c:pt idx="3">
                  <c:v>Fadrozole-2µg/L</c:v>
                </c:pt>
                <c:pt idx="4">
                  <c:v>Fadrozole-10 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Fadrozole-0.08µg/L</c:v>
                </c:pt>
                <c:pt idx="2">
                  <c:v>Fadrozole-0.4µg/L</c:v>
                </c:pt>
                <c:pt idx="3">
                  <c:v>Fadrozole-2µg/L</c:v>
                </c:pt>
                <c:pt idx="4">
                  <c:v>Fadrozole-10 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Fadrozole-0.08µg/L</c:v>
                </c:pt>
                <c:pt idx="2">
                  <c:v>Fadrozole-0.4µg/L</c:v>
                </c:pt>
                <c:pt idx="3">
                  <c:v>Fadrozole-2µg/L</c:v>
                </c:pt>
                <c:pt idx="4">
                  <c:v>Fadrozole-10 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DC324E1C-15DF-40E0-A9E0-EDF83407F1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05623A2F-F4AB-4882-A17C-9D20FC1FC5E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451C0ABF-36EC-430C-81BD-025CDBF0484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535BD3FA-1130-477B-B16A-CC83B6540D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C968474E-C51F-474D-828F-CCC4E350CE2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793FEBC4-EC14-4F72-9733-D631D36E5E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7EAE84BE-A32C-4C57-83CD-E65C600A1E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3BF1BB33-009F-4ADD-BDF9-DADB2B709A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F9FACBAF-5B85-436D-AB84-4E33933D21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4DB6BDE8-B597-4016-8334-FFBD236AD0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2F9C1D93-BB03-43FA-AB68-64FBD89A63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0D41A47E-5DC9-47A1-A910-298093DC6D4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8B767D09-B2AF-4D38-95F4-9898F5C9315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3E4CC667-7E19-4FED-AC98-3344C89ECF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2.2303267637442052E-2</c:v>
                  </c:pt>
                  <c:pt idx="2">
                    <c:v>2.188321114960854E-2</c:v>
                  </c:pt>
                  <c:pt idx="3">
                    <c:v>1.651834649453645E-2</c:v>
                  </c:pt>
                  <c:pt idx="4">
                    <c:v>1.2689106442257096E-2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2.2303267637442052E-2</c:v>
                  </c:pt>
                  <c:pt idx="2">
                    <c:v>2.188321114960854E-2</c:v>
                  </c:pt>
                  <c:pt idx="3">
                    <c:v>1.651834649453645E-2</c:v>
                  </c:pt>
                  <c:pt idx="4">
                    <c:v>1.2689106442257096E-2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Fadrozole-0.08µg/L</c:v>
                </c:pt>
                <c:pt idx="2">
                  <c:v>Fadrozole-0.4µg/L</c:v>
                </c:pt>
                <c:pt idx="3">
                  <c:v>Fadrozole-2µg/L</c:v>
                </c:pt>
                <c:pt idx="4">
                  <c:v>Fadrozole-10 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6.5655370708833038E-2</c:v>
                </c:pt>
                <c:pt idx="2">
                  <c:v>8.6220976585317521E-2</c:v>
                </c:pt>
                <c:pt idx="3">
                  <c:v>6.631311610333214E-2</c:v>
                </c:pt>
                <c:pt idx="4">
                  <c:v>4.1710947658491801E-2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4.3711826627377513E-2</c:v>
                </c:pt>
                <c:pt idx="1">
                  <c:v>4.3711826627377513E-2</c:v>
                </c:pt>
                <c:pt idx="2">
                  <c:v>4.3711826627377513E-2</c:v>
                </c:pt>
                <c:pt idx="3">
                  <c:v>4.3711826627377513E-2</c:v>
                </c:pt>
                <c:pt idx="4">
                  <c:v>4.3711826627377513E-2</c:v>
                </c:pt>
                <c:pt idx="5">
                  <c:v>4.3711826627377513E-2</c:v>
                </c:pt>
                <c:pt idx="6">
                  <c:v>4.3711826627377513E-2</c:v>
                </c:pt>
                <c:pt idx="7">
                  <c:v>4.3711826627377513E-2</c:v>
                </c:pt>
                <c:pt idx="8">
                  <c:v>4.3711826627377513E-2</c:v>
                </c:pt>
                <c:pt idx="9">
                  <c:v>4.3711826627377513E-2</c:v>
                </c:pt>
                <c:pt idx="10">
                  <c:v>4.3711826627377513E-2</c:v>
                </c:pt>
                <c:pt idx="11">
                  <c:v>4.3711826627377513E-2</c:v>
                </c:pt>
                <c:pt idx="12">
                  <c:v>4.3711826627377513E-2</c:v>
                </c:pt>
                <c:pt idx="13">
                  <c:v>4.3711826627377513E-2</c:v>
                </c:pt>
                <c:pt idx="14">
                  <c:v>4.3711826627377513E-2</c:v>
                </c:pt>
                <c:pt idx="15">
                  <c:v>4.3711826627377513E-2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Fadrozole-0.016µg/L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8.1307432052613482E-2</c:v>
                </c:pt>
                <c:pt idx="1">
                  <c:v>8.1307432052613482E-2</c:v>
                </c:pt>
                <c:pt idx="2">
                  <c:v>8.1307432052613482E-2</c:v>
                </c:pt>
                <c:pt idx="3">
                  <c:v>8.1307432052613482E-2</c:v>
                </c:pt>
                <c:pt idx="4">
                  <c:v>8.1307432052613482E-2</c:v>
                </c:pt>
                <c:pt idx="5">
                  <c:v>8.1307432052613482E-2</c:v>
                </c:pt>
                <c:pt idx="6">
                  <c:v>8.1307432052613482E-2</c:v>
                </c:pt>
                <c:pt idx="7">
                  <c:v>8.1307432052613482E-2</c:v>
                </c:pt>
                <c:pt idx="8">
                  <c:v>8.1307432052613482E-2</c:v>
                </c:pt>
                <c:pt idx="9">
                  <c:v>8.1307432052613482E-2</c:v>
                </c:pt>
                <c:pt idx="10">
                  <c:v>8.1307432052613482E-2</c:v>
                </c:pt>
                <c:pt idx="11">
                  <c:v>8.1307432052613482E-2</c:v>
                </c:pt>
                <c:pt idx="12">
                  <c:v>8.1307432052613482E-2</c:v>
                </c:pt>
                <c:pt idx="13">
                  <c:v>8.1307432052613482E-2</c:v>
                </c:pt>
                <c:pt idx="14">
                  <c:v>8.1307432052613482E-2</c:v>
                </c:pt>
                <c:pt idx="15">
                  <c:v>8.1307432052613482E-2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Fadrozole-0.016µg/L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10.867784888672746</c:v>
                </c:pt>
                <c:pt idx="1">
                  <c:v>10.867784888672746</c:v>
                </c:pt>
                <c:pt idx="2">
                  <c:v>10.867784888672746</c:v>
                </c:pt>
                <c:pt idx="3">
                  <c:v>10.867784888672746</c:v>
                </c:pt>
                <c:pt idx="4">
                  <c:v>10.867784888672746</c:v>
                </c:pt>
                <c:pt idx="5">
                  <c:v>10.867784888672746</c:v>
                </c:pt>
                <c:pt idx="6">
                  <c:v>10.867784888672746</c:v>
                </c:pt>
                <c:pt idx="7">
                  <c:v>10.867784888672746</c:v>
                </c:pt>
                <c:pt idx="8">
                  <c:v>10.867784888672746</c:v>
                </c:pt>
                <c:pt idx="9">
                  <c:v>10.867784888672746</c:v>
                </c:pt>
                <c:pt idx="10">
                  <c:v>10.867784888672746</c:v>
                </c:pt>
                <c:pt idx="11">
                  <c:v>10.867784888672746</c:v>
                </c:pt>
                <c:pt idx="12">
                  <c:v>10.867784888672746</c:v>
                </c:pt>
                <c:pt idx="13">
                  <c:v>10.867784888672746</c:v>
                </c:pt>
                <c:pt idx="14">
                  <c:v>10.867784888672746</c:v>
                </c:pt>
                <c:pt idx="15">
                  <c:v>10.867784888672746</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Fadrozole-0.016µg/L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-8.3677848886727464</c:v>
                </c:pt>
                <c:pt idx="1">
                  <c:v>-8.3677848886727464</c:v>
                </c:pt>
                <c:pt idx="2">
                  <c:v>-8.3677848886727464</c:v>
                </c:pt>
                <c:pt idx="3">
                  <c:v>-8.3677848886727464</c:v>
                </c:pt>
                <c:pt idx="4">
                  <c:v>-8.3677848886727464</c:v>
                </c:pt>
                <c:pt idx="5">
                  <c:v>-8.3677848886727464</c:v>
                </c:pt>
                <c:pt idx="6">
                  <c:v>-8.3677848886727464</c:v>
                </c:pt>
                <c:pt idx="7">
                  <c:v>-8.3677848886727464</c:v>
                </c:pt>
                <c:pt idx="8">
                  <c:v>-8.3677848886727464</c:v>
                </c:pt>
                <c:pt idx="9">
                  <c:v>-8.3677848886727464</c:v>
                </c:pt>
                <c:pt idx="10">
                  <c:v>-8.3677848886727464</c:v>
                </c:pt>
                <c:pt idx="11">
                  <c:v>-8.3677848886727464</c:v>
                </c:pt>
                <c:pt idx="12">
                  <c:v>-8.3677848886727464</c:v>
                </c:pt>
                <c:pt idx="13">
                  <c:v>-8.3677848886727464</c:v>
                </c:pt>
                <c:pt idx="14">
                  <c:v>-8.3677848886727464</c:v>
                </c:pt>
                <c:pt idx="15">
                  <c:v>-8.3677848886727464</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93603AFF-E938-4BD8-9AEA-6E4142102D8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2EAED636-7DB6-44E0-AC49-08C4786C246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E61416EC-064E-42E5-821E-CF344030E66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93113A3B-70E1-4377-B479-D141B819D43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A8054243-5A86-4995-8037-EDF7C97454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6D60CE07-B335-4448-9E1E-41CC56C6A9D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C84A7E53-A879-4EC4-803D-6113B7A2AC1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B706A34D-E8B8-4416-9AF1-440CA1898C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5994841A-2D4C-48CD-A76E-ABE428D5049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A8998DEC-01A6-49A4-9989-572BABDCEC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2506A89A-2631-420D-9B16-D9E4AFE538B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A29FB56A-0DEA-44C6-97E1-794A9F21F0E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0494557D-0F5F-46AD-A8EC-E68B60BC0C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05627589-BBD3-4AB4-AFDF-0B0E872758E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0.19149736586142838</c:v>
                  </c:pt>
                  <c:pt idx="2">
                    <c:v>0.23987879089583367</c:v>
                  </c:pt>
                  <c:pt idx="3">
                    <c:v>0.19347247718356628</c:v>
                  </c:pt>
                  <c:pt idx="4">
                    <c:v>0.25913763983991966</c:v>
                  </c:pt>
                  <c:pt idx="5">
                    <c:v>9.9060737774059909E-2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0.19149736586142838</c:v>
                  </c:pt>
                  <c:pt idx="2">
                    <c:v>0.23987879089583367</c:v>
                  </c:pt>
                  <c:pt idx="3">
                    <c:v>0.19347247718356628</c:v>
                  </c:pt>
                  <c:pt idx="4">
                    <c:v>0.25913763983991966</c:v>
                  </c:pt>
                  <c:pt idx="5">
                    <c:v>9.9060737774059909E-2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Fadrozole-0.016µg/L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0.85353241819604231</c:v>
                </c:pt>
                <c:pt idx="2">
                  <c:v>1.1756129142383647</c:v>
                </c:pt>
                <c:pt idx="3">
                  <c:v>0.61821283636596513</c:v>
                </c:pt>
                <c:pt idx="4">
                  <c:v>0.69097917878826631</c:v>
                </c:pt>
                <c:pt idx="5">
                  <c:v>0.16727688594414816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Fadrozole-0.016µg/L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Fadrozole-0.08µg/L</c:v>
                </c:pt>
                <c:pt idx="2">
                  <c:v>Fadrozole-0.4µg/L</c:v>
                </c:pt>
                <c:pt idx="3">
                  <c:v>Fadrozole-2µg/L</c:v>
                </c:pt>
                <c:pt idx="4">
                  <c:v>Fadrozole-10 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Fadrozole-0.08µg/L</c:v>
                </c:pt>
                <c:pt idx="2">
                  <c:v>Fadrozole-0.4µg/L</c:v>
                </c:pt>
                <c:pt idx="3">
                  <c:v>Fadrozole-2µg/L</c:v>
                </c:pt>
                <c:pt idx="4">
                  <c:v>Fadrozole-10 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Fadrozole-0.08µg/L</c:v>
                </c:pt>
                <c:pt idx="2">
                  <c:v>Fadrozole-0.4µg/L</c:v>
                </c:pt>
                <c:pt idx="3">
                  <c:v>Fadrozole-2µg/L</c:v>
                </c:pt>
                <c:pt idx="4">
                  <c:v>Fadrozole-10 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5143A2D9-F2BD-492A-915D-A90ADBAD7B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D8E333A2-E2D7-4A24-8165-C05FAACD39A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FFC5CC4C-13A3-46BE-B46D-2B117595484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EAA33F3E-87BF-4E48-849A-E3D0E88DD96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7CFB5A24-4058-4FD9-A15E-79C56E4EDF7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C5990BF1-EDF4-44A7-AE8B-1F9CEB86BD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2D01A8BA-BCE6-47D0-A5CF-2EF9D6B7A5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0E9DC682-B852-4FDD-AEEE-BFC7033E92E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E1851DFA-4FDB-472E-B35C-E29B2DE4503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6E3FB9FC-BF8E-4318-96E2-F021BE27587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9CEDB443-F468-464B-A7A7-B7CC447897B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EA329D60-87BF-4D43-AF90-710B43B2B84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97A70870-92A8-47F7-BC91-F8115D6823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FC2BDCEA-F1A7-475B-841C-8B1E5F32C7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2.2303267637442052E-2</c:v>
                  </c:pt>
                  <c:pt idx="2">
                    <c:v>2.188321114960854E-2</c:v>
                  </c:pt>
                  <c:pt idx="3">
                    <c:v>1.651834649453645E-2</c:v>
                  </c:pt>
                  <c:pt idx="4">
                    <c:v>1.2689106442257096E-2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2.2303267637442052E-2</c:v>
                  </c:pt>
                  <c:pt idx="2">
                    <c:v>2.188321114960854E-2</c:v>
                  </c:pt>
                  <c:pt idx="3">
                    <c:v>1.651834649453645E-2</c:v>
                  </c:pt>
                  <c:pt idx="4">
                    <c:v>1.2689106442257096E-2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Fadrozole-0.08µg/L</c:v>
                </c:pt>
                <c:pt idx="2">
                  <c:v>Fadrozole-0.4µg/L</c:v>
                </c:pt>
                <c:pt idx="3">
                  <c:v>Fadrozole-2µg/L</c:v>
                </c:pt>
                <c:pt idx="4">
                  <c:v>Fadrozole-10 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6.5655370708833038E-2</c:v>
                </c:pt>
                <c:pt idx="2">
                  <c:v>8.6220976585317521E-2</c:v>
                </c:pt>
                <c:pt idx="3">
                  <c:v>6.631311610333214E-2</c:v>
                </c:pt>
                <c:pt idx="4">
                  <c:v>4.1710947658491801E-2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4.3711826627377513E-2</c:v>
                </c:pt>
                <c:pt idx="1">
                  <c:v>4.3711826627377513E-2</c:v>
                </c:pt>
                <c:pt idx="2">
                  <c:v>4.3711826627377513E-2</c:v>
                </c:pt>
                <c:pt idx="3">
                  <c:v>4.3711826627377513E-2</c:v>
                </c:pt>
                <c:pt idx="4">
                  <c:v>4.3711826627377513E-2</c:v>
                </c:pt>
                <c:pt idx="5">
                  <c:v>4.3711826627377513E-2</c:v>
                </c:pt>
                <c:pt idx="6">
                  <c:v>4.3711826627377513E-2</c:v>
                </c:pt>
                <c:pt idx="7">
                  <c:v>4.3711826627377513E-2</c:v>
                </c:pt>
                <c:pt idx="8">
                  <c:v>4.3711826627377513E-2</c:v>
                </c:pt>
                <c:pt idx="9">
                  <c:v>4.3711826627377513E-2</c:v>
                </c:pt>
                <c:pt idx="10">
                  <c:v>4.3711826627377513E-2</c:v>
                </c:pt>
                <c:pt idx="11">
                  <c:v>4.3711826627377513E-2</c:v>
                </c:pt>
                <c:pt idx="12">
                  <c:v>4.3711826627377513E-2</c:v>
                </c:pt>
                <c:pt idx="13">
                  <c:v>4.3711826627377513E-2</c:v>
                </c:pt>
                <c:pt idx="14">
                  <c:v>4.3711826627377513E-2</c:v>
                </c:pt>
                <c:pt idx="15">
                  <c:v>4.3711826627377513E-2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Fadrozole-0.016µg/L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8.1307432052613482E-2</c:v>
                </c:pt>
                <c:pt idx="1">
                  <c:v>8.1307432052613482E-2</c:v>
                </c:pt>
                <c:pt idx="2">
                  <c:v>8.1307432052613482E-2</c:v>
                </c:pt>
                <c:pt idx="3">
                  <c:v>8.1307432052613482E-2</c:v>
                </c:pt>
                <c:pt idx="4">
                  <c:v>8.1307432052613482E-2</c:v>
                </c:pt>
                <c:pt idx="5">
                  <c:v>8.1307432052613482E-2</c:v>
                </c:pt>
                <c:pt idx="6">
                  <c:v>8.1307432052613482E-2</c:v>
                </c:pt>
                <c:pt idx="7">
                  <c:v>8.1307432052613482E-2</c:v>
                </c:pt>
                <c:pt idx="8">
                  <c:v>8.1307432052613482E-2</c:v>
                </c:pt>
                <c:pt idx="9">
                  <c:v>8.1307432052613482E-2</c:v>
                </c:pt>
                <c:pt idx="10">
                  <c:v>8.1307432052613482E-2</c:v>
                </c:pt>
                <c:pt idx="11">
                  <c:v>8.1307432052613482E-2</c:v>
                </c:pt>
                <c:pt idx="12">
                  <c:v>8.1307432052613482E-2</c:v>
                </c:pt>
                <c:pt idx="13">
                  <c:v>8.1307432052613482E-2</c:v>
                </c:pt>
                <c:pt idx="14">
                  <c:v>8.1307432052613482E-2</c:v>
                </c:pt>
                <c:pt idx="15">
                  <c:v>8.1307432052613482E-2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Fadrozole-0.016µg/L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10.867784888672746</c:v>
                </c:pt>
                <c:pt idx="1">
                  <c:v>10.867784888672746</c:v>
                </c:pt>
                <c:pt idx="2">
                  <c:v>10.867784888672746</c:v>
                </c:pt>
                <c:pt idx="3">
                  <c:v>10.867784888672746</c:v>
                </c:pt>
                <c:pt idx="4">
                  <c:v>10.867784888672746</c:v>
                </c:pt>
                <c:pt idx="5">
                  <c:v>10.867784888672746</c:v>
                </c:pt>
                <c:pt idx="6">
                  <c:v>10.867784888672746</c:v>
                </c:pt>
                <c:pt idx="7">
                  <c:v>10.867784888672746</c:v>
                </c:pt>
                <c:pt idx="8">
                  <c:v>10.867784888672746</c:v>
                </c:pt>
                <c:pt idx="9">
                  <c:v>10.867784888672746</c:v>
                </c:pt>
                <c:pt idx="10">
                  <c:v>10.867784888672746</c:v>
                </c:pt>
                <c:pt idx="11">
                  <c:v>10.867784888672746</c:v>
                </c:pt>
                <c:pt idx="12">
                  <c:v>10.867784888672746</c:v>
                </c:pt>
                <c:pt idx="13">
                  <c:v>10.867784888672746</c:v>
                </c:pt>
                <c:pt idx="14">
                  <c:v>10.867784888672746</c:v>
                </c:pt>
                <c:pt idx="15">
                  <c:v>10.867784888672746</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Fadrozole-0.016µg/L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-8.3677848886727464</c:v>
                </c:pt>
                <c:pt idx="1">
                  <c:v>-8.3677848886727464</c:v>
                </c:pt>
                <c:pt idx="2">
                  <c:v>-8.3677848886727464</c:v>
                </c:pt>
                <c:pt idx="3">
                  <c:v>-8.3677848886727464</c:v>
                </c:pt>
                <c:pt idx="4">
                  <c:v>-8.3677848886727464</c:v>
                </c:pt>
                <c:pt idx="5">
                  <c:v>-8.3677848886727464</c:v>
                </c:pt>
                <c:pt idx="6">
                  <c:v>-8.3677848886727464</c:v>
                </c:pt>
                <c:pt idx="7">
                  <c:v>-8.3677848886727464</c:v>
                </c:pt>
                <c:pt idx="8">
                  <c:v>-8.3677848886727464</c:v>
                </c:pt>
                <c:pt idx="9">
                  <c:v>-8.3677848886727464</c:v>
                </c:pt>
                <c:pt idx="10">
                  <c:v>-8.3677848886727464</c:v>
                </c:pt>
                <c:pt idx="11">
                  <c:v>-8.3677848886727464</c:v>
                </c:pt>
                <c:pt idx="12">
                  <c:v>-8.3677848886727464</c:v>
                </c:pt>
                <c:pt idx="13">
                  <c:v>-8.3677848886727464</c:v>
                </c:pt>
                <c:pt idx="14">
                  <c:v>-8.3677848886727464</c:v>
                </c:pt>
                <c:pt idx="15">
                  <c:v>-8.3677848886727464</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34AB72B0-1143-4B08-8F44-4F1CC29CFA1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DAEB0CEA-9C5A-4B6B-97F1-08E89853473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7FE28C00-7548-4CF8-8770-FD33A525AD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2FAA9914-74F9-41E1-A5F0-319C3A1A1D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21D728F1-8A4E-4BB2-B5DB-2D896C8A755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639CE46C-1104-4105-B448-6E9AF3B9C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8FAED5EE-0B8A-4A1D-9A66-8DD23A55F70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55BFF9AF-DEFC-4EFE-81AD-B14AFB7C8C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6C8CB4C2-B92C-4CA5-9DF1-4090F1C1BC0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27C37A20-D381-4398-B073-A84412189B2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BEF93FA8-05CA-48FD-8EC9-9F8F07E511B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49CAB60F-9DCA-4903-9FE3-C723413990D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0731C9BC-556A-44DF-9B60-DB3680713A2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8D41F738-E519-4704-BC98-1956AB07DD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0.19149736586142838</c:v>
                  </c:pt>
                  <c:pt idx="2">
                    <c:v>0.23987879089583367</c:v>
                  </c:pt>
                  <c:pt idx="3">
                    <c:v>0.19347247718356628</c:v>
                  </c:pt>
                  <c:pt idx="4">
                    <c:v>0.25913763983991966</c:v>
                  </c:pt>
                  <c:pt idx="5">
                    <c:v>9.9060737774059909E-2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0.19149736586142838</c:v>
                  </c:pt>
                  <c:pt idx="2">
                    <c:v>0.23987879089583367</c:v>
                  </c:pt>
                  <c:pt idx="3">
                    <c:v>0.19347247718356628</c:v>
                  </c:pt>
                  <c:pt idx="4">
                    <c:v>0.25913763983991966</c:v>
                  </c:pt>
                  <c:pt idx="5">
                    <c:v>9.9060737774059909E-2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Fadrozole-0.016µg/L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0.85353241819604231</c:v>
                </c:pt>
                <c:pt idx="2">
                  <c:v>1.1756129142383647</c:v>
                </c:pt>
                <c:pt idx="3">
                  <c:v>0.61821283636596513</c:v>
                </c:pt>
                <c:pt idx="4">
                  <c:v>0.69097917878826631</c:v>
                </c:pt>
                <c:pt idx="5">
                  <c:v>0.16727688594414816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Fadrozole-0.016µg/L + Testostérone</c:v>
                </c:pt>
                <c:pt idx="2">
                  <c:v>Fadrozole-0.08µg/L + Testostérone</c:v>
                </c:pt>
                <c:pt idx="3">
                  <c:v>Fadrozole-0.4µg/L + Testostérone</c:v>
                </c:pt>
                <c:pt idx="4">
                  <c:v>Fadrozole-2µg/L + Testostérone</c:v>
                </c:pt>
                <c:pt idx="5">
                  <c:v>Fadrozole-10 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Fadrozole-0.08µg/L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Fadrozole-0.08µg/L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Fadrozole-0.08µg/L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DC9603FD-4499-4FB8-81FB-0873C0562D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19D8DE52-D778-4E76-90C7-4EFB54F047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2.2303267637442052E-2</c:v>
                  </c:pt>
                </c:numCache>
              </c:numRef>
            </c:plus>
            <c:minus>
              <c:numRef>
                <c:f>'Graph format rapport CHG 1éch'!$E$4:$G$4</c:f>
                <c:numCache>
                  <c:formatCode>General</c:formatCode>
                  <c:ptCount val="3"/>
                  <c:pt idx="1">
                    <c:v>2.2303267637442052E-2</c:v>
                  </c:pt>
                </c:numCache>
              </c:numRef>
            </c:minus>
          </c:errBars>
          <c:cat>
            <c:strRef>
              <c:f>'Graph format rapport CHG 1éch'!$E$2:$G$2</c:f>
              <c:strCache>
                <c:ptCount val="2"/>
                <c:pt idx="1">
                  <c:v>Fadrozole-0.08µg/L</c:v>
                </c:pt>
              </c:strCache>
            </c:strRef>
          </c:cat>
          <c:val>
            <c:numRef>
              <c:f>'Graph format rapport CHG 1éch'!$E$3:$G$3</c:f>
              <c:numCache>
                <c:formatCode>General</c:formatCode>
                <c:ptCount val="3"/>
                <c:pt idx="1">
                  <c:v>6.5655370708833038E-2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4.3711826627377513E-2</c:v>
                </c:pt>
                <c:pt idx="1">
                  <c:v>4.3711826627377513E-2</c:v>
                </c:pt>
                <c:pt idx="2">
                  <c:v>4.3711826627377513E-2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Fadrozole-0.016µg/L + Testostérone</c:v>
                </c:pt>
              </c:strCache>
            </c:strRef>
          </c:cat>
          <c:val>
            <c:numRef>
              <c:f>'Graph format rapport CHG 1éch'!$H$8:$J$8</c:f>
              <c:numCache>
                <c:formatCode>General</c:formatCode>
                <c:ptCount val="3"/>
                <c:pt idx="0">
                  <c:v>8.1307432052613482E-2</c:v>
                </c:pt>
                <c:pt idx="1">
                  <c:v>8.1307432052613482E-2</c:v>
                </c:pt>
                <c:pt idx="2">
                  <c:v>8.1307432052613482E-2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Fadrozole-0.016µg/L + Testostérone</c:v>
                </c:pt>
              </c:strCache>
            </c:strRef>
          </c:cat>
          <c:val>
            <c:numRef>
              <c:f>'Graph format rapport CHG 1éch'!$H$9:$J$9</c:f>
              <c:numCache>
                <c:formatCode>General</c:formatCode>
                <c:ptCount val="3"/>
                <c:pt idx="0">
                  <c:v>10.867784888672746</c:v>
                </c:pt>
                <c:pt idx="1">
                  <c:v>10.867784888672746</c:v>
                </c:pt>
                <c:pt idx="2">
                  <c:v>10.867784888672746</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Fadrozole-0.016µg/L + Testostérone</c:v>
                </c:pt>
              </c:strCache>
            </c:strRef>
          </c:cat>
          <c:val>
            <c:numRef>
              <c:f>'Graph format rapport CHG 1éch'!$H$10:$J$10</c:f>
              <c:numCache>
                <c:formatCode>General</c:formatCode>
                <c:ptCount val="3"/>
                <c:pt idx="0">
                  <c:v>-8.3677848886727464</c:v>
                </c:pt>
                <c:pt idx="1">
                  <c:v>-8.3677848886727464</c:v>
                </c:pt>
                <c:pt idx="2">
                  <c:v>-8.3677848886727464</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0C6D8C48-DA46-4EC5-A554-393EC0B6EF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AECC7CDA-340B-403A-B087-2BF6E09F9FC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0.19149736586142838</c:v>
                  </c:pt>
                </c:numCache>
              </c:numRef>
            </c:plus>
            <c:minus>
              <c:numRef>
                <c:f>'Graph format rapport CHG 1éch'!$H$4:$J$4</c:f>
                <c:numCache>
                  <c:formatCode>General</c:formatCode>
                  <c:ptCount val="3"/>
                  <c:pt idx="1">
                    <c:v>0.19149736586142838</c:v>
                  </c:pt>
                </c:numCache>
              </c:numRef>
            </c:minus>
          </c:errBars>
          <c:cat>
            <c:strRef>
              <c:f>'Graph format rapport CHG 1éch'!$H$2:$J$2</c:f>
              <c:strCache>
                <c:ptCount val="2"/>
                <c:pt idx="1">
                  <c:v>Fadrozole-0.016µg/L + Testostérone</c:v>
                </c:pt>
              </c:strCache>
            </c:strRef>
          </c:cat>
          <c:val>
            <c:numRef>
              <c:f>'Graph format rapport CHG 1éch'!$H$3:$J$3</c:f>
              <c:numCache>
                <c:formatCode>General</c:formatCode>
                <c:ptCount val="3"/>
                <c:pt idx="1">
                  <c:v>0.85353241819604231</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Fadrozole-0.016µg/L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Fadrozole-0.08µg/L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Fadrozole-0.08µg/L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Fadrozole-0.08µg/L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C1CCB24C-D3BC-4595-B4C5-2BC47901040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1F177208-DC68-4184-8600-2A88E1BABF2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2.2303267637442052E-2</c:v>
                  </c:pt>
                </c:numCache>
              </c:numRef>
            </c:plus>
            <c:minus>
              <c:numRef>
                <c:f>'Graph format rapport CHG 1éch'!$E$4:$G$4</c:f>
                <c:numCache>
                  <c:formatCode>General</c:formatCode>
                  <c:ptCount val="3"/>
                  <c:pt idx="1">
                    <c:v>2.2303267637442052E-2</c:v>
                  </c:pt>
                </c:numCache>
              </c:numRef>
            </c:minus>
          </c:errBars>
          <c:cat>
            <c:strRef>
              <c:f>'Graph format rapport CHG 1éch'!$E$2:$G$2</c:f>
              <c:strCache>
                <c:ptCount val="2"/>
                <c:pt idx="1">
                  <c:v>Fadrozole-0.08µg/L</c:v>
                </c:pt>
              </c:strCache>
            </c:strRef>
          </c:cat>
          <c:val>
            <c:numRef>
              <c:f>'Graph format rapport CHG 1éch'!$E$3:$G$3</c:f>
              <c:numCache>
                <c:formatCode>General</c:formatCode>
                <c:ptCount val="3"/>
                <c:pt idx="1">
                  <c:v>6.5655370708833038E-2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4.3711826627377513E-2</c:v>
                </c:pt>
                <c:pt idx="1">
                  <c:v>4.3711826627377513E-2</c:v>
                </c:pt>
                <c:pt idx="2">
                  <c:v>4.3711826627377513E-2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Fadrozole-0.016µg/L + Testostérone</c:v>
                </c:pt>
              </c:strCache>
            </c:strRef>
          </c:cat>
          <c:val>
            <c:numRef>
              <c:f>'Graph format rapport CHG 1éch'!$H$8:$J$8</c:f>
              <c:numCache>
                <c:formatCode>General</c:formatCode>
                <c:ptCount val="3"/>
                <c:pt idx="0">
                  <c:v>8.1307432052613482E-2</c:v>
                </c:pt>
                <c:pt idx="1">
                  <c:v>8.1307432052613482E-2</c:v>
                </c:pt>
                <c:pt idx="2">
                  <c:v>8.1307432052613482E-2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Fadrozole-0.016µg/L + Testostérone</c:v>
                </c:pt>
              </c:strCache>
            </c:strRef>
          </c:cat>
          <c:val>
            <c:numRef>
              <c:f>'Graph format rapport CHG 1éch'!$H$9:$J$9</c:f>
              <c:numCache>
                <c:formatCode>General</c:formatCode>
                <c:ptCount val="3"/>
                <c:pt idx="0">
                  <c:v>10.867784888672746</c:v>
                </c:pt>
                <c:pt idx="1">
                  <c:v>10.867784888672746</c:v>
                </c:pt>
                <c:pt idx="2">
                  <c:v>10.867784888672746</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Fadrozole-0.016µg/L + Testostérone</c:v>
                </c:pt>
              </c:strCache>
            </c:strRef>
          </c:cat>
          <c:val>
            <c:numRef>
              <c:f>'Graph format rapport CHG 1éch'!$H$10:$J$10</c:f>
              <c:numCache>
                <c:formatCode>General</c:formatCode>
                <c:ptCount val="3"/>
                <c:pt idx="0">
                  <c:v>-8.3677848886727464</c:v>
                </c:pt>
                <c:pt idx="1">
                  <c:v>-8.3677848886727464</c:v>
                </c:pt>
                <c:pt idx="2">
                  <c:v>-8.3677848886727464</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AD3D53EC-BBBB-404C-9EEE-6068D483504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1671E319-8F36-48F0-ADB2-47B9E31447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0.19149736586142838</c:v>
                  </c:pt>
                </c:numCache>
              </c:numRef>
            </c:plus>
            <c:minus>
              <c:numRef>
                <c:f>'Graph format rapport CHG 1éch'!$H$4:$J$4</c:f>
                <c:numCache>
                  <c:formatCode>General</c:formatCode>
                  <c:ptCount val="3"/>
                  <c:pt idx="1">
                    <c:v>0.19149736586142838</c:v>
                  </c:pt>
                </c:numCache>
              </c:numRef>
            </c:minus>
          </c:errBars>
          <c:cat>
            <c:strRef>
              <c:f>'Graph format rapport CHG 1éch'!$H$2:$J$2</c:f>
              <c:strCache>
                <c:ptCount val="2"/>
                <c:pt idx="1">
                  <c:v>Fadrozole-0.016µg/L + Testostérone</c:v>
                </c:pt>
              </c:strCache>
            </c:strRef>
          </c:cat>
          <c:val>
            <c:numRef>
              <c:f>'Graph format rapport CHG 1éch'!$H$3:$J$3</c:f>
              <c:numCache>
                <c:formatCode>General</c:formatCode>
                <c:ptCount val="3"/>
                <c:pt idx="1">
                  <c:v>0.85353241819604231</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Fadrozole-0.016µg/L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014376" y="9913925"/>
          <a:ext cx="8260636" cy="1056562"/>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177852" y="3792683"/>
          <a:ext cx="8260636" cy="1048398"/>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195487" y="9913925"/>
          <a:ext cx="8260636" cy="1056562"/>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358963" y="3792683"/>
          <a:ext cx="8260636" cy="1048398"/>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013892"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361108"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592592"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708331"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3"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2"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1"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13" zoomScale="55" zoomScaleNormal="55" workbookViewId="0">
      <selection activeCell="D21" sqref="D21"/>
    </sheetView>
  </sheetViews>
  <sheetFormatPr defaultColWidth="11.5546875" defaultRowHeight="39" customHeight="1" x14ac:dyDescent="0.3"/>
  <cols>
    <col min="1" max="1" width="42" bestFit="1" customWidth="1"/>
    <col min="2" max="2" width="33.77734375" style="43" bestFit="1" customWidth="1"/>
    <col min="3" max="3" width="21.21875" customWidth="1"/>
    <col min="4" max="4" width="30.44140625" customWidth="1"/>
    <col min="5" max="5" width="62.21875" style="159" bestFit="1" customWidth="1"/>
    <col min="6" max="6" width="56.77734375" bestFit="1" customWidth="1"/>
    <col min="7" max="7" width="19.44140625" customWidth="1"/>
    <col min="8" max="8" width="15.21875" customWidth="1"/>
    <col min="9" max="9" width="18" customWidth="1"/>
    <col min="10" max="10" width="19.5546875" bestFit="1" customWidth="1"/>
  </cols>
  <sheetData>
    <row r="1" spans="1:9" ht="39" customHeight="1" thickBot="1" x14ac:dyDescent="0.35">
      <c r="A1" s="194" t="s">
        <v>36</v>
      </c>
      <c r="B1" s="195"/>
      <c r="C1" s="195"/>
      <c r="D1" s="195"/>
      <c r="E1" s="195"/>
      <c r="F1" s="195"/>
      <c r="G1" s="195"/>
      <c r="H1" s="195"/>
      <c r="I1" s="196"/>
    </row>
    <row r="2" spans="1:9" ht="21" x14ac:dyDescent="0.4">
      <c r="A2" s="187" t="s">
        <v>17</v>
      </c>
      <c r="B2" s="41" t="s">
        <v>115</v>
      </c>
      <c r="C2" s="197"/>
      <c r="D2" s="198"/>
      <c r="E2" s="41" t="s">
        <v>21</v>
      </c>
      <c r="F2" s="209"/>
      <c r="G2" s="210"/>
      <c r="H2" s="210"/>
      <c r="I2" s="211"/>
    </row>
    <row r="3" spans="1:9" ht="21" x14ac:dyDescent="0.4">
      <c r="A3" s="188" t="s">
        <v>18</v>
      </c>
      <c r="B3" s="42" t="s">
        <v>115</v>
      </c>
      <c r="C3" s="199"/>
      <c r="D3" s="200"/>
      <c r="E3" s="42" t="s">
        <v>21</v>
      </c>
      <c r="F3" s="206"/>
      <c r="G3" s="207"/>
      <c r="H3" s="207"/>
      <c r="I3" s="208"/>
    </row>
    <row r="4" spans="1:9" ht="21.6" thickBot="1" x14ac:dyDescent="0.45">
      <c r="A4" s="189" t="s">
        <v>22</v>
      </c>
      <c r="B4" s="177" t="s">
        <v>115</v>
      </c>
      <c r="C4" s="201"/>
      <c r="D4" s="202"/>
      <c r="E4" s="177" t="s">
        <v>21</v>
      </c>
      <c r="F4" s="203"/>
      <c r="G4" s="204"/>
      <c r="H4" s="204"/>
      <c r="I4" s="205"/>
    </row>
    <row r="5" spans="1:9" s="1" customFormat="1" ht="65.25" customHeight="1" thickBot="1" x14ac:dyDescent="0.35">
      <c r="A5" s="194" t="s">
        <v>37</v>
      </c>
      <c r="B5" s="195"/>
      <c r="C5" s="195"/>
      <c r="D5" s="195"/>
      <c r="E5" s="195"/>
      <c r="F5" s="195"/>
      <c r="G5" s="195"/>
      <c r="H5" s="195"/>
      <c r="I5" s="196"/>
    </row>
    <row r="6" spans="1:9" s="108" customFormat="1" ht="39" customHeight="1" x14ac:dyDescent="0.4">
      <c r="A6" s="74" t="s">
        <v>35</v>
      </c>
      <c r="B6" s="99" t="s">
        <v>7</v>
      </c>
      <c r="C6" s="63" t="s">
        <v>19</v>
      </c>
      <c r="D6" s="63" t="s">
        <v>75</v>
      </c>
      <c r="E6" s="156" t="s">
        <v>51</v>
      </c>
      <c r="F6" s="107" t="s">
        <v>78</v>
      </c>
    </row>
    <row r="7" spans="1:9" s="165" customFormat="1" ht="39" customHeight="1" x14ac:dyDescent="0.4">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123</v>
      </c>
      <c r="C7" s="162"/>
      <c r="D7" s="163"/>
      <c r="E7" s="164" t="s">
        <v>125</v>
      </c>
      <c r="F7" s="109"/>
    </row>
    <row r="8" spans="1:9" s="165" customFormat="1" ht="39" customHeight="1" x14ac:dyDescent="0.4">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1" t="s">
        <v>123</v>
      </c>
      <c r="C8" s="162">
        <v>22.5</v>
      </c>
      <c r="D8" s="163" t="s">
        <v>124</v>
      </c>
      <c r="E8" s="164" t="s">
        <v>126</v>
      </c>
      <c r="F8" s="109"/>
    </row>
    <row r="9" spans="1:9" s="165" customFormat="1" ht="39" customHeight="1" x14ac:dyDescent="0.4">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1" t="s">
        <v>123</v>
      </c>
      <c r="C9" s="162">
        <v>33.799999999999997</v>
      </c>
      <c r="D9" s="163" t="s">
        <v>124</v>
      </c>
      <c r="E9" s="164" t="s">
        <v>126</v>
      </c>
      <c r="F9" s="109"/>
    </row>
    <row r="10" spans="1:9" s="165" customFormat="1" ht="39" customHeight="1" x14ac:dyDescent="0.4">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1" t="s">
        <v>123</v>
      </c>
      <c r="C10" s="162">
        <v>50.6</v>
      </c>
      <c r="D10" s="163" t="s">
        <v>124</v>
      </c>
      <c r="E10" s="164" t="s">
        <v>126</v>
      </c>
      <c r="F10" s="109"/>
    </row>
    <row r="11" spans="1:9" s="165" customFormat="1" ht="39" customHeight="1" x14ac:dyDescent="0.4">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1" t="s">
        <v>123</v>
      </c>
      <c r="C11" s="162">
        <v>76</v>
      </c>
      <c r="D11" s="163" t="s">
        <v>124</v>
      </c>
      <c r="E11" s="164" t="s">
        <v>126</v>
      </c>
      <c r="F11" s="109"/>
    </row>
    <row r="12" spans="1:9" s="165" customFormat="1" ht="39" customHeight="1" x14ac:dyDescent="0.4">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1" t="s">
        <v>123</v>
      </c>
      <c r="C12" s="162">
        <v>114</v>
      </c>
      <c r="D12" s="163" t="s">
        <v>124</v>
      </c>
      <c r="E12" s="164" t="s">
        <v>126</v>
      </c>
      <c r="F12" s="109"/>
    </row>
    <row r="13" spans="1:9" s="165" customFormat="1" ht="39" customHeight="1" x14ac:dyDescent="0.4">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1" t="s">
        <v>123</v>
      </c>
      <c r="C13" s="162">
        <v>170.9</v>
      </c>
      <c r="D13" s="163" t="s">
        <v>124</v>
      </c>
      <c r="E13" s="164" t="s">
        <v>126</v>
      </c>
      <c r="F13" s="109"/>
    </row>
    <row r="14" spans="1:9" s="165" customFormat="1" ht="39" customHeight="1" x14ac:dyDescent="0.4">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1" t="s">
        <v>123</v>
      </c>
      <c r="C14" s="162">
        <v>488</v>
      </c>
      <c r="D14" s="163" t="s">
        <v>124</v>
      </c>
      <c r="E14" s="164" t="s">
        <v>126</v>
      </c>
      <c r="F14" s="109"/>
    </row>
    <row r="15" spans="1:9" s="165" customFormat="1" ht="39" customHeight="1" x14ac:dyDescent="0.4">
      <c r="A15"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Fadrozole-0.016µg/L</v>
      </c>
      <c r="B15" s="161" t="s">
        <v>166</v>
      </c>
      <c r="C15" s="162">
        <v>1.6E-2</v>
      </c>
      <c r="D15" s="163" t="s">
        <v>127</v>
      </c>
      <c r="E15" s="164" t="s">
        <v>167</v>
      </c>
      <c r="F15" s="109"/>
    </row>
    <row r="16" spans="1:9" s="110" customFormat="1" ht="39" customHeight="1" x14ac:dyDescent="0.3">
      <c r="A16"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Fadrozole-0.08µg/L</v>
      </c>
      <c r="B16" s="161" t="s">
        <v>166</v>
      </c>
      <c r="C16" s="104">
        <v>0.08</v>
      </c>
      <c r="D16" s="163" t="s">
        <v>127</v>
      </c>
      <c r="E16" s="164" t="s">
        <v>167</v>
      </c>
      <c r="F16" s="109"/>
    </row>
    <row r="17" spans="1:6" s="110" customFormat="1" ht="39" customHeight="1" x14ac:dyDescent="0.3">
      <c r="A17"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Fadrozole-0.4µg/L</v>
      </c>
      <c r="B17" s="161" t="s">
        <v>166</v>
      </c>
      <c r="C17" s="104">
        <v>0.4</v>
      </c>
      <c r="D17" s="163" t="s">
        <v>127</v>
      </c>
      <c r="E17" s="164" t="s">
        <v>167</v>
      </c>
      <c r="F17" s="109"/>
    </row>
    <row r="18" spans="1:6" s="110" customFormat="1" ht="39" customHeight="1" x14ac:dyDescent="0.3">
      <c r="A18"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Fadrozole-2µg/L</v>
      </c>
      <c r="B18" s="161" t="s">
        <v>166</v>
      </c>
      <c r="C18" s="104">
        <v>2</v>
      </c>
      <c r="D18" s="163" t="s">
        <v>127</v>
      </c>
      <c r="E18" s="164" t="s">
        <v>167</v>
      </c>
      <c r="F18" s="109"/>
    </row>
    <row r="19" spans="1:6" s="110" customFormat="1" ht="39" customHeight="1" x14ac:dyDescent="0.3">
      <c r="A19"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Fadrozole-10 µg/L</v>
      </c>
      <c r="B19" s="161" t="s">
        <v>166</v>
      </c>
      <c r="C19" s="104">
        <v>10</v>
      </c>
      <c r="D19" s="163" t="s">
        <v>168</v>
      </c>
      <c r="E19" s="164" t="s">
        <v>167</v>
      </c>
      <c r="F19" s="109"/>
    </row>
    <row r="20" spans="1:6" s="110" customFormat="1" ht="39" customHeight="1" x14ac:dyDescent="0.3">
      <c r="A20"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39"/>
      <c r="C20" s="104"/>
      <c r="D20" s="104"/>
      <c r="E20" s="39"/>
      <c r="F20" s="109"/>
    </row>
    <row r="21" spans="1:6" s="110" customFormat="1" ht="39" customHeight="1" x14ac:dyDescent="0.3">
      <c r="A21"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0"/>
      <c r="C21" s="104"/>
      <c r="D21" s="104"/>
      <c r="E21" s="100"/>
      <c r="F21" s="109"/>
    </row>
    <row r="22" spans="1:6" s="110" customFormat="1" ht="39" customHeight="1" x14ac:dyDescent="0.3">
      <c r="A22"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39"/>
      <c r="C22" s="104"/>
      <c r="D22" s="104"/>
      <c r="E22" s="39"/>
      <c r="F22" s="109"/>
    </row>
    <row r="23" spans="1:6" s="110" customFormat="1" ht="39" customHeight="1" x14ac:dyDescent="0.3">
      <c r="A23"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0"/>
      <c r="C23" s="104"/>
      <c r="D23" s="104"/>
      <c r="E23" s="100"/>
      <c r="F23" s="109"/>
    </row>
    <row r="24" spans="1:6" s="110" customFormat="1" ht="39" customHeight="1" x14ac:dyDescent="0.3">
      <c r="A24"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39"/>
      <c r="C24" s="104"/>
      <c r="D24" s="104"/>
      <c r="E24" s="39"/>
      <c r="F24" s="109"/>
    </row>
    <row r="25" spans="1:6" s="110" customFormat="1" ht="39" customHeight="1" x14ac:dyDescent="0.3">
      <c r="A25"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0"/>
      <c r="C25" s="104"/>
      <c r="D25" s="104"/>
      <c r="E25" s="100"/>
      <c r="F25" s="109"/>
    </row>
    <row r="26" spans="1:6" s="110" customFormat="1" ht="39" customHeight="1" x14ac:dyDescent="0.3">
      <c r="A26"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39"/>
      <c r="C26" s="104"/>
      <c r="D26" s="104"/>
      <c r="E26" s="39"/>
      <c r="F26" s="109"/>
    </row>
    <row r="27" spans="1:6" s="110" customFormat="1" ht="39" customHeight="1" x14ac:dyDescent="0.3">
      <c r="A27"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0"/>
      <c r="C27" s="104"/>
      <c r="D27" s="104"/>
      <c r="E27" s="100"/>
      <c r="F27" s="109"/>
    </row>
    <row r="28" spans="1:6" s="110" customFormat="1" ht="39" customHeight="1" x14ac:dyDescent="0.3">
      <c r="A28"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39"/>
      <c r="C28" s="104"/>
      <c r="D28" s="104"/>
      <c r="E28" s="39"/>
      <c r="F28" s="109"/>
    </row>
    <row r="29" spans="1:6" s="110" customFormat="1" ht="39" customHeight="1" x14ac:dyDescent="0.3">
      <c r="A29"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0"/>
      <c r="C29" s="104"/>
      <c r="D29" s="104"/>
      <c r="E29" s="100"/>
      <c r="F29" s="109"/>
    </row>
    <row r="30" spans="1:6" s="110" customFormat="1" ht="39" customHeight="1" x14ac:dyDescent="0.3">
      <c r="A30"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39"/>
      <c r="C30" s="104"/>
      <c r="D30" s="113"/>
      <c r="E30" s="39"/>
      <c r="F30" s="109"/>
    </row>
    <row r="31" spans="1:6" s="110" customFormat="1" ht="39" customHeight="1" x14ac:dyDescent="0.3">
      <c r="A31"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0"/>
      <c r="C31" s="104"/>
      <c r="D31" s="113"/>
      <c r="E31" s="100"/>
      <c r="F31" s="109"/>
    </row>
    <row r="32" spans="1:6" s="110" customFormat="1" ht="39" customHeight="1" x14ac:dyDescent="0.3">
      <c r="A32"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39"/>
      <c r="C32" s="104"/>
      <c r="D32" s="113"/>
      <c r="E32" s="39"/>
      <c r="F32" s="109"/>
    </row>
    <row r="33" spans="1:6" s="110" customFormat="1" ht="39" customHeight="1" x14ac:dyDescent="0.3">
      <c r="A33"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0"/>
      <c r="C33" s="104"/>
      <c r="D33" s="113"/>
      <c r="E33" s="100"/>
      <c r="F33" s="109"/>
    </row>
    <row r="34" spans="1:6" s="110" customFormat="1" ht="39" customHeight="1" x14ac:dyDescent="0.3">
      <c r="A34"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39"/>
      <c r="C34" s="104"/>
      <c r="D34" s="113"/>
      <c r="E34" s="39"/>
      <c r="F34" s="109"/>
    </row>
    <row r="35" spans="1:6" s="110" customFormat="1" ht="39" customHeight="1" thickBot="1" x14ac:dyDescent="0.35">
      <c r="A35" s="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6"/>
      <c r="C35" s="167"/>
      <c r="D35" s="114"/>
      <c r="E35" s="166"/>
      <c r="F35" s="109"/>
    </row>
    <row r="36" spans="1:6" s="110" customFormat="1" ht="39" customHeight="1" x14ac:dyDescent="0.3">
      <c r="A36" s="1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1" t="s">
        <v>123</v>
      </c>
      <c r="C36" s="105">
        <v>30</v>
      </c>
      <c r="D36" s="115" t="s">
        <v>127</v>
      </c>
      <c r="E36" s="157" t="s">
        <v>20</v>
      </c>
      <c r="F36" s="169"/>
    </row>
    <row r="37" spans="1:6" s="110" customFormat="1" ht="39" customHeight="1" thickBot="1" x14ac:dyDescent="0.35">
      <c r="A37"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2" t="s">
        <v>123</v>
      </c>
      <c r="C37" s="106">
        <v>64</v>
      </c>
      <c r="D37" s="116" t="s">
        <v>124</v>
      </c>
      <c r="E37" s="158" t="s">
        <v>128</v>
      </c>
      <c r="F37" s="171"/>
    </row>
    <row r="38" spans="1:6" s="110" customFormat="1" ht="39" customHeight="1" thickBot="1" x14ac:dyDescent="0.35">
      <c r="A38"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3" t="s">
        <v>123</v>
      </c>
      <c r="C38" s="174">
        <v>10</v>
      </c>
      <c r="D38" s="115" t="s">
        <v>127</v>
      </c>
      <c r="E38" s="175" t="s">
        <v>129</v>
      </c>
      <c r="F38" s="176"/>
    </row>
    <row r="39" spans="1:6" s="110" customFormat="1" ht="39" customHeight="1" x14ac:dyDescent="0.3">
      <c r="A39" s="5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Fadrozole-0.016µg/L + Testostérone</v>
      </c>
      <c r="B39" s="190" t="str">
        <f>B15</f>
        <v>Test</v>
      </c>
      <c r="C39" s="190">
        <f t="shared" ref="C39:E39" si="0">C15</f>
        <v>1.6E-2</v>
      </c>
      <c r="D39" s="190" t="str">
        <f t="shared" si="0"/>
        <v>µg/L</v>
      </c>
      <c r="E39" s="190" t="str">
        <f t="shared" si="0"/>
        <v>Fadrozole</v>
      </c>
      <c r="F39" s="111" t="s">
        <v>50</v>
      </c>
    </row>
    <row r="40" spans="1:6" s="110" customFormat="1" ht="39" customHeight="1" x14ac:dyDescent="0.3">
      <c r="A40"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Fadrozole-0.08µg/L + Testostérone</v>
      </c>
      <c r="B40" s="192" t="str">
        <f t="shared" ref="B40:E40" si="1">B16</f>
        <v>Test</v>
      </c>
      <c r="C40" s="192">
        <f t="shared" si="1"/>
        <v>0.08</v>
      </c>
      <c r="D40" s="192" t="str">
        <f t="shared" si="1"/>
        <v>µg/L</v>
      </c>
      <c r="E40" s="192" t="str">
        <f t="shared" si="1"/>
        <v>Fadrozole</v>
      </c>
      <c r="F40" s="112" t="s">
        <v>50</v>
      </c>
    </row>
    <row r="41" spans="1:6" s="110" customFormat="1" ht="39" customHeight="1" x14ac:dyDescent="0.3">
      <c r="A41"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Fadrozole-0.4µg/L + Testostérone</v>
      </c>
      <c r="B41" s="192" t="str">
        <f t="shared" ref="B41:E41" si="2">B17</f>
        <v>Test</v>
      </c>
      <c r="C41" s="192">
        <f t="shared" si="2"/>
        <v>0.4</v>
      </c>
      <c r="D41" s="192" t="str">
        <f t="shared" si="2"/>
        <v>µg/L</v>
      </c>
      <c r="E41" s="192" t="str">
        <f t="shared" si="2"/>
        <v>Fadrozole</v>
      </c>
      <c r="F41" s="112" t="s">
        <v>50</v>
      </c>
    </row>
    <row r="42" spans="1:6" s="110" customFormat="1" ht="39" customHeight="1" x14ac:dyDescent="0.3">
      <c r="A42"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Fadrozole-2µg/L + Testostérone</v>
      </c>
      <c r="B42" s="192" t="str">
        <f t="shared" ref="B42:E42" si="3">B18</f>
        <v>Test</v>
      </c>
      <c r="C42" s="192">
        <f t="shared" si="3"/>
        <v>2</v>
      </c>
      <c r="D42" s="192" t="str">
        <f t="shared" si="3"/>
        <v>µg/L</v>
      </c>
      <c r="E42" s="192" t="str">
        <f t="shared" si="3"/>
        <v>Fadrozole</v>
      </c>
      <c r="F42" s="112" t="s">
        <v>50</v>
      </c>
    </row>
    <row r="43" spans="1:6" s="110" customFormat="1" ht="39" customHeight="1" x14ac:dyDescent="0.3">
      <c r="A43"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Fadrozole-10 µg/L + Testostérone</v>
      </c>
      <c r="B43" s="192" t="str">
        <f t="shared" ref="B43:E43" si="4">B19</f>
        <v>Test</v>
      </c>
      <c r="C43" s="192">
        <f t="shared" si="4"/>
        <v>10</v>
      </c>
      <c r="D43" s="192" t="str">
        <f t="shared" si="4"/>
        <v xml:space="preserve"> µg/L</v>
      </c>
      <c r="E43" s="192" t="str">
        <f t="shared" si="4"/>
        <v>Fadrozole</v>
      </c>
      <c r="F43" s="112" t="s">
        <v>50</v>
      </c>
    </row>
    <row r="44" spans="1:6" s="110" customFormat="1" ht="39" customHeight="1" x14ac:dyDescent="0.3">
      <c r="A44"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2">
        <f t="shared" ref="B44:E44" si="5">B20</f>
        <v>0</v>
      </c>
      <c r="C44" s="192">
        <f t="shared" si="5"/>
        <v>0</v>
      </c>
      <c r="D44" s="192">
        <f t="shared" si="5"/>
        <v>0</v>
      </c>
      <c r="E44" s="192">
        <f t="shared" si="5"/>
        <v>0</v>
      </c>
      <c r="F44" s="112" t="s">
        <v>50</v>
      </c>
    </row>
    <row r="45" spans="1:6" s="110" customFormat="1" ht="39" customHeight="1" x14ac:dyDescent="0.3">
      <c r="A4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2">
        <f t="shared" ref="B45:E45" si="6">B21</f>
        <v>0</v>
      </c>
      <c r="C45" s="192">
        <f t="shared" si="6"/>
        <v>0</v>
      </c>
      <c r="D45" s="192">
        <f t="shared" si="6"/>
        <v>0</v>
      </c>
      <c r="E45" s="192">
        <f t="shared" si="6"/>
        <v>0</v>
      </c>
      <c r="F45" s="112" t="s">
        <v>50</v>
      </c>
    </row>
    <row r="46" spans="1:6" s="110" customFormat="1" ht="39" customHeight="1" x14ac:dyDescent="0.3">
      <c r="A46"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2">
        <f t="shared" ref="B46:E46" si="7">B22</f>
        <v>0</v>
      </c>
      <c r="C46" s="192">
        <f t="shared" si="7"/>
        <v>0</v>
      </c>
      <c r="D46" s="192">
        <f t="shared" si="7"/>
        <v>0</v>
      </c>
      <c r="E46" s="192">
        <f t="shared" si="7"/>
        <v>0</v>
      </c>
      <c r="F46" s="112" t="s">
        <v>50</v>
      </c>
    </row>
    <row r="47" spans="1:6" s="110" customFormat="1" ht="39" customHeight="1" x14ac:dyDescent="0.3">
      <c r="A47"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2">
        <f t="shared" ref="B47:E47" si="8">B23</f>
        <v>0</v>
      </c>
      <c r="C47" s="192">
        <f t="shared" si="8"/>
        <v>0</v>
      </c>
      <c r="D47" s="192">
        <f t="shared" si="8"/>
        <v>0</v>
      </c>
      <c r="E47" s="192">
        <f t="shared" si="8"/>
        <v>0</v>
      </c>
      <c r="F47" s="112" t="s">
        <v>50</v>
      </c>
    </row>
    <row r="48" spans="1:6" s="110" customFormat="1" ht="39" customHeight="1" x14ac:dyDescent="0.3">
      <c r="A48"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2">
        <f t="shared" ref="B48:E48" si="9">B24</f>
        <v>0</v>
      </c>
      <c r="C48" s="192">
        <f t="shared" si="9"/>
        <v>0</v>
      </c>
      <c r="D48" s="192">
        <f t="shared" si="9"/>
        <v>0</v>
      </c>
      <c r="E48" s="192">
        <f t="shared" si="9"/>
        <v>0</v>
      </c>
      <c r="F48" s="112" t="s">
        <v>50</v>
      </c>
    </row>
    <row r="49" spans="1:6" s="110" customFormat="1" ht="39" customHeight="1" x14ac:dyDescent="0.3">
      <c r="A49"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2">
        <f t="shared" ref="B49:E49" si="10">B25</f>
        <v>0</v>
      </c>
      <c r="C49" s="192">
        <f t="shared" si="10"/>
        <v>0</v>
      </c>
      <c r="D49" s="192">
        <f t="shared" si="10"/>
        <v>0</v>
      </c>
      <c r="E49" s="192">
        <f t="shared" si="10"/>
        <v>0</v>
      </c>
      <c r="F49" s="112" t="s">
        <v>50</v>
      </c>
    </row>
    <row r="50" spans="1:6" s="110" customFormat="1" ht="39" customHeight="1" x14ac:dyDescent="0.3">
      <c r="A50"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2">
        <f t="shared" ref="B50:E50" si="11">B26</f>
        <v>0</v>
      </c>
      <c r="C50" s="192">
        <f t="shared" si="11"/>
        <v>0</v>
      </c>
      <c r="D50" s="192">
        <f t="shared" si="11"/>
        <v>0</v>
      </c>
      <c r="E50" s="192">
        <f t="shared" si="11"/>
        <v>0</v>
      </c>
      <c r="F50" s="112" t="s">
        <v>50</v>
      </c>
    </row>
    <row r="51" spans="1:6" s="110" customFormat="1" ht="39" customHeight="1" x14ac:dyDescent="0.3">
      <c r="A51"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2">
        <f t="shared" ref="B51:E51" si="12">B27</f>
        <v>0</v>
      </c>
      <c r="C51" s="192">
        <f t="shared" si="12"/>
        <v>0</v>
      </c>
      <c r="D51" s="192">
        <f t="shared" si="12"/>
        <v>0</v>
      </c>
      <c r="E51" s="192">
        <f t="shared" si="12"/>
        <v>0</v>
      </c>
      <c r="F51" s="112" t="s">
        <v>50</v>
      </c>
    </row>
    <row r="52" spans="1:6" s="110" customFormat="1" ht="39" customHeight="1" x14ac:dyDescent="0.3">
      <c r="A52"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2">
        <f t="shared" ref="B52:E52" si="13">B28</f>
        <v>0</v>
      </c>
      <c r="C52" s="192">
        <f t="shared" si="13"/>
        <v>0</v>
      </c>
      <c r="D52" s="192">
        <f t="shared" si="13"/>
        <v>0</v>
      </c>
      <c r="E52" s="192">
        <f t="shared" si="13"/>
        <v>0</v>
      </c>
      <c r="F52" s="112" t="s">
        <v>50</v>
      </c>
    </row>
    <row r="53" spans="1:6" s="110" customFormat="1" ht="39" customHeight="1" x14ac:dyDescent="0.3">
      <c r="A53"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2">
        <f t="shared" ref="B53:E53" si="14">B29</f>
        <v>0</v>
      </c>
      <c r="C53" s="192">
        <f t="shared" si="14"/>
        <v>0</v>
      </c>
      <c r="D53" s="192">
        <f t="shared" si="14"/>
        <v>0</v>
      </c>
      <c r="E53" s="192">
        <f t="shared" si="14"/>
        <v>0</v>
      </c>
      <c r="F53" s="112" t="s">
        <v>50</v>
      </c>
    </row>
    <row r="54" spans="1:6" s="110" customFormat="1" ht="39" customHeight="1" x14ac:dyDescent="0.3">
      <c r="A54"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2">
        <f t="shared" ref="B54:E54" si="15">B30</f>
        <v>0</v>
      </c>
      <c r="C54" s="192">
        <f t="shared" si="15"/>
        <v>0</v>
      </c>
      <c r="D54" s="192">
        <f t="shared" si="15"/>
        <v>0</v>
      </c>
      <c r="E54" s="192">
        <f t="shared" si="15"/>
        <v>0</v>
      </c>
      <c r="F54" s="112" t="s">
        <v>50</v>
      </c>
    </row>
    <row r="55" spans="1:6" s="110" customFormat="1" ht="39" customHeight="1" x14ac:dyDescent="0.3">
      <c r="A5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2">
        <f t="shared" ref="B55:E55" si="16">B31</f>
        <v>0</v>
      </c>
      <c r="C55" s="192">
        <f t="shared" si="16"/>
        <v>0</v>
      </c>
      <c r="D55" s="192">
        <f t="shared" si="16"/>
        <v>0</v>
      </c>
      <c r="E55" s="192">
        <f t="shared" si="16"/>
        <v>0</v>
      </c>
      <c r="F55" s="112" t="s">
        <v>50</v>
      </c>
    </row>
    <row r="56" spans="1:6" s="110" customFormat="1" ht="39" customHeight="1" x14ac:dyDescent="0.3">
      <c r="A56"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2">
        <f t="shared" ref="B56:E56" si="17">B32</f>
        <v>0</v>
      </c>
      <c r="C56" s="192">
        <f t="shared" si="17"/>
        <v>0</v>
      </c>
      <c r="D56" s="192">
        <f t="shared" si="17"/>
        <v>0</v>
      </c>
      <c r="E56" s="192">
        <f t="shared" si="17"/>
        <v>0</v>
      </c>
      <c r="F56" s="112" t="s">
        <v>50</v>
      </c>
    </row>
    <row r="57" spans="1:6" s="110" customFormat="1" ht="39" customHeight="1" x14ac:dyDescent="0.3">
      <c r="A57"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2">
        <f t="shared" ref="B57:E57" si="18">B33</f>
        <v>0</v>
      </c>
      <c r="C57" s="192">
        <f t="shared" si="18"/>
        <v>0</v>
      </c>
      <c r="D57" s="192">
        <f t="shared" si="18"/>
        <v>0</v>
      </c>
      <c r="E57" s="192">
        <f t="shared" si="18"/>
        <v>0</v>
      </c>
      <c r="F57" s="112" t="s">
        <v>50</v>
      </c>
    </row>
    <row r="58" spans="1:6" s="110" customFormat="1" ht="39" customHeight="1" x14ac:dyDescent="0.3">
      <c r="A58" s="10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1">
        <f t="shared" ref="B58:E58" si="19">B34</f>
        <v>0</v>
      </c>
      <c r="C58" s="191">
        <f t="shared" si="19"/>
        <v>0</v>
      </c>
      <c r="D58" s="191">
        <f t="shared" si="19"/>
        <v>0</v>
      </c>
      <c r="E58" s="191">
        <f t="shared" si="19"/>
        <v>0</v>
      </c>
      <c r="F58" s="112"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4"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5546875" defaultRowHeight="14.4" x14ac:dyDescent="0.3"/>
  <cols>
    <col min="1" max="1" width="14.21875" customWidth="1"/>
    <col min="2" max="2" width="14" customWidth="1"/>
    <col min="3" max="3" width="11.5546875" customWidth="1"/>
    <col min="4" max="4" width="12.44140625" customWidth="1"/>
    <col min="5" max="5" width="17.21875" customWidth="1"/>
    <col min="7" max="7" width="19.5546875" customWidth="1"/>
    <col min="9" max="9" width="15.77734375" customWidth="1"/>
  </cols>
  <sheetData>
    <row r="1" spans="1:9" x14ac:dyDescent="0.3">
      <c r="A1" t="s">
        <v>107</v>
      </c>
      <c r="B1" t="s">
        <v>108</v>
      </c>
      <c r="C1" t="s">
        <v>109</v>
      </c>
      <c r="D1" t="s">
        <v>110</v>
      </c>
      <c r="E1" t="s">
        <v>111</v>
      </c>
      <c r="F1" t="s">
        <v>112</v>
      </c>
      <c r="G1" t="s">
        <v>113</v>
      </c>
      <c r="H1" t="s">
        <v>117</v>
      </c>
      <c r="I1" t="s">
        <v>118</v>
      </c>
    </row>
    <row r="2" spans="1:9" x14ac:dyDescent="0.3">
      <c r="A2" t="s">
        <v>152</v>
      </c>
      <c r="B2" t="s">
        <v>163</v>
      </c>
      <c r="C2" t="s">
        <v>143</v>
      </c>
      <c r="D2" t="s">
        <v>146</v>
      </c>
      <c r="E2" t="s">
        <v>147</v>
      </c>
      <c r="F2" t="s">
        <v>112</v>
      </c>
      <c r="G2">
        <v>360268</v>
      </c>
    </row>
    <row r="3" spans="1:9" x14ac:dyDescent="0.3">
      <c r="A3" t="s">
        <v>152</v>
      </c>
      <c r="B3" t="s">
        <v>163</v>
      </c>
      <c r="C3" t="s">
        <v>144</v>
      </c>
      <c r="D3" t="s">
        <v>148</v>
      </c>
      <c r="E3" t="s">
        <v>149</v>
      </c>
      <c r="F3" t="s">
        <v>112</v>
      </c>
      <c r="G3">
        <v>372315</v>
      </c>
    </row>
    <row r="4" spans="1:9" x14ac:dyDescent="0.3">
      <c r="A4" t="s">
        <v>152</v>
      </c>
      <c r="B4" t="s">
        <v>163</v>
      </c>
      <c r="C4" t="s">
        <v>145</v>
      </c>
      <c r="D4" t="s">
        <v>150</v>
      </c>
      <c r="E4" t="s">
        <v>151</v>
      </c>
      <c r="F4" t="s">
        <v>112</v>
      </c>
      <c r="G4">
        <v>237626</v>
      </c>
    </row>
    <row r="5" spans="1:9" x14ac:dyDescent="0.3">
      <c r="A5" t="s">
        <v>152</v>
      </c>
      <c r="B5" t="s">
        <v>163</v>
      </c>
      <c r="C5" t="s">
        <v>160</v>
      </c>
      <c r="D5" t="s">
        <v>161</v>
      </c>
      <c r="E5" t="s">
        <v>162</v>
      </c>
      <c r="F5" t="s">
        <v>112</v>
      </c>
      <c r="G5">
        <v>1439015</v>
      </c>
    </row>
    <row r="6" spans="1:9" x14ac:dyDescent="0.3">
      <c r="A6" t="s">
        <v>152</v>
      </c>
      <c r="B6" t="s">
        <v>163</v>
      </c>
      <c r="C6" t="s">
        <v>157</v>
      </c>
      <c r="D6" t="s">
        <v>158</v>
      </c>
      <c r="E6" t="s">
        <v>159</v>
      </c>
      <c r="F6" t="s">
        <v>112</v>
      </c>
      <c r="G6">
        <v>1433586</v>
      </c>
    </row>
    <row r="7" spans="1:9" x14ac:dyDescent="0.3">
      <c r="A7" t="s">
        <v>152</v>
      </c>
      <c r="B7" t="s">
        <v>163</v>
      </c>
      <c r="C7" t="s">
        <v>154</v>
      </c>
      <c r="D7" t="s">
        <v>155</v>
      </c>
      <c r="E7" t="s">
        <v>156</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defaultColWidth="11.44140625" defaultRowHeight="14.4" x14ac:dyDescent="0.3"/>
  <cols>
    <col min="1" max="1" width="15" style="1" customWidth="1"/>
    <col min="2" max="2" width="26.5546875" style="1" customWidth="1"/>
    <col min="3" max="3" width="87.21875" style="1" bestFit="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5.44140625" style="1" customWidth="1"/>
    <col min="12" max="12" width="15.44140625" style="1" customWidth="1"/>
    <col min="13" max="14" width="12.77734375" style="1" customWidth="1"/>
    <col min="15" max="20" width="12.21875" style="1" customWidth="1"/>
    <col min="21" max="21" width="17.44140625" style="1" customWidth="1"/>
    <col min="22" max="25" width="12.21875" style="1" customWidth="1"/>
    <col min="26" max="27" width="15.5546875" style="1" customWidth="1"/>
    <col min="28" max="28" width="14.21875" style="1" customWidth="1"/>
    <col min="29" max="16384" width="11.44140625" style="1"/>
  </cols>
  <sheetData>
    <row r="1" spans="1:144" x14ac:dyDescent="0.3">
      <c r="A1" s="1" t="s">
        <v>107</v>
      </c>
      <c r="B1" s="1" t="s">
        <v>108</v>
      </c>
      <c r="C1" s="1" t="s">
        <v>109</v>
      </c>
      <c r="D1" s="1" t="s">
        <v>110</v>
      </c>
      <c r="E1" s="1" t="s">
        <v>111</v>
      </c>
      <c r="F1" s="1" t="s">
        <v>112</v>
      </c>
      <c r="G1" s="1" t="s">
        <v>113</v>
      </c>
      <c r="H1" s="1" t="s">
        <v>117</v>
      </c>
      <c r="I1" s="1" t="s">
        <v>118</v>
      </c>
      <c r="K1" s="117"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1"/>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7" t="s">
        <v>153</v>
      </c>
      <c r="L3" s="117"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7"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4" t="s">
        <v>164</v>
      </c>
      <c r="L5" s="43"/>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H1" activePane="topRight" state="frozen"/>
      <selection pane="topRight" activeCell="I6" sqref="I6"/>
    </sheetView>
  </sheetViews>
  <sheetFormatPr defaultColWidth="9.21875" defaultRowHeight="14.4" x14ac:dyDescent="0.3"/>
  <cols>
    <col min="1" max="1" width="29.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8.21875" bestFit="1" customWidth="1"/>
    <col min="15" max="15" width="14.77734375" customWidth="1"/>
    <col min="16" max="16" width="17.77734375" customWidth="1"/>
    <col min="17" max="18" width="25.77734375" bestFit="1" customWidth="1"/>
    <col min="19" max="22" width="25.77734375" style="1" customWidth="1"/>
  </cols>
  <sheetData>
    <row r="1" spans="1:22" s="1" customFormat="1" ht="26.4" thickBot="1" x14ac:dyDescent="0.55000000000000004">
      <c r="A1" s="212" t="s">
        <v>40</v>
      </c>
      <c r="B1" s="213"/>
      <c r="C1" s="213"/>
      <c r="D1" s="213"/>
      <c r="E1" s="213"/>
      <c r="F1" s="213"/>
      <c r="G1" s="213"/>
      <c r="H1" s="213"/>
      <c r="I1" s="213"/>
      <c r="J1" s="213"/>
      <c r="K1" s="213"/>
      <c r="L1" s="213"/>
      <c r="M1" s="213"/>
      <c r="N1" s="213"/>
      <c r="O1" s="213"/>
      <c r="P1" s="213"/>
      <c r="Q1" s="213"/>
      <c r="R1" s="213"/>
      <c r="S1" s="213"/>
      <c r="T1" s="213"/>
      <c r="U1" s="213"/>
      <c r="V1" s="213"/>
    </row>
    <row r="2" spans="1:22" ht="15" thickBot="1" x14ac:dyDescent="0.35">
      <c r="A2"/>
      <c r="B2"/>
      <c r="C2"/>
      <c r="D2"/>
      <c r="E2"/>
      <c r="F2"/>
      <c r="G2"/>
      <c r="H2"/>
      <c r="I2"/>
      <c r="J2"/>
      <c r="K2"/>
      <c r="L2"/>
      <c r="M2"/>
      <c r="S2"/>
      <c r="T2"/>
      <c r="U2"/>
      <c r="V2"/>
    </row>
    <row r="3" spans="1:22" ht="15" thickBot="1" x14ac:dyDescent="0.35">
      <c r="A3" s="50" t="s">
        <v>17</v>
      </c>
      <c r="B3" s="220" t="s">
        <v>6</v>
      </c>
      <c r="C3" s="221"/>
      <c r="D3" s="221"/>
      <c r="E3" s="221"/>
      <c r="F3" s="221"/>
      <c r="G3" s="221"/>
      <c r="H3" s="221"/>
      <c r="I3" s="221"/>
      <c r="J3" s="221"/>
      <c r="K3" s="221"/>
      <c r="L3" s="221"/>
      <c r="M3" s="221"/>
      <c r="O3" s="220" t="s">
        <v>3</v>
      </c>
      <c r="P3" s="221"/>
      <c r="Q3" s="221"/>
      <c r="R3" s="221"/>
      <c r="S3" s="221"/>
      <c r="T3" s="221"/>
      <c r="U3" s="221"/>
      <c r="V3" s="221"/>
    </row>
    <row r="4" spans="1:22" x14ac:dyDescent="0.3">
      <c r="A4" s="33" t="s">
        <v>41</v>
      </c>
      <c r="B4" s="34" t="str">
        <f>'Page de garde'!A7</f>
        <v>Témoin solvant</v>
      </c>
      <c r="C4" s="34" t="str">
        <f>'Page de garde'!A9</f>
        <v>EE2-33.8ng/L</v>
      </c>
      <c r="D4" s="34" t="str">
        <f>'Page de garde'!A10</f>
        <v>EE2-50.6ng/L</v>
      </c>
      <c r="E4" s="34" t="str">
        <f>'Page de garde'!A11</f>
        <v>EE2-76ng/L</v>
      </c>
      <c r="F4" s="34" t="str">
        <f>'Page de garde'!A12</f>
        <v>EE2-114ng/L</v>
      </c>
      <c r="G4" s="34" t="str">
        <f>'Page de garde'!A13</f>
        <v>EE2-170.9ng/L</v>
      </c>
      <c r="H4" s="34" t="str">
        <f>'Page de garde'!A14</f>
        <v>EE2-488ng/L</v>
      </c>
      <c r="I4" s="34" t="str">
        <f>'Page de garde'!A15</f>
        <v>Fadrozole-0.016µg/L</v>
      </c>
      <c r="J4" s="34" t="str">
        <f>'Page de garde'!A16</f>
        <v>Fadrozole-0.08µg/L</v>
      </c>
      <c r="K4" s="34" t="str">
        <f>'Page de garde'!A17</f>
        <v>Fadrozole-0.4µg/L</v>
      </c>
      <c r="L4" s="34" t="str">
        <f>'Page de garde'!A18</f>
        <v>Fadrozole-2µg/L</v>
      </c>
      <c r="M4" s="34" t="str">
        <f>'Page de garde'!A19</f>
        <v>Fadrozole-10 µg/L</v>
      </c>
      <c r="N4" s="3"/>
      <c r="O4" s="35" t="str">
        <f>'Page de garde'!A36</f>
        <v>Testo -30µg/L</v>
      </c>
      <c r="P4" s="35" t="str">
        <f>'Page de garde'!A37</f>
        <v>Testo 30µg/L + EE2 -64ng/L</v>
      </c>
      <c r="Q4" s="35" t="str">
        <f>'Page de garde'!A38</f>
        <v>Testo 30µg/L + FAD-10µg/L</v>
      </c>
      <c r="R4" s="35" t="str">
        <f>'Page de garde'!A39</f>
        <v>Fadrozole-0.016µg/L + Testostérone</v>
      </c>
      <c r="S4" s="35" t="str">
        <f>'Page de garde'!A40</f>
        <v>Fadrozole-0.08µg/L + Testostérone</v>
      </c>
      <c r="T4" s="35" t="str">
        <f>'Page de garde'!A41</f>
        <v>Fadrozole-0.4µg/L + Testostérone</v>
      </c>
      <c r="U4" s="35" t="str">
        <f>'Page de garde'!A42</f>
        <v>Fadrozole-2µg/L + Testostérone</v>
      </c>
      <c r="V4" s="35" t="str">
        <f>'Page de garde'!A43</f>
        <v>Fadrozole-10 µg/L + Testostérone</v>
      </c>
    </row>
    <row r="5" spans="1:22" x14ac:dyDescent="0.3">
      <c r="A5" s="216" t="s">
        <v>33</v>
      </c>
      <c r="B5" s="1">
        <v>158766</v>
      </c>
      <c r="C5" s="1">
        <v>57136</v>
      </c>
      <c r="D5" s="1">
        <v>186916</v>
      </c>
      <c r="E5" s="1">
        <v>1223699</v>
      </c>
      <c r="F5" s="1">
        <v>2276002</v>
      </c>
      <c r="G5" s="1">
        <v>5426030</v>
      </c>
      <c r="H5" s="1">
        <v>14275997</v>
      </c>
      <c r="I5" s="1">
        <v>305488</v>
      </c>
      <c r="J5" s="1">
        <v>100730</v>
      </c>
      <c r="K5" s="1">
        <v>460106</v>
      </c>
      <c r="L5" s="1">
        <v>95067</v>
      </c>
      <c r="M5" s="1">
        <v>135736</v>
      </c>
      <c r="N5" s="3"/>
      <c r="O5" s="1">
        <v>819719</v>
      </c>
      <c r="P5" s="1">
        <v>3016064</v>
      </c>
      <c r="Q5" s="1">
        <v>168672</v>
      </c>
      <c r="R5" s="1">
        <v>704190</v>
      </c>
      <c r="S5" s="1">
        <v>331980</v>
      </c>
      <c r="T5" s="1">
        <v>396011</v>
      </c>
      <c r="U5" s="1">
        <v>279614</v>
      </c>
      <c r="V5" s="1">
        <v>246421</v>
      </c>
    </row>
    <row r="6" spans="1:22" x14ac:dyDescent="0.3">
      <c r="A6" s="217"/>
      <c r="B6" s="1">
        <v>261710</v>
      </c>
      <c r="C6" s="1">
        <v>436459</v>
      </c>
      <c r="D6" s="1">
        <v>4102877</v>
      </c>
      <c r="E6" s="1">
        <v>637027</v>
      </c>
      <c r="F6" s="1">
        <v>6327600</v>
      </c>
      <c r="G6" s="1">
        <v>12479308</v>
      </c>
      <c r="H6" s="1">
        <v>5166605</v>
      </c>
      <c r="J6" s="1">
        <v>28464</v>
      </c>
      <c r="K6" s="1">
        <v>206076</v>
      </c>
      <c r="L6" s="1">
        <v>222536</v>
      </c>
      <c r="M6" s="1">
        <v>293601</v>
      </c>
      <c r="N6" s="3"/>
      <c r="O6" s="1">
        <v>380926</v>
      </c>
      <c r="P6" s="1">
        <v>6364434</v>
      </c>
      <c r="Q6" s="1">
        <v>140088</v>
      </c>
      <c r="R6" s="1">
        <v>762324</v>
      </c>
      <c r="S6" s="1">
        <v>1216717</v>
      </c>
      <c r="T6" s="1">
        <v>3486935</v>
      </c>
      <c r="U6" s="1">
        <v>252554</v>
      </c>
      <c r="V6" s="1">
        <v>97877</v>
      </c>
    </row>
    <row r="7" spans="1:22" x14ac:dyDescent="0.3">
      <c r="A7" s="217"/>
      <c r="B7" s="1">
        <v>101318</v>
      </c>
      <c r="C7" s="1">
        <v>309636</v>
      </c>
      <c r="D7" s="1">
        <v>163681</v>
      </c>
      <c r="E7" s="1">
        <v>1644129</v>
      </c>
      <c r="F7" s="1">
        <v>5805732</v>
      </c>
      <c r="G7" s="1">
        <v>6832013</v>
      </c>
      <c r="H7" s="1">
        <v>13720090</v>
      </c>
      <c r="I7" s="1">
        <v>77093</v>
      </c>
      <c r="J7" s="1">
        <v>268593</v>
      </c>
      <c r="K7" s="1">
        <v>80537</v>
      </c>
      <c r="L7" s="1">
        <v>45186</v>
      </c>
      <c r="M7" s="1">
        <v>262847</v>
      </c>
      <c r="N7" s="3"/>
      <c r="O7" s="1">
        <v>46897</v>
      </c>
      <c r="P7" s="1">
        <v>5294147</v>
      </c>
      <c r="Q7" s="1">
        <v>189563</v>
      </c>
      <c r="R7" s="1">
        <v>63918</v>
      </c>
      <c r="S7" s="1">
        <v>66285</v>
      </c>
      <c r="T7" s="1">
        <v>587766</v>
      </c>
      <c r="U7" s="1">
        <v>285975</v>
      </c>
      <c r="V7" s="1">
        <v>375150</v>
      </c>
    </row>
    <row r="8" spans="1:22" x14ac:dyDescent="0.3">
      <c r="A8" s="217"/>
      <c r="B8" s="1">
        <v>86576</v>
      </c>
      <c r="C8" s="1">
        <v>340614</v>
      </c>
      <c r="D8" s="1">
        <v>41827</v>
      </c>
      <c r="E8" s="1">
        <v>229004</v>
      </c>
      <c r="F8" s="1">
        <v>6172423</v>
      </c>
      <c r="G8" s="1">
        <v>10358241</v>
      </c>
      <c r="H8" s="1">
        <v>9790582</v>
      </c>
      <c r="I8" s="1">
        <v>78821</v>
      </c>
      <c r="J8" s="1">
        <v>47629</v>
      </c>
      <c r="K8" s="1">
        <v>338230</v>
      </c>
      <c r="L8" s="1">
        <v>310877</v>
      </c>
      <c r="M8" s="1">
        <v>56167</v>
      </c>
      <c r="N8" s="3"/>
      <c r="O8" s="1">
        <v>6736051</v>
      </c>
      <c r="P8" s="1">
        <v>4331760</v>
      </c>
      <c r="Q8" s="1">
        <v>35504</v>
      </c>
      <c r="R8" s="1">
        <v>740718</v>
      </c>
      <c r="S8" s="1">
        <v>301847</v>
      </c>
      <c r="T8" s="1">
        <v>220674</v>
      </c>
      <c r="U8" s="1">
        <v>6326925</v>
      </c>
      <c r="V8" s="1">
        <v>107794</v>
      </c>
    </row>
    <row r="9" spans="1:22" x14ac:dyDescent="0.3">
      <c r="A9" s="217"/>
      <c r="B9" s="1">
        <v>112558</v>
      </c>
      <c r="C9" s="1">
        <v>102767</v>
      </c>
      <c r="D9" s="1">
        <v>184680</v>
      </c>
      <c r="E9" s="1">
        <v>56960</v>
      </c>
      <c r="F9" s="1">
        <v>3221587</v>
      </c>
      <c r="G9" s="1">
        <v>1245206</v>
      </c>
      <c r="H9" s="1">
        <v>14734883</v>
      </c>
      <c r="I9" s="1">
        <v>10921</v>
      </c>
      <c r="J9" s="1">
        <v>94381</v>
      </c>
      <c r="K9" s="1">
        <v>248839</v>
      </c>
      <c r="L9" s="1">
        <v>116135</v>
      </c>
      <c r="M9" s="1">
        <v>69572</v>
      </c>
      <c r="N9" s="3"/>
      <c r="O9" s="1">
        <v>28732</v>
      </c>
      <c r="P9" s="1">
        <v>4275985</v>
      </c>
      <c r="Q9" s="1">
        <v>45650</v>
      </c>
      <c r="R9" s="1">
        <v>2799406</v>
      </c>
      <c r="S9" s="1">
        <v>3367912</v>
      </c>
      <c r="T9" s="1">
        <v>1000867</v>
      </c>
      <c r="U9" s="1">
        <v>798422</v>
      </c>
      <c r="V9" s="1">
        <v>162300</v>
      </c>
    </row>
    <row r="10" spans="1:22" x14ac:dyDescent="0.3">
      <c r="A10" s="217"/>
      <c r="B10" s="1">
        <v>7589</v>
      </c>
      <c r="C10" s="1">
        <v>854529</v>
      </c>
      <c r="D10" s="1">
        <v>168508</v>
      </c>
      <c r="E10" s="1">
        <v>183911</v>
      </c>
      <c r="F10" s="1">
        <v>3427207</v>
      </c>
      <c r="G10" s="1">
        <v>8430899</v>
      </c>
      <c r="H10" s="1">
        <v>11851558</v>
      </c>
      <c r="I10" s="1">
        <v>98396</v>
      </c>
      <c r="J10" s="1">
        <v>214045</v>
      </c>
      <c r="K10" s="1">
        <v>134101</v>
      </c>
      <c r="L10" s="1">
        <v>46784</v>
      </c>
      <c r="M10" s="1">
        <v>48565</v>
      </c>
      <c r="N10" s="3"/>
      <c r="O10" s="1">
        <v>1319588</v>
      </c>
      <c r="P10" s="1">
        <v>6080033</v>
      </c>
      <c r="Q10" s="1">
        <v>58464</v>
      </c>
      <c r="R10" s="1">
        <v>323828</v>
      </c>
      <c r="S10" s="1">
        <v>4872627</v>
      </c>
      <c r="T10" s="1">
        <v>653321</v>
      </c>
      <c r="U10" s="1">
        <v>587834</v>
      </c>
      <c r="V10" s="1">
        <v>3059019</v>
      </c>
    </row>
    <row r="11" spans="1:22" x14ac:dyDescent="0.3">
      <c r="A11" s="217"/>
      <c r="B11" s="1">
        <v>47764</v>
      </c>
      <c r="C11" s="1">
        <v>26914</v>
      </c>
      <c r="D11" s="1">
        <v>68208</v>
      </c>
      <c r="E11" s="1">
        <v>909449</v>
      </c>
      <c r="F11" s="1">
        <v>4703796</v>
      </c>
      <c r="G11" s="1">
        <v>8972192</v>
      </c>
      <c r="H11" s="1">
        <v>14321736</v>
      </c>
      <c r="I11" s="1">
        <v>19959</v>
      </c>
      <c r="J11" s="1">
        <v>590542</v>
      </c>
      <c r="K11" s="1">
        <v>21507</v>
      </c>
      <c r="L11" s="1">
        <v>103763</v>
      </c>
      <c r="M11" s="1">
        <v>42573</v>
      </c>
      <c r="N11" s="3"/>
      <c r="O11" s="1">
        <v>2132397</v>
      </c>
      <c r="P11" s="1">
        <v>7760937</v>
      </c>
      <c r="Q11" s="1">
        <v>287830</v>
      </c>
      <c r="R11" s="1">
        <v>2090821</v>
      </c>
      <c r="S11" s="1">
        <v>615157</v>
      </c>
      <c r="T11" s="1">
        <v>408620</v>
      </c>
      <c r="U11" s="1">
        <v>200305</v>
      </c>
      <c r="V11" s="1">
        <v>68296</v>
      </c>
    </row>
    <row r="12" spans="1:22" x14ac:dyDescent="0.3">
      <c r="A12" s="217"/>
      <c r="B12" s="1">
        <v>123468</v>
      </c>
      <c r="C12" s="1">
        <v>44440</v>
      </c>
      <c r="E12" s="1">
        <v>71596</v>
      </c>
      <c r="F12" s="1">
        <v>5762709</v>
      </c>
      <c r="G12" s="31">
        <v>7213127</v>
      </c>
      <c r="H12" s="1">
        <v>18016628</v>
      </c>
      <c r="I12" s="31">
        <v>265729</v>
      </c>
      <c r="J12" s="1">
        <v>34192</v>
      </c>
      <c r="K12" s="1">
        <v>387269</v>
      </c>
      <c r="L12" s="1">
        <v>12177</v>
      </c>
      <c r="M12" s="1">
        <v>17355</v>
      </c>
      <c r="N12" s="3"/>
      <c r="O12" s="1">
        <v>4916</v>
      </c>
      <c r="P12" s="1"/>
      <c r="Q12" s="1">
        <v>84801</v>
      </c>
      <c r="R12" s="1">
        <v>666750</v>
      </c>
      <c r="S12" s="1">
        <v>1324940</v>
      </c>
      <c r="T12" s="1">
        <v>348858</v>
      </c>
      <c r="U12" s="1">
        <v>309587</v>
      </c>
      <c r="V12" s="31">
        <v>220464</v>
      </c>
    </row>
    <row r="13" spans="1:22" ht="16.8" x14ac:dyDescent="0.3">
      <c r="A13" s="217"/>
      <c r="B13" s="14"/>
      <c r="C13" s="13"/>
      <c r="D13" s="31"/>
      <c r="E13" s="31"/>
      <c r="F13" s="31"/>
      <c r="G13" s="31"/>
      <c r="H13" s="31"/>
      <c r="I13" s="31"/>
      <c r="J13" s="31"/>
      <c r="K13" s="13"/>
      <c r="L13" s="13"/>
      <c r="M13" s="13"/>
      <c r="N13" s="3"/>
      <c r="O13" s="1">
        <v>1283555</v>
      </c>
      <c r="P13" s="13"/>
      <c r="Q13" s="13"/>
      <c r="R13" s="4"/>
      <c r="S13" s="31"/>
      <c r="T13" s="31"/>
      <c r="U13" s="31"/>
      <c r="V13" s="31"/>
    </row>
    <row r="14" spans="1:22" ht="16.8" x14ac:dyDescent="0.3">
      <c r="A14" s="217"/>
      <c r="B14" s="14"/>
      <c r="C14" s="31"/>
      <c r="D14" s="31"/>
      <c r="E14" s="31"/>
      <c r="F14" s="31"/>
      <c r="G14" s="31"/>
      <c r="H14" s="31"/>
      <c r="I14" s="31"/>
      <c r="J14" s="31"/>
      <c r="K14" s="13"/>
      <c r="L14" s="13"/>
      <c r="M14" s="13"/>
      <c r="N14" s="3"/>
      <c r="O14" s="1">
        <v>1050960</v>
      </c>
      <c r="P14" s="13"/>
      <c r="Q14" s="13"/>
      <c r="R14" s="4"/>
      <c r="S14" s="31"/>
      <c r="T14" s="31"/>
      <c r="U14" s="31"/>
      <c r="V14" s="31"/>
    </row>
    <row r="15" spans="1:22" ht="16.8" x14ac:dyDescent="0.3">
      <c r="A15" s="217"/>
      <c r="B15" s="14"/>
      <c r="C15" s="31"/>
      <c r="D15" s="31"/>
      <c r="E15" s="31"/>
      <c r="F15" s="31"/>
      <c r="G15" s="31"/>
      <c r="H15" s="31"/>
      <c r="I15" s="31"/>
      <c r="J15" s="31"/>
      <c r="K15" s="13"/>
      <c r="L15" s="13"/>
      <c r="M15" s="13"/>
      <c r="N15" s="3"/>
      <c r="O15" s="1">
        <v>156410</v>
      </c>
      <c r="P15" s="13"/>
      <c r="Q15" s="13"/>
      <c r="R15" s="4"/>
      <c r="S15" s="31"/>
      <c r="T15" s="31"/>
      <c r="U15" s="31"/>
      <c r="V15" s="31"/>
    </row>
    <row r="16" spans="1:22" ht="16.8" x14ac:dyDescent="0.3">
      <c r="A16" s="217"/>
      <c r="B16" s="14"/>
      <c r="C16" s="31"/>
      <c r="D16" s="31"/>
      <c r="E16" s="31"/>
      <c r="F16" s="31"/>
      <c r="G16" s="31"/>
      <c r="H16" s="31"/>
      <c r="I16" s="31"/>
      <c r="J16" s="31"/>
      <c r="K16" s="13"/>
      <c r="L16" s="13"/>
      <c r="M16" s="13"/>
      <c r="N16" s="3"/>
      <c r="O16" s="1">
        <v>4685186</v>
      </c>
      <c r="P16" s="13"/>
      <c r="Q16" s="13"/>
      <c r="R16" s="4"/>
      <c r="S16" s="31"/>
      <c r="T16" s="31"/>
      <c r="U16" s="31"/>
      <c r="V16" s="31"/>
    </row>
    <row r="17" spans="1:22" s="1" customFormat="1" ht="16.8" x14ac:dyDescent="0.3">
      <c r="A17" s="217"/>
      <c r="B17" s="14"/>
      <c r="C17" s="31"/>
      <c r="D17" s="31"/>
      <c r="E17" s="31"/>
      <c r="F17" s="31"/>
      <c r="G17" s="31"/>
      <c r="H17" s="31"/>
      <c r="I17" s="31"/>
      <c r="J17" s="31"/>
      <c r="K17" s="13"/>
      <c r="L17" s="13"/>
      <c r="M17" s="13"/>
      <c r="N17" s="3"/>
      <c r="O17" s="1">
        <v>534144</v>
      </c>
      <c r="P17" s="13"/>
      <c r="Q17" s="13"/>
      <c r="R17" s="31"/>
      <c r="S17" s="31"/>
      <c r="T17" s="31"/>
      <c r="U17" s="31"/>
      <c r="V17" s="31"/>
    </row>
    <row r="18" spans="1:22" s="1" customFormat="1" ht="16.8" x14ac:dyDescent="0.3">
      <c r="A18" s="217"/>
      <c r="B18" s="14"/>
      <c r="C18" s="31"/>
      <c r="D18" s="31"/>
      <c r="E18" s="31"/>
      <c r="F18" s="31"/>
      <c r="G18" s="31"/>
      <c r="H18" s="31"/>
      <c r="I18" s="31"/>
      <c r="J18" s="31"/>
      <c r="K18" s="13"/>
      <c r="L18" s="13"/>
      <c r="M18" s="13"/>
      <c r="N18" s="3"/>
      <c r="O18" s="1">
        <v>488837</v>
      </c>
      <c r="P18" s="13"/>
      <c r="Q18" s="13"/>
      <c r="R18" s="31"/>
      <c r="S18" s="31"/>
      <c r="T18" s="31"/>
      <c r="U18" s="31"/>
      <c r="V18" s="31"/>
    </row>
    <row r="19" spans="1:22" s="1" customFormat="1" ht="16.8" x14ac:dyDescent="0.3">
      <c r="A19" s="217"/>
      <c r="B19" s="14"/>
      <c r="C19" s="31"/>
      <c r="D19" s="31"/>
      <c r="E19" s="31"/>
      <c r="F19" s="31"/>
      <c r="G19" s="31"/>
      <c r="H19" s="31"/>
      <c r="I19" s="31"/>
      <c r="J19" s="31"/>
      <c r="K19" s="13"/>
      <c r="L19" s="13"/>
      <c r="M19" s="13"/>
      <c r="N19" s="3"/>
      <c r="O19" s="1">
        <v>78980</v>
      </c>
      <c r="P19" s="13"/>
      <c r="Q19" s="13"/>
      <c r="R19" s="31"/>
      <c r="S19" s="31"/>
      <c r="T19" s="31"/>
      <c r="U19" s="31"/>
      <c r="V19" s="31"/>
    </row>
    <row r="20" spans="1:22" ht="16.8" x14ac:dyDescent="0.3">
      <c r="A20" s="217"/>
      <c r="B20" s="14"/>
      <c r="C20" s="31"/>
      <c r="D20" s="31"/>
      <c r="E20" s="31"/>
      <c r="F20" s="31"/>
      <c r="G20" s="31"/>
      <c r="H20" s="31"/>
      <c r="I20" s="31"/>
      <c r="J20" s="31"/>
      <c r="K20" s="13"/>
      <c r="L20" s="13"/>
      <c r="M20" s="13"/>
      <c r="N20" s="3"/>
      <c r="O20" s="1">
        <v>498265</v>
      </c>
      <c r="P20" s="13"/>
      <c r="Q20" s="13"/>
      <c r="R20" s="4"/>
      <c r="S20" s="31"/>
      <c r="T20" s="31"/>
      <c r="U20" s="31"/>
      <c r="V20" s="31"/>
    </row>
    <row r="21" spans="1:22" s="1" customFormat="1" ht="16.8" x14ac:dyDescent="0.3">
      <c r="A21" s="65"/>
      <c r="B21" s="66"/>
      <c r="C21" s="7"/>
      <c r="D21" s="7"/>
      <c r="E21" s="7"/>
      <c r="F21" s="7"/>
      <c r="G21" s="7"/>
      <c r="H21" s="7"/>
      <c r="I21" s="7"/>
      <c r="J21" s="7"/>
      <c r="K21" s="32"/>
      <c r="L21" s="32"/>
      <c r="M21" s="32"/>
      <c r="N21" s="3"/>
      <c r="O21" s="7"/>
      <c r="P21" s="32"/>
      <c r="Q21" s="32"/>
      <c r="R21" s="7"/>
      <c r="S21" s="7"/>
      <c r="T21" s="7"/>
      <c r="U21" s="7"/>
      <c r="V21" s="7"/>
    </row>
    <row r="22" spans="1:22" s="68" customFormat="1" x14ac:dyDescent="0.3">
      <c r="A22" s="67" t="str">
        <f t="shared" ref="A22:M22" si="0">A4</f>
        <v>Noms des groupes</v>
      </c>
      <c r="B22" s="67" t="str">
        <f t="shared" si="0"/>
        <v>Témoin solvant</v>
      </c>
      <c r="C22" s="67" t="str">
        <f t="shared" si="0"/>
        <v>EE2-33.8ng/L</v>
      </c>
      <c r="D22" s="67" t="str">
        <f t="shared" si="0"/>
        <v>EE2-50.6ng/L</v>
      </c>
      <c r="E22" s="67" t="str">
        <f t="shared" si="0"/>
        <v>EE2-76ng/L</v>
      </c>
      <c r="F22" s="67" t="str">
        <f t="shared" si="0"/>
        <v>EE2-114ng/L</v>
      </c>
      <c r="G22" s="67" t="str">
        <f t="shared" si="0"/>
        <v>EE2-170.9ng/L</v>
      </c>
      <c r="H22" s="67" t="str">
        <f t="shared" si="0"/>
        <v>EE2-488ng/L</v>
      </c>
      <c r="I22" s="67" t="str">
        <f t="shared" si="0"/>
        <v>Fadrozole-0.016µg/L</v>
      </c>
      <c r="J22" s="67" t="str">
        <f t="shared" si="0"/>
        <v>Fadrozole-0.08µg/L</v>
      </c>
      <c r="K22" s="67" t="str">
        <f t="shared" si="0"/>
        <v>Fadrozole-0.4µg/L</v>
      </c>
      <c r="L22" s="67" t="str">
        <f t="shared" si="0"/>
        <v>Fadrozole-2µg/L</v>
      </c>
      <c r="M22" s="67" t="str">
        <f t="shared" si="0"/>
        <v>Fadrozole-10 µg/L</v>
      </c>
      <c r="N22" s="67" t="s">
        <v>47</v>
      </c>
      <c r="O22" s="67" t="str">
        <f t="shared" ref="O22:V22" si="1">O4</f>
        <v>Testo -30µg/L</v>
      </c>
      <c r="P22" s="67" t="str">
        <f t="shared" si="1"/>
        <v>Testo 30µg/L + EE2 -64ng/L</v>
      </c>
      <c r="Q22" s="67" t="str">
        <f t="shared" si="1"/>
        <v>Testo 30µg/L + FAD-10µg/L</v>
      </c>
      <c r="R22" s="67" t="str">
        <f t="shared" si="1"/>
        <v>Fadrozole-0.016µg/L + Testostérone</v>
      </c>
      <c r="S22" s="67" t="str">
        <f t="shared" si="1"/>
        <v>Fadrozole-0.08µg/L + Testostérone</v>
      </c>
      <c r="T22" s="67" t="str">
        <f t="shared" si="1"/>
        <v>Fadrozole-0.4µg/L + Testostérone</v>
      </c>
      <c r="U22" s="67" t="str">
        <f t="shared" si="1"/>
        <v>Fadrozole-2µg/L + Testostérone</v>
      </c>
      <c r="V22" s="67" t="str">
        <f t="shared" si="1"/>
        <v>Fadrozole-10 µg/L + Testostérone</v>
      </c>
    </row>
    <row r="23" spans="1:22" x14ac:dyDescent="0.3">
      <c r="A23" s="5" t="s">
        <v>0</v>
      </c>
      <c r="B23" s="5">
        <f t="shared" ref="B23:M23" si="2">AVERAGE(B5:B20)</f>
        <v>112468.625</v>
      </c>
      <c r="C23" s="5">
        <f t="shared" si="2"/>
        <v>271561.875</v>
      </c>
      <c r="D23" s="5">
        <f t="shared" si="2"/>
        <v>702385.28571428568</v>
      </c>
      <c r="E23" s="5">
        <f t="shared" si="2"/>
        <v>619471.875</v>
      </c>
      <c r="F23" s="5">
        <f t="shared" si="2"/>
        <v>4712132</v>
      </c>
      <c r="G23" s="5">
        <f t="shared" si="2"/>
        <v>7619627</v>
      </c>
      <c r="H23" s="5">
        <f t="shared" si="2"/>
        <v>12734759.875</v>
      </c>
      <c r="I23" s="5">
        <f t="shared" si="2"/>
        <v>122343.85714285714</v>
      </c>
      <c r="J23" s="5">
        <f t="shared" si="2"/>
        <v>172322</v>
      </c>
      <c r="K23" s="5">
        <f t="shared" si="2"/>
        <v>234583.125</v>
      </c>
      <c r="L23" s="5">
        <f t="shared" si="2"/>
        <v>119065.625</v>
      </c>
      <c r="M23" s="5">
        <f t="shared" si="2"/>
        <v>115802</v>
      </c>
      <c r="N23" s="5" t="s">
        <v>0</v>
      </c>
      <c r="O23" s="5">
        <f t="shared" ref="O23:V23" si="3">AVERAGE(O5:O20)</f>
        <v>1265347.6875</v>
      </c>
      <c r="P23" s="5">
        <f t="shared" si="3"/>
        <v>5303337.1428571427</v>
      </c>
      <c r="Q23" s="5">
        <f t="shared" si="3"/>
        <v>126321.5</v>
      </c>
      <c r="R23" s="5">
        <f t="shared" si="3"/>
        <v>1018994.375</v>
      </c>
      <c r="S23" s="5">
        <f t="shared" si="3"/>
        <v>1512183.125</v>
      </c>
      <c r="T23" s="5">
        <f t="shared" si="3"/>
        <v>887881.5</v>
      </c>
      <c r="U23" s="5">
        <f t="shared" si="3"/>
        <v>1130152</v>
      </c>
      <c r="V23" s="5">
        <f t="shared" si="3"/>
        <v>542165.125</v>
      </c>
    </row>
    <row r="24" spans="1:22" x14ac:dyDescent="0.3">
      <c r="A24" s="3" t="s">
        <v>1</v>
      </c>
      <c r="B24" s="3">
        <f t="shared" ref="B24:M24" si="4">STDEV(B5:B20)</f>
        <v>76081.364233933316</v>
      </c>
      <c r="C24" s="3">
        <f t="shared" si="4"/>
        <v>282632.18403502938</v>
      </c>
      <c r="D24" s="3">
        <f t="shared" si="4"/>
        <v>1500600.8012619161</v>
      </c>
      <c r="E24" s="3">
        <f t="shared" si="4"/>
        <v>592594.00447727344</v>
      </c>
      <c r="F24" s="3">
        <f t="shared" si="4"/>
        <v>1551470.048285082</v>
      </c>
      <c r="G24" s="3">
        <f t="shared" si="4"/>
        <v>3377124.5026884717</v>
      </c>
      <c r="H24" s="3">
        <f t="shared" si="4"/>
        <v>3863540.2174081407</v>
      </c>
      <c r="I24" s="3">
        <f t="shared" si="4"/>
        <v>116557.6876835795</v>
      </c>
      <c r="J24" s="3">
        <f t="shared" si="4"/>
        <v>189902.40419301097</v>
      </c>
      <c r="K24" s="3">
        <f t="shared" si="4"/>
        <v>153604.50399594175</v>
      </c>
      <c r="L24" s="3">
        <f t="shared" si="4"/>
        <v>100302.70288045582</v>
      </c>
      <c r="M24" s="3">
        <f t="shared" si="4"/>
        <v>106167.48178905145</v>
      </c>
      <c r="N24" s="3" t="s">
        <v>1</v>
      </c>
      <c r="O24" s="3">
        <f t="shared" ref="O24:V24" si="5">STDEV(O5:O20)</f>
        <v>1868537.1937060899</v>
      </c>
      <c r="P24" s="3">
        <f t="shared" si="5"/>
        <v>1581143.9693719042</v>
      </c>
      <c r="Q24" s="3">
        <f t="shared" si="5"/>
        <v>87138.531506692598</v>
      </c>
      <c r="R24" s="3">
        <f t="shared" si="5"/>
        <v>932017.80761895271</v>
      </c>
      <c r="S24" s="3">
        <f t="shared" si="5"/>
        <v>1715964.6650527376</v>
      </c>
      <c r="T24" s="3">
        <f t="shared" si="5"/>
        <v>1077051.0742853112</v>
      </c>
      <c r="U24" s="3">
        <f t="shared" si="5"/>
        <v>2109663.9383209827</v>
      </c>
      <c r="V24" s="3">
        <f t="shared" si="5"/>
        <v>1021785.7864996442</v>
      </c>
    </row>
    <row r="25" spans="1:22" ht="15" thickBot="1" x14ac:dyDescent="0.35"/>
    <row r="26" spans="1:22" ht="15" thickBot="1" x14ac:dyDescent="0.35">
      <c r="B26" s="220" t="s">
        <v>6</v>
      </c>
      <c r="C26" s="221"/>
      <c r="D26" s="221"/>
      <c r="E26" s="221"/>
      <c r="F26" s="221"/>
      <c r="G26" s="221"/>
      <c r="H26" s="221"/>
      <c r="I26" s="221"/>
      <c r="J26" s="221"/>
      <c r="K26" s="221"/>
      <c r="L26" s="221"/>
      <c r="M26" s="221"/>
      <c r="N26" s="1"/>
      <c r="O26" s="220" t="s">
        <v>3</v>
      </c>
      <c r="P26" s="221"/>
      <c r="Q26" s="221"/>
      <c r="R26" s="221"/>
      <c r="S26" s="221"/>
      <c r="T26" s="221"/>
      <c r="U26" s="221"/>
      <c r="V26" s="221"/>
    </row>
    <row r="27" spans="1:22" s="1" customFormat="1" x14ac:dyDescent="0.3">
      <c r="A27" s="33" t="s">
        <v>41</v>
      </c>
      <c r="B27" s="34" t="str">
        <f t="shared" ref="B27:M27" si="6">B4</f>
        <v>Témoin solvant</v>
      </c>
      <c r="C27" s="34" t="str">
        <f t="shared" si="6"/>
        <v>EE2-33.8ng/L</v>
      </c>
      <c r="D27" s="34" t="str">
        <f t="shared" si="6"/>
        <v>EE2-50.6ng/L</v>
      </c>
      <c r="E27" s="34" t="str">
        <f t="shared" si="6"/>
        <v>EE2-76ng/L</v>
      </c>
      <c r="F27" s="34" t="str">
        <f t="shared" si="6"/>
        <v>EE2-114ng/L</v>
      </c>
      <c r="G27" s="34" t="str">
        <f t="shared" si="6"/>
        <v>EE2-170.9ng/L</v>
      </c>
      <c r="H27" s="34" t="str">
        <f t="shared" si="6"/>
        <v>EE2-488ng/L</v>
      </c>
      <c r="I27" s="34" t="str">
        <f t="shared" si="6"/>
        <v>Fadrozole-0.016µg/L</v>
      </c>
      <c r="J27" s="34" t="str">
        <f t="shared" si="6"/>
        <v>Fadrozole-0.08µg/L</v>
      </c>
      <c r="K27" s="34" t="str">
        <f t="shared" si="6"/>
        <v>Fadrozole-0.4µg/L</v>
      </c>
      <c r="L27" s="34" t="str">
        <f t="shared" si="6"/>
        <v>Fadrozole-2µg/L</v>
      </c>
      <c r="M27" s="34" t="str">
        <f t="shared" si="6"/>
        <v>Fadrozole-10 µg/L</v>
      </c>
      <c r="N27" s="3"/>
      <c r="O27" s="35" t="str">
        <f t="shared" ref="O27:V27" si="7">O4</f>
        <v>Testo -30µg/L</v>
      </c>
      <c r="P27" s="35" t="str">
        <f t="shared" si="7"/>
        <v>Testo 30µg/L + EE2 -64ng/L</v>
      </c>
      <c r="Q27" s="35" t="str">
        <f t="shared" si="7"/>
        <v>Testo 30µg/L + FAD-10µg/L</v>
      </c>
      <c r="R27" s="35" t="str">
        <f t="shared" si="7"/>
        <v>Fadrozole-0.016µg/L + Testostérone</v>
      </c>
      <c r="S27" s="35" t="str">
        <f t="shared" si="7"/>
        <v>Fadrozole-0.08µg/L + Testostérone</v>
      </c>
      <c r="T27" s="35" t="str">
        <f t="shared" si="7"/>
        <v>Fadrozole-0.4µg/L + Testostérone</v>
      </c>
      <c r="U27" s="35" t="str">
        <f t="shared" si="7"/>
        <v>Fadrozole-2µg/L + Testostérone</v>
      </c>
      <c r="V27" s="35" t="str">
        <f t="shared" si="7"/>
        <v>Fadrozole-10 µg/L + Testostérone</v>
      </c>
    </row>
    <row r="28" spans="1:22" x14ac:dyDescent="0.3">
      <c r="A28" s="218" t="s">
        <v>34</v>
      </c>
      <c r="B28" s="11">
        <f t="shared" ref="B28:M28" si="8">IF(B5="","",(B5/$O$23))</f>
        <v>0.12547223310114913</v>
      </c>
      <c r="C28" s="11">
        <f t="shared" si="8"/>
        <v>4.5154387655211167E-2</v>
      </c>
      <c r="D28" s="11">
        <f t="shared" si="8"/>
        <v>0.14771908294177841</v>
      </c>
      <c r="E28" s="11">
        <f t="shared" si="8"/>
        <v>0.96708518305961655</v>
      </c>
      <c r="F28" s="11">
        <f t="shared" si="8"/>
        <v>1.7987166867130344</v>
      </c>
      <c r="G28" s="11">
        <f t="shared" si="8"/>
        <v>4.2881731666340919</v>
      </c>
      <c r="H28" s="11">
        <f t="shared" si="8"/>
        <v>11.28227216995645</v>
      </c>
      <c r="I28" s="11">
        <f t="shared" si="8"/>
        <v>0.24142613371631108</v>
      </c>
      <c r="J28" s="11">
        <f t="shared" si="8"/>
        <v>7.9606578488333468E-2</v>
      </c>
      <c r="K28" s="11">
        <f t="shared" si="8"/>
        <v>0.36362021643952308</v>
      </c>
      <c r="L28" s="11">
        <f t="shared" si="8"/>
        <v>7.5131128731762115E-2</v>
      </c>
      <c r="M28" s="11">
        <f t="shared" si="8"/>
        <v>0.10727170195266983</v>
      </c>
      <c r="N28" s="6"/>
      <c r="O28" s="11">
        <f t="shared" ref="O28:V28" si="9">IF(O5="","",(O5/$O$23))</f>
        <v>0.64782115468954848</v>
      </c>
      <c r="P28" s="11">
        <f t="shared" si="9"/>
        <v>2.3835851835782487</v>
      </c>
      <c r="Q28" s="11">
        <f t="shared" si="9"/>
        <v>0.13330091141451586</v>
      </c>
      <c r="R28" s="11">
        <f t="shared" si="9"/>
        <v>0.55651897652833859</v>
      </c>
      <c r="S28" s="11">
        <f t="shared" si="9"/>
        <v>0.26236267176170897</v>
      </c>
      <c r="T28" s="11">
        <f t="shared" si="9"/>
        <v>0.31296615460879007</v>
      </c>
      <c r="U28" s="11">
        <f t="shared" si="9"/>
        <v>0.22097799898180159</v>
      </c>
      <c r="V28" s="11">
        <f t="shared" si="9"/>
        <v>0.19474568328872849</v>
      </c>
    </row>
    <row r="29" spans="1:22" x14ac:dyDescent="0.3">
      <c r="A29" s="219"/>
      <c r="B29" s="11">
        <f t="shared" ref="B29:M29" si="10">IF(B6="","",(B6/$O$23))</f>
        <v>0.20682852830518964</v>
      </c>
      <c r="C29" s="11">
        <f t="shared" si="10"/>
        <v>0.34493207227677491</v>
      </c>
      <c r="D29" s="11">
        <f t="shared" si="10"/>
        <v>3.2424898235727007</v>
      </c>
      <c r="E29" s="11">
        <f t="shared" si="10"/>
        <v>0.50344028466879387</v>
      </c>
      <c r="F29" s="11">
        <f t="shared" si="10"/>
        <v>5.0006808899312905</v>
      </c>
      <c r="G29" s="11">
        <f t="shared" si="10"/>
        <v>9.8623549268548381</v>
      </c>
      <c r="H29" s="11">
        <f t="shared" si="10"/>
        <v>4.0831504661045974</v>
      </c>
      <c r="I29" s="11" t="str">
        <f t="shared" si="10"/>
        <v/>
      </c>
      <c r="J29" s="11">
        <f t="shared" si="10"/>
        <v>2.2495002979171289E-2</v>
      </c>
      <c r="K29" s="11">
        <f t="shared" si="10"/>
        <v>0.16286116617255841</v>
      </c>
      <c r="L29" s="11">
        <f t="shared" si="10"/>
        <v>0.17586944853052494</v>
      </c>
      <c r="M29" s="11">
        <f t="shared" si="10"/>
        <v>0.23203187779959492</v>
      </c>
      <c r="N29" s="6"/>
      <c r="O29" s="11">
        <f t="shared" ref="O29:V29" si="11">IF(O6="","",(O6/$O$23))</f>
        <v>0.30104453010271931</v>
      </c>
      <c r="P29" s="11">
        <f t="shared" si="11"/>
        <v>5.0297906756161828</v>
      </c>
      <c r="Q29" s="11">
        <f t="shared" si="11"/>
        <v>0.11071107284099731</v>
      </c>
      <c r="R29" s="11">
        <f t="shared" si="11"/>
        <v>0.60246208020987113</v>
      </c>
      <c r="S29" s="11">
        <f t="shared" si="11"/>
        <v>0.96156733206184486</v>
      </c>
      <c r="T29" s="11">
        <f t="shared" si="11"/>
        <v>2.7557129431273411</v>
      </c>
      <c r="U29" s="11">
        <f t="shared" si="11"/>
        <v>0.19959257245649331</v>
      </c>
      <c r="V29" s="11">
        <f t="shared" si="11"/>
        <v>7.7351862232727234E-2</v>
      </c>
    </row>
    <row r="30" spans="1:22" x14ac:dyDescent="0.3">
      <c r="A30" s="219"/>
      <c r="B30" s="11">
        <f t="shared" ref="B30:M30" si="12">IF(B7="","",(B7/$O$23))</f>
        <v>8.0071272900635065E-2</v>
      </c>
      <c r="C30" s="11">
        <f t="shared" si="12"/>
        <v>0.24470428409424821</v>
      </c>
      <c r="D30" s="11">
        <f t="shared" si="12"/>
        <v>0.12935654098628918</v>
      </c>
      <c r="E30" s="11">
        <f t="shared" si="12"/>
        <v>1.2993495908214556</v>
      </c>
      <c r="F30" s="11">
        <f t="shared" si="12"/>
        <v>4.5882503736744686</v>
      </c>
      <c r="G30" s="11">
        <f t="shared" si="12"/>
        <v>5.3993167786936818</v>
      </c>
      <c r="H30" s="11">
        <f t="shared" si="12"/>
        <v>10.842940747066407</v>
      </c>
      <c r="I30" s="11">
        <f t="shared" si="12"/>
        <v>6.0926337291780923E-2</v>
      </c>
      <c r="J30" s="11">
        <f t="shared" si="12"/>
        <v>0.21226813993762486</v>
      </c>
      <c r="K30" s="11">
        <f t="shared" si="12"/>
        <v>6.3648118849547436E-2</v>
      </c>
      <c r="L30" s="11">
        <f t="shared" si="12"/>
        <v>3.5710343051462687E-2</v>
      </c>
      <c r="M30" s="11">
        <f t="shared" si="12"/>
        <v>0.20772709556162997</v>
      </c>
      <c r="N30" s="6"/>
      <c r="O30" s="11">
        <f t="shared" ref="O30:V30" si="13">IF(O7="","",(O7/$O$23))</f>
        <v>3.706254056753077E-2</v>
      </c>
      <c r="P30" s="11">
        <f t="shared" si="13"/>
        <v>4.1839464775565887</v>
      </c>
      <c r="Q30" s="11">
        <f t="shared" si="13"/>
        <v>0.14981099809375517</v>
      </c>
      <c r="R30" s="11">
        <f t="shared" si="13"/>
        <v>5.051417932907077E-2</v>
      </c>
      <c r="S30" s="11">
        <f t="shared" si="13"/>
        <v>5.2384811427570573E-2</v>
      </c>
      <c r="T30" s="11">
        <f t="shared" si="13"/>
        <v>0.46450948289262195</v>
      </c>
      <c r="U30" s="11">
        <f t="shared" si="13"/>
        <v>0.2260050757788262</v>
      </c>
      <c r="V30" s="11">
        <f t="shared" si="13"/>
        <v>0.29647977682813759</v>
      </c>
    </row>
    <row r="31" spans="1:22" x14ac:dyDescent="0.3">
      <c r="A31" s="219"/>
      <c r="B31" s="11">
        <f t="shared" ref="B31:M31" si="14">IF(B8="","",(B8/$O$23))</f>
        <v>6.842072013507354E-2</v>
      </c>
      <c r="C31" s="11">
        <f t="shared" si="14"/>
        <v>0.26918609277499472</v>
      </c>
      <c r="D31" s="11">
        <f t="shared" si="14"/>
        <v>3.3055736706358821E-2</v>
      </c>
      <c r="E31" s="11">
        <f t="shared" si="14"/>
        <v>0.18098108706584254</v>
      </c>
      <c r="F31" s="11">
        <f t="shared" si="14"/>
        <v>4.8780450313977441</v>
      </c>
      <c r="G31" s="11">
        <f t="shared" si="14"/>
        <v>8.1860828468934148</v>
      </c>
      <c r="H31" s="11">
        <f t="shared" si="14"/>
        <v>7.7374638581302975</v>
      </c>
      <c r="I31" s="11">
        <f t="shared" si="14"/>
        <v>6.2291969850381539E-2</v>
      </c>
      <c r="J31" s="11">
        <f t="shared" si="14"/>
        <v>3.7641037693049093E-2</v>
      </c>
      <c r="K31" s="11">
        <f t="shared" si="14"/>
        <v>0.26730202563396238</v>
      </c>
      <c r="L31" s="11">
        <f t="shared" si="14"/>
        <v>0.24568504219912285</v>
      </c>
      <c r="M31" s="11">
        <f t="shared" si="14"/>
        <v>4.4388590230857006E-2</v>
      </c>
      <c r="N31" s="6"/>
      <c r="O31" s="11">
        <f t="shared" ref="O31:V31" si="15">IF(O8="","",(O8/$O$23))</f>
        <v>5.3234783344874135</v>
      </c>
      <c r="P31" s="11">
        <f t="shared" si="15"/>
        <v>3.4233752847475767</v>
      </c>
      <c r="Q31" s="11">
        <f t="shared" si="15"/>
        <v>2.8058691180877508E-2</v>
      </c>
      <c r="R31" s="11">
        <f t="shared" si="15"/>
        <v>0.58538693144764609</v>
      </c>
      <c r="S31" s="11">
        <f t="shared" si="15"/>
        <v>0.23854866372449113</v>
      </c>
      <c r="T31" s="11">
        <f t="shared" si="15"/>
        <v>0.17439791622490319</v>
      </c>
      <c r="U31" s="11">
        <f t="shared" si="15"/>
        <v>5.0001474397130865</v>
      </c>
      <c r="V31" s="11">
        <f t="shared" si="15"/>
        <v>8.5189233808909137E-2</v>
      </c>
    </row>
    <row r="32" spans="1:22" x14ac:dyDescent="0.3">
      <c r="A32" s="219"/>
      <c r="B32" s="11">
        <f t="shared" ref="B32:M32" si="16">IF(B9="","",(B9/$O$23))</f>
        <v>8.895420690449557E-2</v>
      </c>
      <c r="C32" s="11">
        <f t="shared" si="16"/>
        <v>8.1216412702378296E-2</v>
      </c>
      <c r="D32" s="11">
        <f t="shared" si="16"/>
        <v>0.14595197970044102</v>
      </c>
      <c r="E32" s="11">
        <f t="shared" si="16"/>
        <v>4.501529545016851E-2</v>
      </c>
      <c r="F32" s="11">
        <f t="shared" si="16"/>
        <v>2.5460093157201902</v>
      </c>
      <c r="G32" s="11">
        <f t="shared" si="16"/>
        <v>0.98408209245650513</v>
      </c>
      <c r="H32" s="11">
        <f t="shared" si="16"/>
        <v>11.644928224520108</v>
      </c>
      <c r="I32" s="11">
        <f t="shared" si="16"/>
        <v>8.630829382220687E-3</v>
      </c>
      <c r="J32" s="11">
        <f t="shared" si="16"/>
        <v>7.4588985250743589E-2</v>
      </c>
      <c r="K32" s="11">
        <f t="shared" si="16"/>
        <v>0.19665662051482588</v>
      </c>
      <c r="L32" s="11">
        <f t="shared" si="16"/>
        <v>9.1781097912663631E-2</v>
      </c>
      <c r="M32" s="11">
        <f t="shared" si="16"/>
        <v>5.498251641606608E-2</v>
      </c>
      <c r="N32" s="6"/>
      <c r="O32" s="11">
        <f t="shared" ref="O32:V32" si="17">IF(O9="","",(O9/$O$23))</f>
        <v>2.2706802473213515E-2</v>
      </c>
      <c r="P32" s="11">
        <f t="shared" si="17"/>
        <v>3.3792964907915874</v>
      </c>
      <c r="Q32" s="11">
        <f t="shared" si="17"/>
        <v>3.6077040682938773E-2</v>
      </c>
      <c r="R32" s="11">
        <f t="shared" si="17"/>
        <v>2.2123610985775009</v>
      </c>
      <c r="S32" s="11">
        <f t="shared" si="17"/>
        <v>2.6616494685773864</v>
      </c>
      <c r="T32" s="11">
        <f t="shared" si="17"/>
        <v>0.79098180672970175</v>
      </c>
      <c r="U32" s="11">
        <f t="shared" si="17"/>
        <v>0.63099020758276769</v>
      </c>
      <c r="V32" s="11">
        <f t="shared" si="17"/>
        <v>0.12826514135467609</v>
      </c>
    </row>
    <row r="33" spans="1:22" x14ac:dyDescent="0.3">
      <c r="A33" s="219"/>
      <c r="B33" s="11">
        <f t="shared" ref="B33:M33" si="18">IF(B10="","",(B10/$O$23))</f>
        <v>5.9975610458449591E-3</v>
      </c>
      <c r="C33" s="11">
        <f t="shared" si="18"/>
        <v>0.67533138001645099</v>
      </c>
      <c r="D33" s="11">
        <f t="shared" si="18"/>
        <v>0.13317130276890793</v>
      </c>
      <c r="E33" s="11">
        <f t="shared" si="18"/>
        <v>0.14534424159999898</v>
      </c>
      <c r="F33" s="11">
        <f t="shared" si="18"/>
        <v>2.708510106634229</v>
      </c>
      <c r="G33" s="11">
        <f t="shared" si="18"/>
        <v>6.6629109795563597</v>
      </c>
      <c r="H33" s="11">
        <f t="shared" si="18"/>
        <v>9.3662462239257067</v>
      </c>
      <c r="I33" s="11">
        <f t="shared" si="18"/>
        <v>7.7762026178279167E-2</v>
      </c>
      <c r="J33" s="11">
        <f t="shared" si="18"/>
        <v>0.16915903993383638</v>
      </c>
      <c r="K33" s="11">
        <f t="shared" si="18"/>
        <v>0.10597956697968834</v>
      </c>
      <c r="L33" s="11">
        <f t="shared" si="18"/>
        <v>3.6973237049520428E-2</v>
      </c>
      <c r="M33" s="11">
        <f t="shared" si="18"/>
        <v>3.8380755328957759E-2</v>
      </c>
      <c r="N33" s="6"/>
      <c r="O33" s="11">
        <f t="shared" ref="O33:V33" si="19">IF(O10="","",(O10/$O$23))</f>
        <v>1.0428659356126575</v>
      </c>
      <c r="P33" s="11">
        <f t="shared" si="19"/>
        <v>4.8050295267165453</v>
      </c>
      <c r="Q33" s="11">
        <f t="shared" si="19"/>
        <v>4.6203901565987568E-2</v>
      </c>
      <c r="R33" s="11">
        <f t="shared" si="19"/>
        <v>0.2559201737190514</v>
      </c>
      <c r="S33" s="11">
        <f t="shared" si="19"/>
        <v>3.8508206464794288</v>
      </c>
      <c r="T33" s="11">
        <f t="shared" si="19"/>
        <v>0.51631737778791331</v>
      </c>
      <c r="U33" s="11">
        <f t="shared" si="19"/>
        <v>0.46456322306275205</v>
      </c>
      <c r="V33" s="11">
        <f t="shared" si="19"/>
        <v>2.4175323748714717</v>
      </c>
    </row>
    <row r="34" spans="1:22" x14ac:dyDescent="0.3">
      <c r="A34" s="219"/>
      <c r="B34" s="11">
        <f t="shared" ref="B34:M34" si="20">IF(B11="","",(B11/$O$23))</f>
        <v>3.774772773668976E-2</v>
      </c>
      <c r="C34" s="11">
        <f t="shared" si="20"/>
        <v>2.1270043218852445E-2</v>
      </c>
      <c r="D34" s="11">
        <f t="shared" si="20"/>
        <v>5.3904551826985496E-2</v>
      </c>
      <c r="E34" s="11">
        <f t="shared" si="20"/>
        <v>0.71873447036271598</v>
      </c>
      <c r="F34" s="11">
        <f t="shared" si="20"/>
        <v>3.7173940779024024</v>
      </c>
      <c r="G34" s="11">
        <f t="shared" si="20"/>
        <v>7.0906930076481451</v>
      </c>
      <c r="H34" s="11">
        <f t="shared" si="20"/>
        <v>11.318419547038529</v>
      </c>
      <c r="I34" s="11">
        <f t="shared" si="20"/>
        <v>1.5773530229808871E-2</v>
      </c>
      <c r="J34" s="11">
        <f t="shared" si="20"/>
        <v>0.466703346308522</v>
      </c>
      <c r="K34" s="11">
        <f t="shared" si="20"/>
        <v>1.6996909396888592E-2</v>
      </c>
      <c r="L34" s="11">
        <f t="shared" si="20"/>
        <v>8.2003548135460597E-2</v>
      </c>
      <c r="M34" s="11">
        <f t="shared" si="20"/>
        <v>3.3645297984550987E-2</v>
      </c>
      <c r="N34" s="6"/>
      <c r="O34" s="11">
        <f t="shared" ref="O34:V34" si="21">IF(O11="","",(O11/$O$23))</f>
        <v>1.6852261406610427</v>
      </c>
      <c r="P34" s="11">
        <f t="shared" si="21"/>
        <v>6.1334422757223397</v>
      </c>
      <c r="Q34" s="11">
        <f t="shared" si="21"/>
        <v>0.22747107600811101</v>
      </c>
      <c r="R34" s="11">
        <f t="shared" si="21"/>
        <v>1.6523687684061934</v>
      </c>
      <c r="S34" s="11">
        <f t="shared" si="21"/>
        <v>0.48615649759900476</v>
      </c>
      <c r="T34" s="11">
        <f t="shared" si="21"/>
        <v>0.32293100468482899</v>
      </c>
      <c r="U34" s="11">
        <f t="shared" si="21"/>
        <v>0.1583003643810745</v>
      </c>
      <c r="V34" s="11">
        <f t="shared" si="21"/>
        <v>5.3974097929506824E-2</v>
      </c>
    </row>
    <row r="35" spans="1:22" x14ac:dyDescent="0.3">
      <c r="A35" s="219"/>
      <c r="B35" s="11">
        <f t="shared" ref="B35:M35" si="22">IF(B12="","",(B12/$O$23))</f>
        <v>9.7576343023901085E-2</v>
      </c>
      <c r="C35" s="11">
        <f t="shared" si="22"/>
        <v>3.5120781773270521E-2</v>
      </c>
      <c r="D35" s="11" t="str">
        <f t="shared" si="22"/>
        <v/>
      </c>
      <c r="E35" s="11">
        <f t="shared" si="22"/>
        <v>5.6582076774056619E-2</v>
      </c>
      <c r="F35" s="11">
        <f t="shared" si="22"/>
        <v>4.5542494422111153</v>
      </c>
      <c r="G35" s="11">
        <f t="shared" si="22"/>
        <v>5.700509884560879</v>
      </c>
      <c r="H35" s="11">
        <f t="shared" si="22"/>
        <v>14.238480204279822</v>
      </c>
      <c r="I35" s="11">
        <f t="shared" si="22"/>
        <v>0.21000473041920345</v>
      </c>
      <c r="J35" s="11">
        <f t="shared" si="22"/>
        <v>2.7021822016014076E-2</v>
      </c>
      <c r="K35" s="11">
        <f t="shared" si="22"/>
        <v>0.30605738156059181</v>
      </c>
      <c r="L35" s="11">
        <f t="shared" si="22"/>
        <v>9.6234419363887286E-3</v>
      </c>
      <c r="M35" s="11">
        <f t="shared" si="22"/>
        <v>1.3715597832473218E-2</v>
      </c>
      <c r="N35" s="6"/>
      <c r="O35" s="11">
        <f t="shared" ref="O35:V35" si="23">IF(O12="","",(O12/$O$23))</f>
        <v>3.8850981817596282E-3</v>
      </c>
      <c r="P35" s="11" t="str">
        <f t="shared" si="23"/>
        <v/>
      </c>
      <c r="Q35" s="11">
        <f t="shared" si="23"/>
        <v>6.7017943635353586E-2</v>
      </c>
      <c r="R35" s="11">
        <f t="shared" si="23"/>
        <v>0.52693027109199186</v>
      </c>
      <c r="S35" s="11">
        <f t="shared" si="23"/>
        <v>1.0470956031205454</v>
      </c>
      <c r="T35" s="11">
        <f t="shared" si="23"/>
        <v>0.27570129810665184</v>
      </c>
      <c r="U35" s="11">
        <f t="shared" si="23"/>
        <v>0.24466555955988975</v>
      </c>
      <c r="V35" s="11">
        <f t="shared" si="23"/>
        <v>0.17423195393479549</v>
      </c>
    </row>
    <row r="36" spans="1:22" s="1" customFormat="1" x14ac:dyDescent="0.3">
      <c r="A36" s="219"/>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1.0143891775200324</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
      <c r="A37" s="219"/>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0.830570135293348</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
      <c r="A38" s="219"/>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0.12361029426546449</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
      <c r="A39" s="219"/>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3.7026866578123809</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
      <c r="A40" s="219"/>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0.42213219755854653</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
      <c r="A41" s="219"/>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0.38632622861611704</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
      <c r="A42" s="219"/>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6.2417627012891663E-2</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
      <c r="A43" s="219"/>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0.3937771451453338</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
      <c r="A44" s="7"/>
      <c r="B44" s="3"/>
      <c r="C44" s="3"/>
      <c r="D44" s="3"/>
      <c r="E44" s="3"/>
      <c r="F44" s="3"/>
      <c r="G44" s="3"/>
      <c r="H44" s="3"/>
      <c r="I44" s="3"/>
      <c r="J44" s="3"/>
      <c r="N44" s="7"/>
      <c r="O44" s="3"/>
      <c r="P44" s="3"/>
      <c r="Q44" s="3"/>
      <c r="R44" s="3"/>
      <c r="S44" s="3"/>
      <c r="T44" s="3"/>
      <c r="U44" s="3"/>
      <c r="V44" s="3"/>
    </row>
    <row r="45" spans="1:22" s="68" customFormat="1" x14ac:dyDescent="0.3">
      <c r="A45" s="69" t="str">
        <f t="shared" ref="A45:M45" si="46">A4</f>
        <v>Noms des groupes</v>
      </c>
      <c r="B45" s="69" t="str">
        <f t="shared" si="46"/>
        <v>Témoin solvant</v>
      </c>
      <c r="C45" s="69" t="str">
        <f t="shared" si="46"/>
        <v>EE2-33.8ng/L</v>
      </c>
      <c r="D45" s="69" t="str">
        <f t="shared" si="46"/>
        <v>EE2-50.6ng/L</v>
      </c>
      <c r="E45" s="69" t="str">
        <f t="shared" si="46"/>
        <v>EE2-76ng/L</v>
      </c>
      <c r="F45" s="69" t="str">
        <f t="shared" si="46"/>
        <v>EE2-114ng/L</v>
      </c>
      <c r="G45" s="69" t="str">
        <f t="shared" si="46"/>
        <v>EE2-170.9ng/L</v>
      </c>
      <c r="H45" s="69" t="str">
        <f t="shared" si="46"/>
        <v>EE2-488ng/L</v>
      </c>
      <c r="I45" s="69" t="str">
        <f t="shared" si="46"/>
        <v>Fadrozole-0.016µg/L</v>
      </c>
      <c r="J45" s="69" t="str">
        <f t="shared" si="46"/>
        <v>Fadrozole-0.08µg/L</v>
      </c>
      <c r="K45" s="69" t="str">
        <f t="shared" si="46"/>
        <v>Fadrozole-0.4µg/L</v>
      </c>
      <c r="L45" s="69" t="str">
        <f t="shared" si="46"/>
        <v>Fadrozole-2µg/L</v>
      </c>
      <c r="M45" s="69" t="str">
        <f t="shared" si="46"/>
        <v>Fadrozole-10 µg/L</v>
      </c>
      <c r="N45" s="69" t="str">
        <f>N22</f>
        <v>Nom des groupes</v>
      </c>
      <c r="O45" s="69" t="str">
        <f t="shared" ref="O45:V45" si="47">O4</f>
        <v>Testo -30µg/L</v>
      </c>
      <c r="P45" s="69" t="str">
        <f t="shared" si="47"/>
        <v>Testo 30µg/L + EE2 -64ng/L</v>
      </c>
      <c r="Q45" s="69" t="str">
        <f t="shared" si="47"/>
        <v>Testo 30µg/L + FAD-10µg/L</v>
      </c>
      <c r="R45" s="69" t="str">
        <f t="shared" si="47"/>
        <v>Fadrozole-0.016µg/L + Testostérone</v>
      </c>
      <c r="S45" s="69" t="str">
        <f t="shared" si="47"/>
        <v>Fadrozole-0.08µg/L + Testostérone</v>
      </c>
      <c r="T45" s="69" t="str">
        <f t="shared" si="47"/>
        <v>Fadrozole-0.4µg/L + Testostérone</v>
      </c>
      <c r="U45" s="69" t="str">
        <f t="shared" si="47"/>
        <v>Fadrozole-2µg/L + Testostérone</v>
      </c>
      <c r="V45" s="69" t="str">
        <f t="shared" si="47"/>
        <v>Fadrozole-10 µg/L + Testostérone</v>
      </c>
    </row>
    <row r="46" spans="1:22" x14ac:dyDescent="0.3">
      <c r="A46" s="8" t="s">
        <v>0</v>
      </c>
      <c r="B46" s="10">
        <f t="shared" ref="B46:H46" si="48">AVERAGE(B28:B43)</f>
        <v>8.8883574144122346E-2</v>
      </c>
      <c r="C46" s="10">
        <f t="shared" si="48"/>
        <v>0.21461443181402268</v>
      </c>
      <c r="D46" s="10">
        <f t="shared" si="48"/>
        <v>0.55509271692906592</v>
      </c>
      <c r="E46" s="10">
        <f t="shared" si="48"/>
        <v>0.48956652872533107</v>
      </c>
      <c r="F46" s="10">
        <f t="shared" si="48"/>
        <v>3.7239819905230593</v>
      </c>
      <c r="G46" s="10">
        <f t="shared" si="48"/>
        <v>6.0217654604122393</v>
      </c>
      <c r="H46" s="10">
        <f t="shared" si="48"/>
        <v>10.064237680127739</v>
      </c>
      <c r="I46" s="10">
        <f>AVERAGE(I28:I43)</f>
        <v>9.6687936723997961E-2</v>
      </c>
      <c r="J46" s="9">
        <f>AVERAGE(J28:J43)</f>
        <v>0.13618549407591185</v>
      </c>
      <c r="K46" s="9">
        <f>AVERAGE(K28:K43)</f>
        <v>0.18539025069344828</v>
      </c>
      <c r="L46" s="9">
        <f t="shared" ref="L46:M46" si="49">AVERAGE(L28:L43)</f>
        <v>9.4097160943363262E-2</v>
      </c>
      <c r="M46" s="9">
        <f t="shared" si="49"/>
        <v>9.1517929138349968E-2</v>
      </c>
      <c r="N46" s="8" t="s">
        <v>0</v>
      </c>
      <c r="O46" s="10">
        <f>AVERAGE(O28:O43)</f>
        <v>1</v>
      </c>
      <c r="P46" s="10">
        <f>AVERAGE(P28:P43)</f>
        <v>4.1912094163898672</v>
      </c>
      <c r="Q46" s="10">
        <f>AVERAGE(Q28:Q43)</f>
        <v>9.9831454427817101E-2</v>
      </c>
      <c r="R46" s="10">
        <f>AVERAGE(R28:R43)</f>
        <v>0.80530780991370787</v>
      </c>
      <c r="S46" s="10">
        <f t="shared" ref="S46:V46" si="50">AVERAGE(S28:S43)</f>
        <v>1.1950732118439977</v>
      </c>
      <c r="T46" s="10">
        <f t="shared" si="50"/>
        <v>0.70168974802034412</v>
      </c>
      <c r="U46" s="10">
        <f t="shared" si="50"/>
        <v>0.89315530518958641</v>
      </c>
      <c r="V46" s="10">
        <f t="shared" si="50"/>
        <v>0.42847126553111903</v>
      </c>
    </row>
    <row r="47" spans="1:22" x14ac:dyDescent="0.3">
      <c r="A47" s="8" t="s">
        <v>1</v>
      </c>
      <c r="B47" s="8">
        <f t="shared" ref="B47:K47" si="51">STDEV(B28:B43)</f>
        <v>6.0126844965631872E-2</v>
      </c>
      <c r="C47" s="8">
        <f t="shared" si="51"/>
        <v>0.22336325962189688</v>
      </c>
      <c r="D47" s="8">
        <f t="shared" si="51"/>
        <v>1.185919740547134</v>
      </c>
      <c r="E47" s="8">
        <f t="shared" si="51"/>
        <v>0.46832503851023433</v>
      </c>
      <c r="F47" s="8">
        <f t="shared" si="51"/>
        <v>1.2261215345091323</v>
      </c>
      <c r="G47" s="8">
        <f t="shared" si="51"/>
        <v>2.6689300783097782</v>
      </c>
      <c r="H47" s="8">
        <f t="shared" si="51"/>
        <v>3.0533427733538572</v>
      </c>
      <c r="I47" s="8">
        <f>STDEV(I28:I43)</f>
        <v>9.2115146560126412E-2</v>
      </c>
      <c r="J47" s="8">
        <f t="shared" si="51"/>
        <v>0.15007922808015639</v>
      </c>
      <c r="K47" s="8">
        <f t="shared" si="51"/>
        <v>0.12139312025726658</v>
      </c>
      <c r="L47" s="8">
        <f t="shared" ref="L47:M47" si="52">STDEV(L28:L43)</f>
        <v>7.9268887019209727E-2</v>
      </c>
      <c r="M47" s="8">
        <f t="shared" si="52"/>
        <v>8.3903801965142827E-2</v>
      </c>
      <c r="N47" s="8" t="s">
        <v>1</v>
      </c>
      <c r="O47" s="8">
        <f>STDEV(O28:O43)</f>
        <v>1.4766986277090659</v>
      </c>
      <c r="P47" s="8">
        <f>STDEV(P28:P43)</f>
        <v>1.2495727340331542</v>
      </c>
      <c r="Q47" s="8">
        <f>STDEV(Q28:Q43)</f>
        <v>6.8865286883209004E-2</v>
      </c>
      <c r="R47" s="8">
        <f>STDEV(R28:R43)</f>
        <v>0.73657052273148682</v>
      </c>
      <c r="S47" s="8">
        <f t="shared" ref="S47:V47" si="53">STDEV(S28:S43)</f>
        <v>1.3561210740765173</v>
      </c>
      <c r="T47" s="8">
        <f t="shared" si="53"/>
        <v>0.85118982310173241</v>
      </c>
      <c r="U47" s="8">
        <f t="shared" si="53"/>
        <v>1.667260278863854</v>
      </c>
      <c r="V47" s="8">
        <f t="shared" si="53"/>
        <v>0.80751385298567913</v>
      </c>
    </row>
    <row r="48" spans="1:22" x14ac:dyDescent="0.3">
      <c r="A48" s="8" t="s">
        <v>2</v>
      </c>
      <c r="B48" s="8">
        <f t="shared" ref="B48:K48" si="54" xml:space="preserve"> B47/SQRT(COUNT(B28:B43))</f>
        <v>2.1258049903275261E-2</v>
      </c>
      <c r="C48" s="8">
        <f t="shared" si="54"/>
        <v>7.8970837773287311E-2</v>
      </c>
      <c r="D48" s="8">
        <f t="shared" si="54"/>
        <v>0.44823552976713699</v>
      </c>
      <c r="E48" s="8">
        <f t="shared" si="54"/>
        <v>0.16557790526501884</v>
      </c>
      <c r="F48" s="8">
        <f t="shared" si="54"/>
        <v>0.4334994258051314</v>
      </c>
      <c r="G48" s="8">
        <f t="shared" si="54"/>
        <v>0.94360927844279374</v>
      </c>
      <c r="H48" s="8">
        <f t="shared" si="54"/>
        <v>1.079519690162726</v>
      </c>
      <c r="I48" s="8">
        <f xml:space="preserve"> I47/SQRT(COUNT(I28:I43))</f>
        <v>3.4816252825765906E-2</v>
      </c>
      <c r="J48" s="8">
        <f t="shared" si="54"/>
        <v>5.3061019945360548E-2</v>
      </c>
      <c r="K48" s="8">
        <f t="shared" si="54"/>
        <v>4.291894926165362E-2</v>
      </c>
      <c r="L48" s="8">
        <f t="shared" ref="L48:M48" si="55" xml:space="preserve"> L47/SQRT(COUNT(L28:L43))</f>
        <v>2.8025783774196743E-2</v>
      </c>
      <c r="M48" s="8">
        <f t="shared" si="55"/>
        <v>2.9664473668442829E-2</v>
      </c>
      <c r="N48" s="8" t="s">
        <v>2</v>
      </c>
      <c r="O48" s="8">
        <f xml:space="preserve"> O47/SQRT(COUNT(O28:O43))</f>
        <v>0.36917465692726648</v>
      </c>
      <c r="P48" s="8">
        <f xml:space="preserve"> P47/SQRT(COUNT(P28:P43))</f>
        <v>0.47229409990554033</v>
      </c>
      <c r="Q48" s="8">
        <f xml:space="preserve"> Q47/SQRT(COUNT(Q28:Q43))</f>
        <v>2.4347555671737044E-2</v>
      </c>
      <c r="R48" s="8">
        <f xml:space="preserve"> R47/SQRT(COUNT(R28:R43))</f>
        <v>0.26041700572277715</v>
      </c>
      <c r="S48" s="8">
        <f t="shared" ref="S48:V48" si="56" xml:space="preserve"> S47/SQRT(COUNT(S28:S43))</f>
        <v>0.47946120379474483</v>
      </c>
      <c r="T48" s="8">
        <f t="shared" si="56"/>
        <v>0.30094104799610638</v>
      </c>
      <c r="U48" s="8">
        <f t="shared" si="56"/>
        <v>0.58946552459380264</v>
      </c>
      <c r="V48" s="8">
        <f t="shared" si="56"/>
        <v>0.28549926067412523</v>
      </c>
    </row>
    <row r="49" spans="1:22" s="1" customFormat="1"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4" t="s">
        <v>38</v>
      </c>
      <c r="B50" s="215"/>
      <c r="C50" s="215"/>
      <c r="D50" s="215"/>
      <c r="E50" s="215"/>
      <c r="F50" s="215"/>
      <c r="G50" s="215"/>
      <c r="H50" s="215"/>
      <c r="I50" s="215"/>
      <c r="J50" s="215"/>
      <c r="K50" s="215"/>
      <c r="L50" s="215"/>
      <c r="M50" s="215"/>
      <c r="N50" s="215"/>
      <c r="O50" s="215"/>
      <c r="P50" s="215"/>
      <c r="Q50" s="215"/>
      <c r="R50" s="215"/>
      <c r="S50" s="215"/>
      <c r="T50" s="215"/>
      <c r="U50" s="215"/>
      <c r="V50" s="215"/>
    </row>
    <row r="51" spans="1:22" ht="15" thickBot="1" x14ac:dyDescent="0.35">
      <c r="A51"/>
      <c r="B51"/>
      <c r="C51"/>
      <c r="D51"/>
      <c r="E51"/>
      <c r="F51"/>
      <c r="G51"/>
      <c r="H51"/>
      <c r="I51"/>
      <c r="J51"/>
      <c r="K51"/>
      <c r="L51"/>
      <c r="M51"/>
      <c r="S51"/>
      <c r="T51"/>
      <c r="U51"/>
      <c r="V51"/>
    </row>
    <row r="52" spans="1:22" x14ac:dyDescent="0.3">
      <c r="A52" s="44" t="str">
        <f t="shared" ref="A52:H52" si="57">A27</f>
        <v>Noms des groupes</v>
      </c>
      <c r="B52" s="45" t="str">
        <f t="shared" si="57"/>
        <v>Témoin solvant</v>
      </c>
      <c r="C52" s="45" t="str">
        <f t="shared" si="57"/>
        <v>EE2-33.8ng/L</v>
      </c>
      <c r="D52" s="45" t="str">
        <f t="shared" si="57"/>
        <v>EE2-50.6ng/L</v>
      </c>
      <c r="E52" s="45" t="str">
        <f t="shared" si="57"/>
        <v>EE2-76ng/L</v>
      </c>
      <c r="F52" s="45" t="str">
        <f t="shared" si="57"/>
        <v>EE2-114ng/L</v>
      </c>
      <c r="G52" s="45" t="str">
        <f t="shared" si="57"/>
        <v>EE2-170.9ng/L</v>
      </c>
      <c r="H52" s="45" t="str">
        <f t="shared" si="57"/>
        <v>EE2-488ng/L</v>
      </c>
      <c r="I52" s="45" t="str">
        <f>I4</f>
        <v>Fadrozole-0.016µg/L</v>
      </c>
      <c r="J52" s="45" t="str">
        <f>J4</f>
        <v>Fadrozole-0.08µg/L</v>
      </c>
      <c r="K52" s="45" t="str">
        <f>K27</f>
        <v>Fadrozole-0.4µg/L</v>
      </c>
      <c r="L52" s="45" t="str">
        <f t="shared" ref="L52:M52" si="58">L27</f>
        <v>Fadrozole-2µg/L</v>
      </c>
      <c r="M52" s="45" t="str">
        <f t="shared" si="58"/>
        <v>Fadrozole-10 µg/L</v>
      </c>
      <c r="N52" s="46"/>
      <c r="O52" s="45" t="str">
        <f>O27</f>
        <v>Testo -30µg/L</v>
      </c>
      <c r="P52" s="45" t="str">
        <f>P27</f>
        <v>Testo 30µg/L + EE2 -64ng/L</v>
      </c>
      <c r="Q52" s="45" t="str">
        <f>Q27</f>
        <v>Testo 30µg/L + FAD-10µg/L</v>
      </c>
      <c r="R52" s="45" t="str">
        <f>R27</f>
        <v>Fadrozole-0.016µg/L + Testostérone</v>
      </c>
      <c r="S52" s="45" t="str">
        <f t="shared" ref="S52:V52" si="59">S27</f>
        <v>Fadrozole-0.08µg/L + Testostérone</v>
      </c>
      <c r="T52" s="45" t="str">
        <f t="shared" si="59"/>
        <v>Fadrozole-0.4µg/L + Testostérone</v>
      </c>
      <c r="U52" s="45" t="str">
        <f t="shared" si="59"/>
        <v>Fadrozole-2µg/L + Testostérone</v>
      </c>
      <c r="V52" s="45" t="str">
        <f t="shared" si="59"/>
        <v>Fadrozole-10 µg/L + Testostérone</v>
      </c>
    </row>
    <row r="53" spans="1:22" s="3" customFormat="1" x14ac:dyDescent="0.3">
      <c r="A53" s="60" t="s">
        <v>32</v>
      </c>
      <c r="B53" s="140">
        <f t="shared" ref="B53:M53" si="60">B46</f>
        <v>8.8883574144122346E-2</v>
      </c>
      <c r="C53" s="140">
        <f t="shared" si="60"/>
        <v>0.21461443181402268</v>
      </c>
      <c r="D53" s="140">
        <f t="shared" si="60"/>
        <v>0.55509271692906592</v>
      </c>
      <c r="E53" s="140">
        <f t="shared" si="60"/>
        <v>0.48956652872533107</v>
      </c>
      <c r="F53" s="140">
        <f t="shared" si="60"/>
        <v>3.7239819905230593</v>
      </c>
      <c r="G53" s="140">
        <f t="shared" si="60"/>
        <v>6.0217654604122393</v>
      </c>
      <c r="H53" s="140">
        <f t="shared" si="60"/>
        <v>10.064237680127739</v>
      </c>
      <c r="I53" s="140">
        <f t="shared" si="60"/>
        <v>9.6687936723997961E-2</v>
      </c>
      <c r="J53" s="140">
        <f t="shared" si="60"/>
        <v>0.13618549407591185</v>
      </c>
      <c r="K53" s="140">
        <f t="shared" si="60"/>
        <v>0.18539025069344828</v>
      </c>
      <c r="L53" s="140">
        <f t="shared" si="60"/>
        <v>9.4097160943363262E-2</v>
      </c>
      <c r="M53" s="140">
        <f t="shared" si="60"/>
        <v>9.1517929138349968E-2</v>
      </c>
      <c r="N53" s="140"/>
      <c r="O53" s="140">
        <f t="shared" ref="O53:V53" si="61">O46</f>
        <v>1</v>
      </c>
      <c r="P53" s="140">
        <f t="shared" si="61"/>
        <v>4.1912094163898672</v>
      </c>
      <c r="Q53" s="140">
        <f t="shared" si="61"/>
        <v>9.9831454427817101E-2</v>
      </c>
      <c r="R53" s="140">
        <f t="shared" si="61"/>
        <v>0.80530780991370787</v>
      </c>
      <c r="S53" s="140">
        <f t="shared" si="61"/>
        <v>1.1950732118439977</v>
      </c>
      <c r="T53" s="140">
        <f t="shared" si="61"/>
        <v>0.70168974802034412</v>
      </c>
      <c r="U53" s="140">
        <f t="shared" si="61"/>
        <v>0.89315530518958641</v>
      </c>
      <c r="V53" s="140">
        <f t="shared" si="61"/>
        <v>0.42847126553111903</v>
      </c>
    </row>
    <row r="54" spans="1:22" s="3" customFormat="1" x14ac:dyDescent="0.3">
      <c r="A54" s="60" t="s">
        <v>2</v>
      </c>
      <c r="B54" s="140">
        <f t="shared" ref="B54:M54" si="62">B48</f>
        <v>2.1258049903275261E-2</v>
      </c>
      <c r="C54" s="140">
        <f t="shared" si="62"/>
        <v>7.8970837773287311E-2</v>
      </c>
      <c r="D54" s="140">
        <f t="shared" si="62"/>
        <v>0.44823552976713699</v>
      </c>
      <c r="E54" s="140">
        <f t="shared" si="62"/>
        <v>0.16557790526501884</v>
      </c>
      <c r="F54" s="140">
        <f t="shared" si="62"/>
        <v>0.4334994258051314</v>
      </c>
      <c r="G54" s="140">
        <f t="shared" si="62"/>
        <v>0.94360927844279374</v>
      </c>
      <c r="H54" s="140">
        <f t="shared" si="62"/>
        <v>1.079519690162726</v>
      </c>
      <c r="I54" s="140">
        <f t="shared" si="62"/>
        <v>3.4816252825765906E-2</v>
      </c>
      <c r="J54" s="140">
        <f t="shared" si="62"/>
        <v>5.3061019945360548E-2</v>
      </c>
      <c r="K54" s="140">
        <f t="shared" si="62"/>
        <v>4.291894926165362E-2</v>
      </c>
      <c r="L54" s="140">
        <f t="shared" si="62"/>
        <v>2.8025783774196743E-2</v>
      </c>
      <c r="M54" s="140">
        <f t="shared" si="62"/>
        <v>2.9664473668442829E-2</v>
      </c>
      <c r="N54" s="140"/>
      <c r="O54" s="140">
        <f t="shared" ref="O54:V54" si="63">O48</f>
        <v>0.36917465692726648</v>
      </c>
      <c r="P54" s="140">
        <f t="shared" si="63"/>
        <v>0.47229409990554033</v>
      </c>
      <c r="Q54" s="140">
        <f t="shared" si="63"/>
        <v>2.4347555671737044E-2</v>
      </c>
      <c r="R54" s="140">
        <f t="shared" si="63"/>
        <v>0.26041700572277715</v>
      </c>
      <c r="S54" s="140">
        <f t="shared" si="63"/>
        <v>0.47946120379474483</v>
      </c>
      <c r="T54" s="140">
        <f t="shared" si="63"/>
        <v>0.30094104799610638</v>
      </c>
      <c r="U54" s="140">
        <f t="shared" si="63"/>
        <v>0.58946552459380264</v>
      </c>
      <c r="V54" s="140">
        <f t="shared" si="63"/>
        <v>0.28549926067412523</v>
      </c>
    </row>
    <row r="55" spans="1:22" s="3" customFormat="1" x14ac:dyDescent="0.3">
      <c r="A55" s="60" t="s">
        <v>79</v>
      </c>
      <c r="B55" s="140">
        <f t="shared" ref="B55:M55" si="64">(B53*100/$B$53)-100</f>
        <v>0</v>
      </c>
      <c r="C55" s="140">
        <f t="shared" si="64"/>
        <v>141.45567263759116</v>
      </c>
      <c r="D55" s="140">
        <f t="shared" si="64"/>
        <v>524.51664694423505</v>
      </c>
      <c r="E55" s="140">
        <f t="shared" si="64"/>
        <v>450.79527734957185</v>
      </c>
      <c r="F55" s="140">
        <f t="shared" si="64"/>
        <v>4089.7302469911056</v>
      </c>
      <c r="G55" s="140">
        <f t="shared" si="64"/>
        <v>6674.8912196623714</v>
      </c>
      <c r="H55" s="140">
        <f t="shared" si="64"/>
        <v>11222.944398937925</v>
      </c>
      <c r="I55" s="140">
        <f t="shared" si="64"/>
        <v>8.7804328921573784</v>
      </c>
      <c r="J55" s="140">
        <f t="shared" si="64"/>
        <v>53.217841864786749</v>
      </c>
      <c r="K55" s="140">
        <f t="shared" si="64"/>
        <v>108.57650300250407</v>
      </c>
      <c r="L55" s="140">
        <f t="shared" si="64"/>
        <v>5.8656358606678367</v>
      </c>
      <c r="M55" s="140">
        <f t="shared" si="64"/>
        <v>2.9638265783012798</v>
      </c>
      <c r="N55" s="140"/>
      <c r="O55" s="140">
        <f>(O53*100/$O$53)-100</f>
        <v>0</v>
      </c>
      <c r="P55" s="140">
        <f t="shared" ref="P55:V55" si="65">(P53*100/$O$53)-100</f>
        <v>319.12094163898672</v>
      </c>
      <c r="Q55" s="140">
        <f t="shared" si="65"/>
        <v>-90.016854557218295</v>
      </c>
      <c r="R55" s="140">
        <f t="shared" si="65"/>
        <v>-19.46921900862921</v>
      </c>
      <c r="S55" s="140">
        <f t="shared" si="65"/>
        <v>19.507321184399771</v>
      </c>
      <c r="T55" s="140">
        <f t="shared" si="65"/>
        <v>-29.831025197965587</v>
      </c>
      <c r="U55" s="140">
        <f t="shared" si="65"/>
        <v>-10.684469481041361</v>
      </c>
      <c r="V55" s="140">
        <f t="shared" si="65"/>
        <v>-57.152873446888094</v>
      </c>
    </row>
    <row r="56" spans="1:22" s="3" customFormat="1" x14ac:dyDescent="0.3">
      <c r="A56" s="60" t="s">
        <v>81</v>
      </c>
      <c r="B56" s="140" t="e">
        <f ca="1">[1]!SWTEST(B28:B43)</f>
        <v>#NAME?</v>
      </c>
      <c r="C56" s="140" t="e">
        <f ca="1">[1]!SWTEST(C28:C43)</f>
        <v>#NAME?</v>
      </c>
      <c r="D56" s="140" t="e">
        <f ca="1">[1]!SWTEST(D28:D43)</f>
        <v>#NAME?</v>
      </c>
      <c r="E56" s="140" t="e">
        <f ca="1">[1]!SWTEST(E28:E43)</f>
        <v>#NAME?</v>
      </c>
      <c r="F56" s="140" t="e">
        <f ca="1">[1]!SWTEST(F28:F43)</f>
        <v>#NAME?</v>
      </c>
      <c r="G56" s="140" t="e">
        <f ca="1">[1]!SWTEST(G28:G43)</f>
        <v>#NAME?</v>
      </c>
      <c r="H56" s="140" t="e">
        <f ca="1">[1]!SWTEST(H28:H43)</f>
        <v>#NAME?</v>
      </c>
      <c r="I56" s="140" t="e">
        <f ca="1">[1]!SWTEST(I28:I43)</f>
        <v>#NAME?</v>
      </c>
      <c r="J56" s="140" t="e">
        <f ca="1">[1]!SWTEST(J28:J43)</f>
        <v>#NAME?</v>
      </c>
      <c r="K56" s="140" t="e">
        <f ca="1">[1]!SWTEST(K28:K43)</f>
        <v>#NAME?</v>
      </c>
      <c r="L56" s="140" t="e">
        <f ca="1">[1]!SWTEST(L28:L43)</f>
        <v>#NAME?</v>
      </c>
      <c r="M56" s="140" t="e">
        <f ca="1">[1]!SWTEST(M28:M43)</f>
        <v>#NAME?</v>
      </c>
      <c r="N56" s="140"/>
      <c r="O56" s="140" t="e">
        <f ca="1">[1]!SWTEST(O28:O43)</f>
        <v>#NAME?</v>
      </c>
      <c r="P56" s="140" t="e">
        <f ca="1">[1]!SWTEST(P28:P43)</f>
        <v>#NAME?</v>
      </c>
      <c r="Q56" s="140" t="e">
        <f ca="1">[1]!SWTEST(Q28:Q43)</f>
        <v>#NAME?</v>
      </c>
      <c r="R56" s="140" t="e">
        <f ca="1">[1]!SWTEST(R28:R43)</f>
        <v>#NAME?</v>
      </c>
      <c r="S56" s="140" t="e">
        <f ca="1">[1]!SWTEST(S28:S43)</f>
        <v>#NAME?</v>
      </c>
      <c r="T56" s="140" t="e">
        <f ca="1">[1]!SWTEST(T28:T43)</f>
        <v>#NAME?</v>
      </c>
      <c r="U56" s="140" t="e">
        <f ca="1">[1]!SWTEST(U28:U43)</f>
        <v>#NAME?</v>
      </c>
      <c r="V56" s="140" t="e">
        <f ca="1">[1]!SWTEST(V28:V43)</f>
        <v>#NAME?</v>
      </c>
    </row>
    <row r="57" spans="1:22" s="3" customFormat="1" x14ac:dyDescent="0.3">
      <c r="A57" s="60" t="s">
        <v>85</v>
      </c>
      <c r="B57" s="140" t="e">
        <f t="shared" ref="B57:M57" ca="1" si="66">IF(B56&gt;0.05,"Oui","Non")</f>
        <v>#NAME?</v>
      </c>
      <c r="C57" s="140" t="e">
        <f t="shared" ca="1" si="66"/>
        <v>#NAME?</v>
      </c>
      <c r="D57" s="140" t="e">
        <f t="shared" ca="1" si="66"/>
        <v>#NAME?</v>
      </c>
      <c r="E57" s="140" t="e">
        <f t="shared" ca="1" si="66"/>
        <v>#NAME?</v>
      </c>
      <c r="F57" s="140" t="e">
        <f t="shared" ca="1" si="66"/>
        <v>#NAME?</v>
      </c>
      <c r="G57" s="140" t="e">
        <f t="shared" ca="1" si="66"/>
        <v>#NAME?</v>
      </c>
      <c r="H57" s="140" t="e">
        <f t="shared" ca="1" si="66"/>
        <v>#NAME?</v>
      </c>
      <c r="I57" s="140" t="e">
        <f t="shared" ca="1" si="66"/>
        <v>#NAME?</v>
      </c>
      <c r="J57" s="140" t="e">
        <f t="shared" ca="1" si="66"/>
        <v>#NAME?</v>
      </c>
      <c r="K57" s="140" t="e">
        <f t="shared" ca="1" si="66"/>
        <v>#NAME?</v>
      </c>
      <c r="L57" s="140" t="e">
        <f t="shared" ca="1" si="66"/>
        <v>#NAME?</v>
      </c>
      <c r="M57" s="140" t="e">
        <f t="shared" ca="1" si="66"/>
        <v>#NAME?</v>
      </c>
      <c r="N57" s="140"/>
      <c r="O57" s="140" t="e">
        <f t="shared" ref="O57:V57" ca="1" si="67">IF(O56&gt;0.05,"Oui","Non")</f>
        <v>#NAME?</v>
      </c>
      <c r="P57" s="140" t="e">
        <f t="shared" ca="1" si="67"/>
        <v>#NAME?</v>
      </c>
      <c r="Q57" s="140" t="e">
        <f t="shared" ca="1" si="67"/>
        <v>#NAME?</v>
      </c>
      <c r="R57" s="140" t="e">
        <f t="shared" ca="1" si="67"/>
        <v>#NAME?</v>
      </c>
      <c r="S57" s="140" t="e">
        <f t="shared" ca="1" si="67"/>
        <v>#NAME?</v>
      </c>
      <c r="T57" s="140" t="e">
        <f t="shared" ca="1" si="67"/>
        <v>#NAME?</v>
      </c>
      <c r="U57" s="140" t="e">
        <f t="shared" ca="1" si="67"/>
        <v>#NAME?</v>
      </c>
      <c r="V57" s="140" t="e">
        <f t="shared" ca="1" si="67"/>
        <v>#NAME?</v>
      </c>
    </row>
    <row r="58" spans="1:22" s="3" customFormat="1" x14ac:dyDescent="0.3">
      <c r="A58" s="60"/>
      <c r="B58" s="140"/>
      <c r="C58" s="140"/>
      <c r="D58" s="140"/>
      <c r="E58" s="140"/>
      <c r="F58" s="140"/>
      <c r="G58" s="140"/>
      <c r="H58" s="140"/>
      <c r="I58" s="140"/>
      <c r="J58" s="140"/>
      <c r="K58" s="140"/>
      <c r="L58" s="140"/>
      <c r="M58" s="140"/>
      <c r="N58" s="147"/>
      <c r="O58" s="148"/>
      <c r="P58" s="140"/>
      <c r="Q58" s="140"/>
      <c r="R58" s="140"/>
      <c r="S58" s="140"/>
      <c r="T58" s="140"/>
      <c r="U58" s="140"/>
      <c r="V58" s="140"/>
    </row>
    <row r="59" spans="1:22" s="3" customFormat="1" x14ac:dyDescent="0.3">
      <c r="A59" s="60" t="s">
        <v>82</v>
      </c>
      <c r="B59" s="149"/>
      <c r="C59" s="149" t="e">
        <f t="shared" ref="C59:M59" ca="1" si="68">IF($B57="Non",IF(C$57="Non","Mann Withney",IF(C$57="Oui","Mann Withney","")),IF($B$57="Oui",IF(C$57="Oui","T-Test Welch",IF(C$57="Non","Mann Withney",""))))</f>
        <v>#NAME?</v>
      </c>
      <c r="D59" s="149" t="e">
        <f t="shared" ca="1" si="68"/>
        <v>#NAME?</v>
      </c>
      <c r="E59" s="149" t="e">
        <f t="shared" ca="1" si="68"/>
        <v>#NAME?</v>
      </c>
      <c r="F59" s="149" t="e">
        <f t="shared" ca="1" si="68"/>
        <v>#NAME?</v>
      </c>
      <c r="G59" s="149" t="e">
        <f t="shared" ca="1" si="68"/>
        <v>#NAME?</v>
      </c>
      <c r="H59" s="149" t="e">
        <f t="shared" ca="1" si="68"/>
        <v>#NAME?</v>
      </c>
      <c r="I59" s="149" t="e">
        <f t="shared" ca="1" si="68"/>
        <v>#NAME?</v>
      </c>
      <c r="J59" s="149" t="e">
        <f t="shared" ca="1" si="68"/>
        <v>#NAME?</v>
      </c>
      <c r="K59" s="149" t="e">
        <f t="shared" ca="1" si="68"/>
        <v>#NAME?</v>
      </c>
      <c r="L59" s="149" t="e">
        <f t="shared" ca="1" si="68"/>
        <v>#NAME?</v>
      </c>
      <c r="M59" s="149" t="e">
        <f t="shared" ca="1" si="68"/>
        <v>#NAME?</v>
      </c>
      <c r="N59" s="149"/>
      <c r="O59" s="149" t="e">
        <f ca="1">IF($B57="Non",IF(O$57="Non","Mann Withney",IF(O$57="Oui","Mann Withney","")),IF($B$57="Oui",IF(O$57="Oui","T-Test Welch",IF(O$57="Non","Mann Withney",""))))</f>
        <v>#NAME?</v>
      </c>
      <c r="P59" s="149" t="e">
        <f ca="1">IF($O57="Non",IF(P$57="Non","Mann Withney",IF(P$57="Oui","Mann Withney","")),IF($O$57="Oui",IF(P$57="Oui","T-Test Welch",IF(P$57="Non","Mann Withney",""))))</f>
        <v>#NAME?</v>
      </c>
      <c r="Q59" s="149" t="e">
        <f t="shared" ref="Q59:V59" ca="1" si="69">IF($O57="Non",IF(Q$57="Non","Mann Withney",IF(Q$57="Oui","Mann Withney","")),IF($O$57="Oui",IF(Q$57="Oui","T-Test Welch",IF(Q$57="Non","Mann Withney",""))))</f>
        <v>#NAME?</v>
      </c>
      <c r="R59" s="149" t="e">
        <f t="shared" ca="1" si="69"/>
        <v>#NAME?</v>
      </c>
      <c r="S59" s="149" t="e">
        <f t="shared" ca="1" si="69"/>
        <v>#NAME?</v>
      </c>
      <c r="T59" s="149" t="e">
        <f t="shared" ca="1" si="69"/>
        <v>#NAME?</v>
      </c>
      <c r="U59" s="149" t="e">
        <f t="shared" ca="1" si="69"/>
        <v>#NAME?</v>
      </c>
      <c r="V59" s="149" t="e">
        <f t="shared" ca="1" si="69"/>
        <v>#NAME?</v>
      </c>
    </row>
    <row r="60" spans="1:22" s="3" customFormat="1" x14ac:dyDescent="0.3">
      <c r="A60" s="60" t="s">
        <v>83</v>
      </c>
      <c r="B60" s="150"/>
      <c r="C60" s="150" t="e">
        <f ca="1">IF(C59="Mann Withney",[1]!MTEST($B28:$B43,C28:C43,2), IF(C59="T-Test Welch",_xlfn.T.TEST($B28:$B43,C28:C43,2,3),""))</f>
        <v>#NAME?</v>
      </c>
      <c r="D60" s="150" t="e">
        <f ca="1">IF(D59="Mann Withney",[1]!MTEST($B28:$B43,D28:D43,2), IF(D59="T-Test Welch",_xlfn.T.TEST($B28:$B43,D28:D43,2,3),""))</f>
        <v>#NAME?</v>
      </c>
      <c r="E60" s="150" t="e">
        <f ca="1">IF(E59="Mann Withney",[1]!MTEST($B28:$B43,E28:E43,2), IF(E59="T-Test Welch",_xlfn.T.TEST($B28:$B43,E28:E43,2,3),""))</f>
        <v>#NAME?</v>
      </c>
      <c r="F60" s="150" t="e">
        <f ca="1">IF(F59="Mann Withney",[1]!MTEST($B28:$B43,F28:F43,2), IF(F59="T-Test Welch",_xlfn.T.TEST($B28:$B43,F28:F43,2,3),""))</f>
        <v>#NAME?</v>
      </c>
      <c r="G60" s="150" t="e">
        <f ca="1">IF(G59="Mann Withney",[1]!MTEST($B28:$B43,G28:G43,2), IF(G59="T-Test Welch",_xlfn.T.TEST($B28:$B43,G28:G43,2,3),""))</f>
        <v>#NAME?</v>
      </c>
      <c r="H60" s="150" t="e">
        <f ca="1">IF(H59="Mann Withney",[1]!MTEST($B28:$B43,H28:H43,2), IF(H59="T-Test Welch",_xlfn.T.TEST($B28:$B43,H28:H43,2,3),""))</f>
        <v>#NAME?</v>
      </c>
      <c r="I60" s="150" t="e">
        <f ca="1">IF(I59="Mann Withney",[1]!MTEST($B28:$B43,I28:I43,2), IF(I59="T-Test Welch",_xlfn.T.TEST($B28:$B43,I28:I43,2,3),""))</f>
        <v>#NAME?</v>
      </c>
      <c r="J60" s="150" t="e">
        <f ca="1">IF(J59="Mann Withney",[1]!MTEST($B28:$B43,J28:J43,2), IF(J59="T-Test Welch",_xlfn.T.TEST($B28:$B43,J28:J43,2,3),""))</f>
        <v>#NAME?</v>
      </c>
      <c r="K60" s="150" t="e">
        <f ca="1">IF(K59="Mann Withney",[1]!MTEST($B28:$B43,K28:K43,2), IF(K59="T-Test Welch",_xlfn.T.TEST($B28:$B43,K28:K43,2,3),""))</f>
        <v>#NAME?</v>
      </c>
      <c r="L60" s="150" t="e">
        <f ca="1">IF(L59="Mann Withney",[1]!MTEST($B28:$B43,L28:L43,2), IF(L59="T-Test Welch",_xlfn.T.TEST($B28:$B43,L28:L43,2,3),""))</f>
        <v>#NAME?</v>
      </c>
      <c r="M60" s="150" t="e">
        <f ca="1">IF(M59="Mann Withney",[1]!MTEST($B28:$B43,M28:M43,2), IF(M59="T-Test Welch",_xlfn.T.TEST($B28:$B43,M28:M43,2,3),""))</f>
        <v>#NAME?</v>
      </c>
      <c r="N60" s="150"/>
      <c r="O60" s="150" t="e">
        <f ca="1">IF(O59="Mann Withney",[1]!MTEST($B28:$B43,O28:O43,2), IF(O59="T-Test Welch",_xlfn.T.TEST($B28:$B43,O28:O43,2,3),""))</f>
        <v>#NAME?</v>
      </c>
      <c r="P60" s="150" t="e">
        <f ca="1">IF(P59="Mann Withney",[1]!MTEST($O28:$O43,P28:P43,2), IF(P59="T-Test Welch",_xlfn.T.TEST($O28:$O43,P28:P43,2,3),""))</f>
        <v>#NAME?</v>
      </c>
      <c r="Q60" s="150" t="e">
        <f ca="1">IF(Q59="Mann Withney",[1]!MTEST($O28:$O43,Q28:Q43,2), IF(Q59="T-Test Welch",_xlfn.T.TEST($O28:$O43,Q28:Q43,2,3),""))</f>
        <v>#NAME?</v>
      </c>
      <c r="R60" s="150" t="e">
        <f ca="1">IF(R59="Mann Withney",[1]!MTEST($O28:$O43,R28:R43,2), IF(R59="T-Test Welch",_xlfn.T.TEST($O28:$O43,R28:R43,2,3),""))</f>
        <v>#NAME?</v>
      </c>
      <c r="S60" s="150" t="e">
        <f ca="1">IF(S59="Mann Withney",[1]!MTEST($O28:$O43,S28:S43,2), IF(S59="T-Test Welch",_xlfn.T.TEST($O28:$O43,S28:S43,2,3),""))</f>
        <v>#NAME?</v>
      </c>
      <c r="T60" s="150" t="e">
        <f ca="1">IF(T59="Mann Withney",[1]!MTEST($O28:$O43,T28:T43,2), IF(T59="T-Test Welch",_xlfn.T.TEST($O28:$O43,T28:T43,2,3),""))</f>
        <v>#NAME?</v>
      </c>
      <c r="U60" s="150" t="e">
        <f ca="1">IF(U59="Mann Withney",[1]!MTEST($O28:$O43,U28:U43,2), IF(U59="T-Test Welch",_xlfn.T.TEST($O28:$O43,U28:U43,2,3),""))</f>
        <v>#NAME?</v>
      </c>
      <c r="V60" s="150" t="e">
        <f ca="1">IF(V59="Mann Withney",[1]!MTEST($O28:$O43,V28:V43,2), IF(V59="T-Test Welch",_xlfn.T.TEST($O28:$O43,V28:V43,2,3),""))</f>
        <v>#NAME?</v>
      </c>
    </row>
    <row r="61" spans="1:22" s="3" customFormat="1" ht="15" thickBot="1" x14ac:dyDescent="0.35">
      <c r="A61" s="61" t="s">
        <v>84</v>
      </c>
      <c r="B61" s="141"/>
      <c r="C61" s="141" t="e">
        <f t="shared" ref="C61:M61" ca="1" si="70">IF(C60&gt;0.05,"NS",IF(C60&gt;0.01,"*",IF(C60&gt;0.001,"**","***")))</f>
        <v>#NAME?</v>
      </c>
      <c r="D61" s="141" t="e">
        <f t="shared" ca="1" si="70"/>
        <v>#NAME?</v>
      </c>
      <c r="E61" s="141" t="e">
        <f t="shared" ca="1" si="70"/>
        <v>#NAME?</v>
      </c>
      <c r="F61" s="141" t="e">
        <f t="shared" ca="1" si="70"/>
        <v>#NAME?</v>
      </c>
      <c r="G61" s="141" t="e">
        <f t="shared" ca="1" si="70"/>
        <v>#NAME?</v>
      </c>
      <c r="H61" s="141" t="e">
        <f t="shared" ca="1" si="70"/>
        <v>#NAME?</v>
      </c>
      <c r="I61" s="141" t="e">
        <f t="shared" ca="1" si="70"/>
        <v>#NAME?</v>
      </c>
      <c r="J61" s="141" t="e">
        <f t="shared" ca="1" si="70"/>
        <v>#NAME?</v>
      </c>
      <c r="K61" s="141" t="e">
        <f t="shared" ca="1" si="70"/>
        <v>#NAME?</v>
      </c>
      <c r="L61" s="141" t="e">
        <f t="shared" ca="1" si="70"/>
        <v>#NAME?</v>
      </c>
      <c r="M61" s="141" t="e">
        <f t="shared" ca="1" si="70"/>
        <v>#NAME?</v>
      </c>
      <c r="N61" s="141"/>
      <c r="O61" s="141" t="e">
        <f ca="1">IF(O60&gt;0.05,"NS",IF(O60&gt;0.01,"*",IF(O60&gt;0.001,"**","***")))</f>
        <v>#NAME?</v>
      </c>
      <c r="P61" s="141" t="e">
        <f ca="1">IF(P60&gt;0.05,"NS",IF(P60&gt;0.01,"*",IF(P60&gt;0.001,"**","***")))</f>
        <v>#NAME?</v>
      </c>
      <c r="Q61" s="141" t="e">
        <f t="shared" ref="Q61" ca="1" si="71">IF(Q60&gt;0.05,"NS",IF(Q60&gt;0.01,"*",IF(Q60&gt;0.001,"**","***")))</f>
        <v>#NAME?</v>
      </c>
      <c r="R61" s="141" t="e">
        <f t="shared" ref="R61" ca="1" si="72">IF(R60&gt;0.05,"NS",IF(R60&gt;0.01,"*",IF(R60&gt;0.001,"**","***")))</f>
        <v>#NAME?</v>
      </c>
      <c r="S61" s="141" t="e">
        <f t="shared" ref="S61" ca="1" si="73">IF(S60&gt;0.05,"NS",IF(S60&gt;0.01,"*",IF(S60&gt;0.001,"**","***")))</f>
        <v>#NAME?</v>
      </c>
      <c r="T61" s="141" t="e">
        <f t="shared" ref="T61" ca="1" si="74">IF(T60&gt;0.05,"NS",IF(T60&gt;0.01,"*",IF(T60&gt;0.001,"**","***")))</f>
        <v>#NAME?</v>
      </c>
      <c r="U61" s="141" t="e">
        <f t="shared" ref="U61" ca="1" si="75">IF(U60&gt;0.05,"NS",IF(U60&gt;0.01,"*",IF(U60&gt;0.001,"**","***")))</f>
        <v>#NAME?</v>
      </c>
      <c r="V61" s="141" t="e">
        <f t="shared" ref="V61" ca="1" si="76">IF(V60&gt;0.05,"NS",IF(V60&gt;0.01,"*",IF(V60&gt;0.001,"**","***")))</f>
        <v>#NAME?</v>
      </c>
    </row>
    <row r="63" spans="1:22" x14ac:dyDescent="0.3">
      <c r="A63" s="2" t="s">
        <v>39</v>
      </c>
    </row>
    <row r="64" spans="1:22" x14ac:dyDescent="0.3">
      <c r="A64" s="1" t="s">
        <v>23</v>
      </c>
      <c r="B64" s="1">
        <f>B46+(3*B47)</f>
        <v>0.26926410904101794</v>
      </c>
    </row>
    <row r="65" spans="1:22" x14ac:dyDescent="0.3">
      <c r="A65" s="1" t="s">
        <v>24</v>
      </c>
      <c r="B65" s="1">
        <f>B46+(10*B47)</f>
        <v>0.69015202380044105</v>
      </c>
    </row>
    <row r="66" spans="1:22" ht="15" thickBot="1" x14ac:dyDescent="0.35"/>
    <row r="67" spans="1:22" s="1" customFormat="1" ht="26.4" thickBot="1" x14ac:dyDescent="0.55000000000000004">
      <c r="A67" s="214" t="s">
        <v>52</v>
      </c>
      <c r="B67" s="215"/>
      <c r="C67" s="215"/>
      <c r="D67" s="215"/>
      <c r="E67" s="215"/>
      <c r="F67" s="215"/>
      <c r="G67" s="215"/>
      <c r="H67" s="215"/>
      <c r="I67" s="215"/>
      <c r="J67" s="215"/>
      <c r="K67" s="215"/>
      <c r="L67" s="215"/>
      <c r="M67" s="215"/>
      <c r="N67" s="215"/>
      <c r="O67" s="215"/>
      <c r="P67" s="215"/>
      <c r="Q67" s="215"/>
      <c r="R67" s="215"/>
      <c r="S67" s="215"/>
      <c r="T67" s="215"/>
      <c r="U67" s="215"/>
      <c r="V67" s="215"/>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7"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1"/>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7" t="s">
        <v>153</v>
      </c>
      <c r="L3" s="117"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7"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4" t="s">
        <v>164</v>
      </c>
      <c r="L5" s="43"/>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
      <c r="A1011" s="1" t="str">
        <f t="shared" si="15"/>
        <v/>
      </c>
      <c r="B10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
      <c r="A1012" s="1" t="str">
        <f t="shared" si="15"/>
        <v/>
      </c>
      <c r="B10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
      <c r="A1013" s="1" t="str">
        <f t="shared" si="15"/>
        <v/>
      </c>
      <c r="B10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
      <c r="A1014" s="1" t="str">
        <f t="shared" si="15"/>
        <v/>
      </c>
      <c r="B10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
      <c r="A1015" s="1" t="str">
        <f t="shared" si="15"/>
        <v/>
      </c>
      <c r="B10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
      <c r="A1016" s="1" t="str">
        <f t="shared" si="15"/>
        <v/>
      </c>
      <c r="B10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
      <c r="A1017" s="1" t="str">
        <f t="shared" si="15"/>
        <v/>
      </c>
      <c r="B10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
      <c r="A1018" s="1" t="str">
        <f t="shared" si="15"/>
        <v/>
      </c>
      <c r="B10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
      <c r="A1019" s="1" t="str">
        <f t="shared" si="15"/>
        <v/>
      </c>
      <c r="B10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
      <c r="A1020" s="1" t="str">
        <f t="shared" si="15"/>
        <v/>
      </c>
      <c r="B10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
      <c r="A1021" s="1" t="str">
        <f t="shared" si="15"/>
        <v/>
      </c>
      <c r="B10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
      <c r="A1022" s="1" t="str">
        <f t="shared" si="15"/>
        <v/>
      </c>
      <c r="B10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
      <c r="A1023" s="1" t="str">
        <f t="shared" si="15"/>
        <v/>
      </c>
      <c r="B10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
      <c r="A1024" s="1" t="str">
        <f t="shared" si="15"/>
        <v/>
      </c>
      <c r="B10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
      <c r="A1025" s="1" t="str">
        <f t="shared" si="15"/>
        <v/>
      </c>
      <c r="B10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
      <c r="A1026" s="1" t="str">
        <f t="shared" ref="A1026:A1089" si="16">IFERROR(LEFT(RIGHT(C1026,LEN(C1026)-SEARCH("@",C1026)),SEARCH("/",RIGHT(C1026,LEN(C1026)-SEARCH("@",C1026)-1))),"")</f>
        <v/>
      </c>
      <c r="B10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
      <c r="A1027" s="1" t="str">
        <f t="shared" si="16"/>
        <v/>
      </c>
      <c r="B10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
      <c r="A1028" s="1" t="str">
        <f t="shared" si="16"/>
        <v/>
      </c>
      <c r="B10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
      <c r="A1029" s="1" t="str">
        <f t="shared" si="16"/>
        <v/>
      </c>
      <c r="B10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
      <c r="A1030" s="1" t="str">
        <f t="shared" si="16"/>
        <v/>
      </c>
      <c r="B10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
      <c r="A1031" s="1" t="str">
        <f t="shared" si="16"/>
        <v/>
      </c>
      <c r="B10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
      <c r="A1032" s="1" t="str">
        <f t="shared" si="16"/>
        <v/>
      </c>
      <c r="B10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
      <c r="A1033" s="1" t="str">
        <f t="shared" si="16"/>
        <v/>
      </c>
      <c r="B10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
      <c r="A1034" s="1" t="str">
        <f t="shared" si="16"/>
        <v/>
      </c>
      <c r="B10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
      <c r="A1035" s="1" t="str">
        <f t="shared" si="16"/>
        <v/>
      </c>
      <c r="B10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
      <c r="A1036" s="1" t="str">
        <f t="shared" si="16"/>
        <v/>
      </c>
      <c r="B10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
      <c r="A1037" s="1" t="str">
        <f t="shared" si="16"/>
        <v/>
      </c>
      <c r="B10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
      <c r="A1038" s="1" t="str">
        <f t="shared" si="16"/>
        <v/>
      </c>
      <c r="B10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
      <c r="A1039" s="1" t="str">
        <f t="shared" si="16"/>
        <v/>
      </c>
      <c r="B10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
      <c r="A1040" s="1" t="str">
        <f t="shared" si="16"/>
        <v/>
      </c>
      <c r="B10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
      <c r="A1041" s="1" t="str">
        <f t="shared" si="16"/>
        <v/>
      </c>
      <c r="B10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
      <c r="A1042" s="1" t="str">
        <f t="shared" si="16"/>
        <v/>
      </c>
      <c r="B10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
      <c r="A1043" s="1" t="str">
        <f t="shared" si="16"/>
        <v/>
      </c>
      <c r="B10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
      <c r="A1044" s="1" t="str">
        <f t="shared" si="16"/>
        <v/>
      </c>
      <c r="B10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
      <c r="A1045" s="1" t="str">
        <f t="shared" si="16"/>
        <v/>
      </c>
      <c r="B10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
      <c r="A1046" s="1" t="str">
        <f t="shared" si="16"/>
        <v/>
      </c>
      <c r="B10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
      <c r="A1047" s="1" t="str">
        <f t="shared" si="16"/>
        <v/>
      </c>
      <c r="B10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
      <c r="A1048" s="1" t="str">
        <f t="shared" si="16"/>
        <v/>
      </c>
      <c r="B10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
      <c r="A1049" s="1" t="str">
        <f t="shared" si="16"/>
        <v/>
      </c>
      <c r="B10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
      <c r="A1050" s="1" t="str">
        <f t="shared" si="16"/>
        <v/>
      </c>
      <c r="B10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
      <c r="A1051" s="1" t="str">
        <f t="shared" si="16"/>
        <v/>
      </c>
      <c r="B10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
      <c r="A1052" s="1" t="str">
        <f t="shared" si="16"/>
        <v/>
      </c>
      <c r="B10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
      <c r="A1053" s="1" t="str">
        <f t="shared" si="16"/>
        <v/>
      </c>
      <c r="B10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
      <c r="A1054" s="1" t="str">
        <f t="shared" si="16"/>
        <v/>
      </c>
      <c r="B10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
      <c r="A1055" s="1" t="str">
        <f t="shared" si="16"/>
        <v/>
      </c>
      <c r="B10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
      <c r="A1056" s="1" t="str">
        <f t="shared" si="16"/>
        <v/>
      </c>
      <c r="B10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
      <c r="A1057" s="1" t="str">
        <f t="shared" si="16"/>
        <v/>
      </c>
      <c r="B10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
      <c r="A1058" s="1" t="str">
        <f t="shared" si="16"/>
        <v/>
      </c>
      <c r="B10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
      <c r="A1059" s="1" t="str">
        <f t="shared" si="16"/>
        <v/>
      </c>
      <c r="B10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
      <c r="A1060" s="1" t="str">
        <f t="shared" si="16"/>
        <v/>
      </c>
      <c r="B10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
      <c r="A1061" s="1" t="str">
        <f t="shared" si="16"/>
        <v/>
      </c>
      <c r="B10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
      <c r="A1062" s="1" t="str">
        <f t="shared" si="16"/>
        <v/>
      </c>
      <c r="B10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
      <c r="A1063" s="1" t="str">
        <f t="shared" si="16"/>
        <v/>
      </c>
      <c r="B10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
      <c r="A1064" s="1" t="str">
        <f t="shared" si="16"/>
        <v/>
      </c>
      <c r="B10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
      <c r="A1065" s="1" t="str">
        <f t="shared" si="16"/>
        <v/>
      </c>
      <c r="B10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
      <c r="A1066" s="1" t="str">
        <f t="shared" si="16"/>
        <v/>
      </c>
      <c r="B10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
      <c r="A1067" s="1" t="str">
        <f t="shared" si="16"/>
        <v/>
      </c>
      <c r="B10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
      <c r="A1068" s="1" t="str">
        <f t="shared" si="16"/>
        <v/>
      </c>
      <c r="B10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
      <c r="A1069" s="1" t="str">
        <f t="shared" si="16"/>
        <v/>
      </c>
      <c r="B10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
      <c r="A1070" s="1" t="str">
        <f t="shared" si="16"/>
        <v/>
      </c>
      <c r="B10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
      <c r="A1071" s="1" t="str">
        <f t="shared" si="16"/>
        <v/>
      </c>
      <c r="B10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
      <c r="A1072" s="1" t="str">
        <f t="shared" si="16"/>
        <v/>
      </c>
      <c r="B10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
      <c r="A1073" s="1" t="str">
        <f t="shared" si="16"/>
        <v/>
      </c>
      <c r="B10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
      <c r="A1074" s="1" t="str">
        <f t="shared" si="16"/>
        <v/>
      </c>
      <c r="B10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
      <c r="A1075" s="1" t="str">
        <f t="shared" si="16"/>
        <v/>
      </c>
      <c r="B10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
      <c r="A1076" s="1" t="str">
        <f t="shared" si="16"/>
        <v/>
      </c>
      <c r="B10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
      <c r="A1077" s="1" t="str">
        <f t="shared" si="16"/>
        <v/>
      </c>
      <c r="B10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
      <c r="A1078" s="1" t="str">
        <f t="shared" si="16"/>
        <v/>
      </c>
      <c r="B10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
      <c r="A1079" s="1" t="str">
        <f t="shared" si="16"/>
        <v/>
      </c>
      <c r="B10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
      <c r="A1080" s="1" t="str">
        <f t="shared" si="16"/>
        <v/>
      </c>
      <c r="B10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
      <c r="A1081" s="1" t="str">
        <f t="shared" si="16"/>
        <v/>
      </c>
      <c r="B10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
      <c r="A1082" s="1" t="str">
        <f t="shared" si="16"/>
        <v/>
      </c>
      <c r="B10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
      <c r="A1083" s="1" t="str">
        <f t="shared" si="16"/>
        <v/>
      </c>
      <c r="B10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
      <c r="A1084" s="1" t="str">
        <f t="shared" si="16"/>
        <v/>
      </c>
      <c r="B10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
      <c r="A1085" s="1" t="str">
        <f t="shared" si="16"/>
        <v/>
      </c>
      <c r="B10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
      <c r="A1086" s="1" t="str">
        <f t="shared" si="16"/>
        <v/>
      </c>
      <c r="B10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
      <c r="A1087" s="1" t="str">
        <f t="shared" si="16"/>
        <v/>
      </c>
      <c r="B10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
      <c r="A1088" s="1" t="str">
        <f t="shared" si="16"/>
        <v/>
      </c>
      <c r="B10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
      <c r="A1089" s="1" t="str">
        <f t="shared" si="16"/>
        <v/>
      </c>
      <c r="B10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
      <c r="A1090" s="1" t="str">
        <f t="shared" ref="A1090:A1153" si="17">IFERROR(LEFT(RIGHT(C1090,LEN(C1090)-SEARCH("@",C1090)),SEARCH("/",RIGHT(C1090,LEN(C1090)-SEARCH("@",C1090)-1))),"")</f>
        <v/>
      </c>
      <c r="B10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
      <c r="A1091" s="1" t="str">
        <f t="shared" si="17"/>
        <v/>
      </c>
      <c r="B10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
      <c r="A1092" s="1" t="str">
        <f t="shared" si="17"/>
        <v/>
      </c>
      <c r="B10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
      <c r="A1093" s="1" t="str">
        <f t="shared" si="17"/>
        <v/>
      </c>
      <c r="B10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
      <c r="A1094" s="1" t="str">
        <f t="shared" si="17"/>
        <v/>
      </c>
      <c r="B10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
      <c r="A1095" s="1" t="str">
        <f t="shared" si="17"/>
        <v/>
      </c>
      <c r="B10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
      <c r="A1096" s="1" t="str">
        <f t="shared" si="17"/>
        <v/>
      </c>
      <c r="B10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
      <c r="A1097" s="1" t="str">
        <f t="shared" si="17"/>
        <v/>
      </c>
      <c r="B10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
      <c r="A1098" s="1" t="str">
        <f t="shared" si="17"/>
        <v/>
      </c>
      <c r="B10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
      <c r="A1099" s="1" t="str">
        <f t="shared" si="17"/>
        <v/>
      </c>
      <c r="B10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
      <c r="A1100" s="1" t="str">
        <f t="shared" si="17"/>
        <v/>
      </c>
      <c r="B11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
      <c r="A1101" s="1" t="str">
        <f t="shared" si="17"/>
        <v/>
      </c>
      <c r="B11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
      <c r="A1102" s="1" t="str">
        <f t="shared" si="17"/>
        <v/>
      </c>
      <c r="B11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
      <c r="A1103" s="1" t="str">
        <f t="shared" si="17"/>
        <v/>
      </c>
      <c r="B11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
      <c r="A1104" s="1" t="str">
        <f t="shared" si="17"/>
        <v/>
      </c>
      <c r="B11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
      <c r="A1105" s="1" t="str">
        <f t="shared" si="17"/>
        <v/>
      </c>
      <c r="B11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
      <c r="A1106" s="1" t="str">
        <f t="shared" si="17"/>
        <v/>
      </c>
      <c r="B11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
      <c r="A1107" s="1" t="str">
        <f t="shared" si="17"/>
        <v/>
      </c>
      <c r="B11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
      <c r="A1108" s="1" t="str">
        <f t="shared" si="17"/>
        <v/>
      </c>
      <c r="B11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
      <c r="A1109" s="1" t="str">
        <f t="shared" si="17"/>
        <v/>
      </c>
      <c r="B11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
      <c r="A1110" s="1" t="str">
        <f t="shared" si="17"/>
        <v/>
      </c>
      <c r="B11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
      <c r="A1111" s="1" t="str">
        <f t="shared" si="17"/>
        <v/>
      </c>
      <c r="B11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
      <c r="A1112" s="1" t="str">
        <f t="shared" si="17"/>
        <v/>
      </c>
      <c r="B11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
      <c r="A1113" s="1" t="str">
        <f t="shared" si="17"/>
        <v/>
      </c>
      <c r="B11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
      <c r="A1114" s="1" t="str">
        <f t="shared" si="17"/>
        <v/>
      </c>
      <c r="B11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
      <c r="A1115" s="1" t="str">
        <f t="shared" si="17"/>
        <v/>
      </c>
      <c r="B11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
      <c r="A1116" s="1" t="str">
        <f t="shared" si="17"/>
        <v/>
      </c>
      <c r="B11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
      <c r="A1117" s="1" t="str">
        <f t="shared" si="17"/>
        <v/>
      </c>
      <c r="B11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
      <c r="A1118" s="1" t="str">
        <f t="shared" si="17"/>
        <v/>
      </c>
      <c r="B11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
      <c r="A1119" s="1" t="str">
        <f t="shared" si="17"/>
        <v/>
      </c>
      <c r="B11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
      <c r="A1120" s="1" t="str">
        <f t="shared" si="17"/>
        <v/>
      </c>
      <c r="B11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
      <c r="A1121" s="1" t="str">
        <f t="shared" si="17"/>
        <v/>
      </c>
      <c r="B11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
      <c r="A1122" s="1" t="str">
        <f t="shared" si="17"/>
        <v/>
      </c>
      <c r="B11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
      <c r="A1123" s="1" t="str">
        <f t="shared" si="17"/>
        <v/>
      </c>
      <c r="B11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
      <c r="A1124" s="1" t="str">
        <f t="shared" si="17"/>
        <v/>
      </c>
      <c r="B11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
      <c r="A1125" s="1" t="str">
        <f t="shared" si="17"/>
        <v/>
      </c>
      <c r="B11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
      <c r="A1126" s="1" t="str">
        <f t="shared" si="17"/>
        <v/>
      </c>
      <c r="B11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
      <c r="A1127" s="1" t="str">
        <f t="shared" si="17"/>
        <v/>
      </c>
      <c r="B11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
      <c r="A1128" s="1" t="str">
        <f t="shared" si="17"/>
        <v/>
      </c>
      <c r="B11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
      <c r="A1129" s="1" t="str">
        <f t="shared" si="17"/>
        <v/>
      </c>
      <c r="B11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
      <c r="A1130" s="1" t="str">
        <f t="shared" si="17"/>
        <v/>
      </c>
      <c r="B11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
      <c r="A1131" s="1" t="str">
        <f t="shared" si="17"/>
        <v/>
      </c>
      <c r="B11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
      <c r="A1132" s="1" t="str">
        <f t="shared" si="17"/>
        <v/>
      </c>
      <c r="B11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
      <c r="A1133" s="1" t="str">
        <f t="shared" si="17"/>
        <v/>
      </c>
      <c r="B11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
      <c r="A1134" s="1" t="str">
        <f t="shared" si="17"/>
        <v/>
      </c>
      <c r="B11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
      <c r="A1135" s="1" t="str">
        <f t="shared" si="17"/>
        <v/>
      </c>
      <c r="B11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
      <c r="A1136" s="1" t="str">
        <f t="shared" si="17"/>
        <v/>
      </c>
      <c r="B11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
      <c r="A1137" s="1" t="str">
        <f t="shared" si="17"/>
        <v/>
      </c>
      <c r="B11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
      <c r="A1138" s="1" t="str">
        <f t="shared" si="17"/>
        <v/>
      </c>
      <c r="B11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
      <c r="A1139" s="1" t="str">
        <f t="shared" si="17"/>
        <v/>
      </c>
      <c r="B11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
      <c r="A1140" s="1" t="str">
        <f t="shared" si="17"/>
        <v/>
      </c>
      <c r="B11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
      <c r="A1141" s="1" t="str">
        <f t="shared" si="17"/>
        <v/>
      </c>
      <c r="B11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
      <c r="A1142" s="1" t="str">
        <f t="shared" si="17"/>
        <v/>
      </c>
      <c r="B11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
      <c r="A1143" s="1" t="str">
        <f t="shared" si="17"/>
        <v/>
      </c>
      <c r="B11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
      <c r="A1144" s="1" t="str">
        <f t="shared" si="17"/>
        <v/>
      </c>
      <c r="B11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
      <c r="A1145" s="1" t="str">
        <f t="shared" si="17"/>
        <v/>
      </c>
      <c r="B11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
      <c r="A1146" s="1" t="str">
        <f t="shared" si="17"/>
        <v/>
      </c>
      <c r="B11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
      <c r="A1147" s="1" t="str">
        <f t="shared" si="17"/>
        <v/>
      </c>
      <c r="B11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
      <c r="A1148" s="1" t="str">
        <f t="shared" si="17"/>
        <v/>
      </c>
      <c r="B11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
      <c r="A1149" s="1" t="str">
        <f t="shared" si="17"/>
        <v/>
      </c>
      <c r="B11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
      <c r="A1150" s="1" t="str">
        <f t="shared" si="17"/>
        <v/>
      </c>
      <c r="B11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
      <c r="A1151" s="1" t="str">
        <f t="shared" si="17"/>
        <v/>
      </c>
      <c r="B11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
      <c r="A1152" s="1" t="str">
        <f t="shared" si="17"/>
        <v/>
      </c>
      <c r="B11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
      <c r="A1153" s="1" t="str">
        <f t="shared" si="17"/>
        <v/>
      </c>
      <c r="B11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
      <c r="A1154" s="1" t="str">
        <f t="shared" ref="A1154:A1217" si="18">IFERROR(LEFT(RIGHT(C1154,LEN(C1154)-SEARCH("@",C1154)),SEARCH("/",RIGHT(C1154,LEN(C1154)-SEARCH("@",C1154)-1))),"")</f>
        <v/>
      </c>
      <c r="B11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
      <c r="A1155" s="1" t="str">
        <f t="shared" si="18"/>
        <v/>
      </c>
      <c r="B11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
      <c r="A1156" s="1" t="str">
        <f t="shared" si="18"/>
        <v/>
      </c>
      <c r="B11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
      <c r="A1157" s="1" t="str">
        <f t="shared" si="18"/>
        <v/>
      </c>
      <c r="B11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
      <c r="A1158" s="1" t="str">
        <f t="shared" si="18"/>
        <v/>
      </c>
      <c r="B11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
      <c r="A1159" s="1" t="str">
        <f t="shared" si="18"/>
        <v/>
      </c>
      <c r="B11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
      <c r="A1160" s="1" t="str">
        <f t="shared" si="18"/>
        <v/>
      </c>
      <c r="B11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
      <c r="A1161" s="1" t="str">
        <f t="shared" si="18"/>
        <v/>
      </c>
      <c r="B11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
      <c r="A1162" s="1" t="str">
        <f t="shared" si="18"/>
        <v/>
      </c>
      <c r="B11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
      <c r="A1163" s="1" t="str">
        <f t="shared" si="18"/>
        <v/>
      </c>
      <c r="B11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
      <c r="A1164" s="1" t="str">
        <f t="shared" si="18"/>
        <v/>
      </c>
      <c r="B11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
      <c r="A1165" s="1" t="str">
        <f t="shared" si="18"/>
        <v/>
      </c>
      <c r="B11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
      <c r="A1166" s="1" t="str">
        <f t="shared" si="18"/>
        <v/>
      </c>
      <c r="B11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
      <c r="A1167" s="1" t="str">
        <f t="shared" si="18"/>
        <v/>
      </c>
      <c r="B11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
      <c r="A1168" s="1" t="str">
        <f t="shared" si="18"/>
        <v/>
      </c>
      <c r="B11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
      <c r="A1169" s="1" t="str">
        <f t="shared" si="18"/>
        <v/>
      </c>
      <c r="B11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
      <c r="A1170" s="1" t="str">
        <f t="shared" si="18"/>
        <v/>
      </c>
      <c r="B11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
      <c r="A1171" s="1" t="str">
        <f t="shared" si="18"/>
        <v/>
      </c>
      <c r="B11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
      <c r="A1172" s="1" t="str">
        <f t="shared" si="18"/>
        <v/>
      </c>
      <c r="B11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
      <c r="A1173" s="1" t="str">
        <f t="shared" si="18"/>
        <v/>
      </c>
      <c r="B11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
      <c r="A1174" s="1" t="str">
        <f t="shared" si="18"/>
        <v/>
      </c>
      <c r="B11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
      <c r="A1175" s="1" t="str">
        <f t="shared" si="18"/>
        <v/>
      </c>
      <c r="B11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
      <c r="A1176" s="1" t="str">
        <f t="shared" si="18"/>
        <v/>
      </c>
      <c r="B11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
      <c r="A1177" s="1" t="str">
        <f t="shared" si="18"/>
        <v/>
      </c>
      <c r="B11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
      <c r="A1178" s="1" t="str">
        <f t="shared" si="18"/>
        <v/>
      </c>
      <c r="B11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
      <c r="A1179" s="1" t="str">
        <f t="shared" si="18"/>
        <v/>
      </c>
      <c r="B11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
      <c r="A1180" s="1" t="str">
        <f t="shared" si="18"/>
        <v/>
      </c>
      <c r="B11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
      <c r="A1181" s="1" t="str">
        <f t="shared" si="18"/>
        <v/>
      </c>
      <c r="B11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
      <c r="A1182" s="1" t="str">
        <f t="shared" si="18"/>
        <v/>
      </c>
      <c r="B11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
      <c r="A1183" s="1" t="str">
        <f t="shared" si="18"/>
        <v/>
      </c>
      <c r="B11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
      <c r="A1184" s="1" t="str">
        <f t="shared" si="18"/>
        <v/>
      </c>
      <c r="B11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
      <c r="A1185" s="1" t="str">
        <f t="shared" si="18"/>
        <v/>
      </c>
      <c r="B11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
      <c r="A1186" s="1" t="str">
        <f t="shared" si="18"/>
        <v/>
      </c>
      <c r="B11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
      <c r="A1187" s="1" t="str">
        <f t="shared" si="18"/>
        <v/>
      </c>
      <c r="B11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
      <c r="A1188" s="1" t="str">
        <f t="shared" si="18"/>
        <v/>
      </c>
      <c r="B11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
      <c r="A1189" s="1" t="str">
        <f t="shared" si="18"/>
        <v/>
      </c>
      <c r="B11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
      <c r="A1190" s="1" t="str">
        <f t="shared" si="18"/>
        <v/>
      </c>
      <c r="B11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
      <c r="A1191" s="1" t="str">
        <f t="shared" si="18"/>
        <v/>
      </c>
      <c r="B11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
      <c r="A1192" s="1" t="str">
        <f t="shared" si="18"/>
        <v/>
      </c>
      <c r="B11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
      <c r="A1193" s="1" t="str">
        <f t="shared" si="18"/>
        <v/>
      </c>
      <c r="B11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
      <c r="A1194" s="1" t="str">
        <f t="shared" si="18"/>
        <v/>
      </c>
      <c r="B11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
      <c r="A1195" s="1" t="str">
        <f t="shared" si="18"/>
        <v/>
      </c>
      <c r="B11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
      <c r="A1196" s="1" t="str">
        <f t="shared" si="18"/>
        <v/>
      </c>
      <c r="B11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
      <c r="A1197" s="1" t="str">
        <f t="shared" si="18"/>
        <v/>
      </c>
      <c r="B11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
      <c r="A1198" s="1" t="str">
        <f t="shared" si="18"/>
        <v/>
      </c>
      <c r="B11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
      <c r="A1199" s="1" t="str">
        <f t="shared" si="18"/>
        <v/>
      </c>
      <c r="B11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
      <c r="A1200" s="1" t="str">
        <f t="shared" si="18"/>
        <v/>
      </c>
      <c r="B12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
      <c r="A1201" s="1" t="str">
        <f t="shared" si="18"/>
        <v/>
      </c>
      <c r="B12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
      <c r="A1202" s="1" t="str">
        <f t="shared" si="18"/>
        <v/>
      </c>
      <c r="B12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
      <c r="A1203" s="1" t="str">
        <f t="shared" si="18"/>
        <v/>
      </c>
      <c r="B12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
      <c r="A1204" s="1" t="str">
        <f t="shared" si="18"/>
        <v/>
      </c>
      <c r="B12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
      <c r="A1205" s="1" t="str">
        <f t="shared" si="18"/>
        <v/>
      </c>
      <c r="B12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
      <c r="A1206" s="1" t="str">
        <f t="shared" si="18"/>
        <v/>
      </c>
      <c r="B12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
      <c r="A1207" s="1" t="str">
        <f t="shared" si="18"/>
        <v/>
      </c>
      <c r="B12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
      <c r="A1208" s="1" t="str">
        <f t="shared" si="18"/>
        <v/>
      </c>
      <c r="B12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
      <c r="A1209" s="1" t="str">
        <f t="shared" si="18"/>
        <v/>
      </c>
      <c r="B12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
      <c r="A1210" s="1" t="str">
        <f t="shared" si="18"/>
        <v/>
      </c>
      <c r="B12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
      <c r="A1211" s="1" t="str">
        <f t="shared" si="18"/>
        <v/>
      </c>
      <c r="B12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
      <c r="A1212" s="1" t="str">
        <f t="shared" si="18"/>
        <v/>
      </c>
      <c r="B12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
      <c r="A1213" s="1" t="str">
        <f t="shared" si="18"/>
        <v/>
      </c>
      <c r="B12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
      <c r="A1214" s="1" t="str">
        <f t="shared" si="18"/>
        <v/>
      </c>
      <c r="B12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
      <c r="A1215" s="1" t="str">
        <f t="shared" si="18"/>
        <v/>
      </c>
      <c r="B12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
      <c r="A1216" s="1" t="str">
        <f t="shared" si="18"/>
        <v/>
      </c>
      <c r="B12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
      <c r="A1217" s="1" t="str">
        <f t="shared" si="18"/>
        <v/>
      </c>
      <c r="B12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
      <c r="A1218" s="1" t="str">
        <f t="shared" ref="A1218:A1281" si="19">IFERROR(LEFT(RIGHT(C1218,LEN(C1218)-SEARCH("@",C1218)),SEARCH("/",RIGHT(C1218,LEN(C1218)-SEARCH("@",C1218)-1))),"")</f>
        <v/>
      </c>
      <c r="B12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
      <c r="A1219" s="1" t="str">
        <f t="shared" si="19"/>
        <v/>
      </c>
      <c r="B12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
      <c r="A1220" s="1" t="str">
        <f t="shared" si="19"/>
        <v/>
      </c>
      <c r="B12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
      <c r="A1221" s="1" t="str">
        <f t="shared" si="19"/>
        <v/>
      </c>
      <c r="B12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
      <c r="A1222" s="1" t="str">
        <f t="shared" si="19"/>
        <v/>
      </c>
      <c r="B12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
      <c r="A1223" s="1" t="str">
        <f t="shared" si="19"/>
        <v/>
      </c>
      <c r="B12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
      <c r="A1224" s="1" t="str">
        <f t="shared" si="19"/>
        <v/>
      </c>
      <c r="B12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
      <c r="A1225" s="1" t="str">
        <f t="shared" si="19"/>
        <v/>
      </c>
      <c r="B12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
      <c r="A1226" s="1" t="str">
        <f t="shared" si="19"/>
        <v/>
      </c>
      <c r="B12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
      <c r="A1227" s="1" t="str">
        <f t="shared" si="19"/>
        <v/>
      </c>
      <c r="B12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
      <c r="A1228" s="1" t="str">
        <f t="shared" si="19"/>
        <v/>
      </c>
      <c r="B12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
      <c r="A1229" s="1" t="str">
        <f t="shared" si="19"/>
        <v/>
      </c>
      <c r="B12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
      <c r="A1230" s="1" t="str">
        <f t="shared" si="19"/>
        <v/>
      </c>
      <c r="B12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
      <c r="A1231" s="1" t="str">
        <f t="shared" si="19"/>
        <v/>
      </c>
      <c r="B12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
      <c r="A1232" s="1" t="str">
        <f t="shared" si="19"/>
        <v/>
      </c>
      <c r="B12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
      <c r="A1233" s="1" t="str">
        <f t="shared" si="19"/>
        <v/>
      </c>
      <c r="B12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
      <c r="A1234" s="1" t="str">
        <f t="shared" si="19"/>
        <v/>
      </c>
      <c r="B12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
      <c r="A1235" s="1" t="str">
        <f t="shared" si="19"/>
        <v/>
      </c>
      <c r="B12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
      <c r="A1236" s="1" t="str">
        <f t="shared" si="19"/>
        <v/>
      </c>
      <c r="B12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
      <c r="A1237" s="1" t="str">
        <f t="shared" si="19"/>
        <v/>
      </c>
      <c r="B12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
      <c r="A1238" s="1" t="str">
        <f t="shared" si="19"/>
        <v/>
      </c>
      <c r="B12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
      <c r="A1239" s="1" t="str">
        <f t="shared" si="19"/>
        <v/>
      </c>
      <c r="B12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
      <c r="A1240" s="1" t="str">
        <f t="shared" si="19"/>
        <v/>
      </c>
      <c r="B12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
      <c r="A1241" s="1" t="str">
        <f t="shared" si="19"/>
        <v/>
      </c>
      <c r="B12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
      <c r="A1242" s="1" t="str">
        <f t="shared" si="19"/>
        <v/>
      </c>
      <c r="B12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
      <c r="A1243" s="1" t="str">
        <f t="shared" si="19"/>
        <v/>
      </c>
      <c r="B12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
      <c r="A1244" s="1" t="str">
        <f t="shared" si="19"/>
        <v/>
      </c>
      <c r="B12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
      <c r="A1245" s="1" t="str">
        <f t="shared" si="19"/>
        <v/>
      </c>
      <c r="B12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
      <c r="A1246" s="1" t="str">
        <f t="shared" si="19"/>
        <v/>
      </c>
      <c r="B12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
      <c r="A1247" s="1" t="str">
        <f t="shared" si="19"/>
        <v/>
      </c>
      <c r="B12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
      <c r="A1248" s="1" t="str">
        <f t="shared" si="19"/>
        <v/>
      </c>
      <c r="B12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
      <c r="A1249" s="1" t="str">
        <f t="shared" si="19"/>
        <v/>
      </c>
      <c r="B12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
      <c r="A1250" s="1" t="str">
        <f t="shared" si="19"/>
        <v/>
      </c>
      <c r="B12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
      <c r="A1251" s="1" t="str">
        <f t="shared" si="19"/>
        <v/>
      </c>
      <c r="B12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
      <c r="A1252" s="1" t="str">
        <f t="shared" si="19"/>
        <v/>
      </c>
      <c r="B12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
      <c r="A1253" s="1" t="str">
        <f t="shared" si="19"/>
        <v/>
      </c>
      <c r="B12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
      <c r="A1254" s="1" t="str">
        <f t="shared" si="19"/>
        <v/>
      </c>
      <c r="B12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
      <c r="A1255" s="1" t="str">
        <f t="shared" si="19"/>
        <v/>
      </c>
      <c r="B12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
      <c r="A1256" s="1" t="str">
        <f t="shared" si="19"/>
        <v/>
      </c>
      <c r="B12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
      <c r="A1257" s="1" t="str">
        <f t="shared" si="19"/>
        <v/>
      </c>
      <c r="B12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
      <c r="A1258" s="1" t="str">
        <f t="shared" si="19"/>
        <v/>
      </c>
      <c r="B12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
      <c r="A1259" s="1" t="str">
        <f t="shared" si="19"/>
        <v/>
      </c>
      <c r="B12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
      <c r="A1260" s="1" t="str">
        <f t="shared" si="19"/>
        <v/>
      </c>
      <c r="B12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
      <c r="A1261" s="1" t="str">
        <f t="shared" si="19"/>
        <v/>
      </c>
      <c r="B12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
      <c r="A1262" s="1" t="str">
        <f t="shared" si="19"/>
        <v/>
      </c>
      <c r="B12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
      <c r="A1263" s="1" t="str">
        <f t="shared" si="19"/>
        <v/>
      </c>
      <c r="B12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
      <c r="A1264" s="1" t="str">
        <f t="shared" si="19"/>
        <v/>
      </c>
      <c r="B12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
      <c r="A1265" s="1" t="str">
        <f t="shared" si="19"/>
        <v/>
      </c>
      <c r="B12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
      <c r="A1266" s="1" t="str">
        <f t="shared" si="19"/>
        <v/>
      </c>
      <c r="B12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
      <c r="A1267" s="1" t="str">
        <f t="shared" si="19"/>
        <v/>
      </c>
      <c r="B12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
      <c r="A1268" s="1" t="str">
        <f t="shared" si="19"/>
        <v/>
      </c>
      <c r="B12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
      <c r="A1269" s="1" t="str">
        <f t="shared" si="19"/>
        <v/>
      </c>
      <c r="B12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
      <c r="A1270" s="1" t="str">
        <f t="shared" si="19"/>
        <v/>
      </c>
      <c r="B12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
      <c r="A1271" s="1" t="str">
        <f t="shared" si="19"/>
        <v/>
      </c>
      <c r="B12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
      <c r="A1272" s="1" t="str">
        <f t="shared" si="19"/>
        <v/>
      </c>
      <c r="B12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
      <c r="A1273" s="1" t="str">
        <f t="shared" si="19"/>
        <v/>
      </c>
      <c r="B12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
      <c r="A1274" s="1" t="str">
        <f t="shared" si="19"/>
        <v/>
      </c>
      <c r="B12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
      <c r="A1275" s="1" t="str">
        <f t="shared" si="19"/>
        <v/>
      </c>
      <c r="B12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
      <c r="A1276" s="1" t="str">
        <f t="shared" si="19"/>
        <v/>
      </c>
      <c r="B12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
      <c r="A1277" s="1" t="str">
        <f t="shared" si="19"/>
        <v/>
      </c>
      <c r="B12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
      <c r="A1278" s="1" t="str">
        <f t="shared" si="19"/>
        <v/>
      </c>
      <c r="B12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
      <c r="A1279" s="1" t="str">
        <f t="shared" si="19"/>
        <v/>
      </c>
      <c r="B12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
      <c r="A1280" s="1" t="str">
        <f t="shared" si="19"/>
        <v/>
      </c>
      <c r="B12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
      <c r="A1281" s="1" t="str">
        <f t="shared" si="19"/>
        <v/>
      </c>
      <c r="B12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
      <c r="A1282" s="1" t="str">
        <f t="shared" ref="A1282:A1345" si="20">IFERROR(LEFT(RIGHT(C1282,LEN(C1282)-SEARCH("@",C1282)),SEARCH("/",RIGHT(C1282,LEN(C1282)-SEARCH("@",C1282)-1))),"")</f>
        <v/>
      </c>
      <c r="B12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
      <c r="A1283" s="1" t="str">
        <f t="shared" si="20"/>
        <v/>
      </c>
      <c r="B12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
      <c r="A1284" s="1" t="str">
        <f t="shared" si="20"/>
        <v/>
      </c>
      <c r="B12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
      <c r="A1285" s="1" t="str">
        <f t="shared" si="20"/>
        <v/>
      </c>
      <c r="B12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
      <c r="A1286" s="1" t="str">
        <f t="shared" si="20"/>
        <v/>
      </c>
      <c r="B12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
      <c r="A1287" s="1" t="str">
        <f t="shared" si="20"/>
        <v/>
      </c>
      <c r="B12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
      <c r="A1288" s="1" t="str">
        <f t="shared" si="20"/>
        <v/>
      </c>
      <c r="B12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
      <c r="A1289" s="1" t="str">
        <f t="shared" si="20"/>
        <v/>
      </c>
      <c r="B12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
      <c r="A1290" s="1" t="str">
        <f t="shared" si="20"/>
        <v/>
      </c>
      <c r="B12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
      <c r="A1291" s="1" t="str">
        <f t="shared" si="20"/>
        <v/>
      </c>
      <c r="B12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
      <c r="A1292" s="1" t="str">
        <f t="shared" si="20"/>
        <v/>
      </c>
      <c r="B12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
      <c r="A1293" s="1" t="str">
        <f t="shared" si="20"/>
        <v/>
      </c>
      <c r="B12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
      <c r="A1294" s="1" t="str">
        <f t="shared" si="20"/>
        <v/>
      </c>
      <c r="B12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
      <c r="A1295" s="1" t="str">
        <f t="shared" si="20"/>
        <v/>
      </c>
      <c r="B12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
      <c r="A1296" s="1" t="str">
        <f t="shared" si="20"/>
        <v/>
      </c>
      <c r="B12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
      <c r="A1297" s="1" t="str">
        <f t="shared" si="20"/>
        <v/>
      </c>
      <c r="B12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
      <c r="A1298" s="1" t="str">
        <f t="shared" si="20"/>
        <v/>
      </c>
      <c r="B12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
      <c r="A1299" s="1" t="str">
        <f t="shared" si="20"/>
        <v/>
      </c>
      <c r="B12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
      <c r="A1300" s="1" t="str">
        <f t="shared" si="20"/>
        <v/>
      </c>
      <c r="B13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
      <c r="A1301" s="1" t="str">
        <f t="shared" si="20"/>
        <v/>
      </c>
      <c r="B13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
      <c r="A1302" s="1" t="str">
        <f t="shared" si="20"/>
        <v/>
      </c>
      <c r="B13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
      <c r="A1303" s="1" t="str">
        <f t="shared" si="20"/>
        <v/>
      </c>
      <c r="B13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
      <c r="A1304" s="1" t="str">
        <f t="shared" si="20"/>
        <v/>
      </c>
      <c r="B13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
      <c r="A1305" s="1" t="str">
        <f t="shared" si="20"/>
        <v/>
      </c>
      <c r="B13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
      <c r="A1306" s="1" t="str">
        <f t="shared" si="20"/>
        <v/>
      </c>
      <c r="B13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
      <c r="A1307" s="1" t="str">
        <f t="shared" si="20"/>
        <v/>
      </c>
      <c r="B13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
      <c r="A1308" s="1" t="str">
        <f t="shared" si="20"/>
        <v/>
      </c>
      <c r="B13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
      <c r="A1309" s="1" t="str">
        <f t="shared" si="20"/>
        <v/>
      </c>
      <c r="B13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
      <c r="A1310" s="1" t="str">
        <f t="shared" si="20"/>
        <v/>
      </c>
      <c r="B13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
      <c r="A1311" s="1" t="str">
        <f t="shared" si="20"/>
        <v/>
      </c>
      <c r="B13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
      <c r="A1312" s="1" t="str">
        <f t="shared" si="20"/>
        <v/>
      </c>
      <c r="B13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
      <c r="A1313" s="1" t="str">
        <f t="shared" si="20"/>
        <v/>
      </c>
      <c r="B13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
      <c r="A1314" s="1" t="str">
        <f t="shared" si="20"/>
        <v/>
      </c>
      <c r="B13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
      <c r="A1315" s="1" t="str">
        <f t="shared" si="20"/>
        <v/>
      </c>
      <c r="B13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
      <c r="A1316" s="1" t="str">
        <f t="shared" si="20"/>
        <v/>
      </c>
      <c r="B13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
      <c r="A1317" s="1" t="str">
        <f t="shared" si="20"/>
        <v/>
      </c>
      <c r="B13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
      <c r="A1318" s="1" t="str">
        <f t="shared" si="20"/>
        <v/>
      </c>
      <c r="B13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
      <c r="A1319" s="1" t="str">
        <f t="shared" si="20"/>
        <v/>
      </c>
      <c r="B13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
      <c r="A1320" s="1" t="str">
        <f t="shared" si="20"/>
        <v/>
      </c>
      <c r="B13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
      <c r="A1321" s="1" t="str">
        <f t="shared" si="20"/>
        <v/>
      </c>
      <c r="B13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
      <c r="A1322" s="1" t="str">
        <f t="shared" si="20"/>
        <v/>
      </c>
      <c r="B13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
      <c r="A1323" s="1" t="str">
        <f t="shared" si="20"/>
        <v/>
      </c>
      <c r="B13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
      <c r="A1324" s="1" t="str">
        <f t="shared" si="20"/>
        <v/>
      </c>
      <c r="B13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
      <c r="A1325" s="1" t="str">
        <f t="shared" si="20"/>
        <v/>
      </c>
      <c r="B13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
      <c r="A1326" s="1" t="str">
        <f t="shared" si="20"/>
        <v/>
      </c>
      <c r="B13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
      <c r="A1327" s="1" t="str">
        <f t="shared" si="20"/>
        <v/>
      </c>
      <c r="B13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
      <c r="A1328" s="1" t="str">
        <f t="shared" si="20"/>
        <v/>
      </c>
      <c r="B13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
      <c r="A1329" s="1" t="str">
        <f t="shared" si="20"/>
        <v/>
      </c>
      <c r="B13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
      <c r="A1330" s="1" t="str">
        <f t="shared" si="20"/>
        <v/>
      </c>
      <c r="B13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
      <c r="A1331" s="1" t="str">
        <f t="shared" si="20"/>
        <v/>
      </c>
      <c r="B13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
      <c r="A1332" s="1" t="str">
        <f t="shared" si="20"/>
        <v/>
      </c>
      <c r="B13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
      <c r="A1333" s="1" t="str">
        <f t="shared" si="20"/>
        <v/>
      </c>
      <c r="B13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
      <c r="A1334" s="1" t="str">
        <f t="shared" si="20"/>
        <v/>
      </c>
      <c r="B13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
      <c r="A1335" s="1" t="str">
        <f t="shared" si="20"/>
        <v/>
      </c>
      <c r="B13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
      <c r="A1336" s="1" t="str">
        <f t="shared" si="20"/>
        <v/>
      </c>
      <c r="B13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
      <c r="A1337" s="1" t="str">
        <f t="shared" si="20"/>
        <v/>
      </c>
      <c r="B13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
      <c r="A1338" s="1" t="str">
        <f t="shared" si="20"/>
        <v/>
      </c>
      <c r="B13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
      <c r="A1339" s="1" t="str">
        <f t="shared" si="20"/>
        <v/>
      </c>
      <c r="B13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
      <c r="A1340" s="1" t="str">
        <f t="shared" si="20"/>
        <v/>
      </c>
      <c r="B13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
      <c r="A1341" s="1" t="str">
        <f t="shared" si="20"/>
        <v/>
      </c>
      <c r="B13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
      <c r="A1342" s="1" t="str">
        <f t="shared" si="20"/>
        <v/>
      </c>
      <c r="B13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
      <c r="A1343" s="1" t="str">
        <f t="shared" si="20"/>
        <v/>
      </c>
      <c r="B13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
      <c r="A1344" s="1" t="str">
        <f t="shared" si="20"/>
        <v/>
      </c>
      <c r="B13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
      <c r="A1345" s="1" t="str">
        <f t="shared" si="20"/>
        <v/>
      </c>
      <c r="B13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
      <c r="A1346" s="1" t="str">
        <f t="shared" ref="A1346:A1409" si="21">IFERROR(LEFT(RIGHT(C1346,LEN(C1346)-SEARCH("@",C1346)),SEARCH("/",RIGHT(C1346,LEN(C1346)-SEARCH("@",C1346)-1))),"")</f>
        <v/>
      </c>
      <c r="B13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
      <c r="A1347" s="1" t="str">
        <f t="shared" si="21"/>
        <v/>
      </c>
      <c r="B13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
      <c r="A1348" s="1" t="str">
        <f t="shared" si="21"/>
        <v/>
      </c>
      <c r="B13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
      <c r="A1349" s="1" t="str">
        <f t="shared" si="21"/>
        <v/>
      </c>
      <c r="B13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
      <c r="A1350" s="1" t="str">
        <f t="shared" si="21"/>
        <v/>
      </c>
      <c r="B13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
      <c r="A1351" s="1" t="str">
        <f t="shared" si="21"/>
        <v/>
      </c>
      <c r="B13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
      <c r="A1352" s="1" t="str">
        <f t="shared" si="21"/>
        <v/>
      </c>
      <c r="B13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
      <c r="A1353" s="1" t="str">
        <f t="shared" si="21"/>
        <v/>
      </c>
      <c r="B13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
      <c r="A1354" s="1" t="str">
        <f t="shared" si="21"/>
        <v/>
      </c>
      <c r="B13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
      <c r="A1355" s="1" t="str">
        <f t="shared" si="21"/>
        <v/>
      </c>
      <c r="B13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
      <c r="A1356" s="1" t="str">
        <f t="shared" si="21"/>
        <v/>
      </c>
      <c r="B13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
      <c r="A1357" s="1" t="str">
        <f t="shared" si="21"/>
        <v/>
      </c>
      <c r="B13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
      <c r="A1358" s="1" t="str">
        <f t="shared" si="21"/>
        <v/>
      </c>
      <c r="B13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
      <c r="A1359" s="1" t="str">
        <f t="shared" si="21"/>
        <v/>
      </c>
      <c r="B13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
      <c r="A1360" s="1" t="str">
        <f t="shared" si="21"/>
        <v/>
      </c>
      <c r="B13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
      <c r="A1361" s="1" t="str">
        <f t="shared" si="21"/>
        <v/>
      </c>
      <c r="B13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
      <c r="A1362" s="1" t="str">
        <f t="shared" si="21"/>
        <v/>
      </c>
      <c r="B13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
      <c r="A1363" s="1" t="str">
        <f t="shared" si="21"/>
        <v/>
      </c>
      <c r="B13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
      <c r="A1364" s="1" t="str">
        <f t="shared" si="21"/>
        <v/>
      </c>
      <c r="B13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
      <c r="A1365" s="1" t="str">
        <f t="shared" si="21"/>
        <v/>
      </c>
      <c r="B13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
      <c r="A1366" s="1" t="str">
        <f t="shared" si="21"/>
        <v/>
      </c>
      <c r="B13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
      <c r="A1367" s="1" t="str">
        <f t="shared" si="21"/>
        <v/>
      </c>
      <c r="B13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
      <c r="A1368" s="1" t="str">
        <f t="shared" si="21"/>
        <v/>
      </c>
      <c r="B13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
      <c r="A1369" s="1" t="str">
        <f t="shared" si="21"/>
        <v/>
      </c>
      <c r="B13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
      <c r="A1370" s="1" t="str">
        <f t="shared" si="21"/>
        <v/>
      </c>
      <c r="B13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
      <c r="A1371" s="1" t="str">
        <f t="shared" si="21"/>
        <v/>
      </c>
      <c r="B13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
      <c r="A1372" s="1" t="str">
        <f t="shared" si="21"/>
        <v/>
      </c>
      <c r="B13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
      <c r="A1373" s="1" t="str">
        <f t="shared" si="21"/>
        <v/>
      </c>
      <c r="B13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
      <c r="A1374" s="1" t="str">
        <f t="shared" si="21"/>
        <v/>
      </c>
      <c r="B13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
      <c r="A1375" s="1" t="str">
        <f t="shared" si="21"/>
        <v/>
      </c>
      <c r="B13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
      <c r="A1376" s="1" t="str">
        <f t="shared" si="21"/>
        <v/>
      </c>
      <c r="B13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
      <c r="A1377" s="1" t="str">
        <f t="shared" si="21"/>
        <v/>
      </c>
      <c r="B13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
      <c r="A1378" s="1" t="str">
        <f t="shared" si="21"/>
        <v/>
      </c>
      <c r="B13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
      <c r="A1379" s="1" t="str">
        <f t="shared" si="21"/>
        <v/>
      </c>
      <c r="B13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
      <c r="A1380" s="1" t="str">
        <f t="shared" si="21"/>
        <v/>
      </c>
      <c r="B13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
      <c r="A1381" s="1" t="str">
        <f t="shared" si="21"/>
        <v/>
      </c>
      <c r="B13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
      <c r="A1382" s="1" t="str">
        <f t="shared" si="21"/>
        <v/>
      </c>
      <c r="B13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
      <c r="A1383" s="1" t="str">
        <f t="shared" si="21"/>
        <v/>
      </c>
      <c r="B13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
      <c r="A1384" s="1" t="str">
        <f t="shared" si="21"/>
        <v/>
      </c>
      <c r="B13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
      <c r="A1385" s="1" t="str">
        <f t="shared" si="21"/>
        <v/>
      </c>
      <c r="B13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
      <c r="A1386" s="1" t="str">
        <f t="shared" si="21"/>
        <v/>
      </c>
      <c r="B13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
      <c r="A1387" s="1" t="str">
        <f t="shared" si="21"/>
        <v/>
      </c>
      <c r="B13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
      <c r="A1388" s="1" t="str">
        <f t="shared" si="21"/>
        <v/>
      </c>
      <c r="B13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
      <c r="A1389" s="1" t="str">
        <f t="shared" si="21"/>
        <v/>
      </c>
      <c r="B13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
      <c r="A1390" s="1" t="str">
        <f t="shared" si="21"/>
        <v/>
      </c>
      <c r="B13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
      <c r="A1391" s="1" t="str">
        <f t="shared" si="21"/>
        <v/>
      </c>
      <c r="B13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
      <c r="A1392" s="1" t="str">
        <f t="shared" si="21"/>
        <v/>
      </c>
      <c r="B13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
      <c r="A1393" s="1" t="str">
        <f t="shared" si="21"/>
        <v/>
      </c>
      <c r="B13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
      <c r="A1394" s="1" t="str">
        <f t="shared" si="21"/>
        <v/>
      </c>
      <c r="B13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
      <c r="A1395" s="1" t="str">
        <f t="shared" si="21"/>
        <v/>
      </c>
      <c r="B13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
      <c r="A1396" s="1" t="str">
        <f t="shared" si="21"/>
        <v/>
      </c>
      <c r="B13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
      <c r="A1397" s="1" t="str">
        <f t="shared" si="21"/>
        <v/>
      </c>
      <c r="B13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
      <c r="A1398" s="1" t="str">
        <f t="shared" si="21"/>
        <v/>
      </c>
      <c r="B13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
      <c r="A1399" s="1" t="str">
        <f t="shared" si="21"/>
        <v/>
      </c>
      <c r="B13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
      <c r="A1400" s="1" t="str">
        <f t="shared" si="21"/>
        <v/>
      </c>
      <c r="B14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
      <c r="A1401" s="1" t="str">
        <f t="shared" si="21"/>
        <v/>
      </c>
      <c r="B14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
      <c r="A1402" s="1" t="str">
        <f t="shared" si="21"/>
        <v/>
      </c>
      <c r="B14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
      <c r="A1403" s="1" t="str">
        <f t="shared" si="21"/>
        <v/>
      </c>
      <c r="B14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
      <c r="A1404" s="1" t="str">
        <f t="shared" si="21"/>
        <v/>
      </c>
      <c r="B14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
      <c r="A1405" s="1" t="str">
        <f t="shared" si="21"/>
        <v/>
      </c>
      <c r="B14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
      <c r="A1406" s="1" t="str">
        <f t="shared" si="21"/>
        <v/>
      </c>
      <c r="B14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
      <c r="A1407" s="1" t="str">
        <f t="shared" si="21"/>
        <v/>
      </c>
      <c r="B14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
      <c r="A1408" s="1" t="str">
        <f t="shared" si="21"/>
        <v/>
      </c>
      <c r="B14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
      <c r="A1409" s="1" t="str">
        <f t="shared" si="21"/>
        <v/>
      </c>
      <c r="B14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
      <c r="A1410" s="1" t="str">
        <f t="shared" ref="A1410:A1473" si="22">IFERROR(LEFT(RIGHT(C1410,LEN(C1410)-SEARCH("@",C1410)),SEARCH("/",RIGHT(C1410,LEN(C1410)-SEARCH("@",C1410)-1))),"")</f>
        <v/>
      </c>
      <c r="B14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
      <c r="A1411" s="1" t="str">
        <f t="shared" si="22"/>
        <v/>
      </c>
      <c r="B14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
      <c r="A1412" s="1" t="str">
        <f t="shared" si="22"/>
        <v/>
      </c>
      <c r="B14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
      <c r="A1413" s="1" t="str">
        <f t="shared" si="22"/>
        <v/>
      </c>
      <c r="B14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
      <c r="A1414" s="1" t="str">
        <f t="shared" si="22"/>
        <v/>
      </c>
      <c r="B14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
      <c r="A1415" s="1" t="str">
        <f t="shared" si="22"/>
        <v/>
      </c>
      <c r="B14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
      <c r="A1416" s="1" t="str">
        <f t="shared" si="22"/>
        <v/>
      </c>
      <c r="B14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
      <c r="A1417" s="1" t="str">
        <f t="shared" si="22"/>
        <v/>
      </c>
      <c r="B14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
      <c r="A1418" s="1" t="str">
        <f t="shared" si="22"/>
        <v/>
      </c>
      <c r="B14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
      <c r="A1419" s="1" t="str">
        <f t="shared" si="22"/>
        <v/>
      </c>
      <c r="B14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
      <c r="A1420" s="1" t="str">
        <f t="shared" si="22"/>
        <v/>
      </c>
      <c r="B14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
      <c r="A1421" s="1" t="str">
        <f t="shared" si="22"/>
        <v/>
      </c>
      <c r="B14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
      <c r="A1422" s="1" t="str">
        <f t="shared" si="22"/>
        <v/>
      </c>
      <c r="B14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
      <c r="A1423" s="1" t="str">
        <f t="shared" si="22"/>
        <v/>
      </c>
      <c r="B14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
      <c r="A1424" s="1" t="str">
        <f t="shared" si="22"/>
        <v/>
      </c>
      <c r="B14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
      <c r="A1425" s="1" t="str">
        <f t="shared" si="22"/>
        <v/>
      </c>
      <c r="B14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
      <c r="A1426" s="1" t="str">
        <f t="shared" si="22"/>
        <v/>
      </c>
      <c r="B14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
      <c r="A1427" s="1" t="str">
        <f t="shared" si="22"/>
        <v/>
      </c>
      <c r="B14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
      <c r="A1428" s="1" t="str">
        <f t="shared" si="22"/>
        <v/>
      </c>
      <c r="B14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
      <c r="A1429" s="1" t="str">
        <f t="shared" si="22"/>
        <v/>
      </c>
      <c r="B14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
      <c r="A1430" s="1" t="str">
        <f t="shared" si="22"/>
        <v/>
      </c>
      <c r="B14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
      <c r="A1431" s="1" t="str">
        <f t="shared" si="22"/>
        <v/>
      </c>
      <c r="B14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
      <c r="A1432" s="1" t="str">
        <f t="shared" si="22"/>
        <v/>
      </c>
      <c r="B14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
      <c r="A1433" s="1" t="str">
        <f t="shared" si="22"/>
        <v/>
      </c>
      <c r="B14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
      <c r="A1434" s="1" t="str">
        <f t="shared" si="22"/>
        <v/>
      </c>
      <c r="B14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
      <c r="A1435" s="1" t="str">
        <f t="shared" si="22"/>
        <v/>
      </c>
      <c r="B14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
      <c r="A1436" s="1" t="str">
        <f t="shared" si="22"/>
        <v/>
      </c>
      <c r="B14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
      <c r="A1437" s="1" t="str">
        <f t="shared" si="22"/>
        <v/>
      </c>
      <c r="B14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
      <c r="A1438" s="1" t="str">
        <f t="shared" si="22"/>
        <v/>
      </c>
      <c r="B14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
      <c r="A1439" s="1" t="str">
        <f t="shared" si="22"/>
        <v/>
      </c>
      <c r="B14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
      <c r="A1440" s="1" t="str">
        <f t="shared" si="22"/>
        <v/>
      </c>
      <c r="B14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
      <c r="A1441" s="1" t="str">
        <f t="shared" si="22"/>
        <v/>
      </c>
      <c r="B14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
      <c r="A1442" s="1" t="str">
        <f t="shared" si="22"/>
        <v/>
      </c>
      <c r="B14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
      <c r="A1443" s="1" t="str">
        <f t="shared" si="22"/>
        <v/>
      </c>
      <c r="B14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
      <c r="A1444" s="1" t="str">
        <f t="shared" si="22"/>
        <v/>
      </c>
      <c r="B14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
      <c r="A1445" s="1" t="str">
        <f t="shared" si="22"/>
        <v/>
      </c>
      <c r="B14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
      <c r="A1446" s="1" t="str">
        <f t="shared" si="22"/>
        <v/>
      </c>
      <c r="B14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
      <c r="A1447" s="1" t="str">
        <f t="shared" si="22"/>
        <v/>
      </c>
      <c r="B14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
      <c r="A1448" s="1" t="str">
        <f t="shared" si="22"/>
        <v/>
      </c>
      <c r="B14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
      <c r="A1449" s="1" t="str">
        <f t="shared" si="22"/>
        <v/>
      </c>
      <c r="B14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
      <c r="A1450" s="1" t="str">
        <f t="shared" si="22"/>
        <v/>
      </c>
      <c r="B14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
      <c r="A1451" s="1" t="str">
        <f t="shared" si="22"/>
        <v/>
      </c>
      <c r="B14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
      <c r="A1452" s="1" t="str">
        <f t="shared" si="22"/>
        <v/>
      </c>
      <c r="B14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
      <c r="A1453" s="1" t="str">
        <f t="shared" si="22"/>
        <v/>
      </c>
      <c r="B14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
      <c r="A1454" s="1" t="str">
        <f t="shared" si="22"/>
        <v/>
      </c>
      <c r="B14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
      <c r="A1455" s="1" t="str">
        <f t="shared" si="22"/>
        <v/>
      </c>
      <c r="B14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
      <c r="A1456" s="1" t="str">
        <f t="shared" si="22"/>
        <v/>
      </c>
      <c r="B14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
      <c r="A1457" s="1" t="str">
        <f t="shared" si="22"/>
        <v/>
      </c>
      <c r="B14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
      <c r="A1458" s="1" t="str">
        <f t="shared" si="22"/>
        <v/>
      </c>
      <c r="B14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
      <c r="A1459" s="1" t="str">
        <f t="shared" si="22"/>
        <v/>
      </c>
      <c r="B14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
      <c r="A1460" s="1" t="str">
        <f t="shared" si="22"/>
        <v/>
      </c>
      <c r="B14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
      <c r="A1461" s="1" t="str">
        <f t="shared" si="22"/>
        <v/>
      </c>
      <c r="B14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
      <c r="A1462" s="1" t="str">
        <f t="shared" si="22"/>
        <v/>
      </c>
      <c r="B14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
      <c r="A1463" s="1" t="str">
        <f t="shared" si="22"/>
        <v/>
      </c>
      <c r="B14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
      <c r="A1464" s="1" t="str">
        <f t="shared" si="22"/>
        <v/>
      </c>
      <c r="B14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
      <c r="A1465" s="1" t="str">
        <f t="shared" si="22"/>
        <v/>
      </c>
      <c r="B14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
      <c r="A1466" s="1" t="str">
        <f t="shared" si="22"/>
        <v/>
      </c>
      <c r="B14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
      <c r="A1467" s="1" t="str">
        <f t="shared" si="22"/>
        <v/>
      </c>
      <c r="B14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
      <c r="A1468" s="1" t="str">
        <f t="shared" si="22"/>
        <v/>
      </c>
      <c r="B14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
      <c r="A1469" s="1" t="str">
        <f t="shared" si="22"/>
        <v/>
      </c>
      <c r="B14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
      <c r="A1470" s="1" t="str">
        <f t="shared" si="22"/>
        <v/>
      </c>
      <c r="B14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
      <c r="A1471" s="1" t="str">
        <f t="shared" si="22"/>
        <v/>
      </c>
      <c r="B14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
      <c r="A1472" s="1" t="str">
        <f t="shared" si="22"/>
        <v/>
      </c>
      <c r="B14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
      <c r="A1473" s="1" t="str">
        <f t="shared" si="22"/>
        <v/>
      </c>
      <c r="B14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
      <c r="A1474" s="1" t="str">
        <f t="shared" ref="A1474:A1531" si="23">IFERROR(LEFT(RIGHT(C1474,LEN(C1474)-SEARCH("@",C1474)),SEARCH("/",RIGHT(C1474,LEN(C1474)-SEARCH("@",C1474)-1))),"")</f>
        <v/>
      </c>
      <c r="B14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
      <c r="A1475" s="1" t="str">
        <f t="shared" si="23"/>
        <v/>
      </c>
      <c r="B14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
      <c r="A1476" s="1" t="str">
        <f t="shared" si="23"/>
        <v/>
      </c>
      <c r="B14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
      <c r="A1477" s="1" t="str">
        <f t="shared" si="23"/>
        <v/>
      </c>
      <c r="B14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
      <c r="A1478" s="1" t="str">
        <f t="shared" si="23"/>
        <v/>
      </c>
      <c r="B14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
      <c r="A1479" s="1" t="str">
        <f t="shared" si="23"/>
        <v/>
      </c>
      <c r="B14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
      <c r="A1480" s="1" t="str">
        <f t="shared" si="23"/>
        <v/>
      </c>
      <c r="B14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
      <c r="A1481" s="1" t="str">
        <f t="shared" si="23"/>
        <v/>
      </c>
      <c r="B14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
      <c r="A1482" s="1" t="str">
        <f t="shared" si="23"/>
        <v/>
      </c>
      <c r="B14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
      <c r="A1483" s="1" t="str">
        <f t="shared" si="23"/>
        <v/>
      </c>
      <c r="B14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
      <c r="A1484" s="1" t="str">
        <f t="shared" si="23"/>
        <v/>
      </c>
      <c r="B14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
      <c r="A1485" s="1" t="str">
        <f t="shared" si="23"/>
        <v/>
      </c>
      <c r="B14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
      <c r="A1486" s="1" t="str">
        <f t="shared" si="23"/>
        <v/>
      </c>
      <c r="B14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
      <c r="A1487" s="1" t="str">
        <f t="shared" si="23"/>
        <v/>
      </c>
      <c r="B14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
      <c r="A1488" s="1" t="str">
        <f t="shared" si="23"/>
        <v/>
      </c>
      <c r="B14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
      <c r="A1489" s="1" t="str">
        <f t="shared" si="23"/>
        <v/>
      </c>
      <c r="B14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
      <c r="A1490" s="1" t="str">
        <f t="shared" si="23"/>
        <v/>
      </c>
      <c r="B14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
      <c r="A1491" s="1" t="str">
        <f t="shared" si="23"/>
        <v/>
      </c>
      <c r="B14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
      <c r="A1492" s="1" t="str">
        <f t="shared" si="23"/>
        <v/>
      </c>
      <c r="B14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
      <c r="A1493" s="1" t="str">
        <f t="shared" si="23"/>
        <v/>
      </c>
      <c r="B14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
      <c r="A1494" s="1" t="str">
        <f t="shared" si="23"/>
        <v/>
      </c>
      <c r="B14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
      <c r="A1495" s="1" t="str">
        <f t="shared" si="23"/>
        <v/>
      </c>
      <c r="B14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
      <c r="A1496" s="1" t="str">
        <f t="shared" si="23"/>
        <v/>
      </c>
      <c r="B14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
      <c r="A1497" s="1" t="str">
        <f t="shared" si="23"/>
        <v/>
      </c>
      <c r="B14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
      <c r="A1498" s="1" t="str">
        <f t="shared" si="23"/>
        <v/>
      </c>
      <c r="B14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
      <c r="A1499" s="1" t="str">
        <f t="shared" si="23"/>
        <v/>
      </c>
      <c r="B14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
      <c r="A1500" s="1" t="str">
        <f t="shared" si="23"/>
        <v/>
      </c>
      <c r="B15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
      <c r="A1501" s="1" t="str">
        <f t="shared" si="23"/>
        <v/>
      </c>
      <c r="B15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
      <c r="A1502" s="1" t="str">
        <f t="shared" si="23"/>
        <v/>
      </c>
      <c r="B15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
      <c r="A1503" s="1" t="str">
        <f t="shared" si="23"/>
        <v/>
      </c>
      <c r="B15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
      <c r="A1504" s="1" t="str">
        <f t="shared" si="23"/>
        <v/>
      </c>
      <c r="B15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
      <c r="A1505" s="1" t="str">
        <f t="shared" si="23"/>
        <v/>
      </c>
      <c r="B15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
      <c r="A1506" s="1" t="str">
        <f t="shared" si="23"/>
        <v/>
      </c>
      <c r="B15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
      <c r="A1507" s="1" t="str">
        <f t="shared" si="23"/>
        <v/>
      </c>
      <c r="B15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
      <c r="A1508" s="1" t="str">
        <f t="shared" si="23"/>
        <v/>
      </c>
      <c r="B15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
      <c r="A1509" s="1" t="str">
        <f t="shared" si="23"/>
        <v/>
      </c>
      <c r="B15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
      <c r="A1510" s="1" t="str">
        <f t="shared" si="23"/>
        <v/>
      </c>
      <c r="B15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
      <c r="A1511" s="1" t="str">
        <f t="shared" si="23"/>
        <v/>
      </c>
      <c r="B15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
      <c r="A1512" s="1" t="str">
        <f t="shared" si="23"/>
        <v/>
      </c>
      <c r="B15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
      <c r="A1513" s="1" t="str">
        <f t="shared" si="23"/>
        <v/>
      </c>
      <c r="B15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
      <c r="A1514" s="1" t="str">
        <f t="shared" si="23"/>
        <v/>
      </c>
      <c r="B15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
      <c r="A1515" s="1" t="str">
        <f t="shared" si="23"/>
        <v/>
      </c>
      <c r="B15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
      <c r="A1516" s="1" t="str">
        <f t="shared" si="23"/>
        <v/>
      </c>
      <c r="B15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
      <c r="A1517" s="1" t="str">
        <f t="shared" si="23"/>
        <v/>
      </c>
      <c r="B15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
      <c r="A1518" s="1" t="str">
        <f t="shared" si="23"/>
        <v/>
      </c>
      <c r="B15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
      <c r="A1519" s="1" t="str">
        <f t="shared" si="23"/>
        <v/>
      </c>
      <c r="B15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
      <c r="A1520" s="1" t="str">
        <f t="shared" si="23"/>
        <v/>
      </c>
      <c r="B15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
      <c r="A1521" s="1" t="str">
        <f t="shared" si="23"/>
        <v/>
      </c>
      <c r="B15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
      <c r="A1522" s="1" t="str">
        <f t="shared" si="23"/>
        <v/>
      </c>
      <c r="B15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
      <c r="A1523" s="1" t="str">
        <f t="shared" si="23"/>
        <v/>
      </c>
      <c r="B15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
      <c r="A1524" s="1" t="str">
        <f t="shared" si="23"/>
        <v/>
      </c>
      <c r="B15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
      <c r="A1525" s="1" t="str">
        <f t="shared" si="23"/>
        <v/>
      </c>
      <c r="B15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
      <c r="A1526" s="1" t="str">
        <f t="shared" si="23"/>
        <v/>
      </c>
      <c r="B15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
      <c r="A1527" s="1" t="str">
        <f t="shared" si="23"/>
        <v/>
      </c>
      <c r="B15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
      <c r="A1528" s="1" t="str">
        <f t="shared" si="23"/>
        <v/>
      </c>
      <c r="B15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
      <c r="A1529" s="1" t="str">
        <f t="shared" si="23"/>
        <v/>
      </c>
      <c r="B15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
      <c r="A1530" s="1" t="str">
        <f t="shared" si="23"/>
        <v/>
      </c>
      <c r="B15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
      <c r="A1531" s="1" t="str">
        <f t="shared" si="23"/>
        <v/>
      </c>
      <c r="B15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L1" zoomScaleNormal="100" zoomScaleSheetLayoutView="40" zoomScalePageLayoutView="30" workbookViewId="0">
      <selection activeCell="P5" sqref="P5"/>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2" t="s">
        <v>43</v>
      </c>
      <c r="B1" s="213"/>
      <c r="C1" s="213"/>
      <c r="D1" s="213"/>
      <c r="E1" s="213"/>
      <c r="F1" s="213"/>
      <c r="G1" s="213"/>
      <c r="H1" s="213"/>
      <c r="I1" s="213"/>
      <c r="J1" s="213"/>
      <c r="K1" s="213"/>
      <c r="L1" s="213"/>
      <c r="M1" s="213"/>
      <c r="N1" s="213"/>
      <c r="O1" s="213"/>
      <c r="P1" s="213"/>
      <c r="Q1" s="213"/>
      <c r="R1" s="213"/>
      <c r="S1" s="213"/>
      <c r="T1" s="213"/>
      <c r="U1" s="213"/>
      <c r="V1" s="213"/>
    </row>
    <row r="2" spans="1:22" customFormat="1" ht="15" thickBot="1" x14ac:dyDescent="0.35"/>
    <row r="3" spans="1:22" ht="15" thickBot="1" x14ac:dyDescent="0.35">
      <c r="A3" s="50" t="s">
        <v>18</v>
      </c>
      <c r="B3" s="220" t="s">
        <v>6</v>
      </c>
      <c r="C3" s="221"/>
      <c r="D3" s="221"/>
      <c r="E3" s="221"/>
      <c r="F3" s="221"/>
      <c r="G3" s="221"/>
      <c r="H3" s="221"/>
      <c r="I3" s="221"/>
      <c r="J3" s="221"/>
      <c r="K3" s="221"/>
      <c r="L3" s="221"/>
      <c r="M3" s="221"/>
      <c r="O3" s="220" t="s">
        <v>3</v>
      </c>
      <c r="P3" s="221"/>
      <c r="Q3" s="221"/>
      <c r="R3" s="221"/>
      <c r="S3" s="221"/>
      <c r="T3" s="221"/>
      <c r="U3" s="221"/>
      <c r="V3" s="221"/>
    </row>
    <row r="4" spans="1:22" x14ac:dyDescent="0.3">
      <c r="A4" s="33" t="s">
        <v>41</v>
      </c>
      <c r="B4" s="34" t="str">
        <f>'Page de garde'!A7</f>
        <v>Témoin solvant</v>
      </c>
      <c r="C4" s="34" t="str">
        <f>'Page de garde'!A9</f>
        <v>EE2-33.8ng/L</v>
      </c>
      <c r="D4" s="34" t="str">
        <f>'Page de garde'!A10</f>
        <v>EE2-50.6ng/L</v>
      </c>
      <c r="E4" s="34" t="str">
        <f>'Page de garde'!A11</f>
        <v>EE2-76ng/L</v>
      </c>
      <c r="F4" s="34" t="str">
        <f>'Page de garde'!A12</f>
        <v>EE2-114ng/L</v>
      </c>
      <c r="G4" s="34" t="str">
        <f>'Page de garde'!A13</f>
        <v>EE2-170.9ng/L</v>
      </c>
      <c r="H4" s="34" t="str">
        <f>'Page de garde'!A14</f>
        <v>EE2-488ng/L</v>
      </c>
      <c r="I4" s="34" t="str">
        <f>'Page de garde'!A15</f>
        <v>Fadrozole-0.016µg/L</v>
      </c>
      <c r="J4" s="34" t="str">
        <f>'Page de garde'!A16</f>
        <v>Fadrozole-0.08µg/L</v>
      </c>
      <c r="K4" s="34" t="str">
        <f>'Page de garde'!A17</f>
        <v>Fadrozole-0.4µg/L</v>
      </c>
      <c r="L4" s="34" t="str">
        <f>'Page de garde'!A18</f>
        <v>Fadrozole-2µg/L</v>
      </c>
      <c r="M4" s="34" t="str">
        <f>'Page de garde'!A19</f>
        <v>Fadrozole-10 µg/L</v>
      </c>
      <c r="N4" s="3"/>
      <c r="O4" s="35" t="str">
        <f>'Page de garde'!A36</f>
        <v>Testo -30µg/L</v>
      </c>
      <c r="P4" s="35" t="str">
        <f>'Page de garde'!A37</f>
        <v>Testo 30µg/L + EE2 -64ng/L</v>
      </c>
      <c r="Q4" s="35" t="str">
        <f>'Page de garde'!A38</f>
        <v>Testo 30µg/L + FAD-10µg/L</v>
      </c>
      <c r="R4" s="35" t="str">
        <f>'Page de garde'!A39</f>
        <v>Fadrozole-0.016µg/L + Testostérone</v>
      </c>
      <c r="S4" s="35" t="str">
        <f>'Page de garde'!A40</f>
        <v>Fadrozole-0.08µg/L + Testostérone</v>
      </c>
      <c r="T4" s="35" t="str">
        <f>'Page de garde'!A41</f>
        <v>Fadrozole-0.4µg/L + Testostérone</v>
      </c>
      <c r="U4" s="35" t="str">
        <f>'Page de garde'!A42</f>
        <v>Fadrozole-2µg/L + Testostérone</v>
      </c>
      <c r="V4" s="35" t="str">
        <f>'Page de garde'!A43</f>
        <v>Fadrozole-10 µg/L + Testostérone</v>
      </c>
    </row>
    <row r="5" spans="1:22" x14ac:dyDescent="0.3">
      <c r="A5" s="222" t="s">
        <v>33</v>
      </c>
      <c r="B5" s="31">
        <v>16004</v>
      </c>
      <c r="C5" s="31">
        <v>44275</v>
      </c>
      <c r="D5" s="31">
        <v>84335</v>
      </c>
      <c r="E5" s="31">
        <v>56759</v>
      </c>
      <c r="F5" s="31">
        <v>635672</v>
      </c>
      <c r="G5" s="31">
        <v>5320367</v>
      </c>
      <c r="H5" s="31">
        <v>5752161</v>
      </c>
      <c r="I5" s="31">
        <v>11180</v>
      </c>
      <c r="J5" s="31">
        <v>13007</v>
      </c>
      <c r="K5" s="13">
        <v>2215</v>
      </c>
      <c r="L5" s="13">
        <v>6396</v>
      </c>
      <c r="M5" s="13">
        <v>212</v>
      </c>
      <c r="N5" s="3"/>
      <c r="O5" s="31">
        <v>1533268</v>
      </c>
      <c r="P5" s="13">
        <v>12366433</v>
      </c>
      <c r="Q5" s="13">
        <v>26932</v>
      </c>
      <c r="R5" s="31">
        <v>643584</v>
      </c>
      <c r="S5" s="31">
        <v>1657930</v>
      </c>
      <c r="T5" s="31">
        <v>761042</v>
      </c>
      <c r="U5" s="31">
        <v>1177412</v>
      </c>
      <c r="V5" s="31">
        <v>183364</v>
      </c>
    </row>
    <row r="6" spans="1:22" ht="16.8" x14ac:dyDescent="0.3">
      <c r="A6" s="222"/>
      <c r="B6" s="14">
        <v>25</v>
      </c>
      <c r="C6" s="13">
        <v>135239</v>
      </c>
      <c r="D6" s="31">
        <v>54395</v>
      </c>
      <c r="E6" s="31">
        <v>689836</v>
      </c>
      <c r="F6" s="31">
        <v>5342877</v>
      </c>
      <c r="G6" s="31">
        <v>5151762</v>
      </c>
      <c r="H6" s="31">
        <v>9697788</v>
      </c>
      <c r="I6" s="31">
        <v>19351</v>
      </c>
      <c r="J6" s="31">
        <v>2952</v>
      </c>
      <c r="K6" s="13">
        <v>1813</v>
      </c>
      <c r="L6" s="13">
        <v>35036</v>
      </c>
      <c r="M6" s="13">
        <v>11470</v>
      </c>
      <c r="N6" s="3"/>
      <c r="O6" s="31">
        <v>756579</v>
      </c>
      <c r="P6" s="13">
        <v>10283725</v>
      </c>
      <c r="Q6" s="13">
        <v>20399</v>
      </c>
      <c r="R6" s="31">
        <v>175366</v>
      </c>
      <c r="S6" s="31">
        <v>65511</v>
      </c>
      <c r="T6" s="31">
        <v>109</v>
      </c>
      <c r="U6" s="31">
        <v>1379903</v>
      </c>
      <c r="V6" s="31">
        <v>15526</v>
      </c>
    </row>
    <row r="7" spans="1:22" ht="16.8" x14ac:dyDescent="0.3">
      <c r="A7" s="222"/>
      <c r="B7" s="14">
        <v>12686</v>
      </c>
      <c r="C7" s="13">
        <v>30927</v>
      </c>
      <c r="D7" s="31">
        <v>2549196</v>
      </c>
      <c r="E7" s="31">
        <v>1314250</v>
      </c>
      <c r="F7" s="31">
        <v>11727</v>
      </c>
      <c r="G7" s="31">
        <v>2502303</v>
      </c>
      <c r="H7" s="31">
        <v>4621560</v>
      </c>
      <c r="I7" s="31">
        <v>21926</v>
      </c>
      <c r="J7" s="31">
        <v>3527</v>
      </c>
      <c r="K7" s="13">
        <v>30457</v>
      </c>
      <c r="L7" s="13">
        <v>6572</v>
      </c>
      <c r="M7" s="13">
        <v>11113</v>
      </c>
      <c r="N7" s="3"/>
      <c r="O7" s="31">
        <v>2158852</v>
      </c>
      <c r="P7" s="13">
        <v>12335567</v>
      </c>
      <c r="Q7" s="13">
        <v>43427</v>
      </c>
      <c r="R7" s="31">
        <v>80106</v>
      </c>
      <c r="S7" s="31">
        <v>119675</v>
      </c>
      <c r="T7" s="31">
        <v>29206</v>
      </c>
      <c r="U7" s="31">
        <v>13593</v>
      </c>
      <c r="V7" s="31">
        <v>65958</v>
      </c>
    </row>
    <row r="8" spans="1:22" ht="16.8" x14ac:dyDescent="0.3">
      <c r="A8" s="222"/>
      <c r="B8" s="14">
        <v>11008</v>
      </c>
      <c r="C8" s="13">
        <v>112012</v>
      </c>
      <c r="D8" s="31">
        <v>59409</v>
      </c>
      <c r="E8" s="31">
        <v>750221</v>
      </c>
      <c r="F8" s="31">
        <v>3851055</v>
      </c>
      <c r="G8" s="31">
        <v>1961183</v>
      </c>
      <c r="H8" s="31">
        <v>4771477</v>
      </c>
      <c r="I8" s="31">
        <v>7435</v>
      </c>
      <c r="J8" s="31">
        <v>68440</v>
      </c>
      <c r="K8" s="13">
        <v>4225</v>
      </c>
      <c r="L8" s="13">
        <v>20374</v>
      </c>
      <c r="M8" s="13">
        <v>16891</v>
      </c>
      <c r="N8" s="3"/>
      <c r="O8" s="31">
        <v>351834</v>
      </c>
      <c r="P8" s="13">
        <v>6964463</v>
      </c>
      <c r="Q8" s="13">
        <v>11442</v>
      </c>
      <c r="R8" s="31">
        <v>2029755</v>
      </c>
      <c r="S8" s="31">
        <v>2425342</v>
      </c>
      <c r="T8" s="31">
        <v>226134</v>
      </c>
      <c r="U8" s="31">
        <v>95500</v>
      </c>
      <c r="V8" s="31">
        <v>18948</v>
      </c>
    </row>
    <row r="9" spans="1:22" ht="16.8" x14ac:dyDescent="0.3">
      <c r="A9" s="222"/>
      <c r="B9" s="14">
        <v>36506</v>
      </c>
      <c r="C9" s="13">
        <v>26878</v>
      </c>
      <c r="D9" s="31">
        <v>27310</v>
      </c>
      <c r="E9" s="31">
        <v>3691988</v>
      </c>
      <c r="F9" s="31">
        <v>2899183</v>
      </c>
      <c r="G9" s="31">
        <v>3538908</v>
      </c>
      <c r="H9" s="31">
        <v>5071291</v>
      </c>
      <c r="I9" s="31">
        <v>2756</v>
      </c>
      <c r="J9" s="31">
        <v>49809</v>
      </c>
      <c r="K9" s="13">
        <v>30484</v>
      </c>
      <c r="L9" s="13">
        <v>21835</v>
      </c>
      <c r="M9" s="13">
        <v>15639</v>
      </c>
      <c r="N9" s="3"/>
      <c r="O9" s="31">
        <v>7281</v>
      </c>
      <c r="P9" s="13">
        <v>8365911</v>
      </c>
      <c r="Q9" s="13">
        <v>92326</v>
      </c>
      <c r="R9" s="31">
        <v>1971882</v>
      </c>
      <c r="S9" s="31">
        <v>472131</v>
      </c>
      <c r="T9" s="31">
        <v>67576</v>
      </c>
      <c r="U9" s="31">
        <v>328509</v>
      </c>
      <c r="V9" s="31">
        <v>9644</v>
      </c>
    </row>
    <row r="10" spans="1:22" ht="16.8" x14ac:dyDescent="0.3">
      <c r="A10" s="222"/>
      <c r="B10" s="14">
        <v>17717</v>
      </c>
      <c r="C10" s="13">
        <v>48285</v>
      </c>
      <c r="D10" s="31">
        <v>160966</v>
      </c>
      <c r="E10" s="31">
        <v>2161546</v>
      </c>
      <c r="F10" s="31">
        <v>2467623</v>
      </c>
      <c r="G10" s="31">
        <v>4181222</v>
      </c>
      <c r="H10" s="31">
        <v>4191230</v>
      </c>
      <c r="I10" s="31">
        <v>1080</v>
      </c>
      <c r="J10" s="31">
        <v>7901</v>
      </c>
      <c r="K10" s="13">
        <v>34908</v>
      </c>
      <c r="L10" s="13">
        <v>309686</v>
      </c>
      <c r="M10" s="13">
        <v>2963</v>
      </c>
      <c r="N10" s="3"/>
      <c r="O10" s="31">
        <v>214038</v>
      </c>
      <c r="P10" s="13">
        <v>6548075</v>
      </c>
      <c r="Q10" s="13">
        <v>32774</v>
      </c>
      <c r="R10" s="31">
        <v>12158</v>
      </c>
      <c r="S10" s="31">
        <v>492964</v>
      </c>
      <c r="T10" s="31">
        <v>628674</v>
      </c>
      <c r="U10" s="31">
        <v>101094</v>
      </c>
      <c r="V10" s="31">
        <v>4054</v>
      </c>
    </row>
    <row r="11" spans="1:22" ht="16.8" x14ac:dyDescent="0.3">
      <c r="A11" s="222"/>
      <c r="B11" s="14">
        <v>4179</v>
      </c>
      <c r="C11" s="13">
        <v>0</v>
      </c>
      <c r="D11" s="31">
        <v>62196</v>
      </c>
      <c r="E11" s="31">
        <v>161971</v>
      </c>
      <c r="F11" s="31">
        <v>3637237</v>
      </c>
      <c r="G11" s="31">
        <v>3017964</v>
      </c>
      <c r="H11" s="31">
        <v>5437701</v>
      </c>
      <c r="I11" s="31">
        <v>28440</v>
      </c>
      <c r="J11" s="31">
        <v>79</v>
      </c>
      <c r="K11" s="13">
        <v>654</v>
      </c>
      <c r="L11" s="13">
        <v>2569</v>
      </c>
      <c r="M11" s="13">
        <v>22172</v>
      </c>
      <c r="N11" s="3"/>
      <c r="O11" s="31">
        <v>582344</v>
      </c>
      <c r="P11" s="13">
        <v>8099428</v>
      </c>
      <c r="Q11" s="13">
        <v>17635</v>
      </c>
      <c r="R11" s="31">
        <v>267222</v>
      </c>
      <c r="S11" s="31">
        <v>1997791</v>
      </c>
      <c r="T11" s="31">
        <v>670014</v>
      </c>
      <c r="U11" s="31">
        <v>2231</v>
      </c>
      <c r="V11" s="31">
        <v>51287</v>
      </c>
    </row>
    <row r="12" spans="1:22" ht="16.8" x14ac:dyDescent="0.3">
      <c r="A12" s="222"/>
      <c r="B12" s="14"/>
      <c r="C12" s="13">
        <v>702</v>
      </c>
      <c r="D12" s="31">
        <v>6050</v>
      </c>
      <c r="E12" s="31">
        <v>1253702</v>
      </c>
      <c r="F12" s="31">
        <v>725198</v>
      </c>
      <c r="G12" s="31">
        <v>4942591</v>
      </c>
      <c r="H12" s="31">
        <v>8192981</v>
      </c>
      <c r="I12" s="31">
        <v>1448</v>
      </c>
      <c r="J12" s="31"/>
      <c r="K12" s="13">
        <v>65027</v>
      </c>
      <c r="L12" s="13">
        <v>24816</v>
      </c>
      <c r="M12" s="13">
        <v>22296</v>
      </c>
      <c r="N12" s="3"/>
      <c r="O12" s="31">
        <v>1436365</v>
      </c>
      <c r="P12" s="13"/>
      <c r="Q12" s="13"/>
      <c r="R12" s="31"/>
      <c r="S12" s="31">
        <v>3179701</v>
      </c>
      <c r="T12" s="31">
        <v>18370</v>
      </c>
      <c r="U12" s="31">
        <v>625</v>
      </c>
      <c r="V12" s="31">
        <v>23351</v>
      </c>
    </row>
    <row r="13" spans="1:22" ht="16.8" x14ac:dyDescent="0.3">
      <c r="A13" s="222"/>
      <c r="B13" s="14"/>
      <c r="C13" s="13"/>
      <c r="D13" s="31"/>
      <c r="E13" s="31"/>
      <c r="F13" s="31"/>
      <c r="G13" s="31"/>
      <c r="H13" s="31"/>
      <c r="I13" s="31"/>
      <c r="J13" s="31"/>
      <c r="K13" s="13"/>
      <c r="L13" s="13"/>
      <c r="M13" s="13"/>
      <c r="N13" s="3"/>
      <c r="O13" s="31">
        <v>255348</v>
      </c>
      <c r="P13" s="13"/>
      <c r="Q13" s="13"/>
      <c r="R13" s="31"/>
      <c r="S13" s="31"/>
      <c r="T13" s="31"/>
      <c r="U13" s="31"/>
      <c r="V13" s="31"/>
    </row>
    <row r="14" spans="1:22" ht="16.8" x14ac:dyDescent="0.3">
      <c r="A14" s="222"/>
      <c r="B14" s="14"/>
      <c r="C14" s="31"/>
      <c r="D14" s="31"/>
      <c r="E14" s="31"/>
      <c r="F14" s="31"/>
      <c r="G14" s="31"/>
      <c r="H14" s="31"/>
      <c r="I14" s="31"/>
      <c r="J14" s="31"/>
      <c r="K14" s="13"/>
      <c r="L14" s="13"/>
      <c r="M14" s="13"/>
      <c r="N14" s="3"/>
      <c r="O14" s="31">
        <v>186050</v>
      </c>
      <c r="P14" s="13"/>
      <c r="Q14" s="13"/>
      <c r="R14" s="31"/>
      <c r="S14" s="31"/>
      <c r="T14" s="31"/>
      <c r="U14" s="31"/>
      <c r="V14" s="31"/>
    </row>
    <row r="15" spans="1:22" ht="16.8" x14ac:dyDescent="0.3">
      <c r="A15" s="222"/>
      <c r="B15" s="14"/>
      <c r="C15" s="31"/>
      <c r="D15" s="31"/>
      <c r="E15" s="31"/>
      <c r="F15" s="31"/>
      <c r="G15" s="31"/>
      <c r="H15" s="31"/>
      <c r="I15" s="31"/>
      <c r="J15" s="31"/>
      <c r="K15" s="13"/>
      <c r="L15" s="13"/>
      <c r="M15" s="13"/>
      <c r="N15" s="3"/>
      <c r="O15" s="31">
        <v>666483</v>
      </c>
      <c r="P15" s="13"/>
      <c r="Q15" s="13"/>
      <c r="R15" s="31"/>
      <c r="S15" s="31"/>
      <c r="T15" s="31"/>
      <c r="U15" s="31"/>
      <c r="V15" s="31"/>
    </row>
    <row r="16" spans="1:22" ht="16.8" x14ac:dyDescent="0.3">
      <c r="A16" s="222"/>
      <c r="B16" s="14"/>
      <c r="C16" s="31"/>
      <c r="D16" s="31"/>
      <c r="E16" s="31"/>
      <c r="F16" s="31"/>
      <c r="G16" s="31"/>
      <c r="H16" s="31"/>
      <c r="I16" s="31"/>
      <c r="J16" s="31"/>
      <c r="K16" s="13"/>
      <c r="L16" s="13"/>
      <c r="M16" s="13"/>
      <c r="N16" s="3"/>
      <c r="O16" s="31">
        <v>1457314</v>
      </c>
      <c r="P16" s="13"/>
      <c r="Q16" s="13"/>
      <c r="R16" s="31"/>
      <c r="S16" s="31"/>
      <c r="T16" s="31"/>
      <c r="U16" s="31"/>
      <c r="V16" s="31"/>
    </row>
    <row r="17" spans="1:22" ht="16.8" x14ac:dyDescent="0.3">
      <c r="A17" s="222"/>
      <c r="B17" s="14"/>
      <c r="C17" s="31"/>
      <c r="D17" s="31"/>
      <c r="E17" s="31"/>
      <c r="F17" s="31"/>
      <c r="G17" s="31"/>
      <c r="H17" s="31"/>
      <c r="I17" s="31"/>
      <c r="J17" s="31"/>
      <c r="K17" s="13"/>
      <c r="L17" s="13"/>
      <c r="M17" s="13"/>
      <c r="N17" s="3"/>
      <c r="O17" s="31">
        <v>2540184</v>
      </c>
      <c r="P17" s="13"/>
      <c r="Q17" s="13"/>
      <c r="R17" s="31"/>
      <c r="S17" s="31"/>
      <c r="T17" s="31"/>
      <c r="U17" s="31"/>
      <c r="V17" s="31"/>
    </row>
    <row r="18" spans="1:22" ht="16.8" x14ac:dyDescent="0.3">
      <c r="A18" s="222"/>
      <c r="B18" s="14"/>
      <c r="C18" s="31"/>
      <c r="D18" s="31"/>
      <c r="E18" s="31"/>
      <c r="F18" s="31"/>
      <c r="G18" s="31"/>
      <c r="H18" s="31"/>
      <c r="I18" s="31"/>
      <c r="J18" s="31"/>
      <c r="K18" s="13"/>
      <c r="L18" s="13"/>
      <c r="M18" s="13"/>
      <c r="N18" s="3"/>
      <c r="O18" s="31"/>
      <c r="P18" s="13"/>
      <c r="Q18" s="13"/>
      <c r="R18" s="31"/>
      <c r="S18" s="31"/>
      <c r="T18" s="31"/>
      <c r="U18" s="31"/>
      <c r="V18" s="31"/>
    </row>
    <row r="19" spans="1:22" ht="16.8" x14ac:dyDescent="0.3">
      <c r="A19" s="222"/>
      <c r="B19" s="14"/>
      <c r="C19" s="31"/>
      <c r="D19" s="31"/>
      <c r="E19" s="31"/>
      <c r="F19" s="31"/>
      <c r="G19" s="31"/>
      <c r="H19" s="31"/>
      <c r="I19" s="31"/>
      <c r="J19" s="31"/>
      <c r="K19" s="13"/>
      <c r="L19" s="13"/>
      <c r="M19" s="13"/>
      <c r="N19" s="3"/>
      <c r="O19" s="31"/>
      <c r="P19" s="13"/>
      <c r="Q19" s="13"/>
      <c r="R19" s="31"/>
      <c r="S19" s="31"/>
      <c r="T19" s="31"/>
      <c r="U19" s="31"/>
      <c r="V19" s="31"/>
    </row>
    <row r="20" spans="1:22" ht="16.8" x14ac:dyDescent="0.3">
      <c r="A20" s="222"/>
      <c r="B20" s="14"/>
      <c r="C20" s="31"/>
      <c r="D20" s="31"/>
      <c r="E20" s="31"/>
      <c r="F20" s="31"/>
      <c r="G20" s="31"/>
      <c r="H20" s="31"/>
      <c r="I20" s="31"/>
      <c r="J20" s="31"/>
      <c r="K20" s="13"/>
      <c r="L20" s="13"/>
      <c r="M20" s="13"/>
      <c r="N20" s="3"/>
      <c r="O20" s="31"/>
      <c r="P20" s="13"/>
      <c r="Q20" s="13"/>
      <c r="R20" s="31"/>
      <c r="S20" s="31"/>
      <c r="T20" s="31"/>
      <c r="U20" s="31"/>
      <c r="V20" s="31"/>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Fadrozole-0.016µg/L</v>
      </c>
      <c r="J22" s="3" t="str">
        <f t="shared" si="0"/>
        <v>Fadrozole-0.08µg/L</v>
      </c>
      <c r="K22" s="3" t="str">
        <f t="shared" si="0"/>
        <v>Fadrozole-0.4µg/L</v>
      </c>
      <c r="L22" s="3" t="str">
        <f t="shared" si="0"/>
        <v>Fadrozole-2µg/L</v>
      </c>
      <c r="M22" s="3" t="str">
        <f t="shared" si="0"/>
        <v>Fadrozole-10 µg/L</v>
      </c>
      <c r="N22" s="3" t="s">
        <v>41</v>
      </c>
      <c r="O22" s="3" t="str">
        <f t="shared" si="0"/>
        <v>Testo -30µg/L</v>
      </c>
      <c r="P22" s="3" t="str">
        <f t="shared" si="0"/>
        <v>Testo 30µg/L + EE2 -64ng/L</v>
      </c>
      <c r="Q22" s="3" t="str">
        <f t="shared" si="0"/>
        <v>Testo 30µg/L + FAD-10µg/L</v>
      </c>
      <c r="R22" s="3" t="str">
        <f t="shared" si="0"/>
        <v>Fadrozole-0.016µg/L + Testostérone</v>
      </c>
      <c r="S22" s="3" t="str">
        <f t="shared" si="0"/>
        <v>Fadrozole-0.08µg/L + Testostérone</v>
      </c>
      <c r="T22" s="3" t="str">
        <f t="shared" si="0"/>
        <v>Fadrozole-0.4µg/L + Testostérone</v>
      </c>
      <c r="U22" s="3" t="str">
        <f t="shared" si="0"/>
        <v>Fadrozole-2µg/L + Testostérone</v>
      </c>
      <c r="V22" s="3" t="str">
        <f t="shared" si="0"/>
        <v>Fadrozole-10 µg/L + Testostérone</v>
      </c>
    </row>
    <row r="23" spans="1:22" x14ac:dyDescent="0.3">
      <c r="A23" s="5" t="s">
        <v>0</v>
      </c>
      <c r="B23" s="5">
        <f t="shared" ref="B23:J23" si="1">AVERAGE(B5:B20)</f>
        <v>14017.857142857143</v>
      </c>
      <c r="C23" s="5">
        <f t="shared" si="1"/>
        <v>49789.75</v>
      </c>
      <c r="D23" s="5">
        <f t="shared" si="1"/>
        <v>375482.125</v>
      </c>
      <c r="E23" s="5">
        <f t="shared" si="1"/>
        <v>1260034.125</v>
      </c>
      <c r="F23" s="5">
        <f t="shared" si="1"/>
        <v>2446321.5</v>
      </c>
      <c r="G23" s="5">
        <f t="shared" si="1"/>
        <v>3827037.5</v>
      </c>
      <c r="H23" s="5">
        <f t="shared" si="1"/>
        <v>5967023.625</v>
      </c>
      <c r="I23" s="5">
        <f t="shared" si="1"/>
        <v>11702</v>
      </c>
      <c r="J23" s="5">
        <f t="shared" si="1"/>
        <v>20816.428571428572</v>
      </c>
      <c r="K23" s="5"/>
      <c r="L23" s="5">
        <f>AVERAGE(L5:L20)</f>
        <v>53410.5</v>
      </c>
      <c r="M23" s="5"/>
      <c r="N23" s="5" t="s">
        <v>0</v>
      </c>
      <c r="O23" s="5">
        <f>AVERAGE(O5:O20)</f>
        <v>934303.07692307688</v>
      </c>
      <c r="P23" s="5">
        <f>AVERAGE(P5:P20)</f>
        <v>9280514.5714285709</v>
      </c>
      <c r="Q23" s="5">
        <f>AVERAGE(Q5:Q20)</f>
        <v>34990.714285714283</v>
      </c>
      <c r="R23" s="5">
        <f>AVERAGE(R5:R20)</f>
        <v>740010.42857142852</v>
      </c>
      <c r="S23" s="5">
        <f>AVERAGE(S5:S20)</f>
        <v>1301380.625</v>
      </c>
      <c r="T23" s="5">
        <f t="shared" ref="T23:V23" si="2">AVERAGE(T5:T20)</f>
        <v>300140.625</v>
      </c>
      <c r="U23" s="5">
        <f t="shared" si="2"/>
        <v>387358.375</v>
      </c>
      <c r="V23" s="5">
        <f t="shared" si="2"/>
        <v>46516.5</v>
      </c>
    </row>
    <row r="24" spans="1:22" x14ac:dyDescent="0.3">
      <c r="A24" s="3" t="s">
        <v>1</v>
      </c>
      <c r="B24" s="3">
        <f t="shared" ref="B24:J24" si="3">STDEV(B5:B20)</f>
        <v>11738.691259088062</v>
      </c>
      <c r="C24" s="3">
        <f t="shared" si="3"/>
        <v>49244.633487895335</v>
      </c>
      <c r="D24" s="3">
        <f t="shared" si="3"/>
        <v>879502.05949266499</v>
      </c>
      <c r="E24" s="3">
        <f t="shared" si="3"/>
        <v>1193359.7077702738</v>
      </c>
      <c r="F24" s="3">
        <f t="shared" si="3"/>
        <v>1857613.4875679293</v>
      </c>
      <c r="G24" s="3">
        <f t="shared" si="3"/>
        <v>1272162.79931383</v>
      </c>
      <c r="H24" s="3">
        <f t="shared" si="3"/>
        <v>1941840.8599968033</v>
      </c>
      <c r="I24" s="3">
        <f t="shared" si="3"/>
        <v>10417.568334309115</v>
      </c>
      <c r="J24" s="3">
        <f t="shared" si="3"/>
        <v>27032.302638739104</v>
      </c>
      <c r="K24" s="3"/>
      <c r="L24" s="3">
        <f>STDEV(L5:L20)</f>
        <v>104135.82375779377</v>
      </c>
      <c r="M24" s="3"/>
      <c r="N24" s="3" t="s">
        <v>1</v>
      </c>
      <c r="O24" s="3">
        <f>STDEV(O5:O20)</f>
        <v>812824.9308078239</v>
      </c>
      <c r="P24" s="3">
        <f>STDEV(P5:P20)</f>
        <v>2412621.5039598094</v>
      </c>
      <c r="Q24" s="3">
        <f>STDEV(Q5:Q20)</f>
        <v>27377.130028025738</v>
      </c>
      <c r="R24" s="3">
        <f>STDEV(R5:R20)</f>
        <v>884857.98537427408</v>
      </c>
      <c r="S24" s="3">
        <f>STDEV(S5:S20)</f>
        <v>1175249.8679700827</v>
      </c>
      <c r="T24" s="3">
        <f t="shared" ref="T24:V24" si="4">STDEV(T5:T20)</f>
        <v>329404.89348908217</v>
      </c>
      <c r="U24" s="3">
        <f t="shared" si="4"/>
        <v>562838.18649563612</v>
      </c>
      <c r="V24" s="3">
        <f t="shared" si="4"/>
        <v>59218.344990624071</v>
      </c>
    </row>
    <row r="25" spans="1:22" ht="15" thickBot="1" x14ac:dyDescent="0.35"/>
    <row r="26" spans="1:22" ht="15" thickBot="1" x14ac:dyDescent="0.35">
      <c r="B26" s="220" t="s">
        <v>6</v>
      </c>
      <c r="C26" s="221"/>
      <c r="D26" s="221"/>
      <c r="E26" s="221"/>
      <c r="F26" s="221"/>
      <c r="G26" s="221"/>
      <c r="H26" s="221"/>
      <c r="I26" s="221"/>
      <c r="J26" s="221"/>
      <c r="K26" s="221"/>
      <c r="L26" s="221"/>
      <c r="M26" s="221"/>
      <c r="O26" s="220" t="s">
        <v>3</v>
      </c>
      <c r="P26" s="221"/>
      <c r="Q26" s="221"/>
      <c r="R26" s="221"/>
      <c r="S26" s="221"/>
      <c r="T26" s="221"/>
      <c r="U26" s="221"/>
      <c r="V26" s="221"/>
    </row>
    <row r="27" spans="1:22" x14ac:dyDescent="0.3">
      <c r="A27" s="33" t="s">
        <v>41</v>
      </c>
      <c r="B27" s="34" t="str">
        <f>B4</f>
        <v>Témoin solvant</v>
      </c>
      <c r="C27" s="34" t="str">
        <f t="shared" ref="C27:M27" si="5">C4</f>
        <v>EE2-33.8ng/L</v>
      </c>
      <c r="D27" s="34" t="str">
        <f t="shared" si="5"/>
        <v>EE2-50.6ng/L</v>
      </c>
      <c r="E27" s="34" t="str">
        <f t="shared" si="5"/>
        <v>EE2-76ng/L</v>
      </c>
      <c r="F27" s="34" t="str">
        <f t="shared" si="5"/>
        <v>EE2-114ng/L</v>
      </c>
      <c r="G27" s="34" t="str">
        <f t="shared" si="5"/>
        <v>EE2-170.9ng/L</v>
      </c>
      <c r="H27" s="34" t="str">
        <f t="shared" si="5"/>
        <v>EE2-488ng/L</v>
      </c>
      <c r="I27" s="34" t="str">
        <f t="shared" si="5"/>
        <v>Fadrozole-0.016µg/L</v>
      </c>
      <c r="J27" s="34" t="str">
        <f t="shared" si="5"/>
        <v>Fadrozole-0.08µg/L</v>
      </c>
      <c r="K27" s="34" t="str">
        <f t="shared" si="5"/>
        <v>Fadrozole-0.4µg/L</v>
      </c>
      <c r="L27" s="34" t="str">
        <f t="shared" si="5"/>
        <v>Fadrozole-2µg/L</v>
      </c>
      <c r="M27" s="34" t="str">
        <f t="shared" si="5"/>
        <v>Fadrozole-10 µg/L</v>
      </c>
      <c r="N27" s="3"/>
      <c r="O27" s="35" t="str">
        <f>O4</f>
        <v>Testo -30µg/L</v>
      </c>
      <c r="P27" s="35" t="str">
        <f t="shared" ref="P27:R27" si="6">P4</f>
        <v>Testo 30µg/L + EE2 -64ng/L</v>
      </c>
      <c r="Q27" s="35" t="str">
        <f t="shared" si="6"/>
        <v>Testo 30µg/L + FAD-10µg/L</v>
      </c>
      <c r="R27" s="35" t="str">
        <f t="shared" si="6"/>
        <v>Fadrozole-0.016µg/L + Testostérone</v>
      </c>
      <c r="S27" s="35" t="str">
        <f t="shared" ref="S27:V27" si="7">S4</f>
        <v>Fadrozole-0.08µg/L + Testostérone</v>
      </c>
      <c r="T27" s="35" t="str">
        <f t="shared" si="7"/>
        <v>Fadrozole-0.4µg/L + Testostérone</v>
      </c>
      <c r="U27" s="35" t="str">
        <f t="shared" si="7"/>
        <v>Fadrozole-2µg/L + Testostérone</v>
      </c>
      <c r="V27" s="35" t="str">
        <f t="shared" si="7"/>
        <v>Fadrozole-10 µg/L + Testostérone</v>
      </c>
    </row>
    <row r="28" spans="1:22" x14ac:dyDescent="0.3">
      <c r="A28" s="223" t="s">
        <v>34</v>
      </c>
      <c r="B28" s="11">
        <f t="shared" ref="B28:M28" si="8">IF(B5="","",(B5/$O$23))</f>
        <v>1.7129345279163245E-2</v>
      </c>
      <c r="C28" s="11">
        <f t="shared" si="8"/>
        <v>4.7388263073916061E-2</v>
      </c>
      <c r="D28" s="11">
        <f t="shared" si="8"/>
        <v>9.02651420968653E-2</v>
      </c>
      <c r="E28" s="11">
        <f t="shared" si="8"/>
        <v>6.0750094270184116E-2</v>
      </c>
      <c r="F28" s="11">
        <f t="shared" si="8"/>
        <v>0.68037023071083835</v>
      </c>
      <c r="G28" s="11">
        <f t="shared" si="8"/>
        <v>5.6944765905314867</v>
      </c>
      <c r="H28" s="11">
        <f t="shared" si="8"/>
        <v>6.1566328336876355</v>
      </c>
      <c r="I28" s="11">
        <f t="shared" si="8"/>
        <v>1.1966138479195518E-2</v>
      </c>
      <c r="J28" s="11">
        <f t="shared" si="8"/>
        <v>1.3921606726198219E-2</v>
      </c>
      <c r="K28" s="11">
        <f t="shared" si="8"/>
        <v>2.3707510493218313E-3</v>
      </c>
      <c r="L28" s="11">
        <f t="shared" si="8"/>
        <v>6.8457443392606915E-3</v>
      </c>
      <c r="M28" s="11">
        <f t="shared" si="8"/>
        <v>2.2690709817436939E-4</v>
      </c>
      <c r="N28" s="6"/>
      <c r="O28" s="11">
        <f t="shared" ref="O28:S37" si="9">IF(O5="","",(O5/$O$23))</f>
        <v>1.6410820405831086</v>
      </c>
      <c r="P28" s="11">
        <f t="shared" si="9"/>
        <v>13.235997296215855</v>
      </c>
      <c r="Q28" s="11">
        <f t="shared" si="9"/>
        <v>2.8825764000151494E-2</v>
      </c>
      <c r="R28" s="11">
        <f t="shared" si="9"/>
        <v>0.68883857486534594</v>
      </c>
      <c r="S28" s="11">
        <f t="shared" si="9"/>
        <v>1.7745098362086427</v>
      </c>
      <c r="T28" s="11">
        <f t="shared" ref="T28:V43" si="10">IF(T5="","",(T5/$O$23))</f>
        <v>0.81455581041895486</v>
      </c>
      <c r="U28" s="11">
        <f t="shared" si="10"/>
        <v>1.260203491866418</v>
      </c>
      <c r="V28" s="11">
        <f t="shared" si="10"/>
        <v>0.19625751485681636</v>
      </c>
    </row>
    <row r="29" spans="1:22" x14ac:dyDescent="0.3">
      <c r="A29" s="223"/>
      <c r="B29" s="11">
        <f t="shared" ref="B29:M29" si="11">IF(B6="","",(B6/$O$23))</f>
        <v>2.6757912520562427E-5</v>
      </c>
      <c r="C29" s="11">
        <f t="shared" si="11"/>
        <v>0.14474853325473369</v>
      </c>
      <c r="D29" s="11">
        <f t="shared" si="11"/>
        <v>5.8219866062239729E-2</v>
      </c>
      <c r="E29" s="11">
        <f t="shared" si="11"/>
        <v>0.73834285366138808</v>
      </c>
      <c r="F29" s="11">
        <f t="shared" si="11"/>
        <v>5.7185694149650006</v>
      </c>
      <c r="G29" s="11">
        <f t="shared" si="11"/>
        <v>5.5140158769103094</v>
      </c>
      <c r="H29" s="11">
        <f t="shared" si="11"/>
        <v>10.379702517878403</v>
      </c>
      <c r="I29" s="11">
        <f t="shared" si="11"/>
        <v>2.0711694607416141E-2</v>
      </c>
      <c r="J29" s="11">
        <f t="shared" si="11"/>
        <v>3.1595743104280115E-3</v>
      </c>
      <c r="K29" s="11">
        <f t="shared" si="11"/>
        <v>1.9404838159911872E-3</v>
      </c>
      <c r="L29" s="11">
        <f t="shared" si="11"/>
        <v>3.7499608922817007E-2</v>
      </c>
      <c r="M29" s="11">
        <f t="shared" si="11"/>
        <v>1.2276530264434041E-2</v>
      </c>
      <c r="N29" s="6"/>
      <c r="O29" s="11">
        <f t="shared" si="9"/>
        <v>0.80977898787578406</v>
      </c>
      <c r="P29" s="11">
        <f t="shared" si="9"/>
        <v>11.006840557420833</v>
      </c>
      <c r="Q29" s="11">
        <f t="shared" si="9"/>
        <v>2.1833386300278118E-2</v>
      </c>
      <c r="R29" s="11">
        <f t="shared" si="9"/>
        <v>0.18769712348323803</v>
      </c>
      <c r="S29" s="11">
        <f t="shared" si="9"/>
        <v>7.0117504285382604E-2</v>
      </c>
      <c r="T29" s="11">
        <f t="shared" si="10"/>
        <v>1.1666449858965218E-4</v>
      </c>
      <c r="U29" s="11">
        <f t="shared" si="10"/>
        <v>1.4769329504344662</v>
      </c>
      <c r="V29" s="11">
        <f t="shared" si="10"/>
        <v>1.6617733991770089E-2</v>
      </c>
    </row>
    <row r="30" spans="1:22" x14ac:dyDescent="0.3">
      <c r="A30" s="223"/>
      <c r="B30" s="11">
        <f t="shared" ref="B30:M30" si="12">IF(B7="","",(B7/$O$23))</f>
        <v>1.3578035129434198E-2</v>
      </c>
      <c r="C30" s="11">
        <f t="shared" si="12"/>
        <v>3.3101678420937371E-2</v>
      </c>
      <c r="D30" s="11">
        <f t="shared" si="12"/>
        <v>2.7284465426307065</v>
      </c>
      <c r="E30" s="11">
        <f t="shared" si="12"/>
        <v>1.4066634612059667</v>
      </c>
      <c r="F30" s="11">
        <f t="shared" si="12"/>
        <v>1.2551601605145424E-2</v>
      </c>
      <c r="G30" s="11">
        <f t="shared" si="12"/>
        <v>2.678256190957637</v>
      </c>
      <c r="H30" s="11">
        <f t="shared" si="12"/>
        <v>4.9465319275412201</v>
      </c>
      <c r="I30" s="11">
        <f t="shared" si="12"/>
        <v>2.3467759597034073E-2</v>
      </c>
      <c r="J30" s="11">
        <f t="shared" si="12"/>
        <v>3.7750062984009472E-3</v>
      </c>
      <c r="K30" s="11">
        <f t="shared" si="12"/>
        <v>3.2598629665550792E-2</v>
      </c>
      <c r="L30" s="11">
        <f t="shared" si="12"/>
        <v>7.0341200434054507E-3</v>
      </c>
      <c r="M30" s="11">
        <f t="shared" si="12"/>
        <v>1.189442727364041E-2</v>
      </c>
      <c r="N30" s="6"/>
      <c r="O30" s="11">
        <f t="shared" si="9"/>
        <v>2.3106549184336496</v>
      </c>
      <c r="P30" s="11">
        <f t="shared" si="9"/>
        <v>13.202960907101469</v>
      </c>
      <c r="Q30" s="11">
        <f t="shared" si="9"/>
        <v>4.6480634681218581E-2</v>
      </c>
      <c r="R30" s="11">
        <f t="shared" si="9"/>
        <v>8.5738773614886951E-2</v>
      </c>
      <c r="S30" s="11">
        <f t="shared" si="9"/>
        <v>0.12809012723593236</v>
      </c>
      <c r="T30" s="11">
        <f t="shared" si="10"/>
        <v>3.1259663723021851E-2</v>
      </c>
      <c r="U30" s="11">
        <f t="shared" si="10"/>
        <v>1.4548812195680202E-2</v>
      </c>
      <c r="V30" s="11">
        <f t="shared" si="10"/>
        <v>7.059593576125027E-2</v>
      </c>
    </row>
    <row r="31" spans="1:22" x14ac:dyDescent="0.3">
      <c r="A31" s="223"/>
      <c r="B31" s="11">
        <f t="shared" ref="B31:M31" si="13">IF(B8="","",(B8/$O$23))</f>
        <v>1.1782044041054048E-2</v>
      </c>
      <c r="C31" s="11">
        <f t="shared" si="13"/>
        <v>0.11988829189012955</v>
      </c>
      <c r="D31" s="11">
        <f t="shared" si="13"/>
        <v>6.3586432997363732E-2</v>
      </c>
      <c r="E31" s="11">
        <f t="shared" si="13"/>
        <v>0.80297391556355457</v>
      </c>
      <c r="F31" s="11">
        <f t="shared" si="13"/>
        <v>4.1218477120749819</v>
      </c>
      <c r="G31" s="11">
        <f t="shared" si="13"/>
        <v>2.0990865260325675</v>
      </c>
      <c r="H31" s="11">
        <f t="shared" si="13"/>
        <v>5.1069905663950257</v>
      </c>
      <c r="I31" s="11">
        <f t="shared" si="13"/>
        <v>7.9578031836152665E-3</v>
      </c>
      <c r="J31" s="11">
        <f t="shared" si="13"/>
        <v>7.3252461316291706E-2</v>
      </c>
      <c r="K31" s="11">
        <f t="shared" si="13"/>
        <v>4.5220872159750505E-3</v>
      </c>
      <c r="L31" s="11">
        <f t="shared" si="13"/>
        <v>2.1806628387757557E-2</v>
      </c>
      <c r="M31" s="11">
        <f t="shared" si="13"/>
        <v>1.80787160153928E-2</v>
      </c>
      <c r="N31" s="6"/>
      <c r="O31" s="11">
        <f t="shared" si="9"/>
        <v>0.37657373575038244</v>
      </c>
      <c r="P31" s="11">
        <f t="shared" si="9"/>
        <v>7.4541796682677504</v>
      </c>
      <c r="Q31" s="11">
        <f t="shared" si="9"/>
        <v>1.2246561402411012E-2</v>
      </c>
      <c r="R31" s="11">
        <f t="shared" si="9"/>
        <v>2.1724802691269676</v>
      </c>
      <c r="S31" s="11">
        <f t="shared" si="9"/>
        <v>2.5958835627378369</v>
      </c>
      <c r="T31" s="11">
        <f t="shared" si="10"/>
        <v>0.24203495159699456</v>
      </c>
      <c r="U31" s="11">
        <f t="shared" si="10"/>
        <v>0.10221522582854847</v>
      </c>
      <c r="V31" s="11">
        <f t="shared" si="10"/>
        <v>2.0280357057584675E-2</v>
      </c>
    </row>
    <row r="32" spans="1:22" x14ac:dyDescent="0.3">
      <c r="A32" s="223"/>
      <c r="B32" s="11">
        <f t="shared" ref="B32:M32" si="14">IF(B9="","",(B9/$O$23))</f>
        <v>3.9072974179026082E-2</v>
      </c>
      <c r="C32" s="11">
        <f t="shared" si="14"/>
        <v>2.8767966909107077E-2</v>
      </c>
      <c r="D32" s="11">
        <f t="shared" si="14"/>
        <v>2.9230343637462398E-2</v>
      </c>
      <c r="E32" s="11">
        <f t="shared" si="14"/>
        <v>3.9515956772386494</v>
      </c>
      <c r="F32" s="11">
        <f t="shared" si="14"/>
        <v>3.1030434038040697</v>
      </c>
      <c r="G32" s="11">
        <f t="shared" si="14"/>
        <v>3.7877516272927418</v>
      </c>
      <c r="H32" s="11">
        <f t="shared" si="14"/>
        <v>5.4278864377726226</v>
      </c>
      <c r="I32" s="11">
        <f t="shared" si="14"/>
        <v>2.9497922762668021E-3</v>
      </c>
      <c r="J32" s="11">
        <f t="shared" si="14"/>
        <v>5.3311394589467757E-2</v>
      </c>
      <c r="K32" s="11">
        <f t="shared" si="14"/>
        <v>3.2627528211073002E-2</v>
      </c>
      <c r="L32" s="11">
        <f t="shared" si="14"/>
        <v>2.3370360795459226E-2</v>
      </c>
      <c r="M32" s="11">
        <f t="shared" si="14"/>
        <v>1.6738679756363034E-2</v>
      </c>
      <c r="N32" s="6"/>
      <c r="O32" s="11">
        <f t="shared" si="9"/>
        <v>7.7929744424886016E-3</v>
      </c>
      <c r="P32" s="11">
        <f t="shared" si="9"/>
        <v>8.9541725877124385</v>
      </c>
      <c r="Q32" s="11">
        <f t="shared" si="9"/>
        <v>9.8818041254937872E-2</v>
      </c>
      <c r="R32" s="11">
        <f t="shared" si="9"/>
        <v>2.1105378422748671</v>
      </c>
      <c r="S32" s="11">
        <f t="shared" si="9"/>
        <v>0.50532959984982639</v>
      </c>
      <c r="T32" s="11">
        <f t="shared" si="10"/>
        <v>7.2327707859581064E-2</v>
      </c>
      <c r="U32" s="11">
        <f t="shared" si="10"/>
        <v>0.3516086033686977</v>
      </c>
      <c r="V32" s="11">
        <f t="shared" si="10"/>
        <v>1.0322132333932163E-2</v>
      </c>
    </row>
    <row r="33" spans="1:22" x14ac:dyDescent="0.3">
      <c r="A33" s="223"/>
      <c r="B33" s="11">
        <f t="shared" ref="B33:M33" si="15">IF(B10="","",(B10/$O$23))</f>
        <v>1.896279744507218E-2</v>
      </c>
      <c r="C33" s="11">
        <f t="shared" si="15"/>
        <v>5.1680232242214276E-2</v>
      </c>
      <c r="D33" s="11">
        <f t="shared" si="15"/>
        <v>0.17228456587139407</v>
      </c>
      <c r="E33" s="11">
        <f t="shared" si="15"/>
        <v>2.3135383510868652</v>
      </c>
      <c r="F33" s="11">
        <f t="shared" si="15"/>
        <v>2.641137614709113</v>
      </c>
      <c r="G33" s="11">
        <f t="shared" si="15"/>
        <v>4.4752309002020434</v>
      </c>
      <c r="H33" s="11">
        <f t="shared" si="15"/>
        <v>4.4859426277422747</v>
      </c>
      <c r="I33" s="11">
        <f t="shared" si="15"/>
        <v>1.155941820888297E-3</v>
      </c>
      <c r="J33" s="11">
        <f t="shared" si="15"/>
        <v>8.4565706729985493E-3</v>
      </c>
      <c r="K33" s="11">
        <f t="shared" si="15"/>
        <v>3.7362608410711727E-2</v>
      </c>
      <c r="L33" s="11">
        <f t="shared" si="15"/>
        <v>0.33146203587371587</v>
      </c>
      <c r="M33" s="11">
        <f t="shared" si="15"/>
        <v>3.171347791937059E-3</v>
      </c>
      <c r="N33" s="6"/>
      <c r="O33" s="11">
        <f t="shared" si="9"/>
        <v>0.22908840320304563</v>
      </c>
      <c r="P33" s="11">
        <f t="shared" si="9"/>
        <v>7.0085127211232727</v>
      </c>
      <c r="Q33" s="11">
        <f t="shared" si="9"/>
        <v>3.5078552997956522E-2</v>
      </c>
      <c r="R33" s="11">
        <f t="shared" si="9"/>
        <v>1.3012908016999921E-2</v>
      </c>
      <c r="S33" s="11">
        <f t="shared" si="9"/>
        <v>0.52762750351146148</v>
      </c>
      <c r="T33" s="11">
        <f t="shared" si="10"/>
        <v>0.67288015583808258</v>
      </c>
      <c r="U33" s="11">
        <f t="shared" si="10"/>
        <v>0.10820257633414952</v>
      </c>
      <c r="V33" s="11">
        <f t="shared" si="10"/>
        <v>4.3390630943344029E-3</v>
      </c>
    </row>
    <row r="34" spans="1:22" x14ac:dyDescent="0.3">
      <c r="A34" s="223"/>
      <c r="B34" s="11">
        <f t="shared" ref="B34:M34" si="16">IF(B11="","",(B11/$O$23))</f>
        <v>4.4728526569372158E-3</v>
      </c>
      <c r="C34" s="11">
        <f t="shared" si="16"/>
        <v>0</v>
      </c>
      <c r="D34" s="11">
        <f t="shared" si="16"/>
        <v>6.6569405085156033E-2</v>
      </c>
      <c r="E34" s="11">
        <f t="shared" si="16"/>
        <v>0.17336023395472069</v>
      </c>
      <c r="F34" s="11">
        <f t="shared" si="16"/>
        <v>3.8929947785021168</v>
      </c>
      <c r="G34" s="11">
        <f t="shared" si="16"/>
        <v>3.2301766680882666</v>
      </c>
      <c r="H34" s="11">
        <f t="shared" si="16"/>
        <v>5.8200611068389936</v>
      </c>
      <c r="I34" s="11">
        <f t="shared" si="16"/>
        <v>3.0439801283391819E-2</v>
      </c>
      <c r="J34" s="11">
        <f t="shared" si="16"/>
        <v>8.4555003564977272E-5</v>
      </c>
      <c r="K34" s="11">
        <f t="shared" si="16"/>
        <v>6.9998699153791307E-4</v>
      </c>
      <c r="L34" s="11">
        <f t="shared" si="16"/>
        <v>2.7496430906129949E-3</v>
      </c>
      <c r="M34" s="11">
        <f t="shared" si="16"/>
        <v>2.3731057456236406E-2</v>
      </c>
      <c r="N34" s="6"/>
      <c r="O34" s="11">
        <f t="shared" si="9"/>
        <v>0.62329239235497624</v>
      </c>
      <c r="P34" s="11">
        <f t="shared" si="9"/>
        <v>8.6689514356237556</v>
      </c>
      <c r="Q34" s="11">
        <f t="shared" si="9"/>
        <v>1.8875031492004736E-2</v>
      </c>
      <c r="R34" s="11">
        <f t="shared" si="9"/>
        <v>0.28601211598278931</v>
      </c>
      <c r="S34" s="11">
        <f t="shared" si="9"/>
        <v>2.1382686724946773</v>
      </c>
      <c r="T34" s="11">
        <f t="shared" si="10"/>
        <v>0.7171270399820846</v>
      </c>
      <c r="U34" s="11">
        <f t="shared" si="10"/>
        <v>2.3878761133349913E-3</v>
      </c>
      <c r="V34" s="11">
        <f t="shared" si="10"/>
        <v>5.4893322377683407E-2</v>
      </c>
    </row>
    <row r="35" spans="1:22" x14ac:dyDescent="0.3">
      <c r="A35" s="223"/>
      <c r="B35" s="11" t="str">
        <f t="shared" ref="B35:M35" si="17">IF(B12="","",(B12/$O$23))</f>
        <v/>
      </c>
      <c r="C35" s="11">
        <f t="shared" si="17"/>
        <v>7.5136218357739297E-4</v>
      </c>
      <c r="D35" s="11">
        <f t="shared" si="17"/>
        <v>6.4754148299761075E-3</v>
      </c>
      <c r="E35" s="11">
        <f t="shared" si="17"/>
        <v>1.3418579377141662</v>
      </c>
      <c r="F35" s="11">
        <f t="shared" si="17"/>
        <v>0.77619138576347324</v>
      </c>
      <c r="G35" s="11">
        <f t="shared" si="17"/>
        <v>5.2901367041167671</v>
      </c>
      <c r="H35" s="11">
        <f t="shared" si="17"/>
        <v>8.7690827552252024</v>
      </c>
      <c r="I35" s="11">
        <f t="shared" si="17"/>
        <v>1.5498182931909757E-3</v>
      </c>
      <c r="J35" s="11" t="str">
        <f t="shared" si="17"/>
        <v/>
      </c>
      <c r="K35" s="11">
        <f t="shared" si="17"/>
        <v>6.9599471098984525E-2</v>
      </c>
      <c r="L35" s="11">
        <f t="shared" si="17"/>
        <v>2.656097428441109E-2</v>
      </c>
      <c r="M35" s="11">
        <f t="shared" si="17"/>
        <v>2.3863776702338396E-2</v>
      </c>
      <c r="N35" s="6"/>
      <c r="O35" s="11">
        <f t="shared" si="9"/>
        <v>1.5373651607039061</v>
      </c>
      <c r="P35" s="11" t="str">
        <f t="shared" si="9"/>
        <v/>
      </c>
      <c r="Q35" s="11" t="str">
        <f t="shared" si="9"/>
        <v/>
      </c>
      <c r="R35" s="11" t="str">
        <f t="shared" si="9"/>
        <v/>
      </c>
      <c r="S35" s="11">
        <f t="shared" si="9"/>
        <v>3.4032864479817948</v>
      </c>
      <c r="T35" s="11">
        <f t="shared" si="10"/>
        <v>1.9661714120109273E-2</v>
      </c>
      <c r="U35" s="11">
        <f t="shared" si="10"/>
        <v>6.6894781301406073E-4</v>
      </c>
      <c r="V35" s="11">
        <f t="shared" si="10"/>
        <v>2.499296061070613E-2</v>
      </c>
    </row>
    <row r="36" spans="1:22" x14ac:dyDescent="0.3">
      <c r="A36" s="223"/>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0.27330317785202302</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
      <c r="A37" s="223"/>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0.1991323849780256</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
      <c r="A38" s="223"/>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0.71334775241768034</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
      <c r="A39" s="223"/>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1.5597872210796366</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
      <c r="A40" s="223"/>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2.7188008503252941</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
      <c r="A41" s="223"/>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t="str">
        <f t="shared" si="21"/>
        <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
      <c r="A42" s="223"/>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t="str">
        <f t="shared" si="21"/>
        <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
      <c r="A43" s="223"/>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t="str">
        <f t="shared" si="21"/>
        <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Fadrozole-0.016µg/L</v>
      </c>
      <c r="J45" s="7" t="str">
        <f t="shared" si="27"/>
        <v>Fadrozole-0.08µg/L</v>
      </c>
      <c r="K45" s="7" t="str">
        <f t="shared" ref="K45:M45" si="28">K4</f>
        <v>Fadrozole-0.4µg/L</v>
      </c>
      <c r="L45" s="7" t="str">
        <f t="shared" si="28"/>
        <v>Fadrozole-2µg/L</v>
      </c>
      <c r="M45" s="7" t="str">
        <f t="shared" si="28"/>
        <v>Fadrozole-10 µg/L</v>
      </c>
      <c r="N45" s="7"/>
      <c r="O45" s="7" t="str">
        <f t="shared" si="27"/>
        <v>Testo -30µg/L</v>
      </c>
      <c r="P45" s="7" t="str">
        <f t="shared" si="27"/>
        <v>Testo 30µg/L + EE2 -64ng/L</v>
      </c>
      <c r="Q45" s="7" t="str">
        <f t="shared" si="27"/>
        <v>Testo 30µg/L + FAD-10µg/L</v>
      </c>
      <c r="R45" s="7" t="str">
        <f t="shared" si="27"/>
        <v>Fadrozole-0.016µg/L + Testostérone</v>
      </c>
      <c r="S45" s="7" t="str">
        <f t="shared" ref="S45:V45" si="29">S4</f>
        <v>Fadrozole-0.08µg/L + Testostérone</v>
      </c>
      <c r="T45" s="7" t="str">
        <f t="shared" si="29"/>
        <v>Fadrozole-0.4µg/L + Testostérone</v>
      </c>
      <c r="U45" s="7" t="str">
        <f t="shared" si="29"/>
        <v>Fadrozole-2µg/L + Testostérone</v>
      </c>
      <c r="V45" s="7" t="str">
        <f t="shared" si="29"/>
        <v>Fadrozole-10 µg/L + Testostérone</v>
      </c>
    </row>
    <row r="46" spans="1:22" x14ac:dyDescent="0.3">
      <c r="A46" s="8" t="s">
        <v>0</v>
      </c>
      <c r="B46" s="10">
        <f t="shared" ref="B46:H46" si="30">AVERAGE(B28:B43)</f>
        <v>1.5003543806172503E-2</v>
      </c>
      <c r="C46" s="10">
        <f t="shared" si="30"/>
        <v>5.3290790996826931E-2</v>
      </c>
      <c r="D46" s="10">
        <f t="shared" si="30"/>
        <v>0.40188471415139548</v>
      </c>
      <c r="E46" s="10">
        <f t="shared" si="30"/>
        <v>1.3486353155869371</v>
      </c>
      <c r="F46" s="10">
        <f t="shared" si="30"/>
        <v>2.6183382677668421</v>
      </c>
      <c r="G46" s="10">
        <f t="shared" si="30"/>
        <v>4.0961413855164777</v>
      </c>
      <c r="H46" s="10">
        <f t="shared" si="30"/>
        <v>6.3866038466351718</v>
      </c>
      <c r="I46" s="10">
        <f>AVERAGE(I28:I43)</f>
        <v>1.2524843692624861E-2</v>
      </c>
      <c r="J46" s="9">
        <f>AVERAGE(J28:J43)</f>
        <v>2.2280166988192879E-2</v>
      </c>
      <c r="K46" s="9">
        <f t="shared" ref="K46:M46" si="31">AVERAGE(K28:K43)</f>
        <v>2.2715193307393255E-2</v>
      </c>
      <c r="L46" s="9">
        <f t="shared" si="31"/>
        <v>5.716613946717998E-2</v>
      </c>
      <c r="M46" s="9">
        <f t="shared" si="31"/>
        <v>1.3747680294814565E-2</v>
      </c>
      <c r="N46" s="8" t="s">
        <v>0</v>
      </c>
      <c r="O46" s="10">
        <f t="shared" ref="O46:R46" si="32">AVERAGE(O28:O43)</f>
        <v>1.0000000000000002</v>
      </c>
      <c r="P46" s="10">
        <f t="shared" si="32"/>
        <v>9.9330878819236261</v>
      </c>
      <c r="Q46" s="10">
        <f t="shared" si="32"/>
        <v>3.7451138875565483E-2</v>
      </c>
      <c r="R46" s="10">
        <f t="shared" si="32"/>
        <v>0.79204537248072782</v>
      </c>
      <c r="S46" s="10">
        <f t="shared" ref="S46:V46" si="33">AVERAGE(S28:S43)</f>
        <v>1.3928891567881945</v>
      </c>
      <c r="T46" s="10">
        <f t="shared" si="33"/>
        <v>0.32124546350467731</v>
      </c>
      <c r="U46" s="10">
        <f t="shared" si="33"/>
        <v>0.41459606049428865</v>
      </c>
      <c r="V46" s="10">
        <f t="shared" si="33"/>
        <v>4.9787377510509684E-2</v>
      </c>
    </row>
    <row r="47" spans="1:22" x14ac:dyDescent="0.3">
      <c r="A47" s="8" t="s">
        <v>1</v>
      </c>
      <c r="B47" s="8">
        <f t="shared" ref="B47:J47" si="34">STDEV(B28:B43)</f>
        <v>1.2564114952662773E-2</v>
      </c>
      <c r="C47" s="8">
        <f t="shared" si="34"/>
        <v>5.2707343799050496E-2</v>
      </c>
      <c r="D47" s="8">
        <f t="shared" si="34"/>
        <v>0.94134556678236891</v>
      </c>
      <c r="E47" s="8">
        <f t="shared" si="34"/>
        <v>1.2772725866432368</v>
      </c>
      <c r="F47" s="8">
        <f t="shared" si="34"/>
        <v>1.9882343678943815</v>
      </c>
      <c r="G47" s="8">
        <f t="shared" si="34"/>
        <v>1.36161683583813</v>
      </c>
      <c r="H47" s="8">
        <f t="shared" si="34"/>
        <v>2.0783843144259304</v>
      </c>
      <c r="I47" s="8">
        <f t="shared" si="34"/>
        <v>1.1150095286656983E-2</v>
      </c>
      <c r="J47" s="8">
        <f t="shared" si="34"/>
        <v>2.8933119569469992E-2</v>
      </c>
      <c r="K47" s="8">
        <f t="shared" ref="K47:M47" si="35">STDEV(K28:K43)</f>
        <v>2.4697490544483336E-2</v>
      </c>
      <c r="L47" s="8">
        <f t="shared" si="35"/>
        <v>0.11145829049471009</v>
      </c>
      <c r="M47" s="8">
        <f t="shared" si="35"/>
        <v>8.7011995928657562E-3</v>
      </c>
      <c r="N47" s="8" t="s">
        <v>1</v>
      </c>
      <c r="O47" s="8">
        <f t="shared" ref="O47:R47" si="36">STDEV(O28:O43)</f>
        <v>0.86997993572351839</v>
      </c>
      <c r="P47" s="8">
        <f t="shared" si="36"/>
        <v>2.5822686059273665</v>
      </c>
      <c r="Q47" s="8">
        <f t="shared" si="36"/>
        <v>2.9302194014159018E-2</v>
      </c>
      <c r="R47" s="8">
        <f t="shared" si="36"/>
        <v>0.94707810263063741</v>
      </c>
      <c r="S47" s="8">
        <f t="shared" ref="S47:V47" si="37">STDEV(S28:S43)</f>
        <v>1.2578893262778401</v>
      </c>
      <c r="T47" s="8">
        <f t="shared" si="37"/>
        <v>0.35256749295304185</v>
      </c>
      <c r="U47" s="8">
        <f t="shared" si="37"/>
        <v>0.60241499829928913</v>
      </c>
      <c r="V47" s="8">
        <f t="shared" si="37"/>
        <v>6.3382371794864223E-2</v>
      </c>
    </row>
    <row r="48" spans="1:22" x14ac:dyDescent="0.3">
      <c r="A48" s="8" t="s">
        <v>2</v>
      </c>
      <c r="B48" s="8">
        <f t="shared" ref="B48:J48" si="38" xml:space="preserve"> B47/SQRT(COUNT(B28:B43))</f>
        <v>4.7487890869105367E-3</v>
      </c>
      <c r="C48" s="8">
        <f t="shared" si="38"/>
        <v>1.8634860109319664E-2</v>
      </c>
      <c r="D48" s="8">
        <f t="shared" si="38"/>
        <v>0.33281591685585354</v>
      </c>
      <c r="E48" s="8">
        <f t="shared" si="38"/>
        <v>0.4515840537195574</v>
      </c>
      <c r="F48" s="8">
        <f t="shared" si="38"/>
        <v>0.70294700206313299</v>
      </c>
      <c r="G48" s="8">
        <f t="shared" si="38"/>
        <v>0.48140424899945583</v>
      </c>
      <c r="H48" s="8">
        <f t="shared" si="38"/>
        <v>0.73481982132116441</v>
      </c>
      <c r="I48" s="8">
        <f t="shared" si="38"/>
        <v>3.9421539940356571E-3</v>
      </c>
      <c r="J48" s="8">
        <f t="shared" si="38"/>
        <v>1.0935691290587685E-2</v>
      </c>
      <c r="K48" s="8">
        <f t="shared" ref="K48:M48" si="39" xml:space="preserve"> K47/SQRT(COUNT(K28:K43))</f>
        <v>8.7318815211474016E-3</v>
      </c>
      <c r="L48" s="8">
        <f t="shared" si="39"/>
        <v>3.9406456514134811E-2</v>
      </c>
      <c r="M48" s="8">
        <f t="shared" si="39"/>
        <v>3.0763386182865011E-3</v>
      </c>
      <c r="N48" s="8" t="s">
        <v>2</v>
      </c>
      <c r="O48" s="8">
        <f t="shared" ref="O48:R48" si="40" xml:space="preserve"> O47/SQRT(COUNT(O28:O43))</f>
        <v>0.24128902052892395</v>
      </c>
      <c r="P48" s="8">
        <f t="shared" si="40"/>
        <v>0.97600579280760891</v>
      </c>
      <c r="Q48" s="8">
        <f t="shared" si="40"/>
        <v>1.1075188318575745E-2</v>
      </c>
      <c r="R48" s="8">
        <f t="shared" si="40"/>
        <v>0.35796187595936768</v>
      </c>
      <c r="S48" s="8">
        <f t="shared" ref="S48:V48" si="41" xml:space="preserve"> S47/SQRT(COUNT(S28:S43))</f>
        <v>0.44473103629661914</v>
      </c>
      <c r="T48" s="8">
        <f t="shared" si="41"/>
        <v>0.12465143254651809</v>
      </c>
      <c r="U48" s="8">
        <f t="shared" si="41"/>
        <v>0.2129858651929549</v>
      </c>
      <c r="V48" s="8">
        <f t="shared" si="41"/>
        <v>2.2409052451917728E-2</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4" t="s">
        <v>44</v>
      </c>
      <c r="B50" s="215"/>
      <c r="C50" s="215"/>
      <c r="D50" s="215"/>
      <c r="E50" s="215"/>
      <c r="F50" s="215"/>
      <c r="G50" s="215"/>
      <c r="H50" s="215"/>
      <c r="I50" s="215"/>
      <c r="J50" s="215"/>
      <c r="K50" s="215"/>
      <c r="L50" s="215"/>
      <c r="M50" s="215"/>
      <c r="N50" s="215"/>
      <c r="O50" s="215"/>
      <c r="P50" s="215"/>
      <c r="Q50" s="215"/>
      <c r="R50" s="215"/>
      <c r="S50" s="215"/>
      <c r="T50" s="215"/>
      <c r="U50" s="215"/>
      <c r="V50" s="215"/>
    </row>
    <row r="51" spans="1:22" customFormat="1" ht="15" thickBot="1" x14ac:dyDescent="0.35"/>
    <row r="52" spans="1:22" x14ac:dyDescent="0.3">
      <c r="A52" s="44" t="str">
        <f t="shared" ref="A52:H52" si="42">A27</f>
        <v>Noms des groupes</v>
      </c>
      <c r="B52" s="45" t="str">
        <f t="shared" si="42"/>
        <v>Témoin solvant</v>
      </c>
      <c r="C52" s="45" t="str">
        <f t="shared" si="42"/>
        <v>EE2-33.8ng/L</v>
      </c>
      <c r="D52" s="45" t="str">
        <f t="shared" si="42"/>
        <v>EE2-50.6ng/L</v>
      </c>
      <c r="E52" s="45" t="str">
        <f t="shared" si="42"/>
        <v>EE2-76ng/L</v>
      </c>
      <c r="F52" s="45" t="str">
        <f t="shared" si="42"/>
        <v>EE2-114ng/L</v>
      </c>
      <c r="G52" s="45" t="str">
        <f t="shared" si="42"/>
        <v>EE2-170.9ng/L</v>
      </c>
      <c r="H52" s="45" t="str">
        <f t="shared" si="42"/>
        <v>EE2-488ng/L</v>
      </c>
      <c r="I52" s="45" t="str">
        <f>I4</f>
        <v>Fadrozole-0.016µg/L</v>
      </c>
      <c r="J52" s="45" t="str">
        <f>J4</f>
        <v>Fadrozole-0.08µg/L</v>
      </c>
      <c r="K52" s="45" t="str">
        <f t="shared" ref="K52:M52" si="43">K4</f>
        <v>Fadrozole-0.4µg/L</v>
      </c>
      <c r="L52" s="45" t="str">
        <f t="shared" si="43"/>
        <v>Fadrozole-2µg/L</v>
      </c>
      <c r="M52" s="45" t="str">
        <f t="shared" si="43"/>
        <v>Fadrozole-10 µg/L</v>
      </c>
      <c r="N52" s="46"/>
      <c r="O52" s="45" t="str">
        <f>O27</f>
        <v>Testo -30µg/L</v>
      </c>
      <c r="P52" s="45" t="str">
        <f>P27</f>
        <v>Testo 30µg/L + EE2 -64ng/L</v>
      </c>
      <c r="Q52" s="45" t="str">
        <f>Q27</f>
        <v>Testo 30µg/L + FAD-10µg/L</v>
      </c>
      <c r="R52" s="45" t="str">
        <f>R27</f>
        <v>Fadrozole-0.016µg/L + Testostérone</v>
      </c>
      <c r="S52" s="45" t="str">
        <f t="shared" ref="S52:V52" si="44">S27</f>
        <v>Fadrozole-0.08µg/L + Testostérone</v>
      </c>
      <c r="T52" s="45" t="str">
        <f t="shared" si="44"/>
        <v>Fadrozole-0.4µg/L + Testostérone</v>
      </c>
      <c r="U52" s="45" t="str">
        <f t="shared" si="44"/>
        <v>Fadrozole-2µg/L + Testostérone</v>
      </c>
      <c r="V52" s="45" t="str">
        <f t="shared" si="44"/>
        <v>Fadrozole-10 µg/L + Testostérone</v>
      </c>
    </row>
    <row r="53" spans="1:22" s="3" customFormat="1" x14ac:dyDescent="0.3">
      <c r="A53" s="60" t="s">
        <v>32</v>
      </c>
      <c r="B53" s="140">
        <f t="shared" ref="B53" si="45">B46</f>
        <v>1.5003543806172503E-2</v>
      </c>
      <c r="C53" s="140">
        <f t="shared" ref="C53:V53" si="46">C46</f>
        <v>5.3290790996826931E-2</v>
      </c>
      <c r="D53" s="140">
        <f t="shared" si="46"/>
        <v>0.40188471415139548</v>
      </c>
      <c r="E53" s="140">
        <f t="shared" si="46"/>
        <v>1.3486353155869371</v>
      </c>
      <c r="F53" s="140">
        <f t="shared" si="46"/>
        <v>2.6183382677668421</v>
      </c>
      <c r="G53" s="140">
        <f t="shared" si="46"/>
        <v>4.0961413855164777</v>
      </c>
      <c r="H53" s="140">
        <f t="shared" si="46"/>
        <v>6.3866038466351718</v>
      </c>
      <c r="I53" s="140">
        <f t="shared" si="46"/>
        <v>1.2524843692624861E-2</v>
      </c>
      <c r="J53" s="140">
        <f t="shared" si="46"/>
        <v>2.2280166988192879E-2</v>
      </c>
      <c r="K53" s="140">
        <f t="shared" si="46"/>
        <v>2.2715193307393255E-2</v>
      </c>
      <c r="L53" s="140">
        <f t="shared" si="46"/>
        <v>5.716613946717998E-2</v>
      </c>
      <c r="M53" s="140">
        <f t="shared" si="46"/>
        <v>1.3747680294814565E-2</v>
      </c>
      <c r="N53" s="140"/>
      <c r="O53" s="140">
        <f t="shared" si="46"/>
        <v>1.0000000000000002</v>
      </c>
      <c r="P53" s="140">
        <f t="shared" si="46"/>
        <v>9.9330878819236261</v>
      </c>
      <c r="Q53" s="140">
        <f t="shared" si="46"/>
        <v>3.7451138875565483E-2</v>
      </c>
      <c r="R53" s="140">
        <f t="shared" si="46"/>
        <v>0.79204537248072782</v>
      </c>
      <c r="S53" s="140">
        <f t="shared" si="46"/>
        <v>1.3928891567881945</v>
      </c>
      <c r="T53" s="140">
        <f t="shared" si="46"/>
        <v>0.32124546350467731</v>
      </c>
      <c r="U53" s="140">
        <f t="shared" si="46"/>
        <v>0.41459606049428865</v>
      </c>
      <c r="V53" s="140">
        <f t="shared" si="46"/>
        <v>4.9787377510509684E-2</v>
      </c>
    </row>
    <row r="54" spans="1:22" s="3" customFormat="1" x14ac:dyDescent="0.3">
      <c r="A54" s="60" t="s">
        <v>2</v>
      </c>
      <c r="B54" s="140">
        <f t="shared" ref="B54" si="47">B48</f>
        <v>4.7487890869105367E-3</v>
      </c>
      <c r="C54" s="140">
        <f t="shared" ref="C54:V54" si="48">C48</f>
        <v>1.8634860109319664E-2</v>
      </c>
      <c r="D54" s="140">
        <f t="shared" si="48"/>
        <v>0.33281591685585354</v>
      </c>
      <c r="E54" s="140">
        <f t="shared" si="48"/>
        <v>0.4515840537195574</v>
      </c>
      <c r="F54" s="140">
        <f t="shared" si="48"/>
        <v>0.70294700206313299</v>
      </c>
      <c r="G54" s="140">
        <f t="shared" si="48"/>
        <v>0.48140424899945583</v>
      </c>
      <c r="H54" s="140">
        <f t="shared" si="48"/>
        <v>0.73481982132116441</v>
      </c>
      <c r="I54" s="140">
        <f t="shared" si="48"/>
        <v>3.9421539940356571E-3</v>
      </c>
      <c r="J54" s="140">
        <f t="shared" si="48"/>
        <v>1.0935691290587685E-2</v>
      </c>
      <c r="K54" s="140">
        <f t="shared" si="48"/>
        <v>8.7318815211474016E-3</v>
      </c>
      <c r="L54" s="140">
        <f t="shared" si="48"/>
        <v>3.9406456514134811E-2</v>
      </c>
      <c r="M54" s="140">
        <f t="shared" si="48"/>
        <v>3.0763386182865011E-3</v>
      </c>
      <c r="N54" s="140"/>
      <c r="O54" s="140">
        <f t="shared" si="48"/>
        <v>0.24128902052892395</v>
      </c>
      <c r="P54" s="140">
        <f t="shared" si="48"/>
        <v>0.97600579280760891</v>
      </c>
      <c r="Q54" s="140">
        <f t="shared" si="48"/>
        <v>1.1075188318575745E-2</v>
      </c>
      <c r="R54" s="140">
        <f t="shared" si="48"/>
        <v>0.35796187595936768</v>
      </c>
      <c r="S54" s="140">
        <f t="shared" si="48"/>
        <v>0.44473103629661914</v>
      </c>
      <c r="T54" s="140">
        <f t="shared" si="48"/>
        <v>0.12465143254651809</v>
      </c>
      <c r="U54" s="140">
        <f t="shared" si="48"/>
        <v>0.2129858651929549</v>
      </c>
      <c r="V54" s="140">
        <f t="shared" si="48"/>
        <v>2.2409052451917728E-2</v>
      </c>
    </row>
    <row r="55" spans="1:22" s="3" customFormat="1" x14ac:dyDescent="0.3">
      <c r="A55" s="60" t="s">
        <v>79</v>
      </c>
      <c r="B55" s="140">
        <f>(B53*100/$B53)-100</f>
        <v>0</v>
      </c>
      <c r="C55" s="140">
        <f t="shared" ref="C55:M55" si="49">(C53*100/$B53)-100</f>
        <v>255.18802547770707</v>
      </c>
      <c r="D55" s="140">
        <f t="shared" si="49"/>
        <v>2578.5985987261147</v>
      </c>
      <c r="E55" s="140">
        <f t="shared" si="49"/>
        <v>8888.7784713375804</v>
      </c>
      <c r="F55" s="140">
        <f t="shared" si="49"/>
        <v>17351.465477707003</v>
      </c>
      <c r="G55" s="140">
        <f t="shared" si="49"/>
        <v>27201.159235668794</v>
      </c>
      <c r="H55" s="140">
        <f t="shared" si="49"/>
        <v>42467.302292993634</v>
      </c>
      <c r="I55" s="140">
        <f t="shared" si="49"/>
        <v>-16.520764331210188</v>
      </c>
      <c r="J55" s="140">
        <f t="shared" si="49"/>
        <v>48.499363057324842</v>
      </c>
      <c r="K55" s="140">
        <f t="shared" si="49"/>
        <v>51.398853503184711</v>
      </c>
      <c r="L55" s="140">
        <f t="shared" si="49"/>
        <v>281.01757961783443</v>
      </c>
      <c r="M55" s="140">
        <f t="shared" si="49"/>
        <v>-8.3704458598725893</v>
      </c>
      <c r="N55" s="140"/>
      <c r="O55" s="140">
        <f t="shared" ref="O55:V55" si="50">(O53*100/$O53)-100</f>
        <v>0</v>
      </c>
      <c r="P55" s="140">
        <f t="shared" si="50"/>
        <v>893.30878819236239</v>
      </c>
      <c r="Q55" s="140">
        <f t="shared" si="50"/>
        <v>-96.254886112443458</v>
      </c>
      <c r="R55" s="140">
        <f t="shared" si="50"/>
        <v>-20.795462751927232</v>
      </c>
      <c r="S55" s="140">
        <f t="shared" si="50"/>
        <v>39.288915678819421</v>
      </c>
      <c r="T55" s="140">
        <f t="shared" si="50"/>
        <v>-67.875453649532275</v>
      </c>
      <c r="U55" s="140">
        <f t="shared" si="50"/>
        <v>-58.540393950571143</v>
      </c>
      <c r="V55" s="140">
        <f t="shared" si="50"/>
        <v>-95.021262248949029</v>
      </c>
    </row>
    <row r="56" spans="1:22" s="3" customFormat="1" x14ac:dyDescent="0.3">
      <c r="A56" s="60" t="s">
        <v>81</v>
      </c>
      <c r="B56" s="140" t="e">
        <f ca="1">[1]!SWTEST(B28:B43)</f>
        <v>#NAME?</v>
      </c>
      <c r="C56" s="140" t="e">
        <f ca="1">[1]!SWTEST(C28:C43)</f>
        <v>#NAME?</v>
      </c>
      <c r="D56" s="140" t="e">
        <f ca="1">[1]!SWTEST(D28:D43)</f>
        <v>#NAME?</v>
      </c>
      <c r="E56" s="140" t="e">
        <f ca="1">[1]!SWTEST(E28:E43)</f>
        <v>#NAME?</v>
      </c>
      <c r="F56" s="140" t="e">
        <f ca="1">[1]!SWTEST(F28:F43)</f>
        <v>#NAME?</v>
      </c>
      <c r="G56" s="140" t="e">
        <f ca="1">[1]!SWTEST(G28:G43)</f>
        <v>#NAME?</v>
      </c>
      <c r="H56" s="140" t="e">
        <f ca="1">[1]!SWTEST(H28:H43)</f>
        <v>#NAME?</v>
      </c>
      <c r="I56" s="140" t="e">
        <f ca="1">[1]!SWTEST(I28:I43)</f>
        <v>#NAME?</v>
      </c>
      <c r="J56" s="140" t="e">
        <f ca="1">[1]!SWTEST(J28:J43)</f>
        <v>#NAME?</v>
      </c>
      <c r="K56" s="140" t="e">
        <f ca="1">[1]!SWTEST(K28:K43)</f>
        <v>#NAME?</v>
      </c>
      <c r="L56" s="140" t="e">
        <f ca="1">[1]!SWTEST(L28:L43)</f>
        <v>#NAME?</v>
      </c>
      <c r="M56" s="140" t="e">
        <f ca="1">[1]!SWTEST(M28:M43)</f>
        <v>#NAME?</v>
      </c>
      <c r="N56" s="140"/>
      <c r="O56" s="140" t="e">
        <f ca="1">[1]!SWTEST(O28:O43)</f>
        <v>#NAME?</v>
      </c>
      <c r="P56" s="140" t="e">
        <f ca="1">[1]!SWTEST(P28:P43)</f>
        <v>#NAME?</v>
      </c>
      <c r="Q56" s="140" t="e">
        <f ca="1">[1]!SWTEST(Q28:Q43)</f>
        <v>#NAME?</v>
      </c>
      <c r="R56" s="140" t="e">
        <f ca="1">[1]!SWTEST(R28:R43)</f>
        <v>#NAME?</v>
      </c>
      <c r="S56" s="140" t="e">
        <f ca="1">[1]!SWTEST(S28:S43)</f>
        <v>#NAME?</v>
      </c>
      <c r="T56" s="140" t="e">
        <f ca="1">[1]!SWTEST(T28:T43)</f>
        <v>#NAME?</v>
      </c>
      <c r="U56" s="140" t="e">
        <f ca="1">[1]!SWTEST(U28:U43)</f>
        <v>#NAME?</v>
      </c>
      <c r="V56" s="140" t="e">
        <f ca="1">[1]!SWTEST(V28:V43)</f>
        <v>#NAME?</v>
      </c>
    </row>
    <row r="57" spans="1:22" s="3" customFormat="1" x14ac:dyDescent="0.3">
      <c r="A57" s="60" t="s">
        <v>85</v>
      </c>
      <c r="B57" s="140" t="e">
        <f ca="1">IF(B56&gt;0.05,"Oui","Non")</f>
        <v>#NAME?</v>
      </c>
      <c r="C57" s="140" t="e">
        <f t="shared" ref="C57:V57" ca="1" si="51">IF(C56&gt;0.05,"Oui","Non")</f>
        <v>#NAME?</v>
      </c>
      <c r="D57" s="140" t="e">
        <f t="shared" ca="1" si="51"/>
        <v>#NAME?</v>
      </c>
      <c r="E57" s="140" t="e">
        <f t="shared" ca="1" si="51"/>
        <v>#NAME?</v>
      </c>
      <c r="F57" s="140" t="e">
        <f t="shared" ca="1" si="51"/>
        <v>#NAME?</v>
      </c>
      <c r="G57" s="140" t="e">
        <f t="shared" ca="1" si="51"/>
        <v>#NAME?</v>
      </c>
      <c r="H57" s="140" t="e">
        <f t="shared" ca="1" si="51"/>
        <v>#NAME?</v>
      </c>
      <c r="I57" s="140" t="e">
        <f t="shared" ca="1" si="51"/>
        <v>#NAME?</v>
      </c>
      <c r="J57" s="140" t="e">
        <f t="shared" ca="1" si="51"/>
        <v>#NAME?</v>
      </c>
      <c r="K57" s="140" t="e">
        <f t="shared" ca="1" si="51"/>
        <v>#NAME?</v>
      </c>
      <c r="L57" s="140" t="e">
        <f t="shared" ca="1" si="51"/>
        <v>#NAME?</v>
      </c>
      <c r="M57" s="140" t="e">
        <f t="shared" ca="1" si="51"/>
        <v>#NAME?</v>
      </c>
      <c r="N57" s="140"/>
      <c r="O57" s="140" t="e">
        <f t="shared" ca="1" si="51"/>
        <v>#NAME?</v>
      </c>
      <c r="P57" s="140" t="e">
        <f t="shared" ca="1" si="51"/>
        <v>#NAME?</v>
      </c>
      <c r="Q57" s="140" t="e">
        <f t="shared" ca="1" si="51"/>
        <v>#NAME?</v>
      </c>
      <c r="R57" s="140" t="e">
        <f t="shared" ca="1" si="51"/>
        <v>#NAME?</v>
      </c>
      <c r="S57" s="140" t="e">
        <f t="shared" ca="1" si="51"/>
        <v>#NAME?</v>
      </c>
      <c r="T57" s="140" t="e">
        <f t="shared" ca="1" si="51"/>
        <v>#NAME?</v>
      </c>
      <c r="U57" s="140" t="e">
        <f t="shared" ca="1" si="51"/>
        <v>#NAME?</v>
      </c>
      <c r="V57" s="140" t="e">
        <f t="shared" ca="1" si="51"/>
        <v>#NAME?</v>
      </c>
    </row>
    <row r="58" spans="1:22" s="3" customFormat="1" x14ac:dyDescent="0.3">
      <c r="A58" s="60"/>
      <c r="B58" s="140"/>
      <c r="C58" s="140"/>
      <c r="D58" s="140"/>
      <c r="E58" s="140"/>
      <c r="F58" s="140"/>
      <c r="G58" s="140"/>
      <c r="H58" s="140"/>
      <c r="I58" s="140"/>
      <c r="J58" s="140"/>
      <c r="K58" s="140"/>
      <c r="L58" s="140"/>
      <c r="M58" s="140"/>
      <c r="N58" s="147"/>
      <c r="O58" s="148"/>
      <c r="P58" s="140"/>
      <c r="Q58" s="140"/>
      <c r="R58" s="140"/>
      <c r="S58" s="140"/>
      <c r="T58" s="140"/>
      <c r="U58" s="140"/>
      <c r="V58" s="140"/>
    </row>
    <row r="59" spans="1:22" s="3" customFormat="1" x14ac:dyDescent="0.3">
      <c r="A59" s="60" t="s">
        <v>82</v>
      </c>
      <c r="B59" s="149"/>
      <c r="C59" s="149" t="e">
        <f t="shared" ref="C59:O59" ca="1" si="52">IF($B57="Non",IF(C57="Non","MW",IF(C57="Oui","MW","")),IF($B57="Oui",IF(C57="Oui","T-Test Welch",IF(C57="Non","MW",""))))</f>
        <v>#NAME?</v>
      </c>
      <c r="D59" s="149" t="e">
        <f t="shared" ca="1" si="52"/>
        <v>#NAME?</v>
      </c>
      <c r="E59" s="149" t="e">
        <f t="shared" ca="1" si="52"/>
        <v>#NAME?</v>
      </c>
      <c r="F59" s="149" t="e">
        <f t="shared" ca="1" si="52"/>
        <v>#NAME?</v>
      </c>
      <c r="G59" s="149" t="e">
        <f t="shared" ca="1" si="52"/>
        <v>#NAME?</v>
      </c>
      <c r="H59" s="149" t="e">
        <f t="shared" ca="1" si="52"/>
        <v>#NAME?</v>
      </c>
      <c r="I59" s="149" t="e">
        <f t="shared" ca="1" si="52"/>
        <v>#NAME?</v>
      </c>
      <c r="J59" s="149" t="e">
        <f t="shared" ca="1" si="52"/>
        <v>#NAME?</v>
      </c>
      <c r="K59" s="149" t="e">
        <f t="shared" ca="1" si="52"/>
        <v>#NAME?</v>
      </c>
      <c r="L59" s="149" t="e">
        <f t="shared" ca="1" si="52"/>
        <v>#NAME?</v>
      </c>
      <c r="M59" s="149" t="e">
        <f t="shared" ca="1" si="52"/>
        <v>#NAME?</v>
      </c>
      <c r="N59" s="149"/>
      <c r="O59" s="149" t="e">
        <f t="shared" ca="1" si="52"/>
        <v>#NAME?</v>
      </c>
      <c r="P59" s="149" t="e">
        <f t="shared" ref="P59:V59" ca="1" si="53">IF($O57="Non",IF(P57="Non","MW",IF(P57="Oui","MW","")),IF($O57="Oui",IF(P57="Oui","T-Test Welch",IF(P57="Non","MW",""))))</f>
        <v>#NAME?</v>
      </c>
      <c r="Q59" s="149" t="e">
        <f t="shared" ca="1" si="53"/>
        <v>#NAME?</v>
      </c>
      <c r="R59" s="149" t="e">
        <f t="shared" ca="1" si="53"/>
        <v>#NAME?</v>
      </c>
      <c r="S59" s="149" t="e">
        <f t="shared" ca="1" si="53"/>
        <v>#NAME?</v>
      </c>
      <c r="T59" s="149" t="e">
        <f t="shared" ca="1" si="53"/>
        <v>#NAME?</v>
      </c>
      <c r="U59" s="149" t="e">
        <f t="shared" ca="1" si="53"/>
        <v>#NAME?</v>
      </c>
      <c r="V59" s="149" t="e">
        <f t="shared" ca="1" si="53"/>
        <v>#NAME?</v>
      </c>
    </row>
    <row r="60" spans="1:22" s="3" customFormat="1" x14ac:dyDescent="0.3">
      <c r="A60" s="60" t="s">
        <v>83</v>
      </c>
      <c r="B60" s="150"/>
      <c r="C60" s="150" t="e">
        <f ca="1">IF(C59="MW",[1]!MTEST($B28:$B43,C28:C43,2), IF(C59="T-Test Welch",_xlfn.T.TEST($B28:$B43,C28:C43,2,3),""))</f>
        <v>#NAME?</v>
      </c>
      <c r="D60" s="150" t="e">
        <f ca="1">IF(D59="MW",[1]!MTEST($B28:$B43,D28:D43,2), IF(D59="T-Test Welch",_xlfn.T.TEST($B28:$B43,D28:D43,2,3),""))</f>
        <v>#NAME?</v>
      </c>
      <c r="E60" s="150" t="e">
        <f ca="1">IF(E59="MW",[1]!MTEST($B28:$B43,E28:E43,2), IF(E59="T-Test Welch",_xlfn.T.TEST($B28:$B43,E28:E43,2,3),""))</f>
        <v>#NAME?</v>
      </c>
      <c r="F60" s="150" t="e">
        <f ca="1">IF(F59="MW",[1]!MTEST($B28:$B43,F28:F43,2), IF(F59="T-Test Welch",_xlfn.T.TEST($B28:$B43,F28:F43,2,3),""))</f>
        <v>#NAME?</v>
      </c>
      <c r="G60" s="150" t="e">
        <f ca="1">IF(G59="MW",[1]!MTEST($B28:$B43,G28:G43,2), IF(G59="T-Test Welch",_xlfn.T.TEST($B28:$B43,G28:G43,2,3),""))</f>
        <v>#NAME?</v>
      </c>
      <c r="H60" s="150" t="e">
        <f ca="1">IF(H59="MW",[1]!MTEST($B28:$B43,H28:H43,2), IF(H59="T-Test Welch",_xlfn.T.TEST($B28:$B43,H28:H43,2,3),""))</f>
        <v>#NAME?</v>
      </c>
      <c r="I60" s="150" t="e">
        <f ca="1">IF(I59="MW",[1]!MTEST($B28:$B43,I28:I43,2), IF(I59="T-Test Welch",_xlfn.T.TEST($B28:$B43,I28:I43,2,3),""))</f>
        <v>#NAME?</v>
      </c>
      <c r="J60" s="150" t="e">
        <f ca="1">IF(J59="MW",[1]!MTEST($B28:$B43,J28:J43,2), IF(J59="T-Test Welch",_xlfn.T.TEST($B28:$B43,J28:J43,2,3),""))</f>
        <v>#NAME?</v>
      </c>
      <c r="K60" s="150" t="e">
        <f ca="1">IF(K59="MW",[1]!MTEST($B28:$B43,K28:K43,2), IF(K59="T-Test Welch",_xlfn.T.TEST($B28:$B43,K28:K43,2,3),""))</f>
        <v>#NAME?</v>
      </c>
      <c r="L60" s="150" t="e">
        <f ca="1">IF(L59="MW",[1]!MTEST($B28:$B43,L28:L43,2), IF(L59="T-Test Welch",_xlfn.T.TEST($B28:$B43,L28:L43,2,3),""))</f>
        <v>#NAME?</v>
      </c>
      <c r="M60" s="150" t="e">
        <f ca="1">IF(M59="MW",[1]!MTEST($B28:$B43,M28:M43,2), IF(M59="T-Test Welch",_xlfn.T.TEST($B28:$B43,M28:M43,2,3),""))</f>
        <v>#NAME?</v>
      </c>
      <c r="N60" s="150"/>
      <c r="O60" s="150" t="e">
        <f ca="1">IF(O59="MW",[1]!MTEST($B28:$B43,O28:O43,2), IF(O59="T-Test Welch",_xlfn.T.TEST($B28:$B43,O28:O43,2,3),""))</f>
        <v>#NAME?</v>
      </c>
      <c r="P60" s="150" t="e">
        <f ca="1">IF(P59="MW",[1]!MTEST($O28:$O43,P28:P43,2), IF(P59="T-Test Welch",_xlfn.T.TEST($O28:$O43,P28:P43,2,3),""))</f>
        <v>#NAME?</v>
      </c>
      <c r="Q60" s="150" t="e">
        <f ca="1">IF(Q59="MW",[1]!MTEST($O28:$O43,Q28:Q43,2), IF(Q59="T-Test Welch",_xlfn.T.TEST($O28:$O43,Q28:Q43,2,3),""))</f>
        <v>#NAME?</v>
      </c>
      <c r="R60" s="150" t="e">
        <f ca="1">IF(R59="MW",[1]!MTEST($O28:$O43,R28:R43,2), IF(R59="T-Test Welch",_xlfn.T.TEST($O28:$O43,R28:R43,2,3),""))</f>
        <v>#NAME?</v>
      </c>
      <c r="S60" s="150" t="e">
        <f ca="1">IF(S59="MW",[1]!MTEST($O28:$O43,S28:S43,2), IF(S59="T-Test Welch",_xlfn.T.TEST($O28:$O43,S28:S43,2,3),""))</f>
        <v>#NAME?</v>
      </c>
      <c r="T60" s="150" t="e">
        <f ca="1">IF(T59="MW",[1]!MTEST($O28:$O43,T28:T43,2), IF(T59="T-Test Welch",_xlfn.T.TEST($O28:$O43,T28:T43,2,3),""))</f>
        <v>#NAME?</v>
      </c>
      <c r="U60" s="150" t="e">
        <f ca="1">IF(U59="MW",[1]!MTEST($O28:$O43,U28:U43,2), IF(U59="T-Test Welch",_xlfn.T.TEST($O28:$O43,U28:U43,2,3),""))</f>
        <v>#NAME?</v>
      </c>
      <c r="V60" s="150" t="e">
        <f ca="1">IF(V59="MW",[1]!MTEST($O28:$O43,V28:V43,2), IF(V59="T-Test Welch",_xlfn.T.TEST($O28:$O43,V28:V43,2,3),""))</f>
        <v>#NAME?</v>
      </c>
    </row>
    <row r="61" spans="1:22" s="3" customFormat="1" ht="15" thickBot="1" x14ac:dyDescent="0.35">
      <c r="A61" s="61" t="s">
        <v>84</v>
      </c>
      <c r="B61" s="141"/>
      <c r="C61" s="141" t="e">
        <f t="shared" ref="C61:O61" ca="1" si="54">IF(C60&gt;0.05,"NS",IF(C60&gt;0.01,"*",IF(C60&gt;0.001,"**","***")))</f>
        <v>#NAME?</v>
      </c>
      <c r="D61" s="141" t="e">
        <f t="shared" ca="1" si="54"/>
        <v>#NAME?</v>
      </c>
      <c r="E61" s="141" t="e">
        <f t="shared" ca="1" si="54"/>
        <v>#NAME?</v>
      </c>
      <c r="F61" s="141" t="e">
        <f t="shared" ca="1" si="54"/>
        <v>#NAME?</v>
      </c>
      <c r="G61" s="141" t="e">
        <f t="shared" ca="1" si="54"/>
        <v>#NAME?</v>
      </c>
      <c r="H61" s="141" t="e">
        <f t="shared" ca="1" si="54"/>
        <v>#NAME?</v>
      </c>
      <c r="I61" s="141" t="e">
        <f t="shared" ca="1" si="54"/>
        <v>#NAME?</v>
      </c>
      <c r="J61" s="141" t="e">
        <f t="shared" ca="1" si="54"/>
        <v>#NAME?</v>
      </c>
      <c r="K61" s="141" t="e">
        <f t="shared" ca="1" si="54"/>
        <v>#NAME?</v>
      </c>
      <c r="L61" s="141" t="e">
        <f t="shared" ca="1" si="54"/>
        <v>#NAME?</v>
      </c>
      <c r="M61" s="141" t="e">
        <f t="shared" ca="1" si="54"/>
        <v>#NAME?</v>
      </c>
      <c r="N61" s="141"/>
      <c r="O61" s="141" t="e">
        <f t="shared" ca="1" si="54"/>
        <v>#NAME?</v>
      </c>
      <c r="P61" s="141" t="e">
        <f ca="1">IF(P60&gt;0.05,"NS",IF(P60&gt;0.01,"*",IF(P60&gt;0.001,"**","***")))</f>
        <v>#NAME?</v>
      </c>
      <c r="Q61" s="141" t="e">
        <f t="shared" ref="Q61:V61" ca="1" si="55">IF(Q60&gt;0.05,"NS",IF(Q60&gt;0.01,"*",IF(Q60&gt;0.001,"**","***")))</f>
        <v>#NAME?</v>
      </c>
      <c r="R61" s="141" t="e">
        <f t="shared" ca="1" si="55"/>
        <v>#NAME?</v>
      </c>
      <c r="S61" s="141" t="e">
        <f t="shared" ca="1" si="55"/>
        <v>#NAME?</v>
      </c>
      <c r="T61" s="141" t="e">
        <f t="shared" ca="1" si="55"/>
        <v>#NAME?</v>
      </c>
      <c r="U61" s="141" t="e">
        <f t="shared" ca="1" si="55"/>
        <v>#NAME?</v>
      </c>
      <c r="V61" s="141" t="e">
        <f t="shared" ca="1" si="55"/>
        <v>#NAME?</v>
      </c>
    </row>
    <row r="63" spans="1:22" x14ac:dyDescent="0.3">
      <c r="A63" s="2" t="s">
        <v>39</v>
      </c>
    </row>
    <row r="64" spans="1:22" x14ac:dyDescent="0.3">
      <c r="A64" s="1" t="s">
        <v>23</v>
      </c>
      <c r="B64" s="1">
        <f>B46+(3*B47)</f>
        <v>5.2695888664160827E-2</v>
      </c>
    </row>
    <row r="65" spans="1:22" x14ac:dyDescent="0.3">
      <c r="A65" s="1" t="s">
        <v>24</v>
      </c>
      <c r="B65" s="1">
        <f>B46+(10*B47)</f>
        <v>0.14064469333280022</v>
      </c>
    </row>
    <row r="66" spans="1:22" ht="15" thickBot="1" x14ac:dyDescent="0.35"/>
    <row r="67" spans="1:22" ht="26.4" thickBot="1" x14ac:dyDescent="0.55000000000000004">
      <c r="A67" s="214" t="s">
        <v>45</v>
      </c>
      <c r="B67" s="215"/>
      <c r="C67" s="215"/>
      <c r="D67" s="215"/>
      <c r="E67" s="215"/>
      <c r="F67" s="215"/>
      <c r="G67" s="215"/>
      <c r="H67" s="215"/>
      <c r="I67" s="215"/>
      <c r="J67" s="215"/>
      <c r="K67" s="215"/>
      <c r="L67" s="215"/>
      <c r="M67" s="215"/>
      <c r="N67" s="215"/>
      <c r="O67" s="215"/>
      <c r="P67" s="215"/>
      <c r="Q67" s="215"/>
      <c r="R67" s="215"/>
      <c r="S67" s="215"/>
      <c r="T67" s="215"/>
      <c r="U67" s="215"/>
      <c r="V67" s="215"/>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7"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1"/>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7" t="s">
        <v>153</v>
      </c>
      <c r="L3" s="117"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7"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4" t="s">
        <v>164</v>
      </c>
      <c r="L5" s="43"/>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topLeftCell="H1" zoomScale="70" zoomScaleNormal="70" zoomScaleSheetLayoutView="40" zoomScalePageLayoutView="30" workbookViewId="0">
      <selection activeCell="N11" sqref="N11"/>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2" t="s">
        <v>43</v>
      </c>
      <c r="B1" s="213"/>
      <c r="C1" s="213"/>
      <c r="D1" s="213"/>
      <c r="E1" s="213"/>
      <c r="F1" s="213"/>
      <c r="G1" s="213"/>
      <c r="H1" s="213"/>
      <c r="I1" s="213"/>
      <c r="J1" s="213"/>
      <c r="K1" s="213"/>
      <c r="L1" s="213"/>
      <c r="M1" s="213"/>
      <c r="N1" s="213"/>
      <c r="O1" s="213"/>
      <c r="P1" s="213"/>
      <c r="Q1" s="213"/>
      <c r="R1" s="213"/>
      <c r="S1" s="213"/>
      <c r="T1" s="213"/>
      <c r="U1" s="213"/>
      <c r="V1" s="213"/>
    </row>
    <row r="2" spans="1:22" ht="15" thickBot="1" x14ac:dyDescent="0.35"/>
    <row r="3" spans="1:22" ht="15" thickBot="1" x14ac:dyDescent="0.35">
      <c r="A3" s="152" t="s">
        <v>22</v>
      </c>
      <c r="B3" s="220" t="s">
        <v>6</v>
      </c>
      <c r="C3" s="221"/>
      <c r="D3" s="221"/>
      <c r="E3" s="221"/>
      <c r="F3" s="221"/>
      <c r="G3" s="221"/>
      <c r="H3" s="221"/>
      <c r="I3" s="221"/>
      <c r="J3" s="221"/>
      <c r="K3" s="221"/>
      <c r="L3" s="221"/>
      <c r="M3" s="221"/>
      <c r="O3" s="220" t="s">
        <v>3</v>
      </c>
      <c r="P3" s="221"/>
      <c r="Q3" s="221"/>
      <c r="R3" s="221"/>
      <c r="S3" s="221"/>
      <c r="T3" s="221"/>
      <c r="U3" s="221"/>
      <c r="V3" s="221"/>
    </row>
    <row r="4" spans="1:22" x14ac:dyDescent="0.3">
      <c r="A4" s="33" t="s">
        <v>41</v>
      </c>
      <c r="B4" s="34" t="str">
        <f>'Page de garde'!A7</f>
        <v>Témoin solvant</v>
      </c>
      <c r="C4" s="34" t="str">
        <f>'Page de garde'!A9</f>
        <v>EE2-33.8ng/L</v>
      </c>
      <c r="D4" s="34" t="str">
        <f>'Page de garde'!A10</f>
        <v>EE2-50.6ng/L</v>
      </c>
      <c r="E4" s="34" t="str">
        <f>'Page de garde'!A11</f>
        <v>EE2-76ng/L</v>
      </c>
      <c r="F4" s="34" t="str">
        <f>'Page de garde'!A12</f>
        <v>EE2-114ng/L</v>
      </c>
      <c r="G4" s="34" t="str">
        <f>'Page de garde'!A13</f>
        <v>EE2-170.9ng/L</v>
      </c>
      <c r="H4" s="34" t="str">
        <f>'Page de garde'!A14</f>
        <v>EE2-488ng/L</v>
      </c>
      <c r="I4" s="34" t="str">
        <f>'Page de garde'!A15</f>
        <v>Fadrozole-0.016µg/L</v>
      </c>
      <c r="J4" s="34" t="str">
        <f>'Page de garde'!A16</f>
        <v>Fadrozole-0.08µg/L</v>
      </c>
      <c r="K4" s="34" t="str">
        <f>'Page de garde'!A17</f>
        <v>Fadrozole-0.4µg/L</v>
      </c>
      <c r="L4" s="34" t="str">
        <f>'Page de garde'!A18</f>
        <v>Fadrozole-2µg/L</v>
      </c>
      <c r="M4" s="34" t="str">
        <f>'Page de garde'!A19</f>
        <v>Fadrozole-10 µg/L</v>
      </c>
      <c r="N4" s="3"/>
      <c r="O4" s="35" t="str">
        <f>'Page de garde'!A36</f>
        <v>Testo -30µg/L</v>
      </c>
      <c r="P4" s="35" t="str">
        <f>'Page de garde'!A37</f>
        <v>Testo 30µg/L + EE2 -64ng/L</v>
      </c>
      <c r="Q4" s="35" t="str">
        <f>'Page de garde'!A38</f>
        <v>Testo 30µg/L + FAD-10µg/L</v>
      </c>
      <c r="R4" s="35" t="str">
        <f>'Page de garde'!A39</f>
        <v>Fadrozole-0.016µg/L + Testostérone</v>
      </c>
      <c r="S4" s="35" t="str">
        <f>'Page de garde'!A40</f>
        <v>Fadrozole-0.08µg/L + Testostérone</v>
      </c>
      <c r="T4" s="35" t="str">
        <f>'Page de garde'!A41</f>
        <v>Fadrozole-0.4µg/L + Testostérone</v>
      </c>
      <c r="U4" s="35" t="str">
        <f>'Page de garde'!A42</f>
        <v>Fadrozole-2µg/L + Testostérone</v>
      </c>
      <c r="V4" s="35" t="str">
        <f>'Page de garde'!A43</f>
        <v>Fadrozole-10 µg/L + Testostérone</v>
      </c>
    </row>
    <row r="5" spans="1:22" x14ac:dyDescent="0.3">
      <c r="A5" s="222" t="s">
        <v>33</v>
      </c>
      <c r="B5" s="31">
        <v>2058</v>
      </c>
      <c r="C5" s="31">
        <v>16428</v>
      </c>
      <c r="D5" s="31">
        <v>64771</v>
      </c>
      <c r="E5" s="31">
        <v>1271354</v>
      </c>
      <c r="F5" s="31">
        <v>2083582</v>
      </c>
      <c r="G5" s="31">
        <v>2330178</v>
      </c>
      <c r="H5" s="31">
        <v>7334193</v>
      </c>
      <c r="I5" s="31">
        <v>14610</v>
      </c>
      <c r="J5" s="31">
        <v>11991</v>
      </c>
      <c r="K5" s="13">
        <v>89505</v>
      </c>
      <c r="L5" s="13">
        <v>9788</v>
      </c>
      <c r="M5" s="13">
        <v>13157</v>
      </c>
      <c r="N5" s="3"/>
      <c r="O5" s="31">
        <v>22012</v>
      </c>
      <c r="P5" s="13">
        <v>3927887</v>
      </c>
      <c r="Q5" s="13">
        <v>22378</v>
      </c>
      <c r="R5" s="31">
        <v>23632</v>
      </c>
      <c r="S5" s="31">
        <v>933875</v>
      </c>
      <c r="T5" s="31">
        <v>1412188</v>
      </c>
      <c r="U5" s="31">
        <v>85595</v>
      </c>
      <c r="V5" s="31">
        <v>7881</v>
      </c>
    </row>
    <row r="6" spans="1:22" ht="16.8" x14ac:dyDescent="0.3">
      <c r="A6" s="222"/>
      <c r="B6" s="14">
        <v>20355</v>
      </c>
      <c r="C6" s="13">
        <v>0</v>
      </c>
      <c r="D6" s="31">
        <v>46826</v>
      </c>
      <c r="E6" s="31">
        <v>75173</v>
      </c>
      <c r="F6" s="31">
        <v>2201523</v>
      </c>
      <c r="G6" s="31">
        <v>2941287</v>
      </c>
      <c r="H6" s="31">
        <v>6087949</v>
      </c>
      <c r="I6" s="31">
        <v>4324</v>
      </c>
      <c r="J6" s="31">
        <v>8362</v>
      </c>
      <c r="K6" s="13">
        <v>25</v>
      </c>
      <c r="L6" s="13">
        <v>45011</v>
      </c>
      <c r="M6" s="13">
        <v>25</v>
      </c>
      <c r="N6" s="3"/>
      <c r="O6" s="31">
        <v>396</v>
      </c>
      <c r="P6" s="13">
        <v>7678095</v>
      </c>
      <c r="Q6" s="13">
        <v>241113</v>
      </c>
      <c r="R6" s="31">
        <v>9111</v>
      </c>
      <c r="S6" s="31">
        <v>1068289</v>
      </c>
      <c r="T6" s="31">
        <v>8391</v>
      </c>
      <c r="U6" s="31">
        <v>25542</v>
      </c>
      <c r="V6" s="31">
        <v>1865</v>
      </c>
    </row>
    <row r="7" spans="1:22" ht="16.8" x14ac:dyDescent="0.3">
      <c r="A7" s="222"/>
      <c r="B7" s="14">
        <v>8480</v>
      </c>
      <c r="C7" s="13">
        <v>3987</v>
      </c>
      <c r="D7" s="31">
        <v>65061</v>
      </c>
      <c r="E7" s="31">
        <v>1505149</v>
      </c>
      <c r="F7" s="31">
        <v>298782</v>
      </c>
      <c r="G7" s="31">
        <v>1801335</v>
      </c>
      <c r="H7" s="31">
        <v>7412364</v>
      </c>
      <c r="I7" s="31">
        <v>56043</v>
      </c>
      <c r="J7" s="31">
        <v>2737</v>
      </c>
      <c r="K7" s="13">
        <v>394</v>
      </c>
      <c r="L7" s="13">
        <v>32108</v>
      </c>
      <c r="M7" s="13">
        <v>258</v>
      </c>
      <c r="N7" s="3"/>
      <c r="O7" s="31">
        <v>52236</v>
      </c>
      <c r="P7" s="13">
        <v>5835880</v>
      </c>
      <c r="Q7" s="13">
        <v>23185</v>
      </c>
      <c r="R7" s="31">
        <v>34276</v>
      </c>
      <c r="S7" s="31">
        <v>295064</v>
      </c>
      <c r="T7" s="31">
        <v>158977</v>
      </c>
      <c r="U7" s="31">
        <v>509407</v>
      </c>
      <c r="V7" s="31">
        <v>20069</v>
      </c>
    </row>
    <row r="8" spans="1:22" ht="16.8" x14ac:dyDescent="0.3">
      <c r="A8" s="222"/>
      <c r="B8" s="14">
        <v>2538</v>
      </c>
      <c r="C8" s="13">
        <v>6096</v>
      </c>
      <c r="D8" s="31">
        <v>14621</v>
      </c>
      <c r="E8" s="31">
        <v>2032365</v>
      </c>
      <c r="F8" s="31">
        <v>1645857</v>
      </c>
      <c r="G8" s="31">
        <v>3400336</v>
      </c>
      <c r="H8" s="31">
        <v>5848921</v>
      </c>
      <c r="I8" s="31">
        <v>4782</v>
      </c>
      <c r="J8" s="31">
        <v>18488</v>
      </c>
      <c r="K8" s="13">
        <v>26071</v>
      </c>
      <c r="L8" s="13">
        <v>4654</v>
      </c>
      <c r="M8" s="13">
        <v>12026</v>
      </c>
      <c r="N8" s="3"/>
      <c r="O8" s="31">
        <v>3740618</v>
      </c>
      <c r="P8" s="13">
        <v>10433008</v>
      </c>
      <c r="Q8" s="13">
        <v>22812</v>
      </c>
      <c r="R8" s="31">
        <v>589359</v>
      </c>
      <c r="S8" s="31">
        <v>2035</v>
      </c>
      <c r="T8" s="31">
        <v>23262</v>
      </c>
      <c r="U8" s="31">
        <v>29618</v>
      </c>
      <c r="V8" s="31">
        <v>17340</v>
      </c>
    </row>
    <row r="9" spans="1:22" ht="16.8" x14ac:dyDescent="0.3">
      <c r="A9" s="222"/>
      <c r="B9" s="14">
        <v>3899</v>
      </c>
      <c r="C9" s="13">
        <v>1005</v>
      </c>
      <c r="D9" s="31">
        <v>6770</v>
      </c>
      <c r="E9" s="31">
        <v>1099778</v>
      </c>
      <c r="F9" s="31">
        <v>9132751</v>
      </c>
      <c r="G9" s="31">
        <v>3738309</v>
      </c>
      <c r="H9" s="31">
        <v>4520704</v>
      </c>
      <c r="I9" s="31">
        <v>5112</v>
      </c>
      <c r="J9" s="31">
        <v>33713</v>
      </c>
      <c r="K9" s="13">
        <v>688</v>
      </c>
      <c r="L9" s="13">
        <v>19070</v>
      </c>
      <c r="M9" s="13">
        <v>6961</v>
      </c>
      <c r="N9" s="3"/>
      <c r="O9" s="31">
        <v>617824</v>
      </c>
      <c r="P9" s="13">
        <v>9886459</v>
      </c>
      <c r="Q9" s="13">
        <v>3875</v>
      </c>
      <c r="R9" s="31">
        <v>54611</v>
      </c>
      <c r="S9" s="31">
        <v>117078</v>
      </c>
      <c r="T9" s="31">
        <v>6109</v>
      </c>
      <c r="U9" s="31">
        <v>19320</v>
      </c>
      <c r="V9" s="31">
        <v>237</v>
      </c>
    </row>
    <row r="10" spans="1:22" ht="16.8" x14ac:dyDescent="0.3">
      <c r="A10" s="222"/>
      <c r="B10" s="14">
        <v>476</v>
      </c>
      <c r="C10" s="13">
        <v>7331</v>
      </c>
      <c r="D10" s="31">
        <v>776</v>
      </c>
      <c r="E10" s="31">
        <v>2427292</v>
      </c>
      <c r="F10" s="31">
        <v>2327681</v>
      </c>
      <c r="G10" s="31">
        <v>3997146</v>
      </c>
      <c r="H10" s="31">
        <v>10376224</v>
      </c>
      <c r="I10" s="31">
        <v>15178</v>
      </c>
      <c r="J10" s="31">
        <v>3889</v>
      </c>
      <c r="K10" s="13">
        <v>22582</v>
      </c>
      <c r="L10" s="13">
        <v>11098</v>
      </c>
      <c r="M10" s="13">
        <v>12744</v>
      </c>
      <c r="N10" s="3"/>
      <c r="O10" s="31">
        <v>39842</v>
      </c>
      <c r="P10" s="13">
        <v>6367101</v>
      </c>
      <c r="Q10" s="13">
        <v>10547</v>
      </c>
      <c r="R10" s="31">
        <v>356523</v>
      </c>
      <c r="S10" s="31">
        <v>85925</v>
      </c>
      <c r="T10" s="31">
        <v>13944</v>
      </c>
      <c r="U10" s="31">
        <v>1706204</v>
      </c>
      <c r="V10" s="31">
        <v>7416</v>
      </c>
    </row>
    <row r="11" spans="1:22" ht="16.8" x14ac:dyDescent="0.3">
      <c r="A11" s="222"/>
      <c r="B11" s="14">
        <v>33638</v>
      </c>
      <c r="C11" s="13">
        <v>2408</v>
      </c>
      <c r="D11" s="31">
        <v>12714</v>
      </c>
      <c r="E11" s="31">
        <v>385113</v>
      </c>
      <c r="F11" s="31">
        <v>497214</v>
      </c>
      <c r="G11" s="31">
        <v>3367660</v>
      </c>
      <c r="H11" s="31">
        <v>4669383</v>
      </c>
      <c r="I11" s="31">
        <v>60404</v>
      </c>
      <c r="J11" s="31">
        <v>2959</v>
      </c>
      <c r="K11" s="13">
        <v>14350</v>
      </c>
      <c r="L11" s="13">
        <v>1864</v>
      </c>
      <c r="M11" s="13">
        <v>3222</v>
      </c>
      <c r="N11" s="3"/>
      <c r="O11" s="31">
        <v>363</v>
      </c>
      <c r="P11" s="13">
        <v>9975423</v>
      </c>
      <c r="Q11" s="13">
        <v>8572</v>
      </c>
      <c r="R11" s="31">
        <v>1328021</v>
      </c>
      <c r="S11" s="31">
        <v>85317</v>
      </c>
      <c r="T11" s="31">
        <v>10614</v>
      </c>
      <c r="U11" s="31">
        <v>137451</v>
      </c>
      <c r="V11" s="31">
        <v>19534</v>
      </c>
    </row>
    <row r="12" spans="1:22" ht="16.8" x14ac:dyDescent="0.3">
      <c r="A12" s="222"/>
      <c r="B12" s="14">
        <v>6693</v>
      </c>
      <c r="C12" s="13">
        <v>2240</v>
      </c>
      <c r="D12" s="31">
        <v>4076</v>
      </c>
      <c r="E12" s="31">
        <v>72583</v>
      </c>
      <c r="F12" s="31"/>
      <c r="G12" s="31"/>
      <c r="H12" s="31"/>
      <c r="I12" s="31">
        <v>7157</v>
      </c>
      <c r="J12" s="31"/>
      <c r="K12" s="13">
        <v>13352</v>
      </c>
      <c r="L12" s="13">
        <v>33858</v>
      </c>
      <c r="M12" s="13"/>
      <c r="N12" s="3"/>
      <c r="O12" s="31">
        <v>12605</v>
      </c>
      <c r="P12" s="13"/>
      <c r="Q12" s="13">
        <v>1593</v>
      </c>
      <c r="R12" s="31">
        <v>760215</v>
      </c>
      <c r="S12" s="31">
        <v>513073</v>
      </c>
      <c r="T12" s="31">
        <v>1113230</v>
      </c>
      <c r="U12" s="31">
        <v>13904</v>
      </c>
      <c r="V12" s="31">
        <v>3505</v>
      </c>
    </row>
    <row r="13" spans="1:22" ht="16.8" x14ac:dyDescent="0.3">
      <c r="A13" s="222"/>
      <c r="B13" s="14"/>
      <c r="C13" s="13"/>
      <c r="D13" s="31"/>
      <c r="E13" s="31"/>
      <c r="F13" s="31"/>
      <c r="G13" s="31"/>
      <c r="H13" s="31"/>
      <c r="I13" s="31"/>
      <c r="J13" s="31"/>
      <c r="K13" s="13"/>
      <c r="L13" s="13"/>
      <c r="M13" s="13"/>
      <c r="N13" s="3"/>
      <c r="O13" s="31">
        <v>72402</v>
      </c>
      <c r="P13" s="13"/>
      <c r="Q13" s="13"/>
      <c r="R13" s="31"/>
      <c r="S13" s="31"/>
      <c r="T13" s="31"/>
      <c r="U13" s="31"/>
      <c r="V13" s="31"/>
    </row>
    <row r="14" spans="1:22" ht="16.8" x14ac:dyDescent="0.3">
      <c r="A14" s="222"/>
      <c r="B14" s="14"/>
      <c r="C14" s="31"/>
      <c r="D14" s="31"/>
      <c r="E14" s="31"/>
      <c r="F14" s="31"/>
      <c r="G14" s="31"/>
      <c r="H14" s="31"/>
      <c r="I14" s="31"/>
      <c r="J14" s="31"/>
      <c r="K14" s="13"/>
      <c r="L14" s="13"/>
      <c r="M14" s="13"/>
      <c r="N14" s="3"/>
      <c r="O14" s="31">
        <v>9322</v>
      </c>
      <c r="P14" s="13"/>
      <c r="Q14" s="13"/>
      <c r="R14" s="31"/>
      <c r="S14" s="31"/>
      <c r="T14" s="31"/>
      <c r="U14" s="31"/>
      <c r="V14" s="31"/>
    </row>
    <row r="15" spans="1:22" ht="16.8" x14ac:dyDescent="0.3">
      <c r="A15" s="222"/>
      <c r="B15" s="14"/>
      <c r="C15" s="31"/>
      <c r="D15" s="31"/>
      <c r="E15" s="31"/>
      <c r="F15" s="31"/>
      <c r="G15" s="31"/>
      <c r="H15" s="31"/>
      <c r="I15" s="31"/>
      <c r="J15" s="31"/>
      <c r="K15" s="13"/>
      <c r="L15" s="13"/>
      <c r="M15" s="13"/>
      <c r="N15" s="3"/>
      <c r="O15" s="31">
        <v>2122</v>
      </c>
      <c r="P15" s="13"/>
      <c r="Q15" s="13"/>
      <c r="R15" s="31"/>
      <c r="S15" s="31"/>
      <c r="T15" s="31"/>
      <c r="U15" s="31"/>
      <c r="V15" s="31"/>
    </row>
    <row r="16" spans="1:22" ht="16.8" x14ac:dyDescent="0.3">
      <c r="A16" s="222"/>
      <c r="B16" s="14"/>
      <c r="C16" s="31"/>
      <c r="D16" s="31"/>
      <c r="E16" s="31"/>
      <c r="F16" s="31"/>
      <c r="G16" s="31"/>
      <c r="H16" s="31"/>
      <c r="I16" s="31"/>
      <c r="J16" s="31"/>
      <c r="K16" s="13"/>
      <c r="L16" s="13"/>
      <c r="M16" s="13"/>
      <c r="N16" s="3"/>
      <c r="O16" s="31">
        <v>12393</v>
      </c>
      <c r="P16" s="13"/>
      <c r="Q16" s="13"/>
      <c r="R16" s="31"/>
      <c r="S16" s="31"/>
      <c r="T16" s="31"/>
      <c r="U16" s="31"/>
      <c r="V16" s="31"/>
    </row>
    <row r="17" spans="1:22" ht="16.8" x14ac:dyDescent="0.3">
      <c r="A17" s="222"/>
      <c r="B17" s="14"/>
      <c r="C17" s="31"/>
      <c r="D17" s="31"/>
      <c r="E17" s="31"/>
      <c r="F17" s="31"/>
      <c r="G17" s="31"/>
      <c r="H17" s="31"/>
      <c r="I17" s="31"/>
      <c r="J17" s="31"/>
      <c r="K17" s="13"/>
      <c r="L17" s="13"/>
      <c r="M17" s="13"/>
      <c r="N17" s="3"/>
      <c r="O17" s="31">
        <v>1600842</v>
      </c>
      <c r="P17" s="13"/>
      <c r="Q17" s="13"/>
      <c r="R17" s="31"/>
      <c r="S17" s="31"/>
      <c r="T17" s="31"/>
      <c r="U17" s="31"/>
      <c r="V17" s="31"/>
    </row>
    <row r="18" spans="1:22" ht="16.8" x14ac:dyDescent="0.3">
      <c r="A18" s="222"/>
      <c r="B18" s="14"/>
      <c r="C18" s="31"/>
      <c r="D18" s="31"/>
      <c r="E18" s="31"/>
      <c r="F18" s="31"/>
      <c r="G18" s="31"/>
      <c r="H18" s="31"/>
      <c r="I18" s="31"/>
      <c r="J18" s="31"/>
      <c r="K18" s="13"/>
      <c r="L18" s="13"/>
      <c r="M18" s="13"/>
      <c r="N18" s="3"/>
      <c r="O18" s="31">
        <v>7762</v>
      </c>
      <c r="P18" s="13"/>
      <c r="Q18" s="13"/>
      <c r="R18" s="31"/>
      <c r="S18" s="31"/>
      <c r="T18" s="31"/>
      <c r="U18" s="31"/>
      <c r="V18" s="31"/>
    </row>
    <row r="19" spans="1:22" ht="16.8" x14ac:dyDescent="0.3">
      <c r="A19" s="222"/>
      <c r="B19" s="14"/>
      <c r="C19" s="31"/>
      <c r="D19" s="31"/>
      <c r="E19" s="31"/>
      <c r="F19" s="31"/>
      <c r="G19" s="31"/>
      <c r="H19" s="31"/>
      <c r="I19" s="31"/>
      <c r="J19" s="31"/>
      <c r="K19" s="13"/>
      <c r="L19" s="13"/>
      <c r="M19" s="13"/>
      <c r="N19" s="3"/>
      <c r="O19" s="31">
        <v>1482</v>
      </c>
      <c r="P19" s="13"/>
      <c r="Q19" s="13"/>
      <c r="R19" s="31"/>
      <c r="S19" s="31"/>
      <c r="T19" s="31"/>
      <c r="U19" s="31"/>
      <c r="V19" s="31"/>
    </row>
    <row r="20" spans="1:22" ht="16.8" x14ac:dyDescent="0.3">
      <c r="A20" s="222"/>
      <c r="B20" s="14"/>
      <c r="C20" s="31"/>
      <c r="D20" s="31"/>
      <c r="E20" s="31"/>
      <c r="F20" s="31"/>
      <c r="G20" s="31"/>
      <c r="H20" s="31"/>
      <c r="I20" s="31"/>
      <c r="J20" s="31"/>
      <c r="K20" s="13"/>
      <c r="L20" s="13"/>
      <c r="M20" s="13"/>
      <c r="N20" s="3"/>
      <c r="O20" s="31"/>
      <c r="P20" s="13"/>
      <c r="Q20" s="13"/>
      <c r="R20" s="31"/>
      <c r="S20" s="31"/>
      <c r="T20" s="31"/>
      <c r="U20" s="31"/>
      <c r="V20" s="31"/>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Fadrozole-0.016µg/L</v>
      </c>
      <c r="J22" s="3" t="str">
        <f t="shared" si="0"/>
        <v>Fadrozole-0.08µg/L</v>
      </c>
      <c r="K22" s="3" t="str">
        <f t="shared" si="0"/>
        <v>Fadrozole-0.4µg/L</v>
      </c>
      <c r="L22" s="3" t="str">
        <f t="shared" si="0"/>
        <v>Fadrozole-2µg/L</v>
      </c>
      <c r="M22" s="3" t="str">
        <f t="shared" si="0"/>
        <v>Fadrozole-10 µg/L</v>
      </c>
      <c r="N22" s="3" t="s">
        <v>41</v>
      </c>
      <c r="O22" s="3" t="str">
        <f t="shared" si="0"/>
        <v>Testo -30µg/L</v>
      </c>
      <c r="P22" s="3" t="str">
        <f t="shared" si="0"/>
        <v>Testo 30µg/L + EE2 -64ng/L</v>
      </c>
      <c r="Q22" s="3" t="str">
        <f t="shared" si="0"/>
        <v>Testo 30µg/L + FAD-10µg/L</v>
      </c>
      <c r="R22" s="3" t="str">
        <f t="shared" si="0"/>
        <v>Fadrozole-0.016µg/L + Testostérone</v>
      </c>
      <c r="S22" s="3" t="str">
        <f t="shared" si="0"/>
        <v>Fadrozole-0.08µg/L + Testostérone</v>
      </c>
      <c r="T22" s="3" t="str">
        <f t="shared" si="0"/>
        <v>Fadrozole-0.4µg/L + Testostérone</v>
      </c>
      <c r="U22" s="3" t="str">
        <f t="shared" si="0"/>
        <v>Fadrozole-2µg/L + Testostérone</v>
      </c>
      <c r="V22" s="3" t="str">
        <f t="shared" si="0"/>
        <v>Fadrozole-10 µg/L + Testostérone</v>
      </c>
    </row>
    <row r="23" spans="1:22" x14ac:dyDescent="0.3">
      <c r="A23" s="5" t="s">
        <v>0</v>
      </c>
      <c r="B23" s="5">
        <f t="shared" ref="B23:J23" si="1">AVERAGE(B5:B20)</f>
        <v>9767.125</v>
      </c>
      <c r="C23" s="5">
        <f t="shared" si="1"/>
        <v>4936.875</v>
      </c>
      <c r="D23" s="5">
        <f t="shared" si="1"/>
        <v>26951.875</v>
      </c>
      <c r="E23" s="5">
        <f t="shared" si="1"/>
        <v>1108600.875</v>
      </c>
      <c r="F23" s="5">
        <f t="shared" si="1"/>
        <v>2598198.5714285714</v>
      </c>
      <c r="G23" s="5">
        <f t="shared" si="1"/>
        <v>3082321.5714285714</v>
      </c>
      <c r="H23" s="5">
        <f t="shared" si="1"/>
        <v>6607105.4285714282</v>
      </c>
      <c r="I23" s="5">
        <f t="shared" si="1"/>
        <v>20951.25</v>
      </c>
      <c r="J23" s="5">
        <f t="shared" si="1"/>
        <v>11734.142857142857</v>
      </c>
      <c r="K23" s="5"/>
      <c r="L23" s="5">
        <f>AVERAGE(L5:L20)</f>
        <v>19681.375</v>
      </c>
      <c r="M23" s="5"/>
      <c r="N23" s="5" t="s">
        <v>0</v>
      </c>
      <c r="O23" s="5">
        <f>AVERAGE(O5:O20)</f>
        <v>412814.73333333334</v>
      </c>
      <c r="P23" s="5">
        <f>AVERAGE(P5:P20)</f>
        <v>7729121.8571428573</v>
      </c>
      <c r="Q23" s="5">
        <f>AVERAGE(Q5:Q20)</f>
        <v>41759.375</v>
      </c>
      <c r="R23" s="5">
        <f>AVERAGE(R5:R20)</f>
        <v>394468.5</v>
      </c>
      <c r="S23" s="5">
        <f>AVERAGE(S5:S20)</f>
        <v>387582</v>
      </c>
      <c r="T23" s="5">
        <f t="shared" ref="T23:V23" si="2">AVERAGE(T5:T20)</f>
        <v>343339.375</v>
      </c>
      <c r="U23" s="5">
        <f t="shared" si="2"/>
        <v>315880.125</v>
      </c>
      <c r="V23" s="5">
        <f t="shared" si="2"/>
        <v>9730.875</v>
      </c>
    </row>
    <row r="24" spans="1:22" x14ac:dyDescent="0.3">
      <c r="A24" s="3" t="s">
        <v>1</v>
      </c>
      <c r="B24" s="3">
        <f t="shared" ref="B24:J24" si="3">STDEV(B5:B20)</f>
        <v>11498.319485130984</v>
      </c>
      <c r="C24" s="3">
        <f t="shared" si="3"/>
        <v>5257.9781675767999</v>
      </c>
      <c r="D24" s="3">
        <f t="shared" si="3"/>
        <v>27381.250620699768</v>
      </c>
      <c r="E24" s="3">
        <f t="shared" si="3"/>
        <v>881625.46270842198</v>
      </c>
      <c r="F24" s="3">
        <f t="shared" si="3"/>
        <v>2994554.6171278325</v>
      </c>
      <c r="G24" s="3">
        <f t="shared" si="3"/>
        <v>782763.45253144752</v>
      </c>
      <c r="H24" s="3">
        <f t="shared" si="3"/>
        <v>2013933.0783842548</v>
      </c>
      <c r="I24" s="3">
        <f t="shared" si="3"/>
        <v>23423.326375645283</v>
      </c>
      <c r="J24" s="3">
        <f t="shared" si="3"/>
        <v>11251.815030304688</v>
      </c>
      <c r="K24" s="3"/>
      <c r="L24" s="3">
        <f>STDEV(L5:L20)</f>
        <v>15639.67223750001</v>
      </c>
      <c r="M24" s="3"/>
      <c r="N24" s="3" t="s">
        <v>1</v>
      </c>
      <c r="O24" s="3">
        <f>STDEV(O5:O20)</f>
        <v>1013864.3800546689</v>
      </c>
      <c r="P24" s="3">
        <f>STDEV(P5:P20)</f>
        <v>2480000.9532970237</v>
      </c>
      <c r="Q24" s="3">
        <f>STDEV(Q5:Q20)</f>
        <v>81016.483054706667</v>
      </c>
      <c r="R24" s="3">
        <f>STDEV(R5:R20)</f>
        <v>474488.41779933288</v>
      </c>
      <c r="S24" s="3">
        <f>STDEV(S5:S20)</f>
        <v>412360.03897461121</v>
      </c>
      <c r="T24" s="3">
        <f t="shared" ref="T24:V24" si="4">STDEV(T5:T20)</f>
        <v>575292.49664942175</v>
      </c>
      <c r="U24" s="3">
        <f t="shared" si="4"/>
        <v>585625.55553074728</v>
      </c>
      <c r="V24" s="3">
        <f t="shared" si="4"/>
        <v>8110.1763841573047</v>
      </c>
    </row>
    <row r="25" spans="1:22" ht="15" thickBot="1" x14ac:dyDescent="0.35"/>
    <row r="26" spans="1:22" ht="15" thickBot="1" x14ac:dyDescent="0.35">
      <c r="B26" s="220" t="s">
        <v>6</v>
      </c>
      <c r="C26" s="221"/>
      <c r="D26" s="221"/>
      <c r="E26" s="221"/>
      <c r="F26" s="221"/>
      <c r="G26" s="221"/>
      <c r="H26" s="221"/>
      <c r="I26" s="221"/>
      <c r="J26" s="221"/>
      <c r="K26" s="221"/>
      <c r="L26" s="221"/>
      <c r="M26" s="221"/>
      <c r="O26" s="220" t="s">
        <v>3</v>
      </c>
      <c r="P26" s="221"/>
      <c r="Q26" s="221"/>
      <c r="R26" s="221"/>
      <c r="S26" s="221"/>
      <c r="T26" s="221"/>
      <c r="U26" s="221"/>
      <c r="V26" s="221"/>
    </row>
    <row r="27" spans="1:22" x14ac:dyDescent="0.3">
      <c r="A27" s="33" t="s">
        <v>41</v>
      </c>
      <c r="B27" s="34" t="str">
        <f>B4</f>
        <v>Témoin solvant</v>
      </c>
      <c r="C27" s="34" t="str">
        <f t="shared" ref="C27:M27" si="5">C4</f>
        <v>EE2-33.8ng/L</v>
      </c>
      <c r="D27" s="34" t="str">
        <f t="shared" si="5"/>
        <v>EE2-50.6ng/L</v>
      </c>
      <c r="E27" s="34" t="str">
        <f t="shared" si="5"/>
        <v>EE2-76ng/L</v>
      </c>
      <c r="F27" s="34" t="str">
        <f t="shared" si="5"/>
        <v>EE2-114ng/L</v>
      </c>
      <c r="G27" s="34" t="str">
        <f t="shared" si="5"/>
        <v>EE2-170.9ng/L</v>
      </c>
      <c r="H27" s="34" t="str">
        <f t="shared" si="5"/>
        <v>EE2-488ng/L</v>
      </c>
      <c r="I27" s="34" t="str">
        <f t="shared" si="5"/>
        <v>Fadrozole-0.016µg/L</v>
      </c>
      <c r="J27" s="34" t="str">
        <f t="shared" si="5"/>
        <v>Fadrozole-0.08µg/L</v>
      </c>
      <c r="K27" s="34" t="str">
        <f t="shared" si="5"/>
        <v>Fadrozole-0.4µg/L</v>
      </c>
      <c r="L27" s="34" t="str">
        <f t="shared" si="5"/>
        <v>Fadrozole-2µg/L</v>
      </c>
      <c r="M27" s="34" t="str">
        <f t="shared" si="5"/>
        <v>Fadrozole-10 µg/L</v>
      </c>
      <c r="N27" s="3"/>
      <c r="O27" s="35" t="str">
        <f>O4</f>
        <v>Testo -30µg/L</v>
      </c>
      <c r="P27" s="35" t="str">
        <f t="shared" ref="P27:V27" si="6">P4</f>
        <v>Testo 30µg/L + EE2 -64ng/L</v>
      </c>
      <c r="Q27" s="35" t="str">
        <f t="shared" si="6"/>
        <v>Testo 30µg/L + FAD-10µg/L</v>
      </c>
      <c r="R27" s="35" t="str">
        <f t="shared" si="6"/>
        <v>Fadrozole-0.016µg/L + Testostérone</v>
      </c>
      <c r="S27" s="35" t="str">
        <f t="shared" si="6"/>
        <v>Fadrozole-0.08µg/L + Testostérone</v>
      </c>
      <c r="T27" s="35" t="str">
        <f t="shared" si="6"/>
        <v>Fadrozole-0.4µg/L + Testostérone</v>
      </c>
      <c r="U27" s="35" t="str">
        <f t="shared" si="6"/>
        <v>Fadrozole-2µg/L + Testostérone</v>
      </c>
      <c r="V27" s="35" t="str">
        <f t="shared" si="6"/>
        <v>Fadrozole-10 µg/L + Testostérone</v>
      </c>
    </row>
    <row r="28" spans="1:22" x14ac:dyDescent="0.3">
      <c r="A28" s="223" t="s">
        <v>34</v>
      </c>
      <c r="B28" s="11">
        <f t="shared" ref="B28:M28" si="7">IF(B5="","",(B5/$O$23))</f>
        <v>4.9852871853249426E-3</v>
      </c>
      <c r="C28" s="11">
        <f t="shared" si="7"/>
        <v>3.9795091292768779E-2</v>
      </c>
      <c r="D28" s="11">
        <f t="shared" si="7"/>
        <v>0.15690089226466561</v>
      </c>
      <c r="E28" s="11">
        <f t="shared" si="7"/>
        <v>3.0797205073914511</v>
      </c>
      <c r="F28" s="11">
        <f t="shared" si="7"/>
        <v>5.0472568727763427</v>
      </c>
      <c r="G28" s="11">
        <f t="shared" si="7"/>
        <v>5.6446095835403804</v>
      </c>
      <c r="H28" s="11">
        <f t="shared" si="7"/>
        <v>17.766306305928033</v>
      </c>
      <c r="I28" s="11">
        <f t="shared" si="7"/>
        <v>3.539117870631555E-2</v>
      </c>
      <c r="J28" s="11">
        <f t="shared" si="7"/>
        <v>2.9046928396127981E-2</v>
      </c>
      <c r="K28" s="11">
        <f t="shared" si="7"/>
        <v>0.21681638946671961</v>
      </c>
      <c r="L28" s="11">
        <f t="shared" si="7"/>
        <v>2.3710394057318045E-2</v>
      </c>
      <c r="M28" s="11">
        <f t="shared" si="7"/>
        <v>3.1871439988979719E-2</v>
      </c>
      <c r="N28" s="6"/>
      <c r="O28" s="11">
        <f t="shared" ref="O28:V39" si="8">IF(O5="","",(O5/$O$23))</f>
        <v>5.3321740293183977E-2</v>
      </c>
      <c r="P28" s="11">
        <f t="shared" si="8"/>
        <v>9.5148905376600741</v>
      </c>
      <c r="Q28" s="11">
        <f t="shared" si="8"/>
        <v>5.4208336556463343E-2</v>
      </c>
      <c r="R28" s="11">
        <f t="shared" si="8"/>
        <v>5.7246018835568048E-2</v>
      </c>
      <c r="S28" s="11">
        <f t="shared" si="8"/>
        <v>2.2622133480055058</v>
      </c>
      <c r="T28" s="11">
        <f t="shared" si="8"/>
        <v>3.4208759667976967</v>
      </c>
      <c r="U28" s="11">
        <f t="shared" si="8"/>
        <v>0.20734482829343462</v>
      </c>
      <c r="V28" s="11">
        <f t="shared" si="8"/>
        <v>1.9090888390449888E-2</v>
      </c>
    </row>
    <row r="29" spans="1:22" x14ac:dyDescent="0.3">
      <c r="A29" s="223"/>
      <c r="B29" s="11">
        <f t="shared" ref="B29:M29" si="9">IF(B6="","",(B6/$O$23))</f>
        <v>4.9307833166807195E-2</v>
      </c>
      <c r="C29" s="11">
        <f t="shared" si="9"/>
        <v>0</v>
      </c>
      <c r="D29" s="11">
        <f t="shared" si="9"/>
        <v>0.11343102902819521</v>
      </c>
      <c r="E29" s="11">
        <f t="shared" si="9"/>
        <v>0.18209863633743045</v>
      </c>
      <c r="F29" s="11">
        <f t="shared" si="9"/>
        <v>5.3329564626327128</v>
      </c>
      <c r="G29" s="11">
        <f t="shared" si="9"/>
        <v>7.1249564574649389</v>
      </c>
      <c r="H29" s="11">
        <f t="shared" si="9"/>
        <v>14.747412115943536</v>
      </c>
      <c r="I29" s="11">
        <f t="shared" si="9"/>
        <v>1.0474432356338702E-2</v>
      </c>
      <c r="J29" s="11">
        <f t="shared" si="9"/>
        <v>2.025605998235528E-2</v>
      </c>
      <c r="K29" s="11">
        <f t="shared" si="9"/>
        <v>6.0559854049136812E-5</v>
      </c>
      <c r="L29" s="11">
        <f t="shared" si="9"/>
        <v>0.10903438362422788</v>
      </c>
      <c r="M29" s="11">
        <f t="shared" si="9"/>
        <v>6.0559854049136812E-5</v>
      </c>
      <c r="N29" s="6"/>
      <c r="O29" s="11">
        <f t="shared" si="8"/>
        <v>9.5926808813832714E-4</v>
      </c>
      <c r="P29" s="11">
        <f t="shared" si="8"/>
        <v>18.599372503016284</v>
      </c>
      <c r="Q29" s="11">
        <f t="shared" si="8"/>
        <v>0.58407072357398093</v>
      </c>
      <c r="R29" s="11">
        <f t="shared" si="8"/>
        <v>2.2070433209667419E-2</v>
      </c>
      <c r="S29" s="11">
        <f t="shared" si="8"/>
        <v>2.5878170368919324</v>
      </c>
      <c r="T29" s="11">
        <f t="shared" si="8"/>
        <v>2.0326309413052281E-2</v>
      </c>
      <c r="U29" s="11">
        <f t="shared" si="8"/>
        <v>6.1872791684922095E-2</v>
      </c>
      <c r="V29" s="11">
        <f t="shared" si="8"/>
        <v>4.5177651120656059E-3</v>
      </c>
    </row>
    <row r="30" spans="1:22" x14ac:dyDescent="0.3">
      <c r="A30" s="223"/>
      <c r="B30" s="11">
        <f t="shared" ref="B30:M30" si="10">IF(B7="","",(B7/$O$23))</f>
        <v>2.0541902493467205E-2</v>
      </c>
      <c r="C30" s="11">
        <f t="shared" si="10"/>
        <v>9.6580855237563389E-3</v>
      </c>
      <c r="D30" s="11">
        <f t="shared" si="10"/>
        <v>0.15760338657163561</v>
      </c>
      <c r="E30" s="11">
        <f t="shared" si="10"/>
        <v>3.646064150488169</v>
      </c>
      <c r="F30" s="11">
        <f t="shared" si="10"/>
        <v>0.72376777250036783</v>
      </c>
      <c r="G30" s="11">
        <f t="shared" si="10"/>
        <v>4.3635433877440741</v>
      </c>
      <c r="H30" s="11">
        <f t="shared" si="10"/>
        <v>17.955667279963038</v>
      </c>
      <c r="I30" s="11">
        <f t="shared" si="10"/>
        <v>0.13575823601903098</v>
      </c>
      <c r="J30" s="11">
        <f t="shared" si="10"/>
        <v>6.6300928212994978E-3</v>
      </c>
      <c r="K30" s="11">
        <f t="shared" si="10"/>
        <v>9.5442329981439611E-4</v>
      </c>
      <c r="L30" s="11">
        <f t="shared" si="10"/>
        <v>7.7778231752387392E-2</v>
      </c>
      <c r="M30" s="11">
        <f t="shared" si="10"/>
        <v>6.2497769378709188E-4</v>
      </c>
      <c r="N30" s="6"/>
      <c r="O30" s="11">
        <f t="shared" si="8"/>
        <v>0.12653618144442841</v>
      </c>
      <c r="P30" s="11">
        <f t="shared" si="8"/>
        <v>14.136801641931061</v>
      </c>
      <c r="Q30" s="11">
        <f t="shared" si="8"/>
        <v>5.616320864516948E-2</v>
      </c>
      <c r="R30" s="11">
        <f t="shared" si="8"/>
        <v>8.3029982295528534E-2</v>
      </c>
      <c r="S30" s="11">
        <f t="shared" si="8"/>
        <v>0.71476131100618012</v>
      </c>
      <c r="T30" s="11">
        <f t="shared" si="8"/>
        <v>0.3851049566867849</v>
      </c>
      <c r="U30" s="11">
        <f t="shared" si="8"/>
        <v>1.2339845428643454</v>
      </c>
      <c r="V30" s="11">
        <f t="shared" si="8"/>
        <v>4.8615028436485068E-2</v>
      </c>
    </row>
    <row r="31" spans="1:22" x14ac:dyDescent="0.3">
      <c r="A31" s="223"/>
      <c r="B31" s="11">
        <f t="shared" ref="B31:M31" si="11">IF(B8="","",(B8/$O$23))</f>
        <v>6.1480363830683695E-3</v>
      </c>
      <c r="C31" s="11">
        <f t="shared" si="11"/>
        <v>1.4766914811341521E-2</v>
      </c>
      <c r="D31" s="11">
        <f t="shared" si="11"/>
        <v>3.5417825042097173E-2</v>
      </c>
      <c r="E31" s="11">
        <f t="shared" si="11"/>
        <v>4.9231891109829578</v>
      </c>
      <c r="F31" s="11">
        <f t="shared" si="11"/>
        <v>3.9869143882300064</v>
      </c>
      <c r="G31" s="11">
        <f t="shared" si="11"/>
        <v>8.2369540751210266</v>
      </c>
      <c r="H31" s="11">
        <f t="shared" si="11"/>
        <v>14.168392084197253</v>
      </c>
      <c r="I31" s="11">
        <f t="shared" si="11"/>
        <v>1.158388888251889E-2</v>
      </c>
      <c r="J31" s="11">
        <f t="shared" si="11"/>
        <v>4.4785223266417658E-2</v>
      </c>
      <c r="K31" s="11">
        <f t="shared" si="11"/>
        <v>6.3154238196601833E-2</v>
      </c>
      <c r="L31" s="11">
        <f t="shared" si="11"/>
        <v>1.1273822429787309E-2</v>
      </c>
      <c r="M31" s="11">
        <f t="shared" si="11"/>
        <v>2.9131712191796773E-2</v>
      </c>
      <c r="N31" s="6"/>
      <c r="O31" s="11">
        <f t="shared" si="8"/>
        <v>9.0612512053429608</v>
      </c>
      <c r="P31" s="11">
        <f t="shared" si="8"/>
        <v>25.272857670939072</v>
      </c>
      <c r="Q31" s="11">
        <f t="shared" si="8"/>
        <v>5.5259655622756358E-2</v>
      </c>
      <c r="R31" s="11">
        <f t="shared" si="8"/>
        <v>1.4276598009018089</v>
      </c>
      <c r="S31" s="11">
        <f t="shared" si="8"/>
        <v>4.9295721195997365E-3</v>
      </c>
      <c r="T31" s="11">
        <f t="shared" si="8"/>
        <v>5.6349732995640819E-2</v>
      </c>
      <c r="U31" s="11">
        <f t="shared" si="8"/>
        <v>7.1746470289093367E-2</v>
      </c>
      <c r="V31" s="11">
        <f t="shared" si="8"/>
        <v>4.2004314768481293E-2</v>
      </c>
    </row>
    <row r="32" spans="1:22" x14ac:dyDescent="0.3">
      <c r="A32" s="223"/>
      <c r="B32" s="11">
        <f t="shared" ref="B32:M32" si="12">IF(B9="","",(B9/$O$23))</f>
        <v>9.4449148375033778E-3</v>
      </c>
      <c r="C32" s="11">
        <f t="shared" si="12"/>
        <v>2.4345061327752998E-3</v>
      </c>
      <c r="D32" s="11">
        <f t="shared" si="12"/>
        <v>1.6399608476506247E-2</v>
      </c>
      <c r="E32" s="11">
        <f t="shared" si="12"/>
        <v>2.6640958066580636</v>
      </c>
      <c r="F32" s="11">
        <f t="shared" si="12"/>
        <v>22.123122705084331</v>
      </c>
      <c r="G32" s="11">
        <f t="shared" si="12"/>
        <v>9.055657897222984</v>
      </c>
      <c r="H32" s="11">
        <f t="shared" si="12"/>
        <v>10.950926977573959</v>
      </c>
      <c r="I32" s="11">
        <f t="shared" si="12"/>
        <v>1.2383278955967495E-2</v>
      </c>
      <c r="J32" s="11">
        <f t="shared" si="12"/>
        <v>8.1666174382341972E-2</v>
      </c>
      <c r="K32" s="11">
        <f t="shared" si="12"/>
        <v>1.6666071834322452E-3</v>
      </c>
      <c r="L32" s="11">
        <f t="shared" si="12"/>
        <v>4.619505666868156E-2</v>
      </c>
      <c r="M32" s="11">
        <f t="shared" si="12"/>
        <v>1.6862285761441654E-2</v>
      </c>
      <c r="N32" s="6"/>
      <c r="O32" s="11">
        <f t="shared" si="8"/>
        <v>1.4966132507221561</v>
      </c>
      <c r="P32" s="11">
        <f t="shared" si="8"/>
        <v>23.948900564111003</v>
      </c>
      <c r="Q32" s="11">
        <f t="shared" si="8"/>
        <v>9.3867773776162063E-3</v>
      </c>
      <c r="R32" s="11">
        <f t="shared" si="8"/>
        <v>0.13228936757909643</v>
      </c>
      <c r="S32" s="11">
        <f t="shared" si="8"/>
        <v>0.2836090636945936</v>
      </c>
      <c r="T32" s="11">
        <f t="shared" si="8"/>
        <v>1.4798405935447071E-2</v>
      </c>
      <c r="U32" s="11">
        <f t="shared" si="8"/>
        <v>4.6800655209172926E-2</v>
      </c>
      <c r="V32" s="11">
        <f t="shared" si="8"/>
        <v>5.7410741638581702E-4</v>
      </c>
    </row>
    <row r="33" spans="1:22" x14ac:dyDescent="0.3">
      <c r="A33" s="223"/>
      <c r="B33" s="11">
        <f t="shared" ref="B33:M33" si="13">IF(B10="","",(B10/$O$23))</f>
        <v>1.1530596210955649E-3</v>
      </c>
      <c r="C33" s="11">
        <f t="shared" si="13"/>
        <v>1.7758571601368879E-2</v>
      </c>
      <c r="D33" s="11">
        <f t="shared" si="13"/>
        <v>1.8797778696852067E-3</v>
      </c>
      <c r="E33" s="11">
        <f t="shared" si="13"/>
        <v>5.8798579701854958</v>
      </c>
      <c r="F33" s="11">
        <f t="shared" si="13"/>
        <v>5.6385608653179533</v>
      </c>
      <c r="G33" s="11">
        <f t="shared" si="13"/>
        <v>9.6826631349236401</v>
      </c>
      <c r="H33" s="11">
        <f t="shared" si="13"/>
        <v>25.135304440846024</v>
      </c>
      <c r="I33" s="11">
        <f t="shared" si="13"/>
        <v>3.6767098590311943E-2</v>
      </c>
      <c r="J33" s="11">
        <f t="shared" si="13"/>
        <v>9.420690895883722E-3</v>
      </c>
      <c r="K33" s="11">
        <f t="shared" si="13"/>
        <v>5.4702504965504301E-2</v>
      </c>
      <c r="L33" s="11">
        <f t="shared" si="13"/>
        <v>2.6883730409492813E-2</v>
      </c>
      <c r="M33" s="11">
        <f t="shared" si="13"/>
        <v>3.0870991200087981E-2</v>
      </c>
      <c r="N33" s="6"/>
      <c r="O33" s="11">
        <f t="shared" si="8"/>
        <v>9.6513028201028347E-2</v>
      </c>
      <c r="P33" s="11">
        <f t="shared" si="8"/>
        <v>15.423628291044521</v>
      </c>
      <c r="Q33" s="11">
        <f t="shared" si="8"/>
        <v>2.5548991226249838E-2</v>
      </c>
      <c r="R33" s="11">
        <f t="shared" si="8"/>
        <v>0.86363923380641616</v>
      </c>
      <c r="S33" s="11">
        <f t="shared" si="8"/>
        <v>0.20814421836688321</v>
      </c>
      <c r="T33" s="11">
        <f t="shared" si="8"/>
        <v>3.3777864194446547E-2</v>
      </c>
      <c r="U33" s="11">
        <f t="shared" si="8"/>
        <v>4.1330986087221371</v>
      </c>
      <c r="V33" s="11">
        <f t="shared" si="8"/>
        <v>1.7964475105135942E-2</v>
      </c>
    </row>
    <row r="34" spans="1:22" x14ac:dyDescent="0.3">
      <c r="A34" s="223"/>
      <c r="B34" s="11">
        <f t="shared" ref="B34:M34" si="14">IF(B11="","",(B11/$O$23))</f>
        <v>8.148449482019457E-2</v>
      </c>
      <c r="C34" s="11">
        <f t="shared" si="14"/>
        <v>5.8331251420128578E-3</v>
      </c>
      <c r="D34" s="11">
        <f t="shared" si="14"/>
        <v>3.0798319375229016E-2</v>
      </c>
      <c r="E34" s="11">
        <f t="shared" si="14"/>
        <v>0.93289548289700897</v>
      </c>
      <c r="F34" s="11">
        <f t="shared" si="14"/>
        <v>1.2044482908475005</v>
      </c>
      <c r="G34" s="11">
        <f t="shared" si="14"/>
        <v>8.1577999234846423</v>
      </c>
      <c r="H34" s="11">
        <f t="shared" si="14"/>
        <v>11.311086119180823</v>
      </c>
      <c r="I34" s="11">
        <f t="shared" si="14"/>
        <v>0.14632229695936239</v>
      </c>
      <c r="J34" s="11">
        <f t="shared" si="14"/>
        <v>7.167864325255833E-3</v>
      </c>
      <c r="K34" s="11">
        <f t="shared" si="14"/>
        <v>3.476135622420453E-2</v>
      </c>
      <c r="L34" s="11">
        <f t="shared" si="14"/>
        <v>4.5153427179036405E-3</v>
      </c>
      <c r="M34" s="11">
        <f t="shared" si="14"/>
        <v>7.8049539898527526E-3</v>
      </c>
      <c r="N34" s="6"/>
      <c r="O34" s="11">
        <f t="shared" si="8"/>
        <v>8.7932908079346652E-4</v>
      </c>
      <c r="P34" s="11">
        <f t="shared" si="8"/>
        <v>24.164406438336098</v>
      </c>
      <c r="Q34" s="11">
        <f t="shared" si="8"/>
        <v>2.076476275636803E-2</v>
      </c>
      <c r="R34" s="11">
        <f t="shared" si="8"/>
        <v>3.2169903173675487</v>
      </c>
      <c r="S34" s="11">
        <f t="shared" si="8"/>
        <v>0.20667140271640821</v>
      </c>
      <c r="T34" s="11">
        <f t="shared" si="8"/>
        <v>2.5711291635101524E-2</v>
      </c>
      <c r="U34" s="11">
        <f t="shared" si="8"/>
        <v>0.33296049995631616</v>
      </c>
      <c r="V34" s="11">
        <f t="shared" si="8"/>
        <v>4.7319047559833537E-2</v>
      </c>
    </row>
    <row r="35" spans="1:22" x14ac:dyDescent="0.3">
      <c r="A35" s="223"/>
      <c r="B35" s="11">
        <f t="shared" ref="B35:M35" si="15">IF(B12="","",(B12/$O$23))</f>
        <v>1.6213084126034907E-2</v>
      </c>
      <c r="C35" s="11">
        <f t="shared" si="15"/>
        <v>5.4261629228026581E-3</v>
      </c>
      <c r="D35" s="11">
        <f t="shared" si="15"/>
        <v>9.8736786041712654E-3</v>
      </c>
      <c r="E35" s="11">
        <f t="shared" si="15"/>
        <v>0.17582463545793989</v>
      </c>
      <c r="F35" s="11" t="str">
        <f t="shared" si="15"/>
        <v/>
      </c>
      <c r="G35" s="11" t="str">
        <f t="shared" si="15"/>
        <v/>
      </c>
      <c r="H35" s="11" t="str">
        <f t="shared" si="15"/>
        <v/>
      </c>
      <c r="I35" s="11">
        <f t="shared" si="15"/>
        <v>1.7337075017186888E-2</v>
      </c>
      <c r="J35" s="11" t="str">
        <f t="shared" si="15"/>
        <v/>
      </c>
      <c r="K35" s="11">
        <f t="shared" si="15"/>
        <v>3.2343806850562991E-2</v>
      </c>
      <c r="L35" s="11">
        <f t="shared" si="15"/>
        <v>8.2017421535826973E-2</v>
      </c>
      <c r="M35" s="11" t="str">
        <f t="shared" si="15"/>
        <v/>
      </c>
      <c r="N35" s="6"/>
      <c r="O35" s="11">
        <f t="shared" si="8"/>
        <v>3.0534278411574779E-2</v>
      </c>
      <c r="P35" s="11" t="str">
        <f t="shared" si="8"/>
        <v/>
      </c>
      <c r="Q35" s="11">
        <f t="shared" si="8"/>
        <v>3.8588739000109977E-3</v>
      </c>
      <c r="R35" s="11">
        <f t="shared" si="8"/>
        <v>1.8415403778385817</v>
      </c>
      <c r="S35" s="11">
        <f t="shared" si="8"/>
        <v>1.2428650398621108</v>
      </c>
      <c r="T35" s="11">
        <f t="shared" si="8"/>
        <v>2.6966818529248231</v>
      </c>
      <c r="U35" s="11">
        <f t="shared" si="8"/>
        <v>3.3680968427967931E-2</v>
      </c>
      <c r="V35" s="11">
        <f t="shared" si="8"/>
        <v>8.4904915376889812E-3</v>
      </c>
    </row>
    <row r="36" spans="1:22" x14ac:dyDescent="0.3">
      <c r="A36" s="223"/>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0.17538618211462415</v>
      </c>
      <c r="P36" s="11" t="str">
        <f t="shared" si="8"/>
        <v/>
      </c>
      <c r="Q36" s="11" t="str">
        <f t="shared" si="8"/>
        <v/>
      </c>
      <c r="R36" s="11" t="str">
        <f t="shared" si="8"/>
        <v/>
      </c>
      <c r="S36" s="11" t="str">
        <f t="shared" si="8"/>
        <v/>
      </c>
      <c r="T36" s="11" t="str">
        <f t="shared" si="8"/>
        <v/>
      </c>
      <c r="U36" s="11" t="str">
        <f t="shared" si="8"/>
        <v/>
      </c>
      <c r="V36" s="11" t="str">
        <f t="shared" si="8"/>
        <v/>
      </c>
    </row>
    <row r="37" spans="1:22" x14ac:dyDescent="0.3">
      <c r="A37" s="223"/>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2.2581558377842134E-2</v>
      </c>
      <c r="P37" s="11" t="str">
        <f t="shared" si="8"/>
        <v/>
      </c>
      <c r="Q37" s="11" t="str">
        <f t="shared" si="8"/>
        <v/>
      </c>
      <c r="R37" s="11" t="str">
        <f t="shared" si="8"/>
        <v/>
      </c>
      <c r="S37" s="11" t="str">
        <f t="shared" si="8"/>
        <v/>
      </c>
      <c r="T37" s="11" t="str">
        <f t="shared" si="8"/>
        <v/>
      </c>
      <c r="U37" s="11" t="str">
        <f t="shared" si="8"/>
        <v/>
      </c>
      <c r="V37" s="11" t="str">
        <f t="shared" si="8"/>
        <v/>
      </c>
    </row>
    <row r="38" spans="1:22" x14ac:dyDescent="0.3">
      <c r="A38" s="223"/>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5.1403204116907322E-3</v>
      </c>
      <c r="P38" s="11" t="str">
        <f t="shared" si="8"/>
        <v/>
      </c>
      <c r="Q38" s="11" t="str">
        <f t="shared" si="8"/>
        <v/>
      </c>
      <c r="R38" s="11" t="str">
        <f t="shared" si="8"/>
        <v/>
      </c>
      <c r="S38" s="11" t="str">
        <f t="shared" si="8"/>
        <v/>
      </c>
      <c r="T38" s="11" t="str">
        <f t="shared" si="8"/>
        <v/>
      </c>
      <c r="U38" s="11" t="str">
        <f t="shared" si="8"/>
        <v/>
      </c>
      <c r="V38" s="11" t="str">
        <f t="shared" si="8"/>
        <v/>
      </c>
    </row>
    <row r="39" spans="1:22" x14ac:dyDescent="0.3">
      <c r="A39" s="223"/>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3.0020730849238099E-2</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
      <c r="A40" s="223"/>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3.8778703150291309</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
      <c r="A41" s="223"/>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1.8802623485175998E-2</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
      <c r="A42" s="223"/>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3.58998814803283E-3</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
      <c r="A43" s="223"/>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t="str">
        <f t="shared" si="22"/>
        <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Fadrozole-0.016µg/L</v>
      </c>
      <c r="J45" s="7" t="str">
        <f t="shared" si="26"/>
        <v>Fadrozole-0.08µg/L</v>
      </c>
      <c r="K45" s="7" t="str">
        <f t="shared" si="26"/>
        <v>Fadrozole-0.4µg/L</v>
      </c>
      <c r="L45" s="7" t="str">
        <f t="shared" si="26"/>
        <v>Fadrozole-2µg/L</v>
      </c>
      <c r="M45" s="7" t="str">
        <f t="shared" si="26"/>
        <v>Fadrozole-10 µg/L</v>
      </c>
      <c r="N45" s="7"/>
      <c r="O45" s="7" t="str">
        <f t="shared" si="26"/>
        <v>Testo -30µg/L</v>
      </c>
      <c r="P45" s="7" t="str">
        <f t="shared" si="26"/>
        <v>Testo 30µg/L + EE2 -64ng/L</v>
      </c>
      <c r="Q45" s="7" t="str">
        <f t="shared" si="26"/>
        <v>Testo 30µg/L + FAD-10µg/L</v>
      </c>
      <c r="R45" s="7" t="str">
        <f t="shared" si="26"/>
        <v>Fadrozole-0.016µg/L + Testostérone</v>
      </c>
      <c r="S45" s="7" t="str">
        <f t="shared" si="26"/>
        <v>Fadrozole-0.08µg/L + Testostérone</v>
      </c>
      <c r="T45" s="7" t="str">
        <f t="shared" si="26"/>
        <v>Fadrozole-0.4µg/L + Testostérone</v>
      </c>
      <c r="U45" s="7" t="str">
        <f t="shared" si="26"/>
        <v>Fadrozole-2µg/L + Testostérone</v>
      </c>
      <c r="V45" s="7" t="str">
        <f t="shared" si="26"/>
        <v>Fadrozole-10 µg/L + Testostérone</v>
      </c>
    </row>
    <row r="46" spans="1:22" x14ac:dyDescent="0.3">
      <c r="A46" s="8" t="s">
        <v>0</v>
      </c>
      <c r="B46" s="10">
        <f t="shared" ref="B46:H46" si="27">AVERAGE(B28:B43)</f>
        <v>2.3659826579187013E-2</v>
      </c>
      <c r="C46" s="10">
        <f t="shared" si="27"/>
        <v>1.1959057178353291E-2</v>
      </c>
      <c r="D46" s="10">
        <f t="shared" si="27"/>
        <v>6.5288064654023148E-2</v>
      </c>
      <c r="E46" s="10">
        <f t="shared" si="27"/>
        <v>2.6854682875498148</v>
      </c>
      <c r="F46" s="10">
        <f t="shared" si="27"/>
        <v>6.293861051055603</v>
      </c>
      <c r="G46" s="10">
        <f t="shared" si="27"/>
        <v>7.4665977799288124</v>
      </c>
      <c r="H46" s="10">
        <f t="shared" si="27"/>
        <v>16.00501361766181</v>
      </c>
      <c r="I46" s="10">
        <f>AVERAGE(I28:I43)</f>
        <v>5.0752185685879102E-2</v>
      </c>
      <c r="J46" s="9">
        <f>AVERAGE(J28:J43)</f>
        <v>2.8424719152811705E-2</v>
      </c>
      <c r="K46" s="9">
        <f t="shared" ref="K46:M46" si="28">AVERAGE(K28:K43)</f>
        <v>5.0557485755111133E-2</v>
      </c>
      <c r="L46" s="9">
        <f t="shared" si="28"/>
        <v>4.7676047899453206E-2</v>
      </c>
      <c r="M46" s="9">
        <f t="shared" si="28"/>
        <v>1.6746702954285014E-2</v>
      </c>
      <c r="N46" s="8" t="s">
        <v>0</v>
      </c>
      <c r="O46" s="10">
        <f t="shared" ref="O46:V46" si="29">AVERAGE(O28:O43)</f>
        <v>0.99999999999999989</v>
      </c>
      <c r="P46" s="10">
        <f t="shared" si="29"/>
        <v>18.722979663862588</v>
      </c>
      <c r="Q46" s="10">
        <f t="shared" si="29"/>
        <v>0.1011576662073269</v>
      </c>
      <c r="R46" s="10">
        <f t="shared" si="29"/>
        <v>0.95555819147927701</v>
      </c>
      <c r="S46" s="10">
        <f t="shared" si="29"/>
        <v>0.93887637408290181</v>
      </c>
      <c r="T46" s="10">
        <f t="shared" si="29"/>
        <v>0.83170329757287409</v>
      </c>
      <c r="U46" s="10">
        <f t="shared" si="29"/>
        <v>0.76518617068092365</v>
      </c>
      <c r="V46" s="10">
        <f t="shared" si="29"/>
        <v>2.3572014790815769E-2</v>
      </c>
    </row>
    <row r="47" spans="1:22" x14ac:dyDescent="0.3">
      <c r="A47" s="8" t="s">
        <v>1</v>
      </c>
      <c r="B47" s="8">
        <f t="shared" ref="B47:M47" si="30">STDEV(B28:B43)</f>
        <v>2.785346199319514E-2</v>
      </c>
      <c r="C47" s="8">
        <f t="shared" si="30"/>
        <v>1.2736895616879953E-2</v>
      </c>
      <c r="D47" s="8">
        <f t="shared" si="30"/>
        <v>6.63281816508966E-2</v>
      </c>
      <c r="E47" s="8">
        <f t="shared" si="30"/>
        <v>2.1356443739049897</v>
      </c>
      <c r="F47" s="8">
        <f t="shared" si="30"/>
        <v>7.2539916222172121</v>
      </c>
      <c r="G47" s="8">
        <f t="shared" si="30"/>
        <v>1.896161617612115</v>
      </c>
      <c r="H47" s="8">
        <f t="shared" si="30"/>
        <v>4.8785397316671686</v>
      </c>
      <c r="I47" s="8">
        <f t="shared" si="30"/>
        <v>5.6740529066174994E-2</v>
      </c>
      <c r="J47" s="8">
        <f t="shared" si="30"/>
        <v>2.7256331040925428E-2</v>
      </c>
      <c r="K47" s="8">
        <f t="shared" si="30"/>
        <v>7.1514094080437685E-2</v>
      </c>
      <c r="L47" s="8">
        <f t="shared" si="30"/>
        <v>3.7885450723173487E-2</v>
      </c>
      <c r="M47" s="8">
        <f t="shared" si="30"/>
        <v>1.4141824926420724E-2</v>
      </c>
      <c r="N47" s="8" t="s">
        <v>1</v>
      </c>
      <c r="O47" s="8">
        <f t="shared" ref="O47:V47" si="31">STDEV(O28:O43)</f>
        <v>2.4559791552691732</v>
      </c>
      <c r="P47" s="8">
        <f t="shared" si="31"/>
        <v>6.0075398309355128</v>
      </c>
      <c r="Q47" s="8">
        <f t="shared" si="31"/>
        <v>0.19625385557469602</v>
      </c>
      <c r="R47" s="8">
        <f t="shared" si="31"/>
        <v>1.1493979731973381</v>
      </c>
      <c r="S47" s="8">
        <f t="shared" si="31"/>
        <v>0.99889855103995262</v>
      </c>
      <c r="T47" s="8">
        <f t="shared" si="31"/>
        <v>1.3935851853061005</v>
      </c>
      <c r="U47" s="8">
        <f t="shared" si="31"/>
        <v>1.418615926815469</v>
      </c>
      <c r="V47" s="8">
        <f t="shared" si="31"/>
        <v>1.9646043925492903E-2</v>
      </c>
    </row>
    <row r="48" spans="1:22" x14ac:dyDescent="0.3">
      <c r="A48" s="8" t="s">
        <v>2</v>
      </c>
      <c r="B48" s="8">
        <f t="shared" ref="B48:M48" si="32" xml:space="preserve"> B47/SQRT(COUNT(B28:B43))</f>
        <v>9.8476859274550261E-3</v>
      </c>
      <c r="C48" s="8">
        <f t="shared" si="32"/>
        <v>4.5031726309805141E-3</v>
      </c>
      <c r="D48" s="8">
        <f t="shared" si="32"/>
        <v>2.3450553514561059E-2</v>
      </c>
      <c r="E48" s="8">
        <f t="shared" si="32"/>
        <v>0.75506430949555836</v>
      </c>
      <c r="F48" s="8">
        <f t="shared" si="32"/>
        <v>2.7417511207046776</v>
      </c>
      <c r="G48" s="8">
        <f t="shared" si="32"/>
        <v>0.71668172654108686</v>
      </c>
      <c r="H48" s="8">
        <f t="shared" si="32"/>
        <v>1.8439146987341581</v>
      </c>
      <c r="I48" s="8">
        <f t="shared" si="32"/>
        <v>2.0060806435402371E-2</v>
      </c>
      <c r="J48" s="8">
        <f t="shared" si="32"/>
        <v>1.0301924798048421E-2</v>
      </c>
      <c r="K48" s="8">
        <f t="shared" si="32"/>
        <v>2.528405043734511E-2</v>
      </c>
      <c r="L48" s="8">
        <f t="shared" si="32"/>
        <v>1.339452955733238E-2</v>
      </c>
      <c r="M48" s="8">
        <f t="shared" si="32"/>
        <v>5.3451074057033624E-3</v>
      </c>
      <c r="N48" s="8" t="s">
        <v>2</v>
      </c>
      <c r="O48" s="8">
        <f t="shared" ref="O48:V48" si="33" xml:space="preserve"> O47/SQRT(COUNT(O28:O43))</f>
        <v>0.63413109113267119</v>
      </c>
      <c r="P48" s="8">
        <f t="shared" si="33"/>
        <v>2.2706366262814832</v>
      </c>
      <c r="Q48" s="8">
        <f t="shared" si="33"/>
        <v>6.9386216055436434E-2</v>
      </c>
      <c r="R48" s="8">
        <f t="shared" si="33"/>
        <v>0.40637355056495567</v>
      </c>
      <c r="S48" s="8">
        <f t="shared" si="33"/>
        <v>0.35316396957888357</v>
      </c>
      <c r="T48" s="8">
        <f t="shared" si="33"/>
        <v>0.49270676734552754</v>
      </c>
      <c r="U48" s="8">
        <f t="shared" si="33"/>
        <v>0.50155647087522859</v>
      </c>
      <c r="V48" s="8">
        <f t="shared" si="33"/>
        <v>6.9459254416024052E-3</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4" t="s">
        <v>44</v>
      </c>
      <c r="B50" s="215"/>
      <c r="C50" s="215"/>
      <c r="D50" s="215"/>
      <c r="E50" s="215"/>
      <c r="F50" s="215"/>
      <c r="G50" s="215"/>
      <c r="H50" s="215"/>
      <c r="I50" s="215"/>
      <c r="J50" s="215"/>
      <c r="K50" s="215"/>
      <c r="L50" s="215"/>
      <c r="M50" s="215"/>
      <c r="N50" s="215"/>
      <c r="O50" s="215"/>
      <c r="P50" s="215"/>
      <c r="Q50" s="215"/>
      <c r="R50" s="215"/>
      <c r="S50" s="215"/>
      <c r="T50" s="215"/>
      <c r="U50" s="215"/>
      <c r="V50" s="215"/>
    </row>
    <row r="51" spans="1:22" ht="15" thickBot="1" x14ac:dyDescent="0.35"/>
    <row r="52" spans="1:22" x14ac:dyDescent="0.3">
      <c r="A52" s="44" t="str">
        <f t="shared" ref="A52:H52" si="34">A27</f>
        <v>Noms des groupes</v>
      </c>
      <c r="B52" s="45" t="str">
        <f t="shared" si="34"/>
        <v>Témoin solvant</v>
      </c>
      <c r="C52" s="45" t="str">
        <f t="shared" si="34"/>
        <v>EE2-33.8ng/L</v>
      </c>
      <c r="D52" s="45" t="str">
        <f t="shared" si="34"/>
        <v>EE2-50.6ng/L</v>
      </c>
      <c r="E52" s="45" t="str">
        <f t="shared" si="34"/>
        <v>EE2-76ng/L</v>
      </c>
      <c r="F52" s="45" t="str">
        <f t="shared" si="34"/>
        <v>EE2-114ng/L</v>
      </c>
      <c r="G52" s="45" t="str">
        <f t="shared" si="34"/>
        <v>EE2-170.9ng/L</v>
      </c>
      <c r="H52" s="45" t="str">
        <f t="shared" si="34"/>
        <v>EE2-488ng/L</v>
      </c>
      <c r="I52" s="45" t="str">
        <f>I4</f>
        <v>Fadrozole-0.016µg/L</v>
      </c>
      <c r="J52" s="45" t="str">
        <f>J4</f>
        <v>Fadrozole-0.08µg/L</v>
      </c>
      <c r="K52" s="45" t="str">
        <f t="shared" ref="K52:M52" si="35">K4</f>
        <v>Fadrozole-0.4µg/L</v>
      </c>
      <c r="L52" s="45" t="str">
        <f t="shared" si="35"/>
        <v>Fadrozole-2µg/L</v>
      </c>
      <c r="M52" s="45" t="str">
        <f t="shared" si="35"/>
        <v>Fadrozole-10 µg/L</v>
      </c>
      <c r="N52" s="46"/>
      <c r="O52" s="45" t="str">
        <f>O27</f>
        <v>Testo -30µg/L</v>
      </c>
      <c r="P52" s="45" t="str">
        <f>P27</f>
        <v>Testo 30µg/L + EE2 -64ng/L</v>
      </c>
      <c r="Q52" s="45" t="str">
        <f>Q27</f>
        <v>Testo 30µg/L + FAD-10µg/L</v>
      </c>
      <c r="R52" s="45" t="str">
        <f>R27</f>
        <v>Fadrozole-0.016µg/L + Testostérone</v>
      </c>
      <c r="S52" s="45" t="str">
        <f t="shared" ref="S52:V52" si="36">S27</f>
        <v>Fadrozole-0.08µg/L + Testostérone</v>
      </c>
      <c r="T52" s="45" t="str">
        <f t="shared" si="36"/>
        <v>Fadrozole-0.4µg/L + Testostérone</v>
      </c>
      <c r="U52" s="45" t="str">
        <f t="shared" si="36"/>
        <v>Fadrozole-2µg/L + Testostérone</v>
      </c>
      <c r="V52" s="45" t="str">
        <f t="shared" si="36"/>
        <v>Fadrozole-10 µg/L + Testostérone</v>
      </c>
    </row>
    <row r="53" spans="1:22" s="3" customFormat="1" x14ac:dyDescent="0.3">
      <c r="A53" s="60" t="s">
        <v>32</v>
      </c>
      <c r="B53" s="140">
        <f t="shared" ref="B53:V53" si="37">B46</f>
        <v>2.3659826579187013E-2</v>
      </c>
      <c r="C53" s="140">
        <f t="shared" si="37"/>
        <v>1.1959057178353291E-2</v>
      </c>
      <c r="D53" s="140">
        <f t="shared" si="37"/>
        <v>6.5288064654023148E-2</v>
      </c>
      <c r="E53" s="140">
        <f t="shared" si="37"/>
        <v>2.6854682875498148</v>
      </c>
      <c r="F53" s="140">
        <f t="shared" si="37"/>
        <v>6.293861051055603</v>
      </c>
      <c r="G53" s="140">
        <f t="shared" si="37"/>
        <v>7.4665977799288124</v>
      </c>
      <c r="H53" s="140">
        <f t="shared" si="37"/>
        <v>16.00501361766181</v>
      </c>
      <c r="I53" s="140">
        <f t="shared" si="37"/>
        <v>5.0752185685879102E-2</v>
      </c>
      <c r="J53" s="140">
        <f t="shared" si="37"/>
        <v>2.8424719152811705E-2</v>
      </c>
      <c r="K53" s="140">
        <f t="shared" si="37"/>
        <v>5.0557485755111133E-2</v>
      </c>
      <c r="L53" s="140">
        <f t="shared" si="37"/>
        <v>4.7676047899453206E-2</v>
      </c>
      <c r="M53" s="140">
        <f t="shared" si="37"/>
        <v>1.6746702954285014E-2</v>
      </c>
      <c r="N53" s="140"/>
      <c r="O53" s="140">
        <f t="shared" si="37"/>
        <v>0.99999999999999989</v>
      </c>
      <c r="P53" s="140">
        <f t="shared" si="37"/>
        <v>18.722979663862588</v>
      </c>
      <c r="Q53" s="140">
        <f t="shared" si="37"/>
        <v>0.1011576662073269</v>
      </c>
      <c r="R53" s="140">
        <f t="shared" si="37"/>
        <v>0.95555819147927701</v>
      </c>
      <c r="S53" s="140">
        <f t="shared" si="37"/>
        <v>0.93887637408290181</v>
      </c>
      <c r="T53" s="140">
        <f t="shared" si="37"/>
        <v>0.83170329757287409</v>
      </c>
      <c r="U53" s="140">
        <f t="shared" si="37"/>
        <v>0.76518617068092365</v>
      </c>
      <c r="V53" s="140">
        <f t="shared" si="37"/>
        <v>2.3572014790815769E-2</v>
      </c>
    </row>
    <row r="54" spans="1:22" s="3" customFormat="1" x14ac:dyDescent="0.3">
      <c r="A54" s="60" t="s">
        <v>2</v>
      </c>
      <c r="B54" s="140">
        <f t="shared" ref="B54:V54" si="38">B48</f>
        <v>9.8476859274550261E-3</v>
      </c>
      <c r="C54" s="140">
        <f t="shared" si="38"/>
        <v>4.5031726309805141E-3</v>
      </c>
      <c r="D54" s="140">
        <f t="shared" si="38"/>
        <v>2.3450553514561059E-2</v>
      </c>
      <c r="E54" s="140">
        <f t="shared" si="38"/>
        <v>0.75506430949555836</v>
      </c>
      <c r="F54" s="140">
        <f t="shared" si="38"/>
        <v>2.7417511207046776</v>
      </c>
      <c r="G54" s="140">
        <f t="shared" si="38"/>
        <v>0.71668172654108686</v>
      </c>
      <c r="H54" s="140">
        <f t="shared" si="38"/>
        <v>1.8439146987341581</v>
      </c>
      <c r="I54" s="140">
        <f t="shared" si="38"/>
        <v>2.0060806435402371E-2</v>
      </c>
      <c r="J54" s="140">
        <f t="shared" si="38"/>
        <v>1.0301924798048421E-2</v>
      </c>
      <c r="K54" s="140">
        <f t="shared" si="38"/>
        <v>2.528405043734511E-2</v>
      </c>
      <c r="L54" s="140">
        <f t="shared" si="38"/>
        <v>1.339452955733238E-2</v>
      </c>
      <c r="M54" s="140">
        <f t="shared" si="38"/>
        <v>5.3451074057033624E-3</v>
      </c>
      <c r="N54" s="140"/>
      <c r="O54" s="140">
        <f t="shared" si="38"/>
        <v>0.63413109113267119</v>
      </c>
      <c r="P54" s="140">
        <f t="shared" si="38"/>
        <v>2.2706366262814832</v>
      </c>
      <c r="Q54" s="140">
        <f t="shared" si="38"/>
        <v>6.9386216055436434E-2</v>
      </c>
      <c r="R54" s="140">
        <f t="shared" si="38"/>
        <v>0.40637355056495567</v>
      </c>
      <c r="S54" s="140">
        <f t="shared" si="38"/>
        <v>0.35316396957888357</v>
      </c>
      <c r="T54" s="140">
        <f t="shared" si="38"/>
        <v>0.49270676734552754</v>
      </c>
      <c r="U54" s="140">
        <f t="shared" si="38"/>
        <v>0.50155647087522859</v>
      </c>
      <c r="V54" s="140">
        <f t="shared" si="38"/>
        <v>6.9459254416024052E-3</v>
      </c>
    </row>
    <row r="55" spans="1:22" s="3" customFormat="1" x14ac:dyDescent="0.3">
      <c r="A55" s="60" t="s">
        <v>79</v>
      </c>
      <c r="B55" s="140">
        <f>(B53*100/$B53)-100</f>
        <v>0</v>
      </c>
      <c r="C55" s="140">
        <f t="shared" ref="C55:M55" si="39">(C53*100/$B53)-100</f>
        <v>-49.454163840434106</v>
      </c>
      <c r="D55" s="140">
        <f t="shared" si="39"/>
        <v>175.94481487643492</v>
      </c>
      <c r="E55" s="140">
        <f t="shared" si="39"/>
        <v>11250.329549381218</v>
      </c>
      <c r="F55" s="140">
        <f t="shared" si="39"/>
        <v>26501.467386038083</v>
      </c>
      <c r="G55" s="140">
        <f t="shared" si="39"/>
        <v>31458.125563342044</v>
      </c>
      <c r="H55" s="140">
        <f t="shared" si="39"/>
        <v>67546.369106276718</v>
      </c>
      <c r="I55" s="140">
        <f t="shared" si="39"/>
        <v>114.50785159399518</v>
      </c>
      <c r="J55" s="140">
        <f t="shared" si="39"/>
        <v>20.139169480710635</v>
      </c>
      <c r="K55" s="140">
        <f t="shared" si="39"/>
        <v>113.68493799352422</v>
      </c>
      <c r="L55" s="140">
        <f t="shared" si="39"/>
        <v>101.50632862792278</v>
      </c>
      <c r="M55" s="140">
        <f t="shared" si="39"/>
        <v>-29.218826273998587</v>
      </c>
      <c r="N55" s="140"/>
      <c r="O55" s="140">
        <f>(O53*100/$O53)-100</f>
        <v>0</v>
      </c>
      <c r="P55" s="140">
        <f t="shared" ref="P55:V55" si="40">(P53*100/$O53)-100</f>
        <v>1772.2979663862591</v>
      </c>
      <c r="Q55" s="140">
        <f t="shared" si="40"/>
        <v>-89.884233379267314</v>
      </c>
      <c r="R55" s="140">
        <f t="shared" si="40"/>
        <v>-4.4441808520722788</v>
      </c>
      <c r="S55" s="140">
        <f t="shared" si="40"/>
        <v>-6.112362591709811</v>
      </c>
      <c r="T55" s="140">
        <f t="shared" si="40"/>
        <v>-16.829670242712581</v>
      </c>
      <c r="U55" s="140">
        <f t="shared" si="40"/>
        <v>-23.481382931907618</v>
      </c>
      <c r="V55" s="140">
        <f t="shared" si="40"/>
        <v>-97.642798520918419</v>
      </c>
    </row>
    <row r="56" spans="1:22" s="3" customFormat="1" x14ac:dyDescent="0.3">
      <c r="A56" s="60" t="s">
        <v>81</v>
      </c>
      <c r="B56" s="140" t="e">
        <f ca="1">[1]!SWTEST(B28:B43)</f>
        <v>#NAME?</v>
      </c>
      <c r="C56" s="140" t="e">
        <f ca="1">[1]!SWTEST(C28:C43)</f>
        <v>#NAME?</v>
      </c>
      <c r="D56" s="140" t="e">
        <f ca="1">[1]!SWTEST(D28:D43)</f>
        <v>#NAME?</v>
      </c>
      <c r="E56" s="140" t="e">
        <f ca="1">[1]!SWTEST(E28:E43)</f>
        <v>#NAME?</v>
      </c>
      <c r="F56" s="140" t="e">
        <f ca="1">[1]!SWTEST(F28:F43)</f>
        <v>#NAME?</v>
      </c>
      <c r="G56" s="140" t="e">
        <f ca="1">[1]!SWTEST(G28:G43)</f>
        <v>#NAME?</v>
      </c>
      <c r="H56" s="140" t="e">
        <f ca="1">[1]!SWTEST(H28:H43)</f>
        <v>#NAME?</v>
      </c>
      <c r="I56" s="140" t="e">
        <f ca="1">[1]!SWTEST(I28:I43)</f>
        <v>#NAME?</v>
      </c>
      <c r="J56" s="140" t="e">
        <f ca="1">[1]!SWTEST(J28:J43)</f>
        <v>#NAME?</v>
      </c>
      <c r="K56" s="140" t="e">
        <f ca="1">[1]!SWTEST(K28:K43)</f>
        <v>#NAME?</v>
      </c>
      <c r="L56" s="140" t="e">
        <f ca="1">[1]!SWTEST(L28:L43)</f>
        <v>#NAME?</v>
      </c>
      <c r="M56" s="140" t="e">
        <f ca="1">[1]!SWTEST(M28:M43)</f>
        <v>#NAME?</v>
      </c>
      <c r="N56" s="140"/>
      <c r="O56" s="140" t="e">
        <f ca="1">[1]!SWTEST(O28:O43)</f>
        <v>#NAME?</v>
      </c>
      <c r="P56" s="140" t="e">
        <f ca="1">[1]!SWTEST(P28:P43)</f>
        <v>#NAME?</v>
      </c>
      <c r="Q56" s="140" t="e">
        <f ca="1">[1]!SWTEST(Q28:Q43)</f>
        <v>#NAME?</v>
      </c>
      <c r="R56" s="140" t="e">
        <f ca="1">[1]!SWTEST(R28:R43)</f>
        <v>#NAME?</v>
      </c>
      <c r="S56" s="140" t="e">
        <f ca="1">[1]!SWTEST(S28:S43)</f>
        <v>#NAME?</v>
      </c>
      <c r="T56" s="140" t="e">
        <f ca="1">[1]!SWTEST(T28:T43)</f>
        <v>#NAME?</v>
      </c>
      <c r="U56" s="140" t="e">
        <f ca="1">[1]!SWTEST(U28:U43)</f>
        <v>#NAME?</v>
      </c>
      <c r="V56" s="140" t="e">
        <f ca="1">[1]!SWTEST(V28:V43)</f>
        <v>#NAME?</v>
      </c>
    </row>
    <row r="57" spans="1:22" s="3" customFormat="1" x14ac:dyDescent="0.3">
      <c r="A57" s="60" t="s">
        <v>85</v>
      </c>
      <c r="B57" s="140" t="e">
        <f ca="1">IF(B56&gt;0.05,"Oui","Non")</f>
        <v>#NAME?</v>
      </c>
      <c r="C57" s="140" t="e">
        <f t="shared" ref="C57:V57" ca="1" si="41">IF(C56&gt;0.05,"Oui","Non")</f>
        <v>#NAME?</v>
      </c>
      <c r="D57" s="140" t="e">
        <f t="shared" ca="1" si="41"/>
        <v>#NAME?</v>
      </c>
      <c r="E57" s="140" t="e">
        <f t="shared" ca="1" si="41"/>
        <v>#NAME?</v>
      </c>
      <c r="F57" s="140" t="e">
        <f t="shared" ca="1" si="41"/>
        <v>#NAME?</v>
      </c>
      <c r="G57" s="140" t="e">
        <f t="shared" ca="1" si="41"/>
        <v>#NAME?</v>
      </c>
      <c r="H57" s="140" t="e">
        <f t="shared" ca="1" si="41"/>
        <v>#NAME?</v>
      </c>
      <c r="I57" s="140" t="e">
        <f t="shared" ca="1" si="41"/>
        <v>#NAME?</v>
      </c>
      <c r="J57" s="140" t="e">
        <f t="shared" ca="1" si="41"/>
        <v>#NAME?</v>
      </c>
      <c r="K57" s="140" t="e">
        <f t="shared" ca="1" si="41"/>
        <v>#NAME?</v>
      </c>
      <c r="L57" s="140" t="e">
        <f t="shared" ca="1" si="41"/>
        <v>#NAME?</v>
      </c>
      <c r="M57" s="140" t="e">
        <f t="shared" ca="1" si="41"/>
        <v>#NAME?</v>
      </c>
      <c r="N57" s="140"/>
      <c r="O57" s="140" t="e">
        <f t="shared" ca="1" si="41"/>
        <v>#NAME?</v>
      </c>
      <c r="P57" s="140" t="e">
        <f t="shared" ca="1" si="41"/>
        <v>#NAME?</v>
      </c>
      <c r="Q57" s="140" t="e">
        <f t="shared" ca="1" si="41"/>
        <v>#NAME?</v>
      </c>
      <c r="R57" s="140" t="e">
        <f t="shared" ca="1" si="41"/>
        <v>#NAME?</v>
      </c>
      <c r="S57" s="140" t="e">
        <f t="shared" ca="1" si="41"/>
        <v>#NAME?</v>
      </c>
      <c r="T57" s="140" t="e">
        <f t="shared" ca="1" si="41"/>
        <v>#NAME?</v>
      </c>
      <c r="U57" s="140" t="e">
        <f t="shared" ca="1" si="41"/>
        <v>#NAME?</v>
      </c>
      <c r="V57" s="140" t="e">
        <f t="shared" ca="1" si="41"/>
        <v>#NAME?</v>
      </c>
    </row>
    <row r="58" spans="1:22" s="3" customFormat="1" x14ac:dyDescent="0.3">
      <c r="A58" s="60"/>
      <c r="B58" s="140"/>
      <c r="C58" s="140"/>
      <c r="D58" s="140"/>
      <c r="E58" s="140"/>
      <c r="F58" s="140"/>
      <c r="G58" s="140"/>
      <c r="H58" s="140"/>
      <c r="I58" s="140"/>
      <c r="J58" s="140"/>
      <c r="K58" s="140"/>
      <c r="L58" s="140"/>
      <c r="M58" s="140"/>
      <c r="N58" s="147"/>
      <c r="O58" s="148"/>
      <c r="P58" s="140"/>
      <c r="Q58" s="140"/>
      <c r="R58" s="140"/>
      <c r="S58" s="140"/>
      <c r="T58" s="140"/>
      <c r="U58" s="140"/>
      <c r="V58" s="140"/>
    </row>
    <row r="59" spans="1:22" s="3" customFormat="1" x14ac:dyDescent="0.3">
      <c r="A59" s="60" t="s">
        <v>82</v>
      </c>
      <c r="B59" s="149"/>
      <c r="C59" s="149" t="e">
        <f t="shared" ref="C59:O59" ca="1" si="42">IF($B57="Non",IF(C57="Non","MW",IF(C57="Oui","MW","")),IF($B57="Oui",IF(C57="Oui","T-Test Welch",IF(C57="Non","MW",""))))</f>
        <v>#NAME?</v>
      </c>
      <c r="D59" s="149" t="e">
        <f t="shared" ca="1" si="42"/>
        <v>#NAME?</v>
      </c>
      <c r="E59" s="149" t="e">
        <f t="shared" ca="1" si="42"/>
        <v>#NAME?</v>
      </c>
      <c r="F59" s="149" t="e">
        <f t="shared" ca="1" si="42"/>
        <v>#NAME?</v>
      </c>
      <c r="G59" s="149" t="e">
        <f t="shared" ca="1" si="42"/>
        <v>#NAME?</v>
      </c>
      <c r="H59" s="149" t="e">
        <f t="shared" ca="1" si="42"/>
        <v>#NAME?</v>
      </c>
      <c r="I59" s="149" t="e">
        <f t="shared" ca="1" si="42"/>
        <v>#NAME?</v>
      </c>
      <c r="J59" s="149" t="e">
        <f t="shared" ca="1" si="42"/>
        <v>#NAME?</v>
      </c>
      <c r="K59" s="149" t="e">
        <f t="shared" ca="1" si="42"/>
        <v>#NAME?</v>
      </c>
      <c r="L59" s="149" t="e">
        <f t="shared" ca="1" si="42"/>
        <v>#NAME?</v>
      </c>
      <c r="M59" s="149" t="e">
        <f t="shared" ca="1" si="42"/>
        <v>#NAME?</v>
      </c>
      <c r="N59" s="149"/>
      <c r="O59" s="149" t="e">
        <f t="shared" ca="1" si="42"/>
        <v>#NAME?</v>
      </c>
      <c r="P59" s="149" t="e">
        <f ca="1">IF($O57="Non",IF(P57="Non","MW",IF(P57="Oui","MW","")),IF($O57="Oui",IF(P57="Oui","T-Test Welch",IF(P57="Non","MW",""))))</f>
        <v>#NAME?</v>
      </c>
      <c r="Q59" s="149" t="e">
        <f t="shared" ref="Q59:V59" ca="1" si="43">IF($O57="Non",IF(Q57="Non","MW",IF(Q57="Oui","MW","")),IF($O57="Oui",IF(Q57="Oui","T-Test Welch",IF(Q57="Non","MW",""))))</f>
        <v>#NAME?</v>
      </c>
      <c r="R59" s="149" t="e">
        <f t="shared" ca="1" si="43"/>
        <v>#NAME?</v>
      </c>
      <c r="S59" s="149" t="e">
        <f t="shared" ca="1" si="43"/>
        <v>#NAME?</v>
      </c>
      <c r="T59" s="149" t="e">
        <f t="shared" ca="1" si="43"/>
        <v>#NAME?</v>
      </c>
      <c r="U59" s="149" t="e">
        <f t="shared" ca="1" si="43"/>
        <v>#NAME?</v>
      </c>
      <c r="V59" s="149" t="e">
        <f t="shared" ca="1" si="43"/>
        <v>#NAME?</v>
      </c>
    </row>
    <row r="60" spans="1:22" s="3" customFormat="1" x14ac:dyDescent="0.3">
      <c r="A60" s="60" t="s">
        <v>83</v>
      </c>
      <c r="B60" s="150"/>
      <c r="C60" s="150" t="e">
        <f ca="1">IF(C59="MW",[1]!MTEST($B28:$B43,C28:C43,2), IF(C59="T-Test Welch",_xlfn.T.TEST($B28:$B43,C28:C43,2,3),""))</f>
        <v>#NAME?</v>
      </c>
      <c r="D60" s="150" t="e">
        <f ca="1">IF(D59="MW",[1]!MTEST($B28:$B43,D28:D43,2), IF(D59="T-Test Welch",_xlfn.T.TEST($B28:$B43,D28:D43,2,3),""))</f>
        <v>#NAME?</v>
      </c>
      <c r="E60" s="150" t="e">
        <f ca="1">IF(E59="MW",[1]!MTEST($B28:$B43,E28:E43,2), IF(E59="T-Test Welch",_xlfn.T.TEST($B28:$B43,E28:E43,2,3),""))</f>
        <v>#NAME?</v>
      </c>
      <c r="F60" s="150" t="e">
        <f ca="1">IF(F59="MW",[1]!MTEST($B28:$B43,F28:F43,2), IF(F59="T-Test Welch",_xlfn.T.TEST($B28:$B43,F28:F43,2,3),""))</f>
        <v>#NAME?</v>
      </c>
      <c r="G60" s="150" t="e">
        <f ca="1">IF(G59="MW",[1]!MTEST($B28:$B43,G28:G43,2), IF(G59="T-Test Welch",_xlfn.T.TEST($B28:$B43,G28:G43,2,3),""))</f>
        <v>#NAME?</v>
      </c>
      <c r="H60" s="150" t="e">
        <f ca="1">IF(H59="MW",[1]!MTEST($B28:$B43,H28:H43,2), IF(H59="T-Test Welch",_xlfn.T.TEST($B28:$B43,H28:H43,2,3),""))</f>
        <v>#NAME?</v>
      </c>
      <c r="I60" s="150" t="e">
        <f ca="1">IF(I59="MW",[1]!MTEST($B28:$B43,I28:I43,2), IF(I59="T-Test Welch",_xlfn.T.TEST($B28:$B43,I28:I43,2,3),""))</f>
        <v>#NAME?</v>
      </c>
      <c r="J60" s="150" t="e">
        <f ca="1">IF(J59="MW",[1]!MTEST($B28:$B43,J28:J43,2), IF(J59="T-Test Welch",_xlfn.T.TEST($B28:$B43,J28:J43,2,3),""))</f>
        <v>#NAME?</v>
      </c>
      <c r="K60" s="150" t="e">
        <f ca="1">IF(K59="MW",[1]!MTEST($B28:$B43,K28:K43,2), IF(K59="T-Test Welch",_xlfn.T.TEST($B28:$B43,K28:K43,2,3),""))</f>
        <v>#NAME?</v>
      </c>
      <c r="L60" s="150" t="e">
        <f ca="1">IF(L59="MW",[1]!MTEST($B28:$B43,L28:L43,2), IF(L59="T-Test Welch",_xlfn.T.TEST($B28:$B43,L28:L43,2,3),""))</f>
        <v>#NAME?</v>
      </c>
      <c r="M60" s="150" t="e">
        <f ca="1">IF(M59="MW",[1]!MTEST($B28:$B43,M28:M43,2), IF(M59="T-Test Welch",_xlfn.T.TEST($B28:$B43,M28:M43,2,3),""))</f>
        <v>#NAME?</v>
      </c>
      <c r="N60" s="150"/>
      <c r="O60" s="150" t="e">
        <f ca="1">IF(O59="MW",[1]!MTEST($B28:$B43,O28:O43,2), IF(O59="T-Test Welch",_xlfn.T.TEST($B28:$B43,O28:O43,2,3),""))</f>
        <v>#NAME?</v>
      </c>
      <c r="P60" s="150" t="e">
        <f ca="1">IF(P59="MW",[1]!MTEST($O28:$O43,P28:P43,2), IF(P59="T-Test Welch",_xlfn.T.TEST($O28:$O43,P28:P43,2,3),""))</f>
        <v>#NAME?</v>
      </c>
      <c r="Q60" s="150" t="e">
        <f ca="1">IF(Q59="MW",[1]!MTEST($O28:$O43,Q28:Q43,2), IF(Q59="T-Test Welch",_xlfn.T.TEST($O28:$O43,Q28:Q43,2,3),""))</f>
        <v>#NAME?</v>
      </c>
      <c r="R60" s="150" t="e">
        <f ca="1">IF(R59="MW",[1]!MTEST($O28:$O43,R28:R43,2), IF(R59="T-Test Welch",_xlfn.T.TEST($O28:$O43,R28:R43,2,3),""))</f>
        <v>#NAME?</v>
      </c>
      <c r="S60" s="150" t="e">
        <f ca="1">IF(S59="MW",[1]!MTEST($O28:$O43,S28:S43,2), IF(S59="T-Test Welch",_xlfn.T.TEST($O28:$O43,S28:S43,2,3),""))</f>
        <v>#NAME?</v>
      </c>
      <c r="T60" s="150" t="e">
        <f ca="1">IF(T59="MW",[1]!MTEST($O28:$O43,T28:T43,2), IF(T59="T-Test Welch",_xlfn.T.TEST($O28:$O43,T28:T43,2,3),""))</f>
        <v>#NAME?</v>
      </c>
      <c r="U60" s="150" t="e">
        <f ca="1">IF(U59="MW",[1]!MTEST($O28:$O43,U28:U43,2), IF(U59="T-Test Welch",_xlfn.T.TEST($O28:$O43,U28:U43,2,3),""))</f>
        <v>#NAME?</v>
      </c>
      <c r="V60" s="150" t="e">
        <f ca="1">IF(V59="MW",[1]!MTEST($O28:$O43,V28:V43,2), IF(V59="T-Test Welch",_xlfn.T.TEST($O28:$O43,V28:V43,2,3),""))</f>
        <v>#NAME?</v>
      </c>
    </row>
    <row r="61" spans="1:22" s="3" customFormat="1" ht="15" thickBot="1" x14ac:dyDescent="0.35">
      <c r="A61" s="61" t="s">
        <v>84</v>
      </c>
      <c r="B61" s="141"/>
      <c r="C61" s="141" t="e">
        <f t="shared" ref="C61:O61" ca="1" si="44">IF(C60&gt;0.05,"NS",IF(C60&gt;0.01,"*",IF(C60&gt;0.001,"**","***")))</f>
        <v>#NAME?</v>
      </c>
      <c r="D61" s="141" t="e">
        <f t="shared" ca="1" si="44"/>
        <v>#NAME?</v>
      </c>
      <c r="E61" s="141" t="e">
        <f t="shared" ca="1" si="44"/>
        <v>#NAME?</v>
      </c>
      <c r="F61" s="141" t="e">
        <f t="shared" ca="1" si="44"/>
        <v>#NAME?</v>
      </c>
      <c r="G61" s="141" t="e">
        <f t="shared" ca="1" si="44"/>
        <v>#NAME?</v>
      </c>
      <c r="H61" s="141" t="e">
        <f t="shared" ca="1" si="44"/>
        <v>#NAME?</v>
      </c>
      <c r="I61" s="141" t="e">
        <f t="shared" ca="1" si="44"/>
        <v>#NAME?</v>
      </c>
      <c r="J61" s="141" t="e">
        <f t="shared" ca="1" si="44"/>
        <v>#NAME?</v>
      </c>
      <c r="K61" s="141" t="e">
        <f t="shared" ca="1" si="44"/>
        <v>#NAME?</v>
      </c>
      <c r="L61" s="141" t="e">
        <f t="shared" ca="1" si="44"/>
        <v>#NAME?</v>
      </c>
      <c r="M61" s="141" t="e">
        <f t="shared" ca="1" si="44"/>
        <v>#NAME?</v>
      </c>
      <c r="N61" s="141"/>
      <c r="O61" s="141" t="e">
        <f t="shared" ca="1" si="44"/>
        <v>#NAME?</v>
      </c>
      <c r="P61" s="141" t="e">
        <f ca="1">IF(P60&gt;0.05,"NS",IF(P60&gt;0.01,"*",IF(P60&gt;0.001,"**","***")))</f>
        <v>#NAME?</v>
      </c>
      <c r="Q61" s="141" t="e">
        <f t="shared" ref="Q61:V61" ca="1" si="45">IF(Q60&gt;0.05,"NS",IF(Q60&gt;0.01,"*",IF(Q60&gt;0.001,"**","***")))</f>
        <v>#NAME?</v>
      </c>
      <c r="R61" s="141" t="e">
        <f t="shared" ca="1" si="45"/>
        <v>#NAME?</v>
      </c>
      <c r="S61" s="141" t="e">
        <f t="shared" ca="1" si="45"/>
        <v>#NAME?</v>
      </c>
      <c r="T61" s="141" t="e">
        <f t="shared" ca="1" si="45"/>
        <v>#NAME?</v>
      </c>
      <c r="U61" s="141" t="e">
        <f t="shared" ca="1" si="45"/>
        <v>#NAME?</v>
      </c>
      <c r="V61" s="141" t="e">
        <f t="shared" ca="1" si="45"/>
        <v>#NAME?</v>
      </c>
    </row>
    <row r="63" spans="1:22" x14ac:dyDescent="0.3">
      <c r="A63" s="2" t="s">
        <v>39</v>
      </c>
    </row>
    <row r="64" spans="1:22" x14ac:dyDescent="0.3">
      <c r="A64" s="1" t="s">
        <v>23</v>
      </c>
      <c r="B64" s="1">
        <f>B46+(3*B47)</f>
        <v>0.10722021255877244</v>
      </c>
    </row>
    <row r="65" spans="1:22" x14ac:dyDescent="0.3">
      <c r="A65" s="1" t="s">
        <v>24</v>
      </c>
      <c r="B65" s="1">
        <f>B46+(10*B47)</f>
        <v>0.30219444651113841</v>
      </c>
    </row>
    <row r="66" spans="1:22" ht="15" thickBot="1" x14ac:dyDescent="0.35"/>
    <row r="67" spans="1:22" ht="26.4" thickBot="1" x14ac:dyDescent="0.55000000000000004">
      <c r="A67" s="214" t="s">
        <v>45</v>
      </c>
      <c r="B67" s="215"/>
      <c r="C67" s="215"/>
      <c r="D67" s="215"/>
      <c r="E67" s="215"/>
      <c r="F67" s="215"/>
      <c r="G67" s="215"/>
      <c r="H67" s="215"/>
      <c r="I67" s="215"/>
      <c r="J67" s="215"/>
      <c r="K67" s="215"/>
      <c r="L67" s="215"/>
      <c r="M67" s="215"/>
      <c r="N67" s="215"/>
      <c r="O67" s="215"/>
      <c r="P67" s="215"/>
      <c r="Q67" s="215"/>
      <c r="R67" s="215"/>
      <c r="S67" s="215"/>
      <c r="T67" s="215"/>
      <c r="U67" s="215"/>
      <c r="V67" s="215"/>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19"/>
  <sheetViews>
    <sheetView showGridLines="0" topLeftCell="A70" zoomScale="70" zoomScaleNormal="70" workbookViewId="0">
      <selection activeCell="B94" sqref="B94:V94"/>
    </sheetView>
  </sheetViews>
  <sheetFormatPr defaultColWidth="11.5546875" defaultRowHeight="14.4" x14ac:dyDescent="0.3"/>
  <cols>
    <col min="1" max="1" width="42.77734375" customWidth="1"/>
    <col min="2" max="2" width="14" bestFit="1" customWidth="1"/>
    <col min="3" max="13" width="22.77734375" bestFit="1" customWidth="1"/>
    <col min="14" max="14" width="8.44140625" customWidth="1"/>
    <col min="15" max="15" width="22.77734375" customWidth="1"/>
    <col min="18" max="22" width="29.21875" customWidth="1"/>
  </cols>
  <sheetData>
    <row r="1" spans="1:22" s="1" customFormat="1" ht="21.6" thickBot="1" x14ac:dyDescent="0.35">
      <c r="A1" s="36" t="s">
        <v>8</v>
      </c>
      <c r="B1" s="54" t="e">
        <f>'Page de garde'!#REF!</f>
        <v>#REF!</v>
      </c>
      <c r="C1" s="37"/>
      <c r="D1" s="37"/>
      <c r="E1" s="37"/>
      <c r="F1" s="37"/>
      <c r="G1" s="37"/>
      <c r="H1" s="55"/>
      <c r="I1" s="54"/>
      <c r="J1" s="56"/>
      <c r="K1" s="56"/>
      <c r="L1" s="56"/>
      <c r="M1" s="56"/>
      <c r="N1" s="56"/>
      <c r="O1" s="56"/>
      <c r="P1" s="56"/>
      <c r="Q1" s="56"/>
      <c r="R1" s="56"/>
      <c r="S1" s="56"/>
      <c r="T1" s="56"/>
      <c r="U1" s="56"/>
      <c r="V1" s="56"/>
    </row>
    <row r="2" spans="1:22" ht="15" thickBot="1" x14ac:dyDescent="0.35">
      <c r="A2" s="1"/>
      <c r="B2" s="1"/>
      <c r="C2" s="1"/>
      <c r="D2" s="1"/>
      <c r="E2" s="1"/>
      <c r="F2" s="1"/>
      <c r="G2" s="1"/>
      <c r="H2" s="1"/>
      <c r="I2" s="1"/>
      <c r="J2" s="1"/>
      <c r="K2" s="1"/>
      <c r="L2" s="1"/>
      <c r="M2" s="1"/>
    </row>
    <row r="3" spans="1:22" s="32" customFormat="1" ht="15" thickBot="1" x14ac:dyDescent="0.35">
      <c r="B3" s="220" t="s">
        <v>6</v>
      </c>
      <c r="C3" s="221"/>
      <c r="D3" s="221"/>
      <c r="E3" s="221"/>
      <c r="F3" s="221"/>
      <c r="G3" s="221"/>
      <c r="H3" s="221"/>
      <c r="I3" s="221"/>
      <c r="J3" s="221"/>
      <c r="K3" s="221"/>
      <c r="L3" s="221"/>
      <c r="M3" s="221"/>
      <c r="N3" s="71"/>
      <c r="O3" s="220" t="s">
        <v>3</v>
      </c>
      <c r="P3" s="221"/>
      <c r="Q3" s="221"/>
      <c r="R3" s="221"/>
      <c r="S3" s="221"/>
      <c r="T3" s="221"/>
      <c r="U3" s="221"/>
      <c r="V3" s="221"/>
    </row>
    <row r="4" spans="1:22" x14ac:dyDescent="0.3">
      <c r="A4" s="33" t="s">
        <v>41</v>
      </c>
      <c r="B4" s="34" t="str">
        <f>'R1'!B4</f>
        <v>Témoin solvant</v>
      </c>
      <c r="C4" s="34" t="str">
        <f>'R1'!C4</f>
        <v>EE2-33.8ng/L</v>
      </c>
      <c r="D4" s="34" t="str">
        <f>'R1'!D4</f>
        <v>EE2-50.6ng/L</v>
      </c>
      <c r="E4" s="34" t="str">
        <f>'R1'!E4</f>
        <v>EE2-76ng/L</v>
      </c>
      <c r="F4" s="34" t="str">
        <f>'R1'!F4</f>
        <v>EE2-114ng/L</v>
      </c>
      <c r="G4" s="34" t="str">
        <f>'R1'!G4</f>
        <v>EE2-170.9ng/L</v>
      </c>
      <c r="H4" s="34" t="str">
        <f>'R1'!H4</f>
        <v>EE2-488ng/L</v>
      </c>
      <c r="I4" s="34" t="str">
        <f>'R1'!I4</f>
        <v>Fadrozole-0.016µg/L</v>
      </c>
      <c r="J4" s="34" t="str">
        <f>'R1'!J4</f>
        <v>Fadrozole-0.08µg/L</v>
      </c>
      <c r="K4" s="34" t="str">
        <f>'R1'!K4</f>
        <v>Fadrozole-0.4µg/L</v>
      </c>
      <c r="L4" s="34" t="str">
        <f>'R1'!L4</f>
        <v>Fadrozole-2µg/L</v>
      </c>
      <c r="M4" s="34" t="str">
        <f>'R1'!M4</f>
        <v>Fadrozole-10 µg/L</v>
      </c>
      <c r="O4" s="34" t="str">
        <f>'R1'!O4</f>
        <v>Testo -30µg/L</v>
      </c>
      <c r="P4" s="34" t="str">
        <f>'R1'!P4</f>
        <v>Testo 30µg/L + EE2 -64ng/L</v>
      </c>
      <c r="Q4" s="34" t="str">
        <f>'R1'!Q4</f>
        <v>Testo 30µg/L + FAD-10µg/L</v>
      </c>
      <c r="R4" s="34" t="str">
        <f>'R1'!R4</f>
        <v>Fadrozole-0.016µg/L + Testostérone</v>
      </c>
      <c r="S4" s="34" t="str">
        <f>'R1'!S4</f>
        <v>Fadrozole-0.08µg/L + Testostérone</v>
      </c>
      <c r="T4" s="34" t="str">
        <f>'R1'!T4</f>
        <v>Fadrozole-0.4µg/L + Testostérone</v>
      </c>
      <c r="U4" s="34" t="str">
        <f>'R1'!U4</f>
        <v>Fadrozole-2µg/L + Testostérone</v>
      </c>
      <c r="V4" s="34" t="str">
        <f>'R1'!V4</f>
        <v>Fadrozole-10 µg/L + Testostérone</v>
      </c>
    </row>
    <row r="5" spans="1:22" s="1" customFormat="1" x14ac:dyDescent="0.3">
      <c r="A5" s="33"/>
      <c r="B5" s="34"/>
      <c r="C5" s="193" t="s">
        <v>165</v>
      </c>
      <c r="D5" s="34"/>
      <c r="E5" s="34"/>
      <c r="F5" s="34"/>
      <c r="G5" s="34"/>
      <c r="H5" s="34"/>
      <c r="I5" s="34"/>
      <c r="J5" s="34"/>
      <c r="K5" s="34"/>
      <c r="L5" s="34"/>
      <c r="M5" s="34"/>
      <c r="O5" s="34"/>
      <c r="P5" s="34"/>
      <c r="Q5" s="34"/>
      <c r="R5" s="34"/>
      <c r="S5" s="34"/>
      <c r="T5" s="34"/>
      <c r="U5" s="34"/>
      <c r="V5" s="34"/>
    </row>
    <row r="6" spans="1:22" s="1" customFormat="1" x14ac:dyDescent="0.3">
      <c r="A6" s="70" t="s">
        <v>4</v>
      </c>
      <c r="B6" s="52">
        <f>'R1'!B28</f>
        <v>0.12547223310114913</v>
      </c>
      <c r="C6" s="52">
        <f>'R1'!C28</f>
        <v>4.5154387655211167E-2</v>
      </c>
      <c r="D6" s="52">
        <f>'R1'!D28</f>
        <v>0.14771908294177841</v>
      </c>
      <c r="E6" s="52">
        <f>'R1'!E28</f>
        <v>0.96708518305961655</v>
      </c>
      <c r="F6" s="52">
        <f>'R1'!F28</f>
        <v>1.7987166867130344</v>
      </c>
      <c r="G6" s="52">
        <f>'R1'!G28</f>
        <v>4.2881731666340919</v>
      </c>
      <c r="H6" s="52">
        <f>'R1'!H28</f>
        <v>11.28227216995645</v>
      </c>
      <c r="I6" s="52">
        <f>'R1'!I28</f>
        <v>0.24142613371631108</v>
      </c>
      <c r="J6" s="52">
        <f>'R1'!J28</f>
        <v>7.9606578488333468E-2</v>
      </c>
      <c r="K6" s="52">
        <f>'R1'!K28</f>
        <v>0.36362021643952308</v>
      </c>
      <c r="L6" s="52">
        <f>'R1'!L28</f>
        <v>7.5131128731762115E-2</v>
      </c>
      <c r="M6" s="52">
        <f>'R1'!M28</f>
        <v>0.10727170195266983</v>
      </c>
      <c r="N6"/>
      <c r="O6" s="52">
        <f>'R1'!O28</f>
        <v>0.64782115468954848</v>
      </c>
      <c r="P6" s="52">
        <f>'R1'!P28</f>
        <v>2.3835851835782487</v>
      </c>
      <c r="Q6" s="52">
        <f>'R1'!Q28</f>
        <v>0.13330091141451586</v>
      </c>
      <c r="R6" s="52">
        <f>'R1'!R28</f>
        <v>0.55651897652833859</v>
      </c>
      <c r="S6" s="52">
        <f>'R1'!S28</f>
        <v>0.26236267176170897</v>
      </c>
      <c r="T6" s="52">
        <f>'R1'!T28</f>
        <v>0.31296615460879007</v>
      </c>
      <c r="U6" s="52">
        <f>'R1'!U28</f>
        <v>0.22097799898180159</v>
      </c>
      <c r="V6" s="52">
        <f>'R1'!V28</f>
        <v>0.19474568328872849</v>
      </c>
    </row>
    <row r="7" spans="1:22" s="1" customFormat="1" x14ac:dyDescent="0.3">
      <c r="A7" s="224" t="s">
        <v>34</v>
      </c>
      <c r="B7" s="52">
        <f>'R1'!B29</f>
        <v>0.20682852830518964</v>
      </c>
      <c r="C7" s="52">
        <f>'R1'!C29</f>
        <v>0.34493207227677491</v>
      </c>
      <c r="D7" s="52">
        <f>'R1'!D29</f>
        <v>3.2424898235727007</v>
      </c>
      <c r="E7" s="52">
        <f>'R1'!E29</f>
        <v>0.50344028466879387</v>
      </c>
      <c r="F7" s="52">
        <f>'R1'!F29</f>
        <v>5.0006808899312905</v>
      </c>
      <c r="G7" s="52">
        <f>'R1'!G29</f>
        <v>9.8623549268548381</v>
      </c>
      <c r="H7" s="52">
        <f>'R1'!H29</f>
        <v>4.0831504661045974</v>
      </c>
      <c r="I7" s="52" t="str">
        <f>'R1'!I29</f>
        <v/>
      </c>
      <c r="J7" s="52">
        <f>'R1'!J29</f>
        <v>2.2495002979171289E-2</v>
      </c>
      <c r="K7" s="52">
        <f>'R1'!K29</f>
        <v>0.16286116617255841</v>
      </c>
      <c r="L7" s="52">
        <f>'R1'!L29</f>
        <v>0.17586944853052494</v>
      </c>
      <c r="M7" s="52">
        <f>'R1'!M29</f>
        <v>0.23203187779959492</v>
      </c>
      <c r="N7"/>
      <c r="O7" s="52">
        <f>'R1'!O29</f>
        <v>0.30104453010271931</v>
      </c>
      <c r="P7" s="52">
        <f>'R1'!P29</f>
        <v>5.0297906756161828</v>
      </c>
      <c r="Q7" s="52">
        <f>'R1'!Q29</f>
        <v>0.11071107284099731</v>
      </c>
      <c r="R7" s="52">
        <f>'R1'!R29</f>
        <v>0.60246208020987113</v>
      </c>
      <c r="S7" s="52">
        <f>'R1'!S29</f>
        <v>0.96156733206184486</v>
      </c>
      <c r="T7" s="52">
        <f>'R1'!T29</f>
        <v>2.7557129431273411</v>
      </c>
      <c r="U7" s="52">
        <f>'R1'!U29</f>
        <v>0.19959257245649331</v>
      </c>
      <c r="V7" s="52">
        <f>'R1'!V29</f>
        <v>7.7351862232727234E-2</v>
      </c>
    </row>
    <row r="8" spans="1:22" s="1" customFormat="1" x14ac:dyDescent="0.3">
      <c r="A8" s="225"/>
      <c r="B8" s="52">
        <f>'R1'!B30</f>
        <v>8.0071272900635065E-2</v>
      </c>
      <c r="C8" s="52">
        <f>'R1'!C30</f>
        <v>0.24470428409424821</v>
      </c>
      <c r="D8" s="52">
        <f>'R1'!D30</f>
        <v>0.12935654098628918</v>
      </c>
      <c r="E8" s="52">
        <f>'R1'!E30</f>
        <v>1.2993495908214556</v>
      </c>
      <c r="F8" s="52">
        <f>'R1'!F30</f>
        <v>4.5882503736744686</v>
      </c>
      <c r="G8" s="52">
        <f>'R1'!G30</f>
        <v>5.3993167786936818</v>
      </c>
      <c r="H8" s="52">
        <f>'R1'!H30</f>
        <v>10.842940747066407</v>
      </c>
      <c r="I8" s="52">
        <f>'R1'!I30</f>
        <v>6.0926337291780923E-2</v>
      </c>
      <c r="J8" s="52">
        <f>'R1'!J30</f>
        <v>0.21226813993762486</v>
      </c>
      <c r="K8" s="52">
        <f>'R1'!K30</f>
        <v>6.3648118849547436E-2</v>
      </c>
      <c r="L8" s="52">
        <f>'R1'!L30</f>
        <v>3.5710343051462687E-2</v>
      </c>
      <c r="M8" s="52">
        <f>'R1'!M30</f>
        <v>0.20772709556162997</v>
      </c>
      <c r="N8"/>
      <c r="O8" s="52">
        <f>'R1'!O30</f>
        <v>3.706254056753077E-2</v>
      </c>
      <c r="P8" s="52">
        <f>'R1'!P30</f>
        <v>4.1839464775565887</v>
      </c>
      <c r="Q8" s="52">
        <f>'R1'!Q30</f>
        <v>0.14981099809375517</v>
      </c>
      <c r="R8" s="52">
        <f>'R1'!R30</f>
        <v>5.051417932907077E-2</v>
      </c>
      <c r="S8" s="52">
        <f>'R1'!S30</f>
        <v>5.2384811427570573E-2</v>
      </c>
      <c r="T8" s="52">
        <f>'R1'!T30</f>
        <v>0.46450948289262195</v>
      </c>
      <c r="U8" s="52">
        <f>'R1'!U30</f>
        <v>0.2260050757788262</v>
      </c>
      <c r="V8" s="52">
        <f>'R1'!V30</f>
        <v>0.29647977682813759</v>
      </c>
    </row>
    <row r="9" spans="1:22" s="1" customFormat="1" x14ac:dyDescent="0.3">
      <c r="A9" s="225"/>
      <c r="B9" s="52">
        <f>'R1'!B31</f>
        <v>6.842072013507354E-2</v>
      </c>
      <c r="C9" s="52">
        <f>'R1'!C31</f>
        <v>0.26918609277499472</v>
      </c>
      <c r="D9" s="52">
        <f>'R1'!D31</f>
        <v>3.3055736706358821E-2</v>
      </c>
      <c r="E9" s="52">
        <f>'R1'!E31</f>
        <v>0.18098108706584254</v>
      </c>
      <c r="F9" s="52">
        <f>'R1'!F31</f>
        <v>4.8780450313977441</v>
      </c>
      <c r="G9" s="52">
        <f>'R1'!G31</f>
        <v>8.1860828468934148</v>
      </c>
      <c r="H9" s="52">
        <f>'R1'!H31</f>
        <v>7.7374638581302975</v>
      </c>
      <c r="I9" s="52">
        <f>'R1'!I31</f>
        <v>6.2291969850381539E-2</v>
      </c>
      <c r="J9" s="52">
        <f>'R1'!J31</f>
        <v>3.7641037693049093E-2</v>
      </c>
      <c r="K9" s="52">
        <f>'R1'!K31</f>
        <v>0.26730202563396238</v>
      </c>
      <c r="L9" s="52">
        <f>'R1'!L31</f>
        <v>0.24568504219912285</v>
      </c>
      <c r="M9" s="52">
        <f>'R1'!M31</f>
        <v>4.4388590230857006E-2</v>
      </c>
      <c r="N9"/>
      <c r="O9" s="52">
        <f>'R1'!O31</f>
        <v>5.3234783344874135</v>
      </c>
      <c r="P9" s="52">
        <f>'R1'!P31</f>
        <v>3.4233752847475767</v>
      </c>
      <c r="Q9" s="52">
        <f>'R1'!Q31</f>
        <v>2.8058691180877508E-2</v>
      </c>
      <c r="R9" s="52">
        <f>'R1'!R31</f>
        <v>0.58538693144764609</v>
      </c>
      <c r="S9" s="52">
        <f>'R1'!S31</f>
        <v>0.23854866372449113</v>
      </c>
      <c r="T9" s="52">
        <f>'R1'!T31</f>
        <v>0.17439791622490319</v>
      </c>
      <c r="U9" s="52">
        <f>'R1'!U31</f>
        <v>5.0001474397130865</v>
      </c>
      <c r="V9" s="52">
        <f>'R1'!V31</f>
        <v>8.5189233808909137E-2</v>
      </c>
    </row>
    <row r="10" spans="1:22" s="1" customFormat="1" x14ac:dyDescent="0.3">
      <c r="A10" s="225"/>
      <c r="B10" s="52">
        <f>'R1'!B32</f>
        <v>8.895420690449557E-2</v>
      </c>
      <c r="C10" s="52">
        <f>'R1'!C32</f>
        <v>8.1216412702378296E-2</v>
      </c>
      <c r="D10" s="52">
        <f>'R1'!D32</f>
        <v>0.14595197970044102</v>
      </c>
      <c r="E10" s="52">
        <f>'R1'!E32</f>
        <v>4.501529545016851E-2</v>
      </c>
      <c r="F10" s="52">
        <f>'R1'!F32</f>
        <v>2.5460093157201902</v>
      </c>
      <c r="G10" s="52">
        <f>'R1'!G32</f>
        <v>0.98408209245650513</v>
      </c>
      <c r="H10" s="52">
        <f>'R1'!H32</f>
        <v>11.644928224520108</v>
      </c>
      <c r="I10" s="52">
        <f>'R1'!I32</f>
        <v>8.630829382220687E-3</v>
      </c>
      <c r="J10" s="52">
        <f>'R1'!J32</f>
        <v>7.4588985250743589E-2</v>
      </c>
      <c r="K10" s="52">
        <f>'R1'!K32</f>
        <v>0.19665662051482588</v>
      </c>
      <c r="L10" s="52">
        <f>'R1'!L32</f>
        <v>9.1781097912663631E-2</v>
      </c>
      <c r="M10" s="52">
        <f>'R1'!M32</f>
        <v>5.498251641606608E-2</v>
      </c>
      <c r="N10"/>
      <c r="O10" s="52">
        <f>'R1'!O32</f>
        <v>2.2706802473213515E-2</v>
      </c>
      <c r="P10" s="52">
        <f>'R1'!P32</f>
        <v>3.3792964907915874</v>
      </c>
      <c r="Q10" s="52">
        <f>'R1'!Q32</f>
        <v>3.6077040682938773E-2</v>
      </c>
      <c r="R10" s="52">
        <f>'R1'!R32</f>
        <v>2.2123610985775009</v>
      </c>
      <c r="S10" s="52">
        <f>'R1'!S32</f>
        <v>2.6616494685773864</v>
      </c>
      <c r="T10" s="52">
        <f>'R1'!T32</f>
        <v>0.79098180672970175</v>
      </c>
      <c r="U10" s="52">
        <f>'R1'!U32</f>
        <v>0.63099020758276769</v>
      </c>
      <c r="V10" s="52">
        <f>'R1'!V32</f>
        <v>0.12826514135467609</v>
      </c>
    </row>
    <row r="11" spans="1:22" s="1" customFormat="1" x14ac:dyDescent="0.3">
      <c r="A11" s="225"/>
      <c r="B11" s="52">
        <f>'R1'!B33</f>
        <v>5.9975610458449591E-3</v>
      </c>
      <c r="C11" s="52">
        <f>'R1'!C33</f>
        <v>0.67533138001645099</v>
      </c>
      <c r="D11" s="52">
        <f>'R1'!D33</f>
        <v>0.13317130276890793</v>
      </c>
      <c r="E11" s="52">
        <f>'R1'!E33</f>
        <v>0.14534424159999898</v>
      </c>
      <c r="F11" s="52">
        <f>'R1'!F33</f>
        <v>2.708510106634229</v>
      </c>
      <c r="G11" s="52">
        <f>'R1'!G33</f>
        <v>6.6629109795563597</v>
      </c>
      <c r="H11" s="52">
        <f>'R1'!H33</f>
        <v>9.3662462239257067</v>
      </c>
      <c r="I11" s="52">
        <f>'R1'!I33</f>
        <v>7.7762026178279167E-2</v>
      </c>
      <c r="J11" s="52">
        <f>'R1'!J33</f>
        <v>0.16915903993383638</v>
      </c>
      <c r="K11" s="52">
        <f>'R1'!K33</f>
        <v>0.10597956697968834</v>
      </c>
      <c r="L11" s="52">
        <f>'R1'!L33</f>
        <v>3.6973237049520428E-2</v>
      </c>
      <c r="M11" s="52">
        <f>'R1'!M33</f>
        <v>3.8380755328957759E-2</v>
      </c>
      <c r="N11"/>
      <c r="O11" s="52">
        <f>'R1'!O33</f>
        <v>1.0428659356126575</v>
      </c>
      <c r="P11" s="52">
        <f>'R1'!P33</f>
        <v>4.8050295267165453</v>
      </c>
      <c r="Q11" s="52">
        <f>'R1'!Q33</f>
        <v>4.6203901565987568E-2</v>
      </c>
      <c r="R11" s="52">
        <f>'R1'!R33</f>
        <v>0.2559201737190514</v>
      </c>
      <c r="S11" s="52">
        <f>'R1'!S33</f>
        <v>3.8508206464794288</v>
      </c>
      <c r="T11" s="52">
        <f>'R1'!T33</f>
        <v>0.51631737778791331</v>
      </c>
      <c r="U11" s="52">
        <f>'R1'!U33</f>
        <v>0.46456322306275205</v>
      </c>
      <c r="V11" s="52">
        <f>'R1'!V33</f>
        <v>2.4175323748714717</v>
      </c>
    </row>
    <row r="12" spans="1:22" s="1" customFormat="1" x14ac:dyDescent="0.3">
      <c r="A12" s="225"/>
      <c r="B12" s="52">
        <f>'R1'!B34</f>
        <v>3.774772773668976E-2</v>
      </c>
      <c r="C12" s="52">
        <f>'R1'!C34</f>
        <v>2.1270043218852445E-2</v>
      </c>
      <c r="D12" s="52">
        <f>'R1'!D34</f>
        <v>5.3904551826985496E-2</v>
      </c>
      <c r="E12" s="52">
        <f>'R1'!E34</f>
        <v>0.71873447036271598</v>
      </c>
      <c r="F12" s="52">
        <f>'R1'!F34</f>
        <v>3.7173940779024024</v>
      </c>
      <c r="G12" s="52">
        <f>'R1'!G34</f>
        <v>7.0906930076481451</v>
      </c>
      <c r="H12" s="52">
        <f>'R1'!H34</f>
        <v>11.318419547038529</v>
      </c>
      <c r="I12" s="52">
        <f>'R1'!I34</f>
        <v>1.5773530229808871E-2</v>
      </c>
      <c r="J12" s="52">
        <f>'R1'!J34</f>
        <v>0.466703346308522</v>
      </c>
      <c r="K12" s="52">
        <f>'R1'!K34</f>
        <v>1.6996909396888592E-2</v>
      </c>
      <c r="L12" s="52">
        <f>'R1'!L34</f>
        <v>8.2003548135460597E-2</v>
      </c>
      <c r="M12" s="52">
        <f>'R1'!M34</f>
        <v>3.3645297984550987E-2</v>
      </c>
      <c r="N12"/>
      <c r="O12" s="52">
        <f>'R1'!O34</f>
        <v>1.6852261406610427</v>
      </c>
      <c r="P12" s="52">
        <f>'R1'!P34</f>
        <v>6.1334422757223397</v>
      </c>
      <c r="Q12" s="52">
        <f>'R1'!Q34</f>
        <v>0.22747107600811101</v>
      </c>
      <c r="R12" s="52">
        <f>'R1'!R34</f>
        <v>1.6523687684061934</v>
      </c>
      <c r="S12" s="52">
        <f>'R1'!S34</f>
        <v>0.48615649759900476</v>
      </c>
      <c r="T12" s="52">
        <f>'R1'!T34</f>
        <v>0.32293100468482899</v>
      </c>
      <c r="U12" s="52">
        <f>'R1'!U34</f>
        <v>0.1583003643810745</v>
      </c>
      <c r="V12" s="52">
        <f>'R1'!V34</f>
        <v>5.3974097929506824E-2</v>
      </c>
    </row>
    <row r="13" spans="1:22" s="1" customFormat="1" x14ac:dyDescent="0.3">
      <c r="A13" s="225"/>
      <c r="B13" s="52">
        <f>'R1'!B35</f>
        <v>9.7576343023901085E-2</v>
      </c>
      <c r="C13" s="52">
        <f>'R1'!C35</f>
        <v>3.5120781773270521E-2</v>
      </c>
      <c r="D13" s="52" t="str">
        <f>'R1'!D35</f>
        <v/>
      </c>
      <c r="E13" s="52">
        <f>'R1'!E35</f>
        <v>5.6582076774056619E-2</v>
      </c>
      <c r="F13" s="52">
        <f>'R1'!F35</f>
        <v>4.5542494422111153</v>
      </c>
      <c r="G13" s="52">
        <f>'R1'!G35</f>
        <v>5.700509884560879</v>
      </c>
      <c r="H13" s="52">
        <f>'R1'!H35</f>
        <v>14.238480204279822</v>
      </c>
      <c r="I13" s="52">
        <f>'R1'!I35</f>
        <v>0.21000473041920345</v>
      </c>
      <c r="J13" s="52">
        <f>'R1'!J35</f>
        <v>2.7021822016014076E-2</v>
      </c>
      <c r="K13" s="52">
        <f>'R1'!K35</f>
        <v>0.30605738156059181</v>
      </c>
      <c r="L13" s="52">
        <f>'R1'!L35</f>
        <v>9.6234419363887286E-3</v>
      </c>
      <c r="M13" s="52">
        <f>'R1'!M35</f>
        <v>1.3715597832473218E-2</v>
      </c>
      <c r="N13"/>
      <c r="O13" s="52">
        <f>'R1'!O35</f>
        <v>3.8850981817596282E-3</v>
      </c>
      <c r="P13" s="52" t="str">
        <f>'R1'!P35</f>
        <v/>
      </c>
      <c r="Q13" s="52">
        <f>'R1'!Q35</f>
        <v>6.7017943635353586E-2</v>
      </c>
      <c r="R13" s="52">
        <f>'R1'!R35</f>
        <v>0.52693027109199186</v>
      </c>
      <c r="S13" s="52">
        <f>'R1'!S35</f>
        <v>1.0470956031205454</v>
      </c>
      <c r="T13" s="52">
        <f>'R1'!T35</f>
        <v>0.27570129810665184</v>
      </c>
      <c r="U13" s="52">
        <f>'R1'!U35</f>
        <v>0.24466555955988975</v>
      </c>
      <c r="V13" s="52">
        <f>'R1'!V35</f>
        <v>0.17423195393479549</v>
      </c>
    </row>
    <row r="14" spans="1:22" s="1" customFormat="1" x14ac:dyDescent="0.3">
      <c r="A14" s="225"/>
      <c r="B14" s="52" t="str">
        <f>'R1'!B36</f>
        <v/>
      </c>
      <c r="C14" s="52" t="str">
        <f>'R1'!C36</f>
        <v/>
      </c>
      <c r="D14" s="52" t="str">
        <f>'R1'!D36</f>
        <v/>
      </c>
      <c r="E14" s="52" t="str">
        <f>'R1'!E36</f>
        <v/>
      </c>
      <c r="F14" s="52" t="str">
        <f>'R1'!F36</f>
        <v/>
      </c>
      <c r="G14" s="52" t="str">
        <f>'R1'!G36</f>
        <v/>
      </c>
      <c r="H14" s="52" t="str">
        <f>'R1'!H36</f>
        <v/>
      </c>
      <c r="I14" s="52" t="str">
        <f>'R1'!I36</f>
        <v/>
      </c>
      <c r="J14" s="52" t="str">
        <f>'R1'!J36</f>
        <v/>
      </c>
      <c r="K14" s="52" t="str">
        <f>'R1'!K36</f>
        <v/>
      </c>
      <c r="L14" s="52" t="str">
        <f>'R1'!L36</f>
        <v/>
      </c>
      <c r="M14" s="52" t="str">
        <f>'R1'!M36</f>
        <v/>
      </c>
      <c r="N14"/>
      <c r="O14" s="52">
        <f>'R1'!O36</f>
        <v>1.0143891775200324</v>
      </c>
      <c r="P14" s="52" t="str">
        <f>'R1'!P36</f>
        <v/>
      </c>
      <c r="Q14" s="52" t="str">
        <f>'R1'!Q36</f>
        <v/>
      </c>
      <c r="R14" s="52" t="str">
        <f>'R1'!R36</f>
        <v/>
      </c>
      <c r="S14" s="52" t="str">
        <f>'R1'!S36</f>
        <v/>
      </c>
      <c r="T14" s="52" t="str">
        <f>'R1'!T36</f>
        <v/>
      </c>
      <c r="U14" s="52" t="str">
        <f>'R1'!U36</f>
        <v/>
      </c>
      <c r="V14" s="52" t="str">
        <f>'R1'!V36</f>
        <v/>
      </c>
    </row>
    <row r="15" spans="1:22" s="1" customFormat="1" x14ac:dyDescent="0.3">
      <c r="A15" s="225"/>
      <c r="B15" s="52" t="str">
        <f>'R1'!B37</f>
        <v/>
      </c>
      <c r="C15" s="52" t="str">
        <f>'R1'!C37</f>
        <v/>
      </c>
      <c r="D15" s="52" t="str">
        <f>'R1'!D37</f>
        <v/>
      </c>
      <c r="E15" s="52" t="str">
        <f>'R1'!E37</f>
        <v/>
      </c>
      <c r="F15" s="52" t="str">
        <f>'R1'!F37</f>
        <v/>
      </c>
      <c r="G15" s="52" t="str">
        <f>'R1'!G37</f>
        <v/>
      </c>
      <c r="H15" s="52" t="str">
        <f>'R1'!H37</f>
        <v/>
      </c>
      <c r="I15" s="52" t="str">
        <f>'R1'!I37</f>
        <v/>
      </c>
      <c r="J15" s="52" t="str">
        <f>'R1'!J37</f>
        <v/>
      </c>
      <c r="K15" s="52" t="str">
        <f>'R1'!K37</f>
        <v/>
      </c>
      <c r="L15" s="52" t="str">
        <f>'R1'!L37</f>
        <v/>
      </c>
      <c r="M15" s="52" t="str">
        <f>'R1'!M37</f>
        <v/>
      </c>
      <c r="N15"/>
      <c r="O15" s="52">
        <f>'R1'!O37</f>
        <v>0.830570135293348</v>
      </c>
      <c r="P15" s="52" t="str">
        <f>'R1'!P37</f>
        <v/>
      </c>
      <c r="Q15" s="52" t="str">
        <f>'R1'!Q37</f>
        <v/>
      </c>
      <c r="R15" s="52" t="str">
        <f>'R1'!R37</f>
        <v/>
      </c>
      <c r="S15" s="52" t="str">
        <f>'R1'!S37</f>
        <v/>
      </c>
      <c r="T15" s="52" t="str">
        <f>'R1'!T37</f>
        <v/>
      </c>
      <c r="U15" s="52" t="str">
        <f>'R1'!U37</f>
        <v/>
      </c>
      <c r="V15" s="52" t="str">
        <f>'R1'!V37</f>
        <v/>
      </c>
    </row>
    <row r="16" spans="1:22" s="1" customFormat="1" x14ac:dyDescent="0.3">
      <c r="A16" s="225"/>
      <c r="B16" s="52" t="str">
        <f>'R1'!B38</f>
        <v/>
      </c>
      <c r="C16" s="52" t="str">
        <f>'R1'!C38</f>
        <v/>
      </c>
      <c r="D16" s="52" t="str">
        <f>'R1'!D38</f>
        <v/>
      </c>
      <c r="E16" s="52" t="str">
        <f>'R1'!E38</f>
        <v/>
      </c>
      <c r="F16" s="52" t="str">
        <f>'R1'!F38</f>
        <v/>
      </c>
      <c r="G16" s="52" t="str">
        <f>'R1'!G38</f>
        <v/>
      </c>
      <c r="H16" s="52" t="str">
        <f>'R1'!H38</f>
        <v/>
      </c>
      <c r="I16" s="52" t="str">
        <f>'R1'!I38</f>
        <v/>
      </c>
      <c r="J16" s="52" t="str">
        <f>'R1'!J38</f>
        <v/>
      </c>
      <c r="K16" s="52" t="str">
        <f>'R1'!K38</f>
        <v/>
      </c>
      <c r="L16" s="52" t="str">
        <f>'R1'!L38</f>
        <v/>
      </c>
      <c r="M16" s="52" t="str">
        <f>'R1'!M38</f>
        <v/>
      </c>
      <c r="N16"/>
      <c r="O16" s="52">
        <f>'R1'!O38</f>
        <v>0.12361029426546449</v>
      </c>
      <c r="P16" s="52" t="str">
        <f>'R1'!P38</f>
        <v/>
      </c>
      <c r="Q16" s="52" t="str">
        <f>'R1'!Q38</f>
        <v/>
      </c>
      <c r="R16" s="52" t="str">
        <f>'R1'!R38</f>
        <v/>
      </c>
      <c r="S16" s="52" t="str">
        <f>'R1'!S38</f>
        <v/>
      </c>
      <c r="T16" s="52" t="str">
        <f>'R1'!T38</f>
        <v/>
      </c>
      <c r="U16" s="52" t="str">
        <f>'R1'!U38</f>
        <v/>
      </c>
      <c r="V16" s="52" t="str">
        <f>'R1'!V38</f>
        <v/>
      </c>
    </row>
    <row r="17" spans="1:22" s="1" customFormat="1" x14ac:dyDescent="0.3">
      <c r="A17" s="225"/>
      <c r="B17" s="52" t="str">
        <f>'R1'!B39</f>
        <v/>
      </c>
      <c r="C17" s="52" t="str">
        <f>'R1'!C39</f>
        <v/>
      </c>
      <c r="D17" s="52" t="str">
        <f>'R1'!D39</f>
        <v/>
      </c>
      <c r="E17" s="52" t="str">
        <f>'R1'!E39</f>
        <v/>
      </c>
      <c r="F17" s="52" t="str">
        <f>'R1'!F39</f>
        <v/>
      </c>
      <c r="G17" s="52" t="str">
        <f>'R1'!G39</f>
        <v/>
      </c>
      <c r="H17" s="52" t="str">
        <f>'R1'!H39</f>
        <v/>
      </c>
      <c r="I17" s="52" t="str">
        <f>'R1'!I39</f>
        <v/>
      </c>
      <c r="J17" s="52" t="str">
        <f>'R1'!J39</f>
        <v/>
      </c>
      <c r="K17" s="52" t="str">
        <f>'R1'!K39</f>
        <v/>
      </c>
      <c r="L17" s="52" t="str">
        <f>'R1'!L39</f>
        <v/>
      </c>
      <c r="M17" s="52" t="str">
        <f>'R1'!M39</f>
        <v/>
      </c>
      <c r="N17"/>
      <c r="O17" s="52">
        <f>'R1'!O39</f>
        <v>3.7026866578123809</v>
      </c>
      <c r="P17" s="52" t="str">
        <f>'R1'!P39</f>
        <v/>
      </c>
      <c r="Q17" s="52" t="str">
        <f>'R1'!Q39</f>
        <v/>
      </c>
      <c r="R17" s="52" t="str">
        <f>'R1'!R39</f>
        <v/>
      </c>
      <c r="S17" s="52" t="str">
        <f>'R1'!S39</f>
        <v/>
      </c>
      <c r="T17" s="52" t="str">
        <f>'R1'!T39</f>
        <v/>
      </c>
      <c r="U17" s="52" t="str">
        <f>'R1'!U39</f>
        <v/>
      </c>
      <c r="V17" s="52" t="str">
        <f>'R1'!V39</f>
        <v/>
      </c>
    </row>
    <row r="18" spans="1:22" s="1" customFormat="1" x14ac:dyDescent="0.3">
      <c r="A18" s="225"/>
      <c r="B18" s="52" t="str">
        <f>'R1'!B40</f>
        <v/>
      </c>
      <c r="C18" s="52" t="str">
        <f>'R1'!C40</f>
        <v/>
      </c>
      <c r="D18" s="52" t="str">
        <f>'R1'!D40</f>
        <v/>
      </c>
      <c r="E18" s="52" t="str">
        <f>'R1'!E40</f>
        <v/>
      </c>
      <c r="F18" s="52" t="str">
        <f>'R1'!F40</f>
        <v/>
      </c>
      <c r="G18" s="52" t="str">
        <f>'R1'!G40</f>
        <v/>
      </c>
      <c r="H18" s="52" t="str">
        <f>'R1'!H40</f>
        <v/>
      </c>
      <c r="I18" s="52" t="str">
        <f>'R1'!I40</f>
        <v/>
      </c>
      <c r="J18" s="52" t="str">
        <f>'R1'!J40</f>
        <v/>
      </c>
      <c r="K18" s="52" t="str">
        <f>'R1'!K40</f>
        <v/>
      </c>
      <c r="L18" s="52" t="str">
        <f>'R1'!L40</f>
        <v/>
      </c>
      <c r="M18" s="52" t="str">
        <f>'R1'!M40</f>
        <v/>
      </c>
      <c r="N18"/>
      <c r="O18" s="52">
        <f>'R1'!O40</f>
        <v>0.42213219755854653</v>
      </c>
      <c r="P18" s="52" t="str">
        <f>'R1'!P40</f>
        <v/>
      </c>
      <c r="Q18" s="52" t="str">
        <f>'R1'!Q40</f>
        <v/>
      </c>
      <c r="R18" s="52" t="str">
        <f>'R1'!R40</f>
        <v/>
      </c>
      <c r="S18" s="52" t="str">
        <f>'R1'!S40</f>
        <v/>
      </c>
      <c r="T18" s="52" t="str">
        <f>'R1'!T40</f>
        <v/>
      </c>
      <c r="U18" s="52" t="str">
        <f>'R1'!U40</f>
        <v/>
      </c>
      <c r="V18" s="52" t="str">
        <f>'R1'!V40</f>
        <v/>
      </c>
    </row>
    <row r="19" spans="1:22" s="1" customFormat="1" x14ac:dyDescent="0.3">
      <c r="A19" s="225"/>
      <c r="B19" s="52" t="str">
        <f>'R1'!B41</f>
        <v/>
      </c>
      <c r="C19" s="52" t="str">
        <f>'R1'!C41</f>
        <v/>
      </c>
      <c r="D19" s="52" t="str">
        <f>'R1'!D41</f>
        <v/>
      </c>
      <c r="E19" s="52" t="str">
        <f>'R1'!E41</f>
        <v/>
      </c>
      <c r="F19" s="52" t="str">
        <f>'R1'!F41</f>
        <v/>
      </c>
      <c r="G19" s="52" t="str">
        <f>'R1'!G41</f>
        <v/>
      </c>
      <c r="H19" s="52" t="str">
        <f>'R1'!H41</f>
        <v/>
      </c>
      <c r="I19" s="52" t="str">
        <f>'R1'!I41</f>
        <v/>
      </c>
      <c r="J19" s="52" t="str">
        <f>'R1'!J41</f>
        <v/>
      </c>
      <c r="K19" s="52" t="str">
        <f>'R1'!K41</f>
        <v/>
      </c>
      <c r="L19" s="52" t="str">
        <f>'R1'!L41</f>
        <v/>
      </c>
      <c r="M19" s="52" t="str">
        <f>'R1'!M41</f>
        <v/>
      </c>
      <c r="N19"/>
      <c r="O19" s="52">
        <f>'R1'!O41</f>
        <v>0.38632622861611704</v>
      </c>
      <c r="P19" s="52" t="str">
        <f>'R1'!P41</f>
        <v/>
      </c>
      <c r="Q19" s="52" t="str">
        <f>'R1'!Q41</f>
        <v/>
      </c>
      <c r="R19" s="52" t="str">
        <f>'R1'!R41</f>
        <v/>
      </c>
      <c r="S19" s="52" t="str">
        <f>'R1'!S41</f>
        <v/>
      </c>
      <c r="T19" s="52" t="str">
        <f>'R1'!T41</f>
        <v/>
      </c>
      <c r="U19" s="52" t="str">
        <f>'R1'!U41</f>
        <v/>
      </c>
      <c r="V19" s="52" t="str">
        <f>'R1'!V41</f>
        <v/>
      </c>
    </row>
    <row r="20" spans="1:22" s="1" customFormat="1" x14ac:dyDescent="0.3">
      <c r="A20" s="225"/>
      <c r="B20" s="52" t="str">
        <f>'R1'!B42</f>
        <v/>
      </c>
      <c r="C20" s="52" t="str">
        <f>'R1'!C42</f>
        <v/>
      </c>
      <c r="D20" s="52" t="str">
        <f>'R1'!D42</f>
        <v/>
      </c>
      <c r="E20" s="52" t="str">
        <f>'R1'!E42</f>
        <v/>
      </c>
      <c r="F20" s="52" t="str">
        <f>'R1'!F42</f>
        <v/>
      </c>
      <c r="G20" s="52" t="str">
        <f>'R1'!G42</f>
        <v/>
      </c>
      <c r="H20" s="52" t="str">
        <f>'R1'!H42</f>
        <v/>
      </c>
      <c r="I20" s="52" t="str">
        <f>'R1'!I42</f>
        <v/>
      </c>
      <c r="J20" s="52" t="str">
        <f>'R1'!J42</f>
        <v/>
      </c>
      <c r="K20" s="52" t="str">
        <f>'R1'!K42</f>
        <v/>
      </c>
      <c r="L20" s="52" t="str">
        <f>'R1'!L42</f>
        <v/>
      </c>
      <c r="M20" s="52" t="str">
        <f>'R1'!M42</f>
        <v/>
      </c>
      <c r="N20"/>
      <c r="O20" s="52">
        <f>'R1'!O42</f>
        <v>6.2417627012891663E-2</v>
      </c>
      <c r="P20" s="52" t="str">
        <f>'R1'!P42</f>
        <v/>
      </c>
      <c r="Q20" s="52" t="str">
        <f>'R1'!Q42</f>
        <v/>
      </c>
      <c r="R20" s="52" t="str">
        <f>'R1'!R42</f>
        <v/>
      </c>
      <c r="S20" s="52" t="str">
        <f>'R1'!S42</f>
        <v/>
      </c>
      <c r="T20" s="52" t="str">
        <f>'R1'!T42</f>
        <v/>
      </c>
      <c r="U20" s="52" t="str">
        <f>'R1'!U42</f>
        <v/>
      </c>
      <c r="V20" s="52" t="str">
        <f>'R1'!V42</f>
        <v/>
      </c>
    </row>
    <row r="21" spans="1:22" s="1" customFormat="1" x14ac:dyDescent="0.3">
      <c r="A21" s="226"/>
      <c r="B21" s="52" t="str">
        <f>'R1'!B43</f>
        <v/>
      </c>
      <c r="C21" s="52" t="str">
        <f>'R1'!C43</f>
        <v/>
      </c>
      <c r="D21" s="52" t="str">
        <f>'R1'!D43</f>
        <v/>
      </c>
      <c r="E21" s="52" t="str">
        <f>'R1'!E43</f>
        <v/>
      </c>
      <c r="F21" s="52" t="str">
        <f>'R1'!F43</f>
        <v/>
      </c>
      <c r="G21" s="52" t="str">
        <f>'R1'!G43</f>
        <v/>
      </c>
      <c r="H21" s="52" t="str">
        <f>'R1'!H43</f>
        <v/>
      </c>
      <c r="I21" s="52" t="str">
        <f>'R1'!I43</f>
        <v/>
      </c>
      <c r="J21" s="52" t="str">
        <f>'R1'!J43</f>
        <v/>
      </c>
      <c r="K21" s="52" t="str">
        <f>'R1'!K43</f>
        <v/>
      </c>
      <c r="L21" s="52" t="str">
        <f>'R1'!L43</f>
        <v/>
      </c>
      <c r="M21" s="52" t="str">
        <f>'R1'!M43</f>
        <v/>
      </c>
      <c r="N21"/>
      <c r="O21" s="52">
        <f>'R1'!O43</f>
        <v>0.3937771451453338</v>
      </c>
      <c r="P21" s="52" t="str">
        <f>'R1'!P43</f>
        <v/>
      </c>
      <c r="Q21" s="52" t="str">
        <f>'R1'!Q43</f>
        <v/>
      </c>
      <c r="R21" s="52" t="str">
        <f>'R1'!R43</f>
        <v/>
      </c>
      <c r="S21" s="52" t="str">
        <f>'R1'!S43</f>
        <v/>
      </c>
      <c r="T21" s="52" t="str">
        <f>'R1'!T43</f>
        <v/>
      </c>
      <c r="U21" s="52" t="str">
        <f>'R1'!U43</f>
        <v/>
      </c>
      <c r="V21" s="52" t="str">
        <f>'R1'!V43</f>
        <v/>
      </c>
    </row>
    <row r="22" spans="1:22" x14ac:dyDescent="0.3">
      <c r="A22" s="38" t="s">
        <v>5</v>
      </c>
      <c r="B22" s="53">
        <f>'R2'!B28</f>
        <v>1.7129345279163245E-2</v>
      </c>
      <c r="C22" s="53">
        <f>'R2'!C28</f>
        <v>4.7388263073916061E-2</v>
      </c>
      <c r="D22" s="53">
        <f>'R2'!D28</f>
        <v>9.02651420968653E-2</v>
      </c>
      <c r="E22" s="53">
        <f>'R2'!E28</f>
        <v>6.0750094270184116E-2</v>
      </c>
      <c r="F22" s="53">
        <f>'R2'!F28</f>
        <v>0.68037023071083835</v>
      </c>
      <c r="G22" s="53">
        <f>'R2'!G28</f>
        <v>5.6944765905314867</v>
      </c>
      <c r="H22" s="53">
        <f>'R2'!H28</f>
        <v>6.1566328336876355</v>
      </c>
      <c r="I22" s="53">
        <f>'R2'!I28</f>
        <v>1.1966138479195518E-2</v>
      </c>
      <c r="J22" s="53">
        <f>'R2'!J28</f>
        <v>1.3921606726198219E-2</v>
      </c>
      <c r="K22" s="53">
        <f>'R2'!K28</f>
        <v>2.3707510493218313E-3</v>
      </c>
      <c r="L22" s="53">
        <f>'R2'!L28</f>
        <v>6.8457443392606915E-3</v>
      </c>
      <c r="M22" s="53">
        <f>'R2'!M28</f>
        <v>2.2690709817436939E-4</v>
      </c>
      <c r="O22" s="53">
        <f>'R2'!O28</f>
        <v>1.6410820405831086</v>
      </c>
      <c r="P22" s="53">
        <f>'R2'!P28</f>
        <v>13.235997296215855</v>
      </c>
      <c r="Q22" s="53">
        <f>'R2'!Q28</f>
        <v>2.8825764000151494E-2</v>
      </c>
      <c r="R22" s="53">
        <f>'R2'!R28</f>
        <v>0.68883857486534594</v>
      </c>
      <c r="S22" s="53">
        <f>'R2'!S28</f>
        <v>1.7745098362086427</v>
      </c>
      <c r="T22" s="53">
        <f>'R2'!T28</f>
        <v>0.81455581041895486</v>
      </c>
      <c r="U22" s="53">
        <f>'R2'!U28</f>
        <v>1.260203491866418</v>
      </c>
      <c r="V22" s="53">
        <f>'R2'!V28</f>
        <v>0.19625751485681636</v>
      </c>
    </row>
    <row r="23" spans="1:22" x14ac:dyDescent="0.3">
      <c r="A23" s="224" t="s">
        <v>34</v>
      </c>
      <c r="B23" s="53">
        <f>'R2'!B29</f>
        <v>2.6757912520562427E-5</v>
      </c>
      <c r="C23" s="53">
        <f>'R2'!C29</f>
        <v>0.14474853325473369</v>
      </c>
      <c r="D23" s="53">
        <f>'R2'!D29</f>
        <v>5.8219866062239729E-2</v>
      </c>
      <c r="E23" s="53">
        <f>'R2'!E29</f>
        <v>0.73834285366138808</v>
      </c>
      <c r="F23" s="53">
        <f>'R2'!F29</f>
        <v>5.7185694149650006</v>
      </c>
      <c r="G23" s="53">
        <f>'R2'!G29</f>
        <v>5.5140158769103094</v>
      </c>
      <c r="H23" s="53">
        <f>'R2'!H29</f>
        <v>10.379702517878403</v>
      </c>
      <c r="I23" s="53">
        <f>'R2'!I29</f>
        <v>2.0711694607416141E-2</v>
      </c>
      <c r="J23" s="53">
        <f>'R2'!J29</f>
        <v>3.1595743104280115E-3</v>
      </c>
      <c r="K23" s="53">
        <f>'R2'!K29</f>
        <v>1.9404838159911872E-3</v>
      </c>
      <c r="L23" s="53">
        <f>'R2'!L29</f>
        <v>3.7499608922817007E-2</v>
      </c>
      <c r="M23" s="53">
        <f>'R2'!M29</f>
        <v>1.2276530264434041E-2</v>
      </c>
      <c r="O23" s="53">
        <f>'R2'!O29</f>
        <v>0.80977898787578406</v>
      </c>
      <c r="P23" s="53">
        <f>'R2'!P29</f>
        <v>11.006840557420833</v>
      </c>
      <c r="Q23" s="53">
        <f>'R2'!Q29</f>
        <v>2.1833386300278118E-2</v>
      </c>
      <c r="R23" s="53">
        <f>'R2'!R29</f>
        <v>0.18769712348323803</v>
      </c>
      <c r="S23" s="53">
        <f>'R2'!S29</f>
        <v>7.0117504285382604E-2</v>
      </c>
      <c r="T23" s="53">
        <f>'R2'!T29</f>
        <v>1.1666449858965218E-4</v>
      </c>
      <c r="U23" s="53">
        <f>'R2'!U29</f>
        <v>1.4769329504344662</v>
      </c>
      <c r="V23" s="53">
        <f>'R2'!V29</f>
        <v>1.6617733991770089E-2</v>
      </c>
    </row>
    <row r="24" spans="1:22" x14ac:dyDescent="0.3">
      <c r="A24" s="225"/>
      <c r="B24" s="53">
        <f>'R2'!B30</f>
        <v>1.3578035129434198E-2</v>
      </c>
      <c r="C24" s="53">
        <f>'R2'!C30</f>
        <v>3.3101678420937371E-2</v>
      </c>
      <c r="D24" s="53">
        <f>'R2'!D30</f>
        <v>2.7284465426307065</v>
      </c>
      <c r="E24" s="53">
        <f>'R2'!E30</f>
        <v>1.4066634612059667</v>
      </c>
      <c r="F24" s="53">
        <f>'R2'!F30</f>
        <v>1.2551601605145424E-2</v>
      </c>
      <c r="G24" s="53">
        <f>'R2'!G30</f>
        <v>2.678256190957637</v>
      </c>
      <c r="H24" s="53">
        <f>'R2'!H30</f>
        <v>4.9465319275412201</v>
      </c>
      <c r="I24" s="53">
        <f>'R2'!I30</f>
        <v>2.3467759597034073E-2</v>
      </c>
      <c r="J24" s="53">
        <f>'R2'!J30</f>
        <v>3.7750062984009472E-3</v>
      </c>
      <c r="K24" s="53">
        <f>'R2'!K30</f>
        <v>3.2598629665550792E-2</v>
      </c>
      <c r="L24" s="53">
        <f>'R2'!L30</f>
        <v>7.0341200434054507E-3</v>
      </c>
      <c r="M24" s="53">
        <f>'R2'!M30</f>
        <v>1.189442727364041E-2</v>
      </c>
      <c r="O24" s="53">
        <f>'R2'!O30</f>
        <v>2.3106549184336496</v>
      </c>
      <c r="P24" s="53">
        <f>'R2'!P30</f>
        <v>13.202960907101469</v>
      </c>
      <c r="Q24" s="53">
        <f>'R2'!Q30</f>
        <v>4.6480634681218581E-2</v>
      </c>
      <c r="R24" s="53">
        <f>'R2'!R30</f>
        <v>8.5738773614886951E-2</v>
      </c>
      <c r="S24" s="53">
        <f>'R2'!S30</f>
        <v>0.12809012723593236</v>
      </c>
      <c r="T24" s="53">
        <f>'R2'!T30</f>
        <v>3.1259663723021851E-2</v>
      </c>
      <c r="U24" s="53">
        <f>'R2'!U30</f>
        <v>1.4548812195680202E-2</v>
      </c>
      <c r="V24" s="53">
        <f>'R2'!V30</f>
        <v>7.059593576125027E-2</v>
      </c>
    </row>
    <row r="25" spans="1:22" x14ac:dyDescent="0.3">
      <c r="A25" s="225"/>
      <c r="B25" s="53">
        <f>'R2'!B31</f>
        <v>1.1782044041054048E-2</v>
      </c>
      <c r="C25" s="53">
        <f>'R2'!C31</f>
        <v>0.11988829189012955</v>
      </c>
      <c r="D25" s="53">
        <f>'R2'!D31</f>
        <v>6.3586432997363732E-2</v>
      </c>
      <c r="E25" s="53">
        <f>'R2'!E31</f>
        <v>0.80297391556355457</v>
      </c>
      <c r="F25" s="53">
        <f>'R2'!F31</f>
        <v>4.1218477120749819</v>
      </c>
      <c r="G25" s="53">
        <f>'R2'!G31</f>
        <v>2.0990865260325675</v>
      </c>
      <c r="H25" s="53">
        <f>'R2'!H31</f>
        <v>5.1069905663950257</v>
      </c>
      <c r="I25" s="53">
        <f>'R2'!I31</f>
        <v>7.9578031836152665E-3</v>
      </c>
      <c r="J25" s="53">
        <f>'R2'!J31</f>
        <v>7.3252461316291706E-2</v>
      </c>
      <c r="K25" s="53">
        <f>'R2'!K31</f>
        <v>4.5220872159750505E-3</v>
      </c>
      <c r="L25" s="53">
        <f>'R2'!L31</f>
        <v>2.1806628387757557E-2</v>
      </c>
      <c r="M25" s="53">
        <f>'R2'!M31</f>
        <v>1.80787160153928E-2</v>
      </c>
      <c r="O25" s="53">
        <f>'R2'!O31</f>
        <v>0.37657373575038244</v>
      </c>
      <c r="P25" s="53">
        <f>'R2'!P31</f>
        <v>7.4541796682677504</v>
      </c>
      <c r="Q25" s="53">
        <f>'R2'!Q31</f>
        <v>1.2246561402411012E-2</v>
      </c>
      <c r="R25" s="53">
        <f>'R2'!R31</f>
        <v>2.1724802691269676</v>
      </c>
      <c r="S25" s="53">
        <f>'R2'!S31</f>
        <v>2.5958835627378369</v>
      </c>
      <c r="T25" s="53">
        <f>'R2'!T31</f>
        <v>0.24203495159699456</v>
      </c>
      <c r="U25" s="53">
        <f>'R2'!U31</f>
        <v>0.10221522582854847</v>
      </c>
      <c r="V25" s="53">
        <f>'R2'!V31</f>
        <v>2.0280357057584675E-2</v>
      </c>
    </row>
    <row r="26" spans="1:22" x14ac:dyDescent="0.3">
      <c r="A26" s="225"/>
      <c r="B26" s="53">
        <f>'R2'!B32</f>
        <v>3.9072974179026082E-2</v>
      </c>
      <c r="C26" s="53">
        <f>'R2'!C32</f>
        <v>2.8767966909107077E-2</v>
      </c>
      <c r="D26" s="53">
        <f>'R2'!D32</f>
        <v>2.9230343637462398E-2</v>
      </c>
      <c r="E26" s="53">
        <f>'R2'!E32</f>
        <v>3.9515956772386494</v>
      </c>
      <c r="F26" s="53">
        <f>'R2'!F32</f>
        <v>3.1030434038040697</v>
      </c>
      <c r="G26" s="53">
        <f>'R2'!G32</f>
        <v>3.7877516272927418</v>
      </c>
      <c r="H26" s="53">
        <f>'R2'!H32</f>
        <v>5.4278864377726226</v>
      </c>
      <c r="I26" s="53">
        <f>'R2'!I32</f>
        <v>2.9497922762668021E-3</v>
      </c>
      <c r="J26" s="53">
        <f>'R2'!J32</f>
        <v>5.3311394589467757E-2</v>
      </c>
      <c r="K26" s="53">
        <f>'R2'!K32</f>
        <v>3.2627528211073002E-2</v>
      </c>
      <c r="L26" s="53">
        <f>'R2'!L32</f>
        <v>2.3370360795459226E-2</v>
      </c>
      <c r="M26" s="53">
        <f>'R2'!M32</f>
        <v>1.6738679756363034E-2</v>
      </c>
      <c r="O26" s="53">
        <f>'R2'!O32</f>
        <v>7.7929744424886016E-3</v>
      </c>
      <c r="P26" s="53">
        <f>'R2'!P32</f>
        <v>8.9541725877124385</v>
      </c>
      <c r="Q26" s="53">
        <f>'R2'!Q32</f>
        <v>9.8818041254937872E-2</v>
      </c>
      <c r="R26" s="53">
        <f>'R2'!R32</f>
        <v>2.1105378422748671</v>
      </c>
      <c r="S26" s="53">
        <f>'R2'!S32</f>
        <v>0.50532959984982639</v>
      </c>
      <c r="T26" s="53">
        <f>'R2'!T32</f>
        <v>7.2327707859581064E-2</v>
      </c>
      <c r="U26" s="53">
        <f>'R2'!U32</f>
        <v>0.3516086033686977</v>
      </c>
      <c r="V26" s="53">
        <f>'R2'!V32</f>
        <v>1.0322132333932163E-2</v>
      </c>
    </row>
    <row r="27" spans="1:22" x14ac:dyDescent="0.3">
      <c r="A27" s="225"/>
      <c r="B27" s="53">
        <f>'R2'!B33</f>
        <v>1.896279744507218E-2</v>
      </c>
      <c r="C27" s="53">
        <f>'R2'!C33</f>
        <v>5.1680232242214276E-2</v>
      </c>
      <c r="D27" s="53">
        <f>'R2'!D33</f>
        <v>0.17228456587139407</v>
      </c>
      <c r="E27" s="53">
        <f>'R2'!E33</f>
        <v>2.3135383510868652</v>
      </c>
      <c r="F27" s="53">
        <f>'R2'!F33</f>
        <v>2.641137614709113</v>
      </c>
      <c r="G27" s="53">
        <f>'R2'!G33</f>
        <v>4.4752309002020434</v>
      </c>
      <c r="H27" s="53">
        <f>'R2'!H33</f>
        <v>4.4859426277422747</v>
      </c>
      <c r="I27" s="53">
        <f>'R2'!I33</f>
        <v>1.155941820888297E-3</v>
      </c>
      <c r="J27" s="53">
        <f>'R2'!J33</f>
        <v>8.4565706729985493E-3</v>
      </c>
      <c r="K27" s="53">
        <f>'R2'!K33</f>
        <v>3.7362608410711727E-2</v>
      </c>
      <c r="L27" s="53">
        <f>'R2'!L33</f>
        <v>0.33146203587371587</v>
      </c>
      <c r="M27" s="53">
        <f>'R2'!M33</f>
        <v>3.171347791937059E-3</v>
      </c>
      <c r="O27" s="53">
        <f>'R2'!O33</f>
        <v>0.22908840320304563</v>
      </c>
      <c r="P27" s="53">
        <f>'R2'!P33</f>
        <v>7.0085127211232727</v>
      </c>
      <c r="Q27" s="53">
        <f>'R2'!Q33</f>
        <v>3.5078552997956522E-2</v>
      </c>
      <c r="R27" s="53">
        <f>'R2'!R33</f>
        <v>1.3012908016999921E-2</v>
      </c>
      <c r="S27" s="53">
        <f>'R2'!S33</f>
        <v>0.52762750351146148</v>
      </c>
      <c r="T27" s="53">
        <f>'R2'!T33</f>
        <v>0.67288015583808258</v>
      </c>
      <c r="U27" s="53">
        <f>'R2'!U33</f>
        <v>0.10820257633414952</v>
      </c>
      <c r="V27" s="53">
        <f>'R2'!V33</f>
        <v>4.3390630943344029E-3</v>
      </c>
    </row>
    <row r="28" spans="1:22" x14ac:dyDescent="0.3">
      <c r="A28" s="225"/>
      <c r="B28" s="53">
        <f>'R2'!B34</f>
        <v>4.4728526569372158E-3</v>
      </c>
      <c r="C28" s="53">
        <f>'R2'!C34</f>
        <v>0</v>
      </c>
      <c r="D28" s="53">
        <f>'R2'!D34</f>
        <v>6.6569405085156033E-2</v>
      </c>
      <c r="E28" s="53">
        <f>'R2'!E34</f>
        <v>0.17336023395472069</v>
      </c>
      <c r="F28" s="53">
        <f>'R2'!F34</f>
        <v>3.8929947785021168</v>
      </c>
      <c r="G28" s="53">
        <f>'R2'!G34</f>
        <v>3.2301766680882666</v>
      </c>
      <c r="H28" s="53">
        <f>'R2'!H34</f>
        <v>5.8200611068389936</v>
      </c>
      <c r="I28" s="53">
        <f>'R2'!I34</f>
        <v>3.0439801283391819E-2</v>
      </c>
      <c r="J28" s="53">
        <f>'R2'!J34</f>
        <v>8.4555003564977272E-5</v>
      </c>
      <c r="K28" s="53">
        <f>'R2'!K34</f>
        <v>6.9998699153791307E-4</v>
      </c>
      <c r="L28" s="53">
        <f>'R2'!L34</f>
        <v>2.7496430906129949E-3</v>
      </c>
      <c r="M28" s="53">
        <f>'R2'!M34</f>
        <v>2.3731057456236406E-2</v>
      </c>
      <c r="O28" s="53">
        <f>'R2'!O34</f>
        <v>0.62329239235497624</v>
      </c>
      <c r="P28" s="53">
        <f>'R2'!P34</f>
        <v>8.6689514356237556</v>
      </c>
      <c r="Q28" s="53">
        <f>'R2'!Q34</f>
        <v>1.8875031492004736E-2</v>
      </c>
      <c r="R28" s="53">
        <f>'R2'!R34</f>
        <v>0.28601211598278931</v>
      </c>
      <c r="S28" s="53">
        <f>'R2'!S34</f>
        <v>2.1382686724946773</v>
      </c>
      <c r="T28" s="53">
        <f>'R2'!T34</f>
        <v>0.7171270399820846</v>
      </c>
      <c r="U28" s="53">
        <f>'R2'!U34</f>
        <v>2.3878761133349913E-3</v>
      </c>
      <c r="V28" s="53">
        <f>'R2'!V34</f>
        <v>5.4893322377683407E-2</v>
      </c>
    </row>
    <row r="29" spans="1:22" x14ac:dyDescent="0.3">
      <c r="A29" s="225"/>
      <c r="B29" s="53" t="str">
        <f>'R2'!B35</f>
        <v/>
      </c>
      <c r="C29" s="53">
        <f>'R2'!C35</f>
        <v>7.5136218357739297E-4</v>
      </c>
      <c r="D29" s="53">
        <f>'R2'!D35</f>
        <v>6.4754148299761075E-3</v>
      </c>
      <c r="E29" s="53">
        <f>'R2'!E35</f>
        <v>1.3418579377141662</v>
      </c>
      <c r="F29" s="53">
        <f>'R2'!F35</f>
        <v>0.77619138576347324</v>
      </c>
      <c r="G29" s="53">
        <f>'R2'!G35</f>
        <v>5.2901367041167671</v>
      </c>
      <c r="H29" s="53">
        <f>'R2'!H35</f>
        <v>8.7690827552252024</v>
      </c>
      <c r="I29" s="53">
        <f>'R2'!I35</f>
        <v>1.5498182931909757E-3</v>
      </c>
      <c r="J29" s="53" t="str">
        <f>'R2'!J35</f>
        <v/>
      </c>
      <c r="K29" s="53">
        <f>'R2'!K35</f>
        <v>6.9599471098984525E-2</v>
      </c>
      <c r="L29" s="53">
        <f>'R2'!L35</f>
        <v>2.656097428441109E-2</v>
      </c>
      <c r="M29" s="53">
        <f>'R2'!M35</f>
        <v>2.3863776702338396E-2</v>
      </c>
      <c r="O29" s="53">
        <f>'R2'!O35</f>
        <v>1.5373651607039061</v>
      </c>
      <c r="P29" s="53" t="str">
        <f>'R2'!P35</f>
        <v/>
      </c>
      <c r="Q29" s="53" t="str">
        <f>'R2'!Q35</f>
        <v/>
      </c>
      <c r="R29" s="53" t="str">
        <f>'R2'!R35</f>
        <v/>
      </c>
      <c r="S29" s="53">
        <f>'R2'!S35</f>
        <v>3.4032864479817948</v>
      </c>
      <c r="T29" s="53">
        <f>'R2'!T35</f>
        <v>1.9661714120109273E-2</v>
      </c>
      <c r="U29" s="53">
        <f>'R2'!U35</f>
        <v>6.6894781301406073E-4</v>
      </c>
      <c r="V29" s="53">
        <f>'R2'!V35</f>
        <v>2.499296061070613E-2</v>
      </c>
    </row>
    <row r="30" spans="1:22" x14ac:dyDescent="0.3">
      <c r="A30" s="225"/>
      <c r="B30" s="53" t="str">
        <f>'R2'!B36</f>
        <v/>
      </c>
      <c r="C30" s="53" t="str">
        <f>'R2'!C36</f>
        <v/>
      </c>
      <c r="D30" s="53" t="str">
        <f>'R2'!D36</f>
        <v/>
      </c>
      <c r="E30" s="53" t="str">
        <f>'R2'!E36</f>
        <v/>
      </c>
      <c r="F30" s="53" t="str">
        <f>'R2'!F36</f>
        <v/>
      </c>
      <c r="G30" s="53" t="str">
        <f>'R2'!G36</f>
        <v/>
      </c>
      <c r="H30" s="53" t="str">
        <f>'R2'!H36</f>
        <v/>
      </c>
      <c r="I30" s="53" t="str">
        <f>'R2'!I36</f>
        <v/>
      </c>
      <c r="J30" s="53" t="str">
        <f>'R2'!J36</f>
        <v/>
      </c>
      <c r="K30" s="53" t="str">
        <f>'R2'!K36</f>
        <v/>
      </c>
      <c r="L30" s="53" t="str">
        <f>'R2'!L36</f>
        <v/>
      </c>
      <c r="M30" s="53" t="str">
        <f>'R2'!M36</f>
        <v/>
      </c>
      <c r="O30" s="53">
        <f>'R2'!O36</f>
        <v>0.27330317785202302</v>
      </c>
      <c r="P30" s="53" t="str">
        <f>'R2'!P36</f>
        <v/>
      </c>
      <c r="Q30" s="53" t="str">
        <f>'R2'!Q36</f>
        <v/>
      </c>
      <c r="R30" s="53" t="str">
        <f>'R2'!R36</f>
        <v/>
      </c>
      <c r="S30" s="53" t="str">
        <f>'R2'!S36</f>
        <v/>
      </c>
      <c r="T30" s="53" t="str">
        <f>'R2'!T36</f>
        <v/>
      </c>
      <c r="U30" s="53" t="str">
        <f>'R2'!U36</f>
        <v/>
      </c>
      <c r="V30" s="53" t="str">
        <f>'R2'!V36</f>
        <v/>
      </c>
    </row>
    <row r="31" spans="1:22" s="1" customFormat="1" x14ac:dyDescent="0.3">
      <c r="A31" s="225"/>
      <c r="B31" s="53" t="str">
        <f>'R2'!B37</f>
        <v/>
      </c>
      <c r="C31" s="53" t="str">
        <f>'R2'!C37</f>
        <v/>
      </c>
      <c r="D31" s="53" t="str">
        <f>'R2'!D37</f>
        <v/>
      </c>
      <c r="E31" s="53" t="str">
        <f>'R2'!E37</f>
        <v/>
      </c>
      <c r="F31" s="53" t="str">
        <f>'R2'!F37</f>
        <v/>
      </c>
      <c r="G31" s="53" t="str">
        <f>'R2'!G37</f>
        <v/>
      </c>
      <c r="H31" s="53" t="str">
        <f>'R2'!H37</f>
        <v/>
      </c>
      <c r="I31" s="53" t="str">
        <f>'R2'!I37</f>
        <v/>
      </c>
      <c r="J31" s="53" t="str">
        <f>'R2'!J37</f>
        <v/>
      </c>
      <c r="K31" s="53" t="str">
        <f>'R2'!K37</f>
        <v/>
      </c>
      <c r="L31" s="53" t="str">
        <f>'R2'!L37</f>
        <v/>
      </c>
      <c r="M31" s="53" t="str">
        <f>'R2'!M37</f>
        <v/>
      </c>
      <c r="N31"/>
      <c r="O31" s="53">
        <f>'R2'!O37</f>
        <v>0.1991323849780256</v>
      </c>
      <c r="P31" s="53" t="str">
        <f>'R2'!P37</f>
        <v/>
      </c>
      <c r="Q31" s="53" t="str">
        <f>'R2'!Q37</f>
        <v/>
      </c>
      <c r="R31" s="53" t="str">
        <f>'R2'!R37</f>
        <v/>
      </c>
      <c r="S31" s="53" t="str">
        <f>'R2'!S37</f>
        <v/>
      </c>
      <c r="T31" s="53" t="str">
        <f>'R2'!T37</f>
        <v/>
      </c>
      <c r="U31" s="53" t="str">
        <f>'R2'!U37</f>
        <v/>
      </c>
      <c r="V31" s="53" t="str">
        <f>'R2'!V37</f>
        <v/>
      </c>
    </row>
    <row r="32" spans="1:22" s="1" customFormat="1" x14ac:dyDescent="0.3">
      <c r="A32" s="225"/>
      <c r="B32" s="53" t="str">
        <f>'R2'!B38</f>
        <v/>
      </c>
      <c r="C32" s="53" t="str">
        <f>'R2'!C38</f>
        <v/>
      </c>
      <c r="D32" s="53" t="str">
        <f>'R2'!D38</f>
        <v/>
      </c>
      <c r="E32" s="53" t="str">
        <f>'R2'!E38</f>
        <v/>
      </c>
      <c r="F32" s="53" t="str">
        <f>'R2'!F38</f>
        <v/>
      </c>
      <c r="G32" s="53" t="str">
        <f>'R2'!G38</f>
        <v/>
      </c>
      <c r="H32" s="53" t="str">
        <f>'R2'!H38</f>
        <v/>
      </c>
      <c r="I32" s="53" t="str">
        <f>'R2'!I38</f>
        <v/>
      </c>
      <c r="J32" s="53" t="str">
        <f>'R2'!J38</f>
        <v/>
      </c>
      <c r="K32" s="53" t="str">
        <f>'R2'!K38</f>
        <v/>
      </c>
      <c r="L32" s="53" t="str">
        <f>'R2'!L38</f>
        <v/>
      </c>
      <c r="M32" s="53" t="str">
        <f>'R2'!M38</f>
        <v/>
      </c>
      <c r="N32"/>
      <c r="O32" s="53">
        <f>'R2'!O38</f>
        <v>0.71334775241768034</v>
      </c>
      <c r="P32" s="53" t="str">
        <f>'R2'!P38</f>
        <v/>
      </c>
      <c r="Q32" s="53" t="str">
        <f>'R2'!Q38</f>
        <v/>
      </c>
      <c r="R32" s="53" t="str">
        <f>'R2'!R38</f>
        <v/>
      </c>
      <c r="S32" s="53" t="str">
        <f>'R2'!S38</f>
        <v/>
      </c>
      <c r="T32" s="53" t="str">
        <f>'R2'!T38</f>
        <v/>
      </c>
      <c r="U32" s="53" t="str">
        <f>'R2'!U38</f>
        <v/>
      </c>
      <c r="V32" s="53" t="str">
        <f>'R2'!V38</f>
        <v/>
      </c>
    </row>
    <row r="33" spans="1:22" s="1" customFormat="1" x14ac:dyDescent="0.3">
      <c r="A33" s="225"/>
      <c r="B33" s="53" t="str">
        <f>'R2'!B39</f>
        <v/>
      </c>
      <c r="C33" s="53" t="str">
        <f>'R2'!C39</f>
        <v/>
      </c>
      <c r="D33" s="53" t="str">
        <f>'R2'!D39</f>
        <v/>
      </c>
      <c r="E33" s="53" t="str">
        <f>'R2'!E39</f>
        <v/>
      </c>
      <c r="F33" s="53" t="str">
        <f>'R2'!F39</f>
        <v/>
      </c>
      <c r="G33" s="53" t="str">
        <f>'R2'!G39</f>
        <v/>
      </c>
      <c r="H33" s="53" t="str">
        <f>'R2'!H39</f>
        <v/>
      </c>
      <c r="I33" s="53" t="str">
        <f>'R2'!I39</f>
        <v/>
      </c>
      <c r="J33" s="53" t="str">
        <f>'R2'!J39</f>
        <v/>
      </c>
      <c r="K33" s="53" t="str">
        <f>'R2'!K39</f>
        <v/>
      </c>
      <c r="L33" s="53" t="str">
        <f>'R2'!L39</f>
        <v/>
      </c>
      <c r="M33" s="53" t="str">
        <f>'R2'!M39</f>
        <v/>
      </c>
      <c r="N33"/>
      <c r="O33" s="53">
        <f>'R2'!O39</f>
        <v>1.5597872210796366</v>
      </c>
      <c r="P33" s="53" t="str">
        <f>'R2'!P39</f>
        <v/>
      </c>
      <c r="Q33" s="53" t="str">
        <f>'R2'!Q39</f>
        <v/>
      </c>
      <c r="R33" s="53" t="str">
        <f>'R2'!R39</f>
        <v/>
      </c>
      <c r="S33" s="53" t="str">
        <f>'R2'!S39</f>
        <v/>
      </c>
      <c r="T33" s="53" t="str">
        <f>'R2'!T39</f>
        <v/>
      </c>
      <c r="U33" s="53" t="str">
        <f>'R2'!U39</f>
        <v/>
      </c>
      <c r="V33" s="53" t="str">
        <f>'R2'!V39</f>
        <v/>
      </c>
    </row>
    <row r="34" spans="1:22" s="1" customFormat="1" x14ac:dyDescent="0.3">
      <c r="A34" s="225"/>
      <c r="B34" s="53" t="str">
        <f>'R2'!B40</f>
        <v/>
      </c>
      <c r="C34" s="53" t="str">
        <f>'R2'!C40</f>
        <v/>
      </c>
      <c r="D34" s="53" t="str">
        <f>'R2'!D40</f>
        <v/>
      </c>
      <c r="E34" s="53" t="str">
        <f>'R2'!E40</f>
        <v/>
      </c>
      <c r="F34" s="53" t="str">
        <f>'R2'!F40</f>
        <v/>
      </c>
      <c r="G34" s="53" t="str">
        <f>'R2'!G40</f>
        <v/>
      </c>
      <c r="H34" s="53" t="str">
        <f>'R2'!H40</f>
        <v/>
      </c>
      <c r="I34" s="53" t="str">
        <f>'R2'!I40</f>
        <v/>
      </c>
      <c r="J34" s="53" t="str">
        <f>'R2'!J40</f>
        <v/>
      </c>
      <c r="K34" s="53" t="str">
        <f>'R2'!K40</f>
        <v/>
      </c>
      <c r="L34" s="53" t="str">
        <f>'R2'!L40</f>
        <v/>
      </c>
      <c r="M34" s="53" t="str">
        <f>'R2'!M40</f>
        <v/>
      </c>
      <c r="N34"/>
      <c r="O34" s="53">
        <f>'R2'!O40</f>
        <v>2.7188008503252941</v>
      </c>
      <c r="P34" s="53" t="str">
        <f>'R2'!P40</f>
        <v/>
      </c>
      <c r="Q34" s="53" t="str">
        <f>'R2'!Q40</f>
        <v/>
      </c>
      <c r="R34" s="53" t="str">
        <f>'R2'!R40</f>
        <v/>
      </c>
      <c r="S34" s="53" t="str">
        <f>'R2'!S40</f>
        <v/>
      </c>
      <c r="T34" s="53" t="str">
        <f>'R2'!T40</f>
        <v/>
      </c>
      <c r="U34" s="53" t="str">
        <f>'R2'!U40</f>
        <v/>
      </c>
      <c r="V34" s="53" t="str">
        <f>'R2'!V40</f>
        <v/>
      </c>
    </row>
    <row r="35" spans="1:22" s="1" customFormat="1" x14ac:dyDescent="0.3">
      <c r="A35" s="225"/>
      <c r="B35" s="53" t="str">
        <f>'R2'!B41</f>
        <v/>
      </c>
      <c r="C35" s="53" t="str">
        <f>'R2'!C41</f>
        <v/>
      </c>
      <c r="D35" s="53" t="str">
        <f>'R2'!D41</f>
        <v/>
      </c>
      <c r="E35" s="53" t="str">
        <f>'R2'!E41</f>
        <v/>
      </c>
      <c r="F35" s="53" t="str">
        <f>'R2'!F41</f>
        <v/>
      </c>
      <c r="G35" s="53" t="str">
        <f>'R2'!G41</f>
        <v/>
      </c>
      <c r="H35" s="53" t="str">
        <f>'R2'!H41</f>
        <v/>
      </c>
      <c r="I35" s="53" t="str">
        <f>'R2'!I41</f>
        <v/>
      </c>
      <c r="J35" s="53" t="str">
        <f>'R2'!J41</f>
        <v/>
      </c>
      <c r="K35" s="53" t="str">
        <f>'R2'!K41</f>
        <v/>
      </c>
      <c r="L35" s="53" t="str">
        <f>'R2'!L41</f>
        <v/>
      </c>
      <c r="M35" s="53" t="str">
        <f>'R2'!M41</f>
        <v/>
      </c>
      <c r="N35"/>
      <c r="O35" s="53" t="str">
        <f>'R2'!O41</f>
        <v/>
      </c>
      <c r="P35" s="53" t="str">
        <f>'R2'!P41</f>
        <v/>
      </c>
      <c r="Q35" s="53" t="str">
        <f>'R2'!Q41</f>
        <v/>
      </c>
      <c r="R35" s="53" t="str">
        <f>'R2'!R41</f>
        <v/>
      </c>
      <c r="S35" s="53" t="str">
        <f>'R2'!S41</f>
        <v/>
      </c>
      <c r="T35" s="53" t="str">
        <f>'R2'!T41</f>
        <v/>
      </c>
      <c r="U35" s="53" t="str">
        <f>'R2'!U41</f>
        <v/>
      </c>
      <c r="V35" s="53" t="str">
        <f>'R2'!V41</f>
        <v/>
      </c>
    </row>
    <row r="36" spans="1:22" x14ac:dyDescent="0.3">
      <c r="A36" s="225"/>
      <c r="B36" s="53" t="str">
        <f>'R2'!B42</f>
        <v/>
      </c>
      <c r="C36" s="53" t="str">
        <f>'R2'!C42</f>
        <v/>
      </c>
      <c r="D36" s="53" t="str">
        <f>'R2'!D42</f>
        <v/>
      </c>
      <c r="E36" s="53" t="str">
        <f>'R2'!E42</f>
        <v/>
      </c>
      <c r="F36" s="53" t="str">
        <f>'R2'!F42</f>
        <v/>
      </c>
      <c r="G36" s="53" t="str">
        <f>'R2'!G42</f>
        <v/>
      </c>
      <c r="H36" s="53" t="str">
        <f>'R2'!H42</f>
        <v/>
      </c>
      <c r="I36" s="53" t="str">
        <f>'R2'!I42</f>
        <v/>
      </c>
      <c r="J36" s="53" t="str">
        <f>'R2'!J42</f>
        <v/>
      </c>
      <c r="K36" s="53" t="str">
        <f>'R2'!K42</f>
        <v/>
      </c>
      <c r="L36" s="53" t="str">
        <f>'R2'!L42</f>
        <v/>
      </c>
      <c r="M36" s="53" t="str">
        <f>'R2'!M42</f>
        <v/>
      </c>
      <c r="O36" s="53" t="str">
        <f>'R2'!O42</f>
        <v/>
      </c>
      <c r="P36" s="53" t="str">
        <f>'R2'!P42</f>
        <v/>
      </c>
      <c r="Q36" s="53" t="str">
        <f>'R2'!Q42</f>
        <v/>
      </c>
      <c r="R36" s="53" t="str">
        <f>'R2'!R42</f>
        <v/>
      </c>
      <c r="S36" s="53" t="str">
        <f>'R2'!S42</f>
        <v/>
      </c>
      <c r="T36" s="53" t="str">
        <f>'R2'!T42</f>
        <v/>
      </c>
      <c r="U36" s="53" t="str">
        <f>'R2'!U42</f>
        <v/>
      </c>
      <c r="V36" s="53" t="str">
        <f>'R2'!V42</f>
        <v/>
      </c>
    </row>
    <row r="37" spans="1:22" x14ac:dyDescent="0.3">
      <c r="A37" s="226"/>
      <c r="B37" s="53" t="str">
        <f>'R2'!B43</f>
        <v/>
      </c>
      <c r="C37" s="53" t="str">
        <f>'R2'!C43</f>
        <v/>
      </c>
      <c r="D37" s="53" t="str">
        <f>'R2'!D43</f>
        <v/>
      </c>
      <c r="E37" s="53" t="str">
        <f>'R2'!E43</f>
        <v/>
      </c>
      <c r="F37" s="53" t="str">
        <f>'R2'!F43</f>
        <v/>
      </c>
      <c r="G37" s="53" t="str">
        <f>'R2'!G43</f>
        <v/>
      </c>
      <c r="H37" s="53" t="str">
        <f>'R2'!H43</f>
        <v/>
      </c>
      <c r="I37" s="53" t="str">
        <f>'R2'!I43</f>
        <v/>
      </c>
      <c r="J37" s="53" t="str">
        <f>'R2'!J43</f>
        <v/>
      </c>
      <c r="K37" s="53" t="str">
        <f>'R2'!K43</f>
        <v/>
      </c>
      <c r="L37" s="53" t="str">
        <f>'R2'!L43</f>
        <v/>
      </c>
      <c r="M37" s="53" t="str">
        <f>'R2'!M43</f>
        <v/>
      </c>
      <c r="O37" s="53" t="str">
        <f>'R2'!O43</f>
        <v/>
      </c>
      <c r="P37" s="53" t="str">
        <f>'R2'!P43</f>
        <v/>
      </c>
      <c r="Q37" s="53" t="str">
        <f>'R2'!Q43</f>
        <v/>
      </c>
      <c r="R37" s="53" t="str">
        <f>'R2'!R43</f>
        <v/>
      </c>
      <c r="S37" s="53" t="str">
        <f>'R2'!S43</f>
        <v/>
      </c>
      <c r="T37" s="53" t="str">
        <f>'R2'!T43</f>
        <v/>
      </c>
      <c r="U37" s="53" t="str">
        <f>'R2'!U43</f>
        <v/>
      </c>
      <c r="V37" s="53" t="str">
        <f>'R2'!V43</f>
        <v/>
      </c>
    </row>
    <row r="38" spans="1:22" s="1" customFormat="1" x14ac:dyDescent="0.3">
      <c r="A38" s="153" t="s">
        <v>116</v>
      </c>
      <c r="B38" s="154">
        <f>'R3'!B28</f>
        <v>4.9852871853249426E-3</v>
      </c>
      <c r="C38" s="154">
        <f>'R3'!C28</f>
        <v>3.9795091292768779E-2</v>
      </c>
      <c r="D38" s="154">
        <f>'R3'!D28</f>
        <v>0.15690089226466561</v>
      </c>
      <c r="E38" s="154">
        <f>'R3'!E28</f>
        <v>3.0797205073914511</v>
      </c>
      <c r="F38" s="154">
        <f>'R3'!F28</f>
        <v>5.0472568727763427</v>
      </c>
      <c r="G38" s="154">
        <f>'R3'!G28</f>
        <v>5.6446095835403804</v>
      </c>
      <c r="H38" s="154">
        <f>'R3'!H28</f>
        <v>17.766306305928033</v>
      </c>
      <c r="I38" s="154">
        <f>'R3'!I28</f>
        <v>3.539117870631555E-2</v>
      </c>
      <c r="J38" s="154">
        <f>'R3'!J28</f>
        <v>2.9046928396127981E-2</v>
      </c>
      <c r="K38" s="154">
        <f>'R3'!K28</f>
        <v>0.21681638946671961</v>
      </c>
      <c r="L38" s="154">
        <f>'R3'!L28</f>
        <v>2.3710394057318045E-2</v>
      </c>
      <c r="M38" s="154">
        <f>'R3'!M28</f>
        <v>3.1871439988979719E-2</v>
      </c>
      <c r="N38"/>
      <c r="O38" s="154">
        <f>'R3'!O28</f>
        <v>5.3321740293183977E-2</v>
      </c>
      <c r="P38" s="154">
        <f>'R3'!P28</f>
        <v>9.5148905376600741</v>
      </c>
      <c r="Q38" s="154">
        <f>'R3'!Q28</f>
        <v>5.4208336556463343E-2</v>
      </c>
      <c r="R38" s="154">
        <f>'R3'!R28</f>
        <v>5.7246018835568048E-2</v>
      </c>
      <c r="S38" s="154">
        <f>'R3'!S28</f>
        <v>2.2622133480055058</v>
      </c>
      <c r="T38" s="154">
        <f>'R3'!T28</f>
        <v>3.4208759667976967</v>
      </c>
      <c r="U38" s="154">
        <f>'R3'!U28</f>
        <v>0.20734482829343462</v>
      </c>
      <c r="V38" s="154">
        <f>'R3'!V28</f>
        <v>1.9090888390449888E-2</v>
      </c>
    </row>
    <row r="39" spans="1:22" s="1" customFormat="1" x14ac:dyDescent="0.3">
      <c r="A39" s="224" t="s">
        <v>34</v>
      </c>
      <c r="B39" s="154">
        <f>'R3'!B29</f>
        <v>4.9307833166807195E-2</v>
      </c>
      <c r="C39" s="154">
        <f>'R3'!C29</f>
        <v>0</v>
      </c>
      <c r="D39" s="154">
        <f>'R3'!D29</f>
        <v>0.11343102902819521</v>
      </c>
      <c r="E39" s="154">
        <f>'R3'!E29</f>
        <v>0.18209863633743045</v>
      </c>
      <c r="F39" s="154">
        <f>'R3'!F29</f>
        <v>5.3329564626327128</v>
      </c>
      <c r="G39" s="154">
        <f>'R3'!G29</f>
        <v>7.1249564574649389</v>
      </c>
      <c r="H39" s="154">
        <f>'R3'!H29</f>
        <v>14.747412115943536</v>
      </c>
      <c r="I39" s="154">
        <f>'R3'!I29</f>
        <v>1.0474432356338702E-2</v>
      </c>
      <c r="J39" s="154">
        <f>'R3'!J29</f>
        <v>2.025605998235528E-2</v>
      </c>
      <c r="K39" s="154">
        <f>'R3'!K29</f>
        <v>6.0559854049136812E-5</v>
      </c>
      <c r="L39" s="154">
        <f>'R3'!L29</f>
        <v>0.10903438362422788</v>
      </c>
      <c r="M39" s="154">
        <f>'R3'!M29</f>
        <v>6.0559854049136812E-5</v>
      </c>
      <c r="N39"/>
      <c r="O39" s="154">
        <f>'R3'!O29</f>
        <v>9.5926808813832714E-4</v>
      </c>
      <c r="P39" s="154">
        <f>'R3'!P29</f>
        <v>18.599372503016284</v>
      </c>
      <c r="Q39" s="154">
        <f>'R3'!Q29</f>
        <v>0.58407072357398093</v>
      </c>
      <c r="R39" s="154">
        <f>'R3'!R29</f>
        <v>2.2070433209667419E-2</v>
      </c>
      <c r="S39" s="154">
        <f>'R3'!S29</f>
        <v>2.5878170368919324</v>
      </c>
      <c r="T39" s="154">
        <f>'R3'!T29</f>
        <v>2.0326309413052281E-2</v>
      </c>
      <c r="U39" s="154">
        <f>'R3'!U29</f>
        <v>6.1872791684922095E-2</v>
      </c>
      <c r="V39" s="154">
        <f>'R3'!V29</f>
        <v>4.5177651120656059E-3</v>
      </c>
    </row>
    <row r="40" spans="1:22" s="1" customFormat="1" x14ac:dyDescent="0.3">
      <c r="A40" s="225"/>
      <c r="B40" s="154">
        <f>'R3'!B30</f>
        <v>2.0541902493467205E-2</v>
      </c>
      <c r="C40" s="154">
        <f>'R3'!C30</f>
        <v>9.6580855237563389E-3</v>
      </c>
      <c r="D40" s="154">
        <f>'R3'!D30</f>
        <v>0.15760338657163561</v>
      </c>
      <c r="E40" s="154">
        <f>'R3'!E30</f>
        <v>3.646064150488169</v>
      </c>
      <c r="F40" s="154">
        <f>'R3'!F30</f>
        <v>0.72376777250036783</v>
      </c>
      <c r="G40" s="154">
        <f>'R3'!G30</f>
        <v>4.3635433877440741</v>
      </c>
      <c r="H40" s="154">
        <f>'R3'!H30</f>
        <v>17.955667279963038</v>
      </c>
      <c r="I40" s="154">
        <f>'R3'!I30</f>
        <v>0.13575823601903098</v>
      </c>
      <c r="J40" s="154">
        <f>'R3'!J30</f>
        <v>6.6300928212994978E-3</v>
      </c>
      <c r="K40" s="154">
        <f>'R3'!K30</f>
        <v>9.5442329981439611E-4</v>
      </c>
      <c r="L40" s="154">
        <f>'R3'!L30</f>
        <v>7.7778231752387392E-2</v>
      </c>
      <c r="M40" s="154">
        <f>'R3'!M30</f>
        <v>6.2497769378709188E-4</v>
      </c>
      <c r="N40"/>
      <c r="O40" s="154">
        <f>'R3'!O30</f>
        <v>0.12653618144442841</v>
      </c>
      <c r="P40" s="154">
        <f>'R3'!P30</f>
        <v>14.136801641931061</v>
      </c>
      <c r="Q40" s="154">
        <f>'R3'!Q30</f>
        <v>5.616320864516948E-2</v>
      </c>
      <c r="R40" s="154">
        <f>'R3'!R30</f>
        <v>8.3029982295528534E-2</v>
      </c>
      <c r="S40" s="154">
        <f>'R3'!S30</f>
        <v>0.71476131100618012</v>
      </c>
      <c r="T40" s="154">
        <f>'R3'!T30</f>
        <v>0.3851049566867849</v>
      </c>
      <c r="U40" s="154">
        <f>'R3'!U30</f>
        <v>1.2339845428643454</v>
      </c>
      <c r="V40" s="154">
        <f>'R3'!V30</f>
        <v>4.8615028436485068E-2</v>
      </c>
    </row>
    <row r="41" spans="1:22" s="1" customFormat="1" x14ac:dyDescent="0.3">
      <c r="A41" s="225"/>
      <c r="B41" s="154">
        <f>'R3'!B31</f>
        <v>6.1480363830683695E-3</v>
      </c>
      <c r="C41" s="154">
        <f>'R3'!C31</f>
        <v>1.4766914811341521E-2</v>
      </c>
      <c r="D41" s="154">
        <f>'R3'!D31</f>
        <v>3.5417825042097173E-2</v>
      </c>
      <c r="E41" s="154">
        <f>'R3'!E31</f>
        <v>4.9231891109829578</v>
      </c>
      <c r="F41" s="154">
        <f>'R3'!F31</f>
        <v>3.9869143882300064</v>
      </c>
      <c r="G41" s="154">
        <f>'R3'!G31</f>
        <v>8.2369540751210266</v>
      </c>
      <c r="H41" s="154">
        <f>'R3'!H31</f>
        <v>14.168392084197253</v>
      </c>
      <c r="I41" s="154">
        <f>'R3'!I31</f>
        <v>1.158388888251889E-2</v>
      </c>
      <c r="J41" s="154">
        <f>'R3'!J31</f>
        <v>4.4785223266417658E-2</v>
      </c>
      <c r="K41" s="154">
        <f>'R3'!K31</f>
        <v>6.3154238196601833E-2</v>
      </c>
      <c r="L41" s="154">
        <f>'R3'!L31</f>
        <v>1.1273822429787309E-2</v>
      </c>
      <c r="M41" s="154">
        <f>'R3'!M31</f>
        <v>2.9131712191796773E-2</v>
      </c>
      <c r="N41"/>
      <c r="O41" s="154">
        <f>'R3'!O31</f>
        <v>9.0612512053429608</v>
      </c>
      <c r="P41" s="154">
        <f>'R3'!P31</f>
        <v>25.272857670939072</v>
      </c>
      <c r="Q41" s="154">
        <f>'R3'!Q31</f>
        <v>5.5259655622756358E-2</v>
      </c>
      <c r="R41" s="154">
        <f>'R3'!R31</f>
        <v>1.4276598009018089</v>
      </c>
      <c r="S41" s="154">
        <f>'R3'!S31</f>
        <v>4.9295721195997365E-3</v>
      </c>
      <c r="T41" s="154">
        <f>'R3'!T31</f>
        <v>5.6349732995640819E-2</v>
      </c>
      <c r="U41" s="154">
        <f>'R3'!U31</f>
        <v>7.1746470289093367E-2</v>
      </c>
      <c r="V41" s="154">
        <f>'R3'!V31</f>
        <v>4.2004314768481293E-2</v>
      </c>
    </row>
    <row r="42" spans="1:22" s="1" customFormat="1" x14ac:dyDescent="0.3">
      <c r="A42" s="225"/>
      <c r="B42" s="154">
        <f>'R3'!B32</f>
        <v>9.4449148375033778E-3</v>
      </c>
      <c r="C42" s="154">
        <f>'R3'!C32</f>
        <v>2.4345061327752998E-3</v>
      </c>
      <c r="D42" s="154">
        <f>'R3'!D32</f>
        <v>1.6399608476506247E-2</v>
      </c>
      <c r="E42" s="154">
        <f>'R3'!E32</f>
        <v>2.6640958066580636</v>
      </c>
      <c r="F42" s="154">
        <f>'R3'!F32</f>
        <v>22.123122705084331</v>
      </c>
      <c r="G42" s="154">
        <f>'R3'!G32</f>
        <v>9.055657897222984</v>
      </c>
      <c r="H42" s="154">
        <f>'R3'!H32</f>
        <v>10.950926977573959</v>
      </c>
      <c r="I42" s="154">
        <f>'R3'!I32</f>
        <v>1.2383278955967495E-2</v>
      </c>
      <c r="J42" s="154">
        <f>'R3'!J32</f>
        <v>8.1666174382341972E-2</v>
      </c>
      <c r="K42" s="154">
        <f>'R3'!K32</f>
        <v>1.6666071834322452E-3</v>
      </c>
      <c r="L42" s="154">
        <f>'R3'!L32</f>
        <v>4.619505666868156E-2</v>
      </c>
      <c r="M42" s="154">
        <f>'R3'!M32</f>
        <v>1.6862285761441654E-2</v>
      </c>
      <c r="N42"/>
      <c r="O42" s="154">
        <f>'R3'!O32</f>
        <v>1.4966132507221561</v>
      </c>
      <c r="P42" s="154">
        <f>'R3'!P32</f>
        <v>23.948900564111003</v>
      </c>
      <c r="Q42" s="154">
        <f>'R3'!Q32</f>
        <v>9.3867773776162063E-3</v>
      </c>
      <c r="R42" s="154">
        <f>'R3'!R32</f>
        <v>0.13228936757909643</v>
      </c>
      <c r="S42" s="154">
        <f>'R3'!S32</f>
        <v>0.2836090636945936</v>
      </c>
      <c r="T42" s="154">
        <f>'R3'!T32</f>
        <v>1.4798405935447071E-2</v>
      </c>
      <c r="U42" s="154">
        <f>'R3'!U32</f>
        <v>4.6800655209172926E-2</v>
      </c>
      <c r="V42" s="154">
        <f>'R3'!V32</f>
        <v>5.7410741638581702E-4</v>
      </c>
    </row>
    <row r="43" spans="1:22" s="1" customFormat="1" x14ac:dyDescent="0.3">
      <c r="A43" s="225"/>
      <c r="B43" s="154">
        <f>'R3'!B33</f>
        <v>1.1530596210955649E-3</v>
      </c>
      <c r="C43" s="154">
        <f>'R3'!C33</f>
        <v>1.7758571601368879E-2</v>
      </c>
      <c r="D43" s="154">
        <f>'R3'!D33</f>
        <v>1.8797778696852067E-3</v>
      </c>
      <c r="E43" s="154">
        <f>'R3'!E33</f>
        <v>5.8798579701854958</v>
      </c>
      <c r="F43" s="154">
        <f>'R3'!F33</f>
        <v>5.6385608653179533</v>
      </c>
      <c r="G43" s="154">
        <f>'R3'!G33</f>
        <v>9.6826631349236401</v>
      </c>
      <c r="H43" s="154">
        <f>'R3'!H33</f>
        <v>25.135304440846024</v>
      </c>
      <c r="I43" s="154">
        <f>'R3'!I33</f>
        <v>3.6767098590311943E-2</v>
      </c>
      <c r="J43" s="154">
        <f>'R3'!J33</f>
        <v>9.420690895883722E-3</v>
      </c>
      <c r="K43" s="154">
        <f>'R3'!K33</f>
        <v>5.4702504965504301E-2</v>
      </c>
      <c r="L43" s="154">
        <f>'R3'!L33</f>
        <v>2.6883730409492813E-2</v>
      </c>
      <c r="M43" s="154">
        <f>'R3'!M33</f>
        <v>3.0870991200087981E-2</v>
      </c>
      <c r="N43"/>
      <c r="O43" s="154">
        <f>'R3'!O33</f>
        <v>9.6513028201028347E-2</v>
      </c>
      <c r="P43" s="154">
        <f>'R3'!P33</f>
        <v>15.423628291044521</v>
      </c>
      <c r="Q43" s="154">
        <f>'R3'!Q33</f>
        <v>2.5548991226249838E-2</v>
      </c>
      <c r="R43" s="154">
        <f>'R3'!R33</f>
        <v>0.86363923380641616</v>
      </c>
      <c r="S43" s="154">
        <f>'R3'!S33</f>
        <v>0.20814421836688321</v>
      </c>
      <c r="T43" s="154">
        <f>'R3'!T33</f>
        <v>3.3777864194446547E-2</v>
      </c>
      <c r="U43" s="154">
        <f>'R3'!U33</f>
        <v>4.1330986087221371</v>
      </c>
      <c r="V43" s="154">
        <f>'R3'!V33</f>
        <v>1.7964475105135942E-2</v>
      </c>
    </row>
    <row r="44" spans="1:22" s="1" customFormat="1" x14ac:dyDescent="0.3">
      <c r="A44" s="225"/>
      <c r="B44" s="154">
        <f>'R3'!B34</f>
        <v>8.148449482019457E-2</v>
      </c>
      <c r="C44" s="154">
        <f>'R3'!C34</f>
        <v>5.8331251420128578E-3</v>
      </c>
      <c r="D44" s="154">
        <f>'R3'!D34</f>
        <v>3.0798319375229016E-2</v>
      </c>
      <c r="E44" s="154">
        <f>'R3'!E34</f>
        <v>0.93289548289700897</v>
      </c>
      <c r="F44" s="154">
        <f>'R3'!F34</f>
        <v>1.2044482908475005</v>
      </c>
      <c r="G44" s="154">
        <f>'R3'!G34</f>
        <v>8.1577999234846423</v>
      </c>
      <c r="H44" s="154">
        <f>'R3'!H34</f>
        <v>11.311086119180823</v>
      </c>
      <c r="I44" s="154">
        <f>'R3'!I34</f>
        <v>0.14632229695936239</v>
      </c>
      <c r="J44" s="154">
        <f>'R3'!J34</f>
        <v>7.167864325255833E-3</v>
      </c>
      <c r="K44" s="154">
        <f>'R3'!K34</f>
        <v>3.476135622420453E-2</v>
      </c>
      <c r="L44" s="154">
        <f>'R3'!L34</f>
        <v>4.5153427179036405E-3</v>
      </c>
      <c r="M44" s="154">
        <f>'R3'!M34</f>
        <v>7.8049539898527526E-3</v>
      </c>
      <c r="N44"/>
      <c r="O44" s="154">
        <f>'R3'!O34</f>
        <v>8.7932908079346652E-4</v>
      </c>
      <c r="P44" s="154">
        <f>'R3'!P34</f>
        <v>24.164406438336098</v>
      </c>
      <c r="Q44" s="154">
        <f>'R3'!Q34</f>
        <v>2.076476275636803E-2</v>
      </c>
      <c r="R44" s="154">
        <f>'R3'!R34</f>
        <v>3.2169903173675487</v>
      </c>
      <c r="S44" s="154">
        <f>'R3'!S34</f>
        <v>0.20667140271640821</v>
      </c>
      <c r="T44" s="154">
        <f>'R3'!T34</f>
        <v>2.5711291635101524E-2</v>
      </c>
      <c r="U44" s="154">
        <f>'R3'!U34</f>
        <v>0.33296049995631616</v>
      </c>
      <c r="V44" s="154">
        <f>'R3'!V34</f>
        <v>4.7319047559833537E-2</v>
      </c>
    </row>
    <row r="45" spans="1:22" s="1" customFormat="1" x14ac:dyDescent="0.3">
      <c r="A45" s="225"/>
      <c r="B45" s="154">
        <f>'R3'!B35</f>
        <v>1.6213084126034907E-2</v>
      </c>
      <c r="C45" s="154">
        <f>'R3'!C35</f>
        <v>5.4261629228026581E-3</v>
      </c>
      <c r="D45" s="154">
        <f>'R3'!D35</f>
        <v>9.8736786041712654E-3</v>
      </c>
      <c r="E45" s="154">
        <f>'R3'!E35</f>
        <v>0.17582463545793989</v>
      </c>
      <c r="F45" s="154" t="str">
        <f>'R3'!F35</f>
        <v/>
      </c>
      <c r="G45" s="154" t="str">
        <f>'R3'!G35</f>
        <v/>
      </c>
      <c r="H45" s="154" t="str">
        <f>'R3'!H35</f>
        <v/>
      </c>
      <c r="I45" s="154">
        <f>'R3'!I35</f>
        <v>1.7337075017186888E-2</v>
      </c>
      <c r="J45" s="154" t="str">
        <f>'R3'!J35</f>
        <v/>
      </c>
      <c r="K45" s="154">
        <f>'R3'!K35</f>
        <v>3.2343806850562991E-2</v>
      </c>
      <c r="L45" s="154">
        <f>'R3'!L35</f>
        <v>8.2017421535826973E-2</v>
      </c>
      <c r="M45" s="154" t="str">
        <f>'R3'!M35</f>
        <v/>
      </c>
      <c r="N45"/>
      <c r="O45" s="154">
        <f>'R3'!O35</f>
        <v>3.0534278411574779E-2</v>
      </c>
      <c r="P45" s="154" t="str">
        <f>'R3'!P35</f>
        <v/>
      </c>
      <c r="Q45" s="154">
        <f>'R3'!Q35</f>
        <v>3.8588739000109977E-3</v>
      </c>
      <c r="R45" s="154">
        <f>'R3'!R35</f>
        <v>1.8415403778385817</v>
      </c>
      <c r="S45" s="154">
        <f>'R3'!S35</f>
        <v>1.2428650398621108</v>
      </c>
      <c r="T45" s="154">
        <f>'R3'!T35</f>
        <v>2.6966818529248231</v>
      </c>
      <c r="U45" s="154">
        <f>'R3'!U35</f>
        <v>3.3680968427967931E-2</v>
      </c>
      <c r="V45" s="154">
        <f>'R3'!V35</f>
        <v>8.4904915376889812E-3</v>
      </c>
    </row>
    <row r="46" spans="1:22" s="1" customFormat="1" x14ac:dyDescent="0.3">
      <c r="A46" s="225"/>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0.17538618211462415</v>
      </c>
      <c r="P46" s="154" t="str">
        <f>'R3'!P36</f>
        <v/>
      </c>
      <c r="Q46" s="154" t="str">
        <f>'R3'!Q36</f>
        <v/>
      </c>
      <c r="R46" s="154" t="str">
        <f>'R3'!R36</f>
        <v/>
      </c>
      <c r="S46" s="154" t="str">
        <f>'R3'!S36</f>
        <v/>
      </c>
      <c r="T46" s="154" t="str">
        <f>'R3'!T36</f>
        <v/>
      </c>
      <c r="U46" s="154" t="str">
        <f>'R3'!U36</f>
        <v/>
      </c>
      <c r="V46" s="154" t="str">
        <f>'R3'!V36</f>
        <v/>
      </c>
    </row>
    <row r="47" spans="1:22" s="1" customFormat="1" x14ac:dyDescent="0.3">
      <c r="A47" s="225"/>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2.2581558377842134E-2</v>
      </c>
      <c r="P47" s="154" t="str">
        <f>'R3'!P37</f>
        <v/>
      </c>
      <c r="Q47" s="154" t="str">
        <f>'R3'!Q37</f>
        <v/>
      </c>
      <c r="R47" s="154" t="str">
        <f>'R3'!R37</f>
        <v/>
      </c>
      <c r="S47" s="154" t="str">
        <f>'R3'!S37</f>
        <v/>
      </c>
      <c r="T47" s="154" t="str">
        <f>'R3'!T37</f>
        <v/>
      </c>
      <c r="U47" s="154" t="str">
        <f>'R3'!U37</f>
        <v/>
      </c>
      <c r="V47" s="154" t="str">
        <f>'R3'!V37</f>
        <v/>
      </c>
    </row>
    <row r="48" spans="1:22" s="1" customFormat="1" x14ac:dyDescent="0.3">
      <c r="A48" s="225"/>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f>'R3'!O38</f>
        <v>5.1403204116907322E-3</v>
      </c>
      <c r="P48" s="154" t="str">
        <f>'R3'!P38</f>
        <v/>
      </c>
      <c r="Q48" s="154" t="str">
        <f>'R3'!Q38</f>
        <v/>
      </c>
      <c r="R48" s="154" t="str">
        <f>'R3'!R38</f>
        <v/>
      </c>
      <c r="S48" s="154" t="str">
        <f>'R3'!S38</f>
        <v/>
      </c>
      <c r="T48" s="154" t="str">
        <f>'R3'!T38</f>
        <v/>
      </c>
      <c r="U48" s="154" t="str">
        <f>'R3'!U38</f>
        <v/>
      </c>
      <c r="V48" s="154" t="str">
        <f>'R3'!V38</f>
        <v/>
      </c>
    </row>
    <row r="49" spans="1:24" s="1" customFormat="1" x14ac:dyDescent="0.3">
      <c r="A49" s="225"/>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3.0020730849238099E-2</v>
      </c>
      <c r="P49" s="154" t="str">
        <f>'R3'!P39</f>
        <v/>
      </c>
      <c r="Q49" s="154" t="str">
        <f>'R3'!Q39</f>
        <v/>
      </c>
      <c r="R49" s="154" t="str">
        <f>'R3'!R39</f>
        <v/>
      </c>
      <c r="S49" s="154" t="str">
        <f>'R3'!S39</f>
        <v/>
      </c>
      <c r="T49" s="154" t="str">
        <f>'R3'!T39</f>
        <v/>
      </c>
      <c r="U49" s="154" t="str">
        <f>'R3'!U39</f>
        <v/>
      </c>
      <c r="V49" s="154" t="str">
        <f>'R3'!V39</f>
        <v/>
      </c>
    </row>
    <row r="50" spans="1:24" s="1" customFormat="1" x14ac:dyDescent="0.3">
      <c r="A50" s="225"/>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3.8778703150291309</v>
      </c>
      <c r="P50" s="154" t="str">
        <f>'R3'!P40</f>
        <v/>
      </c>
      <c r="Q50" s="154" t="str">
        <f>'R3'!Q40</f>
        <v/>
      </c>
      <c r="R50" s="154" t="str">
        <f>'R3'!R40</f>
        <v/>
      </c>
      <c r="S50" s="154" t="str">
        <f>'R3'!S40</f>
        <v/>
      </c>
      <c r="T50" s="154" t="str">
        <f>'R3'!T40</f>
        <v/>
      </c>
      <c r="U50" s="154" t="str">
        <f>'R3'!U40</f>
        <v/>
      </c>
      <c r="V50" s="154" t="str">
        <f>'R3'!V40</f>
        <v/>
      </c>
    </row>
    <row r="51" spans="1:24" s="1" customFormat="1" x14ac:dyDescent="0.3">
      <c r="A51" s="225"/>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1.8802623485175998E-2</v>
      </c>
      <c r="P51" s="154" t="str">
        <f>'R3'!P41</f>
        <v/>
      </c>
      <c r="Q51" s="154" t="str">
        <f>'R3'!Q41</f>
        <v/>
      </c>
      <c r="R51" s="154" t="str">
        <f>'R3'!R41</f>
        <v/>
      </c>
      <c r="S51" s="154" t="str">
        <f>'R3'!S41</f>
        <v/>
      </c>
      <c r="T51" s="154" t="str">
        <f>'R3'!T41</f>
        <v/>
      </c>
      <c r="U51" s="154" t="str">
        <f>'R3'!U41</f>
        <v/>
      </c>
      <c r="V51" s="154" t="str">
        <f>'R3'!V41</f>
        <v/>
      </c>
    </row>
    <row r="52" spans="1:24" s="1" customFormat="1" x14ac:dyDescent="0.3">
      <c r="A52" s="225"/>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f>'R3'!O42</f>
        <v>3.58998814803283E-3</v>
      </c>
      <c r="P52" s="154" t="str">
        <f>'R3'!P42</f>
        <v/>
      </c>
      <c r="Q52" s="154" t="str">
        <f>'R3'!Q42</f>
        <v/>
      </c>
      <c r="R52" s="154" t="str">
        <f>'R3'!R42</f>
        <v/>
      </c>
      <c r="S52" s="154" t="str">
        <f>'R3'!S42</f>
        <v/>
      </c>
      <c r="T52" s="154" t="str">
        <f>'R3'!T42</f>
        <v/>
      </c>
      <c r="U52" s="154" t="str">
        <f>'R3'!U42</f>
        <v/>
      </c>
      <c r="V52" s="154" t="str">
        <f>'R3'!V42</f>
        <v/>
      </c>
    </row>
    <row r="53" spans="1:24" s="1" customFormat="1" x14ac:dyDescent="0.3">
      <c r="A53" s="226"/>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t="str">
        <f>'R3'!O43</f>
        <v/>
      </c>
      <c r="P53" s="154" t="str">
        <f>'R3'!P43</f>
        <v/>
      </c>
      <c r="Q53" s="154" t="str">
        <f>'R3'!Q43</f>
        <v/>
      </c>
      <c r="R53" s="154" t="str">
        <f>'R3'!R43</f>
        <v/>
      </c>
      <c r="S53" s="154" t="str">
        <f>'R3'!S43</f>
        <v/>
      </c>
      <c r="T53" s="154" t="str">
        <f>'R3'!T43</f>
        <v/>
      </c>
      <c r="U53" s="154" t="str">
        <f>'R3'!U43</f>
        <v/>
      </c>
      <c r="V53" s="154" t="str">
        <f>'R3'!V43</f>
        <v/>
      </c>
    </row>
    <row r="54" spans="1:24" s="59" customFormat="1" x14ac:dyDescent="0.3">
      <c r="A54" s="57"/>
      <c r="B54" s="58"/>
      <c r="C54" s="58"/>
      <c r="D54" s="58"/>
      <c r="E54" s="58"/>
      <c r="F54" s="58"/>
      <c r="G54" s="58"/>
      <c r="H54" s="58"/>
      <c r="I54" s="58"/>
      <c r="J54" s="58"/>
      <c r="K54" s="58"/>
      <c r="L54" s="58"/>
      <c r="M54" s="58"/>
      <c r="N54"/>
      <c r="O54" s="58"/>
      <c r="P54" s="58"/>
      <c r="Q54" s="58"/>
      <c r="R54" s="58"/>
      <c r="S54" s="58"/>
      <c r="T54" s="58"/>
      <c r="U54" s="58"/>
      <c r="V54" s="58"/>
    </row>
    <row r="55" spans="1:24" s="40" customFormat="1" x14ac:dyDescent="0.3">
      <c r="A55" s="40"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Fadrozole-0.016µg/L</v>
      </c>
      <c r="J55" s="15" t="str">
        <f t="shared" si="0"/>
        <v>Fadrozole-0.08µg/L</v>
      </c>
      <c r="K55" s="15" t="str">
        <f t="shared" si="0"/>
        <v>Fadrozole-0.4µg/L</v>
      </c>
      <c r="L55" s="15" t="str">
        <f t="shared" si="0"/>
        <v>Fadrozole-2µg/L</v>
      </c>
      <c r="M55" s="15" t="str">
        <f t="shared" si="0"/>
        <v>Fadrozole-10 µg/L</v>
      </c>
      <c r="O55" s="15" t="str">
        <f t="shared" ref="O55:V55" si="1">O4</f>
        <v>Testo -30µg/L</v>
      </c>
      <c r="P55" s="15" t="str">
        <f t="shared" si="1"/>
        <v>Testo 30µg/L + EE2 -64ng/L</v>
      </c>
      <c r="Q55" s="15" t="str">
        <f t="shared" si="1"/>
        <v>Testo 30µg/L + FAD-10µg/L</v>
      </c>
      <c r="R55" s="15" t="str">
        <f t="shared" si="1"/>
        <v>Fadrozole-0.016µg/L + Testostérone</v>
      </c>
      <c r="S55" s="15" t="str">
        <f t="shared" si="1"/>
        <v>Fadrozole-0.08µg/L + Testostérone</v>
      </c>
      <c r="T55" s="15" t="str">
        <f t="shared" si="1"/>
        <v>Fadrozole-0.4µg/L + Testostérone</v>
      </c>
      <c r="U55" s="15" t="str">
        <f t="shared" si="1"/>
        <v>Fadrozole-2µg/L + Testostérone</v>
      </c>
      <c r="V55" s="15" t="str">
        <f t="shared" si="1"/>
        <v>Fadrozole-10 µg/L + Testostérone</v>
      </c>
    </row>
    <row r="56" spans="1:24" x14ac:dyDescent="0.3">
      <c r="A56" t="s">
        <v>48</v>
      </c>
      <c r="B56" s="9">
        <f t="shared" ref="B56:V56" si="2">AVERAGE(B6:B53)</f>
        <v>4.3711826627377513E-2</v>
      </c>
      <c r="C56" s="9">
        <f t="shared" si="2"/>
        <v>9.3288093329734312E-2</v>
      </c>
      <c r="D56" s="9">
        <f t="shared" si="2"/>
        <v>0.33143614125855703</v>
      </c>
      <c r="E56" s="9">
        <f t="shared" si="2"/>
        <v>1.5078900439540277</v>
      </c>
      <c r="F56" s="9">
        <f t="shared" si="2"/>
        <v>4.1215473662481932</v>
      </c>
      <c r="G56" s="9">
        <f t="shared" si="2"/>
        <v>5.791714748997018</v>
      </c>
      <c r="H56" s="9">
        <f t="shared" si="2"/>
        <v>10.593122936423304</v>
      </c>
      <c r="I56" s="9">
        <f t="shared" si="2"/>
        <v>5.1436164873739899E-2</v>
      </c>
      <c r="J56" s="9">
        <f t="shared" si="2"/>
        <v>6.5655370708833038E-2</v>
      </c>
      <c r="K56" s="9">
        <f t="shared" si="2"/>
        <v>8.6220976585317521E-2</v>
      </c>
      <c r="L56" s="9">
        <f t="shared" si="2"/>
        <v>6.631311610333214E-2</v>
      </c>
      <c r="M56" s="9">
        <f t="shared" si="2"/>
        <v>4.1710947658491801E-2</v>
      </c>
      <c r="N56" s="9"/>
      <c r="O56" s="9">
        <f t="shared" si="2"/>
        <v>1.0000000000000002</v>
      </c>
      <c r="P56" s="9">
        <f t="shared" si="2"/>
        <v>10.949092320725359</v>
      </c>
      <c r="Q56" s="9">
        <f t="shared" si="2"/>
        <v>8.1307432052613482E-2</v>
      </c>
      <c r="R56" s="9">
        <f t="shared" si="2"/>
        <v>0.85353241819604231</v>
      </c>
      <c r="S56" s="9">
        <f t="shared" si="2"/>
        <v>1.1756129142383647</v>
      </c>
      <c r="T56" s="9">
        <f t="shared" si="2"/>
        <v>0.61821283636596513</v>
      </c>
      <c r="U56" s="9">
        <f t="shared" si="2"/>
        <v>0.69097917878826631</v>
      </c>
      <c r="V56" s="9">
        <f t="shared" si="2"/>
        <v>0.16727688594414816</v>
      </c>
    </row>
    <row r="57" spans="1:24" x14ac:dyDescent="0.3">
      <c r="A57" t="s">
        <v>1</v>
      </c>
      <c r="B57" s="3">
        <f>STDEV(B6:B53)</f>
        <v>5.0898395257764739E-2</v>
      </c>
      <c r="C57" s="3">
        <f t="shared" ref="C57:V57" si="3">STDEV(C6:C53)</f>
        <v>0.15510084829280435</v>
      </c>
      <c r="D57" s="3">
        <f t="shared" si="3"/>
        <v>0.84284928989000474</v>
      </c>
      <c r="E57" s="3">
        <f t="shared" si="3"/>
        <v>1.6742863037369584</v>
      </c>
      <c r="F57" s="3">
        <f t="shared" si="3"/>
        <v>4.2974184108543598</v>
      </c>
      <c r="G57" s="3">
        <f t="shared" si="3"/>
        <v>2.4071169244149342</v>
      </c>
      <c r="H57" s="3">
        <f t="shared" si="3"/>
        <v>5.165950975497692</v>
      </c>
      <c r="I57" s="3">
        <f t="shared" si="3"/>
        <v>6.7678523899208906E-2</v>
      </c>
      <c r="J57" s="3">
        <f t="shared" si="3"/>
        <v>0.10461159802221807</v>
      </c>
      <c r="K57" s="3">
        <f t="shared" si="3"/>
        <v>0.10720540250024919</v>
      </c>
      <c r="L57" s="3">
        <f t="shared" si="3"/>
        <v>8.0923040612210992E-2</v>
      </c>
      <c r="M57" s="3">
        <f t="shared" si="3"/>
        <v>6.0854816678447082E-2</v>
      </c>
      <c r="N57" s="3"/>
      <c r="O57" s="3">
        <f t="shared" si="3"/>
        <v>1.7134056537468312</v>
      </c>
      <c r="P57" s="3">
        <f t="shared" si="3"/>
        <v>7.1269294352181971</v>
      </c>
      <c r="Q57" s="3">
        <f t="shared" si="3"/>
        <v>0.12197591550059698</v>
      </c>
      <c r="R57" s="3">
        <f t="shared" si="3"/>
        <v>0.91838910382958716</v>
      </c>
      <c r="S57" s="3">
        <f t="shared" si="3"/>
        <v>1.1751612756211507</v>
      </c>
      <c r="T57" s="3">
        <f t="shared" si="3"/>
        <v>0.94781769674399596</v>
      </c>
      <c r="U57" s="3">
        <f t="shared" si="3"/>
        <v>1.2695099815138491</v>
      </c>
      <c r="V57" s="3">
        <f t="shared" si="3"/>
        <v>0.48529652218018765</v>
      </c>
      <c r="W57" s="3"/>
      <c r="X57" s="3"/>
    </row>
    <row r="58" spans="1:24" x14ac:dyDescent="0.3">
      <c r="A58" t="s">
        <v>2</v>
      </c>
      <c r="B58" s="3">
        <f xml:space="preserve"> B57/SQRT(COUNT(B6:B53))</f>
        <v>1.0613049063618209E-2</v>
      </c>
      <c r="C58" s="3">
        <f t="shared" ref="C58:V58" si="4" xml:space="preserve"> C57/SQRT(COUNT(C6:C53))</f>
        <v>3.1659828082516175E-2</v>
      </c>
      <c r="D58" s="3">
        <f t="shared" si="4"/>
        <v>0.1757462258198359</v>
      </c>
      <c r="E58" s="3">
        <f t="shared" si="4"/>
        <v>0.34176226062383674</v>
      </c>
      <c r="F58" s="3">
        <f t="shared" si="4"/>
        <v>0.89607368189738235</v>
      </c>
      <c r="G58" s="3">
        <f t="shared" si="4"/>
        <v>0.50191857506124793</v>
      </c>
      <c r="H58" s="3">
        <f t="shared" si="4"/>
        <v>1.0771752407034751</v>
      </c>
      <c r="I58" s="3">
        <f t="shared" si="4"/>
        <v>1.4111947755091277E-2</v>
      </c>
      <c r="J58" s="3">
        <f t="shared" si="4"/>
        <v>2.2303267637442052E-2</v>
      </c>
      <c r="K58" s="3">
        <f t="shared" si="4"/>
        <v>2.188321114960854E-2</v>
      </c>
      <c r="L58" s="3">
        <f t="shared" si="4"/>
        <v>1.651834649453645E-2</v>
      </c>
      <c r="M58" s="3">
        <f t="shared" si="4"/>
        <v>1.2689106442257096E-2</v>
      </c>
      <c r="N58" s="3"/>
      <c r="O58" s="3">
        <f t="shared" si="4"/>
        <v>0.25830562123417461</v>
      </c>
      <c r="P58" s="3">
        <f t="shared" si="4"/>
        <v>1.5552235052141077</v>
      </c>
      <c r="Q58" s="3">
        <f t="shared" si="4"/>
        <v>2.5433736549682246E-2</v>
      </c>
      <c r="R58" s="3">
        <f t="shared" si="4"/>
        <v>0.19149736586142838</v>
      </c>
      <c r="S58" s="3">
        <f t="shared" si="4"/>
        <v>0.23987879089583367</v>
      </c>
      <c r="T58" s="3">
        <f t="shared" si="4"/>
        <v>0.19347247718356628</v>
      </c>
      <c r="U58" s="3">
        <f t="shared" si="4"/>
        <v>0.25913763983991966</v>
      </c>
      <c r="V58" s="3">
        <f t="shared" si="4"/>
        <v>9.9060737774059909E-2</v>
      </c>
      <c r="W58" s="3"/>
      <c r="X58" s="3"/>
    </row>
    <row r="59" spans="1:24" s="1" customFormat="1" ht="15" thickBot="1" x14ac:dyDescent="0.35">
      <c r="B59" s="3"/>
      <c r="C59" s="3"/>
      <c r="D59" s="3"/>
      <c r="E59" s="3"/>
      <c r="F59" s="3"/>
      <c r="G59" s="3"/>
      <c r="H59" s="3"/>
      <c r="I59" s="3"/>
      <c r="J59" s="3"/>
      <c r="K59" s="3"/>
      <c r="L59" s="3"/>
      <c r="M59" s="3"/>
      <c r="N59" s="3"/>
      <c r="O59" s="3"/>
      <c r="P59" s="3"/>
      <c r="Q59" s="3"/>
      <c r="R59" s="3"/>
      <c r="S59" s="3"/>
      <c r="T59" s="3"/>
      <c r="U59" s="3"/>
      <c r="V59" s="3"/>
    </row>
    <row r="60" spans="1:24" s="47" customFormat="1" ht="26.4" thickBot="1" x14ac:dyDescent="0.35">
      <c r="A60" s="227" t="s">
        <v>46</v>
      </c>
      <c r="B60" s="228"/>
      <c r="C60" s="228"/>
      <c r="D60" s="228"/>
      <c r="E60" s="228"/>
      <c r="F60" s="228"/>
      <c r="G60" s="228"/>
      <c r="H60" s="228"/>
      <c r="I60" s="228"/>
      <c r="J60" s="228"/>
      <c r="K60" s="228"/>
      <c r="L60" s="228"/>
      <c r="M60" s="228"/>
      <c r="N60" s="228"/>
      <c r="O60" s="228"/>
      <c r="P60" s="228"/>
      <c r="Q60" s="228"/>
      <c r="R60" s="228"/>
      <c r="S60" s="228"/>
      <c r="T60" s="228"/>
      <c r="U60" s="228"/>
      <c r="V60" s="228"/>
    </row>
    <row r="61" spans="1:24" s="1" customFormat="1" x14ac:dyDescent="0.3">
      <c r="B61" s="3"/>
      <c r="C61" s="3"/>
      <c r="D61" s="3"/>
      <c r="E61" s="3"/>
      <c r="F61" s="3"/>
      <c r="G61" s="3"/>
      <c r="H61" s="3"/>
      <c r="I61" s="3"/>
      <c r="J61" s="3"/>
      <c r="K61" s="3"/>
      <c r="L61" s="3"/>
      <c r="M61" s="3"/>
      <c r="N61" s="3"/>
      <c r="O61" s="3"/>
      <c r="P61" s="3"/>
      <c r="Q61" s="3"/>
      <c r="R61" s="3"/>
      <c r="S61" s="3"/>
      <c r="T61" s="3"/>
      <c r="U61" s="3"/>
      <c r="V61" s="3"/>
    </row>
    <row r="62" spans="1:24" s="1" customFormat="1" x14ac:dyDescent="0.3">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Fadrozole-0.016µg/L</v>
      </c>
      <c r="J62" s="3" t="str">
        <f t="shared" si="6"/>
        <v>Fadrozole-0.08µg/L</v>
      </c>
      <c r="K62" s="3" t="str">
        <f t="shared" si="6"/>
        <v>Fadrozole-0.4µg/L</v>
      </c>
      <c r="L62" s="3" t="str">
        <f t="shared" si="6"/>
        <v>Fadrozole-2µg/L</v>
      </c>
      <c r="M62" s="3" t="str">
        <f t="shared" si="6"/>
        <v>Fadrozole-10 µg/L</v>
      </c>
      <c r="N62" s="3"/>
      <c r="O62" s="3" t="str">
        <f t="shared" si="6"/>
        <v>Testo -30µg/L</v>
      </c>
      <c r="P62" s="3" t="str">
        <f t="shared" si="6"/>
        <v>Testo 30µg/L + EE2 -64ng/L</v>
      </c>
      <c r="Q62" s="3" t="str">
        <f t="shared" si="6"/>
        <v>Testo 30µg/L + FAD-10µg/L</v>
      </c>
      <c r="R62" s="3" t="str">
        <f t="shared" si="6"/>
        <v>Fadrozole-0.016µg/L + Testostérone</v>
      </c>
      <c r="S62" s="3" t="str">
        <f t="shared" si="6"/>
        <v>Fadrozole-0.08µg/L + Testostérone</v>
      </c>
      <c r="T62" s="3" t="str">
        <f t="shared" si="6"/>
        <v>Fadrozole-0.4µg/L + Testostérone</v>
      </c>
      <c r="U62" s="3" t="str">
        <f t="shared" si="6"/>
        <v>Fadrozole-2µg/L + Testostérone</v>
      </c>
      <c r="V62" s="3" t="str">
        <f t="shared" si="6"/>
        <v>Fadrozole-10 µg/L + Testostérone</v>
      </c>
    </row>
    <row r="63" spans="1:24" s="1" customFormat="1" x14ac:dyDescent="0.3">
      <c r="A63" s="1" t="s">
        <v>49</v>
      </c>
      <c r="B63" s="3">
        <f>COUNT(B6:B53)</f>
        <v>23</v>
      </c>
      <c r="C63" s="3">
        <f t="shared" ref="C63:V63" si="7">COUNT(C6:C53)</f>
        <v>24</v>
      </c>
      <c r="D63" s="3">
        <f t="shared" si="7"/>
        <v>23</v>
      </c>
      <c r="E63" s="3">
        <f t="shared" si="7"/>
        <v>24</v>
      </c>
      <c r="F63" s="3">
        <f t="shared" si="7"/>
        <v>23</v>
      </c>
      <c r="G63" s="3">
        <f t="shared" si="7"/>
        <v>23</v>
      </c>
      <c r="H63" s="3">
        <f t="shared" si="7"/>
        <v>23</v>
      </c>
      <c r="I63" s="3">
        <f t="shared" si="7"/>
        <v>23</v>
      </c>
      <c r="J63" s="3">
        <f t="shared" si="7"/>
        <v>22</v>
      </c>
      <c r="K63" s="3">
        <f t="shared" si="7"/>
        <v>24</v>
      </c>
      <c r="L63" s="3">
        <f t="shared" si="7"/>
        <v>24</v>
      </c>
      <c r="M63" s="3">
        <f t="shared" si="7"/>
        <v>23</v>
      </c>
      <c r="N63" s="3"/>
      <c r="O63" s="3">
        <f t="shared" si="7"/>
        <v>44</v>
      </c>
      <c r="P63" s="3">
        <f t="shared" si="7"/>
        <v>21</v>
      </c>
      <c r="Q63" s="3">
        <f t="shared" si="7"/>
        <v>23</v>
      </c>
      <c r="R63" s="3">
        <f t="shared" si="7"/>
        <v>23</v>
      </c>
      <c r="S63" s="3">
        <f t="shared" si="7"/>
        <v>24</v>
      </c>
      <c r="T63" s="3">
        <f t="shared" si="7"/>
        <v>24</v>
      </c>
      <c r="U63" s="3">
        <f t="shared" si="7"/>
        <v>24</v>
      </c>
      <c r="V63" s="3">
        <f t="shared" si="7"/>
        <v>24</v>
      </c>
    </row>
    <row r="64" spans="1:24" s="1" customFormat="1" ht="15" thickBot="1" x14ac:dyDescent="0.35">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7" customFormat="1" ht="26.4" thickBot="1" x14ac:dyDescent="0.35">
      <c r="A65" s="227" t="s">
        <v>58</v>
      </c>
      <c r="B65" s="228"/>
      <c r="C65" s="228"/>
      <c r="D65" s="228"/>
      <c r="E65" s="228"/>
      <c r="F65" s="228"/>
      <c r="G65" s="228"/>
      <c r="H65" s="228"/>
      <c r="I65" s="228"/>
      <c r="J65" s="228"/>
      <c r="K65" s="228"/>
      <c r="L65" s="228"/>
      <c r="M65" s="228"/>
      <c r="N65" s="228"/>
      <c r="O65" s="228"/>
      <c r="P65" s="228"/>
      <c r="Q65" s="228"/>
      <c r="R65" s="228"/>
      <c r="S65" s="228"/>
      <c r="T65" s="228"/>
      <c r="U65" s="228"/>
      <c r="V65" s="228"/>
    </row>
    <row r="66" spans="1:22" s="1" customFormat="1" x14ac:dyDescent="0.3">
      <c r="B66" s="1" t="s">
        <v>61</v>
      </c>
      <c r="C66" s="3"/>
      <c r="D66" s="3"/>
      <c r="E66" s="3"/>
      <c r="F66" s="3"/>
      <c r="G66" s="3"/>
      <c r="H66" s="3"/>
      <c r="I66" s="3"/>
      <c r="J66" s="3"/>
      <c r="K66" s="3"/>
      <c r="L66" s="3"/>
      <c r="M66" s="3"/>
      <c r="N66" s="3"/>
      <c r="O66" s="3"/>
      <c r="P66" s="3"/>
      <c r="Q66" s="3"/>
      <c r="R66" s="3"/>
      <c r="S66" s="3"/>
      <c r="T66" s="3"/>
      <c r="U66" s="3"/>
      <c r="V66" s="3"/>
    </row>
    <row r="67" spans="1:22" s="1" customFormat="1" x14ac:dyDescent="0.3">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35">
      <c r="A69" s="1" t="s">
        <v>63</v>
      </c>
      <c r="B69" s="3">
        <v>0.5</v>
      </c>
      <c r="C69" s="3"/>
      <c r="D69" s="3"/>
      <c r="E69" s="3"/>
      <c r="F69" s="3"/>
      <c r="G69" s="3"/>
      <c r="H69" s="3"/>
      <c r="I69" s="3"/>
      <c r="J69" s="3"/>
      <c r="K69" s="3"/>
      <c r="L69" s="3"/>
      <c r="M69" s="3"/>
      <c r="N69" s="3"/>
      <c r="O69" s="3"/>
      <c r="P69" s="3"/>
      <c r="Q69" s="3"/>
      <c r="R69" s="3"/>
      <c r="S69" s="3"/>
      <c r="T69" s="3"/>
      <c r="U69" s="3"/>
      <c r="V69" s="3"/>
    </row>
    <row r="70" spans="1:22" s="47" customFormat="1" ht="26.4" thickBot="1" x14ac:dyDescent="0.35">
      <c r="A70" s="227" t="s">
        <v>53</v>
      </c>
      <c r="B70" s="228"/>
      <c r="C70" s="228"/>
      <c r="D70" s="228"/>
      <c r="E70" s="228"/>
      <c r="F70" s="228"/>
      <c r="G70" s="228"/>
      <c r="H70" s="228"/>
      <c r="I70" s="228"/>
      <c r="J70" s="228"/>
      <c r="K70" s="228"/>
      <c r="L70" s="228"/>
      <c r="M70" s="228"/>
      <c r="N70" s="228"/>
      <c r="O70" s="228"/>
      <c r="P70" s="228"/>
      <c r="Q70" s="228"/>
      <c r="R70" s="228"/>
      <c r="S70" s="228"/>
      <c r="T70" s="228"/>
      <c r="U70" s="228"/>
      <c r="V70" s="228"/>
    </row>
    <row r="71" spans="1:22" ht="15" thickBot="1" x14ac:dyDescent="0.35"/>
    <row r="72" spans="1:22" s="47" customFormat="1" ht="26.4" thickBot="1" x14ac:dyDescent="0.35">
      <c r="A72" s="227" t="s">
        <v>54</v>
      </c>
      <c r="B72" s="228"/>
      <c r="C72" s="228"/>
      <c r="D72" s="228"/>
      <c r="E72" s="228"/>
      <c r="F72" s="228"/>
      <c r="G72" s="228"/>
      <c r="H72" s="228"/>
      <c r="I72" s="228"/>
      <c r="J72" s="228"/>
      <c r="K72" s="228"/>
      <c r="L72" s="228"/>
      <c r="M72" s="228"/>
      <c r="N72" s="228"/>
      <c r="O72" s="228"/>
      <c r="P72" s="228"/>
      <c r="Q72" s="228"/>
      <c r="R72" s="228"/>
      <c r="S72" s="228"/>
      <c r="T72" s="228"/>
      <c r="U72" s="228"/>
      <c r="V72" s="228"/>
    </row>
    <row r="73" spans="1:22" ht="15" thickBot="1" x14ac:dyDescent="0.35">
      <c r="J73" s="3">
        <v>1</v>
      </c>
      <c r="K73" s="3">
        <v>2</v>
      </c>
      <c r="L73" s="3">
        <v>3</v>
      </c>
      <c r="M73" s="3">
        <v>4</v>
      </c>
      <c r="R73" s="3">
        <v>1</v>
      </c>
      <c r="S73" s="3">
        <v>2</v>
      </c>
      <c r="T73" s="3">
        <v>3</v>
      </c>
      <c r="U73" s="3">
        <v>4</v>
      </c>
      <c r="V73" s="3">
        <v>5</v>
      </c>
    </row>
    <row r="74" spans="1:22" s="1" customFormat="1" x14ac:dyDescent="0.3">
      <c r="A74" s="44" t="s">
        <v>41</v>
      </c>
      <c r="B74" s="45" t="str">
        <f t="shared" ref="B74:M74" si="9">B4</f>
        <v>Témoin solvant</v>
      </c>
      <c r="C74" s="45" t="str">
        <f t="shared" si="9"/>
        <v>EE2-33.8ng/L</v>
      </c>
      <c r="D74" s="45" t="str">
        <f t="shared" si="9"/>
        <v>EE2-50.6ng/L</v>
      </c>
      <c r="E74" s="45" t="str">
        <f t="shared" si="9"/>
        <v>EE2-76ng/L</v>
      </c>
      <c r="F74" s="45" t="str">
        <f t="shared" si="9"/>
        <v>EE2-114ng/L</v>
      </c>
      <c r="G74" s="45" t="str">
        <f t="shared" si="9"/>
        <v>EE2-170.9ng/L</v>
      </c>
      <c r="H74" s="45" t="str">
        <f t="shared" si="9"/>
        <v>EE2-488ng/L</v>
      </c>
      <c r="I74" s="45" t="str">
        <f t="shared" si="9"/>
        <v>Fadrozole-0.016µg/L</v>
      </c>
      <c r="J74" s="45" t="str">
        <f t="shared" si="9"/>
        <v>Fadrozole-0.08µg/L</v>
      </c>
      <c r="K74" s="45" t="str">
        <f t="shared" si="9"/>
        <v>Fadrozole-0.4µg/L</v>
      </c>
      <c r="L74" s="45" t="str">
        <f t="shared" si="9"/>
        <v>Fadrozole-2µg/L</v>
      </c>
      <c r="M74" s="45" t="str">
        <f t="shared" si="9"/>
        <v>Fadrozole-10 µg/L</v>
      </c>
      <c r="N74" s="45"/>
      <c r="O74" s="45" t="str">
        <f t="shared" ref="O74:V74" si="10">O4</f>
        <v>Testo -30µg/L</v>
      </c>
      <c r="P74" s="45" t="str">
        <f t="shared" si="10"/>
        <v>Testo 30µg/L + EE2 -64ng/L</v>
      </c>
      <c r="Q74" s="45" t="str">
        <f t="shared" si="10"/>
        <v>Testo 30µg/L + FAD-10µg/L</v>
      </c>
      <c r="R74" s="45" t="str">
        <f t="shared" si="10"/>
        <v>Fadrozole-0.016µg/L + Testostérone</v>
      </c>
      <c r="S74" s="45" t="str">
        <f t="shared" si="10"/>
        <v>Fadrozole-0.08µg/L + Testostérone</v>
      </c>
      <c r="T74" s="45" t="str">
        <f t="shared" si="10"/>
        <v>Fadrozole-0.4µg/L + Testostérone</v>
      </c>
      <c r="U74" s="45" t="str">
        <f t="shared" si="10"/>
        <v>Fadrozole-2µg/L + Testostérone</v>
      </c>
      <c r="V74" s="45" t="str">
        <f t="shared" si="10"/>
        <v>Fadrozole-10 µg/L + Testostérone</v>
      </c>
    </row>
    <row r="75" spans="1:22" s="3" customFormat="1" x14ac:dyDescent="0.3">
      <c r="A75" s="60" t="s">
        <v>32</v>
      </c>
      <c r="B75" s="140">
        <f>B56</f>
        <v>4.3711826627377513E-2</v>
      </c>
      <c r="C75" s="140">
        <f t="shared" ref="C75:V75" si="11">C56</f>
        <v>9.3288093329734312E-2</v>
      </c>
      <c r="D75" s="140">
        <f t="shared" si="11"/>
        <v>0.33143614125855703</v>
      </c>
      <c r="E75" s="140">
        <f t="shared" si="11"/>
        <v>1.5078900439540277</v>
      </c>
      <c r="F75" s="140">
        <f t="shared" si="11"/>
        <v>4.1215473662481932</v>
      </c>
      <c r="G75" s="140">
        <f t="shared" si="11"/>
        <v>5.791714748997018</v>
      </c>
      <c r="H75" s="140">
        <f t="shared" si="11"/>
        <v>10.593122936423304</v>
      </c>
      <c r="I75" s="140">
        <f t="shared" si="11"/>
        <v>5.1436164873739899E-2</v>
      </c>
      <c r="J75" s="140">
        <f t="shared" si="11"/>
        <v>6.5655370708833038E-2</v>
      </c>
      <c r="K75" s="140">
        <f t="shared" si="11"/>
        <v>8.6220976585317521E-2</v>
      </c>
      <c r="L75" s="140">
        <f t="shared" si="11"/>
        <v>6.631311610333214E-2</v>
      </c>
      <c r="M75" s="140">
        <f t="shared" si="11"/>
        <v>4.1710947658491801E-2</v>
      </c>
      <c r="N75" s="140"/>
      <c r="O75" s="140">
        <f t="shared" si="11"/>
        <v>1.0000000000000002</v>
      </c>
      <c r="P75" s="140">
        <f t="shared" si="11"/>
        <v>10.949092320725359</v>
      </c>
      <c r="Q75" s="140">
        <f t="shared" si="11"/>
        <v>8.1307432052613482E-2</v>
      </c>
      <c r="R75" s="140">
        <f t="shared" si="11"/>
        <v>0.85353241819604231</v>
      </c>
      <c r="S75" s="140">
        <f t="shared" si="11"/>
        <v>1.1756129142383647</v>
      </c>
      <c r="T75" s="140">
        <f t="shared" si="11"/>
        <v>0.61821283636596513</v>
      </c>
      <c r="U75" s="140">
        <f t="shared" si="11"/>
        <v>0.69097917878826631</v>
      </c>
      <c r="V75" s="140">
        <f t="shared" si="11"/>
        <v>0.16727688594414816</v>
      </c>
    </row>
    <row r="76" spans="1:22" s="3" customFormat="1" x14ac:dyDescent="0.3">
      <c r="A76" s="60" t="s">
        <v>2</v>
      </c>
      <c r="B76" s="140">
        <f>B58</f>
        <v>1.0613049063618209E-2</v>
      </c>
      <c r="C76" s="140">
        <f t="shared" ref="C76:V76" si="12">C58</f>
        <v>3.1659828082516175E-2</v>
      </c>
      <c r="D76" s="140">
        <f t="shared" si="12"/>
        <v>0.1757462258198359</v>
      </c>
      <c r="E76" s="140">
        <f t="shared" si="12"/>
        <v>0.34176226062383674</v>
      </c>
      <c r="F76" s="140">
        <f t="shared" si="12"/>
        <v>0.89607368189738235</v>
      </c>
      <c r="G76" s="140">
        <f t="shared" si="12"/>
        <v>0.50191857506124793</v>
      </c>
      <c r="H76" s="140">
        <f t="shared" si="12"/>
        <v>1.0771752407034751</v>
      </c>
      <c r="I76" s="140">
        <f t="shared" si="12"/>
        <v>1.4111947755091277E-2</v>
      </c>
      <c r="J76" s="140">
        <f t="shared" si="12"/>
        <v>2.2303267637442052E-2</v>
      </c>
      <c r="K76" s="140">
        <f t="shared" si="12"/>
        <v>2.188321114960854E-2</v>
      </c>
      <c r="L76" s="140">
        <f t="shared" si="12"/>
        <v>1.651834649453645E-2</v>
      </c>
      <c r="M76" s="140">
        <f t="shared" si="12"/>
        <v>1.2689106442257096E-2</v>
      </c>
      <c r="N76" s="140"/>
      <c r="O76" s="140">
        <f t="shared" si="12"/>
        <v>0.25830562123417461</v>
      </c>
      <c r="P76" s="140">
        <f t="shared" si="12"/>
        <v>1.5552235052141077</v>
      </c>
      <c r="Q76" s="140">
        <f t="shared" si="12"/>
        <v>2.5433736549682246E-2</v>
      </c>
      <c r="R76" s="140">
        <f t="shared" si="12"/>
        <v>0.19149736586142838</v>
      </c>
      <c r="S76" s="140">
        <f t="shared" si="12"/>
        <v>0.23987879089583367</v>
      </c>
      <c r="T76" s="140">
        <f t="shared" si="12"/>
        <v>0.19347247718356628</v>
      </c>
      <c r="U76" s="140">
        <f t="shared" si="12"/>
        <v>0.25913763983991966</v>
      </c>
      <c r="V76" s="140">
        <f t="shared" si="12"/>
        <v>9.9060737774059909E-2</v>
      </c>
    </row>
    <row r="77" spans="1:22" s="3" customFormat="1" x14ac:dyDescent="0.3">
      <c r="A77" s="60" t="s">
        <v>79</v>
      </c>
      <c r="B77" s="140">
        <f>(B75*100/$B$75)-100</f>
        <v>0</v>
      </c>
      <c r="C77" s="140">
        <f t="shared" ref="C77:M77" si="13">(C75*100/$B$75)-100</f>
        <v>113.41614049893371</v>
      </c>
      <c r="D77" s="140">
        <f t="shared" si="13"/>
        <v>658.2299044235607</v>
      </c>
      <c r="E77" s="140">
        <f t="shared" si="13"/>
        <v>3349.6157225550687</v>
      </c>
      <c r="F77" s="140">
        <f t="shared" si="13"/>
        <v>9328.9067381750483</v>
      </c>
      <c r="G77" s="140">
        <f t="shared" si="13"/>
        <v>13149.766014970332</v>
      </c>
      <c r="H77" s="140">
        <f t="shared" si="13"/>
        <v>24133.997418420939</v>
      </c>
      <c r="I77" s="140">
        <f t="shared" si="13"/>
        <v>17.671048872445184</v>
      </c>
      <c r="J77" s="140">
        <f t="shared" si="13"/>
        <v>50.200473818021322</v>
      </c>
      <c r="K77" s="140">
        <f t="shared" si="13"/>
        <v>97.248624085903003</v>
      </c>
      <c r="L77" s="140">
        <f t="shared" si="13"/>
        <v>51.705204791874394</v>
      </c>
      <c r="M77" s="140">
        <f t="shared" si="13"/>
        <v>-4.5774316089379141</v>
      </c>
      <c r="N77" s="140"/>
      <c r="O77" s="140">
        <f>(O75*100/$O$75)-100</f>
        <v>0</v>
      </c>
      <c r="P77" s="140">
        <f t="shared" ref="P77:V77" si="14">(P75*100/$O$75)-100</f>
        <v>994.90923207253581</v>
      </c>
      <c r="Q77" s="140">
        <f t="shared" si="14"/>
        <v>-91.869256794738646</v>
      </c>
      <c r="R77" s="140">
        <f t="shared" si="14"/>
        <v>-14.646758180395778</v>
      </c>
      <c r="S77" s="140">
        <f t="shared" si="14"/>
        <v>17.561291423836437</v>
      </c>
      <c r="T77" s="140">
        <f t="shared" si="14"/>
        <v>-38.178716363403502</v>
      </c>
      <c r="U77" s="140">
        <f t="shared" si="14"/>
        <v>-30.902082121173379</v>
      </c>
      <c r="V77" s="140">
        <f t="shared" si="14"/>
        <v>-83.272311405585185</v>
      </c>
    </row>
    <row r="78" spans="1:22" s="3" customFormat="1" x14ac:dyDescent="0.3">
      <c r="A78" s="60" t="s">
        <v>81</v>
      </c>
      <c r="B78" s="140" t="e">
        <f ca="1">[1]!DPTEST(B6:B53)</f>
        <v>#NAME?</v>
      </c>
      <c r="C78" s="140" t="e">
        <f ca="1">[1]!DPTEST(C6:C53)</f>
        <v>#NAME?</v>
      </c>
      <c r="D78" s="140" t="e">
        <f ca="1">[1]!DPTEST(D6:D53)</f>
        <v>#NAME?</v>
      </c>
      <c r="E78" s="140" t="e">
        <f ca="1">[1]!DPTEST(E6:E53)</f>
        <v>#NAME?</v>
      </c>
      <c r="F78" s="140" t="e">
        <f ca="1">[1]!DPTEST(F6:F53)</f>
        <v>#NAME?</v>
      </c>
      <c r="G78" s="140" t="e">
        <f ca="1">[1]!DPTEST(G6:G53)</f>
        <v>#NAME?</v>
      </c>
      <c r="H78" s="140" t="e">
        <f ca="1">[1]!DPTEST(H6:H53)</f>
        <v>#NAME?</v>
      </c>
      <c r="I78" s="140" t="e">
        <f ca="1">[1]!DPTEST(I6:I53)</f>
        <v>#NAME?</v>
      </c>
      <c r="J78" s="140" t="e">
        <f ca="1">[1]!DPTEST(J6:J53)</f>
        <v>#NAME?</v>
      </c>
      <c r="K78" s="140" t="e">
        <f ca="1">[1]!DPTEST(K6:K53)</f>
        <v>#NAME?</v>
      </c>
      <c r="L78" s="140" t="e">
        <f ca="1">[1]!DPTEST(L6:L53)</f>
        <v>#NAME?</v>
      </c>
      <c r="M78" s="140" t="e">
        <f ca="1">[1]!DPTEST(M6:M53)</f>
        <v>#NAME?</v>
      </c>
      <c r="N78" s="140"/>
      <c r="O78" s="140" t="e">
        <f ca="1">[1]!DPTEST(O6:O53)</f>
        <v>#NAME?</v>
      </c>
      <c r="P78" s="140" t="e">
        <f ca="1">[1]!DPTEST(P6:P53)</f>
        <v>#NAME?</v>
      </c>
      <c r="Q78" s="140" t="e">
        <f ca="1">[1]!DPTEST(Q6:Q53)</f>
        <v>#NAME?</v>
      </c>
      <c r="R78" s="140" t="e">
        <f ca="1">[1]!DPTEST(R6:R53)</f>
        <v>#NAME?</v>
      </c>
      <c r="S78" s="140" t="e">
        <f ca="1">[1]!DPTEST(S6:S53)</f>
        <v>#NAME?</v>
      </c>
      <c r="T78" s="140" t="e">
        <f ca="1">[1]!DPTEST(T6:T53)</f>
        <v>#NAME?</v>
      </c>
      <c r="U78" s="140" t="e">
        <f ca="1">[1]!DPTEST(U6:U53)</f>
        <v>#NAME?</v>
      </c>
      <c r="V78" s="140" t="e">
        <f ca="1">[1]!DPTEST(V6:V53)</f>
        <v>#NAME?</v>
      </c>
    </row>
    <row r="79" spans="1:22" s="3" customFormat="1" x14ac:dyDescent="0.3">
      <c r="A79" s="60" t="s">
        <v>85</v>
      </c>
      <c r="B79" s="140" t="e">
        <f ca="1">IF(B78&gt;0.05,"Oui","Non")</f>
        <v>#NAME?</v>
      </c>
      <c r="C79" s="140" t="e">
        <f t="shared" ref="C79:V79" ca="1" si="15">IF(C78&gt;0.05,"Oui","Non")</f>
        <v>#NAME?</v>
      </c>
      <c r="D79" s="140" t="e">
        <f t="shared" ca="1" si="15"/>
        <v>#NAME?</v>
      </c>
      <c r="E79" s="140" t="e">
        <f t="shared" ca="1" si="15"/>
        <v>#NAME?</v>
      </c>
      <c r="F79" s="140" t="e">
        <f t="shared" ca="1" si="15"/>
        <v>#NAME?</v>
      </c>
      <c r="G79" s="140" t="e">
        <f t="shared" ca="1" si="15"/>
        <v>#NAME?</v>
      </c>
      <c r="H79" s="140" t="e">
        <f t="shared" ca="1" si="15"/>
        <v>#NAME?</v>
      </c>
      <c r="I79" s="140" t="e">
        <f t="shared" ca="1" si="15"/>
        <v>#NAME?</v>
      </c>
      <c r="J79" s="140" t="e">
        <f t="shared" ca="1" si="15"/>
        <v>#NAME?</v>
      </c>
      <c r="K79" s="140" t="e">
        <f t="shared" ca="1" si="15"/>
        <v>#NAME?</v>
      </c>
      <c r="L79" s="140" t="e">
        <f t="shared" ca="1" si="15"/>
        <v>#NAME?</v>
      </c>
      <c r="M79" s="140" t="e">
        <f t="shared" ca="1" si="15"/>
        <v>#NAME?</v>
      </c>
      <c r="N79" s="140"/>
      <c r="O79" s="140" t="e">
        <f t="shared" ca="1" si="15"/>
        <v>#NAME?</v>
      </c>
      <c r="P79" s="140" t="e">
        <f t="shared" ca="1" si="15"/>
        <v>#NAME?</v>
      </c>
      <c r="Q79" s="140" t="e">
        <f t="shared" ca="1" si="15"/>
        <v>#NAME?</v>
      </c>
      <c r="R79" s="140" t="e">
        <f t="shared" ca="1" si="15"/>
        <v>#NAME?</v>
      </c>
      <c r="S79" s="140" t="e">
        <f t="shared" ca="1" si="15"/>
        <v>#NAME?</v>
      </c>
      <c r="T79" s="140" t="e">
        <f t="shared" ca="1" si="15"/>
        <v>#NAME?</v>
      </c>
      <c r="U79" s="140" t="e">
        <f t="shared" ca="1" si="15"/>
        <v>#NAME?</v>
      </c>
      <c r="V79" s="140" t="e">
        <f t="shared" ca="1" si="15"/>
        <v>#NAME?</v>
      </c>
    </row>
    <row r="80" spans="1:22" s="3" customFormat="1" x14ac:dyDescent="0.3">
      <c r="A80" s="60" t="s">
        <v>122</v>
      </c>
      <c r="B80" s="140"/>
      <c r="C80" s="140"/>
      <c r="D80" s="140"/>
      <c r="E80" s="140"/>
      <c r="F80" s="140"/>
      <c r="G80" s="140"/>
      <c r="H80" s="140"/>
      <c r="I80" s="140"/>
      <c r="J80" s="140"/>
      <c r="K80" s="140"/>
      <c r="L80" s="140"/>
      <c r="M80" s="140"/>
      <c r="N80" s="140"/>
      <c r="O80" s="140"/>
      <c r="P80" s="140"/>
      <c r="Q80" s="140"/>
      <c r="R80" s="140"/>
      <c r="S80" s="140"/>
      <c r="T80" s="140"/>
      <c r="U80" s="140"/>
      <c r="V80" s="140"/>
    </row>
    <row r="81" spans="1:22" s="3" customFormat="1" x14ac:dyDescent="0.3">
      <c r="A81" s="60" t="s">
        <v>82</v>
      </c>
      <c r="B81" s="140"/>
      <c r="C81" s="140" t="s">
        <v>174</v>
      </c>
      <c r="D81" s="140" t="s">
        <v>174</v>
      </c>
      <c r="E81" s="140" t="s">
        <v>174</v>
      </c>
      <c r="F81" s="140" t="s">
        <v>174</v>
      </c>
      <c r="G81" s="140" t="s">
        <v>174</v>
      </c>
      <c r="H81" s="140" t="s">
        <v>174</v>
      </c>
      <c r="I81" s="140" t="s">
        <v>174</v>
      </c>
      <c r="J81" s="140" t="s">
        <v>174</v>
      </c>
      <c r="K81" s="140" t="s">
        <v>174</v>
      </c>
      <c r="L81" s="140" t="s">
        <v>174</v>
      </c>
      <c r="M81" s="140" t="s">
        <v>174</v>
      </c>
      <c r="N81" s="140"/>
      <c r="O81" s="140" t="e">
        <f ca="1">IF($B79="Non",IF(O79="Non","Mann Withney",IF(O79="Oui","Mann Withney","")),IF($B79="Oui",IF(O79="Oui","T-Test Welch",IF(O79="Non","Mann Withney",""))))</f>
        <v>#NAME?</v>
      </c>
      <c r="P81" s="140" t="e">
        <f t="shared" ref="P81:Q81" ca="1" si="16">IF($O79="Non",IF(P79="Non","Mann Withney",IF(P$79="Oui","Mann Withney","")),IF($O79="Oui",IF(P79="Oui","T-Test Welch",IF(P79="Non","Mann Withney",""))))</f>
        <v>#NAME?</v>
      </c>
      <c r="Q81" s="140" t="e">
        <f t="shared" ca="1" si="16"/>
        <v>#NAME?</v>
      </c>
      <c r="R81" s="140" t="s">
        <v>174</v>
      </c>
      <c r="S81" s="140" t="s">
        <v>174</v>
      </c>
      <c r="T81" s="140" t="s">
        <v>174</v>
      </c>
      <c r="U81" s="140" t="s">
        <v>174</v>
      </c>
      <c r="V81" s="140" t="s">
        <v>174</v>
      </c>
    </row>
    <row r="82" spans="1:22" s="3" customFormat="1" x14ac:dyDescent="0.3">
      <c r="A82" s="60" t="s">
        <v>83</v>
      </c>
      <c r="B82" s="140"/>
      <c r="C82" s="140" t="s">
        <v>170</v>
      </c>
      <c r="D82" s="140" t="s">
        <v>170</v>
      </c>
      <c r="E82" s="140" t="s">
        <v>172</v>
      </c>
      <c r="F82" s="140" t="s">
        <v>172</v>
      </c>
      <c r="G82" s="140" t="s">
        <v>172</v>
      </c>
      <c r="H82" s="140" t="s">
        <v>172</v>
      </c>
      <c r="I82" s="140" t="s">
        <v>170</v>
      </c>
      <c r="J82" s="140" t="s">
        <v>170</v>
      </c>
      <c r="K82" s="140" t="s">
        <v>170</v>
      </c>
      <c r="L82" s="140" t="s">
        <v>170</v>
      </c>
      <c r="M82" s="140" t="s">
        <v>170</v>
      </c>
      <c r="N82" s="140"/>
      <c r="O82" s="140" t="e">
        <f ca="1">IF(O81="Mann Withney",[1]!MTEST($B6:$B53,O6:O53,2), IF(O81="T-Test Welch",_xlfn.T.TEST($B6:$B53,O6:O53,2,3),""))</f>
        <v>#NAME?</v>
      </c>
      <c r="P82" s="140" t="e">
        <f ca="1">IF(P81="Mann Withney",[1]!MTEST($O6:$O53,P6:P53,2), IF(P81="T-Test Welch",_xlfn.T.TEST($O6:$O53,P6:P53,2,3),""))</f>
        <v>#NAME?</v>
      </c>
      <c r="Q82" s="140" t="e">
        <f ca="1">IF(Q81="Mann Withney",[1]!MTEST($O6:$O53,Q6:Q53,2), IF(Q81="T-Test Welch",_xlfn.T.TEST($O6:$O53,Q6:Q53,2,3),""))</f>
        <v>#NAME?</v>
      </c>
      <c r="R82" s="140" t="s">
        <v>170</v>
      </c>
      <c r="S82" s="140">
        <v>0.32</v>
      </c>
      <c r="T82" s="140" t="s">
        <v>170</v>
      </c>
      <c r="U82" s="140" t="s">
        <v>170</v>
      </c>
      <c r="V82" s="140">
        <v>3.0000000000000001E-3</v>
      </c>
    </row>
    <row r="83" spans="1:22" s="3" customFormat="1" ht="15" thickBot="1" x14ac:dyDescent="0.35">
      <c r="A83" s="61" t="s">
        <v>84</v>
      </c>
      <c r="B83" s="141"/>
      <c r="C83" s="141" t="s">
        <v>169</v>
      </c>
      <c r="D83" s="141" t="s">
        <v>169</v>
      </c>
      <c r="E83" s="141" t="s">
        <v>171</v>
      </c>
      <c r="F83" s="141" t="s">
        <v>171</v>
      </c>
      <c r="G83" s="141" t="s">
        <v>171</v>
      </c>
      <c r="H83" s="141" t="s">
        <v>171</v>
      </c>
      <c r="I83" s="141" t="s">
        <v>169</v>
      </c>
      <c r="J83" s="141" t="s">
        <v>169</v>
      </c>
      <c r="K83" s="141" t="s">
        <v>169</v>
      </c>
      <c r="L83" s="141" t="s">
        <v>169</v>
      </c>
      <c r="M83" s="141" t="s">
        <v>169</v>
      </c>
      <c r="N83" s="141"/>
      <c r="O83" s="141" t="e">
        <f t="shared" ref="O83" ca="1" si="17">IF(O82&gt;0.05,"NS",IF(O82&gt;0.01,"*",IF(O82&gt;0.001,"**","***")))</f>
        <v>#NAME?</v>
      </c>
      <c r="P83" s="141" t="e">
        <f t="shared" ref="P83" ca="1" si="18">IF(P82&gt;0.05,"NS",IF(P82&gt;0.01,"*",IF(P82&gt;0.001,"**","***")))</f>
        <v>#NAME?</v>
      </c>
      <c r="Q83" s="141" t="e">
        <f t="shared" ref="Q83" ca="1" si="19">IF(Q82&gt;0.05,"NS",IF(Q82&gt;0.01,"*",IF(Q82&gt;0.001,"**","***")))</f>
        <v>#NAME?</v>
      </c>
      <c r="R83" s="141" t="s">
        <v>169</v>
      </c>
      <c r="S83" s="141" t="s">
        <v>169</v>
      </c>
      <c r="T83" s="141" t="s">
        <v>169</v>
      </c>
      <c r="U83" s="141" t="s">
        <v>169</v>
      </c>
      <c r="V83" s="141" t="s">
        <v>173</v>
      </c>
    </row>
    <row r="84" spans="1:22" s="1" customFormat="1" x14ac:dyDescent="0.3"/>
    <row r="85" spans="1:22" s="1" customFormat="1" x14ac:dyDescent="0.3">
      <c r="A85" s="2" t="s">
        <v>39</v>
      </c>
    </row>
    <row r="86" spans="1:22" x14ac:dyDescent="0.3">
      <c r="A86" s="1" t="s">
        <v>23</v>
      </c>
      <c r="B86" s="1">
        <f>B56+(3*B57)</f>
        <v>0.19640701240067174</v>
      </c>
    </row>
    <row r="87" spans="1:22" x14ac:dyDescent="0.3">
      <c r="A87" s="1" t="s">
        <v>24</v>
      </c>
      <c r="B87" s="1">
        <f>B56+(10*B57)</f>
        <v>0.55269577920502488</v>
      </c>
    </row>
    <row r="88" spans="1:22" ht="15" thickBot="1" x14ac:dyDescent="0.35"/>
    <row r="89" spans="1:22" s="47" customFormat="1" ht="26.4" thickBot="1" x14ac:dyDescent="0.35">
      <c r="A89" s="48" t="s">
        <v>55</v>
      </c>
      <c r="B89" s="49"/>
      <c r="C89" s="49"/>
      <c r="D89" s="49"/>
      <c r="E89" s="49"/>
      <c r="F89" s="49"/>
      <c r="G89" s="49"/>
      <c r="H89" s="49"/>
      <c r="I89" s="49"/>
      <c r="J89" s="49"/>
      <c r="K89" s="49"/>
      <c r="L89" s="49"/>
      <c r="M89" s="49"/>
      <c r="N89" s="49"/>
      <c r="O89" s="49"/>
      <c r="P89" s="49"/>
      <c r="Q89" s="49"/>
      <c r="R89" s="49"/>
      <c r="S89" s="49"/>
      <c r="T89" s="49"/>
      <c r="U89" s="49"/>
      <c r="V89" s="49"/>
    </row>
    <row r="90" spans="1:22" ht="15" thickBot="1" x14ac:dyDescent="0.35"/>
    <row r="91" spans="1:22" s="47" customFormat="1" ht="26.4" thickBot="1" x14ac:dyDescent="0.35">
      <c r="A91" s="48" t="s">
        <v>56</v>
      </c>
      <c r="B91" s="49"/>
      <c r="C91" s="49"/>
      <c r="D91" s="49"/>
      <c r="E91" s="49"/>
      <c r="F91" s="49"/>
      <c r="G91" s="49"/>
      <c r="H91" s="49"/>
      <c r="I91" s="49"/>
      <c r="J91" s="49"/>
      <c r="K91" s="49"/>
      <c r="L91" s="49"/>
      <c r="M91" s="49"/>
      <c r="N91" s="49"/>
      <c r="O91" s="49"/>
      <c r="P91" s="49"/>
      <c r="Q91" s="49"/>
      <c r="R91" s="49"/>
      <c r="S91" s="49"/>
      <c r="T91" s="49"/>
      <c r="U91" s="49"/>
      <c r="V91" s="49"/>
    </row>
    <row r="92" spans="1:22" ht="15" thickBot="1" x14ac:dyDescent="0.35"/>
    <row r="93" spans="1:22" s="47" customFormat="1" ht="26.4" thickBot="1" x14ac:dyDescent="0.35">
      <c r="A93" s="227" t="s">
        <v>57</v>
      </c>
      <c r="B93" s="228"/>
      <c r="C93" s="228"/>
      <c r="D93" s="228"/>
      <c r="E93" s="228"/>
      <c r="F93" s="228"/>
      <c r="G93" s="228"/>
      <c r="H93" s="228"/>
      <c r="I93" s="228"/>
      <c r="J93" s="228"/>
      <c r="K93" s="228"/>
      <c r="L93" s="228"/>
      <c r="M93" s="228"/>
      <c r="N93" s="228"/>
      <c r="O93" s="228"/>
      <c r="P93" s="228"/>
      <c r="Q93" s="228"/>
      <c r="R93" s="228"/>
      <c r="S93" s="228"/>
      <c r="T93" s="228"/>
      <c r="U93" s="228"/>
      <c r="V93" s="228"/>
    </row>
    <row r="94" spans="1:22" x14ac:dyDescent="0.3">
      <c r="B94" s="1">
        <f t="shared" ref="B94:V94" si="20">B75/$B$75</f>
        <v>1</v>
      </c>
      <c r="C94" s="1">
        <f t="shared" si="20"/>
        <v>2.1341614049893369</v>
      </c>
      <c r="D94" s="1">
        <f t="shared" si="20"/>
        <v>7.5822990442356062</v>
      </c>
      <c r="E94" s="1">
        <f t="shared" si="20"/>
        <v>34.496157225550689</v>
      </c>
      <c r="F94" s="1">
        <f t="shared" si="20"/>
        <v>94.289067381750485</v>
      </c>
      <c r="G94" s="1">
        <f t="shared" si="20"/>
        <v>132.49766014970331</v>
      </c>
      <c r="H94" s="1">
        <f>H75/$B$75</f>
        <v>242.33997418420941</v>
      </c>
      <c r="I94" s="1">
        <f t="shared" si="20"/>
        <v>1.1767104887244517</v>
      </c>
      <c r="J94" s="1">
        <f t="shared" si="20"/>
        <v>1.5020047381802133</v>
      </c>
      <c r="K94" s="1">
        <f t="shared" si="20"/>
        <v>1.97248624085903</v>
      </c>
      <c r="L94" s="1">
        <f t="shared" si="20"/>
        <v>1.5170520479187439</v>
      </c>
      <c r="M94" s="1">
        <f t="shared" si="20"/>
        <v>0.95422568391062101</v>
      </c>
      <c r="N94" s="1">
        <f t="shared" si="20"/>
        <v>0</v>
      </c>
      <c r="O94" s="1">
        <f t="shared" si="20"/>
        <v>22.877103913421958</v>
      </c>
      <c r="P94" s="1">
        <f t="shared" si="20"/>
        <v>250.48352277888435</v>
      </c>
      <c r="Q94" s="1">
        <f t="shared" si="20"/>
        <v>1.8600785720011332</v>
      </c>
      <c r="R94" s="1">
        <f t="shared" si="20"/>
        <v>19.526349824545182</v>
      </c>
      <c r="S94" s="1">
        <f t="shared" si="20"/>
        <v>26.894618800991879</v>
      </c>
      <c r="T94" s="1">
        <f t="shared" si="20"/>
        <v>14.142919298155507</v>
      </c>
      <c r="U94" s="1">
        <f t="shared" si="20"/>
        <v>15.807602475150134</v>
      </c>
      <c r="V94" s="1">
        <f t="shared" si="20"/>
        <v>3.8268107020579096</v>
      </c>
    </row>
    <row r="102" spans="4:24" x14ac:dyDescent="0.3">
      <c r="D102" s="1"/>
      <c r="E102" s="1"/>
    </row>
    <row r="103" spans="4:24" x14ac:dyDescent="0.3">
      <c r="D103" s="1"/>
      <c r="E103" s="1"/>
    </row>
    <row r="104" spans="4:24" x14ac:dyDescent="0.3">
      <c r="D104" s="1"/>
      <c r="E104" s="1"/>
      <c r="G104" s="1"/>
      <c r="H104" s="1"/>
      <c r="I104" s="1"/>
      <c r="J104" s="1"/>
      <c r="K104" s="1"/>
      <c r="L104" s="1"/>
      <c r="M104" s="1"/>
      <c r="N104" s="1"/>
      <c r="O104" s="1"/>
      <c r="P104" s="1"/>
      <c r="Q104" s="1"/>
      <c r="R104" s="1"/>
      <c r="S104" s="1"/>
      <c r="T104" s="1"/>
      <c r="U104" s="1"/>
      <c r="V104" s="1"/>
      <c r="W104" s="1"/>
      <c r="X104" s="1"/>
    </row>
    <row r="105" spans="4:24" x14ac:dyDescent="0.3">
      <c r="D105" s="1"/>
      <c r="E105" s="1"/>
      <c r="G105" s="1"/>
      <c r="H105" s="1"/>
      <c r="I105" s="1"/>
      <c r="J105" s="1"/>
      <c r="K105" s="1"/>
      <c r="L105" s="1"/>
      <c r="M105" s="1"/>
      <c r="N105" s="1"/>
      <c r="O105" s="1"/>
      <c r="P105" s="1"/>
      <c r="Q105" s="1"/>
      <c r="R105" s="1"/>
      <c r="S105" s="1"/>
      <c r="T105" s="1"/>
      <c r="U105" s="1"/>
      <c r="V105" s="1"/>
      <c r="W105" s="1"/>
      <c r="X105" s="1"/>
    </row>
    <row r="106" spans="4:24" x14ac:dyDescent="0.3">
      <c r="D106" s="1"/>
      <c r="E106" s="1"/>
      <c r="G106" s="1"/>
      <c r="H106" s="1"/>
      <c r="I106" s="1"/>
      <c r="J106" s="1"/>
      <c r="K106" s="1"/>
      <c r="L106" s="1"/>
      <c r="M106" s="1"/>
      <c r="N106" s="1"/>
      <c r="O106" s="1"/>
      <c r="P106" s="1"/>
      <c r="Q106" s="1"/>
      <c r="R106" s="1"/>
      <c r="S106" s="1"/>
      <c r="T106" s="1"/>
      <c r="U106" s="1"/>
      <c r="V106" s="1"/>
      <c r="W106" s="1"/>
      <c r="X106" s="1"/>
    </row>
    <row r="107" spans="4:24" x14ac:dyDescent="0.3">
      <c r="D107" s="1"/>
      <c r="E107" s="1"/>
    </row>
    <row r="108" spans="4:24" x14ac:dyDescent="0.3">
      <c r="D108" s="1"/>
      <c r="E108" s="1"/>
    </row>
    <row r="109" spans="4:24" x14ac:dyDescent="0.3">
      <c r="D109" s="1"/>
      <c r="E109" s="1"/>
    </row>
    <row r="110" spans="4:24" x14ac:dyDescent="0.3">
      <c r="D110" s="1"/>
      <c r="E110" s="1"/>
    </row>
    <row r="111" spans="4:24" x14ac:dyDescent="0.3">
      <c r="D111" s="1"/>
      <c r="E111" s="1"/>
    </row>
    <row r="112" spans="4:24" x14ac:dyDescent="0.3">
      <c r="D112" s="1"/>
      <c r="E112" s="1"/>
    </row>
    <row r="115" spans="4:5" x14ac:dyDescent="0.3">
      <c r="D115" s="1"/>
      <c r="E115" s="1"/>
    </row>
    <row r="116" spans="4:5" x14ac:dyDescent="0.3">
      <c r="D116" s="1"/>
      <c r="E116" s="1"/>
    </row>
    <row r="117" spans="4:5" x14ac:dyDescent="0.3">
      <c r="D117" s="1"/>
      <c r="E117" s="1"/>
    </row>
    <row r="118" spans="4:5" x14ac:dyDescent="0.3">
      <c r="D118" s="1"/>
      <c r="E118" s="1"/>
    </row>
    <row r="119" spans="4:5" x14ac:dyDescent="0.3">
      <c r="D119" s="1"/>
      <c r="E119"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21875" defaultRowHeight="14.4" x14ac:dyDescent="0.3"/>
  <cols>
    <col min="1" max="1" width="33.77734375" style="40" bestFit="1" customWidth="1"/>
    <col min="2" max="3" width="14" style="40" bestFit="1" customWidth="1"/>
    <col min="4" max="4" width="14" style="40" customWidth="1"/>
    <col min="5" max="5" width="16" style="15" bestFit="1" customWidth="1"/>
    <col min="6" max="8" width="16" style="15" customWidth="1"/>
    <col min="9" max="13" width="19.21875" style="15" customWidth="1"/>
    <col min="14" max="14" width="32.21875" style="15" bestFit="1" customWidth="1"/>
    <col min="15" max="15" width="19.5546875" style="40" customWidth="1"/>
    <col min="16" max="16384" width="9.21875" style="40"/>
  </cols>
  <sheetData>
    <row r="1" spans="1:15" s="47" customFormat="1" ht="26.4" thickBot="1" x14ac:dyDescent="0.35">
      <c r="A1" s="227" t="s">
        <v>104</v>
      </c>
      <c r="B1" s="228"/>
      <c r="C1" s="228"/>
      <c r="D1" s="228"/>
      <c r="E1" s="228"/>
      <c r="F1" s="228"/>
      <c r="G1" s="228"/>
      <c r="H1" s="228"/>
      <c r="I1" s="228"/>
      <c r="J1" s="228"/>
      <c r="K1" s="228"/>
      <c r="L1" s="228"/>
      <c r="M1" s="228"/>
      <c r="N1" s="228"/>
      <c r="O1" s="229"/>
    </row>
    <row r="2" spans="1:15" s="47" customFormat="1" ht="26.4" thickBot="1" x14ac:dyDescent="0.35">
      <c r="A2" s="227" t="s">
        <v>105</v>
      </c>
      <c r="B2" s="228"/>
      <c r="C2" s="228"/>
      <c r="D2" s="228"/>
      <c r="E2" s="228"/>
      <c r="F2" s="228"/>
      <c r="G2" s="228"/>
      <c r="H2" s="228"/>
      <c r="I2" s="228"/>
      <c r="J2" s="228"/>
      <c r="K2" s="228"/>
      <c r="L2" s="228"/>
      <c r="M2" s="228"/>
      <c r="N2" s="228"/>
      <c r="O2" s="229"/>
    </row>
    <row r="3" spans="1:15" s="75" customFormat="1" ht="15.6" x14ac:dyDescent="0.3">
      <c r="H3" s="76"/>
      <c r="I3" s="76"/>
      <c r="J3" s="76"/>
      <c r="K3" s="76"/>
      <c r="L3" s="76"/>
      <c r="M3" s="76"/>
      <c r="N3" s="76"/>
    </row>
    <row r="4" spans="1:15" s="75" customFormat="1" ht="15.6" x14ac:dyDescent="0.3">
      <c r="O4"/>
    </row>
    <row r="5" spans="1:15" s="75" customFormat="1" ht="45.75" customHeight="1" thickBot="1" x14ac:dyDescent="0.35">
      <c r="A5" s="77"/>
      <c r="B5" s="86" t="s">
        <v>25</v>
      </c>
      <c r="C5" s="86" t="s">
        <v>26</v>
      </c>
      <c r="D5" s="86" t="s">
        <v>27</v>
      </c>
      <c r="E5" s="87" t="s">
        <v>64</v>
      </c>
      <c r="F5" s="125" t="s">
        <v>80</v>
      </c>
      <c r="G5" s="93" t="s">
        <v>42</v>
      </c>
      <c r="H5" s="93" t="s">
        <v>65</v>
      </c>
      <c r="I5" s="93" t="s">
        <v>66</v>
      </c>
      <c r="J5" s="94" t="s">
        <v>77</v>
      </c>
      <c r="K5" s="94" t="s">
        <v>67</v>
      </c>
      <c r="L5" s="95" t="s">
        <v>76</v>
      </c>
      <c r="M5" s="95" t="s">
        <v>68</v>
      </c>
      <c r="N5" s="95" t="s">
        <v>69</v>
      </c>
      <c r="O5"/>
    </row>
    <row r="6" spans="1:15" s="75" customFormat="1" ht="15.6" x14ac:dyDescent="0.3">
      <c r="A6" s="78" t="s">
        <v>28</v>
      </c>
      <c r="B6" s="98">
        <v>64</v>
      </c>
      <c r="C6" s="78"/>
      <c r="D6" s="78"/>
      <c r="E6" s="88"/>
      <c r="F6" s="89"/>
      <c r="G6" s="127">
        <f>IF(F6="NS","NC",ROUND(B6,2-(1+INT(LOG10(ABS(B6))))))</f>
        <v>64</v>
      </c>
      <c r="H6" s="119"/>
      <c r="I6" s="119"/>
      <c r="J6" s="120"/>
      <c r="K6" s="121"/>
      <c r="L6" s="123"/>
      <c r="M6" s="120"/>
      <c r="N6" s="90"/>
      <c r="O6"/>
    </row>
    <row r="7" spans="1:15" s="75" customFormat="1" ht="15.6" x14ac:dyDescent="0.3">
      <c r="A7" s="78" t="str">
        <f>'Page de garde'!A15</f>
        <v>Fadrozole-0.016µg/L</v>
      </c>
      <c r="B7" s="97"/>
      <c r="C7" s="79"/>
      <c r="D7" s="79"/>
      <c r="E7" s="80"/>
      <c r="F7" s="96" t="str">
        <f>HLOOKUP(A7,'pooled normalised values'!$B$74:$V$83,10,FALSE)</f>
        <v>ns</v>
      </c>
      <c r="G7" s="127" t="str">
        <f>IF(F7="NS","NC",ROUND(B7,2-(1+INT(LOG10(ABS(B7))))))</f>
        <v>NC</v>
      </c>
      <c r="H7" s="118" t="str">
        <f>IF(VLOOKUP(A7,liste_groupe[],4,FALSE)="%",VLOOKUP(A7,liste_groupe[],3,FALSE)/100,IF(ISBLANK(VLOOKUP(A7,liste_groupe[],4,FALSE)),"Non","Non"))</f>
        <v>Non</v>
      </c>
      <c r="I7" s="127" t="str">
        <f>IF(F7="NS","NC",IF(H7="Non",G7,G7*(1/H7)))</f>
        <v>NC</v>
      </c>
      <c r="J7" s="128">
        <v>64</v>
      </c>
      <c r="K7" s="129">
        <f>IF(F7="NS",0,ROUND(I7/J7*100,0))</f>
        <v>0</v>
      </c>
      <c r="L7" s="124">
        <v>1</v>
      </c>
      <c r="M7" s="130">
        <f>IF(K7&gt;100,125,K7)</f>
        <v>0</v>
      </c>
      <c r="N7" s="91" t="str">
        <f>IF(H7="Non",CONCATENATE(VLOOKUP(A7,liste_groupe[],5,FALSE),"-",VLOOKUP(A7,liste_groupe[],3,FALSE),VLOOKUP(A7,liste_groupe[],4,FALSE)," : ",ROUND(K7,0),"%"),CONCATENATE(VLOOKUP(A7,liste_groupe[],5,FALSE)," : ",ROUND(K7,0),"%"))</f>
        <v>Fadrozole-0.016µg/L : 0%</v>
      </c>
      <c r="O7"/>
    </row>
    <row r="8" spans="1:15" s="75" customFormat="1" ht="15.6" x14ac:dyDescent="0.3">
      <c r="A8" s="78" t="str">
        <f>'Page de garde'!A16</f>
        <v>Fadrozole-0.08µg/L</v>
      </c>
      <c r="B8" s="97"/>
      <c r="C8" s="81"/>
      <c r="D8" s="79"/>
      <c r="E8" s="80"/>
      <c r="F8" s="96" t="str">
        <f>HLOOKUP(A8,'pooled normalised values'!$B$74:$V$83,10,FALSE)</f>
        <v>ns</v>
      </c>
      <c r="G8" s="127" t="str">
        <f t="shared" ref="G8:G13" si="0">IF(F8="NS","NC",ROUND(B8,2-(1+INT(LOG10(ABS(B8))))))</f>
        <v>NC</v>
      </c>
      <c r="H8" s="118" t="str">
        <f>IF(VLOOKUP(A8,liste_groupe[],4,FALSE)="%",VLOOKUP(A8,liste_groupe[],3,FALSE)/100,IF(ISBLANK(VLOOKUP(A8,liste_groupe[],4,FALSE)),"Non","Non"))</f>
        <v>Non</v>
      </c>
      <c r="I8" s="127" t="str">
        <f t="shared" ref="I8:I26" si="1">IF(F8="NS","NC",IF(H8="Non",G8,G8*(1/H8)))</f>
        <v>NC</v>
      </c>
      <c r="J8" s="128">
        <v>64</v>
      </c>
      <c r="K8" s="129">
        <f t="shared" ref="K8:K26" si="2">IF(F8="NS",0,ROUND(I8/J8*100,0))</f>
        <v>0</v>
      </c>
      <c r="L8" s="124"/>
      <c r="M8" s="130">
        <f t="shared" ref="M8:M26" si="3">IF(K8&gt;100,125,K8)</f>
        <v>0</v>
      </c>
      <c r="N8" s="91" t="str">
        <f>IF(H8="Non",CONCATENATE(VLOOKUP(A8,liste_groupe[],5,FALSE),"-",VLOOKUP(A8,liste_groupe[],3,FALSE),VLOOKUP(A8,liste_groupe[],4,FALSE)," : ",ROUND(K8,0),"%"),CONCATENATE(VLOOKUP(A8,liste_groupe[],5,FALSE)," : ",ROUND(K8,0),"%"))</f>
        <v>Fadrozole-0.08µg/L : 0%</v>
      </c>
      <c r="O8"/>
    </row>
    <row r="9" spans="1:15" s="75" customFormat="1" ht="15.6" x14ac:dyDescent="0.3">
      <c r="A9" s="78" t="str">
        <f>'Page de garde'!A17</f>
        <v>Fadrozole-0.4µg/L</v>
      </c>
      <c r="B9" s="97"/>
      <c r="C9" s="81"/>
      <c r="D9" s="79"/>
      <c r="E9" s="80"/>
      <c r="F9" s="96" t="str">
        <f>HLOOKUP(A9,'pooled normalised values'!$B$74:$V$83,10,FALSE)</f>
        <v>ns</v>
      </c>
      <c r="G9" s="127" t="str">
        <f t="shared" si="0"/>
        <v>NC</v>
      </c>
      <c r="H9" s="118" t="str">
        <f>IF(VLOOKUP(A9,liste_groupe[],4,FALSE)="%",VLOOKUP(A9,liste_groupe[],3,FALSE)/100,IF(ISBLANK(VLOOKUP(A9,liste_groupe[],4,FALSE)),"Non","Non"))</f>
        <v>Non</v>
      </c>
      <c r="I9" s="127" t="str">
        <f t="shared" si="1"/>
        <v>NC</v>
      </c>
      <c r="J9" s="128">
        <v>64</v>
      </c>
      <c r="K9" s="129">
        <f t="shared" si="2"/>
        <v>0</v>
      </c>
      <c r="L9" s="124"/>
      <c r="M9" s="130">
        <f t="shared" si="3"/>
        <v>0</v>
      </c>
      <c r="N9" s="91" t="str">
        <f>IF(H9="Non",CONCATENATE(VLOOKUP(A9,liste_groupe[],5,FALSE),"-",VLOOKUP(A9,liste_groupe[],3,FALSE),VLOOKUP(A9,liste_groupe[],4,FALSE)," : ",ROUND(K9,0),"%"),CONCATENATE(VLOOKUP(A9,liste_groupe[],5,FALSE)," : ",ROUND(K9,0),"%"))</f>
        <v>Fadrozole-0.4µg/L : 0%</v>
      </c>
      <c r="O9"/>
    </row>
    <row r="10" spans="1:15" s="75" customFormat="1" ht="15.6" x14ac:dyDescent="0.3">
      <c r="A10" s="78" t="str">
        <f>'Page de garde'!A18</f>
        <v>Fadrozole-2µg/L</v>
      </c>
      <c r="B10" s="98"/>
      <c r="C10" s="78"/>
      <c r="D10" s="83"/>
      <c r="E10" s="80"/>
      <c r="F10" s="96" t="str">
        <f>HLOOKUP(A10,'pooled normalised values'!$B$74:$V$83,10,FALSE)</f>
        <v>ns</v>
      </c>
      <c r="G10" s="127" t="str">
        <f t="shared" si="0"/>
        <v>NC</v>
      </c>
      <c r="H10" s="118" t="str">
        <f>IF(VLOOKUP(A10,liste_groupe[],4,FALSE)="%",VLOOKUP(A10,liste_groupe[],3,FALSE)/100,IF(ISBLANK(VLOOKUP(A10,liste_groupe[],4,FALSE)),"Non","Non"))</f>
        <v>Non</v>
      </c>
      <c r="I10" s="127" t="str">
        <f t="shared" si="1"/>
        <v>NC</v>
      </c>
      <c r="J10" s="128">
        <v>64</v>
      </c>
      <c r="K10" s="129">
        <f t="shared" si="2"/>
        <v>0</v>
      </c>
      <c r="L10" s="124"/>
      <c r="M10" s="130">
        <f t="shared" si="3"/>
        <v>0</v>
      </c>
      <c r="N10" s="91" t="str">
        <f>IF(H10="Non",CONCATENATE(VLOOKUP(A10,liste_groupe[],5,FALSE),"-",VLOOKUP(A10,liste_groupe[],3,FALSE),VLOOKUP(A10,liste_groupe[],4,FALSE)," : ",ROUND(K10,0),"%"),CONCATENATE(VLOOKUP(A10,liste_groupe[],5,FALSE)," : ",ROUND(K10,0),"%"))</f>
        <v>Fadrozole-2µg/L : 0%</v>
      </c>
      <c r="O10"/>
    </row>
    <row r="11" spans="1:15" s="75" customFormat="1" ht="15.6" x14ac:dyDescent="0.3">
      <c r="A11" s="78" t="str">
        <f>'Page de garde'!A19</f>
        <v>Fadrozole-10 µg/L</v>
      </c>
      <c r="B11" s="98"/>
      <c r="C11" s="78"/>
      <c r="D11" s="83"/>
      <c r="E11" s="80"/>
      <c r="F11" s="96" t="str">
        <f>HLOOKUP(A11,'pooled normalised values'!$B$74:$V$83,10,FALSE)</f>
        <v>ns</v>
      </c>
      <c r="G11" s="127" t="str">
        <f t="shared" si="0"/>
        <v>NC</v>
      </c>
      <c r="H11" s="118" t="str">
        <f>IF(VLOOKUP(A11,liste_groupe[],4,FALSE)="%",VLOOKUP(A11,liste_groupe[],3,FALSE)/100,IF(ISBLANK(VLOOKUP(A11,liste_groupe[],4,FALSE)),"Non","Non"))</f>
        <v>Non</v>
      </c>
      <c r="I11" s="127" t="str">
        <f t="shared" si="1"/>
        <v>NC</v>
      </c>
      <c r="J11" s="128">
        <v>64</v>
      </c>
      <c r="K11" s="129">
        <f t="shared" si="2"/>
        <v>0</v>
      </c>
      <c r="L11" s="124"/>
      <c r="M11" s="130">
        <f t="shared" si="3"/>
        <v>0</v>
      </c>
      <c r="N11" s="91" t="str">
        <f>IF(H11="Non",CONCATENATE(VLOOKUP(A11,liste_groupe[],5,FALSE),"-",VLOOKUP(A11,liste_groupe[],3,FALSE),VLOOKUP(A11,liste_groupe[],4,FALSE)," : ",ROUND(K11,0),"%"),CONCATENATE(VLOOKUP(A11,liste_groupe[],5,FALSE)," : ",ROUND(K11,0),"%"))</f>
        <v>Fadrozole-10 µg/L : 0%</v>
      </c>
      <c r="O11"/>
    </row>
    <row r="12" spans="1:15" s="75" customFormat="1" ht="15.6" x14ac:dyDescent="0.3">
      <c r="A12" s="78" t="str">
        <f>'Page de garde'!A20</f>
        <v xml:space="preserve"> </v>
      </c>
      <c r="B12" s="98"/>
      <c r="C12" s="78"/>
      <c r="D12" s="83"/>
      <c r="E12" s="80"/>
      <c r="F12" s="96" t="e">
        <f>HLOOKUP(A12,'pooled normalised values'!$B$74:$V$83,10,FALSE)</f>
        <v>#N/A</v>
      </c>
      <c r="G12" s="127" t="e">
        <f t="shared" si="0"/>
        <v>#N/A</v>
      </c>
      <c r="H12" s="118" t="str">
        <f>IF(VLOOKUP(A12,liste_groupe[],4,FALSE)="%",VLOOKUP(A12,liste_groupe[],3,FALSE)/100,IF(ISBLANK(VLOOKUP(A12,liste_groupe[],4,FALSE)),"Non","Non"))</f>
        <v>Non</v>
      </c>
      <c r="I12" s="127" t="e">
        <f t="shared" si="1"/>
        <v>#N/A</v>
      </c>
      <c r="J12" s="128">
        <v>64</v>
      </c>
      <c r="K12" s="129" t="e">
        <f t="shared" si="2"/>
        <v>#N/A</v>
      </c>
      <c r="L12" s="124"/>
      <c r="M12" s="130" t="e">
        <f t="shared" si="3"/>
        <v>#N/A</v>
      </c>
      <c r="N12" s="91" t="e">
        <f>IF(H12="Non",CONCATENATE(VLOOKUP(A12,liste_groupe[],5,FALSE),"-",VLOOKUP(A12,liste_groupe[],3,FALSE),VLOOKUP(A12,liste_groupe[],4,FALSE)," : ",ROUND(K12,0),"%"),CONCATENATE(VLOOKUP(A12,liste_groupe[],5,FALSE)," : ",ROUND(K12,0),"%"))</f>
        <v>#N/A</v>
      </c>
      <c r="O12"/>
    </row>
    <row r="13" spans="1:15" s="75" customFormat="1" ht="15.6" x14ac:dyDescent="0.3">
      <c r="A13" s="78" t="str">
        <f>'Page de garde'!A21</f>
        <v xml:space="preserve"> </v>
      </c>
      <c r="B13" s="98"/>
      <c r="C13" s="78"/>
      <c r="D13" s="78"/>
      <c r="E13" s="80"/>
      <c r="F13" s="96" t="e">
        <f>HLOOKUP(A13,'pooled normalised values'!$B$74:$V$83,10,FALSE)</f>
        <v>#N/A</v>
      </c>
      <c r="G13" s="127" t="e">
        <f t="shared" si="0"/>
        <v>#N/A</v>
      </c>
      <c r="H13" s="118" t="str">
        <f>IF(VLOOKUP(A13,liste_groupe[],4,FALSE)="%",VLOOKUP(A13,liste_groupe[],3,FALSE)/100,IF(ISBLANK(VLOOKUP(A13,liste_groupe[],4,FALSE)),"Non","Non"))</f>
        <v>Non</v>
      </c>
      <c r="I13" s="127" t="e">
        <f t="shared" si="1"/>
        <v>#N/A</v>
      </c>
      <c r="J13" s="128">
        <v>64</v>
      </c>
      <c r="K13" s="129" t="e">
        <f t="shared" si="2"/>
        <v>#N/A</v>
      </c>
      <c r="L13" s="124"/>
      <c r="M13" s="130" t="e">
        <f t="shared" si="3"/>
        <v>#N/A</v>
      </c>
      <c r="N13" s="91" t="e">
        <f>IF(H13="Non",CONCATENATE(VLOOKUP(A13,liste_groupe[],5,FALSE),"-",VLOOKUP(A13,liste_groupe[],3,FALSE),VLOOKUP(A13,liste_groupe[],4,FALSE)," : ",ROUND(K13,0),"%"),CONCATENATE(VLOOKUP(A13,liste_groupe[],5,FALSE)," : ",ROUND(K13,0),"%"))</f>
        <v>#N/A</v>
      </c>
      <c r="O13"/>
    </row>
    <row r="14" spans="1:15" s="75" customFormat="1" ht="15.6" x14ac:dyDescent="0.3">
      <c r="A14" s="78" t="str">
        <f>'Page de garde'!A22</f>
        <v xml:space="preserve"> </v>
      </c>
      <c r="B14" s="98"/>
      <c r="C14" s="78"/>
      <c r="D14" s="78"/>
      <c r="E14" s="80"/>
      <c r="F14" s="96" t="e">
        <f>HLOOKUP(A14,'pooled normalised values'!$B$74:$V$83,10,FALSE)</f>
        <v>#N/A</v>
      </c>
      <c r="G14" s="127" t="e">
        <f t="shared" ref="G14:G25" si="4">IF(F14="NS","NC",ROUND(B14,2-(1+INT(LOG10(ABS(B14))))))</f>
        <v>#N/A</v>
      </c>
      <c r="H14" s="118" t="str">
        <f>IF(VLOOKUP(A14,liste_groupe[],4,FALSE)="%",VLOOKUP(A14,liste_groupe[],3,FALSE)/100,IF(ISBLANK(VLOOKUP(A14,liste_groupe[],4,FALSE)),"Non","Non"))</f>
        <v>Non</v>
      </c>
      <c r="I14" s="127" t="e">
        <f t="shared" si="1"/>
        <v>#N/A</v>
      </c>
      <c r="J14" s="128">
        <v>64</v>
      </c>
      <c r="K14" s="129" t="e">
        <f t="shared" si="2"/>
        <v>#N/A</v>
      </c>
      <c r="L14" s="124"/>
      <c r="M14" s="130" t="e">
        <f t="shared" si="3"/>
        <v>#N/A</v>
      </c>
      <c r="N14" s="91" t="e">
        <f>IF(H14="Non",CONCATENATE(VLOOKUP(A14,liste_groupe[],5,FALSE),"-",VLOOKUP(A14,liste_groupe[],3,FALSE),VLOOKUP(A14,liste_groupe[],4,FALSE)," : ",ROUND(K14,0),"%"),CONCATENATE(VLOOKUP(A14,liste_groupe[],5,FALSE)," : ",ROUND(K14,0),"%"))</f>
        <v>#N/A</v>
      </c>
      <c r="O14" s="1"/>
    </row>
    <row r="15" spans="1:15" s="75" customFormat="1" ht="15.6" x14ac:dyDescent="0.3">
      <c r="A15" s="78" t="str">
        <f>'Page de garde'!A23</f>
        <v xml:space="preserve"> </v>
      </c>
      <c r="B15" s="98"/>
      <c r="C15" s="78"/>
      <c r="D15" s="78"/>
      <c r="E15" s="80"/>
      <c r="F15" s="96" t="e">
        <f>HLOOKUP(A15,'pooled normalised values'!$B$74:$V$83,10,FALSE)</f>
        <v>#N/A</v>
      </c>
      <c r="G15" s="127" t="e">
        <f t="shared" si="4"/>
        <v>#N/A</v>
      </c>
      <c r="H15" s="118" t="str">
        <f>IF(VLOOKUP(A15,liste_groupe[],4,FALSE)="%",VLOOKUP(A15,liste_groupe[],3,FALSE)/100,IF(ISBLANK(VLOOKUP(A15,liste_groupe[],4,FALSE)),"Non","Non"))</f>
        <v>Non</v>
      </c>
      <c r="I15" s="127" t="e">
        <f t="shared" si="1"/>
        <v>#N/A</v>
      </c>
      <c r="J15" s="128">
        <v>64</v>
      </c>
      <c r="K15" s="129" t="e">
        <f t="shared" si="2"/>
        <v>#N/A</v>
      </c>
      <c r="L15" s="124"/>
      <c r="M15" s="130" t="e">
        <f t="shared" si="3"/>
        <v>#N/A</v>
      </c>
      <c r="N15" s="91" t="e">
        <f>IF(H15="Non",CONCATENATE(VLOOKUP(A15,liste_groupe[],5,FALSE),"-",VLOOKUP(A15,liste_groupe[],3,FALSE),VLOOKUP(A15,liste_groupe[],4,FALSE)," : ",ROUND(K15,0),"%"),CONCATENATE(VLOOKUP(A15,liste_groupe[],5,FALSE)," : ",ROUND(K15,0),"%"))</f>
        <v>#N/A</v>
      </c>
      <c r="O15" s="1"/>
    </row>
    <row r="16" spans="1:15" s="75" customFormat="1" ht="15.6" x14ac:dyDescent="0.3">
      <c r="A16" s="78" t="str">
        <f>'Page de garde'!A24</f>
        <v xml:space="preserve"> </v>
      </c>
      <c r="B16" s="98"/>
      <c r="C16" s="78"/>
      <c r="D16" s="78"/>
      <c r="E16" s="80"/>
      <c r="F16" s="96" t="e">
        <f>HLOOKUP(A16,'pooled normalised values'!$B$74:$V$83,10,FALSE)</f>
        <v>#N/A</v>
      </c>
      <c r="G16" s="127" t="e">
        <f t="shared" si="4"/>
        <v>#N/A</v>
      </c>
      <c r="H16" s="118" t="str">
        <f>IF(VLOOKUP(A16,liste_groupe[],4,FALSE)="%",VLOOKUP(A16,liste_groupe[],3,FALSE)/100,IF(ISBLANK(VLOOKUP(A16,liste_groupe[],4,FALSE)),"Non","Non"))</f>
        <v>Non</v>
      </c>
      <c r="I16" s="127" t="e">
        <f t="shared" si="1"/>
        <v>#N/A</v>
      </c>
      <c r="J16" s="128">
        <v>64</v>
      </c>
      <c r="K16" s="129" t="e">
        <f t="shared" si="2"/>
        <v>#N/A</v>
      </c>
      <c r="L16" s="124"/>
      <c r="M16" s="130" t="e">
        <f t="shared" si="3"/>
        <v>#N/A</v>
      </c>
      <c r="N16" s="91" t="e">
        <f>IF(H16="Non",CONCATENATE(VLOOKUP(A16,liste_groupe[],5,FALSE),"-",VLOOKUP(A16,liste_groupe[],3,FALSE),VLOOKUP(A16,liste_groupe[],4,FALSE)," : ",ROUND(K16,0),"%"),CONCATENATE(VLOOKUP(A16,liste_groupe[],5,FALSE)," : ",ROUND(K16,0),"%"))</f>
        <v>#N/A</v>
      </c>
      <c r="O16" s="1"/>
    </row>
    <row r="17" spans="1:15" s="75" customFormat="1" ht="15.6" x14ac:dyDescent="0.3">
      <c r="A17" s="78" t="str">
        <f>'Page de garde'!A25</f>
        <v xml:space="preserve"> </v>
      </c>
      <c r="B17" s="98"/>
      <c r="C17" s="78"/>
      <c r="D17" s="78"/>
      <c r="E17" s="80"/>
      <c r="F17" s="96" t="e">
        <f>HLOOKUP(A17,'pooled normalised values'!$B$74:$V$83,10,FALSE)</f>
        <v>#N/A</v>
      </c>
      <c r="G17" s="127" t="e">
        <f t="shared" si="4"/>
        <v>#N/A</v>
      </c>
      <c r="H17" s="118" t="str">
        <f>IF(VLOOKUP(A17,liste_groupe[],4,FALSE)="%",VLOOKUP(A17,liste_groupe[],3,FALSE)/100,IF(ISBLANK(VLOOKUP(A17,liste_groupe[],4,FALSE)),"Non","Non"))</f>
        <v>Non</v>
      </c>
      <c r="I17" s="127" t="e">
        <f t="shared" si="1"/>
        <v>#N/A</v>
      </c>
      <c r="J17" s="128">
        <v>64</v>
      </c>
      <c r="K17" s="129" t="e">
        <f t="shared" si="2"/>
        <v>#N/A</v>
      </c>
      <c r="L17" s="124"/>
      <c r="M17" s="130" t="e">
        <f t="shared" si="3"/>
        <v>#N/A</v>
      </c>
      <c r="N17" s="91" t="e">
        <f>IF(H17="Non",CONCATENATE(VLOOKUP(A17,liste_groupe[],5,FALSE),"-",VLOOKUP(A17,liste_groupe[],3,FALSE),VLOOKUP(A17,liste_groupe[],4,FALSE)," : ",ROUND(K17,0),"%"),CONCATENATE(VLOOKUP(A17,liste_groupe[],5,FALSE)," : ",ROUND(K17,0),"%"))</f>
        <v>#N/A</v>
      </c>
      <c r="O17" s="1"/>
    </row>
    <row r="18" spans="1:15" s="75" customFormat="1" ht="15.6" x14ac:dyDescent="0.3">
      <c r="A18" s="78" t="str">
        <f>'Page de garde'!A26</f>
        <v xml:space="preserve"> </v>
      </c>
      <c r="B18" s="98"/>
      <c r="C18" s="78"/>
      <c r="D18" s="78"/>
      <c r="E18" s="80"/>
      <c r="F18" s="96" t="e">
        <f>HLOOKUP(A18,'pooled normalised values'!$B$74:$V$83,10,FALSE)</f>
        <v>#N/A</v>
      </c>
      <c r="G18" s="127" t="e">
        <f t="shared" si="4"/>
        <v>#N/A</v>
      </c>
      <c r="H18" s="118" t="str">
        <f>IF(VLOOKUP(A18,liste_groupe[],4,FALSE)="%",VLOOKUP(A18,liste_groupe[],3,FALSE)/100,IF(ISBLANK(VLOOKUP(A18,liste_groupe[],4,FALSE)),"Non","Non"))</f>
        <v>Non</v>
      </c>
      <c r="I18" s="127" t="e">
        <f t="shared" si="1"/>
        <v>#N/A</v>
      </c>
      <c r="J18" s="128">
        <v>64</v>
      </c>
      <c r="K18" s="129" t="e">
        <f t="shared" si="2"/>
        <v>#N/A</v>
      </c>
      <c r="L18" s="124"/>
      <c r="M18" s="130" t="e">
        <f t="shared" si="3"/>
        <v>#N/A</v>
      </c>
      <c r="N18" s="91" t="e">
        <f>IF(H18="Non",CONCATENATE(VLOOKUP(A18,liste_groupe[],5,FALSE),"-",VLOOKUP(A18,liste_groupe[],3,FALSE),VLOOKUP(A18,liste_groupe[],4,FALSE)," : ",ROUND(K18,0),"%"),CONCATENATE(VLOOKUP(A18,liste_groupe[],5,FALSE)," : ",ROUND(K18,0),"%"))</f>
        <v>#N/A</v>
      </c>
      <c r="O18" s="1"/>
    </row>
    <row r="19" spans="1:15" s="75" customFormat="1" ht="15.6" x14ac:dyDescent="0.3">
      <c r="A19" s="78" t="str">
        <f>'Page de garde'!A27</f>
        <v xml:space="preserve"> </v>
      </c>
      <c r="B19" s="98"/>
      <c r="C19" s="78"/>
      <c r="D19" s="78"/>
      <c r="E19" s="80"/>
      <c r="F19" s="96" t="e">
        <f>HLOOKUP(A19,'pooled normalised values'!$B$74:$V$83,10,FALSE)</f>
        <v>#N/A</v>
      </c>
      <c r="G19" s="127" t="e">
        <f t="shared" si="4"/>
        <v>#N/A</v>
      </c>
      <c r="H19" s="118" t="str">
        <f>IF(VLOOKUP(A19,liste_groupe[],4,FALSE)="%",VLOOKUP(A19,liste_groupe[],3,FALSE)/100,IF(ISBLANK(VLOOKUP(A19,liste_groupe[],4,FALSE)),"Non","Non"))</f>
        <v>Non</v>
      </c>
      <c r="I19" s="127" t="e">
        <f t="shared" si="1"/>
        <v>#N/A</v>
      </c>
      <c r="J19" s="128">
        <v>64</v>
      </c>
      <c r="K19" s="129" t="e">
        <f t="shared" si="2"/>
        <v>#N/A</v>
      </c>
      <c r="L19" s="124"/>
      <c r="M19" s="130" t="e">
        <f t="shared" si="3"/>
        <v>#N/A</v>
      </c>
      <c r="N19" s="91" t="e">
        <f>IF(H19="Non",CONCATENATE(VLOOKUP(A19,liste_groupe[],5,FALSE),"-",VLOOKUP(A19,liste_groupe[],3,FALSE),VLOOKUP(A19,liste_groupe[],4,FALSE)," : ",ROUND(K19,0),"%"),CONCATENATE(VLOOKUP(A19,liste_groupe[],5,FALSE)," : ",ROUND(K19,0),"%"))</f>
        <v>#N/A</v>
      </c>
      <c r="O19" s="1"/>
    </row>
    <row r="20" spans="1:15" s="75" customFormat="1" ht="15.6" x14ac:dyDescent="0.3">
      <c r="A20" s="78" t="str">
        <f>'Page de garde'!A28</f>
        <v xml:space="preserve"> </v>
      </c>
      <c r="B20" s="98"/>
      <c r="C20" s="78"/>
      <c r="D20" s="78"/>
      <c r="E20" s="80"/>
      <c r="F20" s="96" t="e">
        <f>HLOOKUP(A20,'pooled normalised values'!$B$74:$V$83,10,FALSE)</f>
        <v>#N/A</v>
      </c>
      <c r="G20" s="127" t="e">
        <f t="shared" si="4"/>
        <v>#N/A</v>
      </c>
      <c r="H20" s="118" t="str">
        <f>IF(VLOOKUP(A20,liste_groupe[],4,FALSE)="%",VLOOKUP(A20,liste_groupe[],3,FALSE)/100,IF(ISBLANK(VLOOKUP(A20,liste_groupe[],4,FALSE)),"Non","Non"))</f>
        <v>Non</v>
      </c>
      <c r="I20" s="127" t="e">
        <f t="shared" si="1"/>
        <v>#N/A</v>
      </c>
      <c r="J20" s="128">
        <v>64</v>
      </c>
      <c r="K20" s="129" t="e">
        <f t="shared" si="2"/>
        <v>#N/A</v>
      </c>
      <c r="L20" s="124"/>
      <c r="M20" s="130" t="e">
        <f t="shared" si="3"/>
        <v>#N/A</v>
      </c>
      <c r="N20" s="91" t="e">
        <f>IF(H20="Non",CONCATENATE(VLOOKUP(A20,liste_groupe[],5,FALSE),"-",VLOOKUP(A20,liste_groupe[],3,FALSE),VLOOKUP(A20,liste_groupe[],4,FALSE)," : ",ROUND(K20,0),"%"),CONCATENATE(VLOOKUP(A20,liste_groupe[],5,FALSE)," : ",ROUND(K20,0),"%"))</f>
        <v>#N/A</v>
      </c>
      <c r="O20" s="1"/>
    </row>
    <row r="21" spans="1:15" s="75" customFormat="1" ht="15.6" x14ac:dyDescent="0.3">
      <c r="A21" s="78" t="str">
        <f>'Page de garde'!A29</f>
        <v xml:space="preserve"> </v>
      </c>
      <c r="B21" s="98"/>
      <c r="C21" s="78"/>
      <c r="D21" s="78"/>
      <c r="E21" s="80"/>
      <c r="F21" s="96" t="e">
        <f>HLOOKUP(A21,'pooled normalised values'!$B$74:$V$83,10,FALSE)</f>
        <v>#N/A</v>
      </c>
      <c r="G21" s="127" t="e">
        <f t="shared" si="4"/>
        <v>#N/A</v>
      </c>
      <c r="H21" s="118" t="str">
        <f>IF(VLOOKUP(A21,liste_groupe[],4,FALSE)="%",VLOOKUP(A21,liste_groupe[],3,FALSE)/100,IF(ISBLANK(VLOOKUP(A21,liste_groupe[],4,FALSE)),"Non","Non"))</f>
        <v>Non</v>
      </c>
      <c r="I21" s="127" t="e">
        <f t="shared" si="1"/>
        <v>#N/A</v>
      </c>
      <c r="J21" s="128">
        <v>64</v>
      </c>
      <c r="K21" s="129" t="e">
        <f t="shared" si="2"/>
        <v>#N/A</v>
      </c>
      <c r="L21" s="124"/>
      <c r="M21" s="130" t="e">
        <f t="shared" si="3"/>
        <v>#N/A</v>
      </c>
      <c r="N21" s="91" t="e">
        <f>IF(H21="Non",CONCATENATE(VLOOKUP(A21,liste_groupe[],5,FALSE),"-",VLOOKUP(A21,liste_groupe[],3,FALSE),VLOOKUP(A21,liste_groupe[],4,FALSE)," : ",ROUND(K21,0),"%"),CONCATENATE(VLOOKUP(A21,liste_groupe[],5,FALSE)," : ",ROUND(K21,0),"%"))</f>
        <v>#N/A</v>
      </c>
      <c r="O21" s="1"/>
    </row>
    <row r="22" spans="1:15" s="75" customFormat="1" ht="15.6" x14ac:dyDescent="0.3">
      <c r="A22" s="78" t="str">
        <f>'Page de garde'!A30</f>
        <v xml:space="preserve"> </v>
      </c>
      <c r="B22" s="98"/>
      <c r="C22" s="78"/>
      <c r="D22" s="78"/>
      <c r="E22" s="80"/>
      <c r="F22" s="96" t="e">
        <f>HLOOKUP(A22,'pooled normalised values'!$B$74:$V$83,10,FALSE)</f>
        <v>#N/A</v>
      </c>
      <c r="G22" s="127" t="e">
        <f t="shared" si="4"/>
        <v>#N/A</v>
      </c>
      <c r="H22" s="118" t="str">
        <f>IF(VLOOKUP(A22,liste_groupe[],4,FALSE)="%",VLOOKUP(A22,liste_groupe[],3,FALSE)/100,IF(ISBLANK(VLOOKUP(A22,liste_groupe[],4,FALSE)),"Non","Non"))</f>
        <v>Non</v>
      </c>
      <c r="I22" s="127" t="e">
        <f t="shared" si="1"/>
        <v>#N/A</v>
      </c>
      <c r="J22" s="128">
        <v>64</v>
      </c>
      <c r="K22" s="129" t="e">
        <f t="shared" si="2"/>
        <v>#N/A</v>
      </c>
      <c r="L22" s="124"/>
      <c r="M22" s="130" t="e">
        <f t="shared" si="3"/>
        <v>#N/A</v>
      </c>
      <c r="N22" s="91" t="e">
        <f>IF(H22="Non",CONCATENATE(VLOOKUP(A22,liste_groupe[],5,FALSE),"-",VLOOKUP(A22,liste_groupe[],3,FALSE),VLOOKUP(A22,liste_groupe[],4,FALSE)," : ",ROUND(K22,0),"%"),CONCATENATE(VLOOKUP(A22,liste_groupe[],5,FALSE)," : ",ROUND(K22,0),"%"))</f>
        <v>#N/A</v>
      </c>
      <c r="O22" s="1"/>
    </row>
    <row r="23" spans="1:15" s="75" customFormat="1" ht="15.6" x14ac:dyDescent="0.3">
      <c r="A23" s="78" t="str">
        <f>'Page de garde'!A31</f>
        <v xml:space="preserve"> </v>
      </c>
      <c r="B23" s="98"/>
      <c r="C23" s="78"/>
      <c r="D23" s="78"/>
      <c r="E23" s="80"/>
      <c r="F23" s="96" t="e">
        <f>HLOOKUP(A23,'pooled normalised values'!$B$74:$V$83,10,FALSE)</f>
        <v>#N/A</v>
      </c>
      <c r="G23" s="127" t="e">
        <f t="shared" si="4"/>
        <v>#N/A</v>
      </c>
      <c r="H23" s="118" t="str">
        <f>IF(VLOOKUP(A23,liste_groupe[],4,FALSE)="%",VLOOKUP(A23,liste_groupe[],3,FALSE)/100,IF(ISBLANK(VLOOKUP(A23,liste_groupe[],4,FALSE)),"Non","Non"))</f>
        <v>Non</v>
      </c>
      <c r="I23" s="127" t="e">
        <f t="shared" si="1"/>
        <v>#N/A</v>
      </c>
      <c r="J23" s="128">
        <v>64</v>
      </c>
      <c r="K23" s="129" t="e">
        <f t="shared" si="2"/>
        <v>#N/A</v>
      </c>
      <c r="L23" s="124"/>
      <c r="M23" s="130" t="e">
        <f t="shared" si="3"/>
        <v>#N/A</v>
      </c>
      <c r="N23" s="91" t="e">
        <f>IF(H23="Non",CONCATENATE(VLOOKUP(A23,liste_groupe[],5,FALSE),"-",VLOOKUP(A23,liste_groupe[],3,FALSE),VLOOKUP(A23,liste_groupe[],4,FALSE)," : ",ROUND(K23,0),"%"),CONCATENATE(VLOOKUP(A23,liste_groupe[],5,FALSE)," : ",ROUND(K23,0),"%"))</f>
        <v>#N/A</v>
      </c>
      <c r="O23" s="1"/>
    </row>
    <row r="24" spans="1:15" s="75" customFormat="1" ht="15.6" x14ac:dyDescent="0.3">
      <c r="A24" s="78" t="str">
        <f>'Page de garde'!A32</f>
        <v xml:space="preserve"> </v>
      </c>
      <c r="B24" s="98"/>
      <c r="C24" s="78"/>
      <c r="D24" s="78"/>
      <c r="E24" s="80"/>
      <c r="F24" s="96" t="e">
        <f>HLOOKUP(A24,'pooled normalised values'!$B$74:$V$83,10,FALSE)</f>
        <v>#N/A</v>
      </c>
      <c r="G24" s="127" t="e">
        <f t="shared" si="4"/>
        <v>#N/A</v>
      </c>
      <c r="H24" s="118" t="str">
        <f>IF(VLOOKUP(A24,liste_groupe[],4,FALSE)="%",VLOOKUP(A24,liste_groupe[],3,FALSE)/100,IF(ISBLANK(VLOOKUP(A24,liste_groupe[],4,FALSE)),"Non","Non"))</f>
        <v>Non</v>
      </c>
      <c r="I24" s="127" t="e">
        <f t="shared" si="1"/>
        <v>#N/A</v>
      </c>
      <c r="J24" s="128">
        <v>64</v>
      </c>
      <c r="K24" s="129" t="e">
        <f t="shared" si="2"/>
        <v>#N/A</v>
      </c>
      <c r="L24" s="124"/>
      <c r="M24" s="130" t="e">
        <f t="shared" si="3"/>
        <v>#N/A</v>
      </c>
      <c r="N24" s="91" t="e">
        <f>IF(H24="Non",CONCATENATE(VLOOKUP(A24,liste_groupe[],5,FALSE),"-",VLOOKUP(A24,liste_groupe[],3,FALSE),VLOOKUP(A24,liste_groupe[],4,FALSE)," : ",ROUND(K24,0),"%"),CONCATENATE(VLOOKUP(A24,liste_groupe[],5,FALSE)," : ",ROUND(K24,0),"%"))</f>
        <v>#N/A</v>
      </c>
      <c r="O24" s="1"/>
    </row>
    <row r="25" spans="1:15" s="75" customFormat="1" ht="15.6" x14ac:dyDescent="0.3">
      <c r="A25" s="78" t="str">
        <f>'Page de garde'!A33</f>
        <v xml:space="preserve"> </v>
      </c>
      <c r="B25" s="98"/>
      <c r="C25" s="78"/>
      <c r="D25" s="78"/>
      <c r="E25" s="80"/>
      <c r="F25" s="96" t="e">
        <f>HLOOKUP(A25,'pooled normalised values'!$B$74:$V$83,10,FALSE)</f>
        <v>#N/A</v>
      </c>
      <c r="G25" s="127" t="e">
        <f t="shared" si="4"/>
        <v>#N/A</v>
      </c>
      <c r="H25" s="118" t="str">
        <f>IF(VLOOKUP(A25,liste_groupe[],4,FALSE)="%",VLOOKUP(A25,liste_groupe[],3,FALSE)/100,IF(ISBLANK(VLOOKUP(A25,liste_groupe[],4,FALSE)),"Non","Non"))</f>
        <v>Non</v>
      </c>
      <c r="I25" s="127" t="e">
        <f t="shared" si="1"/>
        <v>#N/A</v>
      </c>
      <c r="J25" s="128">
        <v>64</v>
      </c>
      <c r="K25" s="129" t="e">
        <f t="shared" si="2"/>
        <v>#N/A</v>
      </c>
      <c r="L25" s="124"/>
      <c r="M25" s="130" t="e">
        <f t="shared" si="3"/>
        <v>#N/A</v>
      </c>
      <c r="N25" s="91" t="e">
        <f>IF(H25="Non",CONCATENATE(VLOOKUP(A25,liste_groupe[],5,FALSE),"-",VLOOKUP(A25,liste_groupe[],3,FALSE),VLOOKUP(A25,liste_groupe[],4,FALSE)," : ",ROUND(K25,0),"%"),CONCATENATE(VLOOKUP(A25,liste_groupe[],5,FALSE)," : ",ROUND(K25,0),"%"))</f>
        <v>#N/A</v>
      </c>
      <c r="O25" s="1"/>
    </row>
    <row r="26" spans="1:15" s="75" customFormat="1" ht="15.6" x14ac:dyDescent="0.3">
      <c r="A26" s="78" t="str">
        <f>'Page de garde'!A34</f>
        <v xml:space="preserve"> </v>
      </c>
      <c r="B26" s="97"/>
      <c r="C26" s="84"/>
      <c r="D26" s="84"/>
      <c r="E26" s="80"/>
      <c r="F26" s="96" t="e">
        <f>HLOOKUP(A26,'pooled normalised values'!$B$74:$V$83,10,FALSE)</f>
        <v>#N/A</v>
      </c>
      <c r="G26" s="127" t="e">
        <f t="shared" ref="G26" si="5">IF(F26="NS","NC",ROUND(B26,2-(1+INT(LOG10(ABS(B26))))))</f>
        <v>#N/A</v>
      </c>
      <c r="H26" s="118" t="str">
        <f>IF(VLOOKUP(A26,liste_groupe[],4,FALSE)="%",VLOOKUP(A26,liste_groupe[],3,FALSE)/100,IF(ISBLANK(VLOOKUP(A26,liste_groupe[],4,FALSE)),"Non","Non"))</f>
        <v>Non</v>
      </c>
      <c r="I26" s="127" t="e">
        <f t="shared" si="1"/>
        <v>#N/A</v>
      </c>
      <c r="J26" s="128">
        <v>64</v>
      </c>
      <c r="K26" s="129" t="e">
        <f t="shared" si="2"/>
        <v>#N/A</v>
      </c>
      <c r="L26" s="124"/>
      <c r="M26" s="130" t="e">
        <f t="shared" si="3"/>
        <v>#N/A</v>
      </c>
      <c r="N26" s="91" t="e">
        <f>IF(H26="Non",CONCATENATE(VLOOKUP(A26,liste_groupe[],5,FALSE),"-",VLOOKUP(A26,liste_groupe[],3,FALSE),VLOOKUP(A26,liste_groupe[],4,FALSE)," : ",ROUND(K26,0),"%"),CONCATENATE(VLOOKUP(A26,liste_groupe[],5,FALSE)," : ",ROUND(K26,0),"%"))</f>
        <v>#N/A</v>
      </c>
      <c r="O26"/>
    </row>
    <row r="27" spans="1:15" s="75" customFormat="1" ht="15.6" x14ac:dyDescent="0.3">
      <c r="A27"/>
      <c r="B27"/>
      <c r="C27"/>
      <c r="D27"/>
      <c r="E27"/>
      <c r="F27"/>
      <c r="G27"/>
      <c r="H27"/>
      <c r="I27"/>
      <c r="J27"/>
      <c r="K27"/>
      <c r="L27"/>
      <c r="M27"/>
      <c r="N27"/>
      <c r="O27" s="1"/>
    </row>
    <row r="28" spans="1:15" s="75" customFormat="1" ht="31.8" thickBot="1" x14ac:dyDescent="0.35">
      <c r="A28"/>
      <c r="B28" s="86" t="s">
        <v>25</v>
      </c>
      <c r="C28" s="86" t="s">
        <v>26</v>
      </c>
      <c r="D28" s="86" t="s">
        <v>27</v>
      </c>
      <c r="E28" s="87" t="s">
        <v>64</v>
      </c>
      <c r="F28" s="125" t="s">
        <v>80</v>
      </c>
      <c r="G28" s="93" t="s">
        <v>42</v>
      </c>
      <c r="H28" s="93" t="s">
        <v>65</v>
      </c>
      <c r="I28" s="93" t="s">
        <v>66</v>
      </c>
      <c r="J28" s="94" t="s">
        <v>77</v>
      </c>
      <c r="K28" s="94" t="s">
        <v>67</v>
      </c>
      <c r="L28" s="95" t="s">
        <v>76</v>
      </c>
      <c r="M28" s="95" t="s">
        <v>68</v>
      </c>
      <c r="N28" s="95" t="s">
        <v>69</v>
      </c>
      <c r="O28" s="1"/>
    </row>
    <row r="29" spans="1:15" s="75" customFormat="1" ht="15.6" x14ac:dyDescent="0.3">
      <c r="A29" s="82" t="s">
        <v>29</v>
      </c>
      <c r="B29" s="98"/>
      <c r="C29" s="78"/>
      <c r="D29" s="78"/>
      <c r="E29" s="80"/>
      <c r="F29" s="89"/>
      <c r="G29" s="132"/>
      <c r="H29" s="119"/>
      <c r="I29" s="119"/>
      <c r="J29" s="120"/>
      <c r="K29" s="121"/>
      <c r="L29" s="123"/>
      <c r="M29" s="120"/>
      <c r="N29" s="90"/>
      <c r="O29"/>
    </row>
    <row r="30" spans="1:15" s="75" customFormat="1" ht="15.6" x14ac:dyDescent="0.3">
      <c r="A30" s="82" t="s">
        <v>31</v>
      </c>
      <c r="B30" s="98"/>
      <c r="C30" s="78"/>
      <c r="D30" s="78"/>
      <c r="E30" s="80"/>
      <c r="F30" s="89"/>
      <c r="G30" s="131" t="e">
        <f>IF(F30="NS","NC",ROUND(B30-$B$29,2-(1+INT(LOG10(ABS(B30-$B$29))))))</f>
        <v>#NUM!</v>
      </c>
      <c r="H30" s="119"/>
      <c r="I30" s="132"/>
      <c r="J30" s="133"/>
      <c r="K30" s="134"/>
      <c r="L30" s="133"/>
      <c r="M30" s="133"/>
      <c r="N30" s="135"/>
      <c r="O30"/>
    </row>
    <row r="31" spans="1:15" s="75" customFormat="1" ht="15.6" x14ac:dyDescent="0.3">
      <c r="A31" s="82" t="s">
        <v>30</v>
      </c>
      <c r="B31" s="98"/>
      <c r="C31" s="78"/>
      <c r="D31" s="78"/>
      <c r="E31" s="80"/>
      <c r="F31" s="89"/>
      <c r="G31" s="131" t="e">
        <f t="shared" ref="G31:G51" si="6">IF(F31="NS","NC",ROUND(B31-$B$29,2-(1+INT(LOG10(ABS(B31-$B$29))))))</f>
        <v>#NUM!</v>
      </c>
      <c r="H31" s="119"/>
      <c r="I31" s="132"/>
      <c r="J31" s="133"/>
      <c r="K31" s="134"/>
      <c r="L31" s="133"/>
      <c r="M31" s="133"/>
      <c r="N31" s="135"/>
    </row>
    <row r="32" spans="1:15" s="75" customFormat="1" ht="15.6" x14ac:dyDescent="0.3">
      <c r="A32" s="126" t="str">
        <f>'Page de garde'!A39</f>
        <v>Fadrozole-0.016µg/L + Testostérone</v>
      </c>
      <c r="B32" s="98"/>
      <c r="C32" s="78"/>
      <c r="D32" s="78"/>
      <c r="E32" s="80"/>
      <c r="F32" s="92" t="str">
        <f>HLOOKUP(A32,'pooled normalised values'!$B$74:$V$83,10,FALSE)</f>
        <v>ns</v>
      </c>
      <c r="G32" s="131" t="str">
        <f t="shared" si="6"/>
        <v>NC</v>
      </c>
      <c r="H32" s="122" t="str">
        <f>IF(VLOOKUP(A32,liste_groupe[],4,FALSE)="%",VLOOKUP(A32,liste_groupe[],3,FALSE)/100,IF(ISBLANK(VLOOKUP(A32,liste_groupe[],4,FALSE)),"Non","Non"))</f>
        <v>Non</v>
      </c>
      <c r="I32" s="131" t="str">
        <f>IF(F32="NS","NC",IF(H32="Non",G32,G32*(1/H32)))</f>
        <v>NC</v>
      </c>
      <c r="J32" s="136" t="e">
        <f>IF(G32&lt;0,$G$31,$G$30)</f>
        <v>#NUM!</v>
      </c>
      <c r="K32" s="137">
        <f>IF(F32="NS",0,IF(I32&lt;0,-ROUND(I32/J32*100,0),ROUND(I32/J32*100,0)))</f>
        <v>0</v>
      </c>
      <c r="L32" s="138">
        <v>1</v>
      </c>
      <c r="M32" s="130">
        <f>IF(I32&lt;0,IF(K32&lt;-100,-125,K32),IF(K32&gt;100,125,K32))</f>
        <v>0</v>
      </c>
      <c r="N32" s="139" t="str">
        <f>IF(H32="Non",CONCATENATE(VLOOKUP(A32,liste_groupe[],5,FALSE),"-",VLOOKUP(A32,liste_groupe[],3,FALSE),VLOOKUP(A32,liste_groupe[],4,FALSE)," : ",ROUND(K32,0),"%"),CONCATENATE(VLOOKUP(A32,liste_groupe[],5,FALSE)," : ",ROUND(K32,0),"%"))</f>
        <v>Fadrozole-0.016µg/L : 0%</v>
      </c>
    </row>
    <row r="33" spans="1:14" s="75" customFormat="1" ht="15.6" x14ac:dyDescent="0.3">
      <c r="A33" s="126" t="str">
        <f>'Page de garde'!A40</f>
        <v>Fadrozole-0.08µg/L + Testostérone</v>
      </c>
      <c r="B33" s="97"/>
      <c r="C33" s="85"/>
      <c r="D33" s="85"/>
      <c r="E33" s="80"/>
      <c r="F33" s="92" t="str">
        <f>HLOOKUP(A33,'pooled normalised values'!$B$74:$V$83,10,FALSE)</f>
        <v>ns</v>
      </c>
      <c r="G33" s="131" t="str">
        <f>IF(F33="NS","NC",ROUND(B33-$B$29,2-(1+INT(LOG10(ABS(B33-$B$29))))))</f>
        <v>NC</v>
      </c>
      <c r="H33" s="122" t="str">
        <f>IF(VLOOKUP(A33,liste_groupe[],4,FALSE)="%",VLOOKUP(A33,liste_groupe[],3,FALSE)/100,IF(ISBLANK(VLOOKUP(A33,liste_groupe[],4,FALSE)),"Non","Non"))</f>
        <v>Non</v>
      </c>
      <c r="I33" s="131" t="str">
        <f t="shared" ref="I33:I51" si="7">IF(F33="NS","NC",IF(H33="Non",G33,G33*(1/H33)))</f>
        <v>NC</v>
      </c>
      <c r="J33" s="136" t="e">
        <f t="shared" ref="J33:J51" si="8">IF(G33&lt;0,$G$31,$G$30)</f>
        <v>#NUM!</v>
      </c>
      <c r="K33" s="137">
        <f t="shared" ref="K33:K51" si="9">IF(F33="NS",0,IF(I33&lt;0,-ROUND(I33/J33*100,0),ROUND(I33/J33*100,0)))</f>
        <v>0</v>
      </c>
      <c r="L33" s="138"/>
      <c r="M33" s="130">
        <f t="shared" ref="M33:M51" si="10">IF(I33&lt;0,IF(K33&lt;-100,-125,K33),IF(K33&gt;100,125,K33))</f>
        <v>0</v>
      </c>
      <c r="N33" s="139" t="str">
        <f>IF(H33="Non",CONCATENATE(VLOOKUP(A33,liste_groupe[],5,FALSE),"-",VLOOKUP(A33,liste_groupe[],3,FALSE),VLOOKUP(A33,liste_groupe[],4,FALSE)," : ",ROUND(K33,0),"%"),CONCATENATE(VLOOKUP(A33,liste_groupe[],5,FALSE)," : ",ROUND(K33,0),"%"))</f>
        <v>Fadrozole-0.08µg/L : 0%</v>
      </c>
    </row>
    <row r="34" spans="1:14" s="75" customFormat="1" ht="15.6" x14ac:dyDescent="0.3">
      <c r="A34" s="126" t="str">
        <f>'Page de garde'!A41</f>
        <v>Fadrozole-0.4µg/L + Testostérone</v>
      </c>
      <c r="B34" s="98"/>
      <c r="C34" s="78"/>
      <c r="D34" s="78"/>
      <c r="E34" s="80"/>
      <c r="F34" s="92" t="str">
        <f>HLOOKUP(A34,'pooled normalised values'!$B$74:$V$83,10,FALSE)</f>
        <v>ns</v>
      </c>
      <c r="G34" s="131" t="str">
        <f t="shared" si="6"/>
        <v>NC</v>
      </c>
      <c r="H34" s="122" t="str">
        <f>IF(VLOOKUP(A34,liste_groupe[],4,FALSE)="%",VLOOKUP(A34,liste_groupe[],3,FALSE)/100,IF(ISBLANK(VLOOKUP(A34,liste_groupe[],4,FALSE)),"Non","Non"))</f>
        <v>Non</v>
      </c>
      <c r="I34" s="131" t="str">
        <f t="shared" si="7"/>
        <v>NC</v>
      </c>
      <c r="J34" s="136" t="e">
        <f t="shared" si="8"/>
        <v>#NUM!</v>
      </c>
      <c r="K34" s="137">
        <f t="shared" si="9"/>
        <v>0</v>
      </c>
      <c r="L34" s="138"/>
      <c r="M34" s="130">
        <f t="shared" si="10"/>
        <v>0</v>
      </c>
      <c r="N34" s="139" t="str">
        <f>IF(H34="Non",CONCATENATE(VLOOKUP(A34,liste_groupe[],5,FALSE),"-",VLOOKUP(A34,liste_groupe[],3,FALSE),VLOOKUP(A34,liste_groupe[],4,FALSE)," : ",ROUND(K34,0),"%"),CONCATENATE(VLOOKUP(A34,liste_groupe[],5,FALSE)," : ",ROUND(K34,0),"%"))</f>
        <v>Fadrozole-0.4µg/L : 0%</v>
      </c>
    </row>
    <row r="35" spans="1:14" s="75" customFormat="1" ht="15.6" x14ac:dyDescent="0.3">
      <c r="A35" s="126" t="str">
        <f>'Page de garde'!A42</f>
        <v>Fadrozole-2µg/L + Testostérone</v>
      </c>
      <c r="B35" s="97"/>
      <c r="C35" s="85"/>
      <c r="D35" s="85"/>
      <c r="E35" s="80"/>
      <c r="F35" s="92" t="str">
        <f>HLOOKUP(A35,'pooled normalised values'!$B$74:$V$83,10,FALSE)</f>
        <v>ns</v>
      </c>
      <c r="G35" s="131" t="str">
        <f t="shared" si="6"/>
        <v>NC</v>
      </c>
      <c r="H35" s="122" t="str">
        <f>IF(VLOOKUP(A35,liste_groupe[],4,FALSE)="%",VLOOKUP(A35,liste_groupe[],3,FALSE)/100,IF(ISBLANK(VLOOKUP(A35,liste_groupe[],4,FALSE)),"Non","Non"))</f>
        <v>Non</v>
      </c>
      <c r="I35" s="131" t="str">
        <f t="shared" si="7"/>
        <v>NC</v>
      </c>
      <c r="J35" s="136" t="e">
        <f t="shared" si="8"/>
        <v>#NUM!</v>
      </c>
      <c r="K35" s="137">
        <f t="shared" si="9"/>
        <v>0</v>
      </c>
      <c r="L35" s="138"/>
      <c r="M35" s="130">
        <f t="shared" si="10"/>
        <v>0</v>
      </c>
      <c r="N35" s="139" t="str">
        <f>IF(H35="Non",CONCATENATE(VLOOKUP(A35,liste_groupe[],5,FALSE),"-",VLOOKUP(A35,liste_groupe[],3,FALSE),VLOOKUP(A35,liste_groupe[],4,FALSE)," : ",ROUND(K35,0),"%"),CONCATENATE(VLOOKUP(A35,liste_groupe[],5,FALSE)," : ",ROUND(K35,0),"%"))</f>
        <v>Fadrozole-2µg/L : 0%</v>
      </c>
    </row>
    <row r="36" spans="1:14" s="75" customFormat="1" ht="15.6" x14ac:dyDescent="0.3">
      <c r="A36" s="126" t="str">
        <f>'Page de garde'!A43</f>
        <v>Fadrozole-10 µg/L + Testostérone</v>
      </c>
      <c r="B36" s="97"/>
      <c r="C36" s="85"/>
      <c r="D36" s="85"/>
      <c r="E36" s="80"/>
      <c r="F36" s="92" t="str">
        <f>HLOOKUP(A36,'pooled normalised values'!$B$74:$V$83,10,FALSE)</f>
        <v>**</v>
      </c>
      <c r="G36" s="131" t="e">
        <f t="shared" si="6"/>
        <v>#NUM!</v>
      </c>
      <c r="H36" s="122" t="str">
        <f>IF(VLOOKUP(A36,liste_groupe[],4,FALSE)="%",VLOOKUP(A36,liste_groupe[],3,FALSE)/100,IF(ISBLANK(VLOOKUP(A36,liste_groupe[],4,FALSE)),"Non","Non"))</f>
        <v>Non</v>
      </c>
      <c r="I36" s="131" t="e">
        <f t="shared" si="7"/>
        <v>#NUM!</v>
      </c>
      <c r="J36" s="136" t="e">
        <f t="shared" si="8"/>
        <v>#NUM!</v>
      </c>
      <c r="K36" s="137" t="e">
        <f t="shared" si="9"/>
        <v>#NUM!</v>
      </c>
      <c r="L36" s="138"/>
      <c r="M36" s="130" t="e">
        <f t="shared" si="10"/>
        <v>#NUM!</v>
      </c>
      <c r="N36" s="139" t="e">
        <f>IF(H36="Non",CONCATENATE(VLOOKUP(A36,liste_groupe[],5,FALSE),"-",VLOOKUP(A36,liste_groupe[],3,FALSE),VLOOKUP(A36,liste_groupe[],4,FALSE)," : ",ROUND(K36,0),"%"),CONCATENATE(VLOOKUP(A36,liste_groupe[],5,FALSE)," : ",ROUND(K36,0),"%"))</f>
        <v>#NUM!</v>
      </c>
    </row>
    <row r="37" spans="1:14" s="75" customFormat="1" ht="15.6" x14ac:dyDescent="0.3">
      <c r="A37" s="126" t="str">
        <f>'Page de garde'!A44</f>
        <v>0-00 + Testostérone</v>
      </c>
      <c r="B37" s="97"/>
      <c r="C37" s="85"/>
      <c r="D37" s="85"/>
      <c r="E37" s="80"/>
      <c r="F37" s="92" t="e">
        <f>HLOOKUP(A37,'pooled normalised values'!$B$74:$V$83,10,FALSE)</f>
        <v>#N/A</v>
      </c>
      <c r="G37" s="131" t="e">
        <f t="shared" si="6"/>
        <v>#N/A</v>
      </c>
      <c r="H37" s="122" t="str">
        <f>IF(VLOOKUP(A37,liste_groupe[],4,FALSE)="%",VLOOKUP(A37,liste_groupe[],3,FALSE)/100,IF(ISBLANK(VLOOKUP(A37,liste_groupe[],4,FALSE)),"Non","Non"))</f>
        <v>Non</v>
      </c>
      <c r="I37" s="131" t="e">
        <f t="shared" si="7"/>
        <v>#N/A</v>
      </c>
      <c r="J37" s="136" t="e">
        <f t="shared" si="8"/>
        <v>#N/A</v>
      </c>
      <c r="K37" s="137" t="e">
        <f t="shared" si="9"/>
        <v>#N/A</v>
      </c>
      <c r="L37" s="138"/>
      <c r="M37" s="130" t="e">
        <f t="shared" si="10"/>
        <v>#N/A</v>
      </c>
      <c r="N37" s="139" t="e">
        <f>IF(H37="Non",CONCATENATE(VLOOKUP(A37,liste_groupe[],5,FALSE),"-",VLOOKUP(A37,liste_groupe[],3,FALSE),VLOOKUP(A37,liste_groupe[],4,FALSE)," : ",ROUND(K37,0),"%"),CONCATENATE(VLOOKUP(A37,liste_groupe[],5,FALSE)," : ",ROUND(K37,0),"%"))</f>
        <v>#N/A</v>
      </c>
    </row>
    <row r="38" spans="1:14" s="75" customFormat="1" ht="15.6" x14ac:dyDescent="0.3">
      <c r="A38" s="126" t="str">
        <f>'Page de garde'!A45</f>
        <v>0-00 + Testostérone</v>
      </c>
      <c r="B38" s="97"/>
      <c r="C38" s="85"/>
      <c r="D38" s="85"/>
      <c r="E38" s="80"/>
      <c r="F38" s="92" t="e">
        <f>HLOOKUP(A38,'pooled normalised values'!$B$74:$V$83,10,FALSE)</f>
        <v>#N/A</v>
      </c>
      <c r="G38" s="131" t="e">
        <f t="shared" si="6"/>
        <v>#N/A</v>
      </c>
      <c r="H38" s="122" t="str">
        <f>IF(VLOOKUP(A38,liste_groupe[],4,FALSE)="%",VLOOKUP(A38,liste_groupe[],3,FALSE)/100,IF(ISBLANK(VLOOKUP(A38,liste_groupe[],4,FALSE)),"Non","Non"))</f>
        <v>Non</v>
      </c>
      <c r="I38" s="131" t="e">
        <f t="shared" si="7"/>
        <v>#N/A</v>
      </c>
      <c r="J38" s="136" t="e">
        <f t="shared" si="8"/>
        <v>#N/A</v>
      </c>
      <c r="K38" s="137" t="e">
        <f t="shared" si="9"/>
        <v>#N/A</v>
      </c>
      <c r="L38" s="138"/>
      <c r="M38" s="130" t="e">
        <f t="shared" si="10"/>
        <v>#N/A</v>
      </c>
      <c r="N38" s="139" t="e">
        <f>IF(H38="Non",CONCATENATE(VLOOKUP(A38,liste_groupe[],5,FALSE),"-",VLOOKUP(A38,liste_groupe[],3,FALSE),VLOOKUP(A38,liste_groupe[],4,FALSE)," : ",ROUND(K38,0),"%"),CONCATENATE(VLOOKUP(A38,liste_groupe[],5,FALSE)," : ",ROUND(K38,0),"%"))</f>
        <v>#N/A</v>
      </c>
    </row>
    <row r="39" spans="1:14" s="75" customFormat="1" ht="15.6" x14ac:dyDescent="0.3">
      <c r="A39" s="126" t="str">
        <f>'Page de garde'!A46</f>
        <v>0-00 + Testostérone</v>
      </c>
      <c r="B39" s="97"/>
      <c r="C39" s="85"/>
      <c r="D39" s="85"/>
      <c r="E39" s="80"/>
      <c r="F39" s="92" t="e">
        <f>HLOOKUP(A39,'pooled normalised values'!$B$74:$V$83,10,FALSE)</f>
        <v>#N/A</v>
      </c>
      <c r="G39" s="131" t="e">
        <f t="shared" ref="G39:G50" si="11">IF(F39="NS","NC",ROUND(B39-$B$29,2-(1+INT(LOG10(ABS(B39-$B$29))))))</f>
        <v>#N/A</v>
      </c>
      <c r="H39" s="122" t="str">
        <f>IF(VLOOKUP(A39,liste_groupe[],4,FALSE)="%",VLOOKUP(A39,liste_groupe[],3,FALSE)/100,IF(ISBLANK(VLOOKUP(A39,liste_groupe[],4,FALSE)),"Non","Non"))</f>
        <v>Non</v>
      </c>
      <c r="I39" s="131" t="e">
        <f t="shared" si="7"/>
        <v>#N/A</v>
      </c>
      <c r="J39" s="136" t="e">
        <f t="shared" ref="J39:J50" si="12">IF(G39&lt;0,$G$31,$G$30)</f>
        <v>#N/A</v>
      </c>
      <c r="K39" s="137" t="e">
        <f t="shared" si="9"/>
        <v>#N/A</v>
      </c>
      <c r="L39" s="138"/>
      <c r="M39" s="130" t="e">
        <f t="shared" si="10"/>
        <v>#N/A</v>
      </c>
      <c r="N39" s="139" t="e">
        <f>IF(H39="Non",CONCATENATE(VLOOKUP(A39,liste_groupe[],5,FALSE),"-",VLOOKUP(A39,liste_groupe[],3,FALSE),VLOOKUP(A39,liste_groupe[],4,FALSE)," : ",ROUND(K39,0),"%"),CONCATENATE(VLOOKUP(A39,liste_groupe[],5,FALSE)," : ",ROUND(K39,0),"%"))</f>
        <v>#N/A</v>
      </c>
    </row>
    <row r="40" spans="1:14" s="75" customFormat="1" ht="15.6" x14ac:dyDescent="0.3">
      <c r="A40" s="126" t="str">
        <f>'Page de garde'!A47</f>
        <v>0-00 + Testostérone</v>
      </c>
      <c r="B40" s="97"/>
      <c r="C40" s="85"/>
      <c r="D40" s="85"/>
      <c r="E40" s="80"/>
      <c r="F40" s="92" t="e">
        <f>HLOOKUP(A40,'pooled normalised values'!$B$74:$V$83,10,FALSE)</f>
        <v>#N/A</v>
      </c>
      <c r="G40" s="131" t="e">
        <f t="shared" si="11"/>
        <v>#N/A</v>
      </c>
      <c r="H40" s="122" t="str">
        <f>IF(VLOOKUP(A40,liste_groupe[],4,FALSE)="%",VLOOKUP(A40,liste_groupe[],3,FALSE)/100,IF(ISBLANK(VLOOKUP(A40,liste_groupe[],4,FALSE)),"Non","Non"))</f>
        <v>Non</v>
      </c>
      <c r="I40" s="131" t="e">
        <f t="shared" si="7"/>
        <v>#N/A</v>
      </c>
      <c r="J40" s="136" t="e">
        <f t="shared" si="12"/>
        <v>#N/A</v>
      </c>
      <c r="K40" s="137" t="e">
        <f t="shared" si="9"/>
        <v>#N/A</v>
      </c>
      <c r="L40" s="138"/>
      <c r="M40" s="130" t="e">
        <f t="shared" si="10"/>
        <v>#N/A</v>
      </c>
      <c r="N40" s="139" t="e">
        <f>IF(H40="Non",CONCATENATE(VLOOKUP(A40,liste_groupe[],5,FALSE),"-",VLOOKUP(A40,liste_groupe[],3,FALSE),VLOOKUP(A40,liste_groupe[],4,FALSE)," : ",ROUND(K40,0),"%"),CONCATENATE(VLOOKUP(A40,liste_groupe[],5,FALSE)," : ",ROUND(K40,0),"%"))</f>
        <v>#N/A</v>
      </c>
    </row>
    <row r="41" spans="1:14" s="75" customFormat="1" ht="15.6" x14ac:dyDescent="0.3">
      <c r="A41" s="126" t="str">
        <f>'Page de garde'!A48</f>
        <v>0-00 + Testostérone</v>
      </c>
      <c r="B41" s="97"/>
      <c r="C41" s="85"/>
      <c r="D41" s="85"/>
      <c r="E41" s="80"/>
      <c r="F41" s="92" t="e">
        <f>HLOOKUP(A41,'pooled normalised values'!$B$74:$V$83,10,FALSE)</f>
        <v>#N/A</v>
      </c>
      <c r="G41" s="131" t="e">
        <f t="shared" si="11"/>
        <v>#N/A</v>
      </c>
      <c r="H41" s="122" t="str">
        <f>IF(VLOOKUP(A41,liste_groupe[],4,FALSE)="%",VLOOKUP(A41,liste_groupe[],3,FALSE)/100,IF(ISBLANK(VLOOKUP(A41,liste_groupe[],4,FALSE)),"Non","Non"))</f>
        <v>Non</v>
      </c>
      <c r="I41" s="131" t="e">
        <f t="shared" si="7"/>
        <v>#N/A</v>
      </c>
      <c r="J41" s="136" t="e">
        <f t="shared" si="12"/>
        <v>#N/A</v>
      </c>
      <c r="K41" s="137" t="e">
        <f t="shared" si="9"/>
        <v>#N/A</v>
      </c>
      <c r="L41" s="138"/>
      <c r="M41" s="130" t="e">
        <f t="shared" si="10"/>
        <v>#N/A</v>
      </c>
      <c r="N41" s="139" t="e">
        <f>IF(H41="Non",CONCATENATE(VLOOKUP(A41,liste_groupe[],5,FALSE),"-",VLOOKUP(A41,liste_groupe[],3,FALSE),VLOOKUP(A41,liste_groupe[],4,FALSE)," : ",ROUND(K41,0),"%"),CONCATENATE(VLOOKUP(A41,liste_groupe[],5,FALSE)," : ",ROUND(K41,0),"%"))</f>
        <v>#N/A</v>
      </c>
    </row>
    <row r="42" spans="1:14" s="75" customFormat="1" ht="15.6" x14ac:dyDescent="0.3">
      <c r="A42" s="126" t="str">
        <f>'Page de garde'!A49</f>
        <v>0-00 + Testostérone</v>
      </c>
      <c r="B42" s="97"/>
      <c r="C42" s="85"/>
      <c r="D42" s="85"/>
      <c r="E42" s="80"/>
      <c r="F42" s="92" t="e">
        <f>HLOOKUP(A42,'pooled normalised values'!$B$74:$V$83,10,FALSE)</f>
        <v>#N/A</v>
      </c>
      <c r="G42" s="131" t="e">
        <f t="shared" si="11"/>
        <v>#N/A</v>
      </c>
      <c r="H42" s="122" t="str">
        <f>IF(VLOOKUP(A42,liste_groupe[],4,FALSE)="%",VLOOKUP(A42,liste_groupe[],3,FALSE)/100,IF(ISBLANK(VLOOKUP(A42,liste_groupe[],4,FALSE)),"Non","Non"))</f>
        <v>Non</v>
      </c>
      <c r="I42" s="131" t="e">
        <f t="shared" si="7"/>
        <v>#N/A</v>
      </c>
      <c r="J42" s="136" t="e">
        <f t="shared" si="12"/>
        <v>#N/A</v>
      </c>
      <c r="K42" s="137" t="e">
        <f t="shared" si="9"/>
        <v>#N/A</v>
      </c>
      <c r="L42" s="138"/>
      <c r="M42" s="130" t="e">
        <f t="shared" si="10"/>
        <v>#N/A</v>
      </c>
      <c r="N42" s="139" t="e">
        <f>IF(H42="Non",CONCATENATE(VLOOKUP(A42,liste_groupe[],5,FALSE),"-",VLOOKUP(A42,liste_groupe[],3,FALSE),VLOOKUP(A42,liste_groupe[],4,FALSE)," : ",ROUND(K42,0),"%"),CONCATENATE(VLOOKUP(A42,liste_groupe[],5,FALSE)," : ",ROUND(K42,0),"%"))</f>
        <v>#N/A</v>
      </c>
    </row>
    <row r="43" spans="1:14" s="75" customFormat="1" ht="15.6" x14ac:dyDescent="0.3">
      <c r="A43" s="126" t="str">
        <f>'Page de garde'!A50</f>
        <v>0-00 + Testostérone</v>
      </c>
      <c r="B43" s="97"/>
      <c r="C43" s="85"/>
      <c r="D43" s="85"/>
      <c r="E43" s="80"/>
      <c r="F43" s="92" t="e">
        <f>HLOOKUP(A43,'pooled normalised values'!$B$74:$V$83,10,FALSE)</f>
        <v>#N/A</v>
      </c>
      <c r="G43" s="131" t="e">
        <f t="shared" si="11"/>
        <v>#N/A</v>
      </c>
      <c r="H43" s="122" t="str">
        <f>IF(VLOOKUP(A43,liste_groupe[],4,FALSE)="%",VLOOKUP(A43,liste_groupe[],3,FALSE)/100,IF(ISBLANK(VLOOKUP(A43,liste_groupe[],4,FALSE)),"Non","Non"))</f>
        <v>Non</v>
      </c>
      <c r="I43" s="131" t="e">
        <f t="shared" si="7"/>
        <v>#N/A</v>
      </c>
      <c r="J43" s="136" t="e">
        <f t="shared" si="12"/>
        <v>#N/A</v>
      </c>
      <c r="K43" s="137" t="e">
        <f t="shared" si="9"/>
        <v>#N/A</v>
      </c>
      <c r="L43" s="138"/>
      <c r="M43" s="130" t="e">
        <f t="shared" si="10"/>
        <v>#N/A</v>
      </c>
      <c r="N43" s="139" t="e">
        <f>IF(H43="Non",CONCATENATE(VLOOKUP(A43,liste_groupe[],5,FALSE),"-",VLOOKUP(A43,liste_groupe[],3,FALSE),VLOOKUP(A43,liste_groupe[],4,FALSE)," : ",ROUND(K43,0),"%"),CONCATENATE(VLOOKUP(A43,liste_groupe[],5,FALSE)," : ",ROUND(K43,0),"%"))</f>
        <v>#N/A</v>
      </c>
    </row>
    <row r="44" spans="1:14" s="75" customFormat="1" ht="15.6" x14ac:dyDescent="0.3">
      <c r="A44" s="126" t="str">
        <f>'Page de garde'!A51</f>
        <v>0-00 + Testostérone</v>
      </c>
      <c r="B44" s="97"/>
      <c r="C44" s="85"/>
      <c r="D44" s="85"/>
      <c r="E44" s="80"/>
      <c r="F44" s="92" t="e">
        <f>HLOOKUP(A44,'pooled normalised values'!$B$74:$V$83,10,FALSE)</f>
        <v>#N/A</v>
      </c>
      <c r="G44" s="131" t="e">
        <f t="shared" si="11"/>
        <v>#N/A</v>
      </c>
      <c r="H44" s="122" t="str">
        <f>IF(VLOOKUP(A44,liste_groupe[],4,FALSE)="%",VLOOKUP(A44,liste_groupe[],3,FALSE)/100,IF(ISBLANK(VLOOKUP(A44,liste_groupe[],4,FALSE)),"Non","Non"))</f>
        <v>Non</v>
      </c>
      <c r="I44" s="131" t="e">
        <f t="shared" si="7"/>
        <v>#N/A</v>
      </c>
      <c r="J44" s="136" t="e">
        <f t="shared" si="12"/>
        <v>#N/A</v>
      </c>
      <c r="K44" s="137" t="e">
        <f t="shared" si="9"/>
        <v>#N/A</v>
      </c>
      <c r="L44" s="138"/>
      <c r="M44" s="130" t="e">
        <f t="shared" si="10"/>
        <v>#N/A</v>
      </c>
      <c r="N44" s="139" t="e">
        <f>IF(H44="Non",CONCATENATE(VLOOKUP(A44,liste_groupe[],5,FALSE),"-",VLOOKUP(A44,liste_groupe[],3,FALSE),VLOOKUP(A44,liste_groupe[],4,FALSE)," : ",ROUND(K44,0),"%"),CONCATENATE(VLOOKUP(A44,liste_groupe[],5,FALSE)," : ",ROUND(K44,0),"%"))</f>
        <v>#N/A</v>
      </c>
    </row>
    <row r="45" spans="1:14" s="75" customFormat="1" ht="15.6" x14ac:dyDescent="0.3">
      <c r="A45" s="126" t="str">
        <f>'Page de garde'!A52</f>
        <v>0-00 + Testostérone</v>
      </c>
      <c r="B45" s="97"/>
      <c r="C45" s="85"/>
      <c r="D45" s="85"/>
      <c r="E45" s="80"/>
      <c r="F45" s="92" t="e">
        <f>HLOOKUP(A45,'pooled normalised values'!$B$74:$V$83,10,FALSE)</f>
        <v>#N/A</v>
      </c>
      <c r="G45" s="131" t="e">
        <f t="shared" si="11"/>
        <v>#N/A</v>
      </c>
      <c r="H45" s="122" t="str">
        <f>IF(VLOOKUP(A45,liste_groupe[],4,FALSE)="%",VLOOKUP(A45,liste_groupe[],3,FALSE)/100,IF(ISBLANK(VLOOKUP(A45,liste_groupe[],4,FALSE)),"Non","Non"))</f>
        <v>Non</v>
      </c>
      <c r="I45" s="131" t="e">
        <f t="shared" si="7"/>
        <v>#N/A</v>
      </c>
      <c r="J45" s="136" t="e">
        <f t="shared" si="12"/>
        <v>#N/A</v>
      </c>
      <c r="K45" s="137" t="e">
        <f t="shared" si="9"/>
        <v>#N/A</v>
      </c>
      <c r="L45" s="138"/>
      <c r="M45" s="130" t="e">
        <f t="shared" si="10"/>
        <v>#N/A</v>
      </c>
      <c r="N45" s="139" t="e">
        <f>IF(H45="Non",CONCATENATE(VLOOKUP(A45,liste_groupe[],5,FALSE),"-",VLOOKUP(A45,liste_groupe[],3,FALSE),VLOOKUP(A45,liste_groupe[],4,FALSE)," : ",ROUND(K45,0),"%"),CONCATENATE(VLOOKUP(A45,liste_groupe[],5,FALSE)," : ",ROUND(K45,0),"%"))</f>
        <v>#N/A</v>
      </c>
    </row>
    <row r="46" spans="1:14" s="75" customFormat="1" ht="15.6" x14ac:dyDescent="0.3">
      <c r="A46" s="126" t="str">
        <f>'Page de garde'!A53</f>
        <v>0-00 + Testostérone</v>
      </c>
      <c r="B46" s="97"/>
      <c r="C46" s="85"/>
      <c r="D46" s="85"/>
      <c r="E46" s="80"/>
      <c r="F46" s="92" t="e">
        <f>HLOOKUP(A46,'pooled normalised values'!$B$74:$V$83,10,FALSE)</f>
        <v>#N/A</v>
      </c>
      <c r="G46" s="131" t="e">
        <f t="shared" si="11"/>
        <v>#N/A</v>
      </c>
      <c r="H46" s="122" t="str">
        <f>IF(VLOOKUP(A46,liste_groupe[],4,FALSE)="%",VLOOKUP(A46,liste_groupe[],3,FALSE)/100,IF(ISBLANK(VLOOKUP(A46,liste_groupe[],4,FALSE)),"Non","Non"))</f>
        <v>Non</v>
      </c>
      <c r="I46" s="131" t="e">
        <f t="shared" si="7"/>
        <v>#N/A</v>
      </c>
      <c r="J46" s="136" t="e">
        <f t="shared" si="12"/>
        <v>#N/A</v>
      </c>
      <c r="K46" s="137" t="e">
        <f t="shared" si="9"/>
        <v>#N/A</v>
      </c>
      <c r="L46" s="138"/>
      <c r="M46" s="130" t="e">
        <f t="shared" si="10"/>
        <v>#N/A</v>
      </c>
      <c r="N46" s="139" t="e">
        <f>IF(H46="Non",CONCATENATE(VLOOKUP(A46,liste_groupe[],5,FALSE),"-",VLOOKUP(A46,liste_groupe[],3,FALSE),VLOOKUP(A46,liste_groupe[],4,FALSE)," : ",ROUND(K46,0),"%"),CONCATENATE(VLOOKUP(A46,liste_groupe[],5,FALSE)," : ",ROUND(K46,0),"%"))</f>
        <v>#N/A</v>
      </c>
    </row>
    <row r="47" spans="1:14" s="75" customFormat="1" ht="15.6" x14ac:dyDescent="0.3">
      <c r="A47" s="126" t="str">
        <f>'Page de garde'!A54</f>
        <v>0-00 + Testostérone</v>
      </c>
      <c r="B47" s="97"/>
      <c r="C47" s="85"/>
      <c r="D47" s="85"/>
      <c r="E47" s="80"/>
      <c r="F47" s="92" t="e">
        <f>HLOOKUP(A47,'pooled normalised values'!$B$74:$V$83,10,FALSE)</f>
        <v>#N/A</v>
      </c>
      <c r="G47" s="131" t="e">
        <f t="shared" si="11"/>
        <v>#N/A</v>
      </c>
      <c r="H47" s="122" t="str">
        <f>IF(VLOOKUP(A47,liste_groupe[],4,FALSE)="%",VLOOKUP(A47,liste_groupe[],3,FALSE)/100,IF(ISBLANK(VLOOKUP(A47,liste_groupe[],4,FALSE)),"Non","Non"))</f>
        <v>Non</v>
      </c>
      <c r="I47" s="131" t="e">
        <f t="shared" si="7"/>
        <v>#N/A</v>
      </c>
      <c r="J47" s="136" t="e">
        <f t="shared" si="12"/>
        <v>#N/A</v>
      </c>
      <c r="K47" s="137" t="e">
        <f t="shared" si="9"/>
        <v>#N/A</v>
      </c>
      <c r="L47" s="138"/>
      <c r="M47" s="130" t="e">
        <f t="shared" si="10"/>
        <v>#N/A</v>
      </c>
      <c r="N47" s="139" t="e">
        <f>IF(H47="Non",CONCATENATE(VLOOKUP(A47,liste_groupe[],5,FALSE),"-",VLOOKUP(A47,liste_groupe[],3,FALSE),VLOOKUP(A47,liste_groupe[],4,FALSE)," : ",ROUND(K47,0),"%"),CONCATENATE(VLOOKUP(A47,liste_groupe[],5,FALSE)," : ",ROUND(K47,0),"%"))</f>
        <v>#N/A</v>
      </c>
    </row>
    <row r="48" spans="1:14" s="75" customFormat="1" ht="15.6" x14ac:dyDescent="0.3">
      <c r="A48" s="126" t="str">
        <f>'Page de garde'!A55</f>
        <v>0-00 + Testostérone</v>
      </c>
      <c r="B48" s="97"/>
      <c r="C48" s="85"/>
      <c r="D48" s="85"/>
      <c r="E48" s="80"/>
      <c r="F48" s="92" t="e">
        <f>HLOOKUP(A48,'pooled normalised values'!$B$74:$V$83,10,FALSE)</f>
        <v>#N/A</v>
      </c>
      <c r="G48" s="131" t="e">
        <f t="shared" si="11"/>
        <v>#N/A</v>
      </c>
      <c r="H48" s="122" t="str">
        <f>IF(VLOOKUP(A48,liste_groupe[],4,FALSE)="%",VLOOKUP(A48,liste_groupe[],3,FALSE)/100,IF(ISBLANK(VLOOKUP(A48,liste_groupe[],4,FALSE)),"Non","Non"))</f>
        <v>Non</v>
      </c>
      <c r="I48" s="131" t="e">
        <f t="shared" si="7"/>
        <v>#N/A</v>
      </c>
      <c r="J48" s="136" t="e">
        <f t="shared" si="12"/>
        <v>#N/A</v>
      </c>
      <c r="K48" s="137" t="e">
        <f t="shared" si="9"/>
        <v>#N/A</v>
      </c>
      <c r="L48" s="138"/>
      <c r="M48" s="130" t="e">
        <f t="shared" si="10"/>
        <v>#N/A</v>
      </c>
      <c r="N48" s="139" t="e">
        <f>IF(H48="Non",CONCATENATE(VLOOKUP(A48,liste_groupe[],5,FALSE),"-",VLOOKUP(A48,liste_groupe[],3,FALSE),VLOOKUP(A48,liste_groupe[],4,FALSE)," : ",ROUND(K48,0),"%"),CONCATENATE(VLOOKUP(A48,liste_groupe[],5,FALSE)," : ",ROUND(K48,0),"%"))</f>
        <v>#N/A</v>
      </c>
    </row>
    <row r="49" spans="1:15" s="75" customFormat="1" ht="15.6" x14ac:dyDescent="0.3">
      <c r="A49" s="126" t="str">
        <f>'Page de garde'!A56</f>
        <v>0-00 + Testostérone</v>
      </c>
      <c r="B49" s="97"/>
      <c r="C49" s="85"/>
      <c r="D49" s="85"/>
      <c r="E49" s="80"/>
      <c r="F49" s="92" t="e">
        <f>HLOOKUP(A49,'pooled normalised values'!$B$74:$V$83,10,FALSE)</f>
        <v>#N/A</v>
      </c>
      <c r="G49" s="131" t="e">
        <f t="shared" si="11"/>
        <v>#N/A</v>
      </c>
      <c r="H49" s="122" t="str">
        <f>IF(VLOOKUP(A49,liste_groupe[],4,FALSE)="%",VLOOKUP(A49,liste_groupe[],3,FALSE)/100,IF(ISBLANK(VLOOKUP(A49,liste_groupe[],4,FALSE)),"Non","Non"))</f>
        <v>Non</v>
      </c>
      <c r="I49" s="131" t="e">
        <f t="shared" si="7"/>
        <v>#N/A</v>
      </c>
      <c r="J49" s="136" t="e">
        <f t="shared" si="12"/>
        <v>#N/A</v>
      </c>
      <c r="K49" s="137" t="e">
        <f t="shared" si="9"/>
        <v>#N/A</v>
      </c>
      <c r="L49" s="138"/>
      <c r="M49" s="130" t="e">
        <f t="shared" si="10"/>
        <v>#N/A</v>
      </c>
      <c r="N49" s="139" t="e">
        <f>IF(H49="Non",CONCATENATE(VLOOKUP(A49,liste_groupe[],5,FALSE),"-",VLOOKUP(A49,liste_groupe[],3,FALSE),VLOOKUP(A49,liste_groupe[],4,FALSE)," : ",ROUND(K49,0),"%"),CONCATENATE(VLOOKUP(A49,liste_groupe[],5,FALSE)," : ",ROUND(K49,0),"%"))</f>
        <v>#N/A</v>
      </c>
    </row>
    <row r="50" spans="1:15" s="75" customFormat="1" ht="15.6" x14ac:dyDescent="0.3">
      <c r="A50" s="126" t="str">
        <f>'Page de garde'!A57</f>
        <v>0-00 + Testostérone</v>
      </c>
      <c r="B50" s="97"/>
      <c r="C50" s="85"/>
      <c r="D50" s="85"/>
      <c r="E50" s="80"/>
      <c r="F50" s="92" t="e">
        <f>HLOOKUP(A50,'pooled normalised values'!$B$74:$V$83,10,FALSE)</f>
        <v>#N/A</v>
      </c>
      <c r="G50" s="131" t="e">
        <f t="shared" si="11"/>
        <v>#N/A</v>
      </c>
      <c r="H50" s="122" t="str">
        <f>IF(VLOOKUP(A50,liste_groupe[],4,FALSE)="%",VLOOKUP(A50,liste_groupe[],3,FALSE)/100,IF(ISBLANK(VLOOKUP(A50,liste_groupe[],4,FALSE)),"Non","Non"))</f>
        <v>Non</v>
      </c>
      <c r="I50" s="131" t="e">
        <f t="shared" si="7"/>
        <v>#N/A</v>
      </c>
      <c r="J50" s="136" t="e">
        <f t="shared" si="12"/>
        <v>#N/A</v>
      </c>
      <c r="K50" s="137" t="e">
        <f t="shared" si="9"/>
        <v>#N/A</v>
      </c>
      <c r="L50" s="138"/>
      <c r="M50" s="130" t="e">
        <f t="shared" si="10"/>
        <v>#N/A</v>
      </c>
      <c r="N50" s="139" t="e">
        <f>IF(H50="Non",CONCATENATE(VLOOKUP(A50,liste_groupe[],5,FALSE),"-",VLOOKUP(A50,liste_groupe[],3,FALSE),VLOOKUP(A50,liste_groupe[],4,FALSE)," : ",ROUND(K50,0),"%"),CONCATENATE(VLOOKUP(A50,liste_groupe[],5,FALSE)," : ",ROUND(K50,0),"%"))</f>
        <v>#N/A</v>
      </c>
    </row>
    <row r="51" spans="1:15" s="75" customFormat="1" ht="15.6" x14ac:dyDescent="0.3">
      <c r="A51" s="126" t="str">
        <f>'Page de garde'!A58</f>
        <v>0-00 + Testostérone</v>
      </c>
      <c r="B51" s="97"/>
      <c r="C51" s="85"/>
      <c r="D51" s="85"/>
      <c r="E51" s="80"/>
      <c r="F51" s="92" t="e">
        <f>HLOOKUP(A51,'pooled normalised values'!$B$74:$V$83,10,FALSE)</f>
        <v>#N/A</v>
      </c>
      <c r="G51" s="131" t="e">
        <f t="shared" si="6"/>
        <v>#N/A</v>
      </c>
      <c r="H51" s="122" t="str">
        <f>IF(VLOOKUP(A51,liste_groupe[],4,FALSE)="%",VLOOKUP(A51,liste_groupe[],3,FALSE)/100,IF(ISBLANK(VLOOKUP(A51,liste_groupe[],4,FALSE)),"Non","Non"))</f>
        <v>Non</v>
      </c>
      <c r="I51" s="131" t="e">
        <f t="shared" si="7"/>
        <v>#N/A</v>
      </c>
      <c r="J51" s="136" t="e">
        <f t="shared" si="8"/>
        <v>#N/A</v>
      </c>
      <c r="K51" s="137" t="e">
        <f t="shared" si="9"/>
        <v>#N/A</v>
      </c>
      <c r="L51" s="138"/>
      <c r="M51" s="130" t="e">
        <f t="shared" si="10"/>
        <v>#N/A</v>
      </c>
      <c r="N51" s="139" t="e">
        <f>IF(H51="Non",CONCATENATE(VLOOKUP(A51,liste_groupe[],5,FALSE),"-",VLOOKUP(A51,liste_groupe[],3,FALSE),VLOOKUP(A51,liste_groupe[],4,FALSE)," : ",ROUND(K51,0),"%"),CONCATENATE(VLOOKUP(A51,liste_groupe[],5,FALSE)," : ",ROUND(K51,0),"%"))</f>
        <v>#N/A</v>
      </c>
    </row>
    <row r="52" spans="1:15" s="75" customFormat="1" ht="16.2" thickBot="1" x14ac:dyDescent="0.35">
      <c r="E52" s="76"/>
      <c r="F52" s="76"/>
      <c r="G52" s="76"/>
      <c r="H52" s="76"/>
      <c r="I52" s="76"/>
      <c r="J52" s="76"/>
      <c r="K52" s="76"/>
      <c r="L52" s="76"/>
      <c r="M52" s="76"/>
      <c r="N52" s="76"/>
    </row>
    <row r="53" spans="1:15" s="47" customFormat="1" ht="26.4" thickBot="1" x14ac:dyDescent="0.35">
      <c r="A53" s="227" t="s">
        <v>60</v>
      </c>
      <c r="B53" s="228"/>
      <c r="C53" s="228"/>
      <c r="D53" s="228"/>
      <c r="E53" s="228"/>
      <c r="F53" s="228"/>
      <c r="G53" s="228"/>
      <c r="H53" s="228"/>
      <c r="I53" s="228"/>
      <c r="J53" s="228"/>
      <c r="K53" s="228"/>
      <c r="L53" s="228"/>
      <c r="M53" s="228"/>
      <c r="N53" s="228"/>
      <c r="O53" s="229"/>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4140625" defaultRowHeight="14.4" x14ac:dyDescent="0.3"/>
  <cols>
    <col min="1" max="1" width="22.77734375" style="178" customWidth="1"/>
    <col min="2" max="2" width="46.21875" style="178" customWidth="1"/>
    <col min="3" max="3" width="15.21875" style="178" customWidth="1"/>
    <col min="4" max="4" width="24.77734375" style="178" customWidth="1"/>
    <col min="5" max="5" width="24.44140625" style="178" customWidth="1"/>
    <col min="6" max="6" width="23.21875" style="178" customWidth="1"/>
    <col min="7" max="7" width="21.21875" style="178" customWidth="1"/>
    <col min="8" max="16384" width="11.44140625" style="178"/>
  </cols>
  <sheetData>
    <row r="1" spans="1:7" ht="29.4" thickBot="1" x14ac:dyDescent="0.35">
      <c r="A1" s="183" t="s">
        <v>131</v>
      </c>
      <c r="B1" s="184" t="s">
        <v>132</v>
      </c>
      <c r="C1" s="184" t="s">
        <v>138</v>
      </c>
      <c r="D1" s="184" t="s">
        <v>137</v>
      </c>
      <c r="E1" s="184" t="s">
        <v>139</v>
      </c>
      <c r="F1" s="185" t="s">
        <v>140</v>
      </c>
      <c r="G1" s="186" t="s">
        <v>141</v>
      </c>
    </row>
    <row r="2" spans="1:7" ht="57.6" x14ac:dyDescent="0.3">
      <c r="A2" s="179" t="s">
        <v>133</v>
      </c>
      <c r="B2" s="180" t="s">
        <v>134</v>
      </c>
      <c r="C2" s="180" t="s">
        <v>135</v>
      </c>
      <c r="D2" s="180" t="s">
        <v>142</v>
      </c>
      <c r="E2" s="180" t="s">
        <v>136</v>
      </c>
      <c r="F2" s="181" t="s">
        <v>135</v>
      </c>
      <c r="G2" s="182" t="s">
        <v>135</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5546875" defaultRowHeight="13.2" x14ac:dyDescent="0.25"/>
  <cols>
    <col min="1" max="1" width="18.77734375" style="16" customWidth="1"/>
    <col min="2" max="2" width="7.21875" style="16" bestFit="1" customWidth="1"/>
    <col min="3" max="3" width="10.5546875" style="16" customWidth="1"/>
    <col min="4" max="4" width="13.77734375" style="16" bestFit="1" customWidth="1"/>
    <col min="5" max="5" width="12" style="16" bestFit="1" customWidth="1"/>
    <col min="6" max="19" width="14.77734375" style="16" customWidth="1"/>
    <col min="20" max="21" width="11.44140625" style="16"/>
    <col min="22" max="22" width="13.5546875" style="16" bestFit="1" customWidth="1"/>
    <col min="23" max="34" width="13.5546875" style="16" customWidth="1"/>
    <col min="35" max="35" width="13.5546875" style="16" bestFit="1" customWidth="1"/>
    <col min="36" max="282" width="11.44140625" style="16"/>
    <col min="283" max="283" width="18.77734375" style="16" customWidth="1"/>
    <col min="284" max="284" width="13.77734375" style="16" bestFit="1" customWidth="1"/>
    <col min="285" max="285" width="17.21875" style="16" customWidth="1"/>
    <col min="286" max="286" width="11" style="16" customWidth="1"/>
    <col min="287" max="287" width="12" style="16" bestFit="1" customWidth="1"/>
    <col min="288" max="288" width="14.77734375" style="16" customWidth="1"/>
    <col min="289" max="538" width="11.44140625" style="16"/>
    <col min="539" max="539" width="18.77734375" style="16" customWidth="1"/>
    <col min="540" max="540" width="13.77734375" style="16" bestFit="1" customWidth="1"/>
    <col min="541" max="541" width="17.21875" style="16" customWidth="1"/>
    <col min="542" max="542" width="11" style="16" customWidth="1"/>
    <col min="543" max="543" width="12" style="16" bestFit="1" customWidth="1"/>
    <col min="544" max="544" width="14.77734375" style="16" customWidth="1"/>
    <col min="545" max="794" width="11.44140625" style="16"/>
    <col min="795" max="795" width="18.77734375" style="16" customWidth="1"/>
    <col min="796" max="796" width="13.77734375" style="16" bestFit="1" customWidth="1"/>
    <col min="797" max="797" width="17.21875" style="16" customWidth="1"/>
    <col min="798" max="798" width="11" style="16" customWidth="1"/>
    <col min="799" max="799" width="12" style="16" bestFit="1" customWidth="1"/>
    <col min="800" max="800" width="14.77734375" style="16" customWidth="1"/>
    <col min="801" max="1050" width="11.44140625" style="16"/>
    <col min="1051" max="1051" width="18.77734375" style="16" customWidth="1"/>
    <col min="1052" max="1052" width="13.77734375" style="16" bestFit="1" customWidth="1"/>
    <col min="1053" max="1053" width="17.21875" style="16" customWidth="1"/>
    <col min="1054" max="1054" width="11" style="16" customWidth="1"/>
    <col min="1055" max="1055" width="12" style="16" bestFit="1" customWidth="1"/>
    <col min="1056" max="1056" width="14.77734375" style="16" customWidth="1"/>
    <col min="1057" max="1306" width="11.44140625" style="16"/>
    <col min="1307" max="1307" width="18.77734375" style="16" customWidth="1"/>
    <col min="1308" max="1308" width="13.77734375" style="16" bestFit="1" customWidth="1"/>
    <col min="1309" max="1309" width="17.21875" style="16" customWidth="1"/>
    <col min="1310" max="1310" width="11" style="16" customWidth="1"/>
    <col min="1311" max="1311" width="12" style="16" bestFit="1" customWidth="1"/>
    <col min="1312" max="1312" width="14.77734375" style="16" customWidth="1"/>
    <col min="1313" max="1562" width="11.44140625" style="16"/>
    <col min="1563" max="1563" width="18.77734375" style="16" customWidth="1"/>
    <col min="1564" max="1564" width="13.77734375" style="16" bestFit="1" customWidth="1"/>
    <col min="1565" max="1565" width="17.21875" style="16" customWidth="1"/>
    <col min="1566" max="1566" width="11" style="16" customWidth="1"/>
    <col min="1567" max="1567" width="12" style="16" bestFit="1" customWidth="1"/>
    <col min="1568" max="1568" width="14.77734375" style="16" customWidth="1"/>
    <col min="1569" max="1818" width="11.44140625" style="16"/>
    <col min="1819" max="1819" width="18.77734375" style="16" customWidth="1"/>
    <col min="1820" max="1820" width="13.77734375" style="16" bestFit="1" customWidth="1"/>
    <col min="1821" max="1821" width="17.21875" style="16" customWidth="1"/>
    <col min="1822" max="1822" width="11" style="16" customWidth="1"/>
    <col min="1823" max="1823" width="12" style="16" bestFit="1" customWidth="1"/>
    <col min="1824" max="1824" width="14.77734375" style="16" customWidth="1"/>
    <col min="1825" max="2074" width="11.44140625" style="16"/>
    <col min="2075" max="2075" width="18.77734375" style="16" customWidth="1"/>
    <col min="2076" max="2076" width="13.77734375" style="16" bestFit="1" customWidth="1"/>
    <col min="2077" max="2077" width="17.21875" style="16" customWidth="1"/>
    <col min="2078" max="2078" width="11" style="16" customWidth="1"/>
    <col min="2079" max="2079" width="12" style="16" bestFit="1" customWidth="1"/>
    <col min="2080" max="2080" width="14.77734375" style="16" customWidth="1"/>
    <col min="2081" max="2330" width="11.44140625" style="16"/>
    <col min="2331" max="2331" width="18.77734375" style="16" customWidth="1"/>
    <col min="2332" max="2332" width="13.77734375" style="16" bestFit="1" customWidth="1"/>
    <col min="2333" max="2333" width="17.21875" style="16" customWidth="1"/>
    <col min="2334" max="2334" width="11" style="16" customWidth="1"/>
    <col min="2335" max="2335" width="12" style="16" bestFit="1" customWidth="1"/>
    <col min="2336" max="2336" width="14.77734375" style="16" customWidth="1"/>
    <col min="2337" max="2586" width="11.44140625" style="16"/>
    <col min="2587" max="2587" width="18.77734375" style="16" customWidth="1"/>
    <col min="2588" max="2588" width="13.77734375" style="16" bestFit="1" customWidth="1"/>
    <col min="2589" max="2589" width="17.21875" style="16" customWidth="1"/>
    <col min="2590" max="2590" width="11" style="16" customWidth="1"/>
    <col min="2591" max="2591" width="12" style="16" bestFit="1" customWidth="1"/>
    <col min="2592" max="2592" width="14.77734375" style="16" customWidth="1"/>
    <col min="2593" max="2842" width="11.44140625" style="16"/>
    <col min="2843" max="2843" width="18.77734375" style="16" customWidth="1"/>
    <col min="2844" max="2844" width="13.77734375" style="16" bestFit="1" customWidth="1"/>
    <col min="2845" max="2845" width="17.21875" style="16" customWidth="1"/>
    <col min="2846" max="2846" width="11" style="16" customWidth="1"/>
    <col min="2847" max="2847" width="12" style="16" bestFit="1" customWidth="1"/>
    <col min="2848" max="2848" width="14.77734375" style="16" customWidth="1"/>
    <col min="2849" max="3098" width="11.44140625" style="16"/>
    <col min="3099" max="3099" width="18.77734375" style="16" customWidth="1"/>
    <col min="3100" max="3100" width="13.77734375" style="16" bestFit="1" customWidth="1"/>
    <col min="3101" max="3101" width="17.21875" style="16" customWidth="1"/>
    <col min="3102" max="3102" width="11" style="16" customWidth="1"/>
    <col min="3103" max="3103" width="12" style="16" bestFit="1" customWidth="1"/>
    <col min="3104" max="3104" width="14.77734375" style="16" customWidth="1"/>
    <col min="3105" max="3354" width="11.44140625" style="16"/>
    <col min="3355" max="3355" width="18.77734375" style="16" customWidth="1"/>
    <col min="3356" max="3356" width="13.77734375" style="16" bestFit="1" customWidth="1"/>
    <col min="3357" max="3357" width="17.21875" style="16" customWidth="1"/>
    <col min="3358" max="3358" width="11" style="16" customWidth="1"/>
    <col min="3359" max="3359" width="12" style="16" bestFit="1" customWidth="1"/>
    <col min="3360" max="3360" width="14.77734375" style="16" customWidth="1"/>
    <col min="3361" max="3610" width="11.44140625" style="16"/>
    <col min="3611" max="3611" width="18.77734375" style="16" customWidth="1"/>
    <col min="3612" max="3612" width="13.77734375" style="16" bestFit="1" customWidth="1"/>
    <col min="3613" max="3613" width="17.21875" style="16" customWidth="1"/>
    <col min="3614" max="3614" width="11" style="16" customWidth="1"/>
    <col min="3615" max="3615" width="12" style="16" bestFit="1" customWidth="1"/>
    <col min="3616" max="3616" width="14.77734375" style="16" customWidth="1"/>
    <col min="3617" max="3866" width="11.44140625" style="16"/>
    <col min="3867" max="3867" width="18.77734375" style="16" customWidth="1"/>
    <col min="3868" max="3868" width="13.77734375" style="16" bestFit="1" customWidth="1"/>
    <col min="3869" max="3869" width="17.21875" style="16" customWidth="1"/>
    <col min="3870" max="3870" width="11" style="16" customWidth="1"/>
    <col min="3871" max="3871" width="12" style="16" bestFit="1" customWidth="1"/>
    <col min="3872" max="3872" width="14.77734375" style="16" customWidth="1"/>
    <col min="3873" max="4122" width="11.44140625" style="16"/>
    <col min="4123" max="4123" width="18.77734375" style="16" customWidth="1"/>
    <col min="4124" max="4124" width="13.77734375" style="16" bestFit="1" customWidth="1"/>
    <col min="4125" max="4125" width="17.21875" style="16" customWidth="1"/>
    <col min="4126" max="4126" width="11" style="16" customWidth="1"/>
    <col min="4127" max="4127" width="12" style="16" bestFit="1" customWidth="1"/>
    <col min="4128" max="4128" width="14.77734375" style="16" customWidth="1"/>
    <col min="4129" max="4378" width="11.44140625" style="16"/>
    <col min="4379" max="4379" width="18.77734375" style="16" customWidth="1"/>
    <col min="4380" max="4380" width="13.77734375" style="16" bestFit="1" customWidth="1"/>
    <col min="4381" max="4381" width="17.21875" style="16" customWidth="1"/>
    <col min="4382" max="4382" width="11" style="16" customWidth="1"/>
    <col min="4383" max="4383" width="12" style="16" bestFit="1" customWidth="1"/>
    <col min="4384" max="4384" width="14.77734375" style="16" customWidth="1"/>
    <col min="4385" max="4634" width="11.44140625" style="16"/>
    <col min="4635" max="4635" width="18.77734375" style="16" customWidth="1"/>
    <col min="4636" max="4636" width="13.77734375" style="16" bestFit="1" customWidth="1"/>
    <col min="4637" max="4637" width="17.21875" style="16" customWidth="1"/>
    <col min="4638" max="4638" width="11" style="16" customWidth="1"/>
    <col min="4639" max="4639" width="12" style="16" bestFit="1" customWidth="1"/>
    <col min="4640" max="4640" width="14.77734375" style="16" customWidth="1"/>
    <col min="4641" max="4890" width="11.44140625" style="16"/>
    <col min="4891" max="4891" width="18.77734375" style="16" customWidth="1"/>
    <col min="4892" max="4892" width="13.77734375" style="16" bestFit="1" customWidth="1"/>
    <col min="4893" max="4893" width="17.21875" style="16" customWidth="1"/>
    <col min="4894" max="4894" width="11" style="16" customWidth="1"/>
    <col min="4895" max="4895" width="12" style="16" bestFit="1" customWidth="1"/>
    <col min="4896" max="4896" width="14.77734375" style="16" customWidth="1"/>
    <col min="4897" max="5146" width="11.44140625" style="16"/>
    <col min="5147" max="5147" width="18.77734375" style="16" customWidth="1"/>
    <col min="5148" max="5148" width="13.77734375" style="16" bestFit="1" customWidth="1"/>
    <col min="5149" max="5149" width="17.21875" style="16" customWidth="1"/>
    <col min="5150" max="5150" width="11" style="16" customWidth="1"/>
    <col min="5151" max="5151" width="12" style="16" bestFit="1" customWidth="1"/>
    <col min="5152" max="5152" width="14.77734375" style="16" customWidth="1"/>
    <col min="5153" max="5402" width="11.44140625" style="16"/>
    <col min="5403" max="5403" width="18.77734375" style="16" customWidth="1"/>
    <col min="5404" max="5404" width="13.77734375" style="16" bestFit="1" customWidth="1"/>
    <col min="5405" max="5405" width="17.21875" style="16" customWidth="1"/>
    <col min="5406" max="5406" width="11" style="16" customWidth="1"/>
    <col min="5407" max="5407" width="12" style="16" bestFit="1" customWidth="1"/>
    <col min="5408" max="5408" width="14.77734375" style="16" customWidth="1"/>
    <col min="5409" max="5658" width="11.44140625" style="16"/>
    <col min="5659" max="5659" width="18.77734375" style="16" customWidth="1"/>
    <col min="5660" max="5660" width="13.77734375" style="16" bestFit="1" customWidth="1"/>
    <col min="5661" max="5661" width="17.21875" style="16" customWidth="1"/>
    <col min="5662" max="5662" width="11" style="16" customWidth="1"/>
    <col min="5663" max="5663" width="12" style="16" bestFit="1" customWidth="1"/>
    <col min="5664" max="5664" width="14.77734375" style="16" customWidth="1"/>
    <col min="5665" max="5914" width="11.44140625" style="16"/>
    <col min="5915" max="5915" width="18.77734375" style="16" customWidth="1"/>
    <col min="5916" max="5916" width="13.77734375" style="16" bestFit="1" customWidth="1"/>
    <col min="5917" max="5917" width="17.21875" style="16" customWidth="1"/>
    <col min="5918" max="5918" width="11" style="16" customWidth="1"/>
    <col min="5919" max="5919" width="12" style="16" bestFit="1" customWidth="1"/>
    <col min="5920" max="5920" width="14.77734375" style="16" customWidth="1"/>
    <col min="5921" max="6170" width="11.44140625" style="16"/>
    <col min="6171" max="6171" width="18.77734375" style="16" customWidth="1"/>
    <col min="6172" max="6172" width="13.77734375" style="16" bestFit="1" customWidth="1"/>
    <col min="6173" max="6173" width="17.21875" style="16" customWidth="1"/>
    <col min="6174" max="6174" width="11" style="16" customWidth="1"/>
    <col min="6175" max="6175" width="12" style="16" bestFit="1" customWidth="1"/>
    <col min="6176" max="6176" width="14.77734375" style="16" customWidth="1"/>
    <col min="6177" max="6426" width="11.44140625" style="16"/>
    <col min="6427" max="6427" width="18.77734375" style="16" customWidth="1"/>
    <col min="6428" max="6428" width="13.77734375" style="16" bestFit="1" customWidth="1"/>
    <col min="6429" max="6429" width="17.21875" style="16" customWidth="1"/>
    <col min="6430" max="6430" width="11" style="16" customWidth="1"/>
    <col min="6431" max="6431" width="12" style="16" bestFit="1" customWidth="1"/>
    <col min="6432" max="6432" width="14.77734375" style="16" customWidth="1"/>
    <col min="6433" max="6682" width="11.44140625" style="16"/>
    <col min="6683" max="6683" width="18.77734375" style="16" customWidth="1"/>
    <col min="6684" max="6684" width="13.77734375" style="16" bestFit="1" customWidth="1"/>
    <col min="6685" max="6685" width="17.21875" style="16" customWidth="1"/>
    <col min="6686" max="6686" width="11" style="16" customWidth="1"/>
    <col min="6687" max="6687" width="12" style="16" bestFit="1" customWidth="1"/>
    <col min="6688" max="6688" width="14.77734375" style="16" customWidth="1"/>
    <col min="6689" max="6938" width="11.44140625" style="16"/>
    <col min="6939" max="6939" width="18.77734375" style="16" customWidth="1"/>
    <col min="6940" max="6940" width="13.77734375" style="16" bestFit="1" customWidth="1"/>
    <col min="6941" max="6941" width="17.21875" style="16" customWidth="1"/>
    <col min="6942" max="6942" width="11" style="16" customWidth="1"/>
    <col min="6943" max="6943" width="12" style="16" bestFit="1" customWidth="1"/>
    <col min="6944" max="6944" width="14.77734375" style="16" customWidth="1"/>
    <col min="6945" max="7194" width="11.44140625" style="16"/>
    <col min="7195" max="7195" width="18.77734375" style="16" customWidth="1"/>
    <col min="7196" max="7196" width="13.77734375" style="16" bestFit="1" customWidth="1"/>
    <col min="7197" max="7197" width="17.21875" style="16" customWidth="1"/>
    <col min="7198" max="7198" width="11" style="16" customWidth="1"/>
    <col min="7199" max="7199" width="12" style="16" bestFit="1" customWidth="1"/>
    <col min="7200" max="7200" width="14.77734375" style="16" customWidth="1"/>
    <col min="7201" max="7450" width="11.44140625" style="16"/>
    <col min="7451" max="7451" width="18.77734375" style="16" customWidth="1"/>
    <col min="7452" max="7452" width="13.77734375" style="16" bestFit="1" customWidth="1"/>
    <col min="7453" max="7453" width="17.21875" style="16" customWidth="1"/>
    <col min="7454" max="7454" width="11" style="16" customWidth="1"/>
    <col min="7455" max="7455" width="12" style="16" bestFit="1" customWidth="1"/>
    <col min="7456" max="7456" width="14.77734375" style="16" customWidth="1"/>
    <col min="7457" max="7706" width="11.44140625" style="16"/>
    <col min="7707" max="7707" width="18.77734375" style="16" customWidth="1"/>
    <col min="7708" max="7708" width="13.77734375" style="16" bestFit="1" customWidth="1"/>
    <col min="7709" max="7709" width="17.21875" style="16" customWidth="1"/>
    <col min="7710" max="7710" width="11" style="16" customWidth="1"/>
    <col min="7711" max="7711" width="12" style="16" bestFit="1" customWidth="1"/>
    <col min="7712" max="7712" width="14.77734375" style="16" customWidth="1"/>
    <col min="7713" max="7962" width="11.44140625" style="16"/>
    <col min="7963" max="7963" width="18.77734375" style="16" customWidth="1"/>
    <col min="7964" max="7964" width="13.77734375" style="16" bestFit="1" customWidth="1"/>
    <col min="7965" max="7965" width="17.21875" style="16" customWidth="1"/>
    <col min="7966" max="7966" width="11" style="16" customWidth="1"/>
    <col min="7967" max="7967" width="12" style="16" bestFit="1" customWidth="1"/>
    <col min="7968" max="7968" width="14.77734375" style="16" customWidth="1"/>
    <col min="7969" max="8218" width="11.44140625" style="16"/>
    <col min="8219" max="8219" width="18.77734375" style="16" customWidth="1"/>
    <col min="8220" max="8220" width="13.77734375" style="16" bestFit="1" customWidth="1"/>
    <col min="8221" max="8221" width="17.21875" style="16" customWidth="1"/>
    <col min="8222" max="8222" width="11" style="16" customWidth="1"/>
    <col min="8223" max="8223" width="12" style="16" bestFit="1" customWidth="1"/>
    <col min="8224" max="8224" width="14.77734375" style="16" customWidth="1"/>
    <col min="8225" max="8474" width="11.44140625" style="16"/>
    <col min="8475" max="8475" width="18.77734375" style="16" customWidth="1"/>
    <col min="8476" max="8476" width="13.77734375" style="16" bestFit="1" customWidth="1"/>
    <col min="8477" max="8477" width="17.21875" style="16" customWidth="1"/>
    <col min="8478" max="8478" width="11" style="16" customWidth="1"/>
    <col min="8479" max="8479" width="12" style="16" bestFit="1" customWidth="1"/>
    <col min="8480" max="8480" width="14.77734375" style="16" customWidth="1"/>
    <col min="8481" max="8730" width="11.44140625" style="16"/>
    <col min="8731" max="8731" width="18.77734375" style="16" customWidth="1"/>
    <col min="8732" max="8732" width="13.77734375" style="16" bestFit="1" customWidth="1"/>
    <col min="8733" max="8733" width="17.21875" style="16" customWidth="1"/>
    <col min="8734" max="8734" width="11" style="16" customWidth="1"/>
    <col min="8735" max="8735" width="12" style="16" bestFit="1" customWidth="1"/>
    <col min="8736" max="8736" width="14.77734375" style="16" customWidth="1"/>
    <col min="8737" max="8986" width="11.44140625" style="16"/>
    <col min="8987" max="8987" width="18.77734375" style="16" customWidth="1"/>
    <col min="8988" max="8988" width="13.77734375" style="16" bestFit="1" customWidth="1"/>
    <col min="8989" max="8989" width="17.21875" style="16" customWidth="1"/>
    <col min="8990" max="8990" width="11" style="16" customWidth="1"/>
    <col min="8991" max="8991" width="12" style="16" bestFit="1" customWidth="1"/>
    <col min="8992" max="8992" width="14.77734375" style="16" customWidth="1"/>
    <col min="8993" max="9242" width="11.44140625" style="16"/>
    <col min="9243" max="9243" width="18.77734375" style="16" customWidth="1"/>
    <col min="9244" max="9244" width="13.77734375" style="16" bestFit="1" customWidth="1"/>
    <col min="9245" max="9245" width="17.21875" style="16" customWidth="1"/>
    <col min="9246" max="9246" width="11" style="16" customWidth="1"/>
    <col min="9247" max="9247" width="12" style="16" bestFit="1" customWidth="1"/>
    <col min="9248" max="9248" width="14.77734375" style="16" customWidth="1"/>
    <col min="9249" max="9498" width="11.44140625" style="16"/>
    <col min="9499" max="9499" width="18.77734375" style="16" customWidth="1"/>
    <col min="9500" max="9500" width="13.77734375" style="16" bestFit="1" customWidth="1"/>
    <col min="9501" max="9501" width="17.21875" style="16" customWidth="1"/>
    <col min="9502" max="9502" width="11" style="16" customWidth="1"/>
    <col min="9503" max="9503" width="12" style="16" bestFit="1" customWidth="1"/>
    <col min="9504" max="9504" width="14.77734375" style="16" customWidth="1"/>
    <col min="9505" max="9754" width="11.44140625" style="16"/>
    <col min="9755" max="9755" width="18.77734375" style="16" customWidth="1"/>
    <col min="9756" max="9756" width="13.77734375" style="16" bestFit="1" customWidth="1"/>
    <col min="9757" max="9757" width="17.21875" style="16" customWidth="1"/>
    <col min="9758" max="9758" width="11" style="16" customWidth="1"/>
    <col min="9759" max="9759" width="12" style="16" bestFit="1" customWidth="1"/>
    <col min="9760" max="9760" width="14.77734375" style="16" customWidth="1"/>
    <col min="9761" max="10010" width="11.44140625" style="16"/>
    <col min="10011" max="10011" width="18.77734375" style="16" customWidth="1"/>
    <col min="10012" max="10012" width="13.77734375" style="16" bestFit="1" customWidth="1"/>
    <col min="10013" max="10013" width="17.21875" style="16" customWidth="1"/>
    <col min="10014" max="10014" width="11" style="16" customWidth="1"/>
    <col min="10015" max="10015" width="12" style="16" bestFit="1" customWidth="1"/>
    <col min="10016" max="10016" width="14.77734375" style="16" customWidth="1"/>
    <col min="10017" max="10266" width="11.44140625" style="16"/>
    <col min="10267" max="10267" width="18.77734375" style="16" customWidth="1"/>
    <col min="10268" max="10268" width="13.77734375" style="16" bestFit="1" customWidth="1"/>
    <col min="10269" max="10269" width="17.21875" style="16" customWidth="1"/>
    <col min="10270" max="10270" width="11" style="16" customWidth="1"/>
    <col min="10271" max="10271" width="12" style="16" bestFit="1" customWidth="1"/>
    <col min="10272" max="10272" width="14.77734375" style="16" customWidth="1"/>
    <col min="10273" max="10522" width="11.44140625" style="16"/>
    <col min="10523" max="10523" width="18.77734375" style="16" customWidth="1"/>
    <col min="10524" max="10524" width="13.77734375" style="16" bestFit="1" customWidth="1"/>
    <col min="10525" max="10525" width="17.21875" style="16" customWidth="1"/>
    <col min="10526" max="10526" width="11" style="16" customWidth="1"/>
    <col min="10527" max="10527" width="12" style="16" bestFit="1" customWidth="1"/>
    <col min="10528" max="10528" width="14.77734375" style="16" customWidth="1"/>
    <col min="10529" max="10778" width="11.44140625" style="16"/>
    <col min="10779" max="10779" width="18.77734375" style="16" customWidth="1"/>
    <col min="10780" max="10780" width="13.77734375" style="16" bestFit="1" customWidth="1"/>
    <col min="10781" max="10781" width="17.21875" style="16" customWidth="1"/>
    <col min="10782" max="10782" width="11" style="16" customWidth="1"/>
    <col min="10783" max="10783" width="12" style="16" bestFit="1" customWidth="1"/>
    <col min="10784" max="10784" width="14.77734375" style="16" customWidth="1"/>
    <col min="10785" max="11034" width="11.44140625" style="16"/>
    <col min="11035" max="11035" width="18.77734375" style="16" customWidth="1"/>
    <col min="11036" max="11036" width="13.77734375" style="16" bestFit="1" customWidth="1"/>
    <col min="11037" max="11037" width="17.21875" style="16" customWidth="1"/>
    <col min="11038" max="11038" width="11" style="16" customWidth="1"/>
    <col min="11039" max="11039" width="12" style="16" bestFit="1" customWidth="1"/>
    <col min="11040" max="11040" width="14.77734375" style="16" customWidth="1"/>
    <col min="11041" max="11290" width="11.44140625" style="16"/>
    <col min="11291" max="11291" width="18.77734375" style="16" customWidth="1"/>
    <col min="11292" max="11292" width="13.77734375" style="16" bestFit="1" customWidth="1"/>
    <col min="11293" max="11293" width="17.21875" style="16" customWidth="1"/>
    <col min="11294" max="11294" width="11" style="16" customWidth="1"/>
    <col min="11295" max="11295" width="12" style="16" bestFit="1" customWidth="1"/>
    <col min="11296" max="11296" width="14.77734375" style="16" customWidth="1"/>
    <col min="11297" max="11546" width="11.44140625" style="16"/>
    <col min="11547" max="11547" width="18.77734375" style="16" customWidth="1"/>
    <col min="11548" max="11548" width="13.77734375" style="16" bestFit="1" customWidth="1"/>
    <col min="11549" max="11549" width="17.21875" style="16" customWidth="1"/>
    <col min="11550" max="11550" width="11" style="16" customWidth="1"/>
    <col min="11551" max="11551" width="12" style="16" bestFit="1" customWidth="1"/>
    <col min="11552" max="11552" width="14.77734375" style="16" customWidth="1"/>
    <col min="11553" max="11802" width="11.44140625" style="16"/>
    <col min="11803" max="11803" width="18.77734375" style="16" customWidth="1"/>
    <col min="11804" max="11804" width="13.77734375" style="16" bestFit="1" customWidth="1"/>
    <col min="11805" max="11805" width="17.21875" style="16" customWidth="1"/>
    <col min="11806" max="11806" width="11" style="16" customWidth="1"/>
    <col min="11807" max="11807" width="12" style="16" bestFit="1" customWidth="1"/>
    <col min="11808" max="11808" width="14.77734375" style="16" customWidth="1"/>
    <col min="11809" max="12058" width="11.44140625" style="16"/>
    <col min="12059" max="12059" width="18.77734375" style="16" customWidth="1"/>
    <col min="12060" max="12060" width="13.77734375" style="16" bestFit="1" customWidth="1"/>
    <col min="12061" max="12061" width="17.21875" style="16" customWidth="1"/>
    <col min="12062" max="12062" width="11" style="16" customWidth="1"/>
    <col min="12063" max="12063" width="12" style="16" bestFit="1" customWidth="1"/>
    <col min="12064" max="12064" width="14.77734375" style="16" customWidth="1"/>
    <col min="12065" max="12314" width="11.44140625" style="16"/>
    <col min="12315" max="12315" width="18.77734375" style="16" customWidth="1"/>
    <col min="12316" max="12316" width="13.77734375" style="16" bestFit="1" customWidth="1"/>
    <col min="12317" max="12317" width="17.21875" style="16" customWidth="1"/>
    <col min="12318" max="12318" width="11" style="16" customWidth="1"/>
    <col min="12319" max="12319" width="12" style="16" bestFit="1" customWidth="1"/>
    <col min="12320" max="12320" width="14.77734375" style="16" customWidth="1"/>
    <col min="12321" max="12570" width="11.44140625" style="16"/>
    <col min="12571" max="12571" width="18.77734375" style="16" customWidth="1"/>
    <col min="12572" max="12572" width="13.77734375" style="16" bestFit="1" customWidth="1"/>
    <col min="12573" max="12573" width="17.21875" style="16" customWidth="1"/>
    <col min="12574" max="12574" width="11" style="16" customWidth="1"/>
    <col min="12575" max="12575" width="12" style="16" bestFit="1" customWidth="1"/>
    <col min="12576" max="12576" width="14.77734375" style="16" customWidth="1"/>
    <col min="12577" max="12826" width="11.44140625" style="16"/>
    <col min="12827" max="12827" width="18.77734375" style="16" customWidth="1"/>
    <col min="12828" max="12828" width="13.77734375" style="16" bestFit="1" customWidth="1"/>
    <col min="12829" max="12829" width="17.21875" style="16" customWidth="1"/>
    <col min="12830" max="12830" width="11" style="16" customWidth="1"/>
    <col min="12831" max="12831" width="12" style="16" bestFit="1" customWidth="1"/>
    <col min="12832" max="12832" width="14.77734375" style="16" customWidth="1"/>
    <col min="12833" max="13082" width="11.44140625" style="16"/>
    <col min="13083" max="13083" width="18.77734375" style="16" customWidth="1"/>
    <col min="13084" max="13084" width="13.77734375" style="16" bestFit="1" customWidth="1"/>
    <col min="13085" max="13085" width="17.21875" style="16" customWidth="1"/>
    <col min="13086" max="13086" width="11" style="16" customWidth="1"/>
    <col min="13087" max="13087" width="12" style="16" bestFit="1" customWidth="1"/>
    <col min="13088" max="13088" width="14.77734375" style="16" customWidth="1"/>
    <col min="13089" max="13338" width="11.44140625" style="16"/>
    <col min="13339" max="13339" width="18.77734375" style="16" customWidth="1"/>
    <col min="13340" max="13340" width="13.77734375" style="16" bestFit="1" customWidth="1"/>
    <col min="13341" max="13341" width="17.21875" style="16" customWidth="1"/>
    <col min="13342" max="13342" width="11" style="16" customWidth="1"/>
    <col min="13343" max="13343" width="12" style="16" bestFit="1" customWidth="1"/>
    <col min="13344" max="13344" width="14.77734375" style="16" customWidth="1"/>
    <col min="13345" max="13594" width="11.44140625" style="16"/>
    <col min="13595" max="13595" width="18.77734375" style="16" customWidth="1"/>
    <col min="13596" max="13596" width="13.77734375" style="16" bestFit="1" customWidth="1"/>
    <col min="13597" max="13597" width="17.21875" style="16" customWidth="1"/>
    <col min="13598" max="13598" width="11" style="16" customWidth="1"/>
    <col min="13599" max="13599" width="12" style="16" bestFit="1" customWidth="1"/>
    <col min="13600" max="13600" width="14.77734375" style="16" customWidth="1"/>
    <col min="13601" max="13850" width="11.44140625" style="16"/>
    <col min="13851" max="13851" width="18.77734375" style="16" customWidth="1"/>
    <col min="13852" max="13852" width="13.77734375" style="16" bestFit="1" customWidth="1"/>
    <col min="13853" max="13853" width="17.21875" style="16" customWidth="1"/>
    <col min="13854" max="13854" width="11" style="16" customWidth="1"/>
    <col min="13855" max="13855" width="12" style="16" bestFit="1" customWidth="1"/>
    <col min="13856" max="13856" width="14.77734375" style="16" customWidth="1"/>
    <col min="13857" max="14106" width="11.44140625" style="16"/>
    <col min="14107" max="14107" width="18.77734375" style="16" customWidth="1"/>
    <col min="14108" max="14108" width="13.77734375" style="16" bestFit="1" customWidth="1"/>
    <col min="14109" max="14109" width="17.21875" style="16" customWidth="1"/>
    <col min="14110" max="14110" width="11" style="16" customWidth="1"/>
    <col min="14111" max="14111" width="12" style="16" bestFit="1" customWidth="1"/>
    <col min="14112" max="14112" width="14.77734375" style="16" customWidth="1"/>
    <col min="14113" max="14362" width="11.44140625" style="16"/>
    <col min="14363" max="14363" width="18.77734375" style="16" customWidth="1"/>
    <col min="14364" max="14364" width="13.77734375" style="16" bestFit="1" customWidth="1"/>
    <col min="14365" max="14365" width="17.21875" style="16" customWidth="1"/>
    <col min="14366" max="14366" width="11" style="16" customWidth="1"/>
    <col min="14367" max="14367" width="12" style="16" bestFit="1" customWidth="1"/>
    <col min="14368" max="14368" width="14.77734375" style="16" customWidth="1"/>
    <col min="14369" max="14618" width="11.44140625" style="16"/>
    <col min="14619" max="14619" width="18.77734375" style="16" customWidth="1"/>
    <col min="14620" max="14620" width="13.77734375" style="16" bestFit="1" customWidth="1"/>
    <col min="14621" max="14621" width="17.21875" style="16" customWidth="1"/>
    <col min="14622" max="14622" width="11" style="16" customWidth="1"/>
    <col min="14623" max="14623" width="12" style="16" bestFit="1" customWidth="1"/>
    <col min="14624" max="14624" width="14.77734375" style="16" customWidth="1"/>
    <col min="14625" max="14874" width="11.44140625" style="16"/>
    <col min="14875" max="14875" width="18.77734375" style="16" customWidth="1"/>
    <col min="14876" max="14876" width="13.77734375" style="16" bestFit="1" customWidth="1"/>
    <col min="14877" max="14877" width="17.21875" style="16" customWidth="1"/>
    <col min="14878" max="14878" width="11" style="16" customWidth="1"/>
    <col min="14879" max="14879" width="12" style="16" bestFit="1" customWidth="1"/>
    <col min="14880" max="14880" width="14.77734375" style="16" customWidth="1"/>
    <col min="14881" max="15130" width="11.44140625" style="16"/>
    <col min="15131" max="15131" width="18.77734375" style="16" customWidth="1"/>
    <col min="15132" max="15132" width="13.77734375" style="16" bestFit="1" customWidth="1"/>
    <col min="15133" max="15133" width="17.21875" style="16" customWidth="1"/>
    <col min="15134" max="15134" width="11" style="16" customWidth="1"/>
    <col min="15135" max="15135" width="12" style="16" bestFit="1" customWidth="1"/>
    <col min="15136" max="15136" width="14.77734375" style="16" customWidth="1"/>
    <col min="15137" max="15386" width="11.44140625" style="16"/>
    <col min="15387" max="15387" width="18.77734375" style="16" customWidth="1"/>
    <col min="15388" max="15388" width="13.77734375" style="16" bestFit="1" customWidth="1"/>
    <col min="15389" max="15389" width="17.21875" style="16" customWidth="1"/>
    <col min="15390" max="15390" width="11" style="16" customWidth="1"/>
    <col min="15391" max="15391" width="12" style="16" bestFit="1" customWidth="1"/>
    <col min="15392" max="15392" width="14.77734375" style="16" customWidth="1"/>
    <col min="15393" max="15642" width="11.44140625" style="16"/>
    <col min="15643" max="15643" width="18.77734375" style="16" customWidth="1"/>
    <col min="15644" max="15644" width="13.77734375" style="16" bestFit="1" customWidth="1"/>
    <col min="15645" max="15645" width="17.21875" style="16" customWidth="1"/>
    <col min="15646" max="15646" width="11" style="16" customWidth="1"/>
    <col min="15647" max="15647" width="12" style="16" bestFit="1" customWidth="1"/>
    <col min="15648" max="15648" width="14.77734375" style="16" customWidth="1"/>
    <col min="15649" max="15898" width="11.44140625" style="16"/>
    <col min="15899" max="15899" width="18.77734375" style="16" customWidth="1"/>
    <col min="15900" max="15900" width="13.77734375" style="16" bestFit="1" customWidth="1"/>
    <col min="15901" max="15901" width="17.21875" style="16" customWidth="1"/>
    <col min="15902" max="15902" width="11" style="16" customWidth="1"/>
    <col min="15903" max="15903" width="12" style="16" bestFit="1" customWidth="1"/>
    <col min="15904" max="15904" width="14.77734375" style="16" customWidth="1"/>
    <col min="15905" max="16154" width="11.44140625" style="16"/>
    <col min="16155" max="16155" width="18.77734375" style="16" customWidth="1"/>
    <col min="16156" max="16156" width="13.77734375" style="16" bestFit="1" customWidth="1"/>
    <col min="16157" max="16157" width="17.21875" style="16" customWidth="1"/>
    <col min="16158" max="16158" width="11" style="16" customWidth="1"/>
    <col min="16159" max="16159" width="12" style="16" bestFit="1" customWidth="1"/>
    <col min="16160" max="16160" width="14.77734375" style="16" customWidth="1"/>
    <col min="16161" max="16384" width="11.44140625" style="16"/>
  </cols>
  <sheetData>
    <row r="2" spans="1:37" x14ac:dyDescent="0.25">
      <c r="A2" s="16" t="s">
        <v>70</v>
      </c>
      <c r="B2" s="62">
        <f>'pooled normalised values'!B75</f>
        <v>4.3711826627377513E-2</v>
      </c>
      <c r="D2" s="16" t="s">
        <v>9</v>
      </c>
      <c r="E2" s="17"/>
      <c r="F2" s="18" t="str">
        <f>'pooled normalised values'!J74</f>
        <v>Fadrozole-0.08µg/L</v>
      </c>
      <c r="G2" s="18" t="str">
        <f>'pooled normalised values'!K74</f>
        <v>Fadrozole-0.4µg/L</v>
      </c>
      <c r="H2" s="18" t="str">
        <f>'pooled normalised values'!L74</f>
        <v>Fadrozole-2µg/L</v>
      </c>
      <c r="I2" s="18" t="str">
        <f>'pooled normalised values'!M74</f>
        <v>Fadrozole-10 µg/L</v>
      </c>
      <c r="J2" s="18" t="e">
        <f>'pooled normalised values'!#REF!</f>
        <v>#REF!</v>
      </c>
      <c r="K2" s="18" t="e">
        <f>'pooled normalised values'!#REF!</f>
        <v>#REF!</v>
      </c>
      <c r="L2" s="18" t="e">
        <f>'pooled normalised values'!#REF!</f>
        <v>#REF!</v>
      </c>
      <c r="M2" s="18" t="e">
        <f>'pooled normalised values'!#REF!</f>
        <v>#REF!</v>
      </c>
      <c r="N2" s="18" t="e">
        <f>'pooled normalised values'!#REF!</f>
        <v>#REF!</v>
      </c>
      <c r="O2" s="18" t="e">
        <f>'pooled normalised values'!#REF!</f>
        <v>#REF!</v>
      </c>
      <c r="P2" s="18" t="e">
        <f>'pooled normalised values'!#REF!</f>
        <v>#REF!</v>
      </c>
      <c r="Q2" s="18" t="e">
        <f>'pooled normalised values'!#REF!</f>
        <v>#REF!</v>
      </c>
      <c r="R2" s="18" t="e">
        <f>'pooled normalised values'!#REF!</f>
        <v>#REF!</v>
      </c>
      <c r="S2" s="18" t="e">
        <f>'pooled normalised values'!#REF!</f>
        <v>#REF!</v>
      </c>
      <c r="T2" s="17"/>
      <c r="U2" s="19"/>
      <c r="V2" s="18" t="str">
        <f>'pooled normalised values'!R74</f>
        <v>Fadrozole-0.016µg/L + Testostérone</v>
      </c>
      <c r="W2" s="18" t="str">
        <f>'pooled normalised values'!S74</f>
        <v>Fadrozole-0.08µg/L + Testostérone</v>
      </c>
      <c r="X2" s="18" t="str">
        <f>'pooled normalised values'!T74</f>
        <v>Fadrozole-0.4µg/L + Testostérone</v>
      </c>
      <c r="Y2" s="18" t="str">
        <f>'pooled normalised values'!U74</f>
        <v>Fadrozole-2µg/L + Testostérone</v>
      </c>
      <c r="Z2" s="18" t="str">
        <f>'pooled normalised values'!V74</f>
        <v>Fadrozole-10 µg/L + Testostérone</v>
      </c>
      <c r="AA2" s="18" t="e">
        <f>'pooled normalised values'!#REF!</f>
        <v>#REF!</v>
      </c>
      <c r="AB2" s="18" t="e">
        <f>'pooled normalised values'!#REF!</f>
        <v>#REF!</v>
      </c>
      <c r="AC2" s="18" t="e">
        <f>'pooled normalised values'!#REF!</f>
        <v>#REF!</v>
      </c>
      <c r="AD2" s="18" t="e">
        <f>'pooled normalised values'!#REF!</f>
        <v>#REF!</v>
      </c>
      <c r="AE2" s="18" t="e">
        <f>'pooled normalised values'!#REF!</f>
        <v>#REF!</v>
      </c>
      <c r="AF2" s="18" t="e">
        <f>'pooled normalised values'!#REF!</f>
        <v>#REF!</v>
      </c>
      <c r="AG2" s="18" t="e">
        <f>'pooled normalised values'!#REF!</f>
        <v>#REF!</v>
      </c>
      <c r="AH2" s="18" t="e">
        <f>'pooled normalised values'!#REF!</f>
        <v>#REF!</v>
      </c>
      <c r="AI2" s="18" t="e">
        <f>'pooled normalised values'!#REF!</f>
        <v>#REF!</v>
      </c>
      <c r="AJ2" s="19"/>
      <c r="AK2" s="16" t="s">
        <v>9</v>
      </c>
    </row>
    <row r="3" spans="1:37" x14ac:dyDescent="0.25">
      <c r="A3" s="16" t="s">
        <v>71</v>
      </c>
      <c r="B3" s="62">
        <f>'summary results'!E6</f>
        <v>0</v>
      </c>
      <c r="D3" s="20" t="s">
        <v>10</v>
      </c>
      <c r="E3" s="21"/>
      <c r="F3" s="18">
        <f>HLOOKUP(F2,'pooled normalised values'!B74:V83,2,FALSE)</f>
        <v>6.5655370708833038E-2</v>
      </c>
      <c r="G3" s="18">
        <f>HLOOKUP(G2,'pooled normalised values'!C74:W83,2,FALSE)</f>
        <v>8.6220976585317521E-2</v>
      </c>
      <c r="H3" s="18">
        <f>HLOOKUP(H2,'pooled normalised values'!C74:X83,2,FALSE)</f>
        <v>6.631311610333214E-2</v>
      </c>
      <c r="I3" s="18">
        <f>HLOOKUP(I2,'pooled normalised values'!D74:Y83,2,FALSE)</f>
        <v>4.1710947658491801E-2</v>
      </c>
      <c r="J3" s="18" t="e">
        <f>HLOOKUP(J2,'pooled normalised values'!E74:Z83,2,FALSE)</f>
        <v>#REF!</v>
      </c>
      <c r="K3" s="18" t="e">
        <f>HLOOKUP(K2,'pooled normalised values'!F74:AA83,2,FALSE)</f>
        <v>#REF!</v>
      </c>
      <c r="L3" s="18" t="e">
        <f>HLOOKUP(L2,'pooled normalised values'!G74:AB83,2,FALSE)</f>
        <v>#REF!</v>
      </c>
      <c r="M3" s="18" t="e">
        <f>HLOOKUP(M2,'pooled normalised values'!H74:AC83,2,FALSE)</f>
        <v>#REF!</v>
      </c>
      <c r="N3" s="18" t="e">
        <f>HLOOKUP(N2,'pooled normalised values'!I74:AD83,2,FALSE)</f>
        <v>#REF!</v>
      </c>
      <c r="O3" s="18" t="e">
        <f>HLOOKUP(O2,'pooled normalised values'!J74:AE83,2,FALSE)</f>
        <v>#REF!</v>
      </c>
      <c r="P3" s="18" t="e">
        <f>HLOOKUP(P2,'pooled normalised values'!K74:AF83,2,FALSE)</f>
        <v>#REF!</v>
      </c>
      <c r="Q3" s="18" t="e">
        <f>HLOOKUP(Q2,'pooled normalised values'!L74:AG83,2,FALSE)</f>
        <v>#REF!</v>
      </c>
      <c r="R3" s="18" t="e">
        <f>HLOOKUP(R2,'pooled normalised values'!M74:AH83,2,FALSE)</f>
        <v>#REF!</v>
      </c>
      <c r="S3" s="18" t="e">
        <f>HLOOKUP(S2,'pooled normalised values'!N74:AI83,2,FALSE)</f>
        <v>#REF!</v>
      </c>
      <c r="T3" s="21"/>
      <c r="U3" s="19"/>
      <c r="V3" s="18">
        <f>HLOOKUP(V2,'pooled normalised values'!N74:AL83,2,FALSE)</f>
        <v>0.85353241819604231</v>
      </c>
      <c r="W3" s="18">
        <f>HLOOKUP(W2,'pooled normalised values'!N74:AM83,2,FALSE)</f>
        <v>1.1756129142383647</v>
      </c>
      <c r="X3" s="18">
        <f>HLOOKUP(X2,'pooled normalised values'!N74:AN83,2,FALSE)</f>
        <v>0.61821283636596513</v>
      </c>
      <c r="Y3" s="18">
        <f>HLOOKUP(Y2,'pooled normalised values'!N74:AO83,2,FALSE)</f>
        <v>0.69097917878826631</v>
      </c>
      <c r="Z3" s="18">
        <f>HLOOKUP(Z2,'pooled normalised values'!N74:AP83,2,FALSE)</f>
        <v>0.16727688594414816</v>
      </c>
      <c r="AA3" s="18" t="e">
        <f>HLOOKUP(AA2,'pooled normalised values'!N74:AQ83,2,FALSE)</f>
        <v>#REF!</v>
      </c>
      <c r="AB3" s="18" t="e">
        <f>HLOOKUP(AB2,'pooled normalised values'!N74:AR83,2,FALSE)</f>
        <v>#REF!</v>
      </c>
      <c r="AC3" s="18" t="e">
        <f>HLOOKUP(AC2,'pooled normalised values'!N74:AS83,2,FALSE)</f>
        <v>#REF!</v>
      </c>
      <c r="AD3" s="18" t="e">
        <f>HLOOKUP(AD2,'pooled normalised values'!N74:AT83,2,FALSE)</f>
        <v>#REF!</v>
      </c>
      <c r="AE3" s="18" t="e">
        <f>HLOOKUP(AE2,'pooled normalised values'!N74:AU83,2,FALSE)</f>
        <v>#REF!</v>
      </c>
      <c r="AF3" s="18" t="e">
        <f>HLOOKUP(AF2,'pooled normalised values'!N74:AV83,2,FALSE)</f>
        <v>#REF!</v>
      </c>
      <c r="AG3" s="18" t="e">
        <f>HLOOKUP(AG2,'pooled normalised values'!N74:AW83,2,FALSE)</f>
        <v>#REF!</v>
      </c>
      <c r="AH3" s="18" t="e">
        <f>HLOOKUP(AH2,'pooled normalised values'!N74:AX83,2,FALSE)</f>
        <v>#REF!</v>
      </c>
      <c r="AI3" s="18" t="e">
        <f>HLOOKUP(AI2,'pooled normalised values'!N74:AY83,2,FALSE)</f>
        <v>#REF!</v>
      </c>
      <c r="AJ3" s="19"/>
      <c r="AK3" s="20" t="s">
        <v>10</v>
      </c>
    </row>
    <row r="4" spans="1:37" x14ac:dyDescent="0.25">
      <c r="A4" s="16" t="s">
        <v>72</v>
      </c>
      <c r="B4" s="62">
        <f>'pooled normalised values'!O75</f>
        <v>1.0000000000000002</v>
      </c>
      <c r="D4" s="20" t="s">
        <v>2</v>
      </c>
      <c r="E4" s="21"/>
      <c r="F4" s="18">
        <f>HLOOKUP(F2,'pooled normalised values'!B74:V83,3,FALSE)</f>
        <v>2.2303267637442052E-2</v>
      </c>
      <c r="G4" s="18">
        <f>HLOOKUP(G2,'pooled normalised values'!C74:W83,3,FALSE)</f>
        <v>2.188321114960854E-2</v>
      </c>
      <c r="H4" s="18">
        <f>HLOOKUP(H2,'pooled normalised values'!C74:X83,3,FALSE)</f>
        <v>1.651834649453645E-2</v>
      </c>
      <c r="I4" s="18">
        <f>HLOOKUP(I2,'pooled normalised values'!D74:Y83,3,FALSE)</f>
        <v>1.2689106442257096E-2</v>
      </c>
      <c r="J4" s="18" t="e">
        <f>HLOOKUP(J2,'pooled normalised values'!E74:Z83,3,FALSE)</f>
        <v>#REF!</v>
      </c>
      <c r="K4" s="18" t="e">
        <f>HLOOKUP(K2,'pooled normalised values'!F74:AA83,3,FALSE)</f>
        <v>#REF!</v>
      </c>
      <c r="L4" s="18" t="e">
        <f>HLOOKUP(L2,'pooled normalised values'!G74:AB83,3,FALSE)</f>
        <v>#REF!</v>
      </c>
      <c r="M4" s="18" t="e">
        <f>HLOOKUP(M2,'pooled normalised values'!H74:AC83,3,FALSE)</f>
        <v>#REF!</v>
      </c>
      <c r="N4" s="18" t="e">
        <f>HLOOKUP(N2,'pooled normalised values'!I74:AD83,3,FALSE)</f>
        <v>#REF!</v>
      </c>
      <c r="O4" s="18" t="e">
        <f>HLOOKUP(O2,'pooled normalised values'!J74:AE83,3,FALSE)</f>
        <v>#REF!</v>
      </c>
      <c r="P4" s="18" t="e">
        <f>HLOOKUP(P2,'pooled normalised values'!K74:AF83,3,FALSE)</f>
        <v>#REF!</v>
      </c>
      <c r="Q4" s="18" t="e">
        <f>HLOOKUP(Q2,'pooled normalised values'!L74:AG83,3,FALSE)</f>
        <v>#REF!</v>
      </c>
      <c r="R4" s="18" t="e">
        <f>HLOOKUP(R2,'pooled normalised values'!M74:AH83,3,FALSE)</f>
        <v>#REF!</v>
      </c>
      <c r="S4" s="18" t="e">
        <f>HLOOKUP(S2,'pooled normalised values'!N74:AI83,3,FALSE)</f>
        <v>#REF!</v>
      </c>
      <c r="T4" s="21"/>
      <c r="U4" s="19"/>
      <c r="V4" s="18">
        <f>HLOOKUP(V2,'pooled normalised values'!N74:AL83,3,FALSE)</f>
        <v>0.19149736586142838</v>
      </c>
      <c r="W4" s="18">
        <f>HLOOKUP(W2,'pooled normalised values'!N74:AM83,3,FALSE)</f>
        <v>0.23987879089583367</v>
      </c>
      <c r="X4" s="18">
        <f>HLOOKUP(X2,'pooled normalised values'!N74:AN83,3,FALSE)</f>
        <v>0.19347247718356628</v>
      </c>
      <c r="Y4" s="18">
        <f>HLOOKUP(Y2,'pooled normalised values'!N74:AO83,3,FALSE)</f>
        <v>0.25913763983991966</v>
      </c>
      <c r="Z4" s="18">
        <f>HLOOKUP(Z2,'pooled normalised values'!N74:AP83,3,FALSE)</f>
        <v>9.9060737774059909E-2</v>
      </c>
      <c r="AA4" s="18" t="e">
        <f>HLOOKUP(AA2,'pooled normalised values'!N74:AQ83,3,FALSE)</f>
        <v>#REF!</v>
      </c>
      <c r="AB4" s="18" t="e">
        <f>HLOOKUP(AB2,'pooled normalised values'!N74:AR83,3,FALSE)</f>
        <v>#REF!</v>
      </c>
      <c r="AC4" s="18" t="e">
        <f>HLOOKUP(AC2,'pooled normalised values'!N74:AS83,3,FALSE)</f>
        <v>#REF!</v>
      </c>
      <c r="AD4" s="18" t="e">
        <f>HLOOKUP(AD2,'pooled normalised values'!N74:AT83,3,FALSE)</f>
        <v>#REF!</v>
      </c>
      <c r="AE4" s="18" t="e">
        <f>HLOOKUP(AE2,'pooled normalised values'!N74:AU83,3,FALSE)</f>
        <v>#REF!</v>
      </c>
      <c r="AF4" s="18" t="e">
        <f>HLOOKUP(AF2,'pooled normalised values'!N74:AV83,3,FALSE)</f>
        <v>#REF!</v>
      </c>
      <c r="AG4" s="18" t="e">
        <f>HLOOKUP(AG2,'pooled normalised values'!N74:AW83,3,FALSE)</f>
        <v>#REF!</v>
      </c>
      <c r="AH4" s="18" t="e">
        <f>HLOOKUP(AH2,'pooled normalised values'!N74:AX83,3,FALSE)</f>
        <v>#REF!</v>
      </c>
      <c r="AI4" s="18" t="e">
        <f>HLOOKUP(AI2,'pooled normalised values'!N74:AY83,3,FALSE)</f>
        <v>#REF!</v>
      </c>
      <c r="AJ4" s="19"/>
      <c r="AK4" s="20" t="s">
        <v>2</v>
      </c>
    </row>
    <row r="5" spans="1:37" x14ac:dyDescent="0.25">
      <c r="A5" s="16" t="s">
        <v>73</v>
      </c>
      <c r="B5" s="62">
        <f>'pooled normalised values'!P75</f>
        <v>10.949092320725359</v>
      </c>
      <c r="D5" s="22" t="s">
        <v>11</v>
      </c>
      <c r="E5" s="21"/>
      <c r="F5" s="18" t="str">
        <f>HLOOKUP(F2,'pooled normalised values'!B74:V83,10,FALSE)</f>
        <v>ns</v>
      </c>
      <c r="G5" s="18" t="str">
        <f>HLOOKUP(G2,'pooled normalised values'!C74:W83,10,FALSE)</f>
        <v>ns</v>
      </c>
      <c r="H5" s="18" t="str">
        <f>HLOOKUP(H2,'pooled normalised values'!C74:X83,10,FALSE)</f>
        <v>ns</v>
      </c>
      <c r="I5" s="18" t="str">
        <f>HLOOKUP(I2,'pooled normalised values'!D74:Y83,10,FALSE)</f>
        <v>ns</v>
      </c>
      <c r="J5" s="18" t="e">
        <f>HLOOKUP(J2,'pooled normalised values'!E74:Z83,10,FALSE)</f>
        <v>#REF!</v>
      </c>
      <c r="K5" s="18" t="e">
        <f>HLOOKUP(K2,'pooled normalised values'!F74:AA83,10,FALSE)</f>
        <v>#REF!</v>
      </c>
      <c r="L5" s="18" t="e">
        <f>HLOOKUP(L2,'pooled normalised values'!G74:AB83,10,FALSE)</f>
        <v>#REF!</v>
      </c>
      <c r="M5" s="18" t="e">
        <f>HLOOKUP(M2,'pooled normalised values'!H74:AC83,10,FALSE)</f>
        <v>#REF!</v>
      </c>
      <c r="N5" s="18" t="e">
        <f>HLOOKUP(N2,'pooled normalised values'!I74:AD83,10,FALSE)</f>
        <v>#REF!</v>
      </c>
      <c r="O5" s="18" t="e">
        <f>HLOOKUP(O2,'pooled normalised values'!J74:AE83,10,FALSE)</f>
        <v>#REF!</v>
      </c>
      <c r="P5" s="18" t="e">
        <f>HLOOKUP(P2,'pooled normalised values'!K74:AF83,10,FALSE)</f>
        <v>#REF!</v>
      </c>
      <c r="Q5" s="18" t="e">
        <f>HLOOKUP(Q2,'pooled normalised values'!L74:AG83,10,FALSE)</f>
        <v>#REF!</v>
      </c>
      <c r="R5" s="18" t="e">
        <f>HLOOKUP(R2,'pooled normalised values'!M74:AH83,10,FALSE)</f>
        <v>#REF!</v>
      </c>
      <c r="S5" s="18" t="e">
        <f>HLOOKUP(S2,'pooled normalised values'!N74:AI83,10,FALSE)</f>
        <v>#REF!</v>
      </c>
      <c r="T5" s="21"/>
      <c r="U5" s="19"/>
      <c r="V5" s="18" t="str">
        <f>HLOOKUP(V2,'pooled normalised values'!N74:AL83,10,FALSE)</f>
        <v>ns</v>
      </c>
      <c r="W5" s="18" t="str">
        <f>HLOOKUP(W2,'pooled normalised values'!N74:AM83,10,FALSE)</f>
        <v>ns</v>
      </c>
      <c r="X5" s="18" t="str">
        <f>HLOOKUP(X2,'pooled normalised values'!N74:AN83,10,FALSE)</f>
        <v>ns</v>
      </c>
      <c r="Y5" s="18" t="str">
        <f>HLOOKUP(Y2,'pooled normalised values'!N74:AO83,10,FALSE)</f>
        <v>ns</v>
      </c>
      <c r="Z5" s="18" t="str">
        <f>HLOOKUP(Z2,'pooled normalised values'!N74:AP83,10,FALSE)</f>
        <v>**</v>
      </c>
      <c r="AA5" s="18" t="e">
        <f>HLOOKUP(AA2,'pooled normalised values'!N74:AQ83,10,FALSE)</f>
        <v>#REF!</v>
      </c>
      <c r="AB5" s="18" t="e">
        <f>HLOOKUP(AB2,'pooled normalised values'!N74:AR83,10,FALSE)</f>
        <v>#REF!</v>
      </c>
      <c r="AC5" s="18" t="e">
        <f>HLOOKUP(AC2,'pooled normalised values'!N74:AS83,10,FALSE)</f>
        <v>#REF!</v>
      </c>
      <c r="AD5" s="18" t="e">
        <f>HLOOKUP(AD2,'pooled normalised values'!N74:AT83,10,FALSE)</f>
        <v>#REF!</v>
      </c>
      <c r="AE5" s="18" t="e">
        <f>HLOOKUP(AE2,'pooled normalised values'!N74:AU83,10,FALSE)</f>
        <v>#REF!</v>
      </c>
      <c r="AF5" s="18" t="e">
        <f>HLOOKUP(AF2,'pooled normalised values'!N74:AV83,10,FALSE)</f>
        <v>#REF!</v>
      </c>
      <c r="AG5" s="18" t="e">
        <f>HLOOKUP(AG2,'pooled normalised values'!N74:AW83,10,FALSE)</f>
        <v>#REF!</v>
      </c>
      <c r="AH5" s="18" t="e">
        <f>HLOOKUP(AH2,'pooled normalised values'!N74:AX83,10,FALSE)</f>
        <v>#REF!</v>
      </c>
      <c r="AI5" s="18" t="e">
        <f>HLOOKUP(AI2,'pooled normalised values'!N74:AY83,10,FALSE)</f>
        <v>#REF!</v>
      </c>
      <c r="AJ5" s="19"/>
      <c r="AK5" s="22" t="s">
        <v>11</v>
      </c>
    </row>
    <row r="6" spans="1:37" x14ac:dyDescent="0.25">
      <c r="A6" s="16" t="s">
        <v>74</v>
      </c>
      <c r="B6" s="62">
        <f>'pooled normalised values'!Q75</f>
        <v>8.1307432052613482E-2</v>
      </c>
      <c r="D6" s="20" t="s">
        <v>12</v>
      </c>
      <c r="E6" s="23">
        <f>$B$2</f>
        <v>4.3711826627377513E-2</v>
      </c>
      <c r="F6" s="23">
        <f>$B$2</f>
        <v>4.3711826627377513E-2</v>
      </c>
      <c r="G6" s="23">
        <f t="shared" ref="G6:R6" si="0">$B$2</f>
        <v>4.3711826627377513E-2</v>
      </c>
      <c r="H6" s="23">
        <f t="shared" si="0"/>
        <v>4.3711826627377513E-2</v>
      </c>
      <c r="I6" s="23">
        <f t="shared" si="0"/>
        <v>4.3711826627377513E-2</v>
      </c>
      <c r="J6" s="23">
        <f t="shared" si="0"/>
        <v>4.3711826627377513E-2</v>
      </c>
      <c r="K6" s="23">
        <f t="shared" si="0"/>
        <v>4.3711826627377513E-2</v>
      </c>
      <c r="L6" s="23">
        <f t="shared" si="0"/>
        <v>4.3711826627377513E-2</v>
      </c>
      <c r="M6" s="23">
        <f t="shared" si="0"/>
        <v>4.3711826627377513E-2</v>
      </c>
      <c r="N6" s="23">
        <f t="shared" si="0"/>
        <v>4.3711826627377513E-2</v>
      </c>
      <c r="O6" s="23">
        <f t="shared" si="0"/>
        <v>4.3711826627377513E-2</v>
      </c>
      <c r="P6" s="23">
        <f t="shared" si="0"/>
        <v>4.3711826627377513E-2</v>
      </c>
      <c r="Q6" s="23">
        <f t="shared" si="0"/>
        <v>4.3711826627377513E-2</v>
      </c>
      <c r="R6" s="23">
        <f t="shared" si="0"/>
        <v>4.3711826627377513E-2</v>
      </c>
      <c r="S6" s="23">
        <f>$B$2</f>
        <v>4.3711826627377513E-2</v>
      </c>
      <c r="T6" s="23">
        <f>$B$2</f>
        <v>4.3711826627377513E-2</v>
      </c>
      <c r="U6" s="24"/>
      <c r="V6" s="24"/>
      <c r="W6" s="24"/>
      <c r="X6" s="24"/>
      <c r="Y6" s="24"/>
      <c r="Z6" s="24"/>
      <c r="AA6" s="24"/>
      <c r="AB6" s="24"/>
      <c r="AC6" s="24"/>
      <c r="AD6" s="24"/>
      <c r="AE6" s="24"/>
      <c r="AF6" s="24"/>
      <c r="AG6" s="24"/>
      <c r="AH6" s="24"/>
      <c r="AI6" s="24"/>
      <c r="AJ6" s="24"/>
      <c r="AK6" s="20" t="s">
        <v>12</v>
      </c>
    </row>
    <row r="7" spans="1:37" x14ac:dyDescent="0.25">
      <c r="B7" s="25"/>
      <c r="D7" s="25" t="s">
        <v>13</v>
      </c>
      <c r="E7" s="23"/>
      <c r="F7" s="23"/>
      <c r="G7" s="23"/>
      <c r="H7" s="23"/>
      <c r="I7" s="23"/>
      <c r="J7" s="23"/>
      <c r="K7" s="23"/>
      <c r="L7" s="23"/>
      <c r="M7" s="23"/>
      <c r="N7" s="23"/>
      <c r="O7" s="23"/>
      <c r="P7" s="23"/>
      <c r="Q7" s="23"/>
      <c r="R7" s="23"/>
      <c r="S7" s="23"/>
      <c r="T7" s="26"/>
      <c r="U7" s="24">
        <f t="shared" ref="U7:AJ7" si="1">$B$4</f>
        <v>1.0000000000000002</v>
      </c>
      <c r="V7" s="24">
        <f t="shared" si="1"/>
        <v>1.0000000000000002</v>
      </c>
      <c r="W7" s="24">
        <f t="shared" si="1"/>
        <v>1.0000000000000002</v>
      </c>
      <c r="X7" s="24">
        <f t="shared" si="1"/>
        <v>1.0000000000000002</v>
      </c>
      <c r="Y7" s="24">
        <f t="shared" si="1"/>
        <v>1.0000000000000002</v>
      </c>
      <c r="Z7" s="24">
        <f t="shared" si="1"/>
        <v>1.0000000000000002</v>
      </c>
      <c r="AA7" s="24">
        <f t="shared" si="1"/>
        <v>1.0000000000000002</v>
      </c>
      <c r="AB7" s="24">
        <f t="shared" si="1"/>
        <v>1.0000000000000002</v>
      </c>
      <c r="AC7" s="24">
        <f t="shared" si="1"/>
        <v>1.0000000000000002</v>
      </c>
      <c r="AD7" s="24">
        <f t="shared" si="1"/>
        <v>1.0000000000000002</v>
      </c>
      <c r="AE7" s="24">
        <f t="shared" si="1"/>
        <v>1.0000000000000002</v>
      </c>
      <c r="AF7" s="24">
        <f t="shared" si="1"/>
        <v>1.0000000000000002</v>
      </c>
      <c r="AG7" s="24">
        <f t="shared" si="1"/>
        <v>1.0000000000000002</v>
      </c>
      <c r="AH7" s="24">
        <f t="shared" si="1"/>
        <v>1.0000000000000002</v>
      </c>
      <c r="AI7" s="24">
        <f t="shared" si="1"/>
        <v>1.0000000000000002</v>
      </c>
      <c r="AJ7" s="24">
        <f t="shared" si="1"/>
        <v>1.0000000000000002</v>
      </c>
      <c r="AK7" s="25" t="s">
        <v>13</v>
      </c>
    </row>
    <row r="8" spans="1:37" x14ac:dyDescent="0.25">
      <c r="D8" s="27" t="s">
        <v>14</v>
      </c>
      <c r="E8" s="23">
        <v>0</v>
      </c>
      <c r="F8" s="23">
        <v>0</v>
      </c>
      <c r="G8" s="23">
        <v>0</v>
      </c>
      <c r="H8" s="23">
        <v>0</v>
      </c>
      <c r="I8" s="23">
        <v>0</v>
      </c>
      <c r="J8" s="23">
        <v>0</v>
      </c>
      <c r="K8" s="23">
        <v>0</v>
      </c>
      <c r="L8" s="23">
        <v>0</v>
      </c>
      <c r="M8" s="23">
        <v>0</v>
      </c>
      <c r="N8" s="23">
        <v>0</v>
      </c>
      <c r="O8" s="23">
        <v>0</v>
      </c>
      <c r="P8" s="23">
        <v>0</v>
      </c>
      <c r="Q8" s="23">
        <v>0</v>
      </c>
      <c r="R8" s="23">
        <v>0</v>
      </c>
      <c r="S8" s="23">
        <v>0</v>
      </c>
      <c r="T8" s="26">
        <v>0</v>
      </c>
      <c r="U8" s="24">
        <f>$B$6</f>
        <v>8.1307432052613482E-2</v>
      </c>
      <c r="V8" s="24">
        <f t="shared" ref="V8:AJ8" si="2">$B$6</f>
        <v>8.1307432052613482E-2</v>
      </c>
      <c r="W8" s="24">
        <f t="shared" si="2"/>
        <v>8.1307432052613482E-2</v>
      </c>
      <c r="X8" s="24">
        <f t="shared" si="2"/>
        <v>8.1307432052613482E-2</v>
      </c>
      <c r="Y8" s="24">
        <f t="shared" si="2"/>
        <v>8.1307432052613482E-2</v>
      </c>
      <c r="Z8" s="24">
        <f t="shared" si="2"/>
        <v>8.1307432052613482E-2</v>
      </c>
      <c r="AA8" s="24">
        <f t="shared" si="2"/>
        <v>8.1307432052613482E-2</v>
      </c>
      <c r="AB8" s="24">
        <f t="shared" si="2"/>
        <v>8.1307432052613482E-2</v>
      </c>
      <c r="AC8" s="24">
        <f t="shared" si="2"/>
        <v>8.1307432052613482E-2</v>
      </c>
      <c r="AD8" s="24">
        <f t="shared" si="2"/>
        <v>8.1307432052613482E-2</v>
      </c>
      <c r="AE8" s="24">
        <f t="shared" si="2"/>
        <v>8.1307432052613482E-2</v>
      </c>
      <c r="AF8" s="24">
        <f t="shared" si="2"/>
        <v>8.1307432052613482E-2</v>
      </c>
      <c r="AG8" s="24">
        <f t="shared" si="2"/>
        <v>8.1307432052613482E-2</v>
      </c>
      <c r="AH8" s="24">
        <f t="shared" si="2"/>
        <v>8.1307432052613482E-2</v>
      </c>
      <c r="AI8" s="24">
        <f t="shared" si="2"/>
        <v>8.1307432052613482E-2</v>
      </c>
      <c r="AJ8" s="24">
        <f t="shared" si="2"/>
        <v>8.1307432052613482E-2</v>
      </c>
      <c r="AK8" s="27" t="s">
        <v>14</v>
      </c>
    </row>
    <row r="9" spans="1:37" x14ac:dyDescent="0.25">
      <c r="D9" s="27" t="s">
        <v>15</v>
      </c>
      <c r="E9" s="28">
        <f>$B$3-E8</f>
        <v>0</v>
      </c>
      <c r="F9" s="28">
        <f>$B$3-F8</f>
        <v>0</v>
      </c>
      <c r="G9" s="28">
        <f t="shared" ref="G9:R9" si="3">$B$3-G8</f>
        <v>0</v>
      </c>
      <c r="H9" s="28">
        <f t="shared" si="3"/>
        <v>0</v>
      </c>
      <c r="I9" s="28">
        <f t="shared" si="3"/>
        <v>0</v>
      </c>
      <c r="J9" s="28">
        <f t="shared" si="3"/>
        <v>0</v>
      </c>
      <c r="K9" s="28">
        <f t="shared" si="3"/>
        <v>0</v>
      </c>
      <c r="L9" s="28">
        <f t="shared" si="3"/>
        <v>0</v>
      </c>
      <c r="M9" s="28">
        <f t="shared" si="3"/>
        <v>0</v>
      </c>
      <c r="N9" s="28">
        <f t="shared" si="3"/>
        <v>0</v>
      </c>
      <c r="O9" s="28">
        <f t="shared" si="3"/>
        <v>0</v>
      </c>
      <c r="P9" s="28">
        <f t="shared" si="3"/>
        <v>0</v>
      </c>
      <c r="Q9" s="28">
        <f t="shared" si="3"/>
        <v>0</v>
      </c>
      <c r="R9" s="28">
        <f t="shared" si="3"/>
        <v>0</v>
      </c>
      <c r="S9" s="28">
        <f>$B$3-S8</f>
        <v>0</v>
      </c>
      <c r="T9" s="28">
        <f>$B$3-T8</f>
        <v>0</v>
      </c>
      <c r="U9" s="24">
        <f>$B$5-U8</f>
        <v>10.867784888672746</v>
      </c>
      <c r="V9" s="24">
        <f>$B$5-V8</f>
        <v>10.867784888672746</v>
      </c>
      <c r="W9" s="24">
        <f t="shared" ref="W9:AH9" si="4">$B$5-W8</f>
        <v>10.867784888672746</v>
      </c>
      <c r="X9" s="24">
        <f t="shared" si="4"/>
        <v>10.867784888672746</v>
      </c>
      <c r="Y9" s="24">
        <f t="shared" si="4"/>
        <v>10.867784888672746</v>
      </c>
      <c r="Z9" s="24">
        <f t="shared" si="4"/>
        <v>10.867784888672746</v>
      </c>
      <c r="AA9" s="24">
        <f t="shared" si="4"/>
        <v>10.867784888672746</v>
      </c>
      <c r="AB9" s="24">
        <f t="shared" si="4"/>
        <v>10.867784888672746</v>
      </c>
      <c r="AC9" s="24">
        <f t="shared" si="4"/>
        <v>10.867784888672746</v>
      </c>
      <c r="AD9" s="24">
        <f t="shared" si="4"/>
        <v>10.867784888672746</v>
      </c>
      <c r="AE9" s="24">
        <f t="shared" si="4"/>
        <v>10.867784888672746</v>
      </c>
      <c r="AF9" s="24">
        <f t="shared" si="4"/>
        <v>10.867784888672746</v>
      </c>
      <c r="AG9" s="24">
        <f t="shared" si="4"/>
        <v>10.867784888672746</v>
      </c>
      <c r="AH9" s="24">
        <f t="shared" si="4"/>
        <v>10.867784888672746</v>
      </c>
      <c r="AI9" s="24">
        <f>$B$5-AI8</f>
        <v>10.867784888672746</v>
      </c>
      <c r="AJ9" s="24">
        <f>$B$5-AJ8</f>
        <v>10.867784888672746</v>
      </c>
      <c r="AK9" s="27" t="s">
        <v>15</v>
      </c>
    </row>
    <row r="10" spans="1:37" x14ac:dyDescent="0.25">
      <c r="D10" s="27" t="s">
        <v>16</v>
      </c>
      <c r="E10" s="26">
        <f>2.5-E9</f>
        <v>2.5</v>
      </c>
      <c r="F10" s="26">
        <f>2.5-F9</f>
        <v>2.5</v>
      </c>
      <c r="G10" s="26">
        <f t="shared" ref="G10:R10" si="5">2.5-G9</f>
        <v>2.5</v>
      </c>
      <c r="H10" s="26">
        <f t="shared" si="5"/>
        <v>2.5</v>
      </c>
      <c r="I10" s="26">
        <f t="shared" si="5"/>
        <v>2.5</v>
      </c>
      <c r="J10" s="26">
        <f t="shared" si="5"/>
        <v>2.5</v>
      </c>
      <c r="K10" s="26">
        <f t="shared" si="5"/>
        <v>2.5</v>
      </c>
      <c r="L10" s="26">
        <f t="shared" si="5"/>
        <v>2.5</v>
      </c>
      <c r="M10" s="26">
        <f t="shared" si="5"/>
        <v>2.5</v>
      </c>
      <c r="N10" s="26">
        <f t="shared" si="5"/>
        <v>2.5</v>
      </c>
      <c r="O10" s="26">
        <f t="shared" si="5"/>
        <v>2.5</v>
      </c>
      <c r="P10" s="26">
        <f t="shared" si="5"/>
        <v>2.5</v>
      </c>
      <c r="Q10" s="26">
        <f t="shared" si="5"/>
        <v>2.5</v>
      </c>
      <c r="R10" s="26">
        <f t="shared" si="5"/>
        <v>2.5</v>
      </c>
      <c r="S10" s="26">
        <f>2.5-S9</f>
        <v>2.5</v>
      </c>
      <c r="T10" s="26">
        <f>2.5-T9</f>
        <v>2.5</v>
      </c>
      <c r="U10" s="24">
        <f>2.5-U9</f>
        <v>-8.3677848886727464</v>
      </c>
      <c r="V10" s="24">
        <f>2.5-V9</f>
        <v>-8.3677848886727464</v>
      </c>
      <c r="W10" s="24">
        <f t="shared" ref="W10:AH10" si="6">2.5-W9</f>
        <v>-8.3677848886727464</v>
      </c>
      <c r="X10" s="24">
        <f t="shared" si="6"/>
        <v>-8.3677848886727464</v>
      </c>
      <c r="Y10" s="24">
        <f t="shared" si="6"/>
        <v>-8.3677848886727464</v>
      </c>
      <c r="Z10" s="24">
        <f t="shared" si="6"/>
        <v>-8.3677848886727464</v>
      </c>
      <c r="AA10" s="24">
        <f t="shared" si="6"/>
        <v>-8.3677848886727464</v>
      </c>
      <c r="AB10" s="24">
        <f t="shared" si="6"/>
        <v>-8.3677848886727464</v>
      </c>
      <c r="AC10" s="24">
        <f t="shared" si="6"/>
        <v>-8.3677848886727464</v>
      </c>
      <c r="AD10" s="24">
        <f t="shared" si="6"/>
        <v>-8.3677848886727464</v>
      </c>
      <c r="AE10" s="24">
        <f t="shared" si="6"/>
        <v>-8.3677848886727464</v>
      </c>
      <c r="AF10" s="24">
        <f t="shared" si="6"/>
        <v>-8.3677848886727464</v>
      </c>
      <c r="AG10" s="24">
        <f t="shared" si="6"/>
        <v>-8.3677848886727464</v>
      </c>
      <c r="AH10" s="24">
        <f t="shared" si="6"/>
        <v>-8.3677848886727464</v>
      </c>
      <c r="AI10" s="24">
        <f>2.5-AI9</f>
        <v>-8.3677848886727464</v>
      </c>
      <c r="AJ10" s="24">
        <f>2.5-AJ9</f>
        <v>-8.3677848886727464</v>
      </c>
      <c r="AK10" s="27" t="s">
        <v>16</v>
      </c>
    </row>
    <row r="17" spans="2:20" x14ac:dyDescent="0.25">
      <c r="C17" s="22"/>
      <c r="D17" s="22"/>
    </row>
    <row r="18" spans="2:20" x14ac:dyDescent="0.25">
      <c r="B18" s="29"/>
    </row>
    <row r="19" spans="2:20" x14ac:dyDescent="0.25">
      <c r="B19" s="29"/>
    </row>
    <row r="20" spans="2:20" x14ac:dyDescent="0.25">
      <c r="B20" s="30"/>
    </row>
    <row r="21" spans="2:20" x14ac:dyDescent="0.25">
      <c r="B21" s="29"/>
    </row>
    <row r="22" spans="2:20" x14ac:dyDescent="0.25">
      <c r="B22" s="29"/>
      <c r="T22" s="22"/>
    </row>
    <row r="23" spans="2:20" x14ac:dyDescent="0.25">
      <c r="B23" s="30"/>
      <c r="T23" s="22"/>
    </row>
    <row r="24" spans="2:20" x14ac:dyDescent="0.25">
      <c r="T24" s="22"/>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5546875" defaultRowHeight="13.2" x14ac:dyDescent="0.25"/>
  <cols>
    <col min="1" max="1" width="18.77734375" style="16" customWidth="1"/>
    <col min="2" max="2" width="7.21875" style="16" bestFit="1" customWidth="1"/>
    <col min="3" max="3" width="10.5546875" style="16" customWidth="1"/>
    <col min="4" max="4" width="13.77734375" style="16" bestFit="1" customWidth="1"/>
    <col min="5" max="5" width="12" style="16" bestFit="1" customWidth="1"/>
    <col min="6" max="6" width="14.77734375" style="16" customWidth="1"/>
    <col min="7" max="8" width="11.44140625" style="16"/>
    <col min="9" max="9" width="13.5546875" style="16" bestFit="1" customWidth="1"/>
    <col min="10" max="256" width="11.44140625" style="16"/>
    <col min="257" max="257" width="18.77734375" style="16" customWidth="1"/>
    <col min="258" max="258" width="13.77734375" style="16" bestFit="1" customWidth="1"/>
    <col min="259" max="259" width="17.21875" style="16" customWidth="1"/>
    <col min="260" max="260" width="11" style="16" customWidth="1"/>
    <col min="261" max="261" width="12" style="16" bestFit="1" customWidth="1"/>
    <col min="262" max="262" width="14.77734375" style="16" customWidth="1"/>
    <col min="263" max="512" width="11.44140625" style="16"/>
    <col min="513" max="513" width="18.77734375" style="16" customWidth="1"/>
    <col min="514" max="514" width="13.77734375" style="16" bestFit="1" customWidth="1"/>
    <col min="515" max="515" width="17.21875" style="16" customWidth="1"/>
    <col min="516" max="516" width="11" style="16" customWidth="1"/>
    <col min="517" max="517" width="12" style="16" bestFit="1" customWidth="1"/>
    <col min="518" max="518" width="14.77734375" style="16" customWidth="1"/>
    <col min="519" max="768" width="11.44140625" style="16"/>
    <col min="769" max="769" width="18.77734375" style="16" customWidth="1"/>
    <col min="770" max="770" width="13.77734375" style="16" bestFit="1" customWidth="1"/>
    <col min="771" max="771" width="17.21875" style="16" customWidth="1"/>
    <col min="772" max="772" width="11" style="16" customWidth="1"/>
    <col min="773" max="773" width="12" style="16" bestFit="1" customWidth="1"/>
    <col min="774" max="774" width="14.77734375" style="16" customWidth="1"/>
    <col min="775" max="1024" width="11.44140625" style="16"/>
    <col min="1025" max="1025" width="18.77734375" style="16" customWidth="1"/>
    <col min="1026" max="1026" width="13.77734375" style="16" bestFit="1" customWidth="1"/>
    <col min="1027" max="1027" width="17.21875" style="16" customWidth="1"/>
    <col min="1028" max="1028" width="11" style="16" customWidth="1"/>
    <col min="1029" max="1029" width="12" style="16" bestFit="1" customWidth="1"/>
    <col min="1030" max="1030" width="14.77734375" style="16" customWidth="1"/>
    <col min="1031" max="1280" width="11.44140625" style="16"/>
    <col min="1281" max="1281" width="18.77734375" style="16" customWidth="1"/>
    <col min="1282" max="1282" width="13.77734375" style="16" bestFit="1" customWidth="1"/>
    <col min="1283" max="1283" width="17.21875" style="16" customWidth="1"/>
    <col min="1284" max="1284" width="11" style="16" customWidth="1"/>
    <col min="1285" max="1285" width="12" style="16" bestFit="1" customWidth="1"/>
    <col min="1286" max="1286" width="14.77734375" style="16" customWidth="1"/>
    <col min="1287" max="1536" width="11.44140625" style="16"/>
    <col min="1537" max="1537" width="18.77734375" style="16" customWidth="1"/>
    <col min="1538" max="1538" width="13.77734375" style="16" bestFit="1" customWidth="1"/>
    <col min="1539" max="1539" width="17.21875" style="16" customWidth="1"/>
    <col min="1540" max="1540" width="11" style="16" customWidth="1"/>
    <col min="1541" max="1541" width="12" style="16" bestFit="1" customWidth="1"/>
    <col min="1542" max="1542" width="14.77734375" style="16" customWidth="1"/>
    <col min="1543" max="1792" width="11.44140625" style="16"/>
    <col min="1793" max="1793" width="18.77734375" style="16" customWidth="1"/>
    <col min="1794" max="1794" width="13.77734375" style="16" bestFit="1" customWidth="1"/>
    <col min="1795" max="1795" width="17.21875" style="16" customWidth="1"/>
    <col min="1796" max="1796" width="11" style="16" customWidth="1"/>
    <col min="1797" max="1797" width="12" style="16" bestFit="1" customWidth="1"/>
    <col min="1798" max="1798" width="14.77734375" style="16" customWidth="1"/>
    <col min="1799" max="2048" width="11.44140625" style="16"/>
    <col min="2049" max="2049" width="18.77734375" style="16" customWidth="1"/>
    <col min="2050" max="2050" width="13.77734375" style="16" bestFit="1" customWidth="1"/>
    <col min="2051" max="2051" width="17.21875" style="16" customWidth="1"/>
    <col min="2052" max="2052" width="11" style="16" customWidth="1"/>
    <col min="2053" max="2053" width="12" style="16" bestFit="1" customWidth="1"/>
    <col min="2054" max="2054" width="14.77734375" style="16" customWidth="1"/>
    <col min="2055" max="2304" width="11.44140625" style="16"/>
    <col min="2305" max="2305" width="18.77734375" style="16" customWidth="1"/>
    <col min="2306" max="2306" width="13.77734375" style="16" bestFit="1" customWidth="1"/>
    <col min="2307" max="2307" width="17.21875" style="16" customWidth="1"/>
    <col min="2308" max="2308" width="11" style="16" customWidth="1"/>
    <col min="2309" max="2309" width="12" style="16" bestFit="1" customWidth="1"/>
    <col min="2310" max="2310" width="14.77734375" style="16" customWidth="1"/>
    <col min="2311" max="2560" width="11.44140625" style="16"/>
    <col min="2561" max="2561" width="18.77734375" style="16" customWidth="1"/>
    <col min="2562" max="2562" width="13.77734375" style="16" bestFit="1" customWidth="1"/>
    <col min="2563" max="2563" width="17.21875" style="16" customWidth="1"/>
    <col min="2564" max="2564" width="11" style="16" customWidth="1"/>
    <col min="2565" max="2565" width="12" style="16" bestFit="1" customWidth="1"/>
    <col min="2566" max="2566" width="14.77734375" style="16" customWidth="1"/>
    <col min="2567" max="2816" width="11.44140625" style="16"/>
    <col min="2817" max="2817" width="18.77734375" style="16" customWidth="1"/>
    <col min="2818" max="2818" width="13.77734375" style="16" bestFit="1" customWidth="1"/>
    <col min="2819" max="2819" width="17.21875" style="16" customWidth="1"/>
    <col min="2820" max="2820" width="11" style="16" customWidth="1"/>
    <col min="2821" max="2821" width="12" style="16" bestFit="1" customWidth="1"/>
    <col min="2822" max="2822" width="14.77734375" style="16" customWidth="1"/>
    <col min="2823" max="3072" width="11.44140625" style="16"/>
    <col min="3073" max="3073" width="18.77734375" style="16" customWidth="1"/>
    <col min="3074" max="3074" width="13.77734375" style="16" bestFit="1" customWidth="1"/>
    <col min="3075" max="3075" width="17.21875" style="16" customWidth="1"/>
    <col min="3076" max="3076" width="11" style="16" customWidth="1"/>
    <col min="3077" max="3077" width="12" style="16" bestFit="1" customWidth="1"/>
    <col min="3078" max="3078" width="14.77734375" style="16" customWidth="1"/>
    <col min="3079" max="3328" width="11.44140625" style="16"/>
    <col min="3329" max="3329" width="18.77734375" style="16" customWidth="1"/>
    <col min="3330" max="3330" width="13.77734375" style="16" bestFit="1" customWidth="1"/>
    <col min="3331" max="3331" width="17.21875" style="16" customWidth="1"/>
    <col min="3332" max="3332" width="11" style="16" customWidth="1"/>
    <col min="3333" max="3333" width="12" style="16" bestFit="1" customWidth="1"/>
    <col min="3334" max="3334" width="14.77734375" style="16" customWidth="1"/>
    <col min="3335" max="3584" width="11.44140625" style="16"/>
    <col min="3585" max="3585" width="18.77734375" style="16" customWidth="1"/>
    <col min="3586" max="3586" width="13.77734375" style="16" bestFit="1" customWidth="1"/>
    <col min="3587" max="3587" width="17.21875" style="16" customWidth="1"/>
    <col min="3588" max="3588" width="11" style="16" customWidth="1"/>
    <col min="3589" max="3589" width="12" style="16" bestFit="1" customWidth="1"/>
    <col min="3590" max="3590" width="14.77734375" style="16" customWidth="1"/>
    <col min="3591" max="3840" width="11.44140625" style="16"/>
    <col min="3841" max="3841" width="18.77734375" style="16" customWidth="1"/>
    <col min="3842" max="3842" width="13.77734375" style="16" bestFit="1" customWidth="1"/>
    <col min="3843" max="3843" width="17.21875" style="16" customWidth="1"/>
    <col min="3844" max="3844" width="11" style="16" customWidth="1"/>
    <col min="3845" max="3845" width="12" style="16" bestFit="1" customWidth="1"/>
    <col min="3846" max="3846" width="14.77734375" style="16" customWidth="1"/>
    <col min="3847" max="4096" width="11.44140625" style="16"/>
    <col min="4097" max="4097" width="18.77734375" style="16" customWidth="1"/>
    <col min="4098" max="4098" width="13.77734375" style="16" bestFit="1" customWidth="1"/>
    <col min="4099" max="4099" width="17.21875" style="16" customWidth="1"/>
    <col min="4100" max="4100" width="11" style="16" customWidth="1"/>
    <col min="4101" max="4101" width="12" style="16" bestFit="1" customWidth="1"/>
    <col min="4102" max="4102" width="14.77734375" style="16" customWidth="1"/>
    <col min="4103" max="4352" width="11.44140625" style="16"/>
    <col min="4353" max="4353" width="18.77734375" style="16" customWidth="1"/>
    <col min="4354" max="4354" width="13.77734375" style="16" bestFit="1" customWidth="1"/>
    <col min="4355" max="4355" width="17.21875" style="16" customWidth="1"/>
    <col min="4356" max="4356" width="11" style="16" customWidth="1"/>
    <col min="4357" max="4357" width="12" style="16" bestFit="1" customWidth="1"/>
    <col min="4358" max="4358" width="14.77734375" style="16" customWidth="1"/>
    <col min="4359" max="4608" width="11.44140625" style="16"/>
    <col min="4609" max="4609" width="18.77734375" style="16" customWidth="1"/>
    <col min="4610" max="4610" width="13.77734375" style="16" bestFit="1" customWidth="1"/>
    <col min="4611" max="4611" width="17.21875" style="16" customWidth="1"/>
    <col min="4612" max="4612" width="11" style="16" customWidth="1"/>
    <col min="4613" max="4613" width="12" style="16" bestFit="1" customWidth="1"/>
    <col min="4614" max="4614" width="14.77734375" style="16" customWidth="1"/>
    <col min="4615" max="4864" width="11.44140625" style="16"/>
    <col min="4865" max="4865" width="18.77734375" style="16" customWidth="1"/>
    <col min="4866" max="4866" width="13.77734375" style="16" bestFit="1" customWidth="1"/>
    <col min="4867" max="4867" width="17.21875" style="16" customWidth="1"/>
    <col min="4868" max="4868" width="11" style="16" customWidth="1"/>
    <col min="4869" max="4869" width="12" style="16" bestFit="1" customWidth="1"/>
    <col min="4870" max="4870" width="14.77734375" style="16" customWidth="1"/>
    <col min="4871" max="5120" width="11.44140625" style="16"/>
    <col min="5121" max="5121" width="18.77734375" style="16" customWidth="1"/>
    <col min="5122" max="5122" width="13.77734375" style="16" bestFit="1" customWidth="1"/>
    <col min="5123" max="5123" width="17.21875" style="16" customWidth="1"/>
    <col min="5124" max="5124" width="11" style="16" customWidth="1"/>
    <col min="5125" max="5125" width="12" style="16" bestFit="1" customWidth="1"/>
    <col min="5126" max="5126" width="14.77734375" style="16" customWidth="1"/>
    <col min="5127" max="5376" width="11.44140625" style="16"/>
    <col min="5377" max="5377" width="18.77734375" style="16" customWidth="1"/>
    <col min="5378" max="5378" width="13.77734375" style="16" bestFit="1" customWidth="1"/>
    <col min="5379" max="5379" width="17.21875" style="16" customWidth="1"/>
    <col min="5380" max="5380" width="11" style="16" customWidth="1"/>
    <col min="5381" max="5381" width="12" style="16" bestFit="1" customWidth="1"/>
    <col min="5382" max="5382" width="14.77734375" style="16" customWidth="1"/>
    <col min="5383" max="5632" width="11.44140625" style="16"/>
    <col min="5633" max="5633" width="18.77734375" style="16" customWidth="1"/>
    <col min="5634" max="5634" width="13.77734375" style="16" bestFit="1" customWidth="1"/>
    <col min="5635" max="5635" width="17.21875" style="16" customWidth="1"/>
    <col min="5636" max="5636" width="11" style="16" customWidth="1"/>
    <col min="5637" max="5637" width="12" style="16" bestFit="1" customWidth="1"/>
    <col min="5638" max="5638" width="14.77734375" style="16" customWidth="1"/>
    <col min="5639" max="5888" width="11.44140625" style="16"/>
    <col min="5889" max="5889" width="18.77734375" style="16" customWidth="1"/>
    <col min="5890" max="5890" width="13.77734375" style="16" bestFit="1" customWidth="1"/>
    <col min="5891" max="5891" width="17.21875" style="16" customWidth="1"/>
    <col min="5892" max="5892" width="11" style="16" customWidth="1"/>
    <col min="5893" max="5893" width="12" style="16" bestFit="1" customWidth="1"/>
    <col min="5894" max="5894" width="14.77734375" style="16" customWidth="1"/>
    <col min="5895" max="6144" width="11.44140625" style="16"/>
    <col min="6145" max="6145" width="18.77734375" style="16" customWidth="1"/>
    <col min="6146" max="6146" width="13.77734375" style="16" bestFit="1" customWidth="1"/>
    <col min="6147" max="6147" width="17.21875" style="16" customWidth="1"/>
    <col min="6148" max="6148" width="11" style="16" customWidth="1"/>
    <col min="6149" max="6149" width="12" style="16" bestFit="1" customWidth="1"/>
    <col min="6150" max="6150" width="14.77734375" style="16" customWidth="1"/>
    <col min="6151" max="6400" width="11.44140625" style="16"/>
    <col min="6401" max="6401" width="18.77734375" style="16" customWidth="1"/>
    <col min="6402" max="6402" width="13.77734375" style="16" bestFit="1" customWidth="1"/>
    <col min="6403" max="6403" width="17.21875" style="16" customWidth="1"/>
    <col min="6404" max="6404" width="11" style="16" customWidth="1"/>
    <col min="6405" max="6405" width="12" style="16" bestFit="1" customWidth="1"/>
    <col min="6406" max="6406" width="14.77734375" style="16" customWidth="1"/>
    <col min="6407" max="6656" width="11.44140625" style="16"/>
    <col min="6657" max="6657" width="18.77734375" style="16" customWidth="1"/>
    <col min="6658" max="6658" width="13.77734375" style="16" bestFit="1" customWidth="1"/>
    <col min="6659" max="6659" width="17.21875" style="16" customWidth="1"/>
    <col min="6660" max="6660" width="11" style="16" customWidth="1"/>
    <col min="6661" max="6661" width="12" style="16" bestFit="1" customWidth="1"/>
    <col min="6662" max="6662" width="14.77734375" style="16" customWidth="1"/>
    <col min="6663" max="6912" width="11.44140625" style="16"/>
    <col min="6913" max="6913" width="18.77734375" style="16" customWidth="1"/>
    <col min="6914" max="6914" width="13.77734375" style="16" bestFit="1" customWidth="1"/>
    <col min="6915" max="6915" width="17.21875" style="16" customWidth="1"/>
    <col min="6916" max="6916" width="11" style="16" customWidth="1"/>
    <col min="6917" max="6917" width="12" style="16" bestFit="1" customWidth="1"/>
    <col min="6918" max="6918" width="14.77734375" style="16" customWidth="1"/>
    <col min="6919" max="7168" width="11.44140625" style="16"/>
    <col min="7169" max="7169" width="18.77734375" style="16" customWidth="1"/>
    <col min="7170" max="7170" width="13.77734375" style="16" bestFit="1" customWidth="1"/>
    <col min="7171" max="7171" width="17.21875" style="16" customWidth="1"/>
    <col min="7172" max="7172" width="11" style="16" customWidth="1"/>
    <col min="7173" max="7173" width="12" style="16" bestFit="1" customWidth="1"/>
    <col min="7174" max="7174" width="14.77734375" style="16" customWidth="1"/>
    <col min="7175" max="7424" width="11.44140625" style="16"/>
    <col min="7425" max="7425" width="18.77734375" style="16" customWidth="1"/>
    <col min="7426" max="7426" width="13.77734375" style="16" bestFit="1" customWidth="1"/>
    <col min="7427" max="7427" width="17.21875" style="16" customWidth="1"/>
    <col min="7428" max="7428" width="11" style="16" customWidth="1"/>
    <col min="7429" max="7429" width="12" style="16" bestFit="1" customWidth="1"/>
    <col min="7430" max="7430" width="14.77734375" style="16" customWidth="1"/>
    <col min="7431" max="7680" width="11.44140625" style="16"/>
    <col min="7681" max="7681" width="18.77734375" style="16" customWidth="1"/>
    <col min="7682" max="7682" width="13.77734375" style="16" bestFit="1" customWidth="1"/>
    <col min="7683" max="7683" width="17.21875" style="16" customWidth="1"/>
    <col min="7684" max="7684" width="11" style="16" customWidth="1"/>
    <col min="7685" max="7685" width="12" style="16" bestFit="1" customWidth="1"/>
    <col min="7686" max="7686" width="14.77734375" style="16" customWidth="1"/>
    <col min="7687" max="7936" width="11.44140625" style="16"/>
    <col min="7937" max="7937" width="18.77734375" style="16" customWidth="1"/>
    <col min="7938" max="7938" width="13.77734375" style="16" bestFit="1" customWidth="1"/>
    <col min="7939" max="7939" width="17.21875" style="16" customWidth="1"/>
    <col min="7940" max="7940" width="11" style="16" customWidth="1"/>
    <col min="7941" max="7941" width="12" style="16" bestFit="1" customWidth="1"/>
    <col min="7942" max="7942" width="14.77734375" style="16" customWidth="1"/>
    <col min="7943" max="8192" width="11.44140625" style="16"/>
    <col min="8193" max="8193" width="18.77734375" style="16" customWidth="1"/>
    <col min="8194" max="8194" width="13.77734375" style="16" bestFit="1" customWidth="1"/>
    <col min="8195" max="8195" width="17.21875" style="16" customWidth="1"/>
    <col min="8196" max="8196" width="11" style="16" customWidth="1"/>
    <col min="8197" max="8197" width="12" style="16" bestFit="1" customWidth="1"/>
    <col min="8198" max="8198" width="14.77734375" style="16" customWidth="1"/>
    <col min="8199" max="8448" width="11.44140625" style="16"/>
    <col min="8449" max="8449" width="18.77734375" style="16" customWidth="1"/>
    <col min="8450" max="8450" width="13.77734375" style="16" bestFit="1" customWidth="1"/>
    <col min="8451" max="8451" width="17.21875" style="16" customWidth="1"/>
    <col min="8452" max="8452" width="11" style="16" customWidth="1"/>
    <col min="8453" max="8453" width="12" style="16" bestFit="1" customWidth="1"/>
    <col min="8454" max="8454" width="14.77734375" style="16" customWidth="1"/>
    <col min="8455" max="8704" width="11.44140625" style="16"/>
    <col min="8705" max="8705" width="18.77734375" style="16" customWidth="1"/>
    <col min="8706" max="8706" width="13.77734375" style="16" bestFit="1" customWidth="1"/>
    <col min="8707" max="8707" width="17.21875" style="16" customWidth="1"/>
    <col min="8708" max="8708" width="11" style="16" customWidth="1"/>
    <col min="8709" max="8709" width="12" style="16" bestFit="1" customWidth="1"/>
    <col min="8710" max="8710" width="14.77734375" style="16" customWidth="1"/>
    <col min="8711" max="8960" width="11.44140625" style="16"/>
    <col min="8961" max="8961" width="18.77734375" style="16" customWidth="1"/>
    <col min="8962" max="8962" width="13.77734375" style="16" bestFit="1" customWidth="1"/>
    <col min="8963" max="8963" width="17.21875" style="16" customWidth="1"/>
    <col min="8964" max="8964" width="11" style="16" customWidth="1"/>
    <col min="8965" max="8965" width="12" style="16" bestFit="1" customWidth="1"/>
    <col min="8966" max="8966" width="14.77734375" style="16" customWidth="1"/>
    <col min="8967" max="9216" width="11.44140625" style="16"/>
    <col min="9217" max="9217" width="18.77734375" style="16" customWidth="1"/>
    <col min="9218" max="9218" width="13.77734375" style="16" bestFit="1" customWidth="1"/>
    <col min="9219" max="9219" width="17.21875" style="16" customWidth="1"/>
    <col min="9220" max="9220" width="11" style="16" customWidth="1"/>
    <col min="9221" max="9221" width="12" style="16" bestFit="1" customWidth="1"/>
    <col min="9222" max="9222" width="14.77734375" style="16" customWidth="1"/>
    <col min="9223" max="9472" width="11.44140625" style="16"/>
    <col min="9473" max="9473" width="18.77734375" style="16" customWidth="1"/>
    <col min="9474" max="9474" width="13.77734375" style="16" bestFit="1" customWidth="1"/>
    <col min="9475" max="9475" width="17.21875" style="16" customWidth="1"/>
    <col min="9476" max="9476" width="11" style="16" customWidth="1"/>
    <col min="9477" max="9477" width="12" style="16" bestFit="1" customWidth="1"/>
    <col min="9478" max="9478" width="14.77734375" style="16" customWidth="1"/>
    <col min="9479" max="9728" width="11.44140625" style="16"/>
    <col min="9729" max="9729" width="18.77734375" style="16" customWidth="1"/>
    <col min="9730" max="9730" width="13.77734375" style="16" bestFit="1" customWidth="1"/>
    <col min="9731" max="9731" width="17.21875" style="16" customWidth="1"/>
    <col min="9732" max="9732" width="11" style="16" customWidth="1"/>
    <col min="9733" max="9733" width="12" style="16" bestFit="1" customWidth="1"/>
    <col min="9734" max="9734" width="14.77734375" style="16" customWidth="1"/>
    <col min="9735" max="9984" width="11.44140625" style="16"/>
    <col min="9985" max="9985" width="18.77734375" style="16" customWidth="1"/>
    <col min="9986" max="9986" width="13.77734375" style="16" bestFit="1" customWidth="1"/>
    <col min="9987" max="9987" width="17.21875" style="16" customWidth="1"/>
    <col min="9988" max="9988" width="11" style="16" customWidth="1"/>
    <col min="9989" max="9989" width="12" style="16" bestFit="1" customWidth="1"/>
    <col min="9990" max="9990" width="14.77734375" style="16" customWidth="1"/>
    <col min="9991" max="10240" width="11.44140625" style="16"/>
    <col min="10241" max="10241" width="18.77734375" style="16" customWidth="1"/>
    <col min="10242" max="10242" width="13.77734375" style="16" bestFit="1" customWidth="1"/>
    <col min="10243" max="10243" width="17.21875" style="16" customWidth="1"/>
    <col min="10244" max="10244" width="11" style="16" customWidth="1"/>
    <col min="10245" max="10245" width="12" style="16" bestFit="1" customWidth="1"/>
    <col min="10246" max="10246" width="14.77734375" style="16" customWidth="1"/>
    <col min="10247" max="10496" width="11.44140625" style="16"/>
    <col min="10497" max="10497" width="18.77734375" style="16" customWidth="1"/>
    <col min="10498" max="10498" width="13.77734375" style="16" bestFit="1" customWidth="1"/>
    <col min="10499" max="10499" width="17.21875" style="16" customWidth="1"/>
    <col min="10500" max="10500" width="11" style="16" customWidth="1"/>
    <col min="10501" max="10501" width="12" style="16" bestFit="1" customWidth="1"/>
    <col min="10502" max="10502" width="14.77734375" style="16" customWidth="1"/>
    <col min="10503" max="10752" width="11.44140625" style="16"/>
    <col min="10753" max="10753" width="18.77734375" style="16" customWidth="1"/>
    <col min="10754" max="10754" width="13.77734375" style="16" bestFit="1" customWidth="1"/>
    <col min="10755" max="10755" width="17.21875" style="16" customWidth="1"/>
    <col min="10756" max="10756" width="11" style="16" customWidth="1"/>
    <col min="10757" max="10757" width="12" style="16" bestFit="1" customWidth="1"/>
    <col min="10758" max="10758" width="14.77734375" style="16" customWidth="1"/>
    <col min="10759" max="11008" width="11.44140625" style="16"/>
    <col min="11009" max="11009" width="18.77734375" style="16" customWidth="1"/>
    <col min="11010" max="11010" width="13.77734375" style="16" bestFit="1" customWidth="1"/>
    <col min="11011" max="11011" width="17.21875" style="16" customWidth="1"/>
    <col min="11012" max="11012" width="11" style="16" customWidth="1"/>
    <col min="11013" max="11013" width="12" style="16" bestFit="1" customWidth="1"/>
    <col min="11014" max="11014" width="14.77734375" style="16" customWidth="1"/>
    <col min="11015" max="11264" width="11.44140625" style="16"/>
    <col min="11265" max="11265" width="18.77734375" style="16" customWidth="1"/>
    <col min="11266" max="11266" width="13.77734375" style="16" bestFit="1" customWidth="1"/>
    <col min="11267" max="11267" width="17.21875" style="16" customWidth="1"/>
    <col min="11268" max="11268" width="11" style="16" customWidth="1"/>
    <col min="11269" max="11269" width="12" style="16" bestFit="1" customWidth="1"/>
    <col min="11270" max="11270" width="14.77734375" style="16" customWidth="1"/>
    <col min="11271" max="11520" width="11.44140625" style="16"/>
    <col min="11521" max="11521" width="18.77734375" style="16" customWidth="1"/>
    <col min="11522" max="11522" width="13.77734375" style="16" bestFit="1" customWidth="1"/>
    <col min="11523" max="11523" width="17.21875" style="16" customWidth="1"/>
    <col min="11524" max="11524" width="11" style="16" customWidth="1"/>
    <col min="11525" max="11525" width="12" style="16" bestFit="1" customWidth="1"/>
    <col min="11526" max="11526" width="14.77734375" style="16" customWidth="1"/>
    <col min="11527" max="11776" width="11.44140625" style="16"/>
    <col min="11777" max="11777" width="18.77734375" style="16" customWidth="1"/>
    <col min="11778" max="11778" width="13.77734375" style="16" bestFit="1" customWidth="1"/>
    <col min="11779" max="11779" width="17.21875" style="16" customWidth="1"/>
    <col min="11780" max="11780" width="11" style="16" customWidth="1"/>
    <col min="11781" max="11781" width="12" style="16" bestFit="1" customWidth="1"/>
    <col min="11782" max="11782" width="14.77734375" style="16" customWidth="1"/>
    <col min="11783" max="12032" width="11.44140625" style="16"/>
    <col min="12033" max="12033" width="18.77734375" style="16" customWidth="1"/>
    <col min="12034" max="12034" width="13.77734375" style="16" bestFit="1" customWidth="1"/>
    <col min="12035" max="12035" width="17.21875" style="16" customWidth="1"/>
    <col min="12036" max="12036" width="11" style="16" customWidth="1"/>
    <col min="12037" max="12037" width="12" style="16" bestFit="1" customWidth="1"/>
    <col min="12038" max="12038" width="14.77734375" style="16" customWidth="1"/>
    <col min="12039" max="12288" width="11.44140625" style="16"/>
    <col min="12289" max="12289" width="18.77734375" style="16" customWidth="1"/>
    <col min="12290" max="12290" width="13.77734375" style="16" bestFit="1" customWidth="1"/>
    <col min="12291" max="12291" width="17.21875" style="16" customWidth="1"/>
    <col min="12292" max="12292" width="11" style="16" customWidth="1"/>
    <col min="12293" max="12293" width="12" style="16" bestFit="1" customWidth="1"/>
    <col min="12294" max="12294" width="14.77734375" style="16" customWidth="1"/>
    <col min="12295" max="12544" width="11.44140625" style="16"/>
    <col min="12545" max="12545" width="18.77734375" style="16" customWidth="1"/>
    <col min="12546" max="12546" width="13.77734375" style="16" bestFit="1" customWidth="1"/>
    <col min="12547" max="12547" width="17.21875" style="16" customWidth="1"/>
    <col min="12548" max="12548" width="11" style="16" customWidth="1"/>
    <col min="12549" max="12549" width="12" style="16" bestFit="1" customWidth="1"/>
    <col min="12550" max="12550" width="14.77734375" style="16" customWidth="1"/>
    <col min="12551" max="12800" width="11.44140625" style="16"/>
    <col min="12801" max="12801" width="18.77734375" style="16" customWidth="1"/>
    <col min="12802" max="12802" width="13.77734375" style="16" bestFit="1" customWidth="1"/>
    <col min="12803" max="12803" width="17.21875" style="16" customWidth="1"/>
    <col min="12804" max="12804" width="11" style="16" customWidth="1"/>
    <col min="12805" max="12805" width="12" style="16" bestFit="1" customWidth="1"/>
    <col min="12806" max="12806" width="14.77734375" style="16" customWidth="1"/>
    <col min="12807" max="13056" width="11.44140625" style="16"/>
    <col min="13057" max="13057" width="18.77734375" style="16" customWidth="1"/>
    <col min="13058" max="13058" width="13.77734375" style="16" bestFit="1" customWidth="1"/>
    <col min="13059" max="13059" width="17.21875" style="16" customWidth="1"/>
    <col min="13060" max="13060" width="11" style="16" customWidth="1"/>
    <col min="13061" max="13061" width="12" style="16" bestFit="1" customWidth="1"/>
    <col min="13062" max="13062" width="14.77734375" style="16" customWidth="1"/>
    <col min="13063" max="13312" width="11.44140625" style="16"/>
    <col min="13313" max="13313" width="18.77734375" style="16" customWidth="1"/>
    <col min="13314" max="13314" width="13.77734375" style="16" bestFit="1" customWidth="1"/>
    <col min="13315" max="13315" width="17.21875" style="16" customWidth="1"/>
    <col min="13316" max="13316" width="11" style="16" customWidth="1"/>
    <col min="13317" max="13317" width="12" style="16" bestFit="1" customWidth="1"/>
    <col min="13318" max="13318" width="14.77734375" style="16" customWidth="1"/>
    <col min="13319" max="13568" width="11.44140625" style="16"/>
    <col min="13569" max="13569" width="18.77734375" style="16" customWidth="1"/>
    <col min="13570" max="13570" width="13.77734375" style="16" bestFit="1" customWidth="1"/>
    <col min="13571" max="13571" width="17.21875" style="16" customWidth="1"/>
    <col min="13572" max="13572" width="11" style="16" customWidth="1"/>
    <col min="13573" max="13573" width="12" style="16" bestFit="1" customWidth="1"/>
    <col min="13574" max="13574" width="14.77734375" style="16" customWidth="1"/>
    <col min="13575" max="13824" width="11.44140625" style="16"/>
    <col min="13825" max="13825" width="18.77734375" style="16" customWidth="1"/>
    <col min="13826" max="13826" width="13.77734375" style="16" bestFit="1" customWidth="1"/>
    <col min="13827" max="13827" width="17.21875" style="16" customWidth="1"/>
    <col min="13828" max="13828" width="11" style="16" customWidth="1"/>
    <col min="13829" max="13829" width="12" style="16" bestFit="1" customWidth="1"/>
    <col min="13830" max="13830" width="14.77734375" style="16" customWidth="1"/>
    <col min="13831" max="14080" width="11.44140625" style="16"/>
    <col min="14081" max="14081" width="18.77734375" style="16" customWidth="1"/>
    <col min="14082" max="14082" width="13.77734375" style="16" bestFit="1" customWidth="1"/>
    <col min="14083" max="14083" width="17.21875" style="16" customWidth="1"/>
    <col min="14084" max="14084" width="11" style="16" customWidth="1"/>
    <col min="14085" max="14085" width="12" style="16" bestFit="1" customWidth="1"/>
    <col min="14086" max="14086" width="14.77734375" style="16" customWidth="1"/>
    <col min="14087" max="14336" width="11.44140625" style="16"/>
    <col min="14337" max="14337" width="18.77734375" style="16" customWidth="1"/>
    <col min="14338" max="14338" width="13.77734375" style="16" bestFit="1" customWidth="1"/>
    <col min="14339" max="14339" width="17.21875" style="16" customWidth="1"/>
    <col min="14340" max="14340" width="11" style="16" customWidth="1"/>
    <col min="14341" max="14341" width="12" style="16" bestFit="1" customWidth="1"/>
    <col min="14342" max="14342" width="14.77734375" style="16" customWidth="1"/>
    <col min="14343" max="14592" width="11.44140625" style="16"/>
    <col min="14593" max="14593" width="18.77734375" style="16" customWidth="1"/>
    <col min="14594" max="14594" width="13.77734375" style="16" bestFit="1" customWidth="1"/>
    <col min="14595" max="14595" width="17.21875" style="16" customWidth="1"/>
    <col min="14596" max="14596" width="11" style="16" customWidth="1"/>
    <col min="14597" max="14597" width="12" style="16" bestFit="1" customWidth="1"/>
    <col min="14598" max="14598" width="14.77734375" style="16" customWidth="1"/>
    <col min="14599" max="14848" width="11.44140625" style="16"/>
    <col min="14849" max="14849" width="18.77734375" style="16" customWidth="1"/>
    <col min="14850" max="14850" width="13.77734375" style="16" bestFit="1" customWidth="1"/>
    <col min="14851" max="14851" width="17.21875" style="16" customWidth="1"/>
    <col min="14852" max="14852" width="11" style="16" customWidth="1"/>
    <col min="14853" max="14853" width="12" style="16" bestFit="1" customWidth="1"/>
    <col min="14854" max="14854" width="14.77734375" style="16" customWidth="1"/>
    <col min="14855" max="15104" width="11.44140625" style="16"/>
    <col min="15105" max="15105" width="18.77734375" style="16" customWidth="1"/>
    <col min="15106" max="15106" width="13.77734375" style="16" bestFit="1" customWidth="1"/>
    <col min="15107" max="15107" width="17.21875" style="16" customWidth="1"/>
    <col min="15108" max="15108" width="11" style="16" customWidth="1"/>
    <col min="15109" max="15109" width="12" style="16" bestFit="1" customWidth="1"/>
    <col min="15110" max="15110" width="14.77734375" style="16" customWidth="1"/>
    <col min="15111" max="15360" width="11.44140625" style="16"/>
    <col min="15361" max="15361" width="18.77734375" style="16" customWidth="1"/>
    <col min="15362" max="15362" width="13.77734375" style="16" bestFit="1" customWidth="1"/>
    <col min="15363" max="15363" width="17.21875" style="16" customWidth="1"/>
    <col min="15364" max="15364" width="11" style="16" customWidth="1"/>
    <col min="15365" max="15365" width="12" style="16" bestFit="1" customWidth="1"/>
    <col min="15366" max="15366" width="14.77734375" style="16" customWidth="1"/>
    <col min="15367" max="15616" width="11.44140625" style="16"/>
    <col min="15617" max="15617" width="18.77734375" style="16" customWidth="1"/>
    <col min="15618" max="15618" width="13.77734375" style="16" bestFit="1" customWidth="1"/>
    <col min="15619" max="15619" width="17.21875" style="16" customWidth="1"/>
    <col min="15620" max="15620" width="11" style="16" customWidth="1"/>
    <col min="15621" max="15621" width="12" style="16" bestFit="1" customWidth="1"/>
    <col min="15622" max="15622" width="14.77734375" style="16" customWidth="1"/>
    <col min="15623" max="15872" width="11.44140625" style="16"/>
    <col min="15873" max="15873" width="18.77734375" style="16" customWidth="1"/>
    <col min="15874" max="15874" width="13.77734375" style="16" bestFit="1" customWidth="1"/>
    <col min="15875" max="15875" width="17.21875" style="16" customWidth="1"/>
    <col min="15876" max="15876" width="11" style="16" customWidth="1"/>
    <col min="15877" max="15877" width="12" style="16" bestFit="1" customWidth="1"/>
    <col min="15878" max="15878" width="14.77734375" style="16" customWidth="1"/>
    <col min="15879" max="16128" width="11.44140625" style="16"/>
    <col min="16129" max="16129" width="18.77734375" style="16" customWidth="1"/>
    <col min="16130" max="16130" width="13.77734375" style="16" bestFit="1" customWidth="1"/>
    <col min="16131" max="16131" width="17.21875" style="16" customWidth="1"/>
    <col min="16132" max="16132" width="11" style="16" customWidth="1"/>
    <col min="16133" max="16133" width="12" style="16" bestFit="1" customWidth="1"/>
    <col min="16134" max="16134" width="14.77734375" style="16" customWidth="1"/>
    <col min="16135" max="16384" width="11.44140625" style="16"/>
  </cols>
  <sheetData>
    <row r="2" spans="1:11" x14ac:dyDescent="0.25">
      <c r="A2" s="16" t="s">
        <v>70</v>
      </c>
      <c r="B2" s="62">
        <f>'pooled normalised values'!B75</f>
        <v>4.3711826627377513E-2</v>
      </c>
      <c r="D2" s="16" t="s">
        <v>9</v>
      </c>
      <c r="E2" s="17"/>
      <c r="F2" s="18" t="str">
        <f>'pooled normalised values'!J74</f>
        <v>Fadrozole-0.08µg/L</v>
      </c>
      <c r="G2" s="17"/>
      <c r="H2" s="19"/>
      <c r="I2" s="18" t="str">
        <f>'pooled normalised values'!R74</f>
        <v>Fadrozole-0.016µg/L + Testostérone</v>
      </c>
      <c r="J2" s="19"/>
      <c r="K2" s="16" t="s">
        <v>9</v>
      </c>
    </row>
    <row r="3" spans="1:11" x14ac:dyDescent="0.25">
      <c r="A3" s="16" t="s">
        <v>71</v>
      </c>
      <c r="B3" s="62">
        <f>'summary results'!E6</f>
        <v>0</v>
      </c>
      <c r="D3" s="20" t="s">
        <v>10</v>
      </c>
      <c r="E3" s="21"/>
      <c r="F3" s="18">
        <f>HLOOKUP(F2,'pooled normalised values'!B74:V83,2,FALSE)</f>
        <v>6.5655370708833038E-2</v>
      </c>
      <c r="G3" s="21"/>
      <c r="H3" s="19"/>
      <c r="I3" s="18">
        <f>HLOOKUP(I2,'pooled normalised values'!N74:AL83,2,FALSE)</f>
        <v>0.85353241819604231</v>
      </c>
      <c r="J3" s="19"/>
      <c r="K3" s="20" t="s">
        <v>10</v>
      </c>
    </row>
    <row r="4" spans="1:11" x14ac:dyDescent="0.25">
      <c r="A4" s="16" t="s">
        <v>72</v>
      </c>
      <c r="B4" s="62">
        <f>'pooled normalised values'!O75</f>
        <v>1.0000000000000002</v>
      </c>
      <c r="D4" s="20" t="s">
        <v>2</v>
      </c>
      <c r="E4" s="21"/>
      <c r="F4" s="18">
        <f>HLOOKUP(F2,'pooled normalised values'!B74:V83,3,FALSE)</f>
        <v>2.2303267637442052E-2</v>
      </c>
      <c r="G4" s="21"/>
      <c r="H4" s="19"/>
      <c r="I4" s="18">
        <f>HLOOKUP(I2,'pooled normalised values'!N74:AL83,3,FALSE)</f>
        <v>0.19149736586142838</v>
      </c>
      <c r="J4" s="19"/>
      <c r="K4" s="20" t="s">
        <v>2</v>
      </c>
    </row>
    <row r="5" spans="1:11" x14ac:dyDescent="0.25">
      <c r="A5" s="16" t="s">
        <v>73</v>
      </c>
      <c r="B5" s="62">
        <f>'pooled normalised values'!P75</f>
        <v>10.949092320725359</v>
      </c>
      <c r="D5" s="22" t="s">
        <v>11</v>
      </c>
      <c r="E5" s="21"/>
      <c r="F5" s="18" t="str">
        <f>HLOOKUP(F2,'pooled normalised values'!B74:V83,10,FALSE)</f>
        <v>ns</v>
      </c>
      <c r="G5" s="21"/>
      <c r="H5" s="19"/>
      <c r="I5" s="18" t="str">
        <f>HLOOKUP(I2,'pooled normalised values'!N74:AL83,10,FALSE)</f>
        <v>ns</v>
      </c>
      <c r="J5" s="19"/>
      <c r="K5" s="22" t="s">
        <v>11</v>
      </c>
    </row>
    <row r="6" spans="1:11" x14ac:dyDescent="0.25">
      <c r="A6" s="16" t="s">
        <v>74</v>
      </c>
      <c r="B6" s="62">
        <f>'pooled normalised values'!Q75</f>
        <v>8.1307432052613482E-2</v>
      </c>
      <c r="D6" s="20" t="s">
        <v>12</v>
      </c>
      <c r="E6" s="23">
        <f>$B$2</f>
        <v>4.3711826627377513E-2</v>
      </c>
      <c r="F6" s="23">
        <f>$B$2</f>
        <v>4.3711826627377513E-2</v>
      </c>
      <c r="G6" s="23">
        <f>$B$2</f>
        <v>4.3711826627377513E-2</v>
      </c>
      <c r="H6" s="24"/>
      <c r="I6" s="24"/>
      <c r="J6" s="24"/>
      <c r="K6" s="20" t="s">
        <v>12</v>
      </c>
    </row>
    <row r="7" spans="1:11" x14ac:dyDescent="0.25">
      <c r="B7" s="25"/>
      <c r="D7" s="25" t="s">
        <v>13</v>
      </c>
      <c r="E7" s="23"/>
      <c r="F7" s="23"/>
      <c r="G7" s="26"/>
      <c r="H7" s="24">
        <f t="shared" ref="H7:J7" si="0">$B$4</f>
        <v>1.0000000000000002</v>
      </c>
      <c r="I7" s="24">
        <f t="shared" si="0"/>
        <v>1.0000000000000002</v>
      </c>
      <c r="J7" s="24">
        <f t="shared" si="0"/>
        <v>1.0000000000000002</v>
      </c>
      <c r="K7" s="25" t="s">
        <v>13</v>
      </c>
    </row>
    <row r="8" spans="1:11" x14ac:dyDescent="0.25">
      <c r="D8" s="27" t="s">
        <v>14</v>
      </c>
      <c r="E8" s="23">
        <v>0</v>
      </c>
      <c r="F8" s="23">
        <v>0</v>
      </c>
      <c r="G8" s="26">
        <v>0</v>
      </c>
      <c r="H8" s="24">
        <f>$B$6</f>
        <v>8.1307432052613482E-2</v>
      </c>
      <c r="I8" s="24">
        <f t="shared" ref="I8:J8" si="1">$B$6</f>
        <v>8.1307432052613482E-2</v>
      </c>
      <c r="J8" s="24">
        <f t="shared" si="1"/>
        <v>8.1307432052613482E-2</v>
      </c>
      <c r="K8" s="27" t="s">
        <v>14</v>
      </c>
    </row>
    <row r="9" spans="1:11" x14ac:dyDescent="0.25">
      <c r="D9" s="27" t="s">
        <v>15</v>
      </c>
      <c r="E9" s="28">
        <f>$B$3-E8</f>
        <v>0</v>
      </c>
      <c r="F9" s="28">
        <f>$B$3-F8</f>
        <v>0</v>
      </c>
      <c r="G9" s="28">
        <f>$B$3-G8</f>
        <v>0</v>
      </c>
      <c r="H9" s="24">
        <f>$B$5-H8</f>
        <v>10.867784888672746</v>
      </c>
      <c r="I9" s="24">
        <f>$B$5-I8</f>
        <v>10.867784888672746</v>
      </c>
      <c r="J9" s="24">
        <f>$B$5-J8</f>
        <v>10.867784888672746</v>
      </c>
      <c r="K9" s="27" t="s">
        <v>15</v>
      </c>
    </row>
    <row r="10" spans="1:11" x14ac:dyDescent="0.25">
      <c r="D10" s="27" t="s">
        <v>16</v>
      </c>
      <c r="E10" s="26">
        <f t="shared" ref="E10:J10" si="2">2.5-E9</f>
        <v>2.5</v>
      </c>
      <c r="F10" s="26">
        <f t="shared" si="2"/>
        <v>2.5</v>
      </c>
      <c r="G10" s="26">
        <f t="shared" si="2"/>
        <v>2.5</v>
      </c>
      <c r="H10" s="24">
        <f t="shared" si="2"/>
        <v>-8.3677848886727464</v>
      </c>
      <c r="I10" s="24">
        <f t="shared" si="2"/>
        <v>-8.3677848886727464</v>
      </c>
      <c r="J10" s="24">
        <f t="shared" si="2"/>
        <v>-8.3677848886727464</v>
      </c>
      <c r="K10" s="27" t="s">
        <v>16</v>
      </c>
    </row>
    <row r="17" spans="2:7" x14ac:dyDescent="0.25">
      <c r="C17" s="22"/>
      <c r="D17" s="22"/>
    </row>
    <row r="18" spans="2:7" x14ac:dyDescent="0.25">
      <c r="B18" s="29"/>
    </row>
    <row r="19" spans="2:7" x14ac:dyDescent="0.25">
      <c r="B19" s="29"/>
    </row>
    <row r="20" spans="2:7" x14ac:dyDescent="0.25">
      <c r="B20" s="30"/>
    </row>
    <row r="21" spans="2:7" x14ac:dyDescent="0.25">
      <c r="B21" s="29"/>
    </row>
    <row r="22" spans="2:7" x14ac:dyDescent="0.25">
      <c r="B22" s="29"/>
      <c r="G22" s="22"/>
    </row>
    <row r="23" spans="2:7" x14ac:dyDescent="0.25">
      <c r="B23" s="30"/>
      <c r="G23" s="22"/>
    </row>
    <row r="24" spans="2:7" x14ac:dyDescent="0.25">
      <c r="G24" s="22"/>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5546875" defaultRowHeight="14.4" x14ac:dyDescent="0.3"/>
  <cols>
    <col min="1" max="1" width="11.44140625" style="1"/>
    <col min="3" max="3" width="15.21875" customWidth="1"/>
    <col min="4" max="4" width="13.77734375" customWidth="1"/>
    <col min="5" max="5" width="18.21875" customWidth="1"/>
    <col min="6" max="6" width="14" customWidth="1"/>
    <col min="7" max="7" width="14.44140625" customWidth="1"/>
    <col min="8" max="8" width="14.21875" customWidth="1"/>
    <col min="9" max="9" width="17" customWidth="1"/>
    <col min="10" max="10" width="12.5546875" customWidth="1"/>
    <col min="11" max="11" width="13.21875" customWidth="1"/>
    <col min="12" max="12" width="15.77734375" customWidth="1"/>
    <col min="13" max="14" width="16.21875" customWidth="1"/>
    <col min="17" max="23" width="9.77734375" customWidth="1"/>
  </cols>
  <sheetData>
    <row r="1" spans="1:23" ht="29.4" thickBot="1" x14ac:dyDescent="0.35">
      <c r="A1" s="145" t="s">
        <v>102</v>
      </c>
      <c r="B1" s="145" t="s">
        <v>103</v>
      </c>
      <c r="C1" s="142" t="s">
        <v>86</v>
      </c>
      <c r="D1" s="142" t="s">
        <v>87</v>
      </c>
      <c r="E1" s="143" t="s">
        <v>88</v>
      </c>
      <c r="F1" s="143" t="s">
        <v>89</v>
      </c>
      <c r="G1" s="142" t="s">
        <v>90</v>
      </c>
      <c r="H1" s="142" t="s">
        <v>91</v>
      </c>
      <c r="I1" s="142" t="s">
        <v>92</v>
      </c>
      <c r="J1" s="142" t="s">
        <v>93</v>
      </c>
      <c r="K1" s="142" t="s">
        <v>94</v>
      </c>
      <c r="L1" s="142" t="s">
        <v>95</v>
      </c>
      <c r="M1" s="142" t="s">
        <v>96</v>
      </c>
      <c r="N1" s="142" t="s">
        <v>97</v>
      </c>
      <c r="Q1" s="230" t="s">
        <v>99</v>
      </c>
      <c r="R1" s="230"/>
      <c r="S1" s="230"/>
      <c r="U1" s="230" t="s">
        <v>98</v>
      </c>
      <c r="V1" s="230"/>
      <c r="W1" s="230"/>
    </row>
    <row r="2" spans="1:23" x14ac:dyDescent="0.3">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7" t="s">
        <v>7</v>
      </c>
      <c r="R2" s="1" t="s">
        <v>130</v>
      </c>
      <c r="U2" s="117" t="s">
        <v>7</v>
      </c>
      <c r="V2" s="1" t="s">
        <v>130</v>
      </c>
    </row>
    <row r="3" spans="1:23" x14ac:dyDescent="0.3">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7" t="s">
        <v>78</v>
      </c>
      <c r="R3" s="1" t="s">
        <v>106</v>
      </c>
      <c r="U3" s="117" t="s">
        <v>78</v>
      </c>
      <c r="V3" s="1" t="s">
        <v>50</v>
      </c>
    </row>
    <row r="4" spans="1:23" x14ac:dyDescent="0.3">
      <c r="A4" s="1">
        <f t="shared" ref="A4:A15" si="1">Q8</f>
        <v>0</v>
      </c>
      <c r="B4" s="43">
        <f t="shared" ref="B4:B15" si="2">U8</f>
        <v>0</v>
      </c>
      <c r="D4" s="43" t="e">
        <f>CONCATENATE(VLOOKUP(Tableau3[[#This Row],[Nom ND]],liste_groupe[],3,FALSE),VLOOKUP(Tableau3[[#This Row],[Nom ND]],liste_groupe[],4,FALSE))</f>
        <v>#N/A</v>
      </c>
      <c r="E4" s="43" t="e">
        <f>HLOOKUP(Tableau3[[#This Row],[Nom ND]],'pooled normalised values'!$B$74:$V$83,4,FALSE)</f>
        <v>#N/A</v>
      </c>
      <c r="F4" s="43" t="e">
        <f>HLOOKUP(Tableau3[[#This Row],[Nom ND]],'pooled normalised values'!$B$74:$V$83,8,FALSE)</f>
        <v>#N/A</v>
      </c>
      <c r="G4" s="43" t="e">
        <f>VLOOKUP(Tableau3[[#This Row],[Nom ND]],'summary results'!$A$6:$N$26,9,FALSE)</f>
        <v>#N/A</v>
      </c>
      <c r="H4" s="43" t="e">
        <f>VLOOKUP(Tableau3[[#This Row],[Nom ND]],'summary results'!$A$6:$N$26,11,FALSE)</f>
        <v>#N/A</v>
      </c>
      <c r="I4" s="43" t="e">
        <f>HLOOKUP(Tableau3[[#This Row],[Nom D]],'pooled normalised values'!$B$74:$V$83,4,FALSE)</f>
        <v>#N/A</v>
      </c>
      <c r="J4" s="43" t="e">
        <f>HLOOKUP(Tableau3[[#This Row],[Nom D]],'pooled normalised values'!$B$74:$V$83,8,FALSE)</f>
        <v>#N/A</v>
      </c>
      <c r="K4" s="43" t="e">
        <f>VLOOKUP(Tableau3[[#This Row],[Nom D]],'summary results'!$A$29:$N$51,9,FALSE)</f>
        <v>#N/A</v>
      </c>
      <c r="L4" s="43" t="e">
        <f>VLOOKUP(Tableau3[[#This Row],[Nom D]],'summary results'!$A$29:$N$51,11,FALSE)</f>
        <v>#N/A</v>
      </c>
      <c r="M4" t="e">
        <f>'summary results'!$G$30</f>
        <v>#NUM!</v>
      </c>
      <c r="N4" t="e">
        <f>'summary results'!$G$31</f>
        <v>#NUM!</v>
      </c>
    </row>
    <row r="5" spans="1:23" x14ac:dyDescent="0.3">
      <c r="A5" s="1">
        <f t="shared" si="1"/>
        <v>0</v>
      </c>
      <c r="B5" s="43">
        <f t="shared" si="2"/>
        <v>0</v>
      </c>
      <c r="D5" s="43" t="e">
        <f>CONCATENATE(VLOOKUP(Tableau3[[#This Row],[Nom ND]],liste_groupe[],3,FALSE),VLOOKUP(Tableau3[[#This Row],[Nom ND]],liste_groupe[],4,FALSE))</f>
        <v>#N/A</v>
      </c>
      <c r="E5" s="43" t="e">
        <f>HLOOKUP(Tableau3[[#This Row],[Nom ND]],'pooled normalised values'!$B$74:$V$83,4,FALSE)</f>
        <v>#N/A</v>
      </c>
      <c r="F5" s="43" t="e">
        <f>HLOOKUP(Tableau3[[#This Row],[Nom ND]],'pooled normalised values'!$B$74:$V$83,8,FALSE)</f>
        <v>#N/A</v>
      </c>
      <c r="G5" s="43" t="e">
        <f>VLOOKUP(Tableau3[[#This Row],[Nom ND]],'summary results'!$A$6:$N$26,9,FALSE)</f>
        <v>#N/A</v>
      </c>
      <c r="H5" s="43" t="e">
        <f>VLOOKUP(Tableau3[[#This Row],[Nom ND]],'summary results'!$A$6:$N$26,11,FALSE)</f>
        <v>#N/A</v>
      </c>
      <c r="I5" s="43" t="e">
        <f>HLOOKUP(Tableau3[[#This Row],[Nom D]],'pooled normalised values'!$B$74:$V$83,4,FALSE)</f>
        <v>#N/A</v>
      </c>
      <c r="J5" s="43" t="e">
        <f>HLOOKUP(Tableau3[[#This Row],[Nom D]],'pooled normalised values'!$B$74:$V$83,8,FALSE)</f>
        <v>#N/A</v>
      </c>
      <c r="K5" s="43" t="e">
        <f>VLOOKUP(Tableau3[[#This Row],[Nom D]],'summary results'!$A$29:$N$51,9,FALSE)</f>
        <v>#N/A</v>
      </c>
      <c r="L5" s="43" t="e">
        <f>VLOOKUP(Tableau3[[#This Row],[Nom D]],'summary results'!$A$29:$N$51,11,FALSE)</f>
        <v>#N/A</v>
      </c>
      <c r="M5" t="e">
        <f>'summary results'!$G$30</f>
        <v>#NUM!</v>
      </c>
      <c r="N5" t="e">
        <f>'summary results'!$G$31</f>
        <v>#NUM!</v>
      </c>
      <c r="Q5" s="117" t="s">
        <v>100</v>
      </c>
      <c r="U5" s="117" t="s">
        <v>100</v>
      </c>
    </row>
    <row r="6" spans="1:23" x14ac:dyDescent="0.3">
      <c r="A6" s="1">
        <f t="shared" si="1"/>
        <v>0</v>
      </c>
      <c r="B6" s="43">
        <f t="shared" si="2"/>
        <v>0</v>
      </c>
      <c r="D6" s="43" t="e">
        <f>CONCATENATE(VLOOKUP(Tableau3[[#This Row],[Nom ND]],liste_groupe[],3,FALSE),VLOOKUP(Tableau3[[#This Row],[Nom ND]],liste_groupe[],4,FALSE))</f>
        <v>#N/A</v>
      </c>
      <c r="E6" s="43" t="e">
        <f>HLOOKUP(Tableau3[[#This Row],[Nom ND]],'pooled normalised values'!$B$74:$V$83,4,FALSE)</f>
        <v>#N/A</v>
      </c>
      <c r="F6" s="43" t="e">
        <f>HLOOKUP(Tableau3[[#This Row],[Nom ND]],'pooled normalised values'!$B$74:$V$83,8,FALSE)</f>
        <v>#N/A</v>
      </c>
      <c r="G6" s="43" t="e">
        <f>VLOOKUP(Tableau3[[#This Row],[Nom ND]],'summary results'!$A$6:$N$26,9,FALSE)</f>
        <v>#N/A</v>
      </c>
      <c r="H6" s="43" t="e">
        <f>VLOOKUP(Tableau3[[#This Row],[Nom ND]],'summary results'!$A$6:$N$26,11,FALSE)</f>
        <v>#N/A</v>
      </c>
      <c r="I6" s="43" t="e">
        <f>HLOOKUP(Tableau3[[#This Row],[Nom D]],'pooled normalised values'!$B$74:$V$83,4,FALSE)</f>
        <v>#N/A</v>
      </c>
      <c r="J6" s="43" t="e">
        <f>HLOOKUP(Tableau3[[#This Row],[Nom D]],'pooled normalised values'!$B$74:$V$83,8,FALSE)</f>
        <v>#N/A</v>
      </c>
      <c r="K6" s="43" t="e">
        <f>VLOOKUP(Tableau3[[#This Row],[Nom D]],'summary results'!$A$29:$N$51,9,FALSE)</f>
        <v>#N/A</v>
      </c>
      <c r="L6" s="43" t="e">
        <f>VLOOKUP(Tableau3[[#This Row],[Nom D]],'summary results'!$A$29:$N$51,11,FALSE)</f>
        <v>#N/A</v>
      </c>
      <c r="M6" t="e">
        <f>'summary results'!$G$30</f>
        <v>#NUM!</v>
      </c>
      <c r="N6" t="e">
        <f>'summary results'!$G$31</f>
        <v>#NUM!</v>
      </c>
      <c r="Q6" s="144" t="s">
        <v>112</v>
      </c>
      <c r="U6" s="144" t="s">
        <v>101</v>
      </c>
    </row>
    <row r="7" spans="1:23" x14ac:dyDescent="0.3">
      <c r="A7" s="1">
        <f t="shared" si="1"/>
        <v>0</v>
      </c>
      <c r="B7" s="43">
        <f t="shared" si="2"/>
        <v>0</v>
      </c>
      <c r="D7" s="43" t="e">
        <f>CONCATENATE(VLOOKUP(Tableau3[[#This Row],[Nom ND]],liste_groupe[],3,FALSE),VLOOKUP(Tableau3[[#This Row],[Nom ND]],liste_groupe[],4,FALSE))</f>
        <v>#N/A</v>
      </c>
      <c r="E7" s="43" t="e">
        <f>HLOOKUP(Tableau3[[#This Row],[Nom ND]],'pooled normalised values'!$B$74:$V$83,4,FALSE)</f>
        <v>#N/A</v>
      </c>
      <c r="F7" s="43" t="e">
        <f>HLOOKUP(Tableau3[[#This Row],[Nom ND]],'pooled normalised values'!$B$74:$V$83,8,FALSE)</f>
        <v>#N/A</v>
      </c>
      <c r="G7" s="43" t="e">
        <f>VLOOKUP(Tableau3[[#This Row],[Nom ND]],'summary results'!$A$6:$N$26,9,FALSE)</f>
        <v>#N/A</v>
      </c>
      <c r="H7" s="43" t="e">
        <f>VLOOKUP(Tableau3[[#This Row],[Nom ND]],'summary results'!$A$6:$N$26,11,FALSE)</f>
        <v>#N/A</v>
      </c>
      <c r="I7" s="43" t="e">
        <f>HLOOKUP(Tableau3[[#This Row],[Nom D]],'pooled normalised values'!$B$74:$V$83,4,FALSE)</f>
        <v>#N/A</v>
      </c>
      <c r="J7" s="43" t="e">
        <f>HLOOKUP(Tableau3[[#This Row],[Nom D]],'pooled normalised values'!$B$74:$V$83,8,FALSE)</f>
        <v>#N/A</v>
      </c>
      <c r="K7" s="43" t="e">
        <f>VLOOKUP(Tableau3[[#This Row],[Nom D]],'summary results'!$A$29:$N$51,9,FALSE)</f>
        <v>#N/A</v>
      </c>
      <c r="L7" s="43" t="e">
        <f>VLOOKUP(Tableau3[[#This Row],[Nom D]],'summary results'!$A$29:$N$51,11,FALSE)</f>
        <v>#N/A</v>
      </c>
      <c r="M7" t="e">
        <f>'summary results'!$G$30</f>
        <v>#NUM!</v>
      </c>
      <c r="N7" t="e">
        <f>'summary results'!$G$31</f>
        <v>#NUM!</v>
      </c>
    </row>
    <row r="8" spans="1:23" x14ac:dyDescent="0.3">
      <c r="A8" s="1">
        <f t="shared" si="1"/>
        <v>0</v>
      </c>
      <c r="B8" s="43">
        <f t="shared" si="2"/>
        <v>0</v>
      </c>
      <c r="D8" s="43" t="e">
        <f>CONCATENATE(VLOOKUP(Tableau3[[#This Row],[Nom ND]],liste_groupe[],3,FALSE),VLOOKUP(Tableau3[[#This Row],[Nom ND]],liste_groupe[],4,FALSE))</f>
        <v>#N/A</v>
      </c>
      <c r="E8" s="146" t="e">
        <f>HLOOKUP(Tableau3[[#This Row],[Nom ND]],'pooled normalised values'!$B$74:$V$83,4,FALSE)</f>
        <v>#N/A</v>
      </c>
      <c r="F8" s="43" t="e">
        <f>HLOOKUP(Tableau3[[#This Row],[Nom ND]],'pooled normalised values'!$B$74:$V$83,8,FALSE)</f>
        <v>#N/A</v>
      </c>
      <c r="G8" s="43" t="e">
        <f>VLOOKUP(Tableau3[[#This Row],[Nom ND]],'summary results'!$A$6:$N$26,9,FALSE)</f>
        <v>#N/A</v>
      </c>
      <c r="H8" s="43" t="e">
        <f>VLOOKUP(Tableau3[[#This Row],[Nom ND]],'summary results'!$A$6:$N$26,11,FALSE)</f>
        <v>#N/A</v>
      </c>
      <c r="I8" s="43" t="e">
        <f>HLOOKUP(Tableau3[[#This Row],[Nom D]],'pooled normalised values'!$B$74:$V$83,4,FALSE)</f>
        <v>#N/A</v>
      </c>
      <c r="J8" s="43" t="e">
        <f>HLOOKUP(Tableau3[[#This Row],[Nom D]],'pooled normalised values'!$B$74:$V$83,8,FALSE)</f>
        <v>#N/A</v>
      </c>
      <c r="K8" s="43" t="e">
        <f>VLOOKUP(Tableau3[[#This Row],[Nom D]],'summary results'!$A$29:$N$51,9,FALSE)</f>
        <v>#N/A</v>
      </c>
      <c r="L8" s="43" t="e">
        <f>VLOOKUP(Tableau3[[#This Row],[Nom D]],'summary results'!$A$29:$N$51,11,FALSE)</f>
        <v>#N/A</v>
      </c>
      <c r="M8" t="e">
        <f>'summary results'!$G$30</f>
        <v>#NUM!</v>
      </c>
      <c r="N8" t="e">
        <f>'summary results'!$G$31</f>
        <v>#NUM!</v>
      </c>
    </row>
    <row r="9" spans="1:23" x14ac:dyDescent="0.3">
      <c r="A9" s="1">
        <f t="shared" si="1"/>
        <v>0</v>
      </c>
      <c r="B9" s="43">
        <f t="shared" si="2"/>
        <v>0</v>
      </c>
      <c r="D9" s="43" t="e">
        <f>CONCATENATE(VLOOKUP(Tableau3[[#This Row],[Nom ND]],liste_groupe[],3,FALSE),VLOOKUP(Tableau3[[#This Row],[Nom ND]],liste_groupe[],4,FALSE))</f>
        <v>#N/A</v>
      </c>
      <c r="E9" s="43" t="e">
        <f>HLOOKUP(Tableau3[[#This Row],[Nom ND]],'pooled normalised values'!$B$74:$V$83,4,FALSE)</f>
        <v>#N/A</v>
      </c>
      <c r="F9" s="43" t="e">
        <f>HLOOKUP(Tableau3[[#This Row],[Nom ND]],'pooled normalised values'!$B$74:$V$83,8,FALSE)</f>
        <v>#N/A</v>
      </c>
      <c r="G9" s="43" t="e">
        <f>VLOOKUP(Tableau3[[#This Row],[Nom ND]],'summary results'!$A$6:$N$26,9,FALSE)</f>
        <v>#N/A</v>
      </c>
      <c r="H9" s="43" t="e">
        <f>VLOOKUP(Tableau3[[#This Row],[Nom ND]],'summary results'!$A$6:$N$26,11,FALSE)</f>
        <v>#N/A</v>
      </c>
      <c r="I9" s="43" t="e">
        <f>HLOOKUP(Tableau3[[#This Row],[Nom D]],'pooled normalised values'!$B$74:$V$83,4,FALSE)</f>
        <v>#N/A</v>
      </c>
      <c r="J9" s="43" t="e">
        <f>HLOOKUP(Tableau3[[#This Row],[Nom D]],'pooled normalised values'!$B$74:$V$83,8,FALSE)</f>
        <v>#N/A</v>
      </c>
      <c r="K9" s="43" t="e">
        <f>VLOOKUP(Tableau3[[#This Row],[Nom D]],'summary results'!$A$29:$N$51,9,FALSE)</f>
        <v>#N/A</v>
      </c>
      <c r="L9" s="43" t="e">
        <f>VLOOKUP(Tableau3[[#This Row],[Nom D]],'summary results'!$A$29:$N$51,11,FALSE)</f>
        <v>#N/A</v>
      </c>
      <c r="M9" t="e">
        <f>'summary results'!$G$30</f>
        <v>#NUM!</v>
      </c>
      <c r="N9" t="e">
        <f>'summary results'!$G$31</f>
        <v>#NUM!</v>
      </c>
    </row>
    <row r="10" spans="1:23" x14ac:dyDescent="0.3">
      <c r="A10" s="1">
        <f t="shared" si="1"/>
        <v>0</v>
      </c>
      <c r="B10" s="43">
        <f t="shared" si="2"/>
        <v>0</v>
      </c>
      <c r="D10" s="43" t="e">
        <f>CONCATENATE(VLOOKUP(Tableau3[[#This Row],[Nom ND]],liste_groupe[],3,FALSE),VLOOKUP(Tableau3[[#This Row],[Nom ND]],liste_groupe[],4,FALSE))</f>
        <v>#N/A</v>
      </c>
      <c r="E10" s="43" t="e">
        <f>HLOOKUP(Tableau3[[#This Row],[Nom ND]],'pooled normalised values'!$B$74:$V$83,4,FALSE)</f>
        <v>#N/A</v>
      </c>
      <c r="F10" s="43" t="e">
        <f>HLOOKUP(Tableau3[[#This Row],[Nom ND]],'pooled normalised values'!$B$74:$V$83,8,FALSE)</f>
        <v>#N/A</v>
      </c>
      <c r="G10" s="43" t="e">
        <f>VLOOKUP(Tableau3[[#This Row],[Nom ND]],'summary results'!$A$6:$N$26,9,FALSE)</f>
        <v>#N/A</v>
      </c>
      <c r="H10" s="43" t="e">
        <f>VLOOKUP(Tableau3[[#This Row],[Nom ND]],'summary results'!$A$6:$N$26,11,FALSE)</f>
        <v>#N/A</v>
      </c>
      <c r="I10" s="43" t="e">
        <f>HLOOKUP(Tableau3[[#This Row],[Nom D]],'pooled normalised values'!$B$74:$V$83,4,FALSE)</f>
        <v>#N/A</v>
      </c>
      <c r="J10" s="43" t="e">
        <f>HLOOKUP(Tableau3[[#This Row],[Nom D]],'pooled normalised values'!$B$74:$V$83,8,FALSE)</f>
        <v>#N/A</v>
      </c>
      <c r="K10" s="43" t="e">
        <f>VLOOKUP(Tableau3[[#This Row],[Nom D]],'summary results'!$A$29:$N$51,9,FALSE)</f>
        <v>#N/A</v>
      </c>
      <c r="L10" s="43" t="e">
        <f>VLOOKUP(Tableau3[[#This Row],[Nom D]],'summary results'!$A$29:$N$51,11,FALSE)</f>
        <v>#N/A</v>
      </c>
      <c r="M10" t="e">
        <f>'summary results'!$G$30</f>
        <v>#NUM!</v>
      </c>
      <c r="N10" t="e">
        <f>'summary results'!$G$31</f>
        <v>#NUM!</v>
      </c>
    </row>
    <row r="11" spans="1:23" x14ac:dyDescent="0.3">
      <c r="A11" s="1">
        <f t="shared" si="1"/>
        <v>0</v>
      </c>
      <c r="B11" s="43">
        <f t="shared" si="2"/>
        <v>0</v>
      </c>
      <c r="D11" s="43" t="e">
        <f>CONCATENATE(VLOOKUP(Tableau3[[#This Row],[Nom ND]],liste_groupe[],3,FALSE),VLOOKUP(Tableau3[[#This Row],[Nom ND]],liste_groupe[],4,FALSE))</f>
        <v>#N/A</v>
      </c>
      <c r="E11" s="43" t="e">
        <f>HLOOKUP(Tableau3[[#This Row],[Nom ND]],'pooled normalised values'!$B$74:$V$83,4,FALSE)</f>
        <v>#N/A</v>
      </c>
      <c r="F11" s="43" t="e">
        <f>HLOOKUP(Tableau3[[#This Row],[Nom ND]],'pooled normalised values'!$B$74:$V$83,8,FALSE)</f>
        <v>#N/A</v>
      </c>
      <c r="G11" s="43" t="e">
        <f>VLOOKUP(Tableau3[[#This Row],[Nom ND]],'summary results'!$A$6:$N$26,9,FALSE)</f>
        <v>#N/A</v>
      </c>
      <c r="H11" s="43" t="e">
        <f>VLOOKUP(Tableau3[[#This Row],[Nom ND]],'summary results'!$A$6:$N$26,11,FALSE)</f>
        <v>#N/A</v>
      </c>
      <c r="I11" s="43" t="e">
        <f>HLOOKUP(Tableau3[[#This Row],[Nom D]],'pooled normalised values'!$B$74:$V$83,4,FALSE)</f>
        <v>#N/A</v>
      </c>
      <c r="J11" s="43" t="e">
        <f>HLOOKUP(Tableau3[[#This Row],[Nom D]],'pooled normalised values'!$B$74:$V$83,8,FALSE)</f>
        <v>#N/A</v>
      </c>
      <c r="K11" s="43" t="e">
        <f>VLOOKUP(Tableau3[[#This Row],[Nom D]],'summary results'!$A$29:$N$51,9,FALSE)</f>
        <v>#N/A</v>
      </c>
      <c r="L11" s="43" t="e">
        <f>VLOOKUP(Tableau3[[#This Row],[Nom D]],'summary results'!$A$29:$N$51,11,FALSE)</f>
        <v>#N/A</v>
      </c>
      <c r="M11" t="e">
        <f>'summary results'!$G$30</f>
        <v>#NUM!</v>
      </c>
      <c r="N11" t="e">
        <f>'summary results'!$G$31</f>
        <v>#NUM!</v>
      </c>
    </row>
    <row r="12" spans="1:23" x14ac:dyDescent="0.3">
      <c r="A12" s="1">
        <f t="shared" si="1"/>
        <v>0</v>
      </c>
      <c r="B12" s="43">
        <f t="shared" si="2"/>
        <v>0</v>
      </c>
      <c r="D12" s="43" t="e">
        <f>CONCATENATE(VLOOKUP(Tableau3[[#This Row],[Nom ND]],liste_groupe[],3,FALSE),VLOOKUP(Tableau3[[#This Row],[Nom ND]],liste_groupe[],4,FALSE))</f>
        <v>#N/A</v>
      </c>
      <c r="E12" s="43" t="e">
        <f>HLOOKUP(Tableau3[[#This Row],[Nom ND]],'pooled normalised values'!$B$74:$V$83,4,FALSE)</f>
        <v>#N/A</v>
      </c>
      <c r="F12" s="43" t="e">
        <f>HLOOKUP(Tableau3[[#This Row],[Nom ND]],'pooled normalised values'!$B$74:$V$83,8,FALSE)</f>
        <v>#N/A</v>
      </c>
      <c r="G12" s="43" t="e">
        <f>VLOOKUP(Tableau3[[#This Row],[Nom ND]],'summary results'!$A$6:$N$26,9,FALSE)</f>
        <v>#N/A</v>
      </c>
      <c r="H12" s="43" t="e">
        <f>VLOOKUP(Tableau3[[#This Row],[Nom ND]],'summary results'!$A$6:$N$26,11,FALSE)</f>
        <v>#N/A</v>
      </c>
      <c r="I12" s="43" t="e">
        <f>HLOOKUP(Tableau3[[#This Row],[Nom D]],'pooled normalised values'!$B$74:$V$83,4,FALSE)</f>
        <v>#N/A</v>
      </c>
      <c r="J12" s="43" t="e">
        <f>HLOOKUP(Tableau3[[#This Row],[Nom D]],'pooled normalised values'!$B$74:$V$83,8,FALSE)</f>
        <v>#N/A</v>
      </c>
      <c r="K12" s="43" t="e">
        <f>VLOOKUP(Tableau3[[#This Row],[Nom D]],'summary results'!$A$29:$N$51,9,FALSE)</f>
        <v>#N/A</v>
      </c>
      <c r="L12" s="43" t="e">
        <f>VLOOKUP(Tableau3[[#This Row],[Nom D]],'summary results'!$A$29:$N$51,11,FALSE)</f>
        <v>#N/A</v>
      </c>
      <c r="M12" t="e">
        <f>'summary results'!$G$30</f>
        <v>#NUM!</v>
      </c>
      <c r="N12" t="e">
        <f>'summary results'!$G$31</f>
        <v>#NUM!</v>
      </c>
    </row>
    <row r="13" spans="1:23" x14ac:dyDescent="0.3">
      <c r="A13" s="1">
        <f t="shared" si="1"/>
        <v>0</v>
      </c>
      <c r="B13" s="43">
        <f t="shared" si="2"/>
        <v>0</v>
      </c>
      <c r="D13" s="43" t="e">
        <f>CONCATENATE(VLOOKUP(Tableau3[[#This Row],[Nom ND]],liste_groupe[],3,FALSE),VLOOKUP(Tableau3[[#This Row],[Nom ND]],liste_groupe[],4,FALSE))</f>
        <v>#N/A</v>
      </c>
      <c r="E13" s="43" t="e">
        <f>HLOOKUP(Tableau3[[#This Row],[Nom ND]],'pooled normalised values'!$B$74:$V$83,4,FALSE)</f>
        <v>#N/A</v>
      </c>
      <c r="F13" s="43" t="e">
        <f>HLOOKUP(Tableau3[[#This Row],[Nom ND]],'pooled normalised values'!$B$74:$V$83,8,FALSE)</f>
        <v>#N/A</v>
      </c>
      <c r="G13" s="43" t="e">
        <f>VLOOKUP(Tableau3[[#This Row],[Nom ND]],'summary results'!$A$6:$N$26,9,FALSE)</f>
        <v>#N/A</v>
      </c>
      <c r="H13" s="43" t="e">
        <f>VLOOKUP(Tableau3[[#This Row],[Nom ND]],'summary results'!$A$6:$N$26,11,FALSE)</f>
        <v>#N/A</v>
      </c>
      <c r="I13" s="43" t="e">
        <f>HLOOKUP(Tableau3[[#This Row],[Nom D]],'pooled normalised values'!$B$74:$V$83,4,FALSE)</f>
        <v>#N/A</v>
      </c>
      <c r="J13" s="43" t="e">
        <f>HLOOKUP(Tableau3[[#This Row],[Nom D]],'pooled normalised values'!$B$74:$V$83,8,FALSE)</f>
        <v>#N/A</v>
      </c>
      <c r="K13" s="43" t="e">
        <f>VLOOKUP(Tableau3[[#This Row],[Nom D]],'summary results'!$A$29:$N$51,9,FALSE)</f>
        <v>#N/A</v>
      </c>
      <c r="L13" s="43" t="e">
        <f>VLOOKUP(Tableau3[[#This Row],[Nom D]],'summary results'!$A$29:$N$51,11,FALSE)</f>
        <v>#N/A</v>
      </c>
      <c r="M13" t="e">
        <f>'summary results'!$G$30</f>
        <v>#NUM!</v>
      </c>
      <c r="N13" t="e">
        <f>'summary results'!$G$31</f>
        <v>#NUM!</v>
      </c>
    </row>
    <row r="14" spans="1:23" x14ac:dyDescent="0.3">
      <c r="A14" s="1">
        <f t="shared" si="1"/>
        <v>0</v>
      </c>
      <c r="B14" s="43">
        <f t="shared" si="2"/>
        <v>0</v>
      </c>
      <c r="D14" s="43" t="e">
        <f>CONCATENATE(VLOOKUP(Tableau3[[#This Row],[Nom ND]],liste_groupe[],3,FALSE),VLOOKUP(Tableau3[[#This Row],[Nom ND]],liste_groupe[],4,FALSE))</f>
        <v>#N/A</v>
      </c>
      <c r="E14" s="43" t="e">
        <f>HLOOKUP(Tableau3[[#This Row],[Nom ND]],'pooled normalised values'!$B$74:$V$83,4,FALSE)</f>
        <v>#N/A</v>
      </c>
      <c r="F14" s="43" t="e">
        <f>HLOOKUP(Tableau3[[#This Row],[Nom ND]],'pooled normalised values'!$B$74:$V$83,8,FALSE)</f>
        <v>#N/A</v>
      </c>
      <c r="G14" s="43" t="e">
        <f>VLOOKUP(Tableau3[[#This Row],[Nom ND]],'summary results'!$A$6:$N$26,9,FALSE)</f>
        <v>#N/A</v>
      </c>
      <c r="H14" s="43" t="e">
        <f>VLOOKUP(Tableau3[[#This Row],[Nom ND]],'summary results'!$A$6:$N$26,11,FALSE)</f>
        <v>#N/A</v>
      </c>
      <c r="I14" s="43" t="e">
        <f>HLOOKUP(Tableau3[[#This Row],[Nom D]],'pooled normalised values'!$B$74:$V$83,4,FALSE)</f>
        <v>#N/A</v>
      </c>
      <c r="J14" s="43" t="e">
        <f>HLOOKUP(Tableau3[[#This Row],[Nom D]],'pooled normalised values'!$B$74:$V$83,8,FALSE)</f>
        <v>#N/A</v>
      </c>
      <c r="K14" s="43" t="e">
        <f>VLOOKUP(Tableau3[[#This Row],[Nom D]],'summary results'!$A$29:$N$51,9,FALSE)</f>
        <v>#N/A</v>
      </c>
      <c r="L14" s="43" t="e">
        <f>VLOOKUP(Tableau3[[#This Row],[Nom D]],'summary results'!$A$29:$N$51,11,FALSE)</f>
        <v>#N/A</v>
      </c>
      <c r="M14" t="e">
        <f>'summary results'!$G$30</f>
        <v>#NUM!</v>
      </c>
      <c r="N14" t="e">
        <f>'summary results'!$G$31</f>
        <v>#NUM!</v>
      </c>
    </row>
    <row r="15" spans="1:23" x14ac:dyDescent="0.3">
      <c r="A15" s="1">
        <f t="shared" si="1"/>
        <v>0</v>
      </c>
      <c r="B15" s="43">
        <f t="shared" si="2"/>
        <v>0</v>
      </c>
      <c r="D15" s="43" t="e">
        <f>CONCATENATE(VLOOKUP(Tableau3[[#This Row],[Nom ND]],liste_groupe[],3,FALSE),VLOOKUP(Tableau3[[#This Row],[Nom ND]],liste_groupe[],4,FALSE))</f>
        <v>#N/A</v>
      </c>
      <c r="E15" s="43" t="e">
        <f>HLOOKUP(Tableau3[[#This Row],[Nom ND]],'pooled normalised values'!$B$74:$V$83,4,FALSE)</f>
        <v>#N/A</v>
      </c>
      <c r="F15" s="43" t="e">
        <f>HLOOKUP(Tableau3[[#This Row],[Nom ND]],'pooled normalised values'!$B$74:$V$83,8,FALSE)</f>
        <v>#N/A</v>
      </c>
      <c r="G15" s="43" t="e">
        <f>VLOOKUP(Tableau3[[#This Row],[Nom ND]],'summary results'!$A$6:$N$26,9,FALSE)</f>
        <v>#N/A</v>
      </c>
      <c r="H15" s="43" t="e">
        <f>VLOOKUP(Tableau3[[#This Row],[Nom ND]],'summary results'!$A$6:$N$26,11,FALSE)</f>
        <v>#N/A</v>
      </c>
      <c r="I15" s="43" t="e">
        <f>HLOOKUP(Tableau3[[#This Row],[Nom D]],'pooled normalised values'!$B$74:$V$83,4,FALSE)</f>
        <v>#N/A</v>
      </c>
      <c r="J15" s="43" t="e">
        <f>HLOOKUP(Tableau3[[#This Row],[Nom D]],'pooled normalised values'!$B$74:$V$83,8,FALSE)</f>
        <v>#N/A</v>
      </c>
      <c r="K15" s="43" t="e">
        <f>VLOOKUP(Tableau3[[#This Row],[Nom D]],'summary results'!$A$29:$N$51,9,FALSE)</f>
        <v>#N/A</v>
      </c>
      <c r="L15" s="43"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D4F7DC-54C0-43C9-8741-ECC60A196A34}">
  <ds:schemaRefs>
    <ds:schemaRef ds:uri="http://schemas.microsoft.com/sharepoint/v3/contenttype/forms"/>
  </ds:schemaRefs>
</ds:datastoreItem>
</file>

<file path=customXml/itemProps2.xml><?xml version="1.0" encoding="utf-8"?>
<ds:datastoreItem xmlns:ds="http://schemas.openxmlformats.org/officeDocument/2006/customXml" ds:itemID="{A5FCD26A-46E9-4220-B197-B415037BC5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R3</vt:lpstr>
      <vt:lpstr>Graph R4</vt:lpstr>
      <vt:lpstr>Graph R5</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2022-12-22T12:36:24Z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2022-12-22T12:36:24Z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d637229d-2afe-4b0f-8d99-0ac84829c9b9</vt:lpwstr>
  </property>
  <property fmtid="{D5CDD505-2E9C-101B-9397-08002B2CF9AE}" pid="8" name="MSIP_Label_06530cf4-8573-4c29-a912-bbcdac835909_ContentBits">
    <vt:lpwstr>2</vt:lpwstr>
  </property>
</Properties>
</file>