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1" documentId="13_ncr:1_{E85B875E-911B-4D32-B321-5A0F790C8E33}" xr6:coauthVersionLast="47" xr6:coauthVersionMax="47" xr10:uidLastSave="{983F7482-C005-4248-BC2E-3F5E11A23911}"/>
  <bookViews>
    <workbookView xWindow="-108" yWindow="-108" windowWidth="23256" windowHeight="12576" activeTab="9"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4"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6" i="33" l="1"/>
  <c r="Q36" i="33"/>
  <c r="P37" i="33"/>
  <c r="Q37" i="33"/>
  <c r="P38" i="33"/>
  <c r="Q38" i="33"/>
  <c r="P39" i="33"/>
  <c r="Q39" i="33"/>
  <c r="P40" i="33"/>
  <c r="Q40" i="33"/>
  <c r="P41" i="33"/>
  <c r="Q41" i="33"/>
  <c r="P42" i="33"/>
  <c r="Q42" i="33"/>
  <c r="O43" i="33"/>
  <c r="P43" i="33"/>
  <c r="Q43" i="33"/>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53" i="4"/>
  <c r="P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52" i="4"/>
  <c r="P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51" i="4"/>
  <c r="P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50" i="4"/>
  <c r="P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49" i="4"/>
  <c r="P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48" i="4"/>
  <c r="P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47" i="4"/>
  <c r="P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46" i="4"/>
  <c r="P46" i="4"/>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L23" i="33"/>
  <c r="J23" i="33"/>
  <c r="I23" i="33"/>
  <c r="H23" i="33"/>
  <c r="G23" i="33"/>
  <c r="F23" i="33"/>
  <c r="E23" i="33"/>
  <c r="D23" i="33"/>
  <c r="C23" i="33"/>
  <c r="B23" i="33"/>
  <c r="A22" i="33"/>
  <c r="H22" i="33"/>
  <c r="G45" i="33"/>
  <c r="F27" i="33"/>
  <c r="F52" i="33" s="1"/>
  <c r="E45" i="33"/>
  <c r="D22" i="33"/>
  <c r="C45" i="33"/>
  <c r="B45" i="33"/>
  <c r="P56" i="33"/>
  <c r="Q56" i="33"/>
  <c r="Q29" i="33" l="1"/>
  <c r="Q39" i="4" s="1"/>
  <c r="Q33" i="33"/>
  <c r="Q43" i="4" s="1"/>
  <c r="P30" i="33"/>
  <c r="P40" i="4" s="1"/>
  <c r="P34" i="33"/>
  <c r="P44" i="4" s="1"/>
  <c r="Q30" i="33"/>
  <c r="Q40" i="4" s="1"/>
  <c r="Q34" i="33"/>
  <c r="Q44" i="4" s="1"/>
  <c r="P31" i="33"/>
  <c r="P41" i="4" s="1"/>
  <c r="P35" i="33"/>
  <c r="P45" i="4" s="1"/>
  <c r="Q31" i="33"/>
  <c r="Q41" i="4" s="1"/>
  <c r="Q35" i="33"/>
  <c r="Q45" i="4" s="1"/>
  <c r="P28" i="33"/>
  <c r="P32" i="33"/>
  <c r="P42" i="4" s="1"/>
  <c r="Q28" i="33"/>
  <c r="Q32" i="33"/>
  <c r="Q42" i="4" s="1"/>
  <c r="P29" i="33"/>
  <c r="P39" i="4" s="1"/>
  <c r="P33" i="33"/>
  <c r="P43" i="4" s="1"/>
  <c r="C35" i="33"/>
  <c r="C45" i="4" s="1"/>
  <c r="O36" i="33"/>
  <c r="O40" i="33"/>
  <c r="O41" i="33"/>
  <c r="O39" i="33"/>
  <c r="O38" i="33"/>
  <c r="O48" i="4" s="1"/>
  <c r="O42" i="33"/>
  <c r="O52" i="4" s="1"/>
  <c r="O37" i="33"/>
  <c r="R30" i="33"/>
  <c r="R40" i="4" s="1"/>
  <c r="T35" i="33"/>
  <c r="T45" i="4" s="1"/>
  <c r="H34" i="33"/>
  <c r="H44" i="4" s="1"/>
  <c r="O28" i="33"/>
  <c r="O38" i="4" s="1"/>
  <c r="O32" i="33"/>
  <c r="O31" i="33"/>
  <c r="O35" i="33"/>
  <c r="O33" i="33"/>
  <c r="O43" i="4" s="1"/>
  <c r="O30" i="33"/>
  <c r="O34" i="33"/>
  <c r="O29" i="33"/>
  <c r="O39" i="4" s="1"/>
  <c r="B30" i="33"/>
  <c r="B40" i="4" s="1"/>
  <c r="B32" i="33"/>
  <c r="B42" i="4" s="1"/>
  <c r="B33" i="33"/>
  <c r="B43" i="4" s="1"/>
  <c r="B34" i="33"/>
  <c r="B44" i="4" s="1"/>
  <c r="B35" i="33"/>
  <c r="B45" i="4" s="1"/>
  <c r="B28" i="33"/>
  <c r="B29" i="33"/>
  <c r="B39" i="4" s="1"/>
  <c r="I30" i="33"/>
  <c r="I40" i="4" s="1"/>
  <c r="B31" i="33"/>
  <c r="B41" i="4" s="1"/>
  <c r="L32" i="33"/>
  <c r="L42" i="4" s="1"/>
  <c r="D33" i="33"/>
  <c r="D43" i="4" s="1"/>
  <c r="D34" i="33"/>
  <c r="D44" i="4" s="1"/>
  <c r="D28" i="33"/>
  <c r="D38" i="4" s="1"/>
  <c r="L28" i="33"/>
  <c r="R29" i="33"/>
  <c r="R39" i="4" s="1"/>
  <c r="I29" i="33"/>
  <c r="I39" i="4" s="1"/>
  <c r="I31" i="33"/>
  <c r="I41" i="4" s="1"/>
  <c r="U31" i="33"/>
  <c r="U41" i="4" s="1"/>
  <c r="H35" i="33"/>
  <c r="H45" i="4" s="1"/>
  <c r="O46" i="4"/>
  <c r="O47" i="4"/>
  <c r="O49" i="4"/>
  <c r="O50" i="4"/>
  <c r="O51" i="4"/>
  <c r="O53" i="4"/>
  <c r="D29" i="33"/>
  <c r="D39" i="4" s="1"/>
  <c r="L30" i="33"/>
  <c r="L40" i="4" s="1"/>
  <c r="D30" i="33"/>
  <c r="D40" i="4" s="1"/>
  <c r="L31" i="33"/>
  <c r="L41" i="4" s="1"/>
  <c r="U34" i="33"/>
  <c r="U44" i="4" s="1"/>
  <c r="I28" i="33"/>
  <c r="I38" i="4" s="1"/>
  <c r="R28" i="33"/>
  <c r="L29" i="33"/>
  <c r="L39" i="4" s="1"/>
  <c r="D31" i="33"/>
  <c r="D41" i="4" s="1"/>
  <c r="K35" i="33"/>
  <c r="K45" i="4" s="1"/>
  <c r="G35" i="33"/>
  <c r="G45" i="4" s="1"/>
  <c r="T34" i="33"/>
  <c r="T44" i="4" s="1"/>
  <c r="K34" i="33"/>
  <c r="K44" i="4" s="1"/>
  <c r="G34" i="33"/>
  <c r="G44" i="4" s="1"/>
  <c r="C34" i="33"/>
  <c r="C44" i="4" s="1"/>
  <c r="T33" i="33"/>
  <c r="T43" i="4" s="1"/>
  <c r="K33" i="33"/>
  <c r="K43" i="4" s="1"/>
  <c r="G33" i="33"/>
  <c r="G43" i="4" s="1"/>
  <c r="C33" i="33"/>
  <c r="C43" i="4" s="1"/>
  <c r="T32" i="33"/>
  <c r="T42" i="4" s="1"/>
  <c r="K32" i="33"/>
  <c r="K42" i="4" s="1"/>
  <c r="G32" i="33"/>
  <c r="G42" i="4" s="1"/>
  <c r="C32" i="33"/>
  <c r="C42" i="4" s="1"/>
  <c r="T31" i="33"/>
  <c r="T41" i="4" s="1"/>
  <c r="K31" i="33"/>
  <c r="K41" i="4" s="1"/>
  <c r="G31" i="33"/>
  <c r="G41" i="4" s="1"/>
  <c r="C31" i="33"/>
  <c r="C41" i="4" s="1"/>
  <c r="T30" i="33"/>
  <c r="T40" i="4" s="1"/>
  <c r="K30" i="33"/>
  <c r="K40" i="4" s="1"/>
  <c r="G30" i="33"/>
  <c r="G40" i="4" s="1"/>
  <c r="C30" i="33"/>
  <c r="C40" i="4" s="1"/>
  <c r="T29" i="33"/>
  <c r="T39" i="4" s="1"/>
  <c r="K29" i="33"/>
  <c r="K39" i="4" s="1"/>
  <c r="G29" i="33"/>
  <c r="G39" i="4" s="1"/>
  <c r="C29" i="33"/>
  <c r="C39" i="4" s="1"/>
  <c r="T28" i="33"/>
  <c r="T46" i="33" s="1"/>
  <c r="T53" i="33" s="1"/>
  <c r="K28" i="33"/>
  <c r="G28" i="33"/>
  <c r="C28" i="33"/>
  <c r="C38" i="4" s="1"/>
  <c r="S35" i="33"/>
  <c r="S45" i="4" s="1"/>
  <c r="O45" i="4"/>
  <c r="J35" i="33"/>
  <c r="J45" i="4" s="1"/>
  <c r="F35" i="33"/>
  <c r="F45" i="4" s="1"/>
  <c r="S34" i="33"/>
  <c r="S44" i="4" s="1"/>
  <c r="O44" i="4"/>
  <c r="J34" i="33"/>
  <c r="J44" i="4" s="1"/>
  <c r="F34" i="33"/>
  <c r="F44" i="4" s="1"/>
  <c r="S33" i="33"/>
  <c r="S43" i="4" s="1"/>
  <c r="J33" i="33"/>
  <c r="J43" i="4" s="1"/>
  <c r="F33" i="33"/>
  <c r="F43" i="4" s="1"/>
  <c r="S32" i="33"/>
  <c r="S42" i="4" s="1"/>
  <c r="O42" i="4"/>
  <c r="J32" i="33"/>
  <c r="J42" i="4" s="1"/>
  <c r="F32" i="33"/>
  <c r="F42" i="4" s="1"/>
  <c r="S31" i="33"/>
  <c r="S41" i="4" s="1"/>
  <c r="O41" i="4"/>
  <c r="J31" i="33"/>
  <c r="J41" i="4" s="1"/>
  <c r="F31" i="33"/>
  <c r="F41" i="4" s="1"/>
  <c r="S30" i="33"/>
  <c r="S40" i="4" s="1"/>
  <c r="O40" i="4"/>
  <c r="J30" i="33"/>
  <c r="J40" i="4" s="1"/>
  <c r="F30" i="33"/>
  <c r="F40" i="4" s="1"/>
  <c r="S29" i="33"/>
  <c r="S39" i="4" s="1"/>
  <c r="J29" i="33"/>
  <c r="J39" i="4" s="1"/>
  <c r="F29" i="33"/>
  <c r="F39" i="4" s="1"/>
  <c r="S28" i="33"/>
  <c r="S38" i="4" s="1"/>
  <c r="J28" i="33"/>
  <c r="F28" i="33"/>
  <c r="F38" i="4" s="1"/>
  <c r="V35" i="33"/>
  <c r="V45"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E32" i="33"/>
  <c r="E42" i="4" s="1"/>
  <c r="V31" i="33"/>
  <c r="V41" i="4" s="1"/>
  <c r="R31" i="33"/>
  <c r="M31" i="33"/>
  <c r="M41" i="4" s="1"/>
  <c r="E28" i="33"/>
  <c r="E38" i="4" s="1"/>
  <c r="M28" i="33"/>
  <c r="M38" i="4" s="1"/>
  <c r="U28" i="33"/>
  <c r="E29" i="33"/>
  <c r="E39" i="4" s="1"/>
  <c r="M29" i="33"/>
  <c r="M39" i="4" s="1"/>
  <c r="U29" i="33"/>
  <c r="U39" i="4" s="1"/>
  <c r="E30" i="33"/>
  <c r="E40" i="4" s="1"/>
  <c r="M30" i="33"/>
  <c r="M40" i="4" s="1"/>
  <c r="U30" i="33"/>
  <c r="U40" i="4" s="1"/>
  <c r="E31" i="33"/>
  <c r="E41" i="4" s="1"/>
  <c r="D32" i="33"/>
  <c r="H33" i="33"/>
  <c r="H43" i="4" s="1"/>
  <c r="U33" i="33"/>
  <c r="U43" i="4" s="1"/>
  <c r="L34" i="33"/>
  <c r="L44" i="4" s="1"/>
  <c r="L35" i="33"/>
  <c r="L45" i="4" s="1"/>
  <c r="U35" i="33"/>
  <c r="U45" i="4" s="1"/>
  <c r="H28" i="33"/>
  <c r="H38" i="4" s="1"/>
  <c r="V28" i="33"/>
  <c r="V38" i="4" s="1"/>
  <c r="H29" i="33"/>
  <c r="H39" i="4" s="1"/>
  <c r="V29" i="33"/>
  <c r="V39" i="4" s="1"/>
  <c r="H30" i="33"/>
  <c r="H40" i="4" s="1"/>
  <c r="V30" i="33"/>
  <c r="V40" i="4" s="1"/>
  <c r="H31" i="33"/>
  <c r="H41" i="4" s="1"/>
  <c r="H32" i="33"/>
  <c r="H42" i="4" s="1"/>
  <c r="U32" i="33"/>
  <c r="U42" i="4" s="1"/>
  <c r="L33" i="33"/>
  <c r="D35" i="33"/>
  <c r="D45" i="4" s="1"/>
  <c r="B38" i="4"/>
  <c r="R38" i="4"/>
  <c r="B22" i="33"/>
  <c r="E22" i="33"/>
  <c r="I45" i="33"/>
  <c r="I52" i="33"/>
  <c r="I27" i="33"/>
  <c r="C47" i="33"/>
  <c r="C48" i="33" s="1"/>
  <c r="C54" i="33" s="1"/>
  <c r="C46" i="33"/>
  <c r="C53" i="33" s="1"/>
  <c r="P38" i="4"/>
  <c r="B27" i="33"/>
  <c r="B52" i="33" s="1"/>
  <c r="L38" i="4"/>
  <c r="Q47" i="33"/>
  <c r="Q48" i="33" s="1"/>
  <c r="Q54" i="33" s="1"/>
  <c r="Q38" i="4"/>
  <c r="D27" i="33"/>
  <c r="D52" i="33" s="1"/>
  <c r="I22" i="33"/>
  <c r="E27" i="33"/>
  <c r="E52" i="33" s="1"/>
  <c r="D45" i="33"/>
  <c r="P57" i="33"/>
  <c r="Q57" i="33"/>
  <c r="Q46" i="33"/>
  <c r="Q53" i="33" s="1"/>
  <c r="F22" i="33"/>
  <c r="F45" i="33"/>
  <c r="G22" i="33"/>
  <c r="G27" i="33"/>
  <c r="G52" i="33" s="1"/>
  <c r="C22" i="33"/>
  <c r="C27" i="33"/>
  <c r="C52" i="33" s="1"/>
  <c r="H27" i="33"/>
  <c r="H52" i="33" s="1"/>
  <c r="H45" i="33"/>
  <c r="F56" i="33"/>
  <c r="G56" i="33"/>
  <c r="B56" i="33"/>
  <c r="O56" i="33"/>
  <c r="T56" i="33"/>
  <c r="L56" i="33"/>
  <c r="J56" i="33"/>
  <c r="I56" i="33"/>
  <c r="U56" i="33"/>
  <c r="S56" i="33"/>
  <c r="H56" i="33"/>
  <c r="D56" i="33"/>
  <c r="R56" i="33"/>
  <c r="V56" i="33"/>
  <c r="C56" i="33"/>
  <c r="M56" i="33"/>
  <c r="E56" i="33"/>
  <c r="K56" i="33"/>
  <c r="P47" i="33" l="1"/>
  <c r="P48" i="33" s="1"/>
  <c r="P54" i="33" s="1"/>
  <c r="P46" i="33"/>
  <c r="P53" i="33" s="1"/>
  <c r="G47" i="33"/>
  <c r="G48" i="33" s="1"/>
  <c r="G54" i="33" s="1"/>
  <c r="J46" i="33"/>
  <c r="J53" i="33" s="1"/>
  <c r="F47" i="33"/>
  <c r="F48" i="33" s="1"/>
  <c r="F54" i="33" s="1"/>
  <c r="T38" i="4"/>
  <c r="F46" i="33"/>
  <c r="F53" i="33" s="1"/>
  <c r="G38" i="4"/>
  <c r="S47" i="33"/>
  <c r="S48" i="33" s="1"/>
  <c r="S54" i="33" s="1"/>
  <c r="B46" i="33"/>
  <c r="J38" i="4"/>
  <c r="B47" i="33"/>
  <c r="B48" i="33" s="1"/>
  <c r="B54" i="33" s="1"/>
  <c r="B57" i="33"/>
  <c r="R47" i="33"/>
  <c r="R48" i="33" s="1"/>
  <c r="R54" i="33" s="1"/>
  <c r="K46" i="33"/>
  <c r="K53" i="33" s="1"/>
  <c r="J47" i="33"/>
  <c r="J48" i="33" s="1"/>
  <c r="J54" i="33" s="1"/>
  <c r="G46" i="33"/>
  <c r="G53" i="33" s="1"/>
  <c r="U47" i="33"/>
  <c r="U48" i="33" s="1"/>
  <c r="U54" i="33" s="1"/>
  <c r="U38" i="4"/>
  <c r="D47" i="33"/>
  <c r="D48" i="33" s="1"/>
  <c r="D54" i="33" s="1"/>
  <c r="I47" i="33"/>
  <c r="I48" i="33" s="1"/>
  <c r="I54" i="33" s="1"/>
  <c r="S46" i="33"/>
  <c r="S53" i="33" s="1"/>
  <c r="T47" i="33"/>
  <c r="T48" i="33" s="1"/>
  <c r="T54" i="33" s="1"/>
  <c r="D46" i="33"/>
  <c r="D53" i="33" s="1"/>
  <c r="U57" i="33"/>
  <c r="L57" i="33"/>
  <c r="V57" i="33"/>
  <c r="M57" i="33"/>
  <c r="S57" i="33"/>
  <c r="T57" i="33"/>
  <c r="D57" i="33"/>
  <c r="O57" i="33"/>
  <c r="K57" i="33"/>
  <c r="H57" i="33"/>
  <c r="E57" i="33"/>
  <c r="F57" i="33"/>
  <c r="C57" i="33"/>
  <c r="R57" i="33"/>
  <c r="I57" i="33"/>
  <c r="J57" i="33"/>
  <c r="G57" i="33"/>
  <c r="V46" i="33"/>
  <c r="V53" i="33" s="1"/>
  <c r="M46" i="33"/>
  <c r="M53" i="33" s="1"/>
  <c r="E46" i="33"/>
  <c r="E53" i="33" s="1"/>
  <c r="U46" i="33"/>
  <c r="U53" i="33" s="1"/>
  <c r="L46" i="33"/>
  <c r="L53" i="33" s="1"/>
  <c r="L43" i="4"/>
  <c r="D42" i="4"/>
  <c r="V47" i="33"/>
  <c r="V48" i="33" s="1"/>
  <c r="V54" i="33" s="1"/>
  <c r="M47" i="33"/>
  <c r="M48" i="33" s="1"/>
  <c r="M54" i="33" s="1"/>
  <c r="E47" i="33"/>
  <c r="E48" i="33" s="1"/>
  <c r="E54" i="33" s="1"/>
  <c r="L47" i="33"/>
  <c r="L48" i="33" s="1"/>
  <c r="L54" i="33" s="1"/>
  <c r="H47" i="33"/>
  <c r="H48" i="33" s="1"/>
  <c r="H54" i="33" s="1"/>
  <c r="O46" i="33"/>
  <c r="O53" i="33" s="1"/>
  <c r="O55" i="33" s="1"/>
  <c r="K38" i="4"/>
  <c r="R41" i="4"/>
  <c r="R46" i="33"/>
  <c r="R53" i="33" s="1"/>
  <c r="I46" i="33"/>
  <c r="I53" i="33" s="1"/>
  <c r="H46" i="33"/>
  <c r="H53" i="33" s="1"/>
  <c r="O47" i="33"/>
  <c r="O48" i="33" s="1"/>
  <c r="O54" i="33" s="1"/>
  <c r="K47" i="33"/>
  <c r="K48" i="33" s="1"/>
  <c r="K54" i="33" s="1"/>
  <c r="I42" i="4"/>
  <c r="B53" i="33"/>
  <c r="I59" i="33" l="1"/>
  <c r="I60" i="33" s="1"/>
  <c r="I61" i="33" s="1"/>
  <c r="B65" i="33"/>
  <c r="C59" i="33"/>
  <c r="C60" i="33" s="1"/>
  <c r="B64" i="33"/>
  <c r="M55" i="33"/>
  <c r="S55" i="33"/>
  <c r="J59" i="33"/>
  <c r="J60" i="33" s="1"/>
  <c r="F59" i="33"/>
  <c r="F60" i="33" s="1"/>
  <c r="F61" i="33" s="1"/>
  <c r="H59" i="33"/>
  <c r="H60" i="33" s="1"/>
  <c r="H61" i="33" s="1"/>
  <c r="V59" i="33"/>
  <c r="V60" i="33" s="1"/>
  <c r="L59" i="33"/>
  <c r="L60" i="33" s="1"/>
  <c r="G59" i="33"/>
  <c r="G60" i="33" s="1"/>
  <c r="G61" i="33" s="1"/>
  <c r="D59" i="33"/>
  <c r="D60" i="33" s="1"/>
  <c r="U55" i="33"/>
  <c r="K59" i="33"/>
  <c r="K60" i="33" s="1"/>
  <c r="K61" i="33" s="1"/>
  <c r="M59" i="33"/>
  <c r="M60" i="33" s="1"/>
  <c r="M61" i="33" s="1"/>
  <c r="E59" i="33"/>
  <c r="E60" i="33" s="1"/>
  <c r="T55" i="33"/>
  <c r="O59" i="33"/>
  <c r="O60" i="33" s="1"/>
  <c r="P55" i="33"/>
  <c r="Q55" i="33"/>
  <c r="V55" i="33"/>
  <c r="Q59" i="33"/>
  <c r="Q60" i="33" s="1"/>
  <c r="P59" i="33"/>
  <c r="P60" i="33" s="1"/>
  <c r="R55" i="33"/>
  <c r="R59" i="33"/>
  <c r="R60" i="33" s="1"/>
  <c r="U59" i="33"/>
  <c r="U60" i="33" s="1"/>
  <c r="T59" i="33"/>
  <c r="T60" i="33" s="1"/>
  <c r="S59" i="33"/>
  <c r="S60" i="33" s="1"/>
  <c r="D55" i="33"/>
  <c r="B55" i="33"/>
  <c r="K55" i="33"/>
  <c r="L55" i="33"/>
  <c r="G55" i="33"/>
  <c r="F55" i="33"/>
  <c r="C55" i="33"/>
  <c r="J55" i="33"/>
  <c r="H55" i="33"/>
  <c r="I55" i="33"/>
  <c r="E55" i="33"/>
  <c r="J61" i="33" l="1"/>
  <c r="Q61" i="33"/>
  <c r="P61" i="33"/>
  <c r="O61" i="33"/>
  <c r="E61" i="33"/>
  <c r="L61" i="33"/>
  <c r="D61" i="33"/>
  <c r="C61" i="33"/>
  <c r="T61" i="33"/>
  <c r="U61" i="33"/>
  <c r="S61" i="33"/>
  <c r="R61" i="33"/>
  <c r="V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Q33" i="23"/>
  <c r="Q27" i="4" s="1"/>
  <c r="U35" i="23"/>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Q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C35" i="23"/>
  <c r="C29" i="4" s="1"/>
  <c r="J32" i="23"/>
  <c r="J26" i="4" s="1"/>
  <c r="J42" i="23"/>
  <c r="J36" i="4" s="1"/>
  <c r="J38" i="23"/>
  <c r="J32" i="4" s="1"/>
  <c r="J41" i="23"/>
  <c r="J35" i="4" s="1"/>
  <c r="J37" i="23"/>
  <c r="J31" i="4" s="1"/>
  <c r="E34" i="23"/>
  <c r="E28" i="4" s="1"/>
  <c r="J43" i="23"/>
  <c r="J39" i="23"/>
  <c r="J33" i="4" s="1"/>
  <c r="J35" i="23"/>
  <c r="J29" i="4" s="1"/>
  <c r="I35" i="23"/>
  <c r="I29" i="4" s="1"/>
  <c r="G29" i="23"/>
  <c r="G23" i="4" s="1"/>
  <c r="F33" i="23"/>
  <c r="F27"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I30" i="1"/>
  <c r="I8" i="4" s="1"/>
  <c r="H32" i="1"/>
  <c r="H10" i="4" s="1"/>
  <c r="G35" i="1"/>
  <c r="G13" i="4" s="1"/>
  <c r="F33" i="1"/>
  <c r="F11" i="4" s="1"/>
  <c r="O40" i="1"/>
  <c r="O18" i="4" s="1"/>
  <c r="Q35" i="1"/>
  <c r="Q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Q56" i="23"/>
  <c r="V56" i="1"/>
  <c r="Q33" i="1" l="1"/>
  <c r="Q11" i="4" s="1"/>
  <c r="O32" i="1"/>
  <c r="O10" i="4" s="1"/>
  <c r="G30" i="1"/>
  <c r="G8" i="4" s="1"/>
  <c r="F30" i="1"/>
  <c r="E30" i="1"/>
  <c r="E8" i="4" s="1"/>
  <c r="G29" i="1"/>
  <c r="V29" i="1"/>
  <c r="V7" i="4" s="1"/>
  <c r="Q32" i="23"/>
  <c r="Q26" i="4" s="1"/>
  <c r="O42" i="1"/>
  <c r="O20" i="4" s="1"/>
  <c r="V28" i="1"/>
  <c r="Q31" i="23"/>
  <c r="Q25" i="4" s="1"/>
  <c r="I29" i="1"/>
  <c r="B33" i="1"/>
  <c r="B11" i="4" s="1"/>
  <c r="Q34" i="1"/>
  <c r="Q12" i="4" s="1"/>
  <c r="E29" i="1"/>
  <c r="D35" i="1"/>
  <c r="D13" i="4" s="1"/>
  <c r="H29" i="23"/>
  <c r="H23" i="4" s="1"/>
  <c r="V35" i="1"/>
  <c r="V13" i="4" s="1"/>
  <c r="O40" i="23"/>
  <c r="O34" i="4" s="1"/>
  <c r="Q30" i="23"/>
  <c r="Q24" i="4" s="1"/>
  <c r="V30" i="1"/>
  <c r="V8" i="4" s="1"/>
  <c r="P34" i="1"/>
  <c r="P12" i="4" s="1"/>
  <c r="Q31" i="1"/>
  <c r="Q9" i="4" s="1"/>
  <c r="C35" i="1"/>
  <c r="C13" i="4" s="1"/>
  <c r="F35" i="1"/>
  <c r="F13" i="4" s="1"/>
  <c r="H31" i="1"/>
  <c r="J31" i="23"/>
  <c r="J25" i="4" s="1"/>
  <c r="E31" i="23"/>
  <c r="E25" i="4" s="1"/>
  <c r="J29" i="23"/>
  <c r="J23" i="4" s="1"/>
  <c r="V34" i="1"/>
  <c r="V12" i="4" s="1"/>
  <c r="Q29" i="23"/>
  <c r="Q23" i="4" s="1"/>
  <c r="F29" i="1"/>
  <c r="F7" i="4" s="1"/>
  <c r="P33" i="1"/>
  <c r="P11" i="4" s="1"/>
  <c r="O43" i="1"/>
  <c r="F34" i="1"/>
  <c r="F12" i="4" s="1"/>
  <c r="I34" i="1"/>
  <c r="I12" i="4" s="1"/>
  <c r="E35" i="1"/>
  <c r="E13" i="4" s="1"/>
  <c r="J34" i="1"/>
  <c r="J12" i="4" s="1"/>
  <c r="H33" i="23"/>
  <c r="H27" i="4" s="1"/>
  <c r="V33" i="1"/>
  <c r="V11" i="4" s="1"/>
  <c r="Q35" i="23"/>
  <c r="Q29" i="4" s="1"/>
  <c r="Q28" i="23"/>
  <c r="P30" i="1"/>
  <c r="P8" i="4" s="1"/>
  <c r="O39" i="1"/>
  <c r="O17" i="4" s="1"/>
  <c r="H33" i="1"/>
  <c r="H11" i="4" s="1"/>
  <c r="H34" i="1"/>
  <c r="H12" i="4" s="1"/>
  <c r="J32" i="1"/>
  <c r="V32" i="1"/>
  <c r="V10" i="4" s="1"/>
  <c r="R34" i="23"/>
  <c r="R28" i="4" s="1"/>
  <c r="H30" i="1"/>
  <c r="H8" i="4" s="1"/>
  <c r="Q28" i="1"/>
  <c r="H35" i="1"/>
  <c r="H13" i="4" s="1"/>
  <c r="I33" i="1"/>
  <c r="I11" i="4" s="1"/>
  <c r="O38" i="1"/>
  <c r="O16" i="4" s="1"/>
  <c r="P28" i="1"/>
  <c r="G34" i="1"/>
  <c r="G12" i="4" s="1"/>
  <c r="E33" i="1"/>
  <c r="E11" i="4" s="1"/>
  <c r="D33" i="1"/>
  <c r="D11" i="4" s="1"/>
  <c r="F32" i="1"/>
  <c r="F10" i="4" s="1"/>
  <c r="J30" i="1"/>
  <c r="J8" i="4" s="1"/>
  <c r="I30" i="23"/>
  <c r="I24" i="4" s="1"/>
  <c r="I29" i="23"/>
  <c r="I23" i="4" s="1"/>
  <c r="V31" i="1"/>
  <c r="V9" i="4" s="1"/>
  <c r="Q34" i="23"/>
  <c r="Q28" i="4" s="1"/>
  <c r="R33" i="23"/>
  <c r="R27" i="4" s="1"/>
  <c r="R30" i="23"/>
  <c r="R24" i="4" s="1"/>
  <c r="R29" i="23"/>
  <c r="R23" i="4" s="1"/>
  <c r="E32" i="1"/>
  <c r="E10" i="4" s="1"/>
  <c r="C33" i="1"/>
  <c r="C11" i="4" s="1"/>
  <c r="J35" i="1"/>
  <c r="J13" i="4" s="1"/>
  <c r="J31" i="1"/>
  <c r="J9" i="4" s="1"/>
  <c r="U35" i="1"/>
  <c r="U13" i="4" s="1"/>
  <c r="U34" i="1"/>
  <c r="U12" i="4" s="1"/>
  <c r="U33" i="1"/>
  <c r="U11" i="4" s="1"/>
  <c r="U32" i="1"/>
  <c r="U10" i="4" s="1"/>
  <c r="U31" i="1"/>
  <c r="U9" i="4" s="1"/>
  <c r="U30" i="1"/>
  <c r="U8" i="4" s="1"/>
  <c r="U29" i="1"/>
  <c r="U7" i="4" s="1"/>
  <c r="U28" i="1"/>
  <c r="T35" i="1"/>
  <c r="T13" i="4" s="1"/>
  <c r="T34" i="1"/>
  <c r="T12" i="4" s="1"/>
  <c r="T33" i="1"/>
  <c r="T11" i="4" s="1"/>
  <c r="T32" i="1"/>
  <c r="T10" i="4" s="1"/>
  <c r="T31" i="1"/>
  <c r="T9" i="4" s="1"/>
  <c r="T30" i="1"/>
  <c r="T8" i="4" s="1"/>
  <c r="T29" i="1"/>
  <c r="T7" i="4" s="1"/>
  <c r="T28" i="1"/>
  <c r="R33" i="1"/>
  <c r="R11" i="4" s="1"/>
  <c r="J33" i="1"/>
  <c r="J11" i="4" s="1"/>
  <c r="J29" i="1"/>
  <c r="J7" i="4" s="1"/>
  <c r="J28" i="1"/>
  <c r="S35" i="1"/>
  <c r="S13" i="4" s="1"/>
  <c r="S34" i="1"/>
  <c r="S12" i="4" s="1"/>
  <c r="S33" i="1"/>
  <c r="S11" i="4" s="1"/>
  <c r="S32" i="1"/>
  <c r="S10" i="4" s="1"/>
  <c r="S31" i="1"/>
  <c r="S9" i="4" s="1"/>
  <c r="S30" i="1"/>
  <c r="S8" i="4" s="1"/>
  <c r="S29" i="1"/>
  <c r="S7" i="4" s="1"/>
  <c r="S28" i="1"/>
  <c r="O29" i="23"/>
  <c r="O23" i="4" s="1"/>
  <c r="G28" i="23"/>
  <c r="G22" i="4" s="1"/>
  <c r="E28" i="23"/>
  <c r="E22" i="4" s="1"/>
  <c r="E33" i="23"/>
  <c r="E27" i="4" s="1"/>
  <c r="C28" i="23"/>
  <c r="C22" i="4" s="1"/>
  <c r="H31" i="23"/>
  <c r="H25" i="4" s="1"/>
  <c r="D35" i="23"/>
  <c r="D29" i="4" s="1"/>
  <c r="G33" i="23"/>
  <c r="G27" i="4" s="1"/>
  <c r="I28" i="23"/>
  <c r="I22" i="4" s="1"/>
  <c r="G30" i="23"/>
  <c r="G24" i="4" s="1"/>
  <c r="I32" i="23"/>
  <c r="I26" i="4" s="1"/>
  <c r="G34" i="23"/>
  <c r="G28" i="4" s="1"/>
  <c r="H35" i="23"/>
  <c r="H29" i="4" s="1"/>
  <c r="F30" i="23"/>
  <c r="F24" i="4" s="1"/>
  <c r="C33" i="23"/>
  <c r="C27" i="4" s="1"/>
  <c r="F28" i="23"/>
  <c r="F22" i="4" s="1"/>
  <c r="C31" i="23"/>
  <c r="C25" i="4" s="1"/>
  <c r="I33" i="23"/>
  <c r="I27" i="4" s="1"/>
  <c r="F29" i="23"/>
  <c r="F23" i="4" s="1"/>
  <c r="K28" i="23"/>
  <c r="K22" i="4" s="1"/>
  <c r="L33" i="23"/>
  <c r="L27" i="4" s="1"/>
  <c r="J33" i="23"/>
  <c r="J27" i="4" s="1"/>
  <c r="D32" i="23"/>
  <c r="D26" i="4" s="1"/>
  <c r="C30" i="23"/>
  <c r="C24" i="4" s="1"/>
  <c r="E32" i="23"/>
  <c r="E26" i="4" s="1"/>
  <c r="C34" i="23"/>
  <c r="C28" i="4" s="1"/>
  <c r="I34" i="23"/>
  <c r="I28" i="4" s="1"/>
  <c r="D28" i="23"/>
  <c r="D22" i="4" s="1"/>
  <c r="H32" i="23"/>
  <c r="H26" i="4" s="1"/>
  <c r="H30" i="23"/>
  <c r="H24" i="4" s="1"/>
  <c r="G35" i="23"/>
  <c r="G29" i="4" s="1"/>
  <c r="M30" i="23"/>
  <c r="M24" i="4" s="1"/>
  <c r="G32" i="23"/>
  <c r="G26" i="4" s="1"/>
  <c r="H28" i="23"/>
  <c r="H22" i="4" s="1"/>
  <c r="E35" i="23"/>
  <c r="E29" i="4" s="1"/>
  <c r="D29" i="23"/>
  <c r="D23" i="4" s="1"/>
  <c r="F31" i="23"/>
  <c r="F25" i="4" s="1"/>
  <c r="D33" i="23"/>
  <c r="D27" i="4" s="1"/>
  <c r="F35" i="23"/>
  <c r="F29" i="4" s="1"/>
  <c r="C32" i="23"/>
  <c r="C26" i="4" s="1"/>
  <c r="J30" i="23"/>
  <c r="J24" i="4" s="1"/>
  <c r="F34" i="23"/>
  <c r="F28" i="4" s="1"/>
  <c r="E29" i="23"/>
  <c r="E23" i="4" s="1"/>
  <c r="G31" i="23"/>
  <c r="G25" i="4" s="1"/>
  <c r="H34" i="23"/>
  <c r="H28" i="4" s="1"/>
  <c r="E30" i="23"/>
  <c r="E24" i="4" s="1"/>
  <c r="M35" i="23"/>
  <c r="M29" i="4" s="1"/>
  <c r="K33" i="23"/>
  <c r="K27" i="4" s="1"/>
  <c r="L30" i="23"/>
  <c r="L24" i="4" s="1"/>
  <c r="O43" i="23"/>
  <c r="O37" i="4" s="1"/>
  <c r="O39" i="23"/>
  <c r="O33" i="4" s="1"/>
  <c r="P35" i="23"/>
  <c r="P29" i="4" s="1"/>
  <c r="P32" i="23"/>
  <c r="P26" i="4" s="1"/>
  <c r="P31" i="23"/>
  <c r="P25" i="4" s="1"/>
  <c r="P28" i="23"/>
  <c r="P22" i="4" s="1"/>
  <c r="M34" i="23"/>
  <c r="M28" i="4" s="1"/>
  <c r="K32" i="23"/>
  <c r="K26" i="4" s="1"/>
  <c r="L29" i="23"/>
  <c r="L23" i="4" s="1"/>
  <c r="O42" i="23"/>
  <c r="O36" i="4" s="1"/>
  <c r="O36" i="23"/>
  <c r="O30" i="4" s="1"/>
  <c r="T35" i="23"/>
  <c r="T29" i="4" s="1"/>
  <c r="V34" i="23"/>
  <c r="V28" i="4" s="1"/>
  <c r="V33" i="23"/>
  <c r="V27" i="4" s="1"/>
  <c r="U32" i="23"/>
  <c r="U26" i="4" s="1"/>
  <c r="T31" i="23"/>
  <c r="T25" i="4" s="1"/>
  <c r="V30" i="23"/>
  <c r="V24" i="4" s="1"/>
  <c r="V29" i="23"/>
  <c r="V23" i="4" s="1"/>
  <c r="U28" i="23"/>
  <c r="U22" i="4" s="1"/>
  <c r="L34" i="23"/>
  <c r="L28" i="4" s="1"/>
  <c r="M31" i="23"/>
  <c r="M25" i="4" s="1"/>
  <c r="K29" i="23"/>
  <c r="K23" i="4" s="1"/>
  <c r="O41" i="23"/>
  <c r="O35" i="4" s="1"/>
  <c r="O33" i="23"/>
  <c r="O27" i="4" s="1"/>
  <c r="S35" i="23"/>
  <c r="S29" i="4" s="1"/>
  <c r="S34" i="23"/>
  <c r="S28" i="4" s="1"/>
  <c r="U33" i="23"/>
  <c r="U27" i="4" s="1"/>
  <c r="T32" i="23"/>
  <c r="T26" i="4" s="1"/>
  <c r="S31" i="23"/>
  <c r="S25" i="4" s="1"/>
  <c r="S30" i="23"/>
  <c r="S24" i="4" s="1"/>
  <c r="U29" i="23"/>
  <c r="U23" i="4" s="1"/>
  <c r="T28" i="23"/>
  <c r="T22" i="4" s="1"/>
  <c r="L35" i="23"/>
  <c r="L29" i="4" s="1"/>
  <c r="K34" i="23"/>
  <c r="K28" i="4" s="1"/>
  <c r="M32" i="23"/>
  <c r="M26" i="4" s="1"/>
  <c r="L31" i="23"/>
  <c r="L25" i="4" s="1"/>
  <c r="K30" i="23"/>
  <c r="M28" i="23"/>
  <c r="M22" i="4" s="1"/>
  <c r="V35" i="23"/>
  <c r="V29" i="4" s="1"/>
  <c r="R35" i="23"/>
  <c r="R29" i="4" s="1"/>
  <c r="U34" i="23"/>
  <c r="U28" i="4" s="1"/>
  <c r="T33" i="23"/>
  <c r="T27" i="4" s="1"/>
  <c r="P33" i="23"/>
  <c r="P27" i="4" s="1"/>
  <c r="S32" i="23"/>
  <c r="S26" i="4" s="1"/>
  <c r="V31" i="23"/>
  <c r="V25" i="4" s="1"/>
  <c r="R31" i="23"/>
  <c r="R25" i="4" s="1"/>
  <c r="U30" i="23"/>
  <c r="T29" i="23"/>
  <c r="P29" i="23"/>
  <c r="S28" i="23"/>
  <c r="C29" i="23"/>
  <c r="I31" i="23"/>
  <c r="J34" i="23"/>
  <c r="J28" i="4" s="1"/>
  <c r="J28" i="23"/>
  <c r="J22" i="4" s="1"/>
  <c r="D30" i="23"/>
  <c r="F32" i="23"/>
  <c r="D34" i="23"/>
  <c r="D28" i="4" s="1"/>
  <c r="D31" i="23"/>
  <c r="D25" i="4" s="1"/>
  <c r="K35" i="23"/>
  <c r="K29" i="4" s="1"/>
  <c r="M33" i="23"/>
  <c r="M27" i="4" s="1"/>
  <c r="L32" i="23"/>
  <c r="L26" i="4" s="1"/>
  <c r="K31" i="23"/>
  <c r="K25" i="4" s="1"/>
  <c r="M29" i="23"/>
  <c r="M23" i="4" s="1"/>
  <c r="L28" i="23"/>
  <c r="L22" i="4" s="1"/>
  <c r="O35" i="23"/>
  <c r="O29" i="4" s="1"/>
  <c r="T34" i="23"/>
  <c r="T28" i="4" s="1"/>
  <c r="P34" i="23"/>
  <c r="P28" i="4" s="1"/>
  <c r="S33" i="23"/>
  <c r="S27" i="4" s="1"/>
  <c r="V32" i="23"/>
  <c r="V26" i="4" s="1"/>
  <c r="R32" i="23"/>
  <c r="R26" i="4" s="1"/>
  <c r="U31" i="23"/>
  <c r="U25" i="4" s="1"/>
  <c r="T30" i="23"/>
  <c r="T24" i="4" s="1"/>
  <c r="P30" i="23"/>
  <c r="P24" i="4" s="1"/>
  <c r="S29" i="23"/>
  <c r="S23" i="4" s="1"/>
  <c r="V28" i="23"/>
  <c r="V22" i="4" s="1"/>
  <c r="R28" i="23"/>
  <c r="O41" i="1"/>
  <c r="O19"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M6" i="4" s="1"/>
  <c r="K35" i="1"/>
  <c r="K13" i="4" s="1"/>
  <c r="M33" i="1"/>
  <c r="M11" i="4" s="1"/>
  <c r="L32" i="1"/>
  <c r="L10" i="4" s="1"/>
  <c r="K31" i="1"/>
  <c r="K9" i="4" s="1"/>
  <c r="M29" i="1"/>
  <c r="M7" i="4" s="1"/>
  <c r="L28" i="1"/>
  <c r="L6" i="4" s="1"/>
  <c r="O9" i="12"/>
  <c r="O10" i="12" s="1"/>
  <c r="T6" i="4"/>
  <c r="P6" i="4"/>
  <c r="Q6" i="4"/>
  <c r="J6" i="4"/>
  <c r="S6" i="4"/>
  <c r="Q22"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Q46" i="23"/>
  <c r="Q53" i="23" s="1"/>
  <c r="H45" i="23"/>
  <c r="Q47" i="23"/>
  <c r="Q48" i="23" s="1"/>
  <c r="Q54" i="23" s="1"/>
  <c r="R31" i="1"/>
  <c r="R9" i="4" s="1"/>
  <c r="U29" i="4"/>
  <c r="V57" i="1"/>
  <c r="Q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J47" i="1"/>
  <c r="J48" i="1" s="1"/>
  <c r="J54" i="1" s="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J46" i="1"/>
  <c r="J53" i="1" s="1"/>
  <c r="G7"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J56" i="23"/>
  <c r="E56" i="23"/>
  <c r="V78" i="4"/>
  <c r="T56" i="1"/>
  <c r="M56" i="1"/>
  <c r="D56" i="1"/>
  <c r="P56" i="23"/>
  <c r="M78" i="4"/>
  <c r="V56" i="23"/>
  <c r="R56" i="1"/>
  <c r="B56" i="1"/>
  <c r="T56" i="23"/>
  <c r="S56" i="23"/>
  <c r="U56" i="23"/>
  <c r="R56" i="23"/>
  <c r="K56" i="23"/>
  <c r="O56" i="23"/>
  <c r="C56" i="23"/>
  <c r="K56" i="1"/>
  <c r="C56" i="1"/>
  <c r="J56" i="1"/>
  <c r="H56" i="23"/>
  <c r="L78" i="4"/>
  <c r="U56" i="1"/>
  <c r="Q56" i="1"/>
  <c r="E56" i="1"/>
  <c r="G56" i="23"/>
  <c r="S56" i="1"/>
  <c r="F56" i="1"/>
  <c r="H56" i="1"/>
  <c r="G56" i="1"/>
  <c r="O56" i="1"/>
  <c r="P56" i="1"/>
  <c r="I56" i="23"/>
  <c r="M56" i="23"/>
  <c r="F56" i="23"/>
  <c r="L56" i="23"/>
  <c r="D56" i="23"/>
  <c r="L56" i="1"/>
  <c r="B56" i="23"/>
  <c r="J78" i="4"/>
  <c r="I56" i="1"/>
  <c r="H46" i="23" l="1"/>
  <c r="H53" i="23" s="1"/>
  <c r="H47" i="23"/>
  <c r="T46" i="23"/>
  <c r="T53" i="23" s="1"/>
  <c r="S57" i="1"/>
  <c r="J57" i="1"/>
  <c r="T57" i="1"/>
  <c r="U57" i="1"/>
  <c r="J46" i="23"/>
  <c r="J53" i="23" s="1"/>
  <c r="I46" i="23"/>
  <c r="I53" i="23" s="1"/>
  <c r="U46" i="23"/>
  <c r="U53" i="23" s="1"/>
  <c r="P47" i="23"/>
  <c r="P48" i="23" s="1"/>
  <c r="P54" i="23" s="1"/>
  <c r="E46" i="23"/>
  <c r="E53" i="23" s="1"/>
  <c r="R47" i="23"/>
  <c r="R48" i="23" s="1"/>
  <c r="R54" i="23" s="1"/>
  <c r="F46" i="23"/>
  <c r="F53" i="23" s="1"/>
  <c r="K47" i="1"/>
  <c r="K48" i="1" s="1"/>
  <c r="K54" i="1" s="1"/>
  <c r="G47" i="23"/>
  <c r="G48" i="23" s="1"/>
  <c r="G54" i="23" s="1"/>
  <c r="E47" i="23"/>
  <c r="E48" i="23" s="1"/>
  <c r="E54" i="23" s="1"/>
  <c r="G46" i="23"/>
  <c r="G53" i="23" s="1"/>
  <c r="K47" i="23"/>
  <c r="K48" i="23" s="1"/>
  <c r="K54" i="23" s="1"/>
  <c r="E57" i="23"/>
  <c r="H57" i="23"/>
  <c r="G57" i="23"/>
  <c r="I47" i="23"/>
  <c r="I48" i="23" s="1"/>
  <c r="I54" i="23" s="1"/>
  <c r="C47" i="23"/>
  <c r="C48" i="23" s="1"/>
  <c r="C54" i="23" s="1"/>
  <c r="S46" i="23"/>
  <c r="S53" i="23" s="1"/>
  <c r="H48" i="23"/>
  <c r="H54" i="23" s="1"/>
  <c r="P46" i="23"/>
  <c r="P53" i="23" s="1"/>
  <c r="J47" i="23"/>
  <c r="J48" i="23" s="1"/>
  <c r="J54" i="23" s="1"/>
  <c r="P23" i="4"/>
  <c r="U47" i="23"/>
  <c r="U48" i="23" s="1"/>
  <c r="U54" i="23" s="1"/>
  <c r="M47" i="23"/>
  <c r="M48" i="23" s="1"/>
  <c r="M54" i="23" s="1"/>
  <c r="V57" i="23"/>
  <c r="D57" i="23"/>
  <c r="J57" i="23"/>
  <c r="S57" i="23"/>
  <c r="M57" i="23"/>
  <c r="R57" i="23"/>
  <c r="L57" i="23"/>
  <c r="F57" i="23"/>
  <c r="I57" i="23"/>
  <c r="T57" i="23"/>
  <c r="C57" i="23"/>
  <c r="U57" i="23"/>
  <c r="P57" i="23"/>
  <c r="K57" i="23"/>
  <c r="L47" i="23"/>
  <c r="L48" i="23" s="1"/>
  <c r="L54" i="23" s="1"/>
  <c r="D24" i="4"/>
  <c r="V46" i="23"/>
  <c r="V53" i="23" s="1"/>
  <c r="R22" i="4"/>
  <c r="K46" i="23"/>
  <c r="K53" i="23" s="1"/>
  <c r="D47" i="23"/>
  <c r="D48" i="23" s="1"/>
  <c r="D54" i="23" s="1"/>
  <c r="M46" i="23"/>
  <c r="M53" i="23" s="1"/>
  <c r="S22" i="4"/>
  <c r="S57" i="4" s="1"/>
  <c r="S58" i="4" s="1"/>
  <c r="S76" i="4" s="1"/>
  <c r="F26" i="4"/>
  <c r="I25" i="4"/>
  <c r="T23" i="4"/>
  <c r="T63" i="4" s="1"/>
  <c r="T64" i="4" s="1"/>
  <c r="F47" i="23"/>
  <c r="F48" i="23" s="1"/>
  <c r="F54" i="23" s="1"/>
  <c r="C23" i="4"/>
  <c r="U24" i="4"/>
  <c r="U63" i="4" s="1"/>
  <c r="U64" i="4" s="1"/>
  <c r="S47" i="23"/>
  <c r="S48" i="23" s="1"/>
  <c r="S54" i="23" s="1"/>
  <c r="C46" i="23"/>
  <c r="C53" i="23" s="1"/>
  <c r="T47" i="23"/>
  <c r="T48" i="23" s="1"/>
  <c r="T54" i="23" s="1"/>
  <c r="D46" i="23"/>
  <c r="D53" i="23" s="1"/>
  <c r="L46" i="23"/>
  <c r="L53" i="23" s="1"/>
  <c r="V47" i="23"/>
  <c r="V48" i="23" s="1"/>
  <c r="V54" i="23" s="1"/>
  <c r="R46" i="23"/>
  <c r="R53" i="23" s="1"/>
  <c r="K24" i="4"/>
  <c r="K63" i="4" s="1"/>
  <c r="K64" i="4" s="1"/>
  <c r="M46" i="1"/>
  <c r="M53" i="1" s="1"/>
  <c r="M47" i="1"/>
  <c r="M48" i="1" s="1"/>
  <c r="M54" i="1" s="1"/>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J63" i="4"/>
  <c r="J64" i="4" s="1"/>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L56" i="4"/>
  <c r="L75" i="4" s="1"/>
  <c r="J56" i="4"/>
  <c r="J75" i="4" s="1"/>
  <c r="O55" i="4"/>
  <c r="O62" i="4"/>
  <c r="F55" i="4"/>
  <c r="F62" i="4"/>
  <c r="M55" i="4"/>
  <c r="M62" i="4"/>
  <c r="J55" i="4"/>
  <c r="J62" i="4"/>
  <c r="L57" i="4"/>
  <c r="L58" i="4" s="1"/>
  <c r="L76" i="4" s="1"/>
  <c r="J57" i="4"/>
  <c r="J58" i="4" s="1"/>
  <c r="J76" i="4" s="1"/>
  <c r="P55" i="4"/>
  <c r="P62" i="4"/>
  <c r="G55" i="4"/>
  <c r="G62" i="4"/>
  <c r="H74" i="4"/>
  <c r="H62" i="4"/>
  <c r="U22" i="33"/>
  <c r="U45" i="33"/>
  <c r="U27" i="33"/>
  <c r="U52" i="33" s="1"/>
  <c r="R45" i="33"/>
  <c r="R27" i="33"/>
  <c r="R52" i="33" s="1"/>
  <c r="R22" i="33"/>
  <c r="M56" i="4"/>
  <c r="M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V79" i="4"/>
  <c r="M79" i="4"/>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C78" i="4"/>
  <c r="K78" i="4"/>
  <c r="B78" i="4"/>
  <c r="E78" i="4"/>
  <c r="I78" i="4"/>
  <c r="T78" i="4"/>
  <c r="R78" i="4"/>
  <c r="Q78" i="4"/>
  <c r="U78" i="4"/>
  <c r="D78" i="4"/>
  <c r="G78" i="4"/>
  <c r="O78" i="4"/>
  <c r="P78" i="4"/>
  <c r="F78" i="4"/>
  <c r="H78" i="4"/>
  <c r="S78" i="4"/>
  <c r="S56" i="4" l="1"/>
  <c r="S75" i="4" s="1"/>
  <c r="K56" i="4"/>
  <c r="K75" i="4" s="1"/>
  <c r="T56" i="4"/>
  <c r="T75" i="4" s="1"/>
  <c r="S63" i="4"/>
  <c r="S64" i="4" s="1"/>
  <c r="K57" i="4"/>
  <c r="K58" i="4" s="1"/>
  <c r="K76" i="4" s="1"/>
  <c r="G4" i="12" s="1"/>
  <c r="T57" i="4"/>
  <c r="T58" i="4" s="1"/>
  <c r="T76" i="4" s="1"/>
  <c r="C55" i="23"/>
  <c r="F55" i="23"/>
  <c r="U79" i="4"/>
  <c r="S79" i="4"/>
  <c r="K79" i="4"/>
  <c r="T79" i="4"/>
  <c r="C63" i="4"/>
  <c r="C64" i="4" s="1"/>
  <c r="U56" i="4"/>
  <c r="U75" i="4" s="1"/>
  <c r="U57" i="4"/>
  <c r="U58" i="4" s="1"/>
  <c r="U76" i="4" s="1"/>
  <c r="R63" i="4"/>
  <c r="R64" i="4" s="1"/>
  <c r="H56" i="4"/>
  <c r="H75" i="4" s="1"/>
  <c r="G55" i="1"/>
  <c r="I63" i="4"/>
  <c r="I64" i="4" s="1"/>
  <c r="V4" i="4"/>
  <c r="V55" i="4" s="1"/>
  <c r="I57" i="4"/>
  <c r="I58" i="4" s="1"/>
  <c r="I76"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V74" i="4"/>
  <c r="Z2"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F3" i="12"/>
  <c r="J3" i="12"/>
  <c r="I3" i="12"/>
  <c r="T27" i="1"/>
  <c r="T52" i="1" s="1"/>
  <c r="T45" i="1"/>
  <c r="T4" i="4"/>
  <c r="T62" i="4" s="1"/>
  <c r="T22" i="1"/>
  <c r="T77" i="4" l="1"/>
  <c r="AH2" i="12"/>
  <c r="AA2" i="12"/>
  <c r="V62" i="4"/>
  <c r="P75" i="4"/>
  <c r="O81" i="4"/>
  <c r="O82" i="4" s="1"/>
  <c r="AE2" i="12"/>
  <c r="U74" i="4"/>
  <c r="Y2" i="12" s="1"/>
  <c r="U62" i="4"/>
  <c r="B6" i="12"/>
  <c r="B6" i="27"/>
  <c r="R61" i="23"/>
  <c r="U55" i="4"/>
  <c r="F3" i="27"/>
  <c r="V77" i="4"/>
  <c r="U77" i="4"/>
  <c r="O77" i="4"/>
  <c r="S77" i="4"/>
  <c r="Q77" i="4"/>
  <c r="R77" i="4"/>
  <c r="P81" i="4"/>
  <c r="P82" i="4" s="1"/>
  <c r="Q81" i="4"/>
  <c r="Q82" i="4" s="1"/>
  <c r="B86" i="4"/>
  <c r="B87" i="4"/>
  <c r="B75" i="4"/>
  <c r="H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N94" i="4" l="1"/>
  <c r="B94" i="4"/>
  <c r="J94" i="4"/>
  <c r="M94" i="4"/>
  <c r="L94" i="4"/>
  <c r="V94" i="4"/>
  <c r="F94" i="4"/>
  <c r="K94" i="4"/>
  <c r="U94" i="4"/>
  <c r="Q94" i="4"/>
  <c r="R94" i="4"/>
  <c r="T94" i="4"/>
  <c r="G94" i="4"/>
  <c r="O94" i="4"/>
  <c r="B5" i="27"/>
  <c r="P94" i="4"/>
  <c r="I94" i="4"/>
  <c r="D94" i="4"/>
  <c r="E94" i="4"/>
  <c r="S94" i="4"/>
  <c r="C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AJ8" i="12"/>
  <c r="AB8" i="12"/>
  <c r="Z8" i="12"/>
  <c r="AC8" i="12"/>
  <c r="V8" i="12"/>
  <c r="X8" i="12"/>
  <c r="AH8" i="12"/>
  <c r="AD8" i="12"/>
  <c r="AI8" i="12"/>
  <c r="AI9" i="12" s="1"/>
  <c r="AI10" i="12" s="1"/>
  <c r="W8" i="12"/>
  <c r="Y8" i="12"/>
  <c r="AE8" i="12"/>
  <c r="AA8" i="12"/>
  <c r="AA9" i="12" s="1"/>
  <c r="AA10" i="12" s="1"/>
  <c r="AF8" i="12"/>
  <c r="H8" i="27"/>
  <c r="J8" i="27"/>
  <c r="I8" i="27"/>
  <c r="Q5" i="12"/>
  <c r="R5" i="12"/>
  <c r="P83" i="4"/>
  <c r="S5" i="12"/>
  <c r="Q83" i="4"/>
  <c r="P5" i="12"/>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I9" i="27" l="1"/>
  <c r="I10" i="27" s="1"/>
  <c r="J9" i="27"/>
  <c r="J10" i="27" s="1"/>
  <c r="H9" i="27"/>
  <c r="H10" i="27" s="1"/>
  <c r="V9" i="12"/>
  <c r="V10" i="12" s="1"/>
  <c r="AJ9" i="12"/>
  <c r="AJ10" i="12" s="1"/>
  <c r="AF9" i="12"/>
  <c r="AF10" i="12" s="1"/>
  <c r="W9" i="12"/>
  <c r="W10" i="12" s="1"/>
  <c r="X9" i="12"/>
  <c r="X10" i="12" s="1"/>
  <c r="AB9" i="12"/>
  <c r="AB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F19" i="22"/>
  <c r="G19" i="22" s="1"/>
  <c r="F23" i="22"/>
  <c r="G23" i="22" s="1"/>
  <c r="N5" i="12"/>
  <c r="M5" i="12"/>
  <c r="I5" i="12"/>
  <c r="F20" i="22"/>
  <c r="I20" i="22" s="1"/>
  <c r="F9" i="22"/>
  <c r="F12" i="22"/>
  <c r="I12" i="22" s="1"/>
  <c r="F16" i="22"/>
  <c r="G16" i="22" s="1"/>
  <c r="F22" i="22"/>
  <c r="I22" i="22" s="1"/>
  <c r="J5" i="12"/>
  <c r="F15" i="22"/>
  <c r="G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K12" i="22" l="1"/>
  <c r="M12" i="22" s="1"/>
  <c r="I36" i="22"/>
  <c r="K36" i="22" s="1"/>
  <c r="N36" i="22" s="1"/>
  <c r="I32" i="22"/>
  <c r="K32" i="22" s="1"/>
  <c r="N32" i="22" s="1"/>
  <c r="I35" i="22"/>
  <c r="K35" i="22" s="1"/>
  <c r="N35" i="22" s="1"/>
  <c r="I34" i="22"/>
  <c r="K34" i="22" s="1"/>
  <c r="N34" i="22" s="1"/>
  <c r="I33" i="22"/>
  <c r="K33" i="22" s="1"/>
  <c r="N33" i="22" s="1"/>
  <c r="I9" i="22"/>
  <c r="K9" i="22" s="1"/>
  <c r="M9" i="22" s="1"/>
  <c r="I15" i="22"/>
  <c r="I25" i="22"/>
  <c r="K15" i="22"/>
  <c r="M15" i="22" s="1"/>
  <c r="G14" i="22"/>
  <c r="G13" i="22"/>
  <c r="K26" i="22"/>
  <c r="M26" i="22" s="1"/>
  <c r="K14" i="22"/>
  <c r="M14" i="22" s="1"/>
  <c r="G25" i="22"/>
  <c r="G12" i="22"/>
  <c r="I24" i="22"/>
  <c r="G7" i="22"/>
  <c r="I7" i="22" s="1"/>
  <c r="G3" i="28" s="1"/>
  <c r="K24" i="22"/>
  <c r="M24"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I16" i="22"/>
  <c r="G20" i="22"/>
  <c r="K23" i="22"/>
  <c r="M23" i="22" s="1"/>
  <c r="I21" i="22"/>
  <c r="K22" i="22"/>
  <c r="M22" i="22" s="1"/>
  <c r="I8" i="22"/>
  <c r="G2" i="28" s="1"/>
  <c r="I23" i="22"/>
  <c r="K20" i="22"/>
  <c r="M20" i="22" s="1"/>
  <c r="H3" i="28"/>
  <c r="N25" i="22"/>
  <c r="N17" i="22"/>
  <c r="L2" i="28"/>
  <c r="K3" i="28"/>
  <c r="K2" i="28"/>
  <c r="G13" i="28"/>
  <c r="G14" i="28"/>
  <c r="G4" i="28"/>
  <c r="G8" i="28"/>
  <c r="G11" i="28"/>
  <c r="G12" i="28"/>
  <c r="G9" i="28"/>
  <c r="G6" i="28"/>
  <c r="G15" i="28"/>
  <c r="G7" i="28"/>
  <c r="G5" i="28"/>
  <c r="G10" i="28"/>
  <c r="H6" i="28"/>
  <c r="H15" i="28"/>
  <c r="H12" i="28"/>
  <c r="H9" i="28"/>
  <c r="H14" i="28"/>
  <c r="H10" i="28"/>
  <c r="H13" i="28"/>
  <c r="H11" i="28"/>
  <c r="H8" i="28"/>
  <c r="H5" i="28"/>
  <c r="H4" i="28"/>
  <c r="H7" i="28"/>
  <c r="M32" i="22" l="1"/>
  <c r="N12" i="22"/>
  <c r="M34" i="22"/>
  <c r="M36" i="22"/>
  <c r="M33" i="22"/>
  <c r="M35" i="22"/>
  <c r="K7" i="22"/>
  <c r="M10" i="22"/>
  <c r="N10" i="22"/>
  <c r="K8" i="22"/>
  <c r="M8" i="22" s="1"/>
  <c r="N15" i="22"/>
  <c r="N20" i="22"/>
  <c r="N14" i="22"/>
  <c r="N26" i="22"/>
  <c r="N24" i="22"/>
  <c r="N18" i="22"/>
  <c r="N13" i="22"/>
  <c r="N19" i="22"/>
  <c r="H2" i="28"/>
  <c r="N16" i="22"/>
  <c r="N21" i="22"/>
  <c r="N11" i="22"/>
  <c r="N9" i="22"/>
  <c r="N23" i="22"/>
  <c r="N22" i="22"/>
  <c r="N8" i="22" l="1"/>
  <c r="N7" i="22"/>
  <c r="M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<sst xmlns="http://schemas.openxmlformats.org/spreadsheetml/2006/main" count="485" uniqueCount="176">
  <si>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</si>
  <si>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</si>
  <si>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</si>
  <si>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</si>
  <si>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</si>
  <si>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</si>
  <si>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</si>
  <si>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</si>
  <si>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</si>
  <si>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</si>
  <si>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</si>
  <si>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</si>
  <si>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</si>
  <si>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</si>
  <si>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</si>
  <si>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</si>
  <si>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</si>
  <si>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</si>
  <si>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</si>
  <si>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</si>
  <si>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</si>
  <si>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</si>
  <si>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</si>
  <si>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</si>
  <si>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</si>
  <si>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</si>
  <si>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</si>
  <si>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</si>
  <si>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</si>
  <si>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</si>
  <si>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</si>
  <si>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</si>
  <si>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</si>
  <si>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</si>
  <si>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</si>
  <si>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</si>
  <si>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</si>
  <si>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</si>
  <si>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</si>
  <si>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</si>
  <si>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</si>
  <si>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</si>
  <si>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</si>
  <si>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</si>
  <si>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</si>
  <si>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</si>
  <si>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</si>
  <si>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</si>
  <si>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</si>
  <si>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</si>
  <si>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</si>
  <si>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</si>
  <si>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</si>
  <si>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</si>
  <si>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</si>
  <si>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</si>
  <si>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</si>
  <si>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</si>
  <si>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</si>
  <si>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</si>
  <si>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</si>
  <si>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</si>
  <si>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</si>
  <si>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</si>
  <si>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</si>
  <si>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</si>
  <si>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</si>
  <si>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</si>
  <si>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</si>
  <si>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</si>
  <si>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</si>
  <si>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</si>
  <si>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</si>
  <si>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</si>
  <si>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</si>
  <si>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</si>
  <si>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</si>
  <si>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</si>
  <si>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</si>
  <si>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</si>
  <si>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</si>
  <si>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</si>
  <si>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</si>
  <si>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</si>
  <si>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</si>
  <si>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</si>
  <si>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</si>
  <si>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</si>
  <si>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</si>
  <si>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</si>
  <si>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</si>
  <si>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</si>
  <si>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</si>
  <si>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</si>
  <si>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</si>
  <si>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</si>
  <si>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</si>
  <si>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</si>
  <si>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</si>
  <si>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</si>
  <si>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</si>
  <si>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</si>
  <si>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</si>
  <si>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</si>
  <si>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</si>
  <si>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</si>
  <si>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</si>
  <si>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</si>
  <si>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</si>
  <si>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</si>
  <si>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</si>
  <si>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</si>
  <si>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</si>
  <si>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</si>
  <si>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</si>
  <si>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</si>
  <si>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</si>
  <si>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</si>
  <si>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</si>
  <si>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</si>
  <si>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</si>
  <si>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</si>
  <si>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</si>
  <si>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</si>
  <si>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</si>
  <si>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</si>
  <si>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</si>
  <si>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</si>
  <si>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</si>
  <si>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</si>
  <si>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</si>
  <si>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</si>
  <si>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</si>
  <si>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</si>
  <si>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</si>
  <si>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</si>
  <si>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</si>
  <si>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</si>
  <si>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</si>
  <si>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</si>
  <si>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</si>
  <si>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</si>
  <si>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</si>
  <si>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</si>
  <si>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</si>
  <si>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</si>
  <si>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</si>
  <si>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</si>
  <si>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</si>
  <si>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</si>
  <si>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</si>
  <si>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</si>
  <si>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</si>
  <si>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</si>
  <si>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</si>
  <si>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</si>
  <si>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</si>
  <si>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</si>
  <si>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</si>
  <si>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</si>
  <si>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</si>
  <si>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</si>
  <si>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</si>
  <si>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</si>
  <si>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</si>
  <si>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</si>
  <si>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</si>
  <si>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Arabinose</t>
  </si>
  <si>
    <t>mg/L</t>
  </si>
  <si>
    <t>ns</t>
  </si>
  <si>
    <t>&gt;0,99</t>
  </si>
  <si>
    <t>**</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</si>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</sst>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0.29364615881916128</c:v>
                  </c:pt>
                  <c:pt idx="2">
                    <c:v>0.56830742815943824</c:v>
                  </c:pt>
                  <c:pt idx="3">
                    <c:v>2.3884628342554053E-2</c:v>
                  </c:pt>
                  <c:pt idx="4">
                    <c:v>0.19739415784070255</c:v>
                  </c:pt>
                  <c:pt idx="5">
                    <c:v>0.28642723420467397</c:v>
                  </c:pt>
                  <c:pt idx="6">
                    <c:v>0.21936475144252604</c:v>
                  </c:pt>
                  <c:pt idx="7">
                    <c:v>0.20948386381802639</c:v>
                  </c:pt>
                  <c:pt idx="8">
                    <c:v>0.51464750943780901</c:v>
                  </c:pt>
                </c:numCache>
              </c:numRef>
            </c:plus>
            <c:minus>
              <c:numRef>
                <c:f>'R1'!$N$48:$V$48</c:f>
                <c:numCache>
                  <c:formatCode>General</c:formatCode>
                  <c:ptCount val="9"/>
                  <c:pt idx="0">
                    <c:v>0</c:v>
                  </c:pt>
                  <c:pt idx="1">
                    <c:v>0.29364615881916128</c:v>
                  </c:pt>
                  <c:pt idx="2">
                    <c:v>0.56830742815943824</c:v>
                  </c:pt>
                  <c:pt idx="3">
                    <c:v>2.3884628342554053E-2</c:v>
                  </c:pt>
                  <c:pt idx="4">
                    <c:v>0.19739415784070255</c:v>
                  </c:pt>
                  <c:pt idx="5">
                    <c:v>0.28642723420467397</c:v>
                  </c:pt>
                  <c:pt idx="6">
                    <c:v>0.21936475144252604</c:v>
                  </c:pt>
                  <c:pt idx="7">
                    <c:v>0.20948386381802639</c:v>
                  </c:pt>
                  <c:pt idx="8">
                    <c:v>0.51464750943780901</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'R1'!$B$53:$V$53</c:f>
              <c:numCache>
                <c:formatCode>0.0000</c:formatCode>
                <c:ptCount val="21"/>
                <c:pt idx="0">
                  <c:v>3.5506449656302459E-2</c:v>
                </c:pt>
                <c:pt idx="1">
                  <c:v>0.26183312688414656</c:v>
                </c:pt>
                <c:pt idx="2">
                  <c:v>0.64747592348695293</c:v>
                </c:pt>
                <c:pt idx="3">
                  <c:v>1.1443093696330195</c:v>
                </c:pt>
                <c:pt idx="4">
                  <c:v>3.644829905372001</c:v>
                </c:pt>
                <c:pt idx="5">
                  <c:v>6.0717925535194093</c:v>
                </c:pt>
                <c:pt idx="6">
                  <c:v>5.8491207238824465</c:v>
                </c:pt>
                <c:pt idx="7">
                  <c:v>3.7341820113747724E-2</c:v>
                </c:pt>
                <c:pt idx="8">
                  <c:v>8.0943127473315932E-2</c:v>
                </c:pt>
                <c:pt idx="9">
                  <c:v>0.10193791471275115</c:v>
                </c:pt>
                <c:pt idx="10">
                  <c:v>3.7517645518914754E-2</c:v>
                </c:pt>
                <c:pt idx="11">
                  <c:v>8.1515125560417775E-2</c:v>
                </c:pt>
                <c:pt idx="13">
                  <c:v>0.99999999999999989</c:v>
                </c:pt>
                <c:pt idx="14">
                  <c:v>4.78077564092216</c:v>
                </c:pt>
                <c:pt idx="15">
                  <c:v>5.0170082803483645E-2</c:v>
                </c:pt>
                <c:pt idx="16">
                  <c:v>0.50243384517719658</c:v>
                </c:pt>
                <c:pt idx="17">
                  <c:v>1.0491467995097863</c:v>
                </c:pt>
                <c:pt idx="18">
                  <c:v>0.40878841181024383</c:v>
                </c:pt>
                <c:pt idx="19">
                  <c:v>0.51045302598092834</c:v>
                </c:pt>
                <c:pt idx="20">
                  <c:v>1.3785723532338559</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8.5688074346385069E-3</c:v>
                  </c:pt>
                  <c:pt idx="1">
                    <c:v>2.9771016429878998E-2</c:v>
                  </c:pt>
                  <c:pt idx="2">
                    <c:v>3.6613154918315696E-2</c:v>
                  </c:pt>
                  <c:pt idx="3">
                    <c:v>0.27617704209975386</c:v>
                  </c:pt>
                  <c:pt idx="4">
                    <c:v>0.41392212356534408</c:v>
                  </c:pt>
                  <c:pt idx="5">
                    <c:v>0.47332893369862322</c:v>
                  </c:pt>
                  <c:pt idx="6">
                    <c:v>0.70392206361864595</c:v>
                  </c:pt>
                  <c:pt idx="7">
                    <c:v>6.4136251326310607E-3</c:v>
                  </c:pt>
                  <c:pt idx="8">
                    <c:v>1.3129099990140372E-2</c:v>
                  </c:pt>
                  <c:pt idx="9">
                    <c:v>2.4014983280563285E-2</c:v>
                  </c:pt>
                  <c:pt idx="10">
                    <c:v>2.0563445477488701E-2</c:v>
                  </c:pt>
                  <c:pt idx="11">
                    <c:v>2.5351770215077129E-2</c:v>
                  </c:pt>
                  <c:pt idx="13">
                    <c:v>0.16739383036532982</c:v>
                  </c:pt>
                  <c:pt idx="14">
                    <c:v>0.30291162294516416</c:v>
                  </c:pt>
                  <c:pt idx="15">
                    <c:v>1.1002275912691845E-2</c:v>
                  </c:pt>
                  <c:pt idx="16">
                    <c:v>0.22226399689137175</c:v>
                  </c:pt>
                  <c:pt idx="17">
                    <c:v>0.21953330814957731</c:v>
                  </c:pt>
                  <c:pt idx="18">
                    <c:v>0.21116782214754073</c:v>
                  </c:pt>
                  <c:pt idx="19">
                    <c:v>0.34677940351664083</c:v>
                  </c:pt>
                  <c:pt idx="20">
                    <c:v>0.14538539718406435</c:v>
                  </c:pt>
                </c:numCache>
              </c:numRef>
            </c:plus>
            <c:minus>
              <c:numRef>
                <c:f>'R1'!$N$48:$V$48</c:f>
                <c:numCache>
                  <c:formatCode>General</c:formatCode>
                  <c:ptCount val="9"/>
                  <c:pt idx="0">
                    <c:v>0</c:v>
                  </c:pt>
                  <c:pt idx="1">
                    <c:v>0.29364615881916128</c:v>
                  </c:pt>
                  <c:pt idx="2">
                    <c:v>0.56830742815943824</c:v>
                  </c:pt>
                  <c:pt idx="3">
                    <c:v>2.3884628342554053E-2</c:v>
                  </c:pt>
                  <c:pt idx="4">
                    <c:v>0.19739415784070255</c:v>
                  </c:pt>
                  <c:pt idx="5">
                    <c:v>0.28642723420467397</c:v>
                  </c:pt>
                  <c:pt idx="6">
                    <c:v>0.21936475144252604</c:v>
                  </c:pt>
                  <c:pt idx="7">
                    <c:v>0.20948386381802639</c:v>
                  </c:pt>
                  <c:pt idx="8">
                    <c:v>0.51464750943780901</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'R2'!$B$53:$V$53</c:f>
              <c:numCache>
                <c:formatCode>0.0000</c:formatCode>
                <c:ptCount val="21"/>
                <c:pt idx="0">
                  <c:v>2.7115925505846135E-2</c:v>
                </c:pt>
                <c:pt idx="1">
                  <c:v>7.7683180250138276E-2</c:v>
                </c:pt>
                <c:pt idx="2">
                  <c:v>0.12390053811915266</c:v>
                </c:pt>
                <c:pt idx="3">
                  <c:v>0.87993238342040181</c:v>
                </c:pt>
                <c:pt idx="4">
                  <c:v>2.3891860047851998</c:v>
                </c:pt>
                <c:pt idx="5">
                  <c:v>3.1008022698347544</c:v>
                </c:pt>
                <c:pt idx="6">
                  <c:v>4.9223349850300071</c:v>
                </c:pt>
                <c:pt idx="7">
                  <c:v>3.3089267222084731E-2</c:v>
                </c:pt>
                <c:pt idx="8">
                  <c:v>4.3931547695555004E-2</c:v>
                </c:pt>
                <c:pt idx="9">
                  <c:v>5.0197214233345964E-2</c:v>
                </c:pt>
                <c:pt idx="10">
                  <c:v>4.2252773620105093E-2</c:v>
                </c:pt>
                <c:pt idx="11">
                  <c:v>7.1552848775987374E-2</c:v>
                </c:pt>
                <c:pt idx="13">
                  <c:v>1.0000000000000002</c:v>
                </c:pt>
                <c:pt idx="14">
                  <c:v>1.5505161263578786</c:v>
                </c:pt>
                <c:pt idx="15">
                  <c:v>3.3716419961925953E-2</c:v>
                </c:pt>
                <c:pt idx="16">
                  <c:v>0.80602696486436409</c:v>
                </c:pt>
                <c:pt idx="17">
                  <c:v>0.51804092149098724</c:v>
                </c:pt>
                <c:pt idx="18">
                  <c:v>0.66821215415654334</c:v>
                </c:pt>
                <c:pt idx="19">
                  <c:v>1.2403810505272179</c:v>
                </c:pt>
                <c:pt idx="20">
                  <c:v>0.49021066887217513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3.6961538004054292E-3</c:v>
                  </c:pt>
                  <c:pt idx="1">
                    <c:v>2.4873370155221166E-3</c:v>
                  </c:pt>
                  <c:pt idx="2">
                    <c:v>0.11479229542334608</c:v>
                  </c:pt>
                  <c:pt idx="3">
                    <c:v>0.1974583902250015</c:v>
                  </c:pt>
                  <c:pt idx="4">
                    <c:v>0.15068624177713907</c:v>
                  </c:pt>
                  <c:pt idx="5">
                    <c:v>0.54645111638504662</c:v>
                  </c:pt>
                  <c:pt idx="6">
                    <c:v>0.63765213863586567</c:v>
                  </c:pt>
                  <c:pt idx="7">
                    <c:v>4.4588427551081177E-3</c:v>
                  </c:pt>
                  <c:pt idx="8">
                    <c:v>8.9078360855706536E-3</c:v>
                  </c:pt>
                  <c:pt idx="9">
                    <c:v>7.7916657926514156E-3</c:v>
                  </c:pt>
                  <c:pt idx="10">
                    <c:v>3.8181219727842389E-3</c:v>
                  </c:pt>
                  <c:pt idx="11">
                    <c:v>1.638925882363958E-3</c:v>
                  </c:pt>
                  <c:pt idx="13">
                    <c:v>0.26162574902035185</c:v>
                  </c:pt>
                  <c:pt idx="14">
                    <c:v>0.76989297969966197</c:v>
                  </c:pt>
                  <c:pt idx="15">
                    <c:v>2.8923905232095372E-3</c:v>
                  </c:pt>
                  <c:pt idx="16">
                    <c:v>0.37905029863414735</c:v>
                  </c:pt>
                  <c:pt idx="17">
                    <c:v>0.42313478749798344</c:v>
                  </c:pt>
                  <c:pt idx="18">
                    <c:v>0.40616857333078527</c:v>
                  </c:pt>
                  <c:pt idx="19">
                    <c:v>0.32422015853476077</c:v>
                  </c:pt>
                  <c:pt idx="20">
                    <c:v>0.4074197413755915</c:v>
                  </c:pt>
                </c:numCache>
              </c:numRef>
            </c:plus>
            <c:minus>
              <c:numRef>
                <c:f>'R1'!$N$48:$V$48</c:f>
                <c:numCache>
                  <c:formatCode>General</c:formatCode>
                  <c:ptCount val="9"/>
                  <c:pt idx="0">
                    <c:v>0</c:v>
                  </c:pt>
                  <c:pt idx="1">
                    <c:v>0.29364615881916128</c:v>
                  </c:pt>
                  <c:pt idx="2">
                    <c:v>0.56830742815943824</c:v>
                  </c:pt>
                  <c:pt idx="3">
                    <c:v>2.3884628342554053E-2</c:v>
                  </c:pt>
                  <c:pt idx="4">
                    <c:v>0.19739415784070255</c:v>
                  </c:pt>
                  <c:pt idx="5">
                    <c:v>0.28642723420467397</c:v>
                  </c:pt>
                  <c:pt idx="6">
                    <c:v>0.21936475144252604</c:v>
                  </c:pt>
                  <c:pt idx="7">
                    <c:v>0.20948386381802639</c:v>
                  </c:pt>
                  <c:pt idx="8">
                    <c:v>0.51464750943780901</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'R3'!$B$53:$V$53</c:f>
              <c:numCache>
                <c:formatCode>0.0000</c:formatCode>
                <c:ptCount val="21"/>
                <c:pt idx="0">
                  <c:v>1.2989585176780749E-2</c:v>
                </c:pt>
                <c:pt idx="1">
                  <c:v>1.5326283990413797E-2</c:v>
                </c:pt>
                <c:pt idx="2">
                  <c:v>0.17252528038318343</c:v>
                </c:pt>
                <c:pt idx="3">
                  <c:v>0.29320634151424285</c:v>
                </c:pt>
                <c:pt idx="4">
                  <c:v>0.61001463318221893</c:v>
                </c:pt>
                <c:pt idx="5">
                  <c:v>3.9055603611530563</c:v>
                </c:pt>
                <c:pt idx="6">
                  <c:v>7.0828655111731518</c:v>
                </c:pt>
                <c:pt idx="7">
                  <c:v>1.5900819358968206E-2</c:v>
                </c:pt>
                <c:pt idx="8">
                  <c:v>2.0111218800600048E-2</c:v>
                </c:pt>
                <c:pt idx="9">
                  <c:v>2.7439284078072307E-2</c:v>
                </c:pt>
                <c:pt idx="10">
                  <c:v>9.6300314743665016E-3</c:v>
                </c:pt>
                <c:pt idx="11">
                  <c:v>2.0040823229174075E-2</c:v>
                </c:pt>
                <c:pt idx="13">
                  <c:v>1</c:v>
                </c:pt>
                <c:pt idx="14">
                  <c:v>7.1715540075650939</c:v>
                </c:pt>
                <c:pt idx="15">
                  <c:v>6.8299209915665899E-3</c:v>
                </c:pt>
                <c:pt idx="16">
                  <c:v>0.93515585848277993</c:v>
                </c:pt>
                <c:pt idx="17">
                  <c:v>1.2951112601489534</c:v>
                </c:pt>
                <c:pt idx="18">
                  <c:v>1.2841069127830915</c:v>
                </c:pt>
                <c:pt idx="19">
                  <c:v>1.2865713780082992</c:v>
                </c:pt>
                <c:pt idx="20">
                  <c:v>0.80940249148637411</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D9BC6CD7-DBBF-45BB-8208-68637E1472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A538DC61-7C2F-43DC-BFAF-6E3E910B20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5AF6F856-8BEC-4FC9-A275-EA0D8A868A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19C4254E-FCCD-4CF6-955A-75ADA5E417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8C6F333E-44B8-485E-B100-64A050FC5D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2F60F57B-77AA-4F48-B917-00B627CF3F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2E3CE600-C1B5-4DAA-8704-7C9F92D59A9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E80ACA35-118A-4B5C-9B94-225141D63F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F3D3761C-D5DD-459A-9E1D-D83D16FF87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65EA436-64ED-4151-B9CA-DC20ECC406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A31EE55F-ABDC-43B0-9610-4BF7ABA4CB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2FE05B73-5346-478E-98D8-3022456047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1E471191-FE2E-4BE4-A826-84D7BCDB37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327ED8D5-DB2D-4ED2-97D1-65E3D20114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410AF532-E639-48BB-8531-F362B5670C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F9CDF1BF-558E-4D77-8F66-98193B2030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49C1F946-2BFC-4C2D-AF15-A60595AFAB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C1C99C25-6C25-48A4-BCF5-E2C00BC577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0BC78363-772B-41A5-8B6E-6447D0B0B7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0EEEFEBF-B389-4E4C-A864-A7B87EF396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5.8562412347090585E-3</c:v>
                  </c:pt>
                  <c:pt idx="1">
                    <c:v>4.3462374345008693E-2</c:v>
                  </c:pt>
                  <c:pt idx="2">
                    <c:v>0.1150457871702868</c:v>
                  </c:pt>
                  <c:pt idx="3">
                    <c:v>0.16495573036721448</c:v>
                  </c:pt>
                  <c:pt idx="4">
                    <c:v>0.3268567650219989</c:v>
                  </c:pt>
                  <c:pt idx="5">
                    <c:v>0.44166460040704209</c:v>
                  </c:pt>
                  <c:pt idx="6">
                    <c:v>0.41270229773028694</c:v>
                  </c:pt>
                  <c:pt idx="7">
                    <c:v>5.1941022376408618E-3</c:v>
                  </c:pt>
                  <c:pt idx="8">
                    <c:v>9.9772598286115063E-3</c:v>
                  </c:pt>
                  <c:pt idx="9">
                    <c:v>2.276392862572503E-2</c:v>
                  </c:pt>
                  <c:pt idx="10">
                    <c:v>7.8660042441725739E-3</c:v>
                  </c:pt>
                  <c:pt idx="11">
                    <c:v>1.2980656012692694E-2</c:v>
                  </c:pt>
                  <c:pt idx="13">
                    <c:v>0.13903624515573568</c:v>
                  </c:pt>
                  <c:pt idx="14">
                    <c:v>0.57694517972467618</c:v>
                  </c:pt>
                  <c:pt idx="15">
                    <c:v>9.2129129416358511E-3</c:v>
                  </c:pt>
                  <c:pt idx="16">
                    <c:v>0.15802270973915566</c:v>
                  </c:pt>
                  <c:pt idx="17">
                    <c:v>0.1895998635380102</c:v>
                  </c:pt>
                  <c:pt idx="18">
                    <c:v>0.17888824984622431</c:v>
                  </c:pt>
                  <c:pt idx="19">
                    <c:v>0.17988489500508029</c:v>
                  </c:pt>
                  <c:pt idx="20">
                    <c:v>0.22742849827889097</c:v>
                  </c:pt>
                </c:numCache>
              </c:numRef>
            </c:plus>
            <c:minus>
              <c:numRef>
                <c:f>'pooled normalised values'!$B$76:$V$76</c:f>
                <c:numCache>
                  <c:formatCode>General</c:formatCode>
                  <c:ptCount val="21"/>
                  <c:pt idx="0">
                    <c:v>5.8562412347090585E-3</c:v>
                  </c:pt>
                  <c:pt idx="1">
                    <c:v>4.3462374345008693E-2</c:v>
                  </c:pt>
                  <c:pt idx="2">
                    <c:v>0.1150457871702868</c:v>
                  </c:pt>
                  <c:pt idx="3">
                    <c:v>0.16495573036721448</c:v>
                  </c:pt>
                  <c:pt idx="4">
                    <c:v>0.3268567650219989</c:v>
                  </c:pt>
                  <c:pt idx="5">
                    <c:v>0.44166460040704209</c:v>
                  </c:pt>
                  <c:pt idx="6">
                    <c:v>0.41270229773028694</c:v>
                  </c:pt>
                  <c:pt idx="7">
                    <c:v>5.1941022376408618E-3</c:v>
                  </c:pt>
                  <c:pt idx="8">
                    <c:v>9.9772598286115063E-3</c:v>
                  </c:pt>
                  <c:pt idx="9">
                    <c:v>2.276392862572503E-2</c:v>
                  </c:pt>
                  <c:pt idx="10">
                    <c:v>7.8660042441725739E-3</c:v>
                  </c:pt>
                  <c:pt idx="11">
                    <c:v>1.2980656012692694E-2</c:v>
                  </c:pt>
                  <c:pt idx="13">
                    <c:v>0.13903624515573568</c:v>
                  </c:pt>
                  <c:pt idx="14">
                    <c:v>0.57694517972467618</c:v>
                  </c:pt>
                  <c:pt idx="15">
                    <c:v>9.2129129416358511E-3</c:v>
                  </c:pt>
                  <c:pt idx="16">
                    <c:v>0.15802270973915566</c:v>
                  </c:pt>
                  <c:pt idx="17">
                    <c:v>0.1895998635380102</c:v>
                  </c:pt>
                  <c:pt idx="18">
                    <c:v>0.17888824984622431</c:v>
                  </c:pt>
                  <c:pt idx="19">
                    <c:v>0.17988489500508029</c:v>
                  </c:pt>
                  <c:pt idx="20">
                    <c:v>0.22742849827889097</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'pooled normalised values'!$B$75:$V$75</c:f>
              <c:numCache>
                <c:formatCode>0.0000</c:formatCode>
                <c:ptCount val="21"/>
                <c:pt idx="0">
                  <c:v>2.5203986779643115E-2</c:v>
                </c:pt>
                <c:pt idx="1">
                  <c:v>0.11828086370823292</c:v>
                </c:pt>
                <c:pt idx="2">
                  <c:v>0.31463391399642965</c:v>
                </c:pt>
                <c:pt idx="3">
                  <c:v>0.77248269818922133</c:v>
                </c:pt>
                <c:pt idx="4">
                  <c:v>2.2146768477798062</c:v>
                </c:pt>
                <c:pt idx="5">
                  <c:v>4.2849325618494927</c:v>
                </c:pt>
                <c:pt idx="6">
                  <c:v>5.9514404066952018</c:v>
                </c:pt>
                <c:pt idx="7">
                  <c:v>2.8777302231600219E-2</c:v>
                </c:pt>
                <c:pt idx="8">
                  <c:v>4.8519808872183164E-2</c:v>
                </c:pt>
                <c:pt idx="9">
                  <c:v>5.9858137674723151E-2</c:v>
                </c:pt>
                <c:pt idx="10">
                  <c:v>2.9800150204462115E-2</c:v>
                </c:pt>
                <c:pt idx="11">
                  <c:v>5.7702932521859741E-2</c:v>
                </c:pt>
                <c:pt idx="13">
                  <c:v>0.99999999999999989</c:v>
                </c:pt>
                <c:pt idx="14">
                  <c:v>4.5009485916150442</c:v>
                </c:pt>
                <c:pt idx="15">
                  <c:v>3.0238807918992056E-2</c:v>
                </c:pt>
                <c:pt idx="16">
                  <c:v>0.74787222284144705</c:v>
                </c:pt>
                <c:pt idx="17">
                  <c:v>0.95409966038324245</c:v>
                </c:pt>
                <c:pt idx="18">
                  <c:v>0.7870358262499596</c:v>
                </c:pt>
                <c:pt idx="19">
                  <c:v>1.0025592428523631</c:v>
                </c:pt>
                <c:pt idx="20">
                  <c:v>0.89272850453080166</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c:v>
                  </c:pt>
                  <c:pt idx="13">
                    <c:v>#NAME?</c:v>
                  </c:pt>
                  <c:pt idx="14">
                    <c:v>#NAME?</c:v>
                  </c:pt>
                  <c:pt idx="15">
                    <c:v>#NAME?</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Arabinose-0.01mg/L : 0%</c:v>
                  </c:pt>
                  <c:pt idx="1">
                    <c:v>Arabinose-0.1mg/L : 0%</c:v>
                  </c:pt>
                  <c:pt idx="2">
                    <c:v>Arabinose-1mg/L : 0%</c:v>
                  </c:pt>
                  <c:pt idx="3">
                    <c:v>Arabinose-10mg/L : 0%</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Arabinose-0.01mg/L : 0%</c:v>
                  </c:pt>
                  <c:pt idx="1">
                    <c:v>Arabinose-0.1mg/L : 0%</c:v>
                  </c:pt>
                  <c:pt idx="2">
                    <c:v>Arabinose-1mg/L : 0%</c:v>
                  </c:pt>
                  <c:pt idx="3">
                    <c:v>Arabinose-10mg/L : 0%</c:v>
                  </c:pt>
                  <c:pt idx="4">
                    <c:v>Arabinose-100mg/L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Arabinose-0.01mg/L : 0%</c:v>
                  </c:pt>
                  <c:pt idx="1">
                    <c:v>Arabinose-0.1mg/L : 0%</c:v>
                  </c:pt>
                  <c:pt idx="2">
                    <c:v>Arabinose-1mg/L : 0%</c:v>
                  </c:pt>
                  <c:pt idx="3">
                    <c:v>Arabinose-10mg/L : 0%</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Arabinose-0.01mg/L : 0%</c:v>
                  </c:pt>
                  <c:pt idx="1">
                    <c:v>Arabinose-0.1mg/L : 0%</c:v>
                  </c:pt>
                  <c:pt idx="2">
                    <c:v>Arabinose-1mg/L : 0%</c:v>
                  </c:pt>
                  <c:pt idx="3">
                    <c:v>Arabinose-10mg/L : 0%</c:v>
                  </c:pt>
                  <c:pt idx="4">
                    <c:v>Arabinose-100mg/L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5A152C1C-A1B7-45EA-8AF5-5D9A344DBE1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6A18D3E-17DF-4779-B8DD-326103270A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74B4D342-C8B1-48A7-B157-6954CE4B21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92E6B637-AEB1-4BD5-B473-83510F100C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E7E5595E-1DCD-43B5-B863-E5538C6D28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2F0DA8B1-8767-44FB-881D-5A4E54002E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25451E80-67C3-473D-BBEA-405A5A7CF4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8FF7DE37-8E7A-4F17-8E18-A942B9FFED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DE5FBB86-7307-4B90-9469-2E62709BD8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1B453C0E-1C4E-4A88-BFA7-5730A50FB8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0F636E10-59D3-4322-A5B3-900CFE23CA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099BF787-1DEC-4AE6-A08C-FECCAE5C52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8104C541-CCAE-4236-9C11-100426EF47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489C04CB-545F-4525-9429-D82484B435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9.9772598286115063E-3</c:v>
                  </c:pt>
                  <c:pt idx="2">
                    <c:v>2.276392862572503E-2</c:v>
                  </c:pt>
                  <c:pt idx="3">
                    <c:v>7.8660042441725739E-3</c:v>
                  </c:pt>
                  <c:pt idx="4">
                    <c:v>1.2980656012692694E-2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9.9772598286115063E-3</c:v>
                  </c:pt>
                  <c:pt idx="2">
                    <c:v>2.276392862572503E-2</c:v>
                  </c:pt>
                  <c:pt idx="3">
                    <c:v>7.8660042441725739E-3</c:v>
                  </c:pt>
                  <c:pt idx="4">
                    <c:v>1.2980656012692694E-2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4.8519808872183164E-2</c:v>
                </c:pt>
                <c:pt idx="2">
                  <c:v>5.9858137674723151E-2</c:v>
                </c:pt>
                <c:pt idx="3">
                  <c:v>2.9800150204462115E-2</c:v>
                </c:pt>
                <c:pt idx="4">
                  <c:v>5.7702932521859741E-2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2.5203986779643115E-2</c:v>
                </c:pt>
                <c:pt idx="1">
                  <c:v>2.5203986779643115E-2</c:v>
                </c:pt>
                <c:pt idx="2">
                  <c:v>2.5203986779643115E-2</c:v>
                </c:pt>
                <c:pt idx="3">
                  <c:v>2.5203986779643115E-2</c:v>
                </c:pt>
                <c:pt idx="4">
                  <c:v>2.5203986779643115E-2</c:v>
                </c:pt>
                <c:pt idx="5">
                  <c:v>2.5203986779643115E-2</c:v>
                </c:pt>
                <c:pt idx="6">
                  <c:v>2.5203986779643115E-2</c:v>
                </c:pt>
                <c:pt idx="7">
                  <c:v>2.5203986779643115E-2</c:v>
                </c:pt>
                <c:pt idx="8">
                  <c:v>2.5203986779643115E-2</c:v>
                </c:pt>
                <c:pt idx="9">
                  <c:v>2.5203986779643115E-2</c:v>
                </c:pt>
                <c:pt idx="10">
                  <c:v>2.5203986779643115E-2</c:v>
                </c:pt>
                <c:pt idx="11">
                  <c:v>2.5203986779643115E-2</c:v>
                </c:pt>
                <c:pt idx="12">
                  <c:v>2.5203986779643115E-2</c:v>
                </c:pt>
                <c:pt idx="13">
                  <c:v>2.5203986779643115E-2</c:v>
                </c:pt>
                <c:pt idx="14">
                  <c:v>2.5203986779643115E-2</c:v>
                </c:pt>
                <c:pt idx="15">
                  <c:v>2.5203986779643115E-2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3.0238807918992056E-2</c:v>
                </c:pt>
                <c:pt idx="1">
                  <c:v>3.0238807918992056E-2</c:v>
                </c:pt>
                <c:pt idx="2">
                  <c:v>3.0238807918992056E-2</c:v>
                </c:pt>
                <c:pt idx="3">
                  <c:v>3.0238807918992056E-2</c:v>
                </c:pt>
                <c:pt idx="4">
                  <c:v>3.0238807918992056E-2</c:v>
                </c:pt>
                <c:pt idx="5">
                  <c:v>3.0238807918992056E-2</c:v>
                </c:pt>
                <c:pt idx="6">
                  <c:v>3.0238807918992056E-2</c:v>
                </c:pt>
                <c:pt idx="7">
                  <c:v>3.0238807918992056E-2</c:v>
                </c:pt>
                <c:pt idx="8">
                  <c:v>3.0238807918992056E-2</c:v>
                </c:pt>
                <c:pt idx="9">
                  <c:v>3.0238807918992056E-2</c:v>
                </c:pt>
                <c:pt idx="10">
                  <c:v>3.0238807918992056E-2</c:v>
                </c:pt>
                <c:pt idx="11">
                  <c:v>3.0238807918992056E-2</c:v>
                </c:pt>
                <c:pt idx="12">
                  <c:v>3.0238807918992056E-2</c:v>
                </c:pt>
                <c:pt idx="13">
                  <c:v>3.0238807918992056E-2</c:v>
                </c:pt>
                <c:pt idx="14">
                  <c:v>3.0238807918992056E-2</c:v>
                </c:pt>
                <c:pt idx="15">
                  <c:v>3.0238807918992056E-2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4.4707097836960523</c:v>
                </c:pt>
                <c:pt idx="1">
                  <c:v>4.4707097836960523</c:v>
                </c:pt>
                <c:pt idx="2">
                  <c:v>4.4707097836960523</c:v>
                </c:pt>
                <c:pt idx="3">
                  <c:v>4.4707097836960523</c:v>
                </c:pt>
                <c:pt idx="4">
                  <c:v>4.4707097836960523</c:v>
                </c:pt>
                <c:pt idx="5">
                  <c:v>4.4707097836960523</c:v>
                </c:pt>
                <c:pt idx="6">
                  <c:v>4.4707097836960523</c:v>
                </c:pt>
                <c:pt idx="7">
                  <c:v>4.4707097836960523</c:v>
                </c:pt>
                <c:pt idx="8">
                  <c:v>4.4707097836960523</c:v>
                </c:pt>
                <c:pt idx="9">
                  <c:v>4.4707097836960523</c:v>
                </c:pt>
                <c:pt idx="10">
                  <c:v>4.4707097836960523</c:v>
                </c:pt>
                <c:pt idx="11">
                  <c:v>4.4707097836960523</c:v>
                </c:pt>
                <c:pt idx="12">
                  <c:v>4.4707097836960523</c:v>
                </c:pt>
                <c:pt idx="13">
                  <c:v>4.4707097836960523</c:v>
                </c:pt>
                <c:pt idx="14">
                  <c:v>4.4707097836960523</c:v>
                </c:pt>
                <c:pt idx="15">
                  <c:v>4.4707097836960523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-1.9707097836960523</c:v>
                </c:pt>
                <c:pt idx="1">
                  <c:v>-1.9707097836960523</c:v>
                </c:pt>
                <c:pt idx="2">
                  <c:v>-1.9707097836960523</c:v>
                </c:pt>
                <c:pt idx="3">
                  <c:v>-1.9707097836960523</c:v>
                </c:pt>
                <c:pt idx="4">
                  <c:v>-1.9707097836960523</c:v>
                </c:pt>
                <c:pt idx="5">
                  <c:v>-1.9707097836960523</c:v>
                </c:pt>
                <c:pt idx="6">
                  <c:v>-1.9707097836960523</c:v>
                </c:pt>
                <c:pt idx="7">
                  <c:v>-1.9707097836960523</c:v>
                </c:pt>
                <c:pt idx="8">
                  <c:v>-1.9707097836960523</c:v>
                </c:pt>
                <c:pt idx="9">
                  <c:v>-1.9707097836960523</c:v>
                </c:pt>
                <c:pt idx="10">
                  <c:v>-1.9707097836960523</c:v>
                </c:pt>
                <c:pt idx="11">
                  <c:v>-1.9707097836960523</c:v>
                </c:pt>
                <c:pt idx="12">
                  <c:v>-1.9707097836960523</c:v>
                </c:pt>
                <c:pt idx="13">
                  <c:v>-1.9707097836960523</c:v>
                </c:pt>
                <c:pt idx="14">
                  <c:v>-1.9707097836960523</c:v>
                </c:pt>
                <c:pt idx="15">
                  <c:v>-1.9707097836960523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A20BADD4-072A-4D19-A812-7DA23256B64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E15995C4-FFBD-4311-8186-E2E71E127A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D22A4FAB-21F5-4970-9A4F-4AF8DBD5FA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5443946D-FDF1-4AB0-BF9F-4FE8669777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9E6BA906-AFDC-4878-B51A-5DF79B456E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D8A6A60D-7DB9-4931-8E69-0A5AFDAB77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5D51A674-53F1-4C82-B8AB-849627B3B7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647E7FDD-F4EC-498E-A900-E9EFEE7E16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D1023CCD-C193-439F-AEA4-FD8A252DDD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684B4F23-1734-4870-8BB5-7E69C8035C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038F9162-2706-4862-A570-D81F339F64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288F27DB-3704-4C5A-8F49-B06593818F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26751537-FC20-4159-96EC-7B8E5107E5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5770B71B-141F-4B0C-87AC-6B64818619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0.15802270973915566</c:v>
                  </c:pt>
                  <c:pt idx="2">
                    <c:v>0.1895998635380102</c:v>
                  </c:pt>
                  <c:pt idx="3">
                    <c:v>0.17888824984622431</c:v>
                  </c:pt>
                  <c:pt idx="4">
                    <c:v>0.17988489500508029</c:v>
                  </c:pt>
                  <c:pt idx="5">
                    <c:v>0.22742849827889097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0.15802270973915566</c:v>
                  </c:pt>
                  <c:pt idx="2">
                    <c:v>0.1895998635380102</c:v>
                  </c:pt>
                  <c:pt idx="3">
                    <c:v>0.17888824984622431</c:v>
                  </c:pt>
                  <c:pt idx="4">
                    <c:v>0.17988489500508029</c:v>
                  </c:pt>
                  <c:pt idx="5">
                    <c:v>0.22742849827889097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0.74787222284144705</c:v>
                </c:pt>
                <c:pt idx="2">
                  <c:v>0.95409966038324245</c:v>
                </c:pt>
                <c:pt idx="3">
                  <c:v>0.7870358262499596</c:v>
                </c:pt>
                <c:pt idx="4">
                  <c:v>1.0025592428523631</c:v>
                </c:pt>
                <c:pt idx="5">
                  <c:v>0.89272850453080166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5930AF70-A01A-4E49-87F0-48BE76AF61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93679F57-4401-47E5-AD7D-81BC02EF19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08D3CF10-BACD-4274-9739-E1EE89655B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928A9E91-6E59-4EF0-A2D2-354ABCD498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8B2CC8CF-2048-480A-88FF-DFE5D9C72F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FBFCEDA5-035F-4027-82DC-66522D1F2A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389C640E-2D17-4F58-9AAC-C16EB1CED7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93F25A32-806C-417E-AD97-A3E3D52728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0C5DA6EB-214D-41FD-8D0D-BCB3E11080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EB4E8BE0-6C00-40C9-A86A-695552B791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19013A03-A60B-40F5-9156-ED31A74E0D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8E0CA895-60C9-4FE8-B8ED-E11801F5E6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39ABA36F-8C72-4BEB-AD05-44972E6FB4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F77D89D4-AB21-4540-AD74-17CE3C72644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9.9772598286115063E-3</c:v>
                  </c:pt>
                  <c:pt idx="2">
                    <c:v>2.276392862572503E-2</c:v>
                  </c:pt>
                  <c:pt idx="3">
                    <c:v>7.8660042441725739E-3</c:v>
                  </c:pt>
                  <c:pt idx="4">
                    <c:v>1.2980656012692694E-2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9.9772598286115063E-3</c:v>
                  </c:pt>
                  <c:pt idx="2">
                    <c:v>2.276392862572503E-2</c:v>
                  </c:pt>
                  <c:pt idx="3">
                    <c:v>7.8660042441725739E-3</c:v>
                  </c:pt>
                  <c:pt idx="4">
                    <c:v>1.2980656012692694E-2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4.8519808872183164E-2</c:v>
                </c:pt>
                <c:pt idx="2">
                  <c:v>5.9858137674723151E-2</c:v>
                </c:pt>
                <c:pt idx="3">
                  <c:v>2.9800150204462115E-2</c:v>
                </c:pt>
                <c:pt idx="4">
                  <c:v>5.7702932521859741E-2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2.5203986779643115E-2</c:v>
                </c:pt>
                <c:pt idx="1">
                  <c:v>2.5203986779643115E-2</c:v>
                </c:pt>
                <c:pt idx="2">
                  <c:v>2.5203986779643115E-2</c:v>
                </c:pt>
                <c:pt idx="3">
                  <c:v>2.5203986779643115E-2</c:v>
                </c:pt>
                <c:pt idx="4">
                  <c:v>2.5203986779643115E-2</c:v>
                </c:pt>
                <c:pt idx="5">
                  <c:v>2.5203986779643115E-2</c:v>
                </c:pt>
                <c:pt idx="6">
                  <c:v>2.5203986779643115E-2</c:v>
                </c:pt>
                <c:pt idx="7">
                  <c:v>2.5203986779643115E-2</c:v>
                </c:pt>
                <c:pt idx="8">
                  <c:v>2.5203986779643115E-2</c:v>
                </c:pt>
                <c:pt idx="9">
                  <c:v>2.5203986779643115E-2</c:v>
                </c:pt>
                <c:pt idx="10">
                  <c:v>2.5203986779643115E-2</c:v>
                </c:pt>
                <c:pt idx="11">
                  <c:v>2.5203986779643115E-2</c:v>
                </c:pt>
                <c:pt idx="12">
                  <c:v>2.5203986779643115E-2</c:v>
                </c:pt>
                <c:pt idx="13">
                  <c:v>2.5203986779643115E-2</c:v>
                </c:pt>
                <c:pt idx="14">
                  <c:v>2.5203986779643115E-2</c:v>
                </c:pt>
                <c:pt idx="15">
                  <c:v>2.5203986779643115E-2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3.0238807918992056E-2</c:v>
                </c:pt>
                <c:pt idx="1">
                  <c:v>3.0238807918992056E-2</c:v>
                </c:pt>
                <c:pt idx="2">
                  <c:v>3.0238807918992056E-2</c:v>
                </c:pt>
                <c:pt idx="3">
                  <c:v>3.0238807918992056E-2</c:v>
                </c:pt>
                <c:pt idx="4">
                  <c:v>3.0238807918992056E-2</c:v>
                </c:pt>
                <c:pt idx="5">
                  <c:v>3.0238807918992056E-2</c:v>
                </c:pt>
                <c:pt idx="6">
                  <c:v>3.0238807918992056E-2</c:v>
                </c:pt>
                <c:pt idx="7">
                  <c:v>3.0238807918992056E-2</c:v>
                </c:pt>
                <c:pt idx="8">
                  <c:v>3.0238807918992056E-2</c:v>
                </c:pt>
                <c:pt idx="9">
                  <c:v>3.0238807918992056E-2</c:v>
                </c:pt>
                <c:pt idx="10">
                  <c:v>3.0238807918992056E-2</c:v>
                </c:pt>
                <c:pt idx="11">
                  <c:v>3.0238807918992056E-2</c:v>
                </c:pt>
                <c:pt idx="12">
                  <c:v>3.0238807918992056E-2</c:v>
                </c:pt>
                <c:pt idx="13">
                  <c:v>3.0238807918992056E-2</c:v>
                </c:pt>
                <c:pt idx="14">
                  <c:v>3.0238807918992056E-2</c:v>
                </c:pt>
                <c:pt idx="15">
                  <c:v>3.0238807918992056E-2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4.4707097836960523</c:v>
                </c:pt>
                <c:pt idx="1">
                  <c:v>4.4707097836960523</c:v>
                </c:pt>
                <c:pt idx="2">
                  <c:v>4.4707097836960523</c:v>
                </c:pt>
                <c:pt idx="3">
                  <c:v>4.4707097836960523</c:v>
                </c:pt>
                <c:pt idx="4">
                  <c:v>4.4707097836960523</c:v>
                </c:pt>
                <c:pt idx="5">
                  <c:v>4.4707097836960523</c:v>
                </c:pt>
                <c:pt idx="6">
                  <c:v>4.4707097836960523</c:v>
                </c:pt>
                <c:pt idx="7">
                  <c:v>4.4707097836960523</c:v>
                </c:pt>
                <c:pt idx="8">
                  <c:v>4.4707097836960523</c:v>
                </c:pt>
                <c:pt idx="9">
                  <c:v>4.4707097836960523</c:v>
                </c:pt>
                <c:pt idx="10">
                  <c:v>4.4707097836960523</c:v>
                </c:pt>
                <c:pt idx="11">
                  <c:v>4.4707097836960523</c:v>
                </c:pt>
                <c:pt idx="12">
                  <c:v>4.4707097836960523</c:v>
                </c:pt>
                <c:pt idx="13">
                  <c:v>4.4707097836960523</c:v>
                </c:pt>
                <c:pt idx="14">
                  <c:v>4.4707097836960523</c:v>
                </c:pt>
                <c:pt idx="15">
                  <c:v>4.4707097836960523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-1.9707097836960523</c:v>
                </c:pt>
                <c:pt idx="1">
                  <c:v>-1.9707097836960523</c:v>
                </c:pt>
                <c:pt idx="2">
                  <c:v>-1.9707097836960523</c:v>
                </c:pt>
                <c:pt idx="3">
                  <c:v>-1.9707097836960523</c:v>
                </c:pt>
                <c:pt idx="4">
                  <c:v>-1.9707097836960523</c:v>
                </c:pt>
                <c:pt idx="5">
                  <c:v>-1.9707097836960523</c:v>
                </c:pt>
                <c:pt idx="6">
                  <c:v>-1.9707097836960523</c:v>
                </c:pt>
                <c:pt idx="7">
                  <c:v>-1.9707097836960523</c:v>
                </c:pt>
                <c:pt idx="8">
                  <c:v>-1.9707097836960523</c:v>
                </c:pt>
                <c:pt idx="9">
                  <c:v>-1.9707097836960523</c:v>
                </c:pt>
                <c:pt idx="10">
                  <c:v>-1.9707097836960523</c:v>
                </c:pt>
                <c:pt idx="11">
                  <c:v>-1.9707097836960523</c:v>
                </c:pt>
                <c:pt idx="12">
                  <c:v>-1.9707097836960523</c:v>
                </c:pt>
                <c:pt idx="13">
                  <c:v>-1.9707097836960523</c:v>
                </c:pt>
                <c:pt idx="14">
                  <c:v>-1.9707097836960523</c:v>
                </c:pt>
                <c:pt idx="15">
                  <c:v>-1.9707097836960523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AE3C771E-C18A-41A6-AE24-33E4338401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8C888418-A39A-4066-9667-015DC3C57C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6BF10939-21CF-49C1-B46C-3329601F3E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3539F360-BDA1-4F76-9428-8A742A03C6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EEF94578-B877-4661-816C-36F37DD2AF8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83EAC359-528E-419A-A6BE-8EAF3E48B56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E3B4A98D-53DB-4DEE-AFD4-F33A7AF6A9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0620A19E-D326-482D-BF4F-FF408D9230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432E07CD-DEA4-47C2-BEBD-3FB3A2A0DD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4DE02DA0-0DBD-4422-8B9E-2D395939F9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49ADDB98-3C5B-4459-ADD8-3E4EA993EA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29256FA5-A6C5-46B4-B76C-40F942D99F3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C924CB3E-E3C7-40B0-9F9D-B82F8878AD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2BBA3959-8280-4B2E-A484-2AE6DEE1ED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0.15802270973915566</c:v>
                  </c:pt>
                  <c:pt idx="2">
                    <c:v>0.1895998635380102</c:v>
                  </c:pt>
                  <c:pt idx="3">
                    <c:v>0.17888824984622431</c:v>
                  </c:pt>
                  <c:pt idx="4">
                    <c:v>0.17988489500508029</c:v>
                  </c:pt>
                  <c:pt idx="5">
                    <c:v>0.22742849827889097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0.15802270973915566</c:v>
                  </c:pt>
                  <c:pt idx="2">
                    <c:v>0.1895998635380102</c:v>
                  </c:pt>
                  <c:pt idx="3">
                    <c:v>0.17888824984622431</c:v>
                  </c:pt>
                  <c:pt idx="4">
                    <c:v>0.17988489500508029</c:v>
                  </c:pt>
                  <c:pt idx="5">
                    <c:v>0.22742849827889097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0.74787222284144705</c:v>
                </c:pt>
                <c:pt idx="2">
                  <c:v>0.95409966038324245</c:v>
                </c:pt>
                <c:pt idx="3">
                  <c:v>0.7870358262499596</c:v>
                </c:pt>
                <c:pt idx="4">
                  <c:v>1.0025592428523631</c:v>
                </c:pt>
                <c:pt idx="5">
                  <c:v>0.89272850453080166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Arabinose-0.1mg/L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D554EA1-081A-4947-9461-DEB80260BE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5760BA09-24D5-45CF-8ADD-1A8B9607B5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9.9772598286115063E-3</c:v>
                  </c:pt>
                </c:numCache>
              </c:numRef>
            </c:plus>
            <c:minus>
              <c:numRef>
                <c:f>'Graph format rapport CHG 1éch'!$E$4:$G$4</c:f>
                <c:numCache>
                  <c:formatCode>General</c:formatCode>
                  <c:ptCount val="3"/>
                  <c:pt idx="1">
                    <c:v>9.9772598286115063E-3</c:v>
                  </c:pt>
                </c:numCache>
              </c:numRef>
            </c:minus>
          </c:errBars>
          <c:cat>
            <c:strRef>
              <c:f>'Graph format rapport CHG 1éch'!$E$2:$G$2</c:f>
              <c:strCache>
                <c:ptCount val="2"/>
                <c:pt idx="1">
                  <c:v>Arabinose-0.1mg/L</c:v>
                </c:pt>
              </c:strCache>
            </c:strRef>
          </c:cat>
          <c:val>
            <c:numRef>
              <c:f>'Graph format rapport CHG 1éch'!$E$3:$G$3</c:f>
              <c:numCache>
                <c:formatCode>General</c:formatCode>
                <c:ptCount val="3"/>
                <c:pt idx="1">
                  <c:v>4.8519808872183164E-2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2.5203986779643115E-2</c:v>
                </c:pt>
                <c:pt idx="1">
                  <c:v>2.5203986779643115E-2</c:v>
                </c:pt>
                <c:pt idx="2">
                  <c:v>2.5203986779643115E-2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1éch'!$H$8:$J$8</c:f>
              <c:numCache>
                <c:formatCode>General</c:formatCode>
                <c:ptCount val="3"/>
                <c:pt idx="0">
                  <c:v>3.0238807918992056E-2</c:v>
                </c:pt>
                <c:pt idx="1">
                  <c:v>3.0238807918992056E-2</c:v>
                </c:pt>
                <c:pt idx="2">
                  <c:v>3.0238807918992056E-2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Arabinose-0.01mg/L + Testostérone</c:v>
                </c:pt>
              </c:strCache>
            </c:strRef>
          </c:cat>
          <c:val>
            <c:numRef>
              <c:f>'Graph format rapport CHG 1éch'!$H$9:$J$9</c:f>
              <c:numCache>
                <c:formatCode>General</c:formatCode>
                <c:ptCount val="3"/>
                <c:pt idx="0">
                  <c:v>4.4707097836960523</c:v>
                </c:pt>
                <c:pt idx="1">
                  <c:v>4.4707097836960523</c:v>
                </c:pt>
                <c:pt idx="2">
                  <c:v>4.4707097836960523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1éch'!$H$10:$J$10</c:f>
              <c:numCache>
                <c:formatCode>General</c:formatCode>
                <c:ptCount val="3"/>
                <c:pt idx="0">
                  <c:v>-1.9707097836960523</c:v>
                </c:pt>
                <c:pt idx="1">
                  <c:v>-1.9707097836960523</c:v>
                </c:pt>
                <c:pt idx="2">
                  <c:v>-1.9707097836960523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6AED56C-AE67-4197-A659-8D1B859797E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D229C187-EC6F-4274-892C-4947AA9F5F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0.15802270973915566</c:v>
                  </c:pt>
                </c:numCache>
              </c:numRef>
            </c:plus>
            <c:minus>
              <c:numRef>
                <c:f>'Graph format rapport CHG 1éch'!$H$4:$J$4</c:f>
                <c:numCache>
                  <c:formatCode>General</c:formatCode>
                  <c:ptCount val="3"/>
                  <c:pt idx="1">
                    <c:v>0.15802270973915566</c:v>
                  </c:pt>
                </c:numCache>
              </c:numRef>
            </c:minus>
          </c:errBars>
          <c:cat>
            <c:strRef>
              <c:f>'Graph format rapport CHG 1éch'!$H$2:$J$2</c:f>
              <c:strCache>
                <c:ptCount val="2"/>
                <c:pt idx="1">
                  <c:v>Arabinose-0.01mg/L + Testostérone</c:v>
                </c:pt>
              </c:strCache>
            </c:strRef>
          </c:cat>
          <c:val>
            <c:numRef>
              <c:f>'Graph format rapport CHG 1éch'!$H$3:$J$3</c:f>
              <c:numCache>
                <c:formatCode>General</c:formatCode>
                <c:ptCount val="3"/>
                <c:pt idx="1">
                  <c:v>0.74787222284144705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Arabinose-0.01mg/L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Arabinose-0.1mg/L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94B0ADB-821A-4936-89FC-DBD211F0C2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C54E1038-B99E-42F1-8467-5DBF515D545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9.9772598286115063E-3</c:v>
                  </c:pt>
                </c:numCache>
              </c:numRef>
            </c:plus>
            <c:minus>
              <c:numRef>
                <c:f>'Graph format rapport CHG 1éch'!$E$4:$G$4</c:f>
                <c:numCache>
                  <c:formatCode>General</c:formatCode>
                  <c:ptCount val="3"/>
                  <c:pt idx="1">
                    <c:v>9.9772598286115063E-3</c:v>
                  </c:pt>
                </c:numCache>
              </c:numRef>
            </c:minus>
          </c:errBars>
          <c:cat>
            <c:strRef>
              <c:f>'Graph format rapport CHG 1éch'!$E$2:$G$2</c:f>
              <c:strCache>
                <c:ptCount val="2"/>
                <c:pt idx="1">
                  <c:v>Arabinose-0.1mg/L</c:v>
                </c:pt>
              </c:strCache>
            </c:strRef>
          </c:cat>
          <c:val>
            <c:numRef>
              <c:f>'Graph format rapport CHG 1éch'!$E$3:$G$3</c:f>
              <c:numCache>
                <c:formatCode>General</c:formatCode>
                <c:ptCount val="3"/>
                <c:pt idx="1">
                  <c:v>4.8519808872183164E-2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2.5203986779643115E-2</c:v>
                </c:pt>
                <c:pt idx="1">
                  <c:v>2.5203986779643115E-2</c:v>
                </c:pt>
                <c:pt idx="2">
                  <c:v>2.5203986779643115E-2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1éch'!$H$8:$J$8</c:f>
              <c:numCache>
                <c:formatCode>General</c:formatCode>
                <c:ptCount val="3"/>
                <c:pt idx="0">
                  <c:v>3.0238807918992056E-2</c:v>
                </c:pt>
                <c:pt idx="1">
                  <c:v>3.0238807918992056E-2</c:v>
                </c:pt>
                <c:pt idx="2">
                  <c:v>3.0238807918992056E-2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Arabinose-0.01mg/L + Testostérone</c:v>
                </c:pt>
              </c:strCache>
            </c:strRef>
          </c:cat>
          <c:val>
            <c:numRef>
              <c:f>'Graph format rapport CHG 1éch'!$H$9:$J$9</c:f>
              <c:numCache>
                <c:formatCode>General</c:formatCode>
                <c:ptCount val="3"/>
                <c:pt idx="0">
                  <c:v>4.4707097836960523</c:v>
                </c:pt>
                <c:pt idx="1">
                  <c:v>4.4707097836960523</c:v>
                </c:pt>
                <c:pt idx="2">
                  <c:v>4.4707097836960523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1éch'!$H$10:$J$10</c:f>
              <c:numCache>
                <c:formatCode>General</c:formatCode>
                <c:ptCount val="3"/>
                <c:pt idx="0">
                  <c:v>-1.9707097836960523</c:v>
                </c:pt>
                <c:pt idx="1">
                  <c:v>-1.9707097836960523</c:v>
                </c:pt>
                <c:pt idx="2">
                  <c:v>-1.9707097836960523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14C68BD9-0194-4DA0-A69E-D856F3F3BD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FEF7F86D-8C13-4919-816E-E02B1593C27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0.15802270973915566</c:v>
                  </c:pt>
                </c:numCache>
              </c:numRef>
            </c:plus>
            <c:minus>
              <c:numRef>
                <c:f>'Graph format rapport CHG 1éch'!$H$4:$J$4</c:f>
                <c:numCache>
                  <c:formatCode>General</c:formatCode>
                  <c:ptCount val="3"/>
                  <c:pt idx="1">
                    <c:v>0.15802270973915566</c:v>
                  </c:pt>
                </c:numCache>
              </c:numRef>
            </c:minus>
          </c:errBars>
          <c:cat>
            <c:strRef>
              <c:f>'Graph format rapport CHG 1éch'!$H$2:$J$2</c:f>
              <c:strCache>
                <c:ptCount val="2"/>
                <c:pt idx="1">
                  <c:v>Arabinose-0.01mg/L + Testostérone</c:v>
                </c:pt>
              </c:strCache>
            </c:strRef>
          </c:cat>
          <c:val>
            <c:numRef>
              <c:f>'Graph format rapport CHG 1éch'!$H$3:$J$3</c:f>
              <c:numCache>
                <c:formatCode>General</c:formatCode>
                <c:ptCount val="3"/>
                <c:pt idx="1">
                  <c:v>0.74787222284144705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Arabinose-0.01mg/L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0" workbookViewId="0"/>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29.731030671297"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29.73103101852"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29.731031134259"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29.731031365744"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E15" sqref="E15:E19"/>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60"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5" t="s">
        <v>36</v>
      </c>
      <c r="B1" s="196"/>
      <c r="C1" s="196"/>
      <c r="D1" s="196"/>
      <c r="E1" s="196"/>
      <c r="F1" s="196"/>
      <c r="G1" s="196"/>
      <c r="H1" s="196"/>
      <c r="I1" s="197"/>
    </row>
    <row r="2" spans="1:9" ht="21" x14ac:dyDescent="0.4">
      <c r="A2" s="188" t="s">
        <v>17</v>
      </c>
      <c r="B2" s="42" t="s">
        <v>115</v>
      </c>
      <c r="C2" s="198"/>
      <c r="D2" s="199"/>
      <c r="E2" s="42" t="s">
        <v>21</v>
      </c>
      <c r="F2" s="210"/>
      <c r="G2" s="211"/>
      <c r="H2" s="211"/>
      <c r="I2" s="212"/>
    </row>
    <row r="3" spans="1:9" ht="21" x14ac:dyDescent="0.4">
      <c r="A3" s="189" t="s">
        <v>18</v>
      </c>
      <c r="B3" s="43" t="s">
        <v>115</v>
      </c>
      <c r="C3" s="200"/>
      <c r="D3" s="201"/>
      <c r="E3" s="43" t="s">
        <v>21</v>
      </c>
      <c r="F3" s="207"/>
      <c r="G3" s="208"/>
      <c r="H3" s="208"/>
      <c r="I3" s="209"/>
    </row>
    <row r="4" spans="1:9" ht="21.6" thickBot="1" x14ac:dyDescent="0.45">
      <c r="A4" s="190" t="s">
        <v>22</v>
      </c>
      <c r="B4" s="178" t="s">
        <v>115</v>
      </c>
      <c r="C4" s="202"/>
      <c r="D4" s="203"/>
      <c r="E4" s="178" t="s">
        <v>21</v>
      </c>
      <c r="F4" s="204"/>
      <c r="G4" s="205"/>
      <c r="H4" s="205"/>
      <c r="I4" s="206"/>
    </row>
    <row r="5" spans="1:9" s="1" customFormat="1" ht="65.25" customHeight="1" thickBot="1" x14ac:dyDescent="0.35">
      <c r="A5" s="195" t="s">
        <v>37</v>
      </c>
      <c r="B5" s="196"/>
      <c r="C5" s="196"/>
      <c r="D5" s="196"/>
      <c r="E5" s="196"/>
      <c r="F5" s="196"/>
      <c r="G5" s="196"/>
      <c r="H5" s="196"/>
      <c r="I5" s="197"/>
    </row>
    <row r="6" spans="1:9" s="109" customFormat="1" ht="39" customHeight="1" x14ac:dyDescent="0.4">
      <c r="A6" s="75" t="s">
        <v>35</v>
      </c>
      <c r="B6" s="100" t="s">
        <v>7</v>
      </c>
      <c r="C6" s="64" t="s">
        <v>19</v>
      </c>
      <c r="D6" s="64" t="s">
        <v>75</v>
      </c>
      <c r="E6" s="157" t="s">
        <v>51</v>
      </c>
      <c r="F6" s="108" t="s">
        <v>78</v>
      </c>
    </row>
    <row r="7" spans="1:9" s="166" customFormat="1" ht="39" customHeight="1" x14ac:dyDescent="0.4">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4">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4">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4">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4">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4">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4">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4">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4">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Arabinose-0.01mg/L</v>
      </c>
      <c r="B15" s="162" t="s">
        <v>166</v>
      </c>
      <c r="C15" s="163">
        <v>0.01</v>
      </c>
      <c r="D15" s="164" t="s">
        <v>168</v>
      </c>
      <c r="E15" s="165" t="s">
        <v>167</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Arabinose-0.1mg/L</v>
      </c>
      <c r="B16" s="162" t="s">
        <v>166</v>
      </c>
      <c r="C16" s="105">
        <v>0.1</v>
      </c>
      <c r="D16" s="164" t="s">
        <v>168</v>
      </c>
      <c r="E16" s="165" t="s">
        <v>167</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Arabinose-1mg/L</v>
      </c>
      <c r="B17" s="162" t="s">
        <v>166</v>
      </c>
      <c r="C17" s="105">
        <v>1</v>
      </c>
      <c r="D17" s="164" t="s">
        <v>168</v>
      </c>
      <c r="E17" s="165" t="s">
        <v>167</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Arabinose-10mg/L</v>
      </c>
      <c r="B18" s="162" t="s">
        <v>166</v>
      </c>
      <c r="C18" s="105">
        <v>10</v>
      </c>
      <c r="D18" s="164" t="s">
        <v>168</v>
      </c>
      <c r="E18" s="165" t="s">
        <v>167</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Arabinose-100mg/L</v>
      </c>
      <c r="B19" s="162" t="s">
        <v>166</v>
      </c>
      <c r="C19" s="105">
        <v>100</v>
      </c>
      <c r="D19" s="164" t="s">
        <v>168</v>
      </c>
      <c r="E19" s="165" t="s">
        <v>167</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35">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Arabinose-0.01mg/L + Testostérone</v>
      </c>
      <c r="B39" s="191" t="str">
        <f>B15</f>
        <v>Test</v>
      </c>
      <c r="C39" s="191">
        <f t="shared" ref="C39:E39" si="0">C15</f>
        <v>0.01</v>
      </c>
      <c r="D39" s="191" t="str">
        <f t="shared" si="0"/>
        <v>mg/L</v>
      </c>
      <c r="E39" s="191" t="str">
        <f t="shared" si="0"/>
        <v>Arabinose</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Arabinose-0.1mg/L + Testostérone</v>
      </c>
      <c r="B40" s="193" t="str">
        <f t="shared" ref="B40:E40" si="1">B16</f>
        <v>Test</v>
      </c>
      <c r="C40" s="193">
        <f t="shared" si="1"/>
        <v>0.1</v>
      </c>
      <c r="D40" s="193" t="str">
        <f t="shared" si="1"/>
        <v>mg/L</v>
      </c>
      <c r="E40" s="193" t="str">
        <f t="shared" si="1"/>
        <v>Arabinose</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Arabinose-1mg/L + Testostérone</v>
      </c>
      <c r="B41" s="193" t="str">
        <f t="shared" ref="B41:E41" si="2">B17</f>
        <v>Test</v>
      </c>
      <c r="C41" s="193">
        <f t="shared" si="2"/>
        <v>1</v>
      </c>
      <c r="D41" s="193" t="str">
        <f t="shared" si="2"/>
        <v>mg/L</v>
      </c>
      <c r="E41" s="193" t="str">
        <f t="shared" si="2"/>
        <v>Arabinose</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Arabinose-10mg/L + Testostérone</v>
      </c>
      <c r="B42" s="193" t="str">
        <f t="shared" ref="B42:E42" si="3">B18</f>
        <v>Test</v>
      </c>
      <c r="C42" s="193">
        <f t="shared" si="3"/>
        <v>10</v>
      </c>
      <c r="D42" s="193" t="str">
        <f t="shared" si="3"/>
        <v>mg/L</v>
      </c>
      <c r="E42" s="193" t="str">
        <f t="shared" si="3"/>
        <v>Arabinose</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Arabinose-100mg/L + Testostérone</v>
      </c>
      <c r="B43" s="193" t="str">
        <f t="shared" ref="B43:E43" si="4">B19</f>
        <v>Test</v>
      </c>
      <c r="C43" s="193">
        <f t="shared" si="4"/>
        <v>100</v>
      </c>
      <c r="D43" s="193" t="str">
        <f t="shared" si="4"/>
        <v>mg/L</v>
      </c>
      <c r="E43" s="193" t="str">
        <f t="shared" si="4"/>
        <v>Arabinose</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N1" activePane="topRight" state="frozen"/>
      <selection pane="topRight" activeCell="O5" sqref="O5:V20"/>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c r="A2"/>
      <c r="B2"/>
      <c r="C2"/>
      <c r="D2"/>
      <c r="E2"/>
      <c r="F2"/>
      <c r="G2"/>
      <c r="H2"/>
      <c r="I2"/>
      <c r="J2"/>
      <c r="K2"/>
      <c r="L2"/>
      <c r="M2"/>
      <c r="S2"/>
      <c r="T2"/>
      <c r="U2"/>
      <c r="V2"/>
    </row>
    <row r="3" spans="1:22" ht="15" thickBot="1" x14ac:dyDescent="0.35">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Arabinose-0.01mg/L</v>
      </c>
      <c r="J4" s="35" t="str">
        <f>'Page de garde'!A16</f>
        <v>Arabinose-0.1mg/L</v>
      </c>
      <c r="K4" s="35" t="str">
        <f>'Page de garde'!A17</f>
        <v>Arabinose-1mg/L</v>
      </c>
      <c r="L4" s="35" t="str">
        <f>'Page de garde'!A18</f>
        <v>Arabinose-10mg/L</v>
      </c>
      <c r="M4" s="35" t="str">
        <f>'Page de garde'!A19</f>
        <v>Arabinose-100mg/L</v>
      </c>
      <c r="N4" s="3"/>
      <c r="O4" s="36" t="str">
        <f>'Page de garde'!A36</f>
        <v>Testo -30µg/L</v>
      </c>
      <c r="P4" s="36" t="str">
        <f>'Page de garde'!A37</f>
        <v>Testo 30µg/L + EE2 -64ng/L</v>
      </c>
      <c r="Q4" s="36" t="str">
        <f>'Page de garde'!A38</f>
        <v>Testo 30µg/L + FAD-10µg/L</v>
      </c>
      <c r="R4" s="36" t="str">
        <f>'Page de garde'!A39</f>
        <v>Arabinose-0.01mg/L + Testostérone</v>
      </c>
      <c r="S4" s="36" t="str">
        <f>'Page de garde'!A40</f>
        <v>Arabinose-0.1mg/L + Testostérone</v>
      </c>
      <c r="T4" s="36" t="str">
        <f>'Page de garde'!A41</f>
        <v>Arabinose-1mg/L + Testostérone</v>
      </c>
      <c r="U4" s="36" t="str">
        <f>'Page de garde'!A42</f>
        <v>Arabinose-10mg/L + Testostérone</v>
      </c>
      <c r="V4" s="36" t="str">
        <f>'Page de garde'!A43</f>
        <v>Arabinose-100mg/L + Testostérone</v>
      </c>
    </row>
    <row r="5" spans="1:22" x14ac:dyDescent="0.3">
      <c r="A5" s="217" t="s">
        <v>33</v>
      </c>
      <c r="B5" s="1">
        <v>504</v>
      </c>
      <c r="C5" s="1">
        <v>8644</v>
      </c>
      <c r="D5" s="1">
        <v>50874</v>
      </c>
      <c r="E5" s="1">
        <v>1767694</v>
      </c>
      <c r="F5" s="1">
        <v>4433384</v>
      </c>
      <c r="G5" s="1">
        <v>6312574</v>
      </c>
      <c r="H5" s="1">
        <v>5058215</v>
      </c>
      <c r="I5" s="1">
        <v>101364</v>
      </c>
      <c r="J5" s="1">
        <v>66710</v>
      </c>
      <c r="K5" s="1">
        <v>37860</v>
      </c>
      <c r="L5" s="1">
        <v>4060</v>
      </c>
      <c r="M5" s="1">
        <v>30693</v>
      </c>
      <c r="N5" s="3"/>
      <c r="O5" s="1">
        <v>5617947</v>
      </c>
      <c r="P5" s="1">
        <v>9118163</v>
      </c>
      <c r="Q5" s="1">
        <v>109228</v>
      </c>
      <c r="R5" s="1">
        <v>1278641</v>
      </c>
      <c r="S5" s="1">
        <v>329010</v>
      </c>
      <c r="T5" s="1">
        <v>36264</v>
      </c>
      <c r="U5" s="1">
        <v>339178</v>
      </c>
      <c r="V5" s="1">
        <v>216282</v>
      </c>
    </row>
    <row r="6" spans="1:22" x14ac:dyDescent="0.3">
      <c r="A6" s="218"/>
      <c r="B6" s="1">
        <v>62050</v>
      </c>
      <c r="C6" s="1">
        <v>245025</v>
      </c>
      <c r="D6" s="1">
        <v>19952</v>
      </c>
      <c r="E6" s="1">
        <v>2079692</v>
      </c>
      <c r="F6" s="1">
        <v>3192578</v>
      </c>
      <c r="G6" s="1">
        <v>4338734</v>
      </c>
      <c r="H6" s="1">
        <v>11154097</v>
      </c>
      <c r="I6" s="1">
        <v>19578</v>
      </c>
      <c r="J6" s="1">
        <v>241824</v>
      </c>
      <c r="K6" s="1">
        <v>27322</v>
      </c>
      <c r="L6" s="1">
        <v>75765</v>
      </c>
      <c r="M6" s="1">
        <v>61567</v>
      </c>
      <c r="N6" s="3"/>
      <c r="O6" s="1">
        <v>322836</v>
      </c>
      <c r="P6" s="1">
        <v>4992926</v>
      </c>
      <c r="Q6" s="1">
        <v>30755</v>
      </c>
      <c r="R6" s="1">
        <v>265317</v>
      </c>
      <c r="S6" s="1">
        <v>2691053</v>
      </c>
      <c r="T6" s="1">
        <v>37611</v>
      </c>
      <c r="U6" s="1">
        <v>279424</v>
      </c>
      <c r="V6" s="1">
        <v>369029</v>
      </c>
    </row>
    <row r="7" spans="1:22" x14ac:dyDescent="0.3">
      <c r="A7" s="218"/>
      <c r="B7" s="1">
        <v>7437</v>
      </c>
      <c r="C7" s="1">
        <v>1063913</v>
      </c>
      <c r="D7" s="1">
        <v>2497975</v>
      </c>
      <c r="E7" s="1">
        <v>3024330</v>
      </c>
      <c r="F7" s="1">
        <v>4218063</v>
      </c>
      <c r="G7" s="1">
        <v>6230528</v>
      </c>
      <c r="H7" s="1">
        <v>4981766</v>
      </c>
      <c r="I7" s="1">
        <v>63419</v>
      </c>
      <c r="J7" s="1">
        <v>46700</v>
      </c>
      <c r="K7" s="1">
        <v>12379</v>
      </c>
      <c r="L7" s="1">
        <v>15794</v>
      </c>
      <c r="M7" s="1">
        <v>69113</v>
      </c>
      <c r="N7" s="3"/>
      <c r="O7" s="1">
        <v>107235</v>
      </c>
      <c r="P7" s="1">
        <v>5400444</v>
      </c>
      <c r="Q7" s="1">
        <v>40538</v>
      </c>
      <c r="R7" s="1">
        <v>583109</v>
      </c>
      <c r="S7" s="1">
        <v>1882497</v>
      </c>
      <c r="T7" s="1">
        <v>23514</v>
      </c>
      <c r="U7" s="1">
        <v>1403768</v>
      </c>
      <c r="V7" s="1">
        <v>3208500</v>
      </c>
    </row>
    <row r="8" spans="1:22" x14ac:dyDescent="0.3">
      <c r="A8" s="218"/>
      <c r="B8" s="1">
        <v>9104</v>
      </c>
      <c r="C8" s="1">
        <v>84919</v>
      </c>
      <c r="D8" s="1">
        <v>153518</v>
      </c>
      <c r="E8" s="1">
        <v>227901</v>
      </c>
      <c r="F8" s="1">
        <v>3836567</v>
      </c>
      <c r="G8" s="1">
        <v>7925413</v>
      </c>
      <c r="H8" s="1">
        <v>8796791</v>
      </c>
      <c r="I8" s="1">
        <v>41576</v>
      </c>
      <c r="J8" s="1">
        <v>130809</v>
      </c>
      <c r="K8" s="1">
        <v>26335</v>
      </c>
      <c r="L8" s="1">
        <v>43351</v>
      </c>
      <c r="M8" s="1">
        <v>24606</v>
      </c>
      <c r="N8" s="3"/>
      <c r="O8" s="1">
        <v>1711306</v>
      </c>
      <c r="P8" s="1">
        <v>7183840</v>
      </c>
      <c r="Q8" s="1">
        <v>5613</v>
      </c>
      <c r="R8" s="1">
        <v>324637</v>
      </c>
      <c r="S8" s="1">
        <v>341924</v>
      </c>
      <c r="T8" s="1">
        <v>227203</v>
      </c>
      <c r="U8" s="1">
        <v>3973</v>
      </c>
      <c r="V8" s="1">
        <v>343491</v>
      </c>
    </row>
    <row r="9" spans="1:22" x14ac:dyDescent="0.3">
      <c r="A9" s="218"/>
      <c r="B9" s="1">
        <v>147320</v>
      </c>
      <c r="C9" s="1">
        <v>794685</v>
      </c>
      <c r="D9" s="1">
        <v>2397417</v>
      </c>
      <c r="E9" s="1">
        <v>741029</v>
      </c>
      <c r="F9" s="1">
        <v>4667684</v>
      </c>
      <c r="G9" s="1">
        <v>10983199</v>
      </c>
      <c r="H9" s="1">
        <v>4776605</v>
      </c>
      <c r="I9" s="1">
        <v>15779</v>
      </c>
      <c r="J9" s="1">
        <v>19029</v>
      </c>
      <c r="K9" s="1">
        <v>4767</v>
      </c>
      <c r="L9" s="1">
        <v>64449</v>
      </c>
      <c r="M9" s="1">
        <v>142491</v>
      </c>
      <c r="N9" s="3"/>
      <c r="O9" s="1">
        <v>94720</v>
      </c>
      <c r="P9" s="1">
        <v>2600841</v>
      </c>
      <c r="Q9" s="1">
        <v>1378</v>
      </c>
      <c r="R9" s="1">
        <v>40717</v>
      </c>
      <c r="S9" s="1">
        <v>216528</v>
      </c>
      <c r="T9" s="1">
        <v>2219792</v>
      </c>
      <c r="U9" s="1">
        <v>172888</v>
      </c>
      <c r="V9" s="1">
        <v>1245431</v>
      </c>
    </row>
    <row r="10" spans="1:22" x14ac:dyDescent="0.3">
      <c r="A10" s="218"/>
      <c r="B10" s="1">
        <v>68496</v>
      </c>
      <c r="C10" s="1">
        <v>221936</v>
      </c>
      <c r="D10" s="1">
        <v>394828</v>
      </c>
      <c r="E10" s="1">
        <v>840778</v>
      </c>
      <c r="F10" s="1">
        <v>6373155</v>
      </c>
      <c r="G10" s="1">
        <v>4355737</v>
      </c>
      <c r="H10" s="1">
        <v>8354584</v>
      </c>
      <c r="I10" s="1">
        <v>2977</v>
      </c>
      <c r="J10" s="1">
        <v>72347</v>
      </c>
      <c r="K10" s="1">
        <v>130810</v>
      </c>
      <c r="L10" s="1">
        <v>70924</v>
      </c>
      <c r="M10" s="1">
        <v>120635</v>
      </c>
      <c r="N10" s="3"/>
      <c r="O10" s="1">
        <v>109070</v>
      </c>
      <c r="P10" s="1">
        <v>4391312</v>
      </c>
      <c r="Q10" s="1">
        <v>32381</v>
      </c>
      <c r="R10" s="1">
        <v>23355</v>
      </c>
      <c r="S10" s="1">
        <v>1862437</v>
      </c>
      <c r="T10" s="1">
        <v>80830</v>
      </c>
      <c r="U10" s="1">
        <v>1981692</v>
      </c>
      <c r="V10" s="1">
        <v>5265633</v>
      </c>
    </row>
    <row r="11" spans="1:22" x14ac:dyDescent="0.3">
      <c r="A11" s="218"/>
      <c r="B11" s="1">
        <v>3288</v>
      </c>
      <c r="C11" s="1">
        <v>39545</v>
      </c>
      <c r="D11" s="1">
        <v>612539</v>
      </c>
      <c r="E11" s="1">
        <v>2397266</v>
      </c>
      <c r="F11" s="1">
        <v>2089369</v>
      </c>
      <c r="G11" s="1">
        <v>11523934</v>
      </c>
      <c r="H11" s="1">
        <v>7739948</v>
      </c>
      <c r="I11" s="1">
        <v>1299</v>
      </c>
      <c r="J11" s="1">
        <v>141132</v>
      </c>
      <c r="K11" s="1">
        <v>97103</v>
      </c>
      <c r="L11" s="1">
        <v>10624</v>
      </c>
      <c r="M11" s="1">
        <v>43699</v>
      </c>
      <c r="N11" s="3"/>
      <c r="O11" s="1">
        <v>778570</v>
      </c>
      <c r="P11" s="1">
        <v>6251883</v>
      </c>
      <c r="Q11" s="1">
        <v>246824</v>
      </c>
      <c r="R11" s="1">
        <v>395867</v>
      </c>
      <c r="S11" s="1">
        <v>688304</v>
      </c>
      <c r="T11" s="1">
        <v>844935</v>
      </c>
      <c r="U11" s="1">
        <v>14266</v>
      </c>
      <c r="V11" s="1">
        <v>1975774</v>
      </c>
    </row>
    <row r="12" spans="1:22" x14ac:dyDescent="0.3">
      <c r="A12" s="218"/>
      <c r="B12" s="1">
        <v>47121</v>
      </c>
      <c r="C12" s="1">
        <v>87806</v>
      </c>
      <c r="D12" s="1">
        <v>169961</v>
      </c>
      <c r="E12" s="1">
        <v>50356</v>
      </c>
      <c r="F12" s="1">
        <v>6637201</v>
      </c>
      <c r="G12" s="32"/>
      <c r="H12" s="1">
        <v>6023951</v>
      </c>
      <c r="I12" s="1">
        <v>117178</v>
      </c>
      <c r="J12" s="1">
        <v>68666</v>
      </c>
      <c r="K12" s="1">
        <v>654827</v>
      </c>
      <c r="L12" s="1">
        <v>79913</v>
      </c>
      <c r="M12" s="1">
        <v>299976</v>
      </c>
      <c r="N12" s="3"/>
      <c r="O12" s="1">
        <v>1662317</v>
      </c>
      <c r="P12" s="1">
        <v>6556297</v>
      </c>
      <c r="Q12" s="1">
        <v>21215</v>
      </c>
      <c r="R12" s="1">
        <v>1974806</v>
      </c>
      <c r="S12" s="1">
        <v>2191784</v>
      </c>
      <c r="T12" s="1">
        <v>505546</v>
      </c>
      <c r="U12" s="1">
        <v>769251</v>
      </c>
      <c r="V12" s="1">
        <v>783244</v>
      </c>
    </row>
    <row r="13" spans="1:22" ht="16.8" x14ac:dyDescent="0.3">
      <c r="A13" s="218"/>
      <c r="B13" s="14"/>
      <c r="C13" s="13"/>
      <c r="D13" s="16"/>
      <c r="E13" s="16"/>
      <c r="F13" s="16"/>
      <c r="G13" s="16"/>
      <c r="H13" s="16"/>
      <c r="I13" s="32"/>
      <c r="J13" s="16"/>
      <c r="K13" s="13"/>
      <c r="L13" s="13"/>
      <c r="M13" s="13"/>
      <c r="N13" s="3"/>
      <c r="O13" s="1">
        <v>1305817</v>
      </c>
      <c r="P13" s="13"/>
      <c r="Q13" s="13"/>
      <c r="R13" s="4"/>
      <c r="S13" s="32"/>
      <c r="T13" s="32"/>
      <c r="U13" s="32"/>
      <c r="V13" s="32"/>
    </row>
    <row r="14" spans="1:22" ht="16.8" x14ac:dyDescent="0.3">
      <c r="A14" s="218"/>
      <c r="B14" s="14"/>
      <c r="C14" s="16"/>
      <c r="D14" s="16"/>
      <c r="E14" s="16"/>
      <c r="F14" s="16"/>
      <c r="G14" s="16"/>
      <c r="H14" s="16"/>
      <c r="I14" s="32"/>
      <c r="J14" s="16"/>
      <c r="K14" s="13"/>
      <c r="L14" s="13"/>
      <c r="M14" s="13"/>
      <c r="N14" s="3"/>
      <c r="O14" s="1">
        <v>1570350</v>
      </c>
      <c r="P14" s="13"/>
      <c r="Q14" s="13"/>
      <c r="R14" s="4"/>
      <c r="S14" s="32"/>
      <c r="T14" s="32"/>
      <c r="U14" s="32"/>
      <c r="V14" s="32"/>
    </row>
    <row r="15" spans="1:22" ht="16.8" x14ac:dyDescent="0.3">
      <c r="A15" s="218"/>
      <c r="B15" s="14"/>
      <c r="C15" s="16"/>
      <c r="D15" s="16"/>
      <c r="E15" s="16"/>
      <c r="F15" s="16"/>
      <c r="G15" s="16"/>
      <c r="H15" s="16"/>
      <c r="I15" s="32"/>
      <c r="J15" s="16"/>
      <c r="K15" s="13"/>
      <c r="L15" s="13"/>
      <c r="M15" s="13"/>
      <c r="N15" s="3"/>
      <c r="O15" s="1">
        <v>635804</v>
      </c>
      <c r="P15" s="13"/>
      <c r="Q15" s="13"/>
      <c r="R15" s="4"/>
      <c r="S15" s="32"/>
      <c r="T15" s="32"/>
      <c r="U15" s="32"/>
      <c r="V15" s="32"/>
    </row>
    <row r="16" spans="1:22" ht="16.8" x14ac:dyDescent="0.3">
      <c r="A16" s="218"/>
      <c r="B16" s="14"/>
      <c r="C16" s="16"/>
      <c r="D16" s="16"/>
      <c r="E16" s="16"/>
      <c r="F16" s="16"/>
      <c r="G16" s="16"/>
      <c r="H16" s="16"/>
      <c r="I16" s="32"/>
      <c r="J16" s="16"/>
      <c r="K16" s="13"/>
      <c r="L16" s="13"/>
      <c r="M16" s="13"/>
      <c r="N16" s="3"/>
      <c r="O16" s="1">
        <v>125671</v>
      </c>
      <c r="P16" s="13"/>
      <c r="Q16" s="13"/>
      <c r="R16" s="4"/>
      <c r="S16" s="32"/>
      <c r="T16" s="32"/>
      <c r="U16" s="32"/>
      <c r="V16" s="32"/>
    </row>
    <row r="17" spans="1:22" s="1" customFormat="1" ht="16.8" x14ac:dyDescent="0.3">
      <c r="A17" s="218"/>
      <c r="B17" s="14"/>
      <c r="C17" s="32"/>
      <c r="D17" s="32"/>
      <c r="E17" s="32"/>
      <c r="F17" s="32"/>
      <c r="G17" s="32"/>
      <c r="H17" s="32"/>
      <c r="I17" s="32"/>
      <c r="J17" s="32"/>
      <c r="K17" s="13"/>
      <c r="L17" s="13"/>
      <c r="M17" s="13"/>
      <c r="N17" s="3"/>
      <c r="O17" s="1">
        <v>509366</v>
      </c>
      <c r="P17" s="13"/>
      <c r="Q17" s="13"/>
      <c r="R17" s="32"/>
      <c r="S17" s="32"/>
      <c r="T17" s="32"/>
      <c r="U17" s="32"/>
      <c r="V17" s="32"/>
    </row>
    <row r="18" spans="1:22" s="1" customFormat="1" ht="16.8" x14ac:dyDescent="0.3">
      <c r="A18" s="218"/>
      <c r="B18" s="14"/>
      <c r="C18" s="32"/>
      <c r="D18" s="32"/>
      <c r="E18" s="32"/>
      <c r="F18" s="32"/>
      <c r="G18" s="32"/>
      <c r="H18" s="32"/>
      <c r="I18" s="32"/>
      <c r="J18" s="32"/>
      <c r="K18" s="13"/>
      <c r="L18" s="13"/>
      <c r="M18" s="13"/>
      <c r="N18" s="3"/>
      <c r="O18" s="1">
        <v>3094321</v>
      </c>
      <c r="P18" s="13"/>
      <c r="Q18" s="13"/>
      <c r="R18" s="32"/>
      <c r="S18" s="32"/>
      <c r="T18" s="32"/>
      <c r="U18" s="32"/>
      <c r="V18" s="32"/>
    </row>
    <row r="19" spans="1:22" s="1" customFormat="1" ht="16.8" x14ac:dyDescent="0.3">
      <c r="A19" s="218"/>
      <c r="B19" s="14"/>
      <c r="C19" s="32"/>
      <c r="D19" s="32"/>
      <c r="E19" s="32"/>
      <c r="F19" s="32"/>
      <c r="G19" s="32"/>
      <c r="H19" s="32"/>
      <c r="I19" s="32"/>
      <c r="J19" s="32"/>
      <c r="K19" s="13"/>
      <c r="L19" s="13"/>
      <c r="M19" s="13"/>
      <c r="N19" s="3"/>
      <c r="O19" s="1">
        <v>603071</v>
      </c>
      <c r="P19" s="13"/>
      <c r="Q19" s="13"/>
      <c r="R19" s="32"/>
      <c r="S19" s="32"/>
      <c r="T19" s="32"/>
      <c r="U19" s="32"/>
      <c r="V19" s="32"/>
    </row>
    <row r="20" spans="1:22" ht="16.8" x14ac:dyDescent="0.3">
      <c r="A20" s="218"/>
      <c r="B20" s="14"/>
      <c r="C20" s="16"/>
      <c r="D20" s="16"/>
      <c r="E20" s="16"/>
      <c r="F20" s="16"/>
      <c r="G20" s="16"/>
      <c r="H20" s="16"/>
      <c r="I20" s="32"/>
      <c r="J20" s="16"/>
      <c r="K20" s="13"/>
      <c r="L20" s="13"/>
      <c r="M20" s="13"/>
      <c r="N20" s="3"/>
      <c r="O20" s="1">
        <v>1202713</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Arabinose-0.01mg/L</v>
      </c>
      <c r="J22" s="68" t="str">
        <f t="shared" si="0"/>
        <v>Arabinose-0.1mg/L</v>
      </c>
      <c r="K22" s="68" t="str">
        <f t="shared" si="0"/>
        <v>Arabinose-1mg/L</v>
      </c>
      <c r="L22" s="68" t="str">
        <f t="shared" si="0"/>
        <v>Arabinose-10mg/L</v>
      </c>
      <c r="M22" s="68" t="str">
        <f t="shared" si="0"/>
        <v>Arabinose-100mg/L</v>
      </c>
      <c r="N22" s="68" t="s">
        <v>47</v>
      </c>
      <c r="O22" s="68" t="str">
        <f t="shared" ref="O22:V22" si="1">O4</f>
        <v>Testo -30µg/L</v>
      </c>
      <c r="P22" s="68" t="str">
        <f t="shared" si="1"/>
        <v>Testo 30µg/L + EE2 -64ng/L</v>
      </c>
      <c r="Q22" s="68" t="str">
        <f t="shared" si="1"/>
        <v>Testo 30µg/L + FAD-10µg/L</v>
      </c>
      <c r="R22" s="68" t="str">
        <f t="shared" si="1"/>
        <v>Arabinose-0.01mg/L + Testostérone</v>
      </c>
      <c r="S22" s="68" t="str">
        <f t="shared" si="1"/>
        <v>Arabinose-0.1mg/L + Testostérone</v>
      </c>
      <c r="T22" s="68" t="str">
        <f t="shared" si="1"/>
        <v>Arabinose-1mg/L + Testostérone</v>
      </c>
      <c r="U22" s="68" t="str">
        <f t="shared" si="1"/>
        <v>Arabinose-10mg/L + Testostérone</v>
      </c>
      <c r="V22" s="68" t="str">
        <f t="shared" si="1"/>
        <v>Arabinose-100mg/L + Testostérone</v>
      </c>
    </row>
    <row r="23" spans="1:22" x14ac:dyDescent="0.3">
      <c r="A23" s="5" t="s">
        <v>0</v>
      </c>
      <c r="B23" s="5">
        <f t="shared" ref="B23:M23" si="2">AVERAGE(B5:B20)</f>
        <v>43165</v>
      </c>
      <c r="C23" s="5">
        <f t="shared" si="2"/>
        <v>318309.125</v>
      </c>
      <c r="D23" s="5">
        <f t="shared" si="2"/>
        <v>787133</v>
      </c>
      <c r="E23" s="5">
        <f t="shared" si="2"/>
        <v>1391130.75</v>
      </c>
      <c r="F23" s="5">
        <f t="shared" si="2"/>
        <v>4431000.125</v>
      </c>
      <c r="G23" s="5">
        <f t="shared" si="2"/>
        <v>7381445.5714285718</v>
      </c>
      <c r="H23" s="5">
        <f t="shared" si="2"/>
        <v>7110744.625</v>
      </c>
      <c r="I23" s="5">
        <f t="shared" si="2"/>
        <v>45396.25</v>
      </c>
      <c r="J23" s="5">
        <f t="shared" si="2"/>
        <v>98402.125</v>
      </c>
      <c r="K23" s="5">
        <f t="shared" si="2"/>
        <v>123925.375</v>
      </c>
      <c r="L23" s="5">
        <f t="shared" si="2"/>
        <v>45610</v>
      </c>
      <c r="M23" s="5">
        <f t="shared" si="2"/>
        <v>99097.5</v>
      </c>
      <c r="N23" s="5" t="s">
        <v>0</v>
      </c>
      <c r="O23" s="5">
        <f t="shared" ref="O23:V23" si="3">AVERAGE(O5:O20)</f>
        <v>1215694.625</v>
      </c>
      <c r="P23" s="5">
        <f t="shared" si="3"/>
        <v>5811963.25</v>
      </c>
      <c r="Q23" s="5">
        <f t="shared" si="3"/>
        <v>60991.5</v>
      </c>
      <c r="R23" s="5">
        <f t="shared" si="3"/>
        <v>610806.125</v>
      </c>
      <c r="S23" s="5">
        <f t="shared" si="3"/>
        <v>1275442.125</v>
      </c>
      <c r="T23" s="5">
        <f t="shared" si="3"/>
        <v>496961.875</v>
      </c>
      <c r="U23" s="5">
        <f t="shared" si="3"/>
        <v>620555</v>
      </c>
      <c r="V23" s="5">
        <f t="shared" si="3"/>
        <v>1675923</v>
      </c>
    </row>
    <row r="24" spans="1:22" x14ac:dyDescent="0.3">
      <c r="A24" s="3" t="s">
        <v>1</v>
      </c>
      <c r="B24" s="3">
        <f t="shared" ref="B24:M24" si="4">STDEV(B5:B20)</f>
        <v>50297.677455609926</v>
      </c>
      <c r="C24" s="3">
        <f t="shared" si="4"/>
        <v>392559.73576493975</v>
      </c>
      <c r="D24" s="3">
        <f t="shared" si="4"/>
        <v>1043167.8700088769</v>
      </c>
      <c r="E24" s="3">
        <f t="shared" si="4"/>
        <v>1080467.1756800057</v>
      </c>
      <c r="F24" s="3">
        <f t="shared" si="4"/>
        <v>1517089.8571862078</v>
      </c>
      <c r="G24" s="3">
        <f t="shared" si="4"/>
        <v>2924290.2974617532</v>
      </c>
      <c r="H24" s="3">
        <f t="shared" si="4"/>
        <v>2283770.0692534666</v>
      </c>
      <c r="I24" s="3">
        <f t="shared" si="4"/>
        <v>44580.819481508603</v>
      </c>
      <c r="J24" s="3">
        <f t="shared" si="4"/>
        <v>70697.122744923035</v>
      </c>
      <c r="K24" s="3">
        <f t="shared" si="4"/>
        <v>218935.09394530446</v>
      </c>
      <c r="L24" s="3">
        <f t="shared" si="4"/>
        <v>31455.74211491441</v>
      </c>
      <c r="M24" s="3">
        <f t="shared" si="4"/>
        <v>91263.975975502748</v>
      </c>
      <c r="N24" s="3" t="s">
        <v>1</v>
      </c>
      <c r="O24" s="3">
        <f t="shared" ref="O24:V24" si="5">STDEV(O5:O20)</f>
        <v>1427936.2277134028</v>
      </c>
      <c r="P24" s="3">
        <f t="shared" si="5"/>
        <v>1954127.1676158167</v>
      </c>
      <c r="Q24" s="3">
        <f t="shared" si="5"/>
        <v>82127.381800642906</v>
      </c>
      <c r="R24" s="3">
        <f t="shared" si="5"/>
        <v>678740.53276837419</v>
      </c>
      <c r="S24" s="3">
        <f t="shared" si="5"/>
        <v>984881.09106218466</v>
      </c>
      <c r="T24" s="3">
        <f t="shared" si="5"/>
        <v>754286.49912150903</v>
      </c>
      <c r="U24" s="3">
        <f t="shared" si="5"/>
        <v>720311.03093217406</v>
      </c>
      <c r="V24" s="3">
        <f t="shared" si="5"/>
        <v>1769617.3410847895</v>
      </c>
    </row>
    <row r="25" spans="1:22" ht="15" thickBot="1" x14ac:dyDescent="0.35"/>
    <row r="26" spans="1:22" ht="15" thickBot="1" x14ac:dyDescent="0.35">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Arabinose-0.01mg/L</v>
      </c>
      <c r="J27" s="35" t="str">
        <f t="shared" si="6"/>
        <v>Arabinose-0.1mg/L</v>
      </c>
      <c r="K27" s="35" t="str">
        <f t="shared" si="6"/>
        <v>Arabinose-1mg/L</v>
      </c>
      <c r="L27" s="35" t="str">
        <f t="shared" si="6"/>
        <v>Arabinose-10mg/L</v>
      </c>
      <c r="M27" s="35" t="str">
        <f t="shared" si="6"/>
        <v>Arabinose-100mg/L</v>
      </c>
      <c r="N27" s="3"/>
      <c r="O27" s="36" t="str">
        <f t="shared" ref="O27:V27" si="7">O4</f>
        <v>Testo -30µg/L</v>
      </c>
      <c r="P27" s="36" t="str">
        <f t="shared" si="7"/>
        <v>Testo 30µg/L + EE2 -64ng/L</v>
      </c>
      <c r="Q27" s="36" t="str">
        <f t="shared" si="7"/>
        <v>Testo 30µg/L + FAD-10µg/L</v>
      </c>
      <c r="R27" s="36" t="str">
        <f t="shared" si="7"/>
        <v>Arabinose-0.01mg/L + Testostérone</v>
      </c>
      <c r="S27" s="36" t="str">
        <f t="shared" si="7"/>
        <v>Arabinose-0.1mg/L + Testostérone</v>
      </c>
      <c r="T27" s="36" t="str">
        <f t="shared" si="7"/>
        <v>Arabinose-1mg/L + Testostérone</v>
      </c>
      <c r="U27" s="36" t="str">
        <f t="shared" si="7"/>
        <v>Arabinose-10mg/L + Testostérone</v>
      </c>
      <c r="V27" s="36" t="str">
        <f t="shared" si="7"/>
        <v>Arabinose-100mg/L + Testostérone</v>
      </c>
    </row>
    <row r="28" spans="1:22" x14ac:dyDescent="0.3">
      <c r="A28" s="219" t="s">
        <v>34</v>
      </c>
      <c r="B28" s="11">
        <f t="shared" ref="B28:M28" si="8">IF(B5="","",(B5/$O$23))</f>
        <v>4.145777974464599E-4</v>
      </c>
      <c r="C28" s="11">
        <f t="shared" si="8"/>
        <v>7.1103382562047604E-3</v>
      </c>
      <c r="D28" s="11">
        <f t="shared" si="8"/>
        <v>4.1847680292244442E-2</v>
      </c>
      <c r="E28" s="11">
        <f t="shared" si="8"/>
        <v>1.4540608830938937</v>
      </c>
      <c r="F28" s="11">
        <f t="shared" si="8"/>
        <v>3.646790821338048</v>
      </c>
      <c r="G28" s="11">
        <f t="shared" si="8"/>
        <v>5.1925655260670416</v>
      </c>
      <c r="H28" s="11">
        <f t="shared" si="8"/>
        <v>4.1607611779973119</v>
      </c>
      <c r="I28" s="11">
        <f t="shared" si="8"/>
        <v>8.3379491786434445E-2</v>
      </c>
      <c r="J28" s="11">
        <f t="shared" si="8"/>
        <v>5.4873977912010589E-2</v>
      </c>
      <c r="K28" s="11">
        <f t="shared" si="8"/>
        <v>3.11426893081805E-2</v>
      </c>
      <c r="L28" s="11">
        <f t="shared" si="8"/>
        <v>3.3396544794298158E-3</v>
      </c>
      <c r="M28" s="11">
        <f t="shared" si="8"/>
        <v>2.5247294319492446E-2</v>
      </c>
      <c r="N28" s="6"/>
      <c r="O28" s="11">
        <f t="shared" ref="O28:V28" si="9">IF(O5="","",(O5/$O$23))</f>
        <v>4.621182725061403</v>
      </c>
      <c r="P28" s="11">
        <f t="shared" si="9"/>
        <v>7.5003728835273904</v>
      </c>
      <c r="Q28" s="11">
        <f t="shared" si="9"/>
        <v>8.9848221546591112E-2</v>
      </c>
      <c r="R28" s="11">
        <f t="shared" si="9"/>
        <v>1.0517781140967042</v>
      </c>
      <c r="S28" s="11">
        <f t="shared" si="9"/>
        <v>0.27063539908305506</v>
      </c>
      <c r="T28" s="11">
        <f t="shared" si="9"/>
        <v>2.9829859616266708E-2</v>
      </c>
      <c r="U28" s="11">
        <f t="shared" si="9"/>
        <v>0.27899934163153844</v>
      </c>
      <c r="V28" s="11">
        <f t="shared" si="9"/>
        <v>0.1779081650541969</v>
      </c>
    </row>
    <row r="29" spans="1:22" x14ac:dyDescent="0.3">
      <c r="A29" s="220"/>
      <c r="B29" s="11">
        <f t="shared" ref="B29:M29" si="10">IF(B6="","",(B6/$O$23))</f>
        <v>5.1040778435620708E-2</v>
      </c>
      <c r="C29" s="11">
        <f t="shared" si="10"/>
        <v>0.2015514381335691</v>
      </c>
      <c r="D29" s="11">
        <f t="shared" si="10"/>
        <v>1.6412016298912237E-2</v>
      </c>
      <c r="E29" s="11">
        <f t="shared" si="10"/>
        <v>1.710702636363141</v>
      </c>
      <c r="F29" s="11">
        <f t="shared" si="10"/>
        <v>2.6261348321746509</v>
      </c>
      <c r="G29" s="11">
        <f t="shared" si="10"/>
        <v>3.5689340980675968</v>
      </c>
      <c r="H29" s="11">
        <f t="shared" si="10"/>
        <v>9.1750812832622337</v>
      </c>
      <c r="I29" s="11">
        <f t="shared" si="10"/>
        <v>1.6104373250807127E-2</v>
      </c>
      <c r="J29" s="11">
        <f t="shared" si="10"/>
        <v>0.19891837557478714</v>
      </c>
      <c r="K29" s="11">
        <f t="shared" si="10"/>
        <v>2.247439401157178E-2</v>
      </c>
      <c r="L29" s="11">
        <f t="shared" si="10"/>
        <v>6.2322394491132999E-2</v>
      </c>
      <c r="M29" s="11">
        <f t="shared" si="10"/>
        <v>5.0643474713067849E-2</v>
      </c>
      <c r="N29" s="6"/>
      <c r="O29" s="11">
        <f t="shared" ref="O29:V29" si="11">IF(O6="","",(O6/$O$23))</f>
        <v>0.26555682106433598</v>
      </c>
      <c r="P29" s="11">
        <f t="shared" si="11"/>
        <v>4.1070560791531019</v>
      </c>
      <c r="Q29" s="11">
        <f t="shared" si="11"/>
        <v>2.529829396917832E-2</v>
      </c>
      <c r="R29" s="11">
        <f t="shared" si="11"/>
        <v>0.21824312993075873</v>
      </c>
      <c r="S29" s="11">
        <f t="shared" si="11"/>
        <v>2.2135929078406513</v>
      </c>
      <c r="T29" s="11">
        <f t="shared" si="11"/>
        <v>3.0937868134442069E-2</v>
      </c>
      <c r="U29" s="11">
        <f t="shared" si="11"/>
        <v>0.22984719538428494</v>
      </c>
      <c r="V29" s="11">
        <f t="shared" si="11"/>
        <v>0.30355402780529689</v>
      </c>
    </row>
    <row r="30" spans="1:22" x14ac:dyDescent="0.3">
      <c r="A30" s="220"/>
      <c r="B30" s="11">
        <f t="shared" ref="B30:M30" si="12">IF(B7="","",(B7/$O$23))</f>
        <v>6.1174902373200835E-3</v>
      </c>
      <c r="C30" s="11">
        <f t="shared" si="12"/>
        <v>0.87514823058463387</v>
      </c>
      <c r="D30" s="11">
        <f t="shared" si="12"/>
        <v>2.0547717729688899</v>
      </c>
      <c r="E30" s="11">
        <f t="shared" si="12"/>
        <v>2.4877382344270873</v>
      </c>
      <c r="F30" s="11">
        <f t="shared" si="12"/>
        <v>3.469673150853982</v>
      </c>
      <c r="G30" s="11">
        <f t="shared" si="12"/>
        <v>5.1250765380327321</v>
      </c>
      <c r="H30" s="11">
        <f t="shared" si="12"/>
        <v>4.0978761422096444</v>
      </c>
      <c r="I30" s="11">
        <f t="shared" si="12"/>
        <v>5.21668836036846E-2</v>
      </c>
      <c r="J30" s="11">
        <f t="shared" si="12"/>
        <v>3.8414252263392214E-2</v>
      </c>
      <c r="K30" s="11">
        <f t="shared" si="12"/>
        <v>1.0182655862281204E-2</v>
      </c>
      <c r="L30" s="11">
        <f t="shared" si="12"/>
        <v>1.2991749469978943E-2</v>
      </c>
      <c r="M30" s="11">
        <f t="shared" si="12"/>
        <v>5.6850625624835678E-2</v>
      </c>
      <c r="N30" s="6"/>
      <c r="O30" s="11">
        <f t="shared" ref="O30:V30" si="13">IF(O7="","",(O7/$O$23))</f>
        <v>8.8208829581688741E-2</v>
      </c>
      <c r="P30" s="11">
        <f t="shared" si="13"/>
        <v>4.4422701959383923</v>
      </c>
      <c r="Q30" s="11">
        <f t="shared" si="13"/>
        <v>3.3345545144612285E-2</v>
      </c>
      <c r="R30" s="11">
        <f t="shared" si="13"/>
        <v>0.47965088272065032</v>
      </c>
      <c r="S30" s="11">
        <f t="shared" si="13"/>
        <v>1.5484949602372389</v>
      </c>
      <c r="T30" s="11">
        <f t="shared" si="13"/>
        <v>1.9342028430865195E-2</v>
      </c>
      <c r="U30" s="11">
        <f t="shared" si="13"/>
        <v>1.1547044554877421</v>
      </c>
      <c r="V30" s="11">
        <f t="shared" si="13"/>
        <v>2.6392318712439811</v>
      </c>
    </row>
    <row r="31" spans="1:22" x14ac:dyDescent="0.3">
      <c r="A31" s="220"/>
      <c r="B31" s="11">
        <f t="shared" ref="B31:M31" si="14">IF(B8="","",(B8/$O$23))</f>
        <v>7.4887227538741486E-3</v>
      </c>
      <c r="C31" s="11">
        <f t="shared" si="14"/>
        <v>6.9852245994753828E-2</v>
      </c>
      <c r="D31" s="11">
        <f t="shared" si="14"/>
        <v>0.12628006807219372</v>
      </c>
      <c r="E31" s="11">
        <f t="shared" si="14"/>
        <v>0.18746566392032868</v>
      </c>
      <c r="F31" s="11">
        <f t="shared" si="14"/>
        <v>3.1558640805868499</v>
      </c>
      <c r="G31" s="11">
        <f t="shared" si="14"/>
        <v>6.5192465583205159</v>
      </c>
      <c r="H31" s="11">
        <f t="shared" si="14"/>
        <v>7.2360203122556372</v>
      </c>
      <c r="I31" s="11">
        <f t="shared" si="14"/>
        <v>3.4199377989353207E-2</v>
      </c>
      <c r="J31" s="11">
        <f t="shared" si="14"/>
        <v>0.10760021251224994</v>
      </c>
      <c r="K31" s="11">
        <f t="shared" si="14"/>
        <v>2.1662512491572462E-2</v>
      </c>
      <c r="L31" s="11">
        <f t="shared" si="14"/>
        <v>3.5659448605360085E-2</v>
      </c>
      <c r="M31" s="11">
        <f t="shared" si="14"/>
        <v>2.0240280325332524E-2</v>
      </c>
      <c r="N31" s="6"/>
      <c r="O31" s="11">
        <f t="shared" ref="O31:V31" si="15">IF(O8="","",(O8/$O$23))</f>
        <v>1.4076775242795863</v>
      </c>
      <c r="P31" s="11">
        <f t="shared" si="15"/>
        <v>5.909247151602731</v>
      </c>
      <c r="Q31" s="11">
        <f t="shared" si="15"/>
        <v>4.6171134465614666E-3</v>
      </c>
      <c r="R31" s="11">
        <f t="shared" si="15"/>
        <v>0.26703827863021112</v>
      </c>
      <c r="S31" s="11">
        <f t="shared" si="15"/>
        <v>0.28125813256762566</v>
      </c>
      <c r="T31" s="11">
        <f t="shared" si="15"/>
        <v>0.18689150657386513</v>
      </c>
      <c r="U31" s="11">
        <f t="shared" si="15"/>
        <v>3.2680904548706056E-3</v>
      </c>
      <c r="V31" s="11">
        <f t="shared" si="15"/>
        <v>0.28254710758468643</v>
      </c>
    </row>
    <row r="32" spans="1:22" x14ac:dyDescent="0.3">
      <c r="A32" s="220"/>
      <c r="B32" s="11">
        <f t="shared" ref="B32:M32" si="16">IF(B9="","",(B9/$O$23))</f>
        <v>0.12118174825359616</v>
      </c>
      <c r="C32" s="11">
        <f t="shared" si="16"/>
        <v>0.65368800984869047</v>
      </c>
      <c r="D32" s="11">
        <f t="shared" si="16"/>
        <v>1.9720552766283721</v>
      </c>
      <c r="E32" s="11">
        <f t="shared" si="16"/>
        <v>0.60955192592054108</v>
      </c>
      <c r="F32" s="11">
        <f t="shared" si="16"/>
        <v>3.8395201426509558</v>
      </c>
      <c r="G32" s="11">
        <f t="shared" si="16"/>
        <v>9.0345048617780961</v>
      </c>
      <c r="H32" s="11">
        <f t="shared" si="16"/>
        <v>3.9291158336741021</v>
      </c>
      <c r="I32" s="11">
        <f t="shared" si="16"/>
        <v>1.2979410845054941E-2</v>
      </c>
      <c r="J32" s="11">
        <f t="shared" si="16"/>
        <v>1.5652779578588662E-2</v>
      </c>
      <c r="K32" s="11">
        <f t="shared" si="16"/>
        <v>3.9212150008477668E-3</v>
      </c>
      <c r="L32" s="11">
        <f t="shared" si="16"/>
        <v>5.3014135848466058E-2</v>
      </c>
      <c r="M32" s="11">
        <f t="shared" si="16"/>
        <v>0.11720953360306254</v>
      </c>
      <c r="N32" s="6"/>
      <c r="O32" s="11">
        <f t="shared" ref="O32:V32" si="17">IF(O9="","",(O9/$O$23))</f>
        <v>7.7914303520096581E-2</v>
      </c>
      <c r="P32" s="11">
        <f t="shared" si="17"/>
        <v>2.1393867723977147</v>
      </c>
      <c r="Q32" s="11">
        <f t="shared" si="17"/>
        <v>1.133508343018297E-3</v>
      </c>
      <c r="R32" s="11">
        <f t="shared" si="17"/>
        <v>3.3492786068705371E-2</v>
      </c>
      <c r="S32" s="11">
        <f t="shared" si="17"/>
        <v>0.17811051850295054</v>
      </c>
      <c r="T32" s="11">
        <f t="shared" si="17"/>
        <v>1.8259453931533176</v>
      </c>
      <c r="U32" s="11">
        <f t="shared" si="17"/>
        <v>0.14221334572405467</v>
      </c>
      <c r="V32" s="11">
        <f t="shared" si="17"/>
        <v>1.0244603985149643</v>
      </c>
    </row>
    <row r="33" spans="1:22" x14ac:dyDescent="0.3">
      <c r="A33" s="220"/>
      <c r="B33" s="11">
        <f t="shared" ref="B33:M33" si="18">IF(B10="","",(B10/$O$23))</f>
        <v>5.6343096852961738E-2</v>
      </c>
      <c r="C33" s="11">
        <f t="shared" si="18"/>
        <v>0.18255900407555065</v>
      </c>
      <c r="D33" s="11">
        <f t="shared" si="18"/>
        <v>0.32477564009958504</v>
      </c>
      <c r="E33" s="11">
        <f t="shared" si="18"/>
        <v>0.69160295909015801</v>
      </c>
      <c r="F33" s="11">
        <f t="shared" si="18"/>
        <v>5.2423979418351054</v>
      </c>
      <c r="G33" s="11">
        <f t="shared" si="18"/>
        <v>3.5829203407064498</v>
      </c>
      <c r="H33" s="11">
        <f t="shared" si="18"/>
        <v>6.8722718914711001</v>
      </c>
      <c r="I33" s="11">
        <f t="shared" si="18"/>
        <v>2.4488057599168869E-3</v>
      </c>
      <c r="J33" s="11">
        <f t="shared" si="18"/>
        <v>5.951083315845046E-2</v>
      </c>
      <c r="K33" s="11">
        <f t="shared" si="18"/>
        <v>0.10760103508724488</v>
      </c>
      <c r="L33" s="11">
        <f t="shared" si="18"/>
        <v>5.8340308940660161E-2</v>
      </c>
      <c r="M33" s="11">
        <f t="shared" si="18"/>
        <v>9.9231334513796995E-2</v>
      </c>
      <c r="N33" s="6"/>
      <c r="O33" s="11">
        <f t="shared" ref="O33:V33" si="19">IF(O10="","",(O10/$O$23))</f>
        <v>8.9718254697391628E-2</v>
      </c>
      <c r="P33" s="11">
        <f t="shared" si="19"/>
        <v>3.6121834461512075</v>
      </c>
      <c r="Q33" s="11">
        <f t="shared" si="19"/>
        <v>2.6635800910940113E-2</v>
      </c>
      <c r="R33" s="11">
        <f t="shared" si="19"/>
        <v>1.9211239006670773E-2</v>
      </c>
      <c r="S33" s="11">
        <f t="shared" si="19"/>
        <v>1.5319941058388737</v>
      </c>
      <c r="T33" s="11">
        <f t="shared" si="19"/>
        <v>6.6488736840470936E-2</v>
      </c>
      <c r="U33" s="11">
        <f t="shared" si="19"/>
        <v>1.6300902868596627</v>
      </c>
      <c r="V33" s="11">
        <f t="shared" si="19"/>
        <v>4.3313780382964184</v>
      </c>
    </row>
    <row r="34" spans="1:22" x14ac:dyDescent="0.3">
      <c r="A34" s="220"/>
      <c r="B34" s="11">
        <f t="shared" ref="B34:M34" si="20">IF(B11="","",(B11/$O$23))</f>
        <v>2.7046265833411908E-3</v>
      </c>
      <c r="C34" s="11">
        <f t="shared" si="20"/>
        <v>3.2528728174643362E-2</v>
      </c>
      <c r="D34" s="11">
        <f t="shared" si="20"/>
        <v>0.50385926482154186</v>
      </c>
      <c r="E34" s="11">
        <f t="shared" si="20"/>
        <v>1.9719310678041371</v>
      </c>
      <c r="F34" s="11">
        <f t="shared" si="20"/>
        <v>1.7186626945891119</v>
      </c>
      <c r="G34" s="11">
        <f t="shared" si="20"/>
        <v>9.4792999516634371</v>
      </c>
      <c r="H34" s="11">
        <f t="shared" si="20"/>
        <v>6.3666876868851832</v>
      </c>
      <c r="I34" s="11">
        <f t="shared" si="20"/>
        <v>1.0685249184185543E-3</v>
      </c>
      <c r="J34" s="11">
        <f t="shared" si="20"/>
        <v>0.11609165418494796</v>
      </c>
      <c r="K34" s="11">
        <f t="shared" si="20"/>
        <v>7.9874499733023005E-2</v>
      </c>
      <c r="L34" s="11">
        <f t="shared" si="20"/>
        <v>8.7390367461729953E-3</v>
      </c>
      <c r="M34" s="11">
        <f t="shared" si="20"/>
        <v>3.5945704703596926E-2</v>
      </c>
      <c r="N34" s="6"/>
      <c r="O34" s="11">
        <f t="shared" ref="O34:V34" si="21">IF(O11="","",(O11/$O$23))</f>
        <v>0.64043221380533788</v>
      </c>
      <c r="P34" s="11">
        <f t="shared" si="21"/>
        <v>5.1426426270495353</v>
      </c>
      <c r="Q34" s="11">
        <f t="shared" si="21"/>
        <v>0.2030312505494544</v>
      </c>
      <c r="R34" s="11">
        <f t="shared" si="21"/>
        <v>0.32563029551932088</v>
      </c>
      <c r="S34" s="11">
        <f t="shared" si="21"/>
        <v>0.56618165931267483</v>
      </c>
      <c r="T34" s="11">
        <f t="shared" si="21"/>
        <v>0.69502240334409637</v>
      </c>
      <c r="U34" s="11">
        <f t="shared" si="21"/>
        <v>1.1734854877720628E-2</v>
      </c>
      <c r="V34" s="11">
        <f t="shared" si="21"/>
        <v>1.6252222880396465</v>
      </c>
    </row>
    <row r="35" spans="1:22" x14ac:dyDescent="0.3">
      <c r="A35" s="220"/>
      <c r="B35" s="11">
        <f t="shared" ref="B35:M35" si="22">IF(B12="","",(B12/$O$23))</f>
        <v>3.8760556336259196E-2</v>
      </c>
      <c r="C35" s="11">
        <f t="shared" si="22"/>
        <v>7.2227020005126694E-2</v>
      </c>
      <c r="D35" s="11">
        <f t="shared" si="22"/>
        <v>0.13980566871388445</v>
      </c>
      <c r="E35" s="11">
        <f t="shared" si="22"/>
        <v>4.1421586444868916E-2</v>
      </c>
      <c r="F35" s="11">
        <f t="shared" si="22"/>
        <v>5.4595955789473036</v>
      </c>
      <c r="G35" s="11" t="str">
        <f t="shared" si="22"/>
        <v/>
      </c>
      <c r="H35" s="11">
        <f t="shared" si="22"/>
        <v>4.9551514633043636</v>
      </c>
      <c r="I35" s="11">
        <f t="shared" si="22"/>
        <v>9.6387692756312052E-2</v>
      </c>
      <c r="J35" s="11">
        <f t="shared" si="22"/>
        <v>5.6482934602100424E-2</v>
      </c>
      <c r="K35" s="11">
        <f t="shared" si="22"/>
        <v>0.5386443162072877</v>
      </c>
      <c r="L35" s="11">
        <f t="shared" si="22"/>
        <v>6.5734435570116961E-2</v>
      </c>
      <c r="M35" s="11">
        <f t="shared" si="22"/>
        <v>0.24675275668015723</v>
      </c>
      <c r="N35" s="6"/>
      <c r="O35" s="11">
        <f t="shared" ref="O35:V35" si="23">IF(O12="","",(O12/$O$23))</f>
        <v>1.3673803978527914</v>
      </c>
      <c r="P35" s="11">
        <f t="shared" si="23"/>
        <v>5.3930459715572079</v>
      </c>
      <c r="Q35" s="11">
        <f t="shared" si="23"/>
        <v>1.7450928517513186E-2</v>
      </c>
      <c r="R35" s="11">
        <f t="shared" si="23"/>
        <v>1.624426035444551</v>
      </c>
      <c r="S35" s="11">
        <f t="shared" si="23"/>
        <v>1.8029067126952214</v>
      </c>
      <c r="T35" s="11">
        <f t="shared" si="23"/>
        <v>0.415849498388627</v>
      </c>
      <c r="U35" s="11">
        <f t="shared" si="23"/>
        <v>0.63276663742755301</v>
      </c>
      <c r="V35" s="11">
        <f t="shared" si="23"/>
        <v>0.64427692933165681</v>
      </c>
    </row>
    <row r="36" spans="1:22" s="1" customFormat="1" x14ac:dyDescent="0.3">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1.0741324121590157</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1.2917306432937465</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0.52299647207866862</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0.10337382218828187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0.41899173486927277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2.5453110808974744</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0.49607112476951193</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0.98932163988139699</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Arabinose-0.01mg/L</v>
      </c>
      <c r="J45" s="70" t="str">
        <f t="shared" si="46"/>
        <v>Arabinose-0.1mg/L</v>
      </c>
      <c r="K45" s="70" t="str">
        <f t="shared" si="46"/>
        <v>Arabinose-1mg/L</v>
      </c>
      <c r="L45" s="70" t="str">
        <f t="shared" si="46"/>
        <v>Arabinose-10mg/L</v>
      </c>
      <c r="M45" s="70" t="str">
        <f t="shared" si="46"/>
        <v>Arabinose-100mg/L</v>
      </c>
      <c r="N45" s="70" t="str">
        <f>N22</f>
        <v>Nom des groupes</v>
      </c>
      <c r="O45" s="70" t="str">
        <f t="shared" ref="O45:V45" si="47">O4</f>
        <v>Testo -30µg/L</v>
      </c>
      <c r="P45" s="70" t="str">
        <f t="shared" si="47"/>
        <v>Testo 30µg/L + EE2 -64ng/L</v>
      </c>
      <c r="Q45" s="70" t="str">
        <f t="shared" si="47"/>
        <v>Testo 30µg/L + FAD-10µg/L</v>
      </c>
      <c r="R45" s="70" t="str">
        <f t="shared" si="47"/>
        <v>Arabinose-0.01mg/L + Testostérone</v>
      </c>
      <c r="S45" s="70" t="str">
        <f t="shared" si="47"/>
        <v>Arabinose-0.1mg/L + Testostérone</v>
      </c>
      <c r="T45" s="70" t="str">
        <f t="shared" si="47"/>
        <v>Arabinose-1mg/L + Testostérone</v>
      </c>
      <c r="U45" s="70" t="str">
        <f t="shared" si="47"/>
        <v>Arabinose-10mg/L + Testostérone</v>
      </c>
      <c r="V45" s="70" t="str">
        <f t="shared" si="47"/>
        <v>Arabinose-100mg/L + Testostérone</v>
      </c>
    </row>
    <row r="46" spans="1:22" x14ac:dyDescent="0.3">
      <c r="A46" s="8" t="s">
        <v>0</v>
      </c>
      <c r="B46" s="10">
        <f t="shared" ref="B46:H46" si="48">AVERAGE(B28:B43)</f>
        <v>3.5506449656302459E-2</v>
      </c>
      <c r="C46" s="10">
        <f t="shared" si="48"/>
        <v>0.26183312688414656</v>
      </c>
      <c r="D46" s="10">
        <f t="shared" si="48"/>
        <v>0.64747592348695293</v>
      </c>
      <c r="E46" s="10">
        <f t="shared" si="48"/>
        <v>1.1443093696330195</v>
      </c>
      <c r="F46" s="10">
        <f t="shared" si="48"/>
        <v>3.644829905372001</v>
      </c>
      <c r="G46" s="10">
        <f t="shared" si="48"/>
        <v>6.0717925535194093</v>
      </c>
      <c r="H46" s="10">
        <f t="shared" si="48"/>
        <v>5.8491207238824465</v>
      </c>
      <c r="I46" s="10">
        <f>AVERAGE(I28:I43)</f>
        <v>3.7341820113747724E-2</v>
      </c>
      <c r="J46" s="9">
        <f>AVERAGE(J28:J43)</f>
        <v>8.0943127473315932E-2</v>
      </c>
      <c r="K46" s="9">
        <f>AVERAGE(K28:K43)</f>
        <v>0.10193791471275115</v>
      </c>
      <c r="L46" s="9">
        <f t="shared" ref="L46:M46" si="49">AVERAGE(L28:L43)</f>
        <v>3.7517645518914754E-2</v>
      </c>
      <c r="M46" s="9">
        <f t="shared" si="49"/>
        <v>8.1515125560417775E-2</v>
      </c>
      <c r="N46" s="8" t="s">
        <v>0</v>
      </c>
      <c r="O46" s="10">
        <f>AVERAGE(O28:O43)</f>
        <v>0.99999999999999989</v>
      </c>
      <c r="P46" s="10">
        <f>AVERAGE(P28:P43)</f>
        <v>4.78077564092216</v>
      </c>
      <c r="Q46" s="10">
        <f>AVERAGE(Q28:Q43)</f>
        <v>5.0170082803483645E-2</v>
      </c>
      <c r="R46" s="10">
        <f>AVERAGE(R28:R43)</f>
        <v>0.50243384517719658</v>
      </c>
      <c r="S46" s="10">
        <f t="shared" ref="S46:V46" si="50">AVERAGE(S28:S43)</f>
        <v>1.0491467995097863</v>
      </c>
      <c r="T46" s="10">
        <f t="shared" si="50"/>
        <v>0.40878841181024383</v>
      </c>
      <c r="U46" s="10">
        <f t="shared" si="50"/>
        <v>0.51045302598092834</v>
      </c>
      <c r="V46" s="10">
        <f t="shared" si="50"/>
        <v>1.3785723532338559</v>
      </c>
    </row>
    <row r="47" spans="1:22" x14ac:dyDescent="0.3">
      <c r="A47" s="8" t="s">
        <v>1</v>
      </c>
      <c r="B47" s="8">
        <f t="shared" ref="B47:K47" si="51">STDEV(B28:B43)</f>
        <v>4.1373611778212756E-2</v>
      </c>
      <c r="C47" s="8">
        <f t="shared" si="51"/>
        <v>0.32290982265792262</v>
      </c>
      <c r="D47" s="8">
        <f t="shared" si="51"/>
        <v>0.85808380538729212</v>
      </c>
      <c r="E47" s="8">
        <f t="shared" si="51"/>
        <v>0.88876528156074219</v>
      </c>
      <c r="F47" s="8">
        <f t="shared" si="51"/>
        <v>1.2479201815885363</v>
      </c>
      <c r="G47" s="8">
        <f t="shared" si="51"/>
        <v>2.4054480766185482</v>
      </c>
      <c r="H47" s="8">
        <f t="shared" si="51"/>
        <v>1.878572153145341</v>
      </c>
      <c r="I47" s="8">
        <f>STDEV(I28:I43)</f>
        <v>3.6671067359131081E-2</v>
      </c>
      <c r="J47" s="8">
        <f t="shared" si="51"/>
        <v>5.8153685383714716E-2</v>
      </c>
      <c r="K47" s="8">
        <f t="shared" si="51"/>
        <v>0.18009053379281367</v>
      </c>
      <c r="L47" s="8">
        <f t="shared" ref="L47:M47" si="52">STDEV(L28:L43)</f>
        <v>2.5874706910803697E-2</v>
      </c>
      <c r="M47" s="8">
        <f t="shared" si="52"/>
        <v>7.5071464575655861E-2</v>
      </c>
      <c r="N47" s="8" t="s">
        <v>1</v>
      </c>
      <c r="O47" s="8">
        <f>STDEV(O28:O43)</f>
        <v>1.1745846352766451</v>
      </c>
      <c r="P47" s="8">
        <f>STDEV(P28:P43)</f>
        <v>1.6074161450009021</v>
      </c>
      <c r="Q47" s="8">
        <f>STDEV(Q28:Q43)</f>
        <v>6.7555930668561526E-2</v>
      </c>
      <c r="R47" s="8">
        <f>STDEV(R28:R43)</f>
        <v>0.55831499030307397</v>
      </c>
      <c r="S47" s="8">
        <f t="shared" ref="S47:V47" si="53">STDEV(S28:S43)</f>
        <v>0.81013855849052974</v>
      </c>
      <c r="T47" s="8">
        <f t="shared" si="53"/>
        <v>0.62045721319324665</v>
      </c>
      <c r="U47" s="8">
        <f t="shared" si="53"/>
        <v>0.59250984261954287</v>
      </c>
      <c r="V47" s="8">
        <f t="shared" si="53"/>
        <v>1.45564297537697</v>
      </c>
    </row>
    <row r="48" spans="1:22" x14ac:dyDescent="0.3">
      <c r="A48" s="8" t="s">
        <v>2</v>
      </c>
      <c r="B48" s="8">
        <f t="shared" ref="B48:K48" si="54" xml:space="preserve"> B47/SQRT(COUNT(B28:B43))</f>
        <v>1.4627780725276925E-2</v>
      </c>
      <c r="C48" s="8">
        <f t="shared" si="54"/>
        <v>0.11416586265658127</v>
      </c>
      <c r="D48" s="8">
        <f t="shared" si="54"/>
        <v>0.30337843880785598</v>
      </c>
      <c r="E48" s="8">
        <f t="shared" si="54"/>
        <v>0.314225978737386</v>
      </c>
      <c r="F48" s="8">
        <f t="shared" si="54"/>
        <v>0.4412064113904009</v>
      </c>
      <c r="G48" s="8">
        <f t="shared" si="54"/>
        <v>0.90917391463018882</v>
      </c>
      <c r="H48" s="8">
        <f t="shared" si="54"/>
        <v>0.66417555421864194</v>
      </c>
      <c r="I48" s="8">
        <f xml:space="preserve"> I47/SQRT(COUNT(I28:I43))</f>
        <v>1.2965180201495122E-2</v>
      </c>
      <c r="J48" s="8">
        <f t="shared" si="54"/>
        <v>2.0560432642906842E-2</v>
      </c>
      <c r="K48" s="8">
        <f t="shared" si="54"/>
        <v>6.3671618836201815E-2</v>
      </c>
      <c r="L48" s="8">
        <f t="shared" ref="L48:M48" si="55" xml:space="preserve"> L47/SQRT(COUNT(L28:L43))</f>
        <v>9.1480903589218586E-3</v>
      </c>
      <c r="M48" s="8">
        <f t="shared" si="55"/>
        <v>2.6541770837525968E-2</v>
      </c>
      <c r="N48" s="8" t="s">
        <v>2</v>
      </c>
      <c r="O48" s="8">
        <f xml:space="preserve"> O47/SQRT(COUNT(O28:O43))</f>
        <v>0.29364615881916128</v>
      </c>
      <c r="P48" s="8">
        <f xml:space="preserve"> P47/SQRT(COUNT(P28:P43))</f>
        <v>0.56830742815943824</v>
      </c>
      <c r="Q48" s="8">
        <f xml:space="preserve"> Q47/SQRT(COUNT(Q28:Q43))</f>
        <v>2.3884628342554053E-2</v>
      </c>
      <c r="R48" s="8">
        <f xml:space="preserve"> R47/SQRT(COUNT(R28:R43))</f>
        <v>0.19739415784070255</v>
      </c>
      <c r="S48" s="8">
        <f t="shared" ref="S48:V48" si="56" xml:space="preserve"> S47/SQRT(COUNT(S28:S43))</f>
        <v>0.28642723420467397</v>
      </c>
      <c r="T48" s="8">
        <f t="shared" si="56"/>
        <v>0.21936475144252604</v>
      </c>
      <c r="U48" s="8">
        <f t="shared" si="56"/>
        <v>0.20948386381802639</v>
      </c>
      <c r="V48" s="8">
        <f t="shared" si="56"/>
        <v>0.51464750943780901</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Arabinose-0.01mg/L</v>
      </c>
      <c r="J52" s="46" t="str">
        <f>J4</f>
        <v>Arabinose-0.1mg/L</v>
      </c>
      <c r="K52" s="46" t="str">
        <f>K27</f>
        <v>Arabinose-1mg/L</v>
      </c>
      <c r="L52" s="46" t="str">
        <f t="shared" ref="L52:M52" si="58">L27</f>
        <v>Arabinose-10mg/L</v>
      </c>
      <c r="M52" s="46" t="str">
        <f t="shared" si="58"/>
        <v>Arabinose-100mg/L</v>
      </c>
      <c r="N52" s="47"/>
      <c r="O52" s="46" t="str">
        <f>O27</f>
        <v>Testo -30µg/L</v>
      </c>
      <c r="P52" s="46" t="str">
        <f>P27</f>
        <v>Testo 30µg/L + EE2 -64ng/L</v>
      </c>
      <c r="Q52" s="46" t="str">
        <f>Q27</f>
        <v>Testo 30µg/L + FAD-10µg/L</v>
      </c>
      <c r="R52" s="46" t="str">
        <f>R27</f>
        <v>Arabinose-0.01mg/L + Testostérone</v>
      </c>
      <c r="S52" s="46" t="str">
        <f t="shared" ref="S52:V52" si="59">S27</f>
        <v>Arabinose-0.1mg/L + Testostérone</v>
      </c>
      <c r="T52" s="46" t="str">
        <f t="shared" si="59"/>
        <v>Arabinose-1mg/L + Testostérone</v>
      </c>
      <c r="U52" s="46" t="str">
        <f t="shared" si="59"/>
        <v>Arabinose-10mg/L + Testostérone</v>
      </c>
      <c r="V52" s="46" t="str">
        <f t="shared" si="59"/>
        <v>Arabinose-100mg/L + Testostérone</v>
      </c>
    </row>
    <row r="53" spans="1:22" s="3" customFormat="1" x14ac:dyDescent="0.3">
      <c r="A53" s="61" t="s">
        <v>32</v>
      </c>
      <c r="B53" s="141">
        <f t="shared" ref="B53:M53" si="60">B46</f>
        <v>3.5506449656302459E-2</v>
      </c>
      <c r="C53" s="141">
        <f t="shared" si="60"/>
        <v>0.26183312688414656</v>
      </c>
      <c r="D53" s="141">
        <f t="shared" si="60"/>
        <v>0.64747592348695293</v>
      </c>
      <c r="E53" s="141">
        <f t="shared" si="60"/>
        <v>1.1443093696330195</v>
      </c>
      <c r="F53" s="141">
        <f t="shared" si="60"/>
        <v>3.644829905372001</v>
      </c>
      <c r="G53" s="141">
        <f t="shared" si="60"/>
        <v>6.0717925535194093</v>
      </c>
      <c r="H53" s="141">
        <f t="shared" si="60"/>
        <v>5.8491207238824465</v>
      </c>
      <c r="I53" s="141">
        <f t="shared" si="60"/>
        <v>3.7341820113747724E-2</v>
      </c>
      <c r="J53" s="141">
        <f t="shared" si="60"/>
        <v>8.0943127473315932E-2</v>
      </c>
      <c r="K53" s="141">
        <f t="shared" si="60"/>
        <v>0.10193791471275115</v>
      </c>
      <c r="L53" s="141">
        <f t="shared" si="60"/>
        <v>3.7517645518914754E-2</v>
      </c>
      <c r="M53" s="141">
        <f t="shared" si="60"/>
        <v>8.1515125560417775E-2</v>
      </c>
      <c r="N53" s="141"/>
      <c r="O53" s="141">
        <f t="shared" ref="O53:V53" si="61">O46</f>
        <v>0.99999999999999989</v>
      </c>
      <c r="P53" s="141">
        <f t="shared" si="61"/>
        <v>4.78077564092216</v>
      </c>
      <c r="Q53" s="141">
        <f t="shared" si="61"/>
        <v>5.0170082803483645E-2</v>
      </c>
      <c r="R53" s="141">
        <f t="shared" si="61"/>
        <v>0.50243384517719658</v>
      </c>
      <c r="S53" s="141">
        <f t="shared" si="61"/>
        <v>1.0491467995097863</v>
      </c>
      <c r="T53" s="141">
        <f t="shared" si="61"/>
        <v>0.40878841181024383</v>
      </c>
      <c r="U53" s="141">
        <f t="shared" si="61"/>
        <v>0.51045302598092834</v>
      </c>
      <c r="V53" s="141">
        <f t="shared" si="61"/>
        <v>1.3785723532338559</v>
      </c>
    </row>
    <row r="54" spans="1:22" s="3" customFormat="1" x14ac:dyDescent="0.3">
      <c r="A54" s="61" t="s">
        <v>2</v>
      </c>
      <c r="B54" s="141">
        <f t="shared" ref="B54:M54" si="62">B48</f>
        <v>1.4627780725276925E-2</v>
      </c>
      <c r="C54" s="141">
        <f t="shared" si="62"/>
        <v>0.11416586265658127</v>
      </c>
      <c r="D54" s="141">
        <f t="shared" si="62"/>
        <v>0.30337843880785598</v>
      </c>
      <c r="E54" s="141">
        <f t="shared" si="62"/>
        <v>0.314225978737386</v>
      </c>
      <c r="F54" s="141">
        <f t="shared" si="62"/>
        <v>0.4412064113904009</v>
      </c>
      <c r="G54" s="141">
        <f t="shared" si="62"/>
        <v>0.90917391463018882</v>
      </c>
      <c r="H54" s="141">
        <f t="shared" si="62"/>
        <v>0.66417555421864194</v>
      </c>
      <c r="I54" s="141">
        <f t="shared" si="62"/>
        <v>1.2965180201495122E-2</v>
      </c>
      <c r="J54" s="141">
        <f t="shared" si="62"/>
        <v>2.0560432642906842E-2</v>
      </c>
      <c r="K54" s="141">
        <f t="shared" si="62"/>
        <v>6.3671618836201815E-2</v>
      </c>
      <c r="L54" s="141">
        <f t="shared" si="62"/>
        <v>9.1480903589218586E-3</v>
      </c>
      <c r="M54" s="141">
        <f t="shared" si="62"/>
        <v>2.6541770837525968E-2</v>
      </c>
      <c r="N54" s="141"/>
      <c r="O54" s="141">
        <f t="shared" ref="O54:V54" si="63">O48</f>
        <v>0.29364615881916128</v>
      </c>
      <c r="P54" s="141">
        <f t="shared" si="63"/>
        <v>0.56830742815943824</v>
      </c>
      <c r="Q54" s="141">
        <f t="shared" si="63"/>
        <v>2.3884628342554053E-2</v>
      </c>
      <c r="R54" s="141">
        <f t="shared" si="63"/>
        <v>0.19739415784070255</v>
      </c>
      <c r="S54" s="141">
        <f t="shared" si="63"/>
        <v>0.28642723420467397</v>
      </c>
      <c r="T54" s="141">
        <f t="shared" si="63"/>
        <v>0.21936475144252604</v>
      </c>
      <c r="U54" s="141">
        <f t="shared" si="63"/>
        <v>0.20948386381802639</v>
      </c>
      <c r="V54" s="141">
        <f t="shared" si="63"/>
        <v>0.51464750943780901</v>
      </c>
    </row>
    <row r="55" spans="1:22" s="3" customFormat="1" x14ac:dyDescent="0.3">
      <c r="A55" s="61" t="s">
        <v>79</v>
      </c>
      <c r="B55" s="141">
        <f t="shared" ref="B55:M55" si="64">(B53*100/$B$53)-100</f>
        <v>0</v>
      </c>
      <c r="C55" s="141">
        <f t="shared" si="64"/>
        <v>637.42412834472373</v>
      </c>
      <c r="D55" s="141">
        <f t="shared" si="64"/>
        <v>1723.544538399166</v>
      </c>
      <c r="E55" s="141">
        <f t="shared" si="64"/>
        <v>3122.8211513958072</v>
      </c>
      <c r="F55" s="141">
        <f t="shared" si="64"/>
        <v>10165.261496582882</v>
      </c>
      <c r="G55" s="141">
        <f t="shared" si="64"/>
        <v>17000.53416292962</v>
      </c>
      <c r="H55" s="141">
        <f t="shared" si="64"/>
        <v>16373.403509788022</v>
      </c>
      <c r="I55" s="141">
        <f t="shared" si="64"/>
        <v>5.1691184987837318</v>
      </c>
      <c r="J55" s="141">
        <f t="shared" si="64"/>
        <v>127.96739256341945</v>
      </c>
      <c r="K55" s="141">
        <f t="shared" si="64"/>
        <v>187.09689563303607</v>
      </c>
      <c r="L55" s="141">
        <f t="shared" si="64"/>
        <v>5.6643113633731161</v>
      </c>
      <c r="M55" s="141">
        <f t="shared" si="64"/>
        <v>129.57836209892278</v>
      </c>
      <c r="N55" s="141"/>
      <c r="O55" s="141">
        <f>(O53*100/$O$53)-100</f>
        <v>0</v>
      </c>
      <c r="P55" s="141">
        <f t="shared" ref="P55:V55" si="65">(P53*100/$O$53)-100</f>
        <v>378.07756409221605</v>
      </c>
      <c r="Q55" s="141">
        <f t="shared" si="65"/>
        <v>-94.982991719651636</v>
      </c>
      <c r="R55" s="141">
        <f t="shared" si="65"/>
        <v>-49.756615482280331</v>
      </c>
      <c r="S55" s="141">
        <f t="shared" si="65"/>
        <v>4.9146799509786376</v>
      </c>
      <c r="T55" s="141">
        <f t="shared" si="65"/>
        <v>-59.121158818975609</v>
      </c>
      <c r="U55" s="141">
        <f t="shared" si="65"/>
        <v>-48.954697401907161</v>
      </c>
      <c r="V55" s="141">
        <f t="shared" si="65"/>
        <v>37.857235323385623</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M59" ca="1" si="68">IF($B57="Non",IF(C$57="Non","Mann Withney",IF(C$57="Oui","Mann Withney","")),IF($B$57="Oui",IF(C$57="Oui","T-Test Welch",IF(C$57="Non","Mann Withney",""))))</f>
        <v>#NAME?</v>
      </c>
      <c r="D59" s="150" t="e">
        <f t="shared" ca="1" si="68"/>
        <v>#NAME?</v>
      </c>
      <c r="E59" s="150" t="e">
        <f t="shared" ca="1" si="68"/>
        <v>#NAME?</v>
      </c>
      <c r="F59" s="150" t="e">
        <f t="shared" ca="1" si="68"/>
        <v>#NAME?</v>
      </c>
      <c r="G59" s="150" t="e">
        <f t="shared" ca="1" si="68"/>
        <v>#NAME?</v>
      </c>
      <c r="H59" s="150" t="e">
        <f t="shared" ca="1" si="68"/>
        <v>#NAME?</v>
      </c>
      <c r="I59" s="150" t="e">
        <f t="shared" ca="1" si="68"/>
        <v>#NAME?</v>
      </c>
      <c r="J59" s="150" t="e">
        <f t="shared" ca="1" si="68"/>
        <v>#NAME?</v>
      </c>
      <c r="K59" s="150" t="e">
        <f t="shared" ca="1" si="68"/>
        <v>#NAME?</v>
      </c>
      <c r="L59" s="150" t="e">
        <f t="shared" ca="1" si="68"/>
        <v>#NAME?</v>
      </c>
      <c r="M59" s="150" t="e">
        <f t="shared" ca="1" si="68"/>
        <v>#NAME?</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V59" ca="1" si="69">IF($O57="Non",IF(Q$57="Non","Mann Withney",IF(Q$57="Oui","Mann Withney","")),IF($O$57="Oui",IF(Q$57="Oui","T-Test Welch",IF(Q$57="Non","Mann Withney",""))))</f>
        <v>#NAME?</v>
      </c>
      <c r="R59" s="150" t="e">
        <f t="shared" ca="1" si="69"/>
        <v>#NAME?</v>
      </c>
      <c r="S59" s="150" t="e">
        <f t="shared" ca="1" si="69"/>
        <v>#NAME?</v>
      </c>
      <c r="T59" s="150" t="e">
        <f t="shared" ca="1" si="69"/>
        <v>#NAME?</v>
      </c>
      <c r="U59" s="150" t="e">
        <f t="shared" ca="1" si="69"/>
        <v>#NAME?</v>
      </c>
      <c r="V59" s="150" t="e">
        <f t="shared" ca="1" si="69"/>
        <v>#NAME?</v>
      </c>
    </row>
    <row r="60" spans="1:22" s="3" customFormat="1" x14ac:dyDescent="0.3">
      <c r="A60" s="61"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t="e">
        <f ca="1">IF(I59="Mann Withney",[1]!MTEST($B28:$B43,I28:I43,2), IF(I59="T-Test Welch",_xlfn.T.TEST($B28:$B43,I28:I43,2,3),""))</f>
        <v>#NAME?</v>
      </c>
      <c r="J60" s="151" t="e">
        <f ca="1">IF(J59="Mann Withney",[1]!MTEST($B28:$B43,J28:J43,2), IF(J59="T-Test Welch",_xlfn.T.TEST($B28:$B43,J28:J43,2,3),""))</f>
        <v>#NAME?</v>
      </c>
      <c r="K60" s="151" t="e">
        <f ca="1">IF(K59="Mann Withney",[1]!MTEST($B28:$B43,K28:K43,2), IF(K59="T-Test Welch",_xlfn.T.TEST($B28:$B43,K28:K43,2,3),""))</f>
        <v>#NAME?</v>
      </c>
      <c r="L60" s="151" t="e">
        <f ca="1">IF(L59="Mann Withney",[1]!MTEST($B28:$B43,L28:L43,2), IF(L59="T-Test Welch",_xlfn.T.TEST($B28:$B43,L28:L43,2,3),""))</f>
        <v>#NAME?</v>
      </c>
      <c r="M60" s="151" t="e">
        <f ca="1">IF(M59="Mann Withney",[1]!MTEST($B28:$B43,M28:M43,2), IF(M59="T-Test Welch",_xlfn.T.TEST($B28:$B43,M28:M43,2,3),""))</f>
        <v>#NAME?</v>
      </c>
      <c r="N60" s="151"/>
      <c r="O60" s="151" t="e">
        <f ca="1">IF(O59="Mann Withney",[1]!MTEST($B28:$B43,O28:O43,2), IF(O59="T-Test Welch",_xlfn.T.TEST($B28:$B43,O28:O43,2,3),""))</f>
        <v>#NAME?</v>
      </c>
      <c r="P60" s="151" t="e">
        <f ca="1">IF(P59="Mann Withney",[1]!MTEST($O28:$O43,P28:P43,2), IF(P59="T-Test Welch",_xlfn.T.TEST($O28:$O43,P28:P43,2,3),""))</f>
        <v>#NAME?</v>
      </c>
      <c r="Q60" s="151" t="e">
        <f ca="1">IF(Q59="Mann Withney",[1]!MTEST($O28:$O43,Q28:Q43,2), IF(Q59="T-Test Welch",_xlfn.T.TEST($O28:$O43,Q28:Q43,2,3),""))</f>
        <v>#NAME?</v>
      </c>
      <c r="R60" s="151" t="e">
        <f ca="1">IF(R59="Mann Withney",[1]!MTEST($O28:$O43,R28:R43,2), IF(R59="T-Test Welch",_xlfn.T.TEST($O28:$O43,R28:R43,2,3),""))</f>
        <v>#NAME?</v>
      </c>
      <c r="S60" s="151" t="e">
        <f ca="1">IF(S59="Mann Withney",[1]!MTEST($O28:$O43,S28:S43,2), IF(S59="T-Test Welch",_xlfn.T.TEST($O28:$O43,S28:S43,2,3),""))</f>
        <v>#NAME?</v>
      </c>
      <c r="T60" s="151" t="e">
        <f ca="1">IF(T59="Mann Withney",[1]!MTEST($O28:$O43,T28:T43,2), IF(T59="T-Test Welch",_xlfn.T.TEST($O28:$O43,T28:T43,2,3),""))</f>
        <v>#NAME?</v>
      </c>
      <c r="U60" s="151" t="e">
        <f ca="1">IF(U59="Mann Withney",[1]!MTEST($O28:$O43,U28:U43,2), IF(U59="T-Test Welch",_xlfn.T.TEST($O28:$O43,U28:U43,2,3),""))</f>
        <v>#NAME?</v>
      </c>
      <c r="V60" s="151" t="e">
        <f ca="1">IF(V59="Mann Withney",[1]!MTEST($O28:$O43,V28:V43,2), IF(V59="T-Test Welch",_xlfn.T.TEST($O28:$O43,V28:V43,2,3),""))</f>
        <v>#NAME?</v>
      </c>
    </row>
    <row r="61" spans="1:22" s="3" customFormat="1" ht="15" thickBot="1" x14ac:dyDescent="0.35">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
      <c r="A63" s="2" t="s">
        <v>39</v>
      </c>
    </row>
    <row r="64" spans="1:22" x14ac:dyDescent="0.3">
      <c r="A64" s="1" t="s">
        <v>23</v>
      </c>
      <c r="B64" s="1">
        <f>B46+(3*B47)</f>
        <v>0.15962728499094073</v>
      </c>
    </row>
    <row r="65" spans="1:22" x14ac:dyDescent="0.3">
      <c r="A65" s="1" t="s">
        <v>24</v>
      </c>
      <c r="B65" s="1">
        <f>B46+(10*B47)</f>
        <v>0.44924256743843</v>
      </c>
    </row>
    <row r="66" spans="1:22" ht="15" thickBot="1" x14ac:dyDescent="0.35"/>
    <row r="67" spans="1:22" s="1" customFormat="1" ht="26.4" thickBot="1" x14ac:dyDescent="0.55000000000000004">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J1" zoomScale="70" zoomScaleNormal="70" zoomScaleSheetLayoutView="40" zoomScalePageLayoutView="30" workbookViewId="0">
      <selection activeCell="Q5" sqref="Q5:Q12"/>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35"/>
    <row r="3" spans="1:22" ht="15" thickBot="1" x14ac:dyDescent="0.35">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Arabinose-0.01mg/L</v>
      </c>
      <c r="J4" s="35" t="str">
        <f>'Page de garde'!A16</f>
        <v>Arabinose-0.1mg/L</v>
      </c>
      <c r="K4" s="35" t="str">
        <f>'Page de garde'!A17</f>
        <v>Arabinose-1mg/L</v>
      </c>
      <c r="L4" s="35" t="str">
        <f>'Page de garde'!A18</f>
        <v>Arabinose-10mg/L</v>
      </c>
      <c r="M4" s="35" t="str">
        <f>'Page de garde'!A19</f>
        <v>Arabinose-100mg/L</v>
      </c>
      <c r="N4" s="3"/>
      <c r="O4" s="36" t="str">
        <f>'Page de garde'!A36</f>
        <v>Testo -30µg/L</v>
      </c>
      <c r="P4" s="36" t="str">
        <f>'Page de garde'!A37</f>
        <v>Testo 30µg/L + EE2 -64ng/L</v>
      </c>
      <c r="Q4" s="36" t="str">
        <f>'Page de garde'!A38</f>
        <v>Testo 30µg/L + FAD-10µg/L</v>
      </c>
      <c r="R4" s="36" t="str">
        <f>'Page de garde'!A39</f>
        <v>Arabinose-0.01mg/L + Testostérone</v>
      </c>
      <c r="S4" s="36" t="str">
        <f>'Page de garde'!A40</f>
        <v>Arabinose-0.1mg/L + Testostérone</v>
      </c>
      <c r="T4" s="36" t="str">
        <f>'Page de garde'!A41</f>
        <v>Arabinose-1mg/L + Testostérone</v>
      </c>
      <c r="U4" s="36" t="str">
        <f>'Page de garde'!A42</f>
        <v>Arabinose-10mg/L + Testostérone</v>
      </c>
      <c r="V4" s="36" t="str">
        <f>'Page de garde'!A43</f>
        <v>Arabinose-100mg/L + Testostérone</v>
      </c>
    </row>
    <row r="5" spans="1:22" x14ac:dyDescent="0.3">
      <c r="A5" s="223" t="s">
        <v>33</v>
      </c>
      <c r="B5" s="32">
        <v>149372</v>
      </c>
      <c r="C5" s="32">
        <v>33844</v>
      </c>
      <c r="D5" s="32">
        <v>456092</v>
      </c>
      <c r="E5" s="32">
        <v>2899117</v>
      </c>
      <c r="F5" s="32">
        <v>5759557</v>
      </c>
      <c r="G5" s="32">
        <v>5422705</v>
      </c>
      <c r="H5" s="32">
        <v>13022906</v>
      </c>
      <c r="I5" s="32">
        <v>124018</v>
      </c>
      <c r="J5" s="32">
        <v>130420</v>
      </c>
      <c r="K5" s="13">
        <v>59953</v>
      </c>
      <c r="L5" s="13">
        <v>2816</v>
      </c>
      <c r="M5" s="13">
        <v>231651</v>
      </c>
      <c r="N5" s="3"/>
      <c r="O5" s="32">
        <v>5134886</v>
      </c>
      <c r="P5" s="13">
        <v>2277303</v>
      </c>
      <c r="Q5" s="13">
        <v>104077</v>
      </c>
      <c r="R5" s="32">
        <v>134367</v>
      </c>
      <c r="S5" s="32">
        <v>1355285</v>
      </c>
      <c r="T5" s="32">
        <v>4033124</v>
      </c>
      <c r="U5" s="32">
        <v>4807813</v>
      </c>
      <c r="V5" s="32">
        <v>764994</v>
      </c>
    </row>
    <row r="6" spans="1:22" ht="16.8" x14ac:dyDescent="0.3">
      <c r="A6" s="223"/>
      <c r="B6" s="14">
        <v>135517</v>
      </c>
      <c r="C6" s="13">
        <v>155757</v>
      </c>
      <c r="D6" s="32">
        <v>41239</v>
      </c>
      <c r="E6" s="32">
        <v>1547180</v>
      </c>
      <c r="F6" s="32">
        <v>8237697</v>
      </c>
      <c r="G6" s="32">
        <v>9780730</v>
      </c>
      <c r="H6" s="32">
        <v>12561495</v>
      </c>
      <c r="I6" s="32">
        <v>30799</v>
      </c>
      <c r="J6" s="32">
        <v>181384</v>
      </c>
      <c r="K6" s="13">
        <v>154246</v>
      </c>
      <c r="L6" s="13">
        <v>94931</v>
      </c>
      <c r="M6" s="13">
        <v>209228</v>
      </c>
      <c r="N6" s="3"/>
      <c r="O6" s="32">
        <v>3805757</v>
      </c>
      <c r="P6" s="13">
        <v>8253862</v>
      </c>
      <c r="Q6" s="13">
        <v>245377</v>
      </c>
      <c r="R6" s="32">
        <v>1471395</v>
      </c>
      <c r="S6" s="32">
        <v>112196</v>
      </c>
      <c r="T6" s="32">
        <v>597501</v>
      </c>
      <c r="U6" s="32">
        <v>1287701</v>
      </c>
      <c r="V6" s="32">
        <v>820314</v>
      </c>
    </row>
    <row r="7" spans="1:22" ht="16.8" x14ac:dyDescent="0.3">
      <c r="A7" s="223"/>
      <c r="B7" s="14">
        <v>33126</v>
      </c>
      <c r="C7" s="13">
        <v>51183</v>
      </c>
      <c r="D7" s="32">
        <v>148387</v>
      </c>
      <c r="E7" s="32">
        <v>145232</v>
      </c>
      <c r="F7" s="32">
        <v>5127448</v>
      </c>
      <c r="G7" s="32">
        <v>11425175</v>
      </c>
      <c r="H7" s="32">
        <v>3256763</v>
      </c>
      <c r="I7" s="32">
        <v>143074</v>
      </c>
      <c r="J7" s="32">
        <v>78029</v>
      </c>
      <c r="K7" s="13">
        <v>553501</v>
      </c>
      <c r="L7" s="13">
        <v>66559</v>
      </c>
      <c r="M7" s="13">
        <v>96087</v>
      </c>
      <c r="N7" s="3"/>
      <c r="O7" s="32">
        <v>4831043</v>
      </c>
      <c r="P7" s="13">
        <v>5909894</v>
      </c>
      <c r="Q7" s="13">
        <v>130351</v>
      </c>
      <c r="R7" s="32">
        <v>4169753</v>
      </c>
      <c r="S7" s="32">
        <v>298971</v>
      </c>
      <c r="T7" s="32">
        <v>117880</v>
      </c>
      <c r="U7" s="32">
        <v>3534401</v>
      </c>
      <c r="V7" s="32">
        <v>1370965</v>
      </c>
    </row>
    <row r="8" spans="1:22" ht="16.8" x14ac:dyDescent="0.3">
      <c r="A8" s="223"/>
      <c r="B8" s="14">
        <v>44916</v>
      </c>
      <c r="C8" s="13">
        <v>452890</v>
      </c>
      <c r="D8" s="32">
        <v>116127</v>
      </c>
      <c r="E8" s="32">
        <v>1886784</v>
      </c>
      <c r="F8" s="32">
        <v>13014237</v>
      </c>
      <c r="G8" s="32">
        <v>10848075</v>
      </c>
      <c r="H8" s="32">
        <v>14622003</v>
      </c>
      <c r="I8" s="32">
        <v>134711</v>
      </c>
      <c r="J8" s="32">
        <v>284041</v>
      </c>
      <c r="K8" s="13">
        <v>86229</v>
      </c>
      <c r="L8" s="13">
        <v>479685</v>
      </c>
      <c r="M8" s="13">
        <v>253070</v>
      </c>
      <c r="N8" s="3"/>
      <c r="O8" s="32">
        <v>4116104</v>
      </c>
      <c r="P8" s="13">
        <v>4996432</v>
      </c>
      <c r="Q8" s="13">
        <v>24708</v>
      </c>
      <c r="R8" s="32">
        <v>4415918</v>
      </c>
      <c r="S8" s="32">
        <v>1386825</v>
      </c>
      <c r="T8" s="32">
        <v>2320435</v>
      </c>
      <c r="U8" s="32">
        <v>2480684</v>
      </c>
      <c r="V8" s="32">
        <v>2845551</v>
      </c>
    </row>
    <row r="9" spans="1:22" ht="16.8" x14ac:dyDescent="0.3">
      <c r="A9" s="223"/>
      <c r="B9" s="14">
        <v>16167</v>
      </c>
      <c r="C9" s="13">
        <v>171180</v>
      </c>
      <c r="D9" s="32">
        <v>348811</v>
      </c>
      <c r="E9" s="32">
        <v>1647783</v>
      </c>
      <c r="F9" s="32">
        <v>4424599</v>
      </c>
      <c r="G9" s="32">
        <v>12509888</v>
      </c>
      <c r="H9" s="32">
        <v>21270490</v>
      </c>
      <c r="I9" s="32">
        <v>61042</v>
      </c>
      <c r="J9" s="32">
        <v>74108</v>
      </c>
      <c r="K9" s="13">
        <v>4856</v>
      </c>
      <c r="L9" s="13">
        <v>9056</v>
      </c>
      <c r="M9" s="13">
        <v>5366</v>
      </c>
      <c r="N9" s="3"/>
      <c r="O9" s="32">
        <v>3322818</v>
      </c>
      <c r="P9" s="13">
        <v>4236178</v>
      </c>
      <c r="Q9" s="13">
        <v>24531</v>
      </c>
      <c r="R9" s="32">
        <v>1392039</v>
      </c>
      <c r="S9" s="32">
        <v>5210581</v>
      </c>
      <c r="T9" s="32">
        <v>3885027</v>
      </c>
      <c r="U9" s="32">
        <v>7721056</v>
      </c>
      <c r="V9" s="32">
        <v>1121652</v>
      </c>
    </row>
    <row r="10" spans="1:22" ht="16.8" x14ac:dyDescent="0.3">
      <c r="A10" s="223"/>
      <c r="B10" s="14">
        <v>156525</v>
      </c>
      <c r="C10" s="13">
        <v>66860</v>
      </c>
      <c r="D10" s="32">
        <v>220815</v>
      </c>
      <c r="E10" s="32">
        <v>2683844</v>
      </c>
      <c r="F10" s="32">
        <v>4865092</v>
      </c>
      <c r="G10" s="32">
        <v>7409035</v>
      </c>
      <c r="H10" s="32">
        <v>17156783</v>
      </c>
      <c r="I10" s="32">
        <v>66009</v>
      </c>
      <c r="J10" s="32">
        <v>32598</v>
      </c>
      <c r="K10" s="13">
        <v>43926</v>
      </c>
      <c r="L10" s="13">
        <v>50959</v>
      </c>
      <c r="M10" s="13">
        <v>68210</v>
      </c>
      <c r="N10" s="3"/>
      <c r="O10" s="32">
        <v>804720</v>
      </c>
      <c r="P10" s="13">
        <v>1606612</v>
      </c>
      <c r="Q10" s="13">
        <v>141707</v>
      </c>
      <c r="R10" s="32">
        <v>165800</v>
      </c>
      <c r="S10" s="32">
        <v>1390966</v>
      </c>
      <c r="T10" s="32">
        <v>140228</v>
      </c>
      <c r="U10" s="32">
        <v>2574450</v>
      </c>
      <c r="V10" s="32">
        <v>2998953</v>
      </c>
    </row>
    <row r="11" spans="1:22" ht="16.8" x14ac:dyDescent="0.3">
      <c r="A11" s="223"/>
      <c r="B11" s="14">
        <v>7719</v>
      </c>
      <c r="C11" s="13">
        <v>639303</v>
      </c>
      <c r="D11" s="32">
        <v>903592</v>
      </c>
      <c r="E11" s="32">
        <v>836476</v>
      </c>
      <c r="F11" s="32">
        <v>3078611</v>
      </c>
      <c r="G11" s="32">
        <v>2426504</v>
      </c>
      <c r="H11" s="32">
        <v>10284233</v>
      </c>
      <c r="I11" s="32">
        <v>115312</v>
      </c>
      <c r="J11" s="32">
        <v>29898</v>
      </c>
      <c r="K11" s="13">
        <v>145261</v>
      </c>
      <c r="L11" s="13">
        <v>92937</v>
      </c>
      <c r="M11" s="13">
        <v>597349</v>
      </c>
      <c r="N11" s="3"/>
      <c r="O11" s="32">
        <v>777545</v>
      </c>
      <c r="P11" s="13">
        <v>2030500</v>
      </c>
      <c r="Q11" s="13">
        <v>27910</v>
      </c>
      <c r="R11" s="32">
        <v>2109803</v>
      </c>
      <c r="S11" s="32">
        <v>460461</v>
      </c>
      <c r="T11" s="32">
        <v>978362</v>
      </c>
      <c r="U11" s="32">
        <v>477258</v>
      </c>
      <c r="V11" s="32">
        <v>245252</v>
      </c>
    </row>
    <row r="12" spans="1:22" ht="16.8" x14ac:dyDescent="0.3">
      <c r="A12" s="223"/>
      <c r="B12" s="14">
        <v>28375</v>
      </c>
      <c r="C12" s="13">
        <v>66869</v>
      </c>
      <c r="D12" s="32">
        <v>377278</v>
      </c>
      <c r="E12" s="32">
        <v>6906235</v>
      </c>
      <c r="F12" s="32">
        <v>5866782</v>
      </c>
      <c r="G12" s="32">
        <v>5555755</v>
      </c>
      <c r="H12" s="32">
        <v>11608714</v>
      </c>
      <c r="I12" s="32">
        <v>22695</v>
      </c>
      <c r="J12" s="32"/>
      <c r="K12" s="13">
        <v>10395</v>
      </c>
      <c r="L12" s="13">
        <v>93922</v>
      </c>
      <c r="M12" s="13">
        <v>47672</v>
      </c>
      <c r="N12" s="3"/>
      <c r="O12" s="32">
        <v>1591366</v>
      </c>
      <c r="P12" s="13">
        <v>3380577</v>
      </c>
      <c r="Q12" s="13">
        <v>12222</v>
      </c>
      <c r="R12" s="32">
        <v>3135341</v>
      </c>
      <c r="S12" s="32">
        <v>707182</v>
      </c>
      <c r="T12" s="32">
        <v>2016147</v>
      </c>
      <c r="U12" s="32"/>
      <c r="V12" s="32">
        <v>168008</v>
      </c>
    </row>
    <row r="13" spans="1:22" ht="16.8" x14ac:dyDescent="0.3">
      <c r="A13" s="223"/>
      <c r="B13" s="14"/>
      <c r="C13" s="13"/>
      <c r="D13" s="32"/>
      <c r="E13" s="32"/>
      <c r="F13" s="32"/>
      <c r="G13" s="32"/>
      <c r="H13" s="32"/>
      <c r="I13" s="32"/>
      <c r="J13" s="32"/>
      <c r="K13" s="13"/>
      <c r="L13" s="13"/>
      <c r="M13" s="13"/>
      <c r="N13" s="3"/>
      <c r="O13" s="32">
        <v>85467</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1806021</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2813577</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1070165</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830157</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5574603</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1779738</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3824389</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Arabinose-0.01mg/L</v>
      </c>
      <c r="J22" s="3" t="str">
        <f t="shared" si="0"/>
        <v>Arabinose-0.1mg/L</v>
      </c>
      <c r="K22" s="3" t="str">
        <f t="shared" si="0"/>
        <v>Arabinose-1mg/L</v>
      </c>
      <c r="L22" s="3" t="str">
        <f t="shared" si="0"/>
        <v>Arabinose-10mg/L</v>
      </c>
      <c r="M22" s="3" t="str">
        <f t="shared" si="0"/>
        <v>Arabinose-100mg/L</v>
      </c>
      <c r="N22" s="3" t="s">
        <v>41</v>
      </c>
      <c r="O22" s="3" t="str">
        <f t="shared" si="0"/>
        <v>Testo -30µg/L</v>
      </c>
      <c r="P22" s="3" t="str">
        <f t="shared" si="0"/>
        <v>Testo 30µg/L + EE2 -64ng/L</v>
      </c>
      <c r="Q22" s="3" t="str">
        <f t="shared" si="0"/>
        <v>Testo 30µg/L + FAD-10µg/L</v>
      </c>
      <c r="R22" s="3" t="str">
        <f t="shared" si="0"/>
        <v>Arabinose-0.01mg/L + Testostérone</v>
      </c>
      <c r="S22" s="3" t="str">
        <f t="shared" si="0"/>
        <v>Arabinose-0.1mg/L + Testostérone</v>
      </c>
      <c r="T22" s="3" t="str">
        <f t="shared" si="0"/>
        <v>Arabinose-1mg/L + Testostérone</v>
      </c>
      <c r="U22" s="3" t="str">
        <f t="shared" si="0"/>
        <v>Arabinose-10mg/L + Testostérone</v>
      </c>
      <c r="V22" s="3" t="str">
        <f t="shared" si="0"/>
        <v>Arabinose-100mg/L + Testostérone</v>
      </c>
    </row>
    <row r="23" spans="1:22" x14ac:dyDescent="0.3">
      <c r="A23" s="5" t="s">
        <v>0</v>
      </c>
      <c r="B23" s="5">
        <f t="shared" ref="B23:J23" si="1">AVERAGE(B5:B20)</f>
        <v>71464.625</v>
      </c>
      <c r="C23" s="5">
        <f t="shared" si="1"/>
        <v>204735.75</v>
      </c>
      <c r="D23" s="5">
        <f t="shared" si="1"/>
        <v>326542.625</v>
      </c>
      <c r="E23" s="5">
        <f t="shared" si="1"/>
        <v>2319081.375</v>
      </c>
      <c r="F23" s="5">
        <f t="shared" si="1"/>
        <v>6296752.875</v>
      </c>
      <c r="G23" s="5">
        <f t="shared" si="1"/>
        <v>8172233.375</v>
      </c>
      <c r="H23" s="5">
        <f t="shared" si="1"/>
        <v>12972923.375</v>
      </c>
      <c r="I23" s="5">
        <f t="shared" si="1"/>
        <v>87207.5</v>
      </c>
      <c r="J23" s="5">
        <f t="shared" si="1"/>
        <v>115782.57142857143</v>
      </c>
      <c r="K23" s="5"/>
      <c r="L23" s="5">
        <f>AVERAGE(L5:L20)</f>
        <v>111358.125</v>
      </c>
      <c r="M23" s="5"/>
      <c r="N23" s="5" t="s">
        <v>0</v>
      </c>
      <c r="O23" s="5">
        <f>AVERAGE(O5:O20)</f>
        <v>2635522.25</v>
      </c>
      <c r="P23" s="5">
        <f>AVERAGE(P5:P20)</f>
        <v>4086419.75</v>
      </c>
      <c r="Q23" s="5">
        <f>AVERAGE(Q5:Q20)</f>
        <v>88860.375</v>
      </c>
      <c r="R23" s="5">
        <f>AVERAGE(R5:R20)</f>
        <v>2124302</v>
      </c>
      <c r="S23" s="5">
        <f>AVERAGE(S5:S20)</f>
        <v>1365308.375</v>
      </c>
      <c r="T23" s="5">
        <f t="shared" ref="T23:V23" si="2">AVERAGE(T5:T20)</f>
        <v>1761088</v>
      </c>
      <c r="U23" s="5">
        <f t="shared" si="2"/>
        <v>3269051.8571428573</v>
      </c>
      <c r="V23" s="5">
        <f t="shared" si="2"/>
        <v>1291961.125</v>
      </c>
    </row>
    <row r="24" spans="1:22" x14ac:dyDescent="0.3">
      <c r="A24" s="3" t="s">
        <v>1</v>
      </c>
      <c r="B24" s="3">
        <f t="shared" ref="B24:J24" si="3">STDEV(B5:B20)</f>
        <v>63875.169212943329</v>
      </c>
      <c r="C24" s="3">
        <f t="shared" si="3"/>
        <v>221924.54744783996</v>
      </c>
      <c r="D24" s="3">
        <f t="shared" si="3"/>
        <v>272928.46567811631</v>
      </c>
      <c r="E24" s="3">
        <f t="shared" si="3"/>
        <v>2058729.3426084754</v>
      </c>
      <c r="F24" s="3">
        <f t="shared" si="3"/>
        <v>3085533.8838446666</v>
      </c>
      <c r="G24" s="3">
        <f t="shared" si="3"/>
        <v>3528374.9767982806</v>
      </c>
      <c r="H24" s="3">
        <f t="shared" si="3"/>
        <v>5247304.3967129588</v>
      </c>
      <c r="I24" s="3">
        <f t="shared" si="3"/>
        <v>47809.615718418579</v>
      </c>
      <c r="J24" s="3">
        <f t="shared" si="3"/>
        <v>91548.379854328276</v>
      </c>
      <c r="K24" s="3"/>
      <c r="L24" s="3">
        <f>STDEV(L5:L20)</f>
        <v>153287.79057002318</v>
      </c>
      <c r="M24" s="3"/>
      <c r="N24" s="3" t="s">
        <v>1</v>
      </c>
      <c r="O24" s="3">
        <f>STDEV(O5:O20)</f>
        <v>1764680.6577622101</v>
      </c>
      <c r="P24" s="3">
        <f>STDEV(P5:P20)</f>
        <v>2258019.1374093955</v>
      </c>
      <c r="Q24" s="3">
        <f>STDEV(Q5:Q20)</f>
        <v>82015.174341507416</v>
      </c>
      <c r="R24" s="3">
        <f>STDEV(R5:R20)</f>
        <v>1656840.8754281229</v>
      </c>
      <c r="S24" s="3">
        <f>STDEV(S5:S20)</f>
        <v>1636485.2767312843</v>
      </c>
      <c r="T24" s="3">
        <f t="shared" ref="T24:V24" si="4">STDEV(T5:T20)</f>
        <v>1574125.7432717555</v>
      </c>
      <c r="U24" s="3">
        <f t="shared" si="4"/>
        <v>2418070.7422930808</v>
      </c>
      <c r="V24" s="3">
        <f t="shared" si="4"/>
        <v>1083758.3779375546</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Arabinose-0.01mg/L</v>
      </c>
      <c r="J27" s="35" t="str">
        <f t="shared" si="5"/>
        <v>Arabinose-0.1mg/L</v>
      </c>
      <c r="K27" s="35" t="str">
        <f t="shared" si="5"/>
        <v>Arabinose-1mg/L</v>
      </c>
      <c r="L27" s="35" t="str">
        <f t="shared" si="5"/>
        <v>Arabinose-10mg/L</v>
      </c>
      <c r="M27" s="35" t="str">
        <f t="shared" si="5"/>
        <v>Arabinose-100mg/L</v>
      </c>
      <c r="N27" s="3"/>
      <c r="O27" s="36" t="str">
        <f>O4</f>
        <v>Testo -30µg/L</v>
      </c>
      <c r="P27" s="36" t="str">
        <f t="shared" ref="P27:R27" si="6">P4</f>
        <v>Testo 30µg/L + EE2 -64ng/L</v>
      </c>
      <c r="Q27" s="36" t="str">
        <f t="shared" si="6"/>
        <v>Testo 30µg/L + FAD-10µg/L</v>
      </c>
      <c r="R27" s="36" t="str">
        <f t="shared" si="6"/>
        <v>Arabinose-0.01mg/L + Testostérone</v>
      </c>
      <c r="S27" s="36" t="str">
        <f t="shared" ref="S27:V27" si="7">S4</f>
        <v>Arabinose-0.1mg/L + Testostérone</v>
      </c>
      <c r="T27" s="36" t="str">
        <f t="shared" si="7"/>
        <v>Arabinose-1mg/L + Testostérone</v>
      </c>
      <c r="U27" s="36" t="str">
        <f t="shared" si="7"/>
        <v>Arabinose-10mg/L + Testostérone</v>
      </c>
      <c r="V27" s="36" t="str">
        <f t="shared" si="7"/>
        <v>Arabinose-100mg/L + Testostérone</v>
      </c>
    </row>
    <row r="28" spans="1:22" x14ac:dyDescent="0.3">
      <c r="A28" s="224" t="s">
        <v>34</v>
      </c>
      <c r="B28" s="11">
        <f t="shared" ref="B28:M28" si="8">IF(B5="","",(B5/$O$23))</f>
        <v>5.667643291571528E-2</v>
      </c>
      <c r="C28" s="11">
        <f t="shared" si="8"/>
        <v>1.2841477623647457E-2</v>
      </c>
      <c r="D28" s="11">
        <f t="shared" si="8"/>
        <v>0.17305564390511216</v>
      </c>
      <c r="E28" s="11">
        <f t="shared" si="8"/>
        <v>1.1000161353219462</v>
      </c>
      <c r="F28" s="11">
        <f t="shared" si="8"/>
        <v>2.1853570008752534</v>
      </c>
      <c r="G28" s="11">
        <f t="shared" si="8"/>
        <v>2.057544761764011</v>
      </c>
      <c r="H28" s="11">
        <f t="shared" si="8"/>
        <v>4.9412999643619022</v>
      </c>
      <c r="I28" s="11">
        <f t="shared" si="8"/>
        <v>4.7056328209712513E-2</v>
      </c>
      <c r="J28" s="11">
        <f t="shared" si="8"/>
        <v>4.9485448282593707E-2</v>
      </c>
      <c r="K28" s="11">
        <f t="shared" si="8"/>
        <v>2.2748053066142773E-2</v>
      </c>
      <c r="L28" s="11">
        <f t="shared" si="8"/>
        <v>1.0684789324013485E-3</v>
      </c>
      <c r="M28" s="11">
        <f t="shared" si="8"/>
        <v>8.7895672290378118E-2</v>
      </c>
      <c r="N28" s="6"/>
      <c r="O28" s="11">
        <f t="shared" ref="O28:S37" si="9">IF(O5="","",(O5/$O$23))</f>
        <v>1.9483371844043433</v>
      </c>
      <c r="P28" s="11">
        <f t="shared" si="9"/>
        <v>0.86408035447243903</v>
      </c>
      <c r="Q28" s="11">
        <f t="shared" si="9"/>
        <v>3.9490085883357652E-2</v>
      </c>
      <c r="R28" s="11">
        <f t="shared" si="9"/>
        <v>5.0983064172575282E-2</v>
      </c>
      <c r="S28" s="11">
        <f t="shared" si="9"/>
        <v>0.51423773789046934</v>
      </c>
      <c r="T28" s="11">
        <f t="shared" ref="T28:V43" si="10">IF(T5="","",(T5/$O$23))</f>
        <v>1.5302940432394376</v>
      </c>
      <c r="U28" s="11">
        <f t="shared" si="10"/>
        <v>1.8242354053356977</v>
      </c>
      <c r="V28" s="11">
        <f t="shared" si="10"/>
        <v>0.29026277429454445</v>
      </c>
    </row>
    <row r="29" spans="1:22" x14ac:dyDescent="0.3">
      <c r="A29" s="224"/>
      <c r="B29" s="11">
        <f t="shared" ref="B29:M29" si="11">IF(B6="","",(B6/$O$23))</f>
        <v>5.1419410327497708E-2</v>
      </c>
      <c r="C29" s="11">
        <f t="shared" si="11"/>
        <v>5.9099102654132402E-2</v>
      </c>
      <c r="D29" s="11">
        <f t="shared" si="11"/>
        <v>1.5647373115518188E-2</v>
      </c>
      <c r="E29" s="11">
        <f t="shared" si="11"/>
        <v>0.58704873388945966</v>
      </c>
      <c r="F29" s="11">
        <f t="shared" si="11"/>
        <v>3.1256412272747838</v>
      </c>
      <c r="G29" s="11">
        <f t="shared" si="11"/>
        <v>3.7111164589864494</v>
      </c>
      <c r="H29" s="11">
        <f t="shared" si="11"/>
        <v>4.7662261246324142</v>
      </c>
      <c r="I29" s="11">
        <f t="shared" si="11"/>
        <v>1.1686108891700686E-2</v>
      </c>
      <c r="J29" s="11">
        <f t="shared" si="11"/>
        <v>6.8822792142999356E-2</v>
      </c>
      <c r="K29" s="11">
        <f t="shared" si="11"/>
        <v>5.8525781749708239E-2</v>
      </c>
      <c r="L29" s="11">
        <f t="shared" si="11"/>
        <v>3.6019805941687646E-2</v>
      </c>
      <c r="M29" s="11">
        <f t="shared" si="11"/>
        <v>7.9387681132268947E-2</v>
      </c>
      <c r="N29" s="6"/>
      <c r="O29" s="11">
        <f t="shared" si="9"/>
        <v>1.4440238552340052</v>
      </c>
      <c r="P29" s="11">
        <f t="shared" si="9"/>
        <v>3.131774736487237</v>
      </c>
      <c r="Q29" s="11">
        <f t="shared" si="9"/>
        <v>9.310374822295657E-2</v>
      </c>
      <c r="R29" s="11">
        <f t="shared" si="9"/>
        <v>0.55829352228007179</v>
      </c>
      <c r="S29" s="11">
        <f t="shared" si="9"/>
        <v>4.2570689737109979E-2</v>
      </c>
      <c r="T29" s="11">
        <f t="shared" si="10"/>
        <v>0.22671066427156894</v>
      </c>
      <c r="U29" s="11">
        <f t="shared" si="10"/>
        <v>0.48859424351283698</v>
      </c>
      <c r="V29" s="11">
        <f t="shared" si="10"/>
        <v>0.31125292150350847</v>
      </c>
    </row>
    <row r="30" spans="1:22" x14ac:dyDescent="0.3">
      <c r="A30" s="224"/>
      <c r="B30" s="11">
        <f t="shared" ref="B30:M30" si="12">IF(B7="","",(B7/$O$23))</f>
        <v>1.2569045850400239E-2</v>
      </c>
      <c r="C30" s="11">
        <f t="shared" si="12"/>
        <v>1.9420439345560449E-2</v>
      </c>
      <c r="D30" s="11">
        <f t="shared" si="12"/>
        <v>5.6302692948238246E-2</v>
      </c>
      <c r="E30" s="11">
        <f t="shared" si="12"/>
        <v>5.5105586757994547E-2</v>
      </c>
      <c r="F30" s="11">
        <f t="shared" si="12"/>
        <v>1.945514973360593</v>
      </c>
      <c r="G30" s="11">
        <f t="shared" si="12"/>
        <v>4.3350705917963701</v>
      </c>
      <c r="H30" s="11">
        <f t="shared" si="12"/>
        <v>1.2357182717770643</v>
      </c>
      <c r="I30" s="11">
        <f t="shared" si="12"/>
        <v>5.4286773712496642E-2</v>
      </c>
      <c r="J30" s="11">
        <f t="shared" si="12"/>
        <v>2.960665575864518E-2</v>
      </c>
      <c r="K30" s="11">
        <f t="shared" si="12"/>
        <v>0.21001568095279788</v>
      </c>
      <c r="L30" s="11">
        <f t="shared" si="12"/>
        <v>2.525457715259281E-2</v>
      </c>
      <c r="M30" s="11">
        <f t="shared" si="12"/>
        <v>3.6458428685244453E-2</v>
      </c>
      <c r="N30" s="6"/>
      <c r="O30" s="11">
        <f t="shared" si="9"/>
        <v>1.8330495976651306</v>
      </c>
      <c r="P30" s="11">
        <f t="shared" si="9"/>
        <v>2.2423995851296645</v>
      </c>
      <c r="Q30" s="11">
        <f t="shared" si="9"/>
        <v>4.9459267513298363E-2</v>
      </c>
      <c r="R30" s="11">
        <f t="shared" si="9"/>
        <v>1.5821353813271735</v>
      </c>
      <c r="S30" s="11">
        <f t="shared" si="9"/>
        <v>0.11343899676809786</v>
      </c>
      <c r="T30" s="11">
        <f t="shared" si="10"/>
        <v>4.4727378036743953E-2</v>
      </c>
      <c r="U30" s="11">
        <f t="shared" si="10"/>
        <v>1.3410628576556316</v>
      </c>
      <c r="V30" s="11">
        <f t="shared" si="10"/>
        <v>0.52018722285497687</v>
      </c>
    </row>
    <row r="31" spans="1:22" x14ac:dyDescent="0.3">
      <c r="A31" s="224"/>
      <c r="B31" s="11">
        <f t="shared" ref="B31:M31" si="13">IF(B8="","",(B8/$O$23))</f>
        <v>1.7042542516952759E-2</v>
      </c>
      <c r="C31" s="11">
        <f t="shared" si="13"/>
        <v>0.17184070443723251</v>
      </c>
      <c r="D31" s="11">
        <f t="shared" si="13"/>
        <v>4.4062234724066549E-2</v>
      </c>
      <c r="E31" s="11">
        <f t="shared" si="13"/>
        <v>0.71590516832100359</v>
      </c>
      <c r="F31" s="11">
        <f t="shared" si="13"/>
        <v>4.9380106732166649</v>
      </c>
      <c r="G31" s="11">
        <f t="shared" si="13"/>
        <v>4.1161007083131249</v>
      </c>
      <c r="H31" s="11">
        <f t="shared" si="13"/>
        <v>5.5480476402731949</v>
      </c>
      <c r="I31" s="11">
        <f t="shared" si="13"/>
        <v>5.1113588587612946E-2</v>
      </c>
      <c r="J31" s="11">
        <f t="shared" si="13"/>
        <v>0.10777408538288759</v>
      </c>
      <c r="K31" s="11">
        <f t="shared" si="13"/>
        <v>3.2717993558961607E-2</v>
      </c>
      <c r="L31" s="11">
        <f t="shared" si="13"/>
        <v>0.18200756984692504</v>
      </c>
      <c r="M31" s="11">
        <f t="shared" si="13"/>
        <v>9.602271428366807E-2</v>
      </c>
      <c r="N31" s="6"/>
      <c r="O31" s="11">
        <f t="shared" si="9"/>
        <v>1.5617792640528836</v>
      </c>
      <c r="P31" s="11">
        <f t="shared" si="9"/>
        <v>1.8958033839403177</v>
      </c>
      <c r="Q31" s="11">
        <f t="shared" si="9"/>
        <v>9.3749919963680827E-3</v>
      </c>
      <c r="R31" s="11">
        <f t="shared" si="9"/>
        <v>1.6755381215241116</v>
      </c>
      <c r="S31" s="11">
        <f t="shared" si="9"/>
        <v>0.52620500547851567</v>
      </c>
      <c r="T31" s="11">
        <f t="shared" si="10"/>
        <v>0.88044599130210344</v>
      </c>
      <c r="U31" s="11">
        <f t="shared" si="10"/>
        <v>0.94124949998050667</v>
      </c>
      <c r="V31" s="11">
        <f t="shared" si="10"/>
        <v>1.0796915108570986</v>
      </c>
    </row>
    <row r="32" spans="1:22" x14ac:dyDescent="0.3">
      <c r="A32" s="224"/>
      <c r="B32" s="11">
        <f t="shared" ref="B32:M32" si="14">IF(B9="","",(B9/$O$23))</f>
        <v>6.1342680753311797E-3</v>
      </c>
      <c r="C32" s="11">
        <f t="shared" si="14"/>
        <v>6.4951073738800727E-2</v>
      </c>
      <c r="D32" s="11">
        <f t="shared" si="14"/>
        <v>0.13234985969099672</v>
      </c>
      <c r="E32" s="11">
        <f t="shared" si="14"/>
        <v>0.62522067495351252</v>
      </c>
      <c r="F32" s="11">
        <f t="shared" si="14"/>
        <v>1.6788319658466173</v>
      </c>
      <c r="G32" s="11">
        <f t="shared" si="14"/>
        <v>4.7466448063566906</v>
      </c>
      <c r="H32" s="11">
        <f t="shared" si="14"/>
        <v>8.0706926302747011</v>
      </c>
      <c r="I32" s="11">
        <f t="shared" si="14"/>
        <v>2.3161253903282358E-2</v>
      </c>
      <c r="J32" s="11">
        <f t="shared" si="14"/>
        <v>2.8118905086079241E-2</v>
      </c>
      <c r="K32" s="11">
        <f t="shared" si="14"/>
        <v>1.8425190680898254E-3</v>
      </c>
      <c r="L32" s="11">
        <f t="shared" si="14"/>
        <v>3.4361311121543369E-3</v>
      </c>
      <c r="M32" s="11">
        <f t="shared" si="14"/>
        <v>2.0360291020119449E-3</v>
      </c>
      <c r="N32" s="6"/>
      <c r="O32" s="11">
        <f t="shared" si="9"/>
        <v>1.2607816154843694</v>
      </c>
      <c r="P32" s="11">
        <f t="shared" si="9"/>
        <v>1.6073391146669318</v>
      </c>
      <c r="Q32" s="11">
        <f t="shared" si="9"/>
        <v>9.3078326316539343E-3</v>
      </c>
      <c r="R32" s="11">
        <f t="shared" si="9"/>
        <v>0.52818336100179009</v>
      </c>
      <c r="S32" s="11">
        <f t="shared" si="9"/>
        <v>1.9770582471842155</v>
      </c>
      <c r="T32" s="11">
        <f t="shared" si="10"/>
        <v>1.4741013854085276</v>
      </c>
      <c r="U32" s="11">
        <f t="shared" si="10"/>
        <v>2.9296113891658475</v>
      </c>
      <c r="V32" s="11">
        <f t="shared" si="10"/>
        <v>0.42559003248786836</v>
      </c>
    </row>
    <row r="33" spans="1:22" x14ac:dyDescent="0.3">
      <c r="A33" s="224"/>
      <c r="B33" s="11">
        <f t="shared" ref="B33:M33" si="15">IF(B10="","",(B10/$O$23))</f>
        <v>5.9390505999332772E-2</v>
      </c>
      <c r="C33" s="11">
        <f t="shared" si="15"/>
        <v>2.536878601575077E-2</v>
      </c>
      <c r="D33" s="11">
        <f t="shared" si="15"/>
        <v>8.3784153216691679E-2</v>
      </c>
      <c r="E33" s="11">
        <f t="shared" si="15"/>
        <v>1.0183347911405416</v>
      </c>
      <c r="F33" s="11">
        <f t="shared" si="15"/>
        <v>1.8459688587337861</v>
      </c>
      <c r="G33" s="11">
        <f t="shared" si="15"/>
        <v>2.8112208121179778</v>
      </c>
      <c r="H33" s="11">
        <f t="shared" si="15"/>
        <v>6.5098228633812525</v>
      </c>
      <c r="I33" s="11">
        <f t="shared" si="15"/>
        <v>2.5045889861108173E-2</v>
      </c>
      <c r="J33" s="11">
        <f t="shared" si="15"/>
        <v>1.2368706050574985E-2</v>
      </c>
      <c r="K33" s="11">
        <f t="shared" si="15"/>
        <v>1.6666905392280409E-2</v>
      </c>
      <c r="L33" s="11">
        <f t="shared" si="15"/>
        <v>1.933544670321034E-2</v>
      </c>
      <c r="M33" s="11">
        <f t="shared" si="15"/>
        <v>2.588101845848579E-2</v>
      </c>
      <c r="N33" s="6"/>
      <c r="O33" s="11">
        <f t="shared" si="9"/>
        <v>0.30533606764276039</v>
      </c>
      <c r="P33" s="11">
        <f t="shared" si="9"/>
        <v>0.60959910317585064</v>
      </c>
      <c r="Q33" s="11">
        <f t="shared" si="9"/>
        <v>5.3768090935297545E-2</v>
      </c>
      <c r="R33" s="11">
        <f t="shared" si="9"/>
        <v>6.2909732596641899E-2</v>
      </c>
      <c r="S33" s="11">
        <f t="shared" si="9"/>
        <v>0.52777623106767546</v>
      </c>
      <c r="T33" s="11">
        <f t="shared" si="10"/>
        <v>5.3206911836923401E-2</v>
      </c>
      <c r="U33" s="11">
        <f t="shared" si="10"/>
        <v>0.976827268295686</v>
      </c>
      <c r="V33" s="11">
        <f t="shared" si="10"/>
        <v>1.1378970524722376</v>
      </c>
    </row>
    <row r="34" spans="1:22" x14ac:dyDescent="0.3">
      <c r="A34" s="224"/>
      <c r="B34" s="11">
        <f t="shared" ref="B34:M34" si="16">IF(B11="","",(B11/$O$23))</f>
        <v>2.928831278127134E-3</v>
      </c>
      <c r="C34" s="11">
        <f t="shared" si="16"/>
        <v>0.24257165728727959</v>
      </c>
      <c r="D34" s="11">
        <f t="shared" si="16"/>
        <v>0.34285121288579523</v>
      </c>
      <c r="E34" s="11">
        <f t="shared" si="16"/>
        <v>0.31738529242164432</v>
      </c>
      <c r="F34" s="11">
        <f t="shared" si="16"/>
        <v>1.1681218020451165</v>
      </c>
      <c r="G34" s="11">
        <f t="shared" si="16"/>
        <v>0.92069190461207451</v>
      </c>
      <c r="H34" s="11">
        <f t="shared" si="16"/>
        <v>3.9021613268489763</v>
      </c>
      <c r="I34" s="11">
        <f t="shared" si="16"/>
        <v>4.375299810123022E-2</v>
      </c>
      <c r="J34" s="11">
        <f t="shared" si="16"/>
        <v>1.1344241165104943E-2</v>
      </c>
      <c r="K34" s="11">
        <f t="shared" si="16"/>
        <v>5.5116590269727372E-2</v>
      </c>
      <c r="L34" s="11">
        <f t="shared" si="16"/>
        <v>3.5263219652196066E-2</v>
      </c>
      <c r="M34" s="11">
        <f t="shared" si="16"/>
        <v>0.22665299069283137</v>
      </c>
      <c r="N34" s="6"/>
      <c r="O34" s="11">
        <f t="shared" si="9"/>
        <v>0.29502501828622391</v>
      </c>
      <c r="P34" s="11">
        <f t="shared" si="9"/>
        <v>0.77043553701737866</v>
      </c>
      <c r="Q34" s="11">
        <f t="shared" si="9"/>
        <v>1.0589931464247741E-2</v>
      </c>
      <c r="R34" s="11">
        <f t="shared" si="9"/>
        <v>0.80052558842939003</v>
      </c>
      <c r="S34" s="11">
        <f t="shared" si="9"/>
        <v>0.17471337986237831</v>
      </c>
      <c r="T34" s="11">
        <f t="shared" si="10"/>
        <v>0.37122130158453415</v>
      </c>
      <c r="U34" s="11">
        <f t="shared" si="10"/>
        <v>0.18108668974431918</v>
      </c>
      <c r="V34" s="11">
        <f t="shared" si="10"/>
        <v>9.3056319293073703E-2</v>
      </c>
    </row>
    <row r="35" spans="1:22" x14ac:dyDescent="0.3">
      <c r="A35" s="224"/>
      <c r="B35" s="11">
        <f t="shared" ref="B35:M35" si="17">IF(B12="","",(B12/$O$23))</f>
        <v>1.0766367083412026E-2</v>
      </c>
      <c r="C35" s="11">
        <f t="shared" si="17"/>
        <v>2.5372200898702336E-2</v>
      </c>
      <c r="D35" s="11">
        <f t="shared" si="17"/>
        <v>0.14315113446680255</v>
      </c>
      <c r="E35" s="11">
        <f t="shared" si="17"/>
        <v>2.620442684557112</v>
      </c>
      <c r="F35" s="11">
        <f t="shared" si="17"/>
        <v>2.2260415369287814</v>
      </c>
      <c r="G35" s="11">
        <f t="shared" si="17"/>
        <v>2.1080281147313404</v>
      </c>
      <c r="H35" s="11">
        <f t="shared" si="17"/>
        <v>4.40471105869055</v>
      </c>
      <c r="I35" s="11">
        <f t="shared" si="17"/>
        <v>8.6111965095343052E-3</v>
      </c>
      <c r="J35" s="11" t="str">
        <f t="shared" si="17"/>
        <v/>
      </c>
      <c r="K35" s="11">
        <f t="shared" si="17"/>
        <v>3.9441898090596655E-3</v>
      </c>
      <c r="L35" s="11">
        <f t="shared" si="17"/>
        <v>3.56369596196731E-2</v>
      </c>
      <c r="M35" s="11">
        <f t="shared" si="17"/>
        <v>1.808825556301033E-2</v>
      </c>
      <c r="N35" s="6"/>
      <c r="O35" s="11">
        <f t="shared" si="9"/>
        <v>0.60381429145589649</v>
      </c>
      <c r="P35" s="11">
        <f t="shared" si="9"/>
        <v>1.2826971959732079</v>
      </c>
      <c r="Q35" s="11">
        <f t="shared" si="9"/>
        <v>4.6374110482277275E-3</v>
      </c>
      <c r="R35" s="11">
        <f t="shared" si="9"/>
        <v>1.1896469475831593</v>
      </c>
      <c r="S35" s="11">
        <f t="shared" si="9"/>
        <v>0.26832708393943555</v>
      </c>
      <c r="T35" s="11">
        <f t="shared" si="10"/>
        <v>0.76498955757250764</v>
      </c>
      <c r="U35" s="11" t="str">
        <f t="shared" si="10"/>
        <v/>
      </c>
      <c r="V35" s="11">
        <f t="shared" si="10"/>
        <v>6.3747517214092955E-2</v>
      </c>
    </row>
    <row r="36" spans="1:22" x14ac:dyDescent="0.3">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3.2428866802395616E-2</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0.68526114700796015</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1.0675595700244989</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0.40605424598483281</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0.31498766515820537</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2.1151796384947992</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0.67528855049506786</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1.4510934218066267</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Arabinose-0.01mg/L</v>
      </c>
      <c r="J45" s="7" t="str">
        <f t="shared" si="27"/>
        <v>Arabinose-0.1mg/L</v>
      </c>
      <c r="K45" s="7" t="str">
        <f t="shared" ref="K45:M45" si="28">K4</f>
        <v>Arabinose-1mg/L</v>
      </c>
      <c r="L45" s="7" t="str">
        <f t="shared" si="28"/>
        <v>Arabinose-10mg/L</v>
      </c>
      <c r="M45" s="7" t="str">
        <f t="shared" si="28"/>
        <v>Arabinose-100mg/L</v>
      </c>
      <c r="N45" s="7"/>
      <c r="O45" s="7" t="str">
        <f t="shared" si="27"/>
        <v>Testo -30µg/L</v>
      </c>
      <c r="P45" s="7" t="str">
        <f t="shared" si="27"/>
        <v>Testo 30µg/L + EE2 -64ng/L</v>
      </c>
      <c r="Q45" s="7" t="str">
        <f t="shared" si="27"/>
        <v>Testo 30µg/L + FAD-10µg/L</v>
      </c>
      <c r="R45" s="7" t="str">
        <f t="shared" si="27"/>
        <v>Arabinose-0.01mg/L + Testostérone</v>
      </c>
      <c r="S45" s="7" t="str">
        <f t="shared" ref="S45:V45" si="29">S4</f>
        <v>Arabinose-0.1mg/L + Testostérone</v>
      </c>
      <c r="T45" s="7" t="str">
        <f t="shared" si="29"/>
        <v>Arabinose-1mg/L + Testostérone</v>
      </c>
      <c r="U45" s="7" t="str">
        <f t="shared" si="29"/>
        <v>Arabinose-10mg/L + Testostérone</v>
      </c>
      <c r="V45" s="7" t="str">
        <f t="shared" si="29"/>
        <v>Arabinose-100mg/L + Testostérone</v>
      </c>
    </row>
    <row r="46" spans="1:22" x14ac:dyDescent="0.3">
      <c r="A46" s="8" t="s">
        <v>0</v>
      </c>
      <c r="B46" s="10">
        <f t="shared" ref="B46:H46" si="30">AVERAGE(B28:B43)</f>
        <v>2.7115925505846135E-2</v>
      </c>
      <c r="C46" s="10">
        <f t="shared" si="30"/>
        <v>7.7683180250138276E-2</v>
      </c>
      <c r="D46" s="10">
        <f t="shared" si="30"/>
        <v>0.12390053811915266</v>
      </c>
      <c r="E46" s="10">
        <f t="shared" si="30"/>
        <v>0.87993238342040181</v>
      </c>
      <c r="F46" s="10">
        <f t="shared" si="30"/>
        <v>2.3891860047851998</v>
      </c>
      <c r="G46" s="10">
        <f t="shared" si="30"/>
        <v>3.1008022698347544</v>
      </c>
      <c r="H46" s="10">
        <f t="shared" si="30"/>
        <v>4.9223349850300071</v>
      </c>
      <c r="I46" s="10">
        <f>AVERAGE(I28:I43)</f>
        <v>3.3089267222084731E-2</v>
      </c>
      <c r="J46" s="9">
        <f>AVERAGE(J28:J43)</f>
        <v>4.3931547695555004E-2</v>
      </c>
      <c r="K46" s="9">
        <f t="shared" ref="K46:M46" si="31">AVERAGE(K28:K43)</f>
        <v>5.0197214233345964E-2</v>
      </c>
      <c r="L46" s="9">
        <f t="shared" si="31"/>
        <v>4.2252773620105093E-2</v>
      </c>
      <c r="M46" s="9">
        <f t="shared" si="31"/>
        <v>7.1552848775987374E-2</v>
      </c>
      <c r="N46" s="8" t="s">
        <v>0</v>
      </c>
      <c r="O46" s="10">
        <f t="shared" ref="O46:R46" si="32">AVERAGE(O28:O43)</f>
        <v>1.0000000000000002</v>
      </c>
      <c r="P46" s="10">
        <f t="shared" si="32"/>
        <v>1.5505161263578786</v>
      </c>
      <c r="Q46" s="10">
        <f t="shared" si="32"/>
        <v>3.3716419961925953E-2</v>
      </c>
      <c r="R46" s="10">
        <f t="shared" si="32"/>
        <v>0.80602696486436409</v>
      </c>
      <c r="S46" s="10">
        <f t="shared" ref="S46:V46" si="33">AVERAGE(S28:S43)</f>
        <v>0.51804092149098724</v>
      </c>
      <c r="T46" s="10">
        <f t="shared" si="33"/>
        <v>0.66821215415654334</v>
      </c>
      <c r="U46" s="10">
        <f t="shared" si="33"/>
        <v>1.2403810505272179</v>
      </c>
      <c r="V46" s="10">
        <f t="shared" si="33"/>
        <v>0.49021066887217513</v>
      </c>
    </row>
    <row r="47" spans="1:22" x14ac:dyDescent="0.3">
      <c r="A47" s="8" t="s">
        <v>1</v>
      </c>
      <c r="B47" s="8">
        <f t="shared" ref="B47:J47" si="34">STDEV(B28:B43)</f>
        <v>2.4236247374858372E-2</v>
      </c>
      <c r="C47" s="8">
        <f t="shared" si="34"/>
        <v>8.4205150401534243E-2</v>
      </c>
      <c r="D47" s="8">
        <f t="shared" si="34"/>
        <v>0.1035576404934985</v>
      </c>
      <c r="E47" s="8">
        <f t="shared" si="34"/>
        <v>0.78114663710711441</v>
      </c>
      <c r="F47" s="8">
        <f t="shared" si="34"/>
        <v>1.1707485618247635</v>
      </c>
      <c r="G47" s="8">
        <f t="shared" si="34"/>
        <v>1.338776395000377</v>
      </c>
      <c r="H47" s="8">
        <f t="shared" si="34"/>
        <v>1.9909922584462916</v>
      </c>
      <c r="I47" s="8">
        <f t="shared" si="34"/>
        <v>1.8140471293087573E-2</v>
      </c>
      <c r="J47" s="8">
        <f t="shared" si="34"/>
        <v>3.4736333512011996E-2</v>
      </c>
      <c r="K47" s="8">
        <f t="shared" ref="K47:M47" si="35">STDEV(K28:K43)</f>
        <v>6.7924630111071443E-2</v>
      </c>
      <c r="L47" s="8">
        <f t="shared" si="35"/>
        <v>5.8162206966768416E-2</v>
      </c>
      <c r="M47" s="8">
        <f t="shared" si="35"/>
        <v>7.1705634536656709E-2</v>
      </c>
      <c r="N47" s="8" t="s">
        <v>1</v>
      </c>
      <c r="O47" s="8">
        <f t="shared" ref="O47:R47" si="36">STDEV(O28:O43)</f>
        <v>0.66957532146131926</v>
      </c>
      <c r="P47" s="8">
        <f t="shared" si="36"/>
        <v>0.85676345073899274</v>
      </c>
      <c r="Q47" s="8">
        <f t="shared" si="36"/>
        <v>3.1119135625399263E-2</v>
      </c>
      <c r="R47" s="8">
        <f t="shared" si="36"/>
        <v>0.6286575176620588</v>
      </c>
      <c r="S47" s="8">
        <f t="shared" ref="S47:V47" si="37">STDEV(S28:S43)</f>
        <v>0.62093396355552832</v>
      </c>
      <c r="T47" s="8">
        <f t="shared" si="37"/>
        <v>0.59727279603568351</v>
      </c>
      <c r="U47" s="8">
        <f t="shared" si="37"/>
        <v>0.91749206150434925</v>
      </c>
      <c r="V47" s="8">
        <f t="shared" si="37"/>
        <v>0.41121200093740601</v>
      </c>
    </row>
    <row r="48" spans="1:22" x14ac:dyDescent="0.3">
      <c r="A48" s="8" t="s">
        <v>2</v>
      </c>
      <c r="B48" s="8">
        <f t="shared" ref="B48:J48" si="38" xml:space="preserve"> B47/SQRT(COUNT(B28:B43))</f>
        <v>8.5688074346385069E-3</v>
      </c>
      <c r="C48" s="8">
        <f t="shared" si="38"/>
        <v>2.9771016429878998E-2</v>
      </c>
      <c r="D48" s="8">
        <f t="shared" si="38"/>
        <v>3.6613154918315696E-2</v>
      </c>
      <c r="E48" s="8">
        <f t="shared" si="38"/>
        <v>0.27617704209975386</v>
      </c>
      <c r="F48" s="8">
        <f t="shared" si="38"/>
        <v>0.41392212356534408</v>
      </c>
      <c r="G48" s="8">
        <f t="shared" si="38"/>
        <v>0.47332893369862322</v>
      </c>
      <c r="H48" s="8">
        <f t="shared" si="38"/>
        <v>0.70392206361864595</v>
      </c>
      <c r="I48" s="8">
        <f t="shared" si="38"/>
        <v>6.4136251326310607E-3</v>
      </c>
      <c r="J48" s="8">
        <f t="shared" si="38"/>
        <v>1.3129099990140372E-2</v>
      </c>
      <c r="K48" s="8">
        <f t="shared" ref="K48:M48" si="39" xml:space="preserve"> K47/SQRT(COUNT(K28:K43))</f>
        <v>2.4014983280563285E-2</v>
      </c>
      <c r="L48" s="8">
        <f t="shared" si="39"/>
        <v>2.0563445477488701E-2</v>
      </c>
      <c r="M48" s="8">
        <f t="shared" si="39"/>
        <v>2.5351770215077129E-2</v>
      </c>
      <c r="N48" s="8" t="s">
        <v>2</v>
      </c>
      <c r="O48" s="8">
        <f t="shared" ref="O48:R48" si="40" xml:space="preserve"> O47/SQRT(COUNT(O28:O43))</f>
        <v>0.16739383036532982</v>
      </c>
      <c r="P48" s="8">
        <f t="shared" si="40"/>
        <v>0.30291162294516416</v>
      </c>
      <c r="Q48" s="8">
        <f t="shared" si="40"/>
        <v>1.1002275912691845E-2</v>
      </c>
      <c r="R48" s="8">
        <f t="shared" si="40"/>
        <v>0.22226399689137175</v>
      </c>
      <c r="S48" s="8">
        <f t="shared" ref="S48:V48" si="41" xml:space="preserve"> S47/SQRT(COUNT(S28:S43))</f>
        <v>0.21953330814957731</v>
      </c>
      <c r="T48" s="8">
        <f t="shared" si="41"/>
        <v>0.21116782214754073</v>
      </c>
      <c r="U48" s="8">
        <f t="shared" si="41"/>
        <v>0.34677940351664083</v>
      </c>
      <c r="V48" s="8">
        <f t="shared" si="41"/>
        <v>0.14538539718406435</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Arabinose-0.01mg/L</v>
      </c>
      <c r="J52" s="46" t="str">
        <f>J4</f>
        <v>Arabinose-0.1mg/L</v>
      </c>
      <c r="K52" s="46" t="str">
        <f t="shared" ref="K52:M52" si="43">K4</f>
        <v>Arabinose-1mg/L</v>
      </c>
      <c r="L52" s="46" t="str">
        <f t="shared" si="43"/>
        <v>Arabinose-10mg/L</v>
      </c>
      <c r="M52" s="46" t="str">
        <f t="shared" si="43"/>
        <v>Arabinose-100mg/L</v>
      </c>
      <c r="N52" s="47"/>
      <c r="O52" s="46" t="str">
        <f>O27</f>
        <v>Testo -30µg/L</v>
      </c>
      <c r="P52" s="46" t="str">
        <f>P27</f>
        <v>Testo 30µg/L + EE2 -64ng/L</v>
      </c>
      <c r="Q52" s="46" t="str">
        <f>Q27</f>
        <v>Testo 30µg/L + FAD-10µg/L</v>
      </c>
      <c r="R52" s="46" t="str">
        <f>R27</f>
        <v>Arabinose-0.01mg/L + Testostérone</v>
      </c>
      <c r="S52" s="46" t="str">
        <f t="shared" ref="S52:V52" si="44">S27</f>
        <v>Arabinose-0.1mg/L + Testostérone</v>
      </c>
      <c r="T52" s="46" t="str">
        <f t="shared" si="44"/>
        <v>Arabinose-1mg/L + Testostérone</v>
      </c>
      <c r="U52" s="46" t="str">
        <f t="shared" si="44"/>
        <v>Arabinose-10mg/L + Testostérone</v>
      </c>
      <c r="V52" s="46" t="str">
        <f t="shared" si="44"/>
        <v>Arabinose-100mg/L + Testostérone</v>
      </c>
    </row>
    <row r="53" spans="1:22" s="3" customFormat="1" x14ac:dyDescent="0.3">
      <c r="A53" s="61" t="s">
        <v>32</v>
      </c>
      <c r="B53" s="141">
        <f t="shared" ref="B53" si="45">B46</f>
        <v>2.7115925505846135E-2</v>
      </c>
      <c r="C53" s="141">
        <f t="shared" ref="C53:V53" si="46">C46</f>
        <v>7.7683180250138276E-2</v>
      </c>
      <c r="D53" s="141">
        <f t="shared" si="46"/>
        <v>0.12390053811915266</v>
      </c>
      <c r="E53" s="141">
        <f t="shared" si="46"/>
        <v>0.87993238342040181</v>
      </c>
      <c r="F53" s="141">
        <f t="shared" si="46"/>
        <v>2.3891860047851998</v>
      </c>
      <c r="G53" s="141">
        <f t="shared" si="46"/>
        <v>3.1008022698347544</v>
      </c>
      <c r="H53" s="141">
        <f t="shared" si="46"/>
        <v>4.9223349850300071</v>
      </c>
      <c r="I53" s="141">
        <f t="shared" si="46"/>
        <v>3.3089267222084731E-2</v>
      </c>
      <c r="J53" s="141">
        <f t="shared" si="46"/>
        <v>4.3931547695555004E-2</v>
      </c>
      <c r="K53" s="141">
        <f t="shared" si="46"/>
        <v>5.0197214233345964E-2</v>
      </c>
      <c r="L53" s="141">
        <f t="shared" si="46"/>
        <v>4.2252773620105093E-2</v>
      </c>
      <c r="M53" s="141">
        <f t="shared" si="46"/>
        <v>7.1552848775987374E-2</v>
      </c>
      <c r="N53" s="141"/>
      <c r="O53" s="141">
        <f t="shared" si="46"/>
        <v>1.0000000000000002</v>
      </c>
      <c r="P53" s="141">
        <f t="shared" si="46"/>
        <v>1.5505161263578786</v>
      </c>
      <c r="Q53" s="141">
        <f t="shared" si="46"/>
        <v>3.3716419961925953E-2</v>
      </c>
      <c r="R53" s="141">
        <f t="shared" si="46"/>
        <v>0.80602696486436409</v>
      </c>
      <c r="S53" s="141">
        <f t="shared" si="46"/>
        <v>0.51804092149098724</v>
      </c>
      <c r="T53" s="141">
        <f t="shared" si="46"/>
        <v>0.66821215415654334</v>
      </c>
      <c r="U53" s="141">
        <f t="shared" si="46"/>
        <v>1.2403810505272179</v>
      </c>
      <c r="V53" s="141">
        <f t="shared" si="46"/>
        <v>0.49021066887217513</v>
      </c>
    </row>
    <row r="54" spans="1:22" s="3" customFormat="1" x14ac:dyDescent="0.3">
      <c r="A54" s="61" t="s">
        <v>2</v>
      </c>
      <c r="B54" s="141">
        <f t="shared" ref="B54" si="47">B48</f>
        <v>8.5688074346385069E-3</v>
      </c>
      <c r="C54" s="141">
        <f t="shared" ref="C54:V54" si="48">C48</f>
        <v>2.9771016429878998E-2</v>
      </c>
      <c r="D54" s="141">
        <f t="shared" si="48"/>
        <v>3.6613154918315696E-2</v>
      </c>
      <c r="E54" s="141">
        <f t="shared" si="48"/>
        <v>0.27617704209975386</v>
      </c>
      <c r="F54" s="141">
        <f t="shared" si="48"/>
        <v>0.41392212356534408</v>
      </c>
      <c r="G54" s="141">
        <f t="shared" si="48"/>
        <v>0.47332893369862322</v>
      </c>
      <c r="H54" s="141">
        <f t="shared" si="48"/>
        <v>0.70392206361864595</v>
      </c>
      <c r="I54" s="141">
        <f t="shared" si="48"/>
        <v>6.4136251326310607E-3</v>
      </c>
      <c r="J54" s="141">
        <f t="shared" si="48"/>
        <v>1.3129099990140372E-2</v>
      </c>
      <c r="K54" s="141">
        <f t="shared" si="48"/>
        <v>2.4014983280563285E-2</v>
      </c>
      <c r="L54" s="141">
        <f t="shared" si="48"/>
        <v>2.0563445477488701E-2</v>
      </c>
      <c r="M54" s="141">
        <f t="shared" si="48"/>
        <v>2.5351770215077129E-2</v>
      </c>
      <c r="N54" s="141"/>
      <c r="O54" s="141">
        <f t="shared" si="48"/>
        <v>0.16739383036532982</v>
      </c>
      <c r="P54" s="141">
        <f t="shared" si="48"/>
        <v>0.30291162294516416</v>
      </c>
      <c r="Q54" s="141">
        <f t="shared" si="48"/>
        <v>1.1002275912691845E-2</v>
      </c>
      <c r="R54" s="141">
        <f t="shared" si="48"/>
        <v>0.22226399689137175</v>
      </c>
      <c r="S54" s="141">
        <f t="shared" si="48"/>
        <v>0.21953330814957731</v>
      </c>
      <c r="T54" s="141">
        <f t="shared" si="48"/>
        <v>0.21116782214754073</v>
      </c>
      <c r="U54" s="141">
        <f t="shared" si="48"/>
        <v>0.34677940351664083</v>
      </c>
      <c r="V54" s="141">
        <f t="shared" si="48"/>
        <v>0.14538539718406435</v>
      </c>
    </row>
    <row r="55" spans="1:22" s="3" customFormat="1" x14ac:dyDescent="0.3">
      <c r="A55" s="61" t="s">
        <v>79</v>
      </c>
      <c r="B55" s="141">
        <f>(B53*100/$B53)-100</f>
        <v>0</v>
      </c>
      <c r="C55" s="141">
        <f t="shared" ref="C55:M55" si="49">(C53*100/$B53)-100</f>
        <v>186.48544647089381</v>
      </c>
      <c r="D55" s="141">
        <f t="shared" si="49"/>
        <v>356.92904006702616</v>
      </c>
      <c r="E55" s="141">
        <f t="shared" si="49"/>
        <v>3145.0759729026781</v>
      </c>
      <c r="F55" s="141">
        <f t="shared" si="49"/>
        <v>8711.0066693836307</v>
      </c>
      <c r="G55" s="141">
        <f t="shared" si="49"/>
        <v>11335.354729700182</v>
      </c>
      <c r="H55" s="141">
        <f t="shared" si="49"/>
        <v>18052.930033565561</v>
      </c>
      <c r="I55" s="141">
        <f t="shared" si="49"/>
        <v>22.028905909742065</v>
      </c>
      <c r="J55" s="141">
        <f t="shared" si="49"/>
        <v>62.013823522577013</v>
      </c>
      <c r="K55" s="141">
        <f t="shared" si="49"/>
        <v>85.120785283628067</v>
      </c>
      <c r="L55" s="141">
        <f t="shared" si="49"/>
        <v>55.822723480323333</v>
      </c>
      <c r="M55" s="141">
        <f t="shared" si="49"/>
        <v>163.87758279008671</v>
      </c>
      <c r="N55" s="141"/>
      <c r="O55" s="141">
        <f t="shared" ref="O55:V55" si="50">(O53*100/$O53)-100</f>
        <v>0</v>
      </c>
      <c r="P55" s="141">
        <f t="shared" si="50"/>
        <v>55.051612635787819</v>
      </c>
      <c r="Q55" s="141">
        <f t="shared" si="50"/>
        <v>-96.628358003807406</v>
      </c>
      <c r="R55" s="141">
        <f t="shared" si="50"/>
        <v>-19.3973035135636</v>
      </c>
      <c r="S55" s="141">
        <f t="shared" si="50"/>
        <v>-48.195907850901293</v>
      </c>
      <c r="T55" s="141">
        <f t="shared" si="50"/>
        <v>-33.178784584345678</v>
      </c>
      <c r="U55" s="141">
        <f t="shared" si="50"/>
        <v>24.038105052721761</v>
      </c>
      <c r="V55" s="141">
        <f t="shared" si="50"/>
        <v>-50.978933112782499</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51">IF(C56&gt;0.05,"Oui","Non")</f>
        <v>#NAME?</v>
      </c>
      <c r="D57" s="141" t="e">
        <f t="shared" ca="1" si="51"/>
        <v>#NAME?</v>
      </c>
      <c r="E57" s="141" t="e">
        <f t="shared" ca="1" si="51"/>
        <v>#NAME?</v>
      </c>
      <c r="F57" s="141" t="e">
        <f t="shared" ca="1" si="51"/>
        <v>#NAME?</v>
      </c>
      <c r="G57" s="141" t="e">
        <f t="shared" ca="1" si="51"/>
        <v>#NAME?</v>
      </c>
      <c r="H57" s="141" t="e">
        <f t="shared" ca="1" si="51"/>
        <v>#NAME?</v>
      </c>
      <c r="I57" s="141" t="e">
        <f t="shared" ca="1" si="51"/>
        <v>#NAME?</v>
      </c>
      <c r="J57" s="141" t="e">
        <f t="shared" ca="1" si="51"/>
        <v>#NAME?</v>
      </c>
      <c r="K57" s="141" t="e">
        <f t="shared" ca="1" si="51"/>
        <v>#NAME?</v>
      </c>
      <c r="L57" s="141" t="e">
        <f t="shared" ca="1" si="51"/>
        <v>#NAME?</v>
      </c>
      <c r="M57" s="141" t="e">
        <f t="shared" ca="1" si="51"/>
        <v>#NAME?</v>
      </c>
      <c r="N57" s="141"/>
      <c r="O57" s="141" t="e">
        <f t="shared" ca="1" si="51"/>
        <v>#NAME?</v>
      </c>
      <c r="P57" s="141" t="e">
        <f t="shared" ca="1" si="51"/>
        <v>#NAME?</v>
      </c>
      <c r="Q57" s="141" t="e">
        <f t="shared" ca="1" si="51"/>
        <v>#NAME?</v>
      </c>
      <c r="R57" s="141" t="e">
        <f t="shared" ca="1" si="51"/>
        <v>#NAME?</v>
      </c>
      <c r="S57" s="141" t="e">
        <f t="shared" ca="1" si="51"/>
        <v>#NAME?</v>
      </c>
      <c r="T57" s="141" t="e">
        <f t="shared" ca="1" si="51"/>
        <v>#NAME?</v>
      </c>
      <c r="U57" s="141" t="e">
        <f t="shared" ca="1" si="51"/>
        <v>#NAME?</v>
      </c>
      <c r="V57" s="141" t="e">
        <f t="shared" ca="1" si="5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52">IF($B57="Non",IF(C57="Non","MW",IF(C57="Oui","MW","")),IF($B57="Oui",IF(C57="Oui","T-Test Welch",IF(C57="Non","MW",""))))</f>
        <v>#NAME?</v>
      </c>
      <c r="D59" s="150" t="e">
        <f t="shared" ca="1" si="52"/>
        <v>#NAME?</v>
      </c>
      <c r="E59" s="150" t="e">
        <f t="shared" ca="1" si="52"/>
        <v>#NAME?</v>
      </c>
      <c r="F59" s="150" t="e">
        <f t="shared" ca="1" si="52"/>
        <v>#NAME?</v>
      </c>
      <c r="G59" s="150" t="e">
        <f t="shared" ca="1" si="52"/>
        <v>#NAME?</v>
      </c>
      <c r="H59" s="150" t="e">
        <f t="shared" ca="1" si="52"/>
        <v>#NAME?</v>
      </c>
      <c r="I59" s="150" t="e">
        <f t="shared" ca="1" si="52"/>
        <v>#NAME?</v>
      </c>
      <c r="J59" s="150" t="e">
        <f t="shared" ca="1" si="52"/>
        <v>#NAME?</v>
      </c>
      <c r="K59" s="150" t="e">
        <f t="shared" ca="1" si="52"/>
        <v>#NAME?</v>
      </c>
      <c r="L59" s="150" t="e">
        <f t="shared" ca="1" si="52"/>
        <v>#NAME?</v>
      </c>
      <c r="M59" s="150" t="e">
        <f t="shared" ca="1" si="52"/>
        <v>#NAME?</v>
      </c>
      <c r="N59" s="150"/>
      <c r="O59" s="150" t="e">
        <f t="shared" ca="1" si="52"/>
        <v>#NAME?</v>
      </c>
      <c r="P59" s="150" t="e">
        <f t="shared" ref="P59:V59" ca="1" si="53">IF($O57="Non",IF(P57="Non","MW",IF(P57="Oui","MW","")),IF($O57="Oui",IF(P57="Oui","T-Test Welch",IF(P57="Non","MW",""))))</f>
        <v>#NAME?</v>
      </c>
      <c r="Q59" s="150" t="e">
        <f t="shared" ca="1" si="53"/>
        <v>#NAME?</v>
      </c>
      <c r="R59" s="150" t="e">
        <f t="shared" ca="1" si="53"/>
        <v>#NAME?</v>
      </c>
      <c r="S59" s="150" t="e">
        <f t="shared" ca="1" si="53"/>
        <v>#NAME?</v>
      </c>
      <c r="T59" s="150" t="e">
        <f t="shared" ca="1" si="53"/>
        <v>#NAME?</v>
      </c>
      <c r="U59" s="150" t="e">
        <f t="shared" ca="1" si="53"/>
        <v>#NAME?</v>
      </c>
      <c r="V59" s="150" t="e">
        <f t="shared" ca="1" si="5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54">IF(C60&gt;0.05,"NS",IF(C60&gt;0.01,"*",IF(C60&gt;0.001,"**","***")))</f>
        <v>#NAME?</v>
      </c>
      <c r="D61" s="142" t="e">
        <f t="shared" ca="1" si="54"/>
        <v>#NAME?</v>
      </c>
      <c r="E61" s="142" t="e">
        <f t="shared" ca="1" si="54"/>
        <v>#NAME?</v>
      </c>
      <c r="F61" s="142" t="e">
        <f t="shared" ca="1" si="54"/>
        <v>#NAME?</v>
      </c>
      <c r="G61" s="142" t="e">
        <f t="shared" ca="1" si="54"/>
        <v>#NAME?</v>
      </c>
      <c r="H61" s="142" t="e">
        <f t="shared" ca="1" si="54"/>
        <v>#NAME?</v>
      </c>
      <c r="I61" s="142" t="e">
        <f t="shared" ca="1" si="54"/>
        <v>#NAME?</v>
      </c>
      <c r="J61" s="142" t="e">
        <f t="shared" ca="1" si="54"/>
        <v>#NAME?</v>
      </c>
      <c r="K61" s="142" t="e">
        <f t="shared" ca="1" si="54"/>
        <v>#NAME?</v>
      </c>
      <c r="L61" s="142" t="e">
        <f t="shared" ca="1" si="54"/>
        <v>#NAME?</v>
      </c>
      <c r="M61" s="142" t="e">
        <f t="shared" ca="1" si="54"/>
        <v>#NAME?</v>
      </c>
      <c r="N61" s="142"/>
      <c r="O61" s="142" t="e">
        <f t="shared" ca="1" si="54"/>
        <v>#NAME?</v>
      </c>
      <c r="P61" s="142" t="e">
        <f ca="1">IF(P60&gt;0.05,"NS",IF(P60&gt;0.01,"*",IF(P60&gt;0.001,"**","***")))</f>
        <v>#NAME?</v>
      </c>
      <c r="Q61" s="142" t="e">
        <f t="shared" ref="Q61:V61" ca="1" si="55">IF(Q60&gt;0.05,"NS",IF(Q60&gt;0.01,"*",IF(Q60&gt;0.001,"**","***")))</f>
        <v>#NAME?</v>
      </c>
      <c r="R61" s="142" t="e">
        <f t="shared" ca="1" si="55"/>
        <v>#NAME?</v>
      </c>
      <c r="S61" s="142" t="e">
        <f t="shared" ca="1" si="55"/>
        <v>#NAME?</v>
      </c>
      <c r="T61" s="142" t="e">
        <f t="shared" ca="1" si="55"/>
        <v>#NAME?</v>
      </c>
      <c r="U61" s="142" t="e">
        <f t="shared" ca="1" si="55"/>
        <v>#NAME?</v>
      </c>
      <c r="V61" s="142" t="e">
        <f t="shared" ca="1" si="55"/>
        <v>#NAME?</v>
      </c>
    </row>
    <row r="63" spans="1:22" x14ac:dyDescent="0.3">
      <c r="A63" s="2" t="s">
        <v>39</v>
      </c>
    </row>
    <row r="64" spans="1:22" x14ac:dyDescent="0.3">
      <c r="A64" s="1" t="s">
        <v>23</v>
      </c>
      <c r="B64" s="1">
        <f>B46+(3*B47)</f>
        <v>9.9824667630421249E-2</v>
      </c>
    </row>
    <row r="65" spans="1:22" x14ac:dyDescent="0.3">
      <c r="A65" s="1" t="s">
        <v>24</v>
      </c>
      <c r="B65" s="1">
        <f>B46+(10*B47)</f>
        <v>0.26947839925442985</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zoomScale="70" zoomScaleNormal="70" zoomScaleSheetLayoutView="40" zoomScalePageLayoutView="30" workbookViewId="0">
      <selection activeCell="E15" sqref="E15"/>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row r="3" spans="1:22" ht="15" thickBot="1" x14ac:dyDescent="0.35">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Arabinose-0.01mg/L</v>
      </c>
      <c r="J4" s="35" t="str">
        <f>'Page de garde'!A16</f>
        <v>Arabinose-0.1mg/L</v>
      </c>
      <c r="K4" s="35" t="str">
        <f>'Page de garde'!A17</f>
        <v>Arabinose-1mg/L</v>
      </c>
      <c r="L4" s="35" t="str">
        <f>'Page de garde'!A18</f>
        <v>Arabinose-10mg/L</v>
      </c>
      <c r="M4" s="35" t="str">
        <f>'Page de garde'!A19</f>
        <v>Arabinose-100mg/L</v>
      </c>
      <c r="N4" s="3"/>
      <c r="O4" s="36" t="str">
        <f>'Page de garde'!A36</f>
        <v>Testo -30µg/L</v>
      </c>
      <c r="P4" s="36" t="str">
        <f>'Page de garde'!A37</f>
        <v>Testo 30µg/L + EE2 -64ng/L</v>
      </c>
      <c r="Q4" s="36" t="str">
        <f>'Page de garde'!A38</f>
        <v>Testo 30µg/L + FAD-10µg/L</v>
      </c>
      <c r="R4" s="36" t="str">
        <f>'Page de garde'!A39</f>
        <v>Arabinose-0.01mg/L + Testostérone</v>
      </c>
      <c r="S4" s="36" t="str">
        <f>'Page de garde'!A40</f>
        <v>Arabinose-0.1mg/L + Testostérone</v>
      </c>
      <c r="T4" s="36" t="str">
        <f>'Page de garde'!A41</f>
        <v>Arabinose-1mg/L + Testostérone</v>
      </c>
      <c r="U4" s="36" t="str">
        <f>'Page de garde'!A42</f>
        <v>Arabinose-10mg/L + Testostérone</v>
      </c>
      <c r="V4" s="36" t="str">
        <f>'Page de garde'!A43</f>
        <v>Arabinose-100mg/L + Testostérone</v>
      </c>
    </row>
    <row r="5" spans="1:22" x14ac:dyDescent="0.3">
      <c r="A5" s="223" t="s">
        <v>33</v>
      </c>
      <c r="B5" s="32">
        <v>18476</v>
      </c>
      <c r="C5" s="32">
        <v>20003</v>
      </c>
      <c r="D5" s="32">
        <v>168835</v>
      </c>
      <c r="E5" s="32">
        <v>146510</v>
      </c>
      <c r="F5" s="32">
        <v>828375</v>
      </c>
      <c r="G5" s="32">
        <v>2920208</v>
      </c>
      <c r="H5" s="32">
        <v>10160033</v>
      </c>
      <c r="I5" s="32">
        <v>50593</v>
      </c>
      <c r="J5" s="32">
        <v>7835</v>
      </c>
      <c r="K5" s="13">
        <v>60393</v>
      </c>
      <c r="L5" s="13">
        <v>1033</v>
      </c>
      <c r="M5" s="13">
        <v>21914</v>
      </c>
      <c r="N5" s="3"/>
      <c r="O5" s="32">
        <v>49549</v>
      </c>
      <c r="P5" s="13">
        <v>6864871</v>
      </c>
      <c r="Q5" s="13">
        <v>16260</v>
      </c>
      <c r="R5" s="32">
        <v>574908</v>
      </c>
      <c r="S5" s="32">
        <v>1090347</v>
      </c>
      <c r="T5" s="32">
        <v>3424937</v>
      </c>
      <c r="U5" s="32">
        <v>1674989</v>
      </c>
      <c r="V5" s="32">
        <v>645655</v>
      </c>
    </row>
    <row r="6" spans="1:22" ht="16.8" x14ac:dyDescent="0.3">
      <c r="A6" s="223"/>
      <c r="B6" s="14">
        <v>3150</v>
      </c>
      <c r="C6" s="13">
        <v>26680</v>
      </c>
      <c r="D6" s="32">
        <v>84264</v>
      </c>
      <c r="E6" s="32">
        <v>25579</v>
      </c>
      <c r="F6" s="32">
        <v>889344</v>
      </c>
      <c r="G6" s="32">
        <v>4078353</v>
      </c>
      <c r="H6" s="32">
        <v>4370140</v>
      </c>
      <c r="I6" s="32">
        <v>32296</v>
      </c>
      <c r="J6" s="32">
        <v>94154</v>
      </c>
      <c r="K6" s="13">
        <v>64960</v>
      </c>
      <c r="L6" s="13">
        <v>494</v>
      </c>
      <c r="M6" s="13">
        <v>22219</v>
      </c>
      <c r="N6" s="3"/>
      <c r="O6" s="32">
        <v>98108</v>
      </c>
      <c r="P6" s="13">
        <v>10483488</v>
      </c>
      <c r="Q6" s="13">
        <v>8295</v>
      </c>
      <c r="R6" s="32">
        <v>316718</v>
      </c>
      <c r="S6" s="32">
        <v>286019</v>
      </c>
      <c r="T6" s="32">
        <v>10044</v>
      </c>
      <c r="U6" s="32">
        <v>1414799</v>
      </c>
      <c r="V6" s="32">
        <v>925</v>
      </c>
    </row>
    <row r="7" spans="1:22" ht="16.8" x14ac:dyDescent="0.3">
      <c r="A7" s="223"/>
      <c r="B7" s="14">
        <v>15734</v>
      </c>
      <c r="C7" s="13">
        <v>35138</v>
      </c>
      <c r="D7" s="32">
        <v>11676</v>
      </c>
      <c r="E7" s="32">
        <v>701225</v>
      </c>
      <c r="F7" s="32">
        <v>254061</v>
      </c>
      <c r="G7" s="32">
        <v>4516774</v>
      </c>
      <c r="H7" s="32">
        <v>10951186</v>
      </c>
      <c r="I7" s="32">
        <v>5941</v>
      </c>
      <c r="J7" s="32">
        <v>17093</v>
      </c>
      <c r="K7" s="13">
        <v>6910</v>
      </c>
      <c r="L7" s="13">
        <v>17109</v>
      </c>
      <c r="M7" s="13">
        <v>31800</v>
      </c>
      <c r="N7" s="3"/>
      <c r="O7" s="32">
        <v>807389</v>
      </c>
      <c r="P7" s="13">
        <v>3772338</v>
      </c>
      <c r="Q7" s="13">
        <v>8329</v>
      </c>
      <c r="R7" s="32">
        <v>285231</v>
      </c>
      <c r="S7" s="32">
        <v>587009</v>
      </c>
      <c r="T7" s="32">
        <v>2188651</v>
      </c>
      <c r="U7" s="32">
        <v>3056758</v>
      </c>
      <c r="V7" s="32">
        <v>1515037</v>
      </c>
    </row>
    <row r="8" spans="1:22" ht="16.8" x14ac:dyDescent="0.3">
      <c r="A8" s="223"/>
      <c r="B8" s="14">
        <v>22968</v>
      </c>
      <c r="C8" s="13">
        <v>13072</v>
      </c>
      <c r="D8" s="32">
        <v>44339</v>
      </c>
      <c r="E8" s="32">
        <v>12756</v>
      </c>
      <c r="F8" s="32">
        <v>1248083</v>
      </c>
      <c r="G8" s="32">
        <v>5241816</v>
      </c>
      <c r="H8" s="32">
        <v>9151570</v>
      </c>
      <c r="I8" s="32">
        <v>16559</v>
      </c>
      <c r="J8" s="32">
        <v>2833</v>
      </c>
      <c r="K8" s="13">
        <v>54579</v>
      </c>
      <c r="L8" s="13">
        <v>12983</v>
      </c>
      <c r="M8" s="13">
        <v>22728</v>
      </c>
      <c r="N8" s="3"/>
      <c r="O8" s="32">
        <v>669846</v>
      </c>
      <c r="P8" s="13">
        <v>9747573</v>
      </c>
      <c r="Q8" s="13">
        <v>28505</v>
      </c>
      <c r="R8" s="32">
        <v>2970778</v>
      </c>
      <c r="S8" s="32">
        <v>661469</v>
      </c>
      <c r="T8" s="32">
        <v>3386080</v>
      </c>
      <c r="U8" s="32">
        <v>1407454</v>
      </c>
      <c r="V8" s="32">
        <v>540295</v>
      </c>
    </row>
    <row r="9" spans="1:22" ht="16.8" x14ac:dyDescent="0.3">
      <c r="A9" s="223"/>
      <c r="B9" s="14">
        <v>1362</v>
      </c>
      <c r="C9" s="13">
        <v>15778</v>
      </c>
      <c r="D9" s="32">
        <v>1172051</v>
      </c>
      <c r="E9" s="32">
        <v>1919373</v>
      </c>
      <c r="F9" s="32">
        <v>1553028</v>
      </c>
      <c r="G9" s="32">
        <v>7029375</v>
      </c>
      <c r="H9" s="32">
        <v>9064073</v>
      </c>
      <c r="I9" s="32">
        <v>10206</v>
      </c>
      <c r="J9" s="32">
        <v>3743</v>
      </c>
      <c r="K9" s="13">
        <v>2483</v>
      </c>
      <c r="L9" s="13">
        <v>39646</v>
      </c>
      <c r="M9" s="13">
        <v>13762</v>
      </c>
      <c r="N9" s="3"/>
      <c r="O9" s="32">
        <v>3341849</v>
      </c>
      <c r="P9" s="13">
        <v>9587723</v>
      </c>
      <c r="Q9" s="13">
        <v>3889</v>
      </c>
      <c r="R9" s="32">
        <v>3121596</v>
      </c>
      <c r="S9" s="32">
        <v>1511769</v>
      </c>
      <c r="T9" s="32">
        <v>307090</v>
      </c>
      <c r="U9" s="32">
        <v>3294108</v>
      </c>
      <c r="V9" s="32">
        <v>88794</v>
      </c>
    </row>
    <row r="10" spans="1:22" ht="16.8" x14ac:dyDescent="0.3">
      <c r="A10" s="223"/>
      <c r="B10" s="14">
        <v>36536</v>
      </c>
      <c r="C10" s="13">
        <v>10966</v>
      </c>
      <c r="D10" s="32">
        <v>10969</v>
      </c>
      <c r="E10" s="32">
        <v>2676</v>
      </c>
      <c r="F10" s="32">
        <v>744652</v>
      </c>
      <c r="G10" s="32">
        <v>7719278</v>
      </c>
      <c r="H10" s="32">
        <v>6869296</v>
      </c>
      <c r="I10" s="32">
        <v>7368</v>
      </c>
      <c r="J10" s="32">
        <v>38061</v>
      </c>
      <c r="K10" s="13">
        <v>17300</v>
      </c>
      <c r="L10" s="13">
        <v>993</v>
      </c>
      <c r="M10" s="13">
        <v>27450</v>
      </c>
      <c r="N10" s="3"/>
      <c r="O10" s="32">
        <v>491044</v>
      </c>
      <c r="P10" s="13">
        <v>12302044</v>
      </c>
      <c r="Q10" s="13">
        <v>79</v>
      </c>
      <c r="R10" s="32">
        <v>13197</v>
      </c>
      <c r="S10" s="32">
        <v>1239912</v>
      </c>
      <c r="T10" s="32">
        <v>1729553</v>
      </c>
      <c r="U10" s="32">
        <v>452942</v>
      </c>
      <c r="V10" s="32">
        <v>262830</v>
      </c>
    </row>
    <row r="11" spans="1:22" ht="16.8" x14ac:dyDescent="0.3">
      <c r="A11" s="223"/>
      <c r="B11" s="14">
        <v>2468</v>
      </c>
      <c r="C11" s="13">
        <v>15884</v>
      </c>
      <c r="D11" s="32">
        <v>93892</v>
      </c>
      <c r="E11" s="32">
        <v>16953</v>
      </c>
      <c r="F11" s="32">
        <v>382877</v>
      </c>
      <c r="G11" s="32">
        <v>2378554</v>
      </c>
      <c r="H11" s="32">
        <v>7624811</v>
      </c>
      <c r="I11" s="32">
        <v>19840</v>
      </c>
      <c r="J11" s="32">
        <v>9741</v>
      </c>
      <c r="K11" s="13">
        <v>50024</v>
      </c>
      <c r="L11" s="13">
        <v>13970</v>
      </c>
      <c r="M11" s="13">
        <v>24199</v>
      </c>
      <c r="N11" s="3"/>
      <c r="O11" s="32">
        <v>2869235</v>
      </c>
      <c r="P11" s="13">
        <v>9438054</v>
      </c>
      <c r="Q11" s="13">
        <v>0</v>
      </c>
      <c r="R11" s="32">
        <v>1705829</v>
      </c>
      <c r="S11" s="32">
        <v>2386700</v>
      </c>
      <c r="T11" s="32">
        <v>1312476</v>
      </c>
      <c r="U11" s="32">
        <v>824833</v>
      </c>
      <c r="V11" s="32">
        <v>4227753</v>
      </c>
    </row>
    <row r="12" spans="1:22" ht="16.8" x14ac:dyDescent="0.3">
      <c r="A12" s="223"/>
      <c r="B12" s="14">
        <v>24966</v>
      </c>
      <c r="C12" s="13">
        <v>10744</v>
      </c>
      <c r="D12" s="32">
        <v>82967</v>
      </c>
      <c r="E12" s="32">
        <v>11378</v>
      </c>
      <c r="F12" s="32">
        <v>803</v>
      </c>
      <c r="G12" s="32">
        <v>3897658</v>
      </c>
      <c r="H12" s="32">
        <v>10327852</v>
      </c>
      <c r="I12" s="32">
        <v>11020</v>
      </c>
      <c r="J12" s="32">
        <v>21094</v>
      </c>
      <c r="K12" s="13">
        <v>8796</v>
      </c>
      <c r="L12" s="13">
        <v>6932</v>
      </c>
      <c r="M12" s="13">
        <v>29801</v>
      </c>
      <c r="N12" s="3"/>
      <c r="O12" s="32">
        <v>350049</v>
      </c>
      <c r="P12" s="13">
        <v>7180834</v>
      </c>
      <c r="Q12" s="13">
        <v>715</v>
      </c>
      <c r="R12" s="32">
        <v>58351</v>
      </c>
      <c r="S12" s="32">
        <v>4765557</v>
      </c>
      <c r="T12" s="32">
        <v>63496</v>
      </c>
      <c r="U12" s="32">
        <v>320285</v>
      </c>
      <c r="V12" s="32">
        <v>548793</v>
      </c>
    </row>
    <row r="13" spans="1:22" ht="16.8" x14ac:dyDescent="0.3">
      <c r="A13" s="223"/>
      <c r="B13" s="14"/>
      <c r="C13" s="13"/>
      <c r="D13" s="32"/>
      <c r="E13" s="32"/>
      <c r="F13" s="32"/>
      <c r="G13" s="32"/>
      <c r="H13" s="32"/>
      <c r="I13" s="32"/>
      <c r="J13" s="32"/>
      <c r="K13" s="13"/>
      <c r="L13" s="13"/>
      <c r="M13" s="13"/>
      <c r="N13" s="3"/>
      <c r="O13" s="32">
        <v>103585</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2487276</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641931</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3513205</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449238</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1553802</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712464</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Arabinose-0.01mg/L</v>
      </c>
      <c r="J22" s="3" t="str">
        <f t="shared" si="0"/>
        <v>Arabinose-0.1mg/L</v>
      </c>
      <c r="K22" s="3" t="str">
        <f t="shared" si="0"/>
        <v>Arabinose-1mg/L</v>
      </c>
      <c r="L22" s="3" t="str">
        <f t="shared" si="0"/>
        <v>Arabinose-10mg/L</v>
      </c>
      <c r="M22" s="3" t="str">
        <f t="shared" si="0"/>
        <v>Arabinose-100mg/L</v>
      </c>
      <c r="N22" s="3" t="s">
        <v>41</v>
      </c>
      <c r="O22" s="3" t="str">
        <f t="shared" si="0"/>
        <v>Testo -30µg/L</v>
      </c>
      <c r="P22" s="3" t="str">
        <f t="shared" si="0"/>
        <v>Testo 30µg/L + EE2 -64ng/L</v>
      </c>
      <c r="Q22" s="3" t="str">
        <f t="shared" si="0"/>
        <v>Testo 30µg/L + FAD-10µg/L</v>
      </c>
      <c r="R22" s="3" t="str">
        <f t="shared" si="0"/>
        <v>Arabinose-0.01mg/L + Testostérone</v>
      </c>
      <c r="S22" s="3" t="str">
        <f t="shared" si="0"/>
        <v>Arabinose-0.1mg/L + Testostérone</v>
      </c>
      <c r="T22" s="3" t="str">
        <f t="shared" si="0"/>
        <v>Arabinose-1mg/L + Testostérone</v>
      </c>
      <c r="U22" s="3" t="str">
        <f t="shared" si="0"/>
        <v>Arabinose-10mg/L + Testostérone</v>
      </c>
      <c r="V22" s="3" t="str">
        <f t="shared" si="0"/>
        <v>Arabinose-100mg/L + Testostérone</v>
      </c>
    </row>
    <row r="23" spans="1:22" x14ac:dyDescent="0.3">
      <c r="A23" s="5" t="s">
        <v>0</v>
      </c>
      <c r="B23" s="5">
        <f t="shared" ref="B23:J23" si="1">AVERAGE(B5:B20)</f>
        <v>15707.5</v>
      </c>
      <c r="C23" s="5">
        <f t="shared" si="1"/>
        <v>18533.125</v>
      </c>
      <c r="D23" s="5">
        <f t="shared" si="1"/>
        <v>208624.125</v>
      </c>
      <c r="E23" s="5">
        <f t="shared" si="1"/>
        <v>354556.25</v>
      </c>
      <c r="F23" s="5">
        <f t="shared" si="1"/>
        <v>737652.875</v>
      </c>
      <c r="G23" s="5">
        <f t="shared" si="1"/>
        <v>4722752</v>
      </c>
      <c r="H23" s="5">
        <f t="shared" si="1"/>
        <v>8564870.125</v>
      </c>
      <c r="I23" s="5">
        <f t="shared" si="1"/>
        <v>19227.875</v>
      </c>
      <c r="J23" s="5">
        <f t="shared" si="1"/>
        <v>24319.25</v>
      </c>
      <c r="K23" s="5"/>
      <c r="L23" s="5">
        <f>AVERAGE(L5:L20)</f>
        <v>11645</v>
      </c>
      <c r="M23" s="5"/>
      <c r="N23" s="5" t="s">
        <v>0</v>
      </c>
      <c r="O23" s="5">
        <f>AVERAGE(O5:O20)</f>
        <v>1209238</v>
      </c>
      <c r="P23" s="5">
        <f>AVERAGE(P5:P20)</f>
        <v>8672115.625</v>
      </c>
      <c r="Q23" s="5">
        <f>AVERAGE(Q5:Q20)</f>
        <v>8259</v>
      </c>
      <c r="R23" s="5">
        <f>AVERAGE(R5:R20)</f>
        <v>1130826</v>
      </c>
      <c r="S23" s="5">
        <f>AVERAGE(S5:S20)</f>
        <v>1566097.75</v>
      </c>
      <c r="T23" s="5">
        <f t="shared" ref="T23:V23" si="2">AVERAGE(T5:T20)</f>
        <v>1552790.875</v>
      </c>
      <c r="U23" s="5">
        <f t="shared" si="2"/>
        <v>1555771</v>
      </c>
      <c r="V23" s="5">
        <f t="shared" si="2"/>
        <v>978760.25</v>
      </c>
    </row>
    <row r="24" spans="1:22" x14ac:dyDescent="0.3">
      <c r="A24" s="3" t="s">
        <v>1</v>
      </c>
      <c r="B24" s="3">
        <f t="shared" ref="B24:J24" si="3">STDEV(B5:B20)</f>
        <v>12641.7388383538</v>
      </c>
      <c r="C24" s="3">
        <f t="shared" si="3"/>
        <v>8507.2934329063446</v>
      </c>
      <c r="D24" s="3">
        <f t="shared" si="3"/>
        <v>392617.37951432617</v>
      </c>
      <c r="E24" s="3">
        <f t="shared" si="3"/>
        <v>675355.39251435187</v>
      </c>
      <c r="F24" s="3">
        <f t="shared" si="3"/>
        <v>515383.34656709316</v>
      </c>
      <c r="G24" s="3">
        <f t="shared" si="3"/>
        <v>1868994.8184810083</v>
      </c>
      <c r="H24" s="3">
        <f t="shared" si="3"/>
        <v>2180924.3450497533</v>
      </c>
      <c r="I24" s="3">
        <f t="shared" si="3"/>
        <v>15250.319298179582</v>
      </c>
      <c r="J24" s="3">
        <f t="shared" si="3"/>
        <v>30466.951184849462</v>
      </c>
      <c r="K24" s="3"/>
      <c r="L24" s="3">
        <f>STDEV(L5:L20)</f>
        <v>13058.899450456875</v>
      </c>
      <c r="M24" s="3"/>
      <c r="N24" s="3" t="s">
        <v>1</v>
      </c>
      <c r="O24" s="3">
        <f>STDEV(O5:O20)</f>
        <v>1225287.2109700881</v>
      </c>
      <c r="P24" s="3">
        <f>STDEV(P5:P20)</f>
        <v>2633219.9655159265</v>
      </c>
      <c r="Q24" s="3">
        <f>STDEV(Q5:Q20)</f>
        <v>9892.6742737095246</v>
      </c>
      <c r="R24" s="3">
        <f>STDEV(R5:R20)</f>
        <v>1296443.5845194785</v>
      </c>
      <c r="S24" s="3">
        <f>STDEV(S5:S20)</f>
        <v>1447223.1854597321</v>
      </c>
      <c r="T24" s="3">
        <f t="shared" ref="T24:V24" si="4">STDEV(T5:T20)</f>
        <v>1389194.6346581469</v>
      </c>
      <c r="U24" s="3">
        <f t="shared" si="4"/>
        <v>1108911.2606397837</v>
      </c>
      <c r="V24" s="3">
        <f t="shared" si="4"/>
        <v>1393473.9316028792</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Arabinose-0.01mg/L</v>
      </c>
      <c r="J27" s="35" t="str">
        <f t="shared" si="5"/>
        <v>Arabinose-0.1mg/L</v>
      </c>
      <c r="K27" s="35" t="str">
        <f t="shared" si="5"/>
        <v>Arabinose-1mg/L</v>
      </c>
      <c r="L27" s="35" t="str">
        <f t="shared" si="5"/>
        <v>Arabinose-10mg/L</v>
      </c>
      <c r="M27" s="35" t="str">
        <f t="shared" si="5"/>
        <v>Arabinose-100mg/L</v>
      </c>
      <c r="N27" s="3"/>
      <c r="O27" s="36" t="str">
        <f>O4</f>
        <v>Testo -30µg/L</v>
      </c>
      <c r="P27" s="36" t="str">
        <f t="shared" ref="P27:V27" si="6">P4</f>
        <v>Testo 30µg/L + EE2 -64ng/L</v>
      </c>
      <c r="Q27" s="36" t="str">
        <f t="shared" si="6"/>
        <v>Testo 30µg/L + FAD-10µg/L</v>
      </c>
      <c r="R27" s="36" t="str">
        <f t="shared" si="6"/>
        <v>Arabinose-0.01mg/L + Testostérone</v>
      </c>
      <c r="S27" s="36" t="str">
        <f t="shared" si="6"/>
        <v>Arabinose-0.1mg/L + Testostérone</v>
      </c>
      <c r="T27" s="36" t="str">
        <f t="shared" si="6"/>
        <v>Arabinose-1mg/L + Testostérone</v>
      </c>
      <c r="U27" s="36" t="str">
        <f t="shared" si="6"/>
        <v>Arabinose-10mg/L + Testostérone</v>
      </c>
      <c r="V27" s="36" t="str">
        <f t="shared" si="6"/>
        <v>Arabinose-100mg/L + Testostérone</v>
      </c>
    </row>
    <row r="28" spans="1:22" x14ac:dyDescent="0.3">
      <c r="A28" s="224" t="s">
        <v>34</v>
      </c>
      <c r="B28" s="11">
        <f t="shared" ref="B28:M28" si="7">IF(B5="","",(B5/$O$23))</f>
        <v>1.5279043496813695E-2</v>
      </c>
      <c r="C28" s="11">
        <f t="shared" si="7"/>
        <v>1.6541822205388849E-2</v>
      </c>
      <c r="D28" s="11">
        <f t="shared" si="7"/>
        <v>0.13962098445467311</v>
      </c>
      <c r="E28" s="11">
        <f t="shared" si="7"/>
        <v>0.12115894472386743</v>
      </c>
      <c r="F28" s="11">
        <f t="shared" si="7"/>
        <v>0.68503884264305293</v>
      </c>
      <c r="G28" s="11">
        <f t="shared" si="7"/>
        <v>2.4149158395617736</v>
      </c>
      <c r="H28" s="11">
        <f t="shared" si="7"/>
        <v>8.4020126724433073</v>
      </c>
      <c r="I28" s="11">
        <f t="shared" si="7"/>
        <v>4.183874473015238E-2</v>
      </c>
      <c r="J28" s="11">
        <f t="shared" si="7"/>
        <v>6.4792869559176939E-3</v>
      </c>
      <c r="K28" s="11">
        <f t="shared" si="7"/>
        <v>4.9943021969207052E-2</v>
      </c>
      <c r="L28" s="11">
        <f t="shared" si="7"/>
        <v>8.5425697836157975E-4</v>
      </c>
      <c r="M28" s="11">
        <f t="shared" si="7"/>
        <v>1.8122156267004509E-2</v>
      </c>
      <c r="N28" s="6"/>
      <c r="O28" s="11">
        <f t="shared" ref="O28:V39" si="8">IF(O5="","",(O5/$O$23))</f>
        <v>4.0975391114073494E-2</v>
      </c>
      <c r="P28" s="11">
        <f t="shared" si="8"/>
        <v>5.6770222239129104</v>
      </c>
      <c r="Q28" s="11">
        <f t="shared" si="8"/>
        <v>1.3446484480309088E-2</v>
      </c>
      <c r="R28" s="11">
        <f t="shared" si="8"/>
        <v>0.47542998152555577</v>
      </c>
      <c r="S28" s="11">
        <f t="shared" si="8"/>
        <v>0.90168105865015824</v>
      </c>
      <c r="T28" s="11">
        <f t="shared" si="8"/>
        <v>2.8323100994179806</v>
      </c>
      <c r="U28" s="11">
        <f t="shared" si="8"/>
        <v>1.3851607375884647</v>
      </c>
      <c r="V28" s="11">
        <f t="shared" si="8"/>
        <v>0.53393542048794362</v>
      </c>
    </row>
    <row r="29" spans="1:22" x14ac:dyDescent="0.3">
      <c r="A29" s="224"/>
      <c r="B29" s="11">
        <f t="shared" ref="B29:M29" si="9">IF(B6="","",(B6/$O$23))</f>
        <v>2.6049462554104319E-3</v>
      </c>
      <c r="C29" s="11">
        <f t="shared" si="9"/>
        <v>2.2063481299793755E-2</v>
      </c>
      <c r="D29" s="11">
        <f t="shared" si="9"/>
        <v>6.9683552782826869E-2</v>
      </c>
      <c r="E29" s="11">
        <f t="shared" si="9"/>
        <v>2.1152990560997918E-2</v>
      </c>
      <c r="F29" s="11">
        <f t="shared" si="9"/>
        <v>0.73545819764182074</v>
      </c>
      <c r="G29" s="11">
        <f t="shared" si="9"/>
        <v>3.3726636112990165</v>
      </c>
      <c r="H29" s="11">
        <f t="shared" si="9"/>
        <v>3.6139618503553477</v>
      </c>
      <c r="I29" s="11">
        <f t="shared" si="9"/>
        <v>2.6707728338011209E-2</v>
      </c>
      <c r="J29" s="11">
        <f t="shared" si="9"/>
        <v>7.786225705775042E-2</v>
      </c>
      <c r="K29" s="11">
        <f t="shared" si="9"/>
        <v>5.3719780556019579E-2</v>
      </c>
      <c r="L29" s="11">
        <f t="shared" si="9"/>
        <v>4.0852173021357251E-4</v>
      </c>
      <c r="M29" s="11">
        <f t="shared" si="9"/>
        <v>1.8374381221893457E-2</v>
      </c>
      <c r="N29" s="6"/>
      <c r="O29" s="11">
        <f t="shared" si="8"/>
        <v>8.1132084833589413E-2</v>
      </c>
      <c r="P29" s="11">
        <f t="shared" si="8"/>
        <v>8.6694993045206985</v>
      </c>
      <c r="Q29" s="11">
        <f t="shared" si="8"/>
        <v>6.8596918059141377E-3</v>
      </c>
      <c r="R29" s="11">
        <f t="shared" si="8"/>
        <v>0.26191535495907342</v>
      </c>
      <c r="S29" s="11">
        <f t="shared" si="8"/>
        <v>0.23652829302420203</v>
      </c>
      <c r="T29" s="11">
        <f t="shared" si="8"/>
        <v>8.3060572029658355E-3</v>
      </c>
      <c r="U29" s="11">
        <f t="shared" si="8"/>
        <v>1.1699921768915631</v>
      </c>
      <c r="V29" s="11">
        <f t="shared" si="8"/>
        <v>7.6494453531893635E-4</v>
      </c>
    </row>
    <row r="30" spans="1:22" x14ac:dyDescent="0.3">
      <c r="A30" s="224"/>
      <c r="B30" s="11">
        <f t="shared" ref="B30:M30" si="10">IF(B7="","",(B7/$O$23))</f>
        <v>1.3011499804008805E-2</v>
      </c>
      <c r="C30" s="11">
        <f t="shared" si="10"/>
        <v>2.9057968737337066E-2</v>
      </c>
      <c r="D30" s="11">
        <f t="shared" si="10"/>
        <v>9.6556674533880022E-3</v>
      </c>
      <c r="E30" s="11">
        <f t="shared" si="10"/>
        <v>0.57988998030164451</v>
      </c>
      <c r="F30" s="11">
        <f t="shared" si="10"/>
        <v>0.21010007955423168</v>
      </c>
      <c r="G30" s="11">
        <f t="shared" si="10"/>
        <v>3.7352233389953011</v>
      </c>
      <c r="H30" s="11">
        <f t="shared" si="10"/>
        <v>9.0562701469851259</v>
      </c>
      <c r="I30" s="11">
        <f t="shared" si="10"/>
        <v>4.9130113344105957E-3</v>
      </c>
      <c r="J30" s="11">
        <f t="shared" si="10"/>
        <v>1.4135348045628734E-2</v>
      </c>
      <c r="K30" s="11">
        <f t="shared" si="10"/>
        <v>5.7143424205987571E-3</v>
      </c>
      <c r="L30" s="11">
        <f t="shared" si="10"/>
        <v>1.4148579518672089E-2</v>
      </c>
      <c r="M30" s="11">
        <f t="shared" si="10"/>
        <v>2.6297552673667218E-2</v>
      </c>
      <c r="N30" s="6"/>
      <c r="O30" s="11">
        <f t="shared" si="8"/>
        <v>0.66768411181256293</v>
      </c>
      <c r="P30" s="11">
        <f t="shared" si="8"/>
        <v>3.1195992848388818</v>
      </c>
      <c r="Q30" s="11">
        <f t="shared" si="8"/>
        <v>6.887808686131266E-3</v>
      </c>
      <c r="R30" s="11">
        <f t="shared" si="8"/>
        <v>0.23587664297681679</v>
      </c>
      <c r="S30" s="11">
        <f t="shared" si="8"/>
        <v>0.48543710998165784</v>
      </c>
      <c r="T30" s="11">
        <f t="shared" si="8"/>
        <v>1.8099422942381898</v>
      </c>
      <c r="U30" s="11">
        <f t="shared" si="8"/>
        <v>2.5278381923161528</v>
      </c>
      <c r="V30" s="11">
        <f t="shared" si="8"/>
        <v>1.2528857015740491</v>
      </c>
    </row>
    <row r="31" spans="1:22" x14ac:dyDescent="0.3">
      <c r="A31" s="224"/>
      <c r="B31" s="11">
        <f t="shared" ref="B31:M31" si="11">IF(B8="","",(B8/$O$23))</f>
        <v>1.8993779553735494E-2</v>
      </c>
      <c r="C31" s="11">
        <f t="shared" si="11"/>
        <v>1.0810113476420687E-2</v>
      </c>
      <c r="D31" s="11">
        <f t="shared" si="11"/>
        <v>3.6666892704331155E-2</v>
      </c>
      <c r="E31" s="11">
        <f t="shared" si="11"/>
        <v>1.0548791883814435E-2</v>
      </c>
      <c r="F31" s="11">
        <f t="shared" si="11"/>
        <v>1.0321235356480694</v>
      </c>
      <c r="G31" s="11">
        <f t="shared" si="11"/>
        <v>4.3348091938890443</v>
      </c>
      <c r="H31" s="11">
        <f t="shared" si="11"/>
        <v>7.5680469849607768</v>
      </c>
      <c r="I31" s="11">
        <f t="shared" si="11"/>
        <v>1.3693747632806777E-2</v>
      </c>
      <c r="J31" s="11">
        <f t="shared" si="11"/>
        <v>2.3427976957389697E-3</v>
      </c>
      <c r="K31" s="11">
        <f t="shared" si="11"/>
        <v>4.5135035452078087E-2</v>
      </c>
      <c r="L31" s="11">
        <f t="shared" si="11"/>
        <v>1.0736513407617028E-2</v>
      </c>
      <c r="M31" s="11">
        <f t="shared" si="11"/>
        <v>1.8795307458085175E-2</v>
      </c>
      <c r="N31" s="6"/>
      <c r="O31" s="11">
        <f t="shared" si="8"/>
        <v>0.55394058076243058</v>
      </c>
      <c r="P31" s="11">
        <f t="shared" si="8"/>
        <v>8.06092183672693</v>
      </c>
      <c r="Q31" s="11">
        <f t="shared" si="8"/>
        <v>2.3572696193801385E-2</v>
      </c>
      <c r="R31" s="11">
        <f t="shared" si="8"/>
        <v>2.4567355640494259</v>
      </c>
      <c r="S31" s="11">
        <f t="shared" si="8"/>
        <v>0.54701307765716922</v>
      </c>
      <c r="T31" s="11">
        <f t="shared" si="8"/>
        <v>2.8001766401651289</v>
      </c>
      <c r="U31" s="11">
        <f t="shared" si="8"/>
        <v>1.1639181037975981</v>
      </c>
      <c r="V31" s="11">
        <f t="shared" si="8"/>
        <v>0.44680617049745375</v>
      </c>
    </row>
    <row r="32" spans="1:22" x14ac:dyDescent="0.3">
      <c r="A32" s="224"/>
      <c r="B32" s="11">
        <f t="shared" ref="B32:M32" si="12">IF(B9="","",(B9/$O$23))</f>
        <v>1.1263291428155581E-3</v>
      </c>
      <c r="C32" s="11">
        <f t="shared" si="12"/>
        <v>1.3047886354878031E-2</v>
      </c>
      <c r="D32" s="11">
        <f t="shared" si="12"/>
        <v>0.96924757574604836</v>
      </c>
      <c r="E32" s="11">
        <f t="shared" si="12"/>
        <v>1.5872582568526625</v>
      </c>
      <c r="F32" s="11">
        <f t="shared" si="12"/>
        <v>1.2843030073484294</v>
      </c>
      <c r="G32" s="11">
        <f t="shared" si="12"/>
        <v>5.8130616140081601</v>
      </c>
      <c r="H32" s="11">
        <f t="shared" si="12"/>
        <v>7.4956898476561271</v>
      </c>
      <c r="I32" s="11">
        <f t="shared" si="12"/>
        <v>8.4400258675298E-3</v>
      </c>
      <c r="J32" s="11">
        <f t="shared" si="12"/>
        <v>3.0953377250797611E-3</v>
      </c>
      <c r="K32" s="11">
        <f t="shared" si="12"/>
        <v>2.0533592229155882E-3</v>
      </c>
      <c r="L32" s="11">
        <f t="shared" si="12"/>
        <v>3.2785936267302217E-2</v>
      </c>
      <c r="M32" s="11">
        <f t="shared" si="12"/>
        <v>1.1380720751415354E-2</v>
      </c>
      <c r="N32" s="6"/>
      <c r="O32" s="11">
        <f t="shared" si="8"/>
        <v>2.7635990599038402</v>
      </c>
      <c r="P32" s="11">
        <f t="shared" si="8"/>
        <v>7.9287311513531664</v>
      </c>
      <c r="Q32" s="11">
        <f t="shared" si="8"/>
        <v>3.2160749166003713E-3</v>
      </c>
      <c r="R32" s="11">
        <f t="shared" si="8"/>
        <v>2.5814570828902168</v>
      </c>
      <c r="S32" s="11">
        <f t="shared" si="8"/>
        <v>1.250183173204944</v>
      </c>
      <c r="T32" s="11">
        <f t="shared" si="8"/>
        <v>0.2539533160552348</v>
      </c>
      <c r="U32" s="11">
        <f t="shared" si="8"/>
        <v>2.7241188252436657</v>
      </c>
      <c r="V32" s="11">
        <f t="shared" si="8"/>
        <v>7.3429713588226642E-2</v>
      </c>
    </row>
    <row r="33" spans="1:22" x14ac:dyDescent="0.3">
      <c r="A33" s="224"/>
      <c r="B33" s="11">
        <f t="shared" ref="B33:M33" si="13">IF(B10="","",(B10/$O$23))</f>
        <v>3.0214068694500173E-2</v>
      </c>
      <c r="C33" s="11">
        <f t="shared" si="13"/>
        <v>9.0685208370891428E-3</v>
      </c>
      <c r="D33" s="11">
        <f t="shared" si="13"/>
        <v>9.0710017382847705E-3</v>
      </c>
      <c r="E33" s="11">
        <f t="shared" si="13"/>
        <v>2.2129638665010529E-3</v>
      </c>
      <c r="F33" s="11">
        <f t="shared" si="13"/>
        <v>0.61580267904250441</v>
      </c>
      <c r="G33" s="11">
        <f t="shared" si="13"/>
        <v>6.3835886731975009</v>
      </c>
      <c r="H33" s="11">
        <f t="shared" si="13"/>
        <v>5.6806815531764636</v>
      </c>
      <c r="I33" s="11">
        <f t="shared" si="13"/>
        <v>6.0930933364647822E-3</v>
      </c>
      <c r="J33" s="11">
        <f t="shared" si="13"/>
        <v>3.1475193468944909E-2</v>
      </c>
      <c r="K33" s="11">
        <f t="shared" si="13"/>
        <v>1.4306530228127135E-2</v>
      </c>
      <c r="L33" s="11">
        <f t="shared" si="13"/>
        <v>8.211782957531933E-4</v>
      </c>
      <c r="M33" s="11">
        <f t="shared" si="13"/>
        <v>2.2700245940005193E-2</v>
      </c>
      <c r="N33" s="6"/>
      <c r="O33" s="11">
        <f t="shared" si="8"/>
        <v>0.40607721556881277</v>
      </c>
      <c r="P33" s="11">
        <f t="shared" si="8"/>
        <v>10.173385222760118</v>
      </c>
      <c r="Q33" s="11">
        <f t="shared" si="8"/>
        <v>6.5330398151563219E-5</v>
      </c>
      <c r="R33" s="11">
        <f t="shared" si="8"/>
        <v>1.0913484359571896E-2</v>
      </c>
      <c r="S33" s="11">
        <f t="shared" si="8"/>
        <v>1.0253663877582411</v>
      </c>
      <c r="T33" s="11">
        <f t="shared" si="8"/>
        <v>1.4302833685345648</v>
      </c>
      <c r="U33" s="11">
        <f t="shared" si="8"/>
        <v>0.37456811645019428</v>
      </c>
      <c r="V33" s="11">
        <f t="shared" si="8"/>
        <v>0.21735175374905519</v>
      </c>
    </row>
    <row r="34" spans="1:22" x14ac:dyDescent="0.3">
      <c r="A34" s="224"/>
      <c r="B34" s="11">
        <f t="shared" ref="B34:M34" si="14">IF(B11="","",(B11/$O$23))</f>
        <v>2.0409547169374432E-3</v>
      </c>
      <c r="C34" s="11">
        <f t="shared" si="14"/>
        <v>1.3135544863790255E-2</v>
      </c>
      <c r="D34" s="11">
        <f t="shared" si="14"/>
        <v>7.7645591686665488E-2</v>
      </c>
      <c r="E34" s="11">
        <f t="shared" si="14"/>
        <v>1.4019572656499382E-2</v>
      </c>
      <c r="F34" s="11">
        <f t="shared" si="14"/>
        <v>0.31662666902627934</v>
      </c>
      <c r="G34" s="11">
        <f t="shared" si="14"/>
        <v>1.9669858208227</v>
      </c>
      <c r="H34" s="11">
        <f t="shared" si="14"/>
        <v>6.3054675754483398</v>
      </c>
      <c r="I34" s="11">
        <f t="shared" si="14"/>
        <v>1.6407026573759673E-2</v>
      </c>
      <c r="J34" s="11">
        <f t="shared" si="14"/>
        <v>8.0554861822073071E-3</v>
      </c>
      <c r="K34" s="11">
        <f t="shared" si="14"/>
        <v>4.1368200470048078E-2</v>
      </c>
      <c r="L34" s="11">
        <f t="shared" si="14"/>
        <v>1.1552729900978964E-2</v>
      </c>
      <c r="M34" s="11">
        <f t="shared" si="14"/>
        <v>2.0011776011008585E-2</v>
      </c>
      <c r="N34" s="6"/>
      <c r="O34" s="11">
        <f t="shared" si="8"/>
        <v>2.3727628473468414</v>
      </c>
      <c r="P34" s="11">
        <f t="shared" si="8"/>
        <v>7.8049598176703014</v>
      </c>
      <c r="Q34" s="11">
        <f t="shared" si="8"/>
        <v>0</v>
      </c>
      <c r="R34" s="11">
        <f t="shared" si="8"/>
        <v>1.4106644018795307</v>
      </c>
      <c r="S34" s="11">
        <f t="shared" si="8"/>
        <v>1.9737222945358979</v>
      </c>
      <c r="T34" s="11">
        <f t="shared" si="8"/>
        <v>1.0853744258781151</v>
      </c>
      <c r="U34" s="11">
        <f t="shared" si="8"/>
        <v>0.68210972529808023</v>
      </c>
      <c r="V34" s="11">
        <f t="shared" si="8"/>
        <v>3.4962124908413399</v>
      </c>
    </row>
    <row r="35" spans="1:22" x14ac:dyDescent="0.3">
      <c r="A35" s="224"/>
      <c r="B35" s="11">
        <f t="shared" ref="B35:M35" si="15">IF(B12="","",(B12/$O$23))</f>
        <v>2.0646059750024395E-2</v>
      </c>
      <c r="C35" s="11">
        <f t="shared" si="15"/>
        <v>8.8849341486125968E-3</v>
      </c>
      <c r="D35" s="11">
        <f t="shared" si="15"/>
        <v>6.8610976499249937E-2</v>
      </c>
      <c r="E35" s="11">
        <f t="shared" si="15"/>
        <v>9.4092312679555229E-3</v>
      </c>
      <c r="F35" s="11">
        <f t="shared" si="15"/>
        <v>6.6405455336335771E-4</v>
      </c>
      <c r="G35" s="11">
        <f t="shared" si="15"/>
        <v>3.2232347974509565</v>
      </c>
      <c r="H35" s="11">
        <f t="shared" si="15"/>
        <v>8.5407934583597278</v>
      </c>
      <c r="I35" s="11">
        <f t="shared" si="15"/>
        <v>9.1131770586104638E-3</v>
      </c>
      <c r="J35" s="11">
        <f t="shared" si="15"/>
        <v>1.7444043273532588E-2</v>
      </c>
      <c r="K35" s="11">
        <f t="shared" si="15"/>
        <v>7.2740023055841777E-3</v>
      </c>
      <c r="L35" s="11">
        <f t="shared" si="15"/>
        <v>5.7325356960333694E-3</v>
      </c>
      <c r="M35" s="11">
        <f t="shared" si="15"/>
        <v>2.4644445510313105E-2</v>
      </c>
      <c r="N35" s="6"/>
      <c r="O35" s="11">
        <f t="shared" si="8"/>
        <v>0.28947899420957662</v>
      </c>
      <c r="P35" s="11">
        <f t="shared" si="8"/>
        <v>5.9383132187377505</v>
      </c>
      <c r="Q35" s="11">
        <f t="shared" si="8"/>
        <v>5.9128145162490754E-4</v>
      </c>
      <c r="R35" s="11">
        <f t="shared" si="8"/>
        <v>4.8254355222048927E-2</v>
      </c>
      <c r="S35" s="11">
        <f t="shared" si="8"/>
        <v>3.9409586863793562</v>
      </c>
      <c r="T35" s="11">
        <f t="shared" si="8"/>
        <v>5.2509100772552629E-2</v>
      </c>
      <c r="U35" s="11">
        <f t="shared" si="8"/>
        <v>0.26486514648067627</v>
      </c>
      <c r="V35" s="11">
        <f t="shared" si="8"/>
        <v>0.45383373661760545</v>
      </c>
    </row>
    <row r="36" spans="1:22" x14ac:dyDescent="0.3">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8.5661383449742737E-2</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2.0568953340864247</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0.5308557951371029</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2.905304828329907</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0.37150503044065769</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1.2849430798569017</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0.58918426314753591</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t="str">
        <f t="shared" si="22"/>
        <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Arabinose-0.01mg/L</v>
      </c>
      <c r="J45" s="7" t="str">
        <f t="shared" si="26"/>
        <v>Arabinose-0.1mg/L</v>
      </c>
      <c r="K45" s="7" t="str">
        <f t="shared" si="26"/>
        <v>Arabinose-1mg/L</v>
      </c>
      <c r="L45" s="7" t="str">
        <f t="shared" si="26"/>
        <v>Arabinose-10mg/L</v>
      </c>
      <c r="M45" s="7" t="str">
        <f t="shared" si="26"/>
        <v>Arabinose-100mg/L</v>
      </c>
      <c r="N45" s="7"/>
      <c r="O45" s="7" t="str">
        <f t="shared" si="26"/>
        <v>Testo -30µg/L</v>
      </c>
      <c r="P45" s="7" t="str">
        <f t="shared" si="26"/>
        <v>Testo 30µg/L + EE2 -64ng/L</v>
      </c>
      <c r="Q45" s="7" t="str">
        <f t="shared" si="26"/>
        <v>Testo 30µg/L + FAD-10µg/L</v>
      </c>
      <c r="R45" s="7" t="str">
        <f t="shared" si="26"/>
        <v>Arabinose-0.01mg/L + Testostérone</v>
      </c>
      <c r="S45" s="7" t="str">
        <f t="shared" si="26"/>
        <v>Arabinose-0.1mg/L + Testostérone</v>
      </c>
      <c r="T45" s="7" t="str">
        <f t="shared" si="26"/>
        <v>Arabinose-1mg/L + Testostérone</v>
      </c>
      <c r="U45" s="7" t="str">
        <f t="shared" si="26"/>
        <v>Arabinose-10mg/L + Testostérone</v>
      </c>
      <c r="V45" s="7" t="str">
        <f t="shared" si="26"/>
        <v>Arabinose-100mg/L + Testostérone</v>
      </c>
    </row>
    <row r="46" spans="1:22" x14ac:dyDescent="0.3">
      <c r="A46" s="8" t="s">
        <v>0</v>
      </c>
      <c r="B46" s="10">
        <f t="shared" ref="B46:H46" si="27">AVERAGE(B28:B43)</f>
        <v>1.2989585176780749E-2</v>
      </c>
      <c r="C46" s="10">
        <f t="shared" si="27"/>
        <v>1.5326283990413797E-2</v>
      </c>
      <c r="D46" s="10">
        <f t="shared" si="27"/>
        <v>0.17252528038318343</v>
      </c>
      <c r="E46" s="10">
        <f t="shared" si="27"/>
        <v>0.29320634151424285</v>
      </c>
      <c r="F46" s="10">
        <f t="shared" si="27"/>
        <v>0.61001463318221893</v>
      </c>
      <c r="G46" s="10">
        <f t="shared" si="27"/>
        <v>3.9055603611530563</v>
      </c>
      <c r="H46" s="10">
        <f t="shared" si="27"/>
        <v>7.0828655111731518</v>
      </c>
      <c r="I46" s="10">
        <f>AVERAGE(I28:I43)</f>
        <v>1.5900819358968206E-2</v>
      </c>
      <c r="J46" s="9">
        <f>AVERAGE(J28:J43)</f>
        <v>2.0111218800600048E-2</v>
      </c>
      <c r="K46" s="9">
        <f t="shared" ref="K46:M46" si="28">AVERAGE(K28:K43)</f>
        <v>2.7439284078072307E-2</v>
      </c>
      <c r="L46" s="9">
        <f t="shared" si="28"/>
        <v>9.6300314743665016E-3</v>
      </c>
      <c r="M46" s="9">
        <f t="shared" si="28"/>
        <v>2.0040823229174075E-2</v>
      </c>
      <c r="N46" s="8" t="s">
        <v>0</v>
      </c>
      <c r="O46" s="10">
        <f t="shared" ref="O46:V46" si="29">AVERAGE(O28:O43)</f>
        <v>1</v>
      </c>
      <c r="P46" s="10">
        <f t="shared" si="29"/>
        <v>7.1715540075650939</v>
      </c>
      <c r="Q46" s="10">
        <f t="shared" si="29"/>
        <v>6.8299209915665899E-3</v>
      </c>
      <c r="R46" s="10">
        <f t="shared" si="29"/>
        <v>0.93515585848277993</v>
      </c>
      <c r="S46" s="10">
        <f t="shared" si="29"/>
        <v>1.2951112601489534</v>
      </c>
      <c r="T46" s="10">
        <f t="shared" si="29"/>
        <v>1.2841069127830915</v>
      </c>
      <c r="U46" s="10">
        <f t="shared" si="29"/>
        <v>1.2865713780082992</v>
      </c>
      <c r="V46" s="10">
        <f t="shared" si="29"/>
        <v>0.80940249148637411</v>
      </c>
    </row>
    <row r="47" spans="1:22" x14ac:dyDescent="0.3">
      <c r="A47" s="8" t="s">
        <v>1</v>
      </c>
      <c r="B47" s="8">
        <f t="shared" ref="B47:M47" si="30">STDEV(B28:B43)</f>
        <v>1.0454301666300432E-2</v>
      </c>
      <c r="C47" s="8">
        <f t="shared" si="30"/>
        <v>7.0352514830879899E-3</v>
      </c>
      <c r="D47" s="8">
        <f t="shared" si="30"/>
        <v>0.32468164208727002</v>
      </c>
      <c r="E47" s="8">
        <f t="shared" si="30"/>
        <v>0.55849666692111222</v>
      </c>
      <c r="F47" s="8">
        <f t="shared" si="30"/>
        <v>0.42620505356852273</v>
      </c>
      <c r="G47" s="8">
        <f t="shared" si="30"/>
        <v>1.5455971599313032</v>
      </c>
      <c r="H47" s="8">
        <f t="shared" si="30"/>
        <v>1.8035526050701007</v>
      </c>
      <c r="I47" s="8">
        <f t="shared" si="30"/>
        <v>1.2611511793525834E-2</v>
      </c>
      <c r="J47" s="8">
        <f t="shared" si="30"/>
        <v>2.5195165207220965E-2</v>
      </c>
      <c r="K47" s="8">
        <f t="shared" si="30"/>
        <v>2.2038158874892289E-2</v>
      </c>
      <c r="L47" s="8">
        <f t="shared" si="30"/>
        <v>1.0799279753412376E-2</v>
      </c>
      <c r="M47" s="8">
        <f t="shared" si="30"/>
        <v>4.6355824211268028E-3</v>
      </c>
      <c r="N47" s="8" t="s">
        <v>1</v>
      </c>
      <c r="O47" s="8">
        <f t="shared" ref="O47:V47" si="31">STDEV(O28:O43)</f>
        <v>1.0132721688948643</v>
      </c>
      <c r="P47" s="8">
        <f t="shared" si="31"/>
        <v>2.1775861869341919</v>
      </c>
      <c r="Q47" s="8">
        <f t="shared" si="31"/>
        <v>8.1809158112046802E-3</v>
      </c>
      <c r="R47" s="8">
        <f t="shared" si="31"/>
        <v>1.0721161462999662</v>
      </c>
      <c r="S47" s="8">
        <f t="shared" si="31"/>
        <v>1.1968059103830115</v>
      </c>
      <c r="T47" s="8">
        <f t="shared" si="31"/>
        <v>1.1488182100282551</v>
      </c>
      <c r="U47" s="8">
        <f t="shared" si="31"/>
        <v>0.91703309078922746</v>
      </c>
      <c r="V47" s="8">
        <f t="shared" si="31"/>
        <v>1.1523570476638008</v>
      </c>
    </row>
    <row r="48" spans="1:22" x14ac:dyDescent="0.3">
      <c r="A48" s="8" t="s">
        <v>2</v>
      </c>
      <c r="B48" s="8">
        <f t="shared" ref="B48:M48" si="32" xml:space="preserve"> B47/SQRT(COUNT(B28:B43))</f>
        <v>3.6961538004054292E-3</v>
      </c>
      <c r="C48" s="8">
        <f t="shared" si="32"/>
        <v>2.4873370155221166E-3</v>
      </c>
      <c r="D48" s="8">
        <f t="shared" si="32"/>
        <v>0.11479229542334608</v>
      </c>
      <c r="E48" s="8">
        <f t="shared" si="32"/>
        <v>0.1974583902250015</v>
      </c>
      <c r="F48" s="8">
        <f t="shared" si="32"/>
        <v>0.15068624177713907</v>
      </c>
      <c r="G48" s="8">
        <f t="shared" si="32"/>
        <v>0.54645111638504662</v>
      </c>
      <c r="H48" s="8">
        <f t="shared" si="32"/>
        <v>0.63765213863586567</v>
      </c>
      <c r="I48" s="8">
        <f t="shared" si="32"/>
        <v>4.4588427551081177E-3</v>
      </c>
      <c r="J48" s="8">
        <f t="shared" si="32"/>
        <v>8.9078360855706536E-3</v>
      </c>
      <c r="K48" s="8">
        <f t="shared" si="32"/>
        <v>7.7916657926514156E-3</v>
      </c>
      <c r="L48" s="8">
        <f t="shared" si="32"/>
        <v>3.8181219727842389E-3</v>
      </c>
      <c r="M48" s="8">
        <f t="shared" si="32"/>
        <v>1.638925882363958E-3</v>
      </c>
      <c r="N48" s="8" t="s">
        <v>2</v>
      </c>
      <c r="O48" s="8">
        <f t="shared" ref="O48:V48" si="33" xml:space="preserve"> O47/SQRT(COUNT(O28:O43))</f>
        <v>0.26162574902035185</v>
      </c>
      <c r="P48" s="8">
        <f t="shared" si="33"/>
        <v>0.76989297969966197</v>
      </c>
      <c r="Q48" s="8">
        <f t="shared" si="33"/>
        <v>2.8923905232095372E-3</v>
      </c>
      <c r="R48" s="8">
        <f t="shared" si="33"/>
        <v>0.37905029863414735</v>
      </c>
      <c r="S48" s="8">
        <f t="shared" si="33"/>
        <v>0.42313478749798344</v>
      </c>
      <c r="T48" s="8">
        <f t="shared" si="33"/>
        <v>0.40616857333078527</v>
      </c>
      <c r="U48" s="8">
        <f t="shared" si="33"/>
        <v>0.32422015853476077</v>
      </c>
      <c r="V48" s="8">
        <f t="shared" si="33"/>
        <v>0.4074197413755915</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Arabinose-0.01mg/L</v>
      </c>
      <c r="J52" s="46" t="str">
        <f>J4</f>
        <v>Arabinose-0.1mg/L</v>
      </c>
      <c r="K52" s="46" t="str">
        <f t="shared" ref="K52:M52" si="35">K4</f>
        <v>Arabinose-1mg/L</v>
      </c>
      <c r="L52" s="46" t="str">
        <f t="shared" si="35"/>
        <v>Arabinose-10mg/L</v>
      </c>
      <c r="M52" s="46" t="str">
        <f t="shared" si="35"/>
        <v>Arabinose-100mg/L</v>
      </c>
      <c r="N52" s="47"/>
      <c r="O52" s="46" t="str">
        <f>O27</f>
        <v>Testo -30µg/L</v>
      </c>
      <c r="P52" s="46" t="str">
        <f>P27</f>
        <v>Testo 30µg/L + EE2 -64ng/L</v>
      </c>
      <c r="Q52" s="46" t="str">
        <f>Q27</f>
        <v>Testo 30µg/L + FAD-10µg/L</v>
      </c>
      <c r="R52" s="46" t="str">
        <f>R27</f>
        <v>Arabinose-0.01mg/L + Testostérone</v>
      </c>
      <c r="S52" s="46" t="str">
        <f t="shared" ref="S52:V52" si="36">S27</f>
        <v>Arabinose-0.1mg/L + Testostérone</v>
      </c>
      <c r="T52" s="46" t="str">
        <f t="shared" si="36"/>
        <v>Arabinose-1mg/L + Testostérone</v>
      </c>
      <c r="U52" s="46" t="str">
        <f t="shared" si="36"/>
        <v>Arabinose-10mg/L + Testostérone</v>
      </c>
      <c r="V52" s="46" t="str">
        <f t="shared" si="36"/>
        <v>Arabinose-100mg/L + Testostérone</v>
      </c>
    </row>
    <row r="53" spans="1:22" s="3" customFormat="1" x14ac:dyDescent="0.3">
      <c r="A53" s="61" t="s">
        <v>32</v>
      </c>
      <c r="B53" s="141">
        <f t="shared" ref="B53:V53" si="37">B46</f>
        <v>1.2989585176780749E-2</v>
      </c>
      <c r="C53" s="141">
        <f t="shared" si="37"/>
        <v>1.5326283990413797E-2</v>
      </c>
      <c r="D53" s="141">
        <f t="shared" si="37"/>
        <v>0.17252528038318343</v>
      </c>
      <c r="E53" s="141">
        <f t="shared" si="37"/>
        <v>0.29320634151424285</v>
      </c>
      <c r="F53" s="141">
        <f t="shared" si="37"/>
        <v>0.61001463318221893</v>
      </c>
      <c r="G53" s="141">
        <f t="shared" si="37"/>
        <v>3.9055603611530563</v>
      </c>
      <c r="H53" s="141">
        <f t="shared" si="37"/>
        <v>7.0828655111731518</v>
      </c>
      <c r="I53" s="141">
        <f t="shared" si="37"/>
        <v>1.5900819358968206E-2</v>
      </c>
      <c r="J53" s="141">
        <f t="shared" si="37"/>
        <v>2.0111218800600048E-2</v>
      </c>
      <c r="K53" s="141">
        <f t="shared" si="37"/>
        <v>2.7439284078072307E-2</v>
      </c>
      <c r="L53" s="141">
        <f t="shared" si="37"/>
        <v>9.6300314743665016E-3</v>
      </c>
      <c r="M53" s="141">
        <f t="shared" si="37"/>
        <v>2.0040823229174075E-2</v>
      </c>
      <c r="N53" s="141"/>
      <c r="O53" s="141">
        <f t="shared" si="37"/>
        <v>1</v>
      </c>
      <c r="P53" s="141">
        <f t="shared" si="37"/>
        <v>7.1715540075650939</v>
      </c>
      <c r="Q53" s="141">
        <f t="shared" si="37"/>
        <v>6.8299209915665899E-3</v>
      </c>
      <c r="R53" s="141">
        <f t="shared" si="37"/>
        <v>0.93515585848277993</v>
      </c>
      <c r="S53" s="141">
        <f t="shared" si="37"/>
        <v>1.2951112601489534</v>
      </c>
      <c r="T53" s="141">
        <f t="shared" si="37"/>
        <v>1.2841069127830915</v>
      </c>
      <c r="U53" s="141">
        <f t="shared" si="37"/>
        <v>1.2865713780082992</v>
      </c>
      <c r="V53" s="141">
        <f t="shared" si="37"/>
        <v>0.80940249148637411</v>
      </c>
    </row>
    <row r="54" spans="1:22" s="3" customFormat="1" x14ac:dyDescent="0.3">
      <c r="A54" s="61" t="s">
        <v>2</v>
      </c>
      <c r="B54" s="141">
        <f t="shared" ref="B54:V54" si="38">B48</f>
        <v>3.6961538004054292E-3</v>
      </c>
      <c r="C54" s="141">
        <f t="shared" si="38"/>
        <v>2.4873370155221166E-3</v>
      </c>
      <c r="D54" s="141">
        <f t="shared" si="38"/>
        <v>0.11479229542334608</v>
      </c>
      <c r="E54" s="141">
        <f t="shared" si="38"/>
        <v>0.1974583902250015</v>
      </c>
      <c r="F54" s="141">
        <f t="shared" si="38"/>
        <v>0.15068624177713907</v>
      </c>
      <c r="G54" s="141">
        <f t="shared" si="38"/>
        <v>0.54645111638504662</v>
      </c>
      <c r="H54" s="141">
        <f t="shared" si="38"/>
        <v>0.63765213863586567</v>
      </c>
      <c r="I54" s="141">
        <f t="shared" si="38"/>
        <v>4.4588427551081177E-3</v>
      </c>
      <c r="J54" s="141">
        <f t="shared" si="38"/>
        <v>8.9078360855706536E-3</v>
      </c>
      <c r="K54" s="141">
        <f t="shared" si="38"/>
        <v>7.7916657926514156E-3</v>
      </c>
      <c r="L54" s="141">
        <f t="shared" si="38"/>
        <v>3.8181219727842389E-3</v>
      </c>
      <c r="M54" s="141">
        <f t="shared" si="38"/>
        <v>1.638925882363958E-3</v>
      </c>
      <c r="N54" s="141"/>
      <c r="O54" s="141">
        <f t="shared" si="38"/>
        <v>0.26162574902035185</v>
      </c>
      <c r="P54" s="141">
        <f t="shared" si="38"/>
        <v>0.76989297969966197</v>
      </c>
      <c r="Q54" s="141">
        <f t="shared" si="38"/>
        <v>2.8923905232095372E-3</v>
      </c>
      <c r="R54" s="141">
        <f t="shared" si="38"/>
        <v>0.37905029863414735</v>
      </c>
      <c r="S54" s="141">
        <f t="shared" si="38"/>
        <v>0.42313478749798344</v>
      </c>
      <c r="T54" s="141">
        <f t="shared" si="38"/>
        <v>0.40616857333078527</v>
      </c>
      <c r="U54" s="141">
        <f t="shared" si="38"/>
        <v>0.32422015853476077</v>
      </c>
      <c r="V54" s="141">
        <f t="shared" si="38"/>
        <v>0.4074197413755915</v>
      </c>
    </row>
    <row r="55" spans="1:22" s="3" customFormat="1" x14ac:dyDescent="0.3">
      <c r="A55" s="61" t="s">
        <v>79</v>
      </c>
      <c r="B55" s="141">
        <f>(B53*100/$B53)-100</f>
        <v>0</v>
      </c>
      <c r="C55" s="141">
        <f t="shared" ref="C55:M55" si="39">(C53*100/$B53)-100</f>
        <v>17.989017985038998</v>
      </c>
      <c r="D55" s="141">
        <f t="shared" si="39"/>
        <v>1228.1816011459491</v>
      </c>
      <c r="E55" s="141">
        <f t="shared" si="39"/>
        <v>2157.2417634887793</v>
      </c>
      <c r="F55" s="141">
        <f t="shared" si="39"/>
        <v>4596.1825561037722</v>
      </c>
      <c r="G55" s="141">
        <f t="shared" si="39"/>
        <v>29966.859780359697</v>
      </c>
      <c r="H55" s="141">
        <f t="shared" si="39"/>
        <v>54427.264841636163</v>
      </c>
      <c r="I55" s="141">
        <f t="shared" si="39"/>
        <v>22.41206430049337</v>
      </c>
      <c r="J55" s="141">
        <f t="shared" si="39"/>
        <v>54.825720197357981</v>
      </c>
      <c r="K55" s="141">
        <f t="shared" si="39"/>
        <v>111.24064937131942</v>
      </c>
      <c r="L55" s="141">
        <f t="shared" si="39"/>
        <v>-25.863441031354455</v>
      </c>
      <c r="M55" s="141">
        <f t="shared" si="39"/>
        <v>54.283781632977878</v>
      </c>
      <c r="N55" s="141"/>
      <c r="O55" s="141">
        <f>(O53*100/$O53)-100</f>
        <v>0</v>
      </c>
      <c r="P55" s="141">
        <f t="shared" ref="P55:V55" si="40">(P53*100/$O53)-100</f>
        <v>617.15540075650938</v>
      </c>
      <c r="Q55" s="141">
        <f t="shared" si="40"/>
        <v>-99.317007900843336</v>
      </c>
      <c r="R55" s="141">
        <f t="shared" si="40"/>
        <v>-6.4844141517220066</v>
      </c>
      <c r="S55" s="141">
        <f t="shared" si="40"/>
        <v>29.511126014895353</v>
      </c>
      <c r="T55" s="141">
        <f t="shared" si="40"/>
        <v>28.410691278309145</v>
      </c>
      <c r="U55" s="141">
        <f t="shared" si="40"/>
        <v>28.657137800829929</v>
      </c>
      <c r="V55" s="141">
        <f t="shared" si="40"/>
        <v>-19.059750851362594</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42">IF($B57="Non",IF(C57="Non","MW",IF(C57="Oui","MW","")),IF($B57="Oui",IF(C57="Oui","T-Test Welch",IF(C57="Non","MW",""))))</f>
        <v>#NAME?</v>
      </c>
      <c r="D59" s="150" t="e">
        <f t="shared" ca="1" si="42"/>
        <v>#NAME?</v>
      </c>
      <c r="E59" s="150" t="e">
        <f t="shared" ca="1" si="42"/>
        <v>#NAME?</v>
      </c>
      <c r="F59" s="150" t="e">
        <f t="shared" ca="1" si="42"/>
        <v>#NAME?</v>
      </c>
      <c r="G59" s="150" t="e">
        <f t="shared" ca="1" si="42"/>
        <v>#NAME?</v>
      </c>
      <c r="H59" s="150" t="e">
        <f t="shared" ca="1" si="42"/>
        <v>#NAME?</v>
      </c>
      <c r="I59" s="150" t="e">
        <f t="shared" ca="1" si="42"/>
        <v>#NAME?</v>
      </c>
      <c r="J59" s="150" t="e">
        <f t="shared" ca="1" si="42"/>
        <v>#NAME?</v>
      </c>
      <c r="K59" s="150" t="e">
        <f t="shared" ca="1" si="42"/>
        <v>#NAME?</v>
      </c>
      <c r="L59" s="150" t="e">
        <f t="shared" ca="1" si="42"/>
        <v>#NAME?</v>
      </c>
      <c r="M59" s="150" t="e">
        <f t="shared" ca="1" si="42"/>
        <v>#NAME?</v>
      </c>
      <c r="N59" s="150"/>
      <c r="O59" s="150" t="e">
        <f t="shared" ca="1" si="42"/>
        <v>#NAME?</v>
      </c>
      <c r="P59" s="150" t="e">
        <f ca="1">IF($O57="Non",IF(P57="Non","MW",IF(P57="Oui","MW","")),IF($O57="Oui",IF(P57="Oui","T-Test Welch",IF(P57="Non","MW",""))))</f>
        <v>#NAME?</v>
      </c>
      <c r="Q59" s="150" t="e">
        <f t="shared" ref="Q59:V59" ca="1" si="43">IF($O57="Non",IF(Q57="Non","MW",IF(Q57="Oui","MW","")),IF($O57="Oui",IF(Q57="Oui","T-Test Welch",IF(Q57="Non","MW",""))))</f>
        <v>#NAME?</v>
      </c>
      <c r="R59" s="150" t="e">
        <f t="shared" ca="1" si="43"/>
        <v>#NAME?</v>
      </c>
      <c r="S59" s="150" t="e">
        <f t="shared" ca="1" si="43"/>
        <v>#NAME?</v>
      </c>
      <c r="T59" s="150" t="e">
        <f t="shared" ca="1" si="43"/>
        <v>#NAME?</v>
      </c>
      <c r="U59" s="150" t="e">
        <f t="shared" ca="1" si="43"/>
        <v>#NAME?</v>
      </c>
      <c r="V59" s="150" t="e">
        <f t="shared" ca="1" si="4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V61" ca="1" si="45">IF(Q60&gt;0.05,"NS",IF(Q60&gt;0.01,"*",IF(Q60&gt;0.001,"**","***")))</f>
        <v>#NAME?</v>
      </c>
      <c r="R61" s="142" t="e">
        <f t="shared" ca="1" si="45"/>
        <v>#NAME?</v>
      </c>
      <c r="S61" s="142" t="e">
        <f t="shared" ca="1" si="45"/>
        <v>#NAME?</v>
      </c>
      <c r="T61" s="142" t="e">
        <f t="shared" ca="1" si="45"/>
        <v>#NAME?</v>
      </c>
      <c r="U61" s="142" t="e">
        <f t="shared" ca="1" si="45"/>
        <v>#NAME?</v>
      </c>
      <c r="V61" s="142" t="e">
        <f t="shared" ca="1" si="45"/>
        <v>#NAME?</v>
      </c>
    </row>
    <row r="63" spans="1:22" x14ac:dyDescent="0.3">
      <c r="A63" s="2" t="s">
        <v>39</v>
      </c>
    </row>
    <row r="64" spans="1:22" x14ac:dyDescent="0.3">
      <c r="A64" s="1" t="s">
        <v>23</v>
      </c>
      <c r="B64" s="1">
        <f>B46+(3*B47)</f>
        <v>4.4352490175682047E-2</v>
      </c>
    </row>
    <row r="65" spans="1:22" x14ac:dyDescent="0.3">
      <c r="A65" s="1" t="s">
        <v>24</v>
      </c>
      <c r="B65" s="1">
        <f>B46+(10*B47)</f>
        <v>0.11753260183978508</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21"/>
  <sheetViews>
    <sheetView showGridLines="0" topLeftCell="M74" zoomScale="70" zoomScaleNormal="70" workbookViewId="0">
      <selection activeCell="H94" sqref="B94:V94"/>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Arabinose-0.01mg/L</v>
      </c>
      <c r="J4" s="35" t="str">
        <f>'R1'!J4</f>
        <v>Arabinose-0.1mg/L</v>
      </c>
      <c r="K4" s="35" t="str">
        <f>'R1'!K4</f>
        <v>Arabinose-1mg/L</v>
      </c>
      <c r="L4" s="35" t="str">
        <f>'R1'!L4</f>
        <v>Arabinose-10mg/L</v>
      </c>
      <c r="M4" s="35" t="str">
        <f>'R1'!M4</f>
        <v>Arabinose-100mg/L</v>
      </c>
      <c r="O4" s="35" t="str">
        <f>'R1'!O4</f>
        <v>Testo -30µg/L</v>
      </c>
      <c r="P4" s="35" t="str">
        <f>'R1'!P4</f>
        <v>Testo 30µg/L + EE2 -64ng/L</v>
      </c>
      <c r="Q4" s="35" t="str">
        <f>'R1'!Q4</f>
        <v>Testo 30µg/L + FAD-10µg/L</v>
      </c>
      <c r="R4" s="35" t="str">
        <f>'R1'!R4</f>
        <v>Arabinose-0.01mg/L + Testostérone</v>
      </c>
      <c r="S4" s="35" t="str">
        <f>'R1'!S4</f>
        <v>Arabinose-0.1mg/L + Testostérone</v>
      </c>
      <c r="T4" s="35" t="str">
        <f>'R1'!T4</f>
        <v>Arabinose-1mg/L + Testostérone</v>
      </c>
      <c r="U4" s="35" t="str">
        <f>'R1'!U4</f>
        <v>Arabinose-10mg/L + Testostérone</v>
      </c>
      <c r="V4" s="35" t="str">
        <f>'R1'!V4</f>
        <v>Arabinose-100mg/L + Testostérone</v>
      </c>
    </row>
    <row r="5" spans="1:22" s="1" customFormat="1" x14ac:dyDescent="0.3">
      <c r="A5" s="34"/>
      <c r="B5" s="35"/>
      <c r="C5" s="194"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4.145777974464599E-4</v>
      </c>
      <c r="C6" s="53">
        <f>'R1'!C28</f>
        <v>7.1103382562047604E-3</v>
      </c>
      <c r="D6" s="53">
        <f>'R1'!D28</f>
        <v>4.1847680292244442E-2</v>
      </c>
      <c r="E6" s="53">
        <f>'R1'!E28</f>
        <v>1.4540608830938937</v>
      </c>
      <c r="F6" s="53">
        <f>'R1'!F28</f>
        <v>3.646790821338048</v>
      </c>
      <c r="G6" s="53">
        <f>'R1'!G28</f>
        <v>5.1925655260670416</v>
      </c>
      <c r="H6" s="53">
        <f>'R1'!H28</f>
        <v>4.1607611779973119</v>
      </c>
      <c r="I6" s="53">
        <f>'R1'!I28</f>
        <v>8.3379491786434445E-2</v>
      </c>
      <c r="J6" s="53">
        <f>'R1'!J28</f>
        <v>5.4873977912010589E-2</v>
      </c>
      <c r="K6" s="53">
        <f>'R1'!K28</f>
        <v>3.11426893081805E-2</v>
      </c>
      <c r="L6" s="53">
        <f>'R1'!L28</f>
        <v>3.3396544794298158E-3</v>
      </c>
      <c r="M6" s="53">
        <f>'R1'!M28</f>
        <v>2.5247294319492446E-2</v>
      </c>
      <c r="N6"/>
      <c r="O6" s="53">
        <f>'R1'!O28</f>
        <v>4.621182725061403</v>
      </c>
      <c r="P6" s="53">
        <f>'R1'!P28</f>
        <v>7.5003728835273904</v>
      </c>
      <c r="Q6" s="53">
        <f>'R1'!Q28</f>
        <v>8.9848221546591112E-2</v>
      </c>
      <c r="R6" s="53">
        <f>'R1'!R28</f>
        <v>1.0517781140967042</v>
      </c>
      <c r="S6" s="53">
        <f>'R1'!S28</f>
        <v>0.27063539908305506</v>
      </c>
      <c r="T6" s="53">
        <f>'R1'!T28</f>
        <v>2.9829859616266708E-2</v>
      </c>
      <c r="U6" s="53">
        <f>'R1'!U28</f>
        <v>0.27899934163153844</v>
      </c>
      <c r="V6" s="53">
        <f>'R1'!V28</f>
        <v>0.1779081650541969</v>
      </c>
    </row>
    <row r="7" spans="1:22" s="1" customFormat="1" x14ac:dyDescent="0.3">
      <c r="A7" s="225" t="s">
        <v>34</v>
      </c>
      <c r="B7" s="53">
        <f>'R1'!B29</f>
        <v>5.1040778435620708E-2</v>
      </c>
      <c r="C7" s="53">
        <f>'R1'!C29</f>
        <v>0.2015514381335691</v>
      </c>
      <c r="D7" s="53">
        <f>'R1'!D29</f>
        <v>1.6412016298912237E-2</v>
      </c>
      <c r="E7" s="53">
        <f>'R1'!E29</f>
        <v>1.710702636363141</v>
      </c>
      <c r="F7" s="53">
        <f>'R1'!F29</f>
        <v>2.6261348321746509</v>
      </c>
      <c r="G7" s="53">
        <f>'R1'!G29</f>
        <v>3.5689340980675968</v>
      </c>
      <c r="H7" s="53">
        <f>'R1'!H29</f>
        <v>9.1750812832622337</v>
      </c>
      <c r="I7" s="53">
        <f>'R1'!I29</f>
        <v>1.6104373250807127E-2</v>
      </c>
      <c r="J7" s="53">
        <f>'R1'!J29</f>
        <v>0.19891837557478714</v>
      </c>
      <c r="K7" s="53">
        <f>'R1'!K29</f>
        <v>2.247439401157178E-2</v>
      </c>
      <c r="L7" s="53">
        <f>'R1'!L29</f>
        <v>6.2322394491132999E-2</v>
      </c>
      <c r="M7" s="53">
        <f>'R1'!M29</f>
        <v>5.0643474713067849E-2</v>
      </c>
      <c r="N7"/>
      <c r="O7" s="53">
        <f>'R1'!O29</f>
        <v>0.26555682106433598</v>
      </c>
      <c r="P7" s="53">
        <f>'R1'!P29</f>
        <v>4.1070560791531019</v>
      </c>
      <c r="Q7" s="53">
        <f>'R1'!Q29</f>
        <v>2.529829396917832E-2</v>
      </c>
      <c r="R7" s="53">
        <f>'R1'!R29</f>
        <v>0.21824312993075873</v>
      </c>
      <c r="S7" s="53">
        <f>'R1'!S29</f>
        <v>2.2135929078406513</v>
      </c>
      <c r="T7" s="53">
        <f>'R1'!T29</f>
        <v>3.0937868134442069E-2</v>
      </c>
      <c r="U7" s="53">
        <f>'R1'!U29</f>
        <v>0.22984719538428494</v>
      </c>
      <c r="V7" s="53">
        <f>'R1'!V29</f>
        <v>0.30355402780529689</v>
      </c>
    </row>
    <row r="8" spans="1:22" s="1" customFormat="1" x14ac:dyDescent="0.3">
      <c r="A8" s="226"/>
      <c r="B8" s="53">
        <f>'R1'!B30</f>
        <v>6.1174902373200835E-3</v>
      </c>
      <c r="C8" s="53">
        <f>'R1'!C30</f>
        <v>0.87514823058463387</v>
      </c>
      <c r="D8" s="53">
        <f>'R1'!D30</f>
        <v>2.0547717729688899</v>
      </c>
      <c r="E8" s="53">
        <f>'R1'!E30</f>
        <v>2.4877382344270873</v>
      </c>
      <c r="F8" s="53">
        <f>'R1'!F30</f>
        <v>3.469673150853982</v>
      </c>
      <c r="G8" s="53">
        <f>'R1'!G30</f>
        <v>5.1250765380327321</v>
      </c>
      <c r="H8" s="53">
        <f>'R1'!H30</f>
        <v>4.0978761422096444</v>
      </c>
      <c r="I8" s="53">
        <f>'R1'!I30</f>
        <v>5.21668836036846E-2</v>
      </c>
      <c r="J8" s="53">
        <f>'R1'!J30</f>
        <v>3.8414252263392214E-2</v>
      </c>
      <c r="K8" s="53">
        <f>'R1'!K30</f>
        <v>1.0182655862281204E-2</v>
      </c>
      <c r="L8" s="53">
        <f>'R1'!L30</f>
        <v>1.2991749469978943E-2</v>
      </c>
      <c r="M8" s="53">
        <f>'R1'!M30</f>
        <v>5.6850625624835678E-2</v>
      </c>
      <c r="N8"/>
      <c r="O8" s="53">
        <f>'R1'!O30</f>
        <v>8.8208829581688741E-2</v>
      </c>
      <c r="P8" s="53">
        <f>'R1'!P30</f>
        <v>4.4422701959383923</v>
      </c>
      <c r="Q8" s="53">
        <f>'R1'!Q30</f>
        <v>3.3345545144612285E-2</v>
      </c>
      <c r="R8" s="53">
        <f>'R1'!R30</f>
        <v>0.47965088272065032</v>
      </c>
      <c r="S8" s="53">
        <f>'R1'!S30</f>
        <v>1.5484949602372389</v>
      </c>
      <c r="T8" s="53">
        <f>'R1'!T30</f>
        <v>1.9342028430865195E-2</v>
      </c>
      <c r="U8" s="53">
        <f>'R1'!U30</f>
        <v>1.1547044554877421</v>
      </c>
      <c r="V8" s="53">
        <f>'R1'!V30</f>
        <v>2.6392318712439811</v>
      </c>
    </row>
    <row r="9" spans="1:22" s="1" customFormat="1" x14ac:dyDescent="0.3">
      <c r="A9" s="226"/>
      <c r="B9" s="53">
        <f>'R1'!B31</f>
        <v>7.4887227538741486E-3</v>
      </c>
      <c r="C9" s="53">
        <f>'R1'!C31</f>
        <v>6.9852245994753828E-2</v>
      </c>
      <c r="D9" s="53">
        <f>'R1'!D31</f>
        <v>0.12628006807219372</v>
      </c>
      <c r="E9" s="53">
        <f>'R1'!E31</f>
        <v>0.18746566392032868</v>
      </c>
      <c r="F9" s="53">
        <f>'R1'!F31</f>
        <v>3.1558640805868499</v>
      </c>
      <c r="G9" s="53">
        <f>'R1'!G31</f>
        <v>6.5192465583205159</v>
      </c>
      <c r="H9" s="53">
        <f>'R1'!H31</f>
        <v>7.2360203122556372</v>
      </c>
      <c r="I9" s="53">
        <f>'R1'!I31</f>
        <v>3.4199377989353207E-2</v>
      </c>
      <c r="J9" s="53">
        <f>'R1'!J31</f>
        <v>0.10760021251224994</v>
      </c>
      <c r="K9" s="53">
        <f>'R1'!K31</f>
        <v>2.1662512491572462E-2</v>
      </c>
      <c r="L9" s="53">
        <f>'R1'!L31</f>
        <v>3.5659448605360085E-2</v>
      </c>
      <c r="M9" s="53">
        <f>'R1'!M31</f>
        <v>2.0240280325332524E-2</v>
      </c>
      <c r="N9"/>
      <c r="O9" s="53">
        <f>'R1'!O31</f>
        <v>1.4076775242795863</v>
      </c>
      <c r="P9" s="53">
        <f>'R1'!P31</f>
        <v>5.909247151602731</v>
      </c>
      <c r="Q9" s="53">
        <f>'R1'!Q31</f>
        <v>4.6171134465614666E-3</v>
      </c>
      <c r="R9" s="53">
        <f>'R1'!R31</f>
        <v>0.26703827863021112</v>
      </c>
      <c r="S9" s="53">
        <f>'R1'!S31</f>
        <v>0.28125813256762566</v>
      </c>
      <c r="T9" s="53">
        <f>'R1'!T31</f>
        <v>0.18689150657386513</v>
      </c>
      <c r="U9" s="53">
        <f>'R1'!U31</f>
        <v>3.2680904548706056E-3</v>
      </c>
      <c r="V9" s="53">
        <f>'R1'!V31</f>
        <v>0.28254710758468643</v>
      </c>
    </row>
    <row r="10" spans="1:22" s="1" customFormat="1" x14ac:dyDescent="0.3">
      <c r="A10" s="226"/>
      <c r="B10" s="53">
        <f>'R1'!B32</f>
        <v>0.12118174825359616</v>
      </c>
      <c r="C10" s="53">
        <f>'R1'!C32</f>
        <v>0.65368800984869047</v>
      </c>
      <c r="D10" s="53">
        <f>'R1'!D32</f>
        <v>1.9720552766283721</v>
      </c>
      <c r="E10" s="53">
        <f>'R1'!E32</f>
        <v>0.60955192592054108</v>
      </c>
      <c r="F10" s="53">
        <f>'R1'!F32</f>
        <v>3.8395201426509558</v>
      </c>
      <c r="G10" s="53">
        <f>'R1'!G32</f>
        <v>9.0345048617780961</v>
      </c>
      <c r="H10" s="53">
        <f>'R1'!H32</f>
        <v>3.9291158336741021</v>
      </c>
      <c r="I10" s="53">
        <f>'R1'!I32</f>
        <v>1.2979410845054941E-2</v>
      </c>
      <c r="J10" s="53">
        <f>'R1'!J32</f>
        <v>1.5652779578588662E-2</v>
      </c>
      <c r="K10" s="53">
        <f>'R1'!K32</f>
        <v>3.9212150008477668E-3</v>
      </c>
      <c r="L10" s="53">
        <f>'R1'!L32</f>
        <v>5.3014135848466058E-2</v>
      </c>
      <c r="M10" s="53">
        <f>'R1'!M32</f>
        <v>0.11720953360306254</v>
      </c>
      <c r="N10"/>
      <c r="O10" s="53">
        <f>'R1'!O32</f>
        <v>7.7914303520096581E-2</v>
      </c>
      <c r="P10" s="53">
        <f>'R1'!P32</f>
        <v>2.1393867723977147</v>
      </c>
      <c r="Q10" s="53">
        <f>'R1'!Q32</f>
        <v>1.133508343018297E-3</v>
      </c>
      <c r="R10" s="53">
        <f>'R1'!R32</f>
        <v>3.3492786068705371E-2</v>
      </c>
      <c r="S10" s="53">
        <f>'R1'!S32</f>
        <v>0.17811051850295054</v>
      </c>
      <c r="T10" s="53">
        <f>'R1'!T32</f>
        <v>1.8259453931533176</v>
      </c>
      <c r="U10" s="53">
        <f>'R1'!U32</f>
        <v>0.14221334572405467</v>
      </c>
      <c r="V10" s="53">
        <f>'R1'!V32</f>
        <v>1.0244603985149643</v>
      </c>
    </row>
    <row r="11" spans="1:22" s="1" customFormat="1" x14ac:dyDescent="0.3">
      <c r="A11" s="226"/>
      <c r="B11" s="53">
        <f>'R1'!B33</f>
        <v>5.6343096852961738E-2</v>
      </c>
      <c r="C11" s="53">
        <f>'R1'!C33</f>
        <v>0.18255900407555065</v>
      </c>
      <c r="D11" s="53">
        <f>'R1'!D33</f>
        <v>0.32477564009958504</v>
      </c>
      <c r="E11" s="53">
        <f>'R1'!E33</f>
        <v>0.69160295909015801</v>
      </c>
      <c r="F11" s="53">
        <f>'R1'!F33</f>
        <v>5.2423979418351054</v>
      </c>
      <c r="G11" s="53">
        <f>'R1'!G33</f>
        <v>3.5829203407064498</v>
      </c>
      <c r="H11" s="53">
        <f>'R1'!H33</f>
        <v>6.8722718914711001</v>
      </c>
      <c r="I11" s="53">
        <f>'R1'!I33</f>
        <v>2.4488057599168869E-3</v>
      </c>
      <c r="J11" s="53">
        <f>'R1'!J33</f>
        <v>5.951083315845046E-2</v>
      </c>
      <c r="K11" s="53">
        <f>'R1'!K33</f>
        <v>0.10760103508724488</v>
      </c>
      <c r="L11" s="53">
        <f>'R1'!L33</f>
        <v>5.8340308940660161E-2</v>
      </c>
      <c r="M11" s="53">
        <f>'R1'!M33</f>
        <v>9.9231334513796995E-2</v>
      </c>
      <c r="N11"/>
      <c r="O11" s="53">
        <f>'R1'!O33</f>
        <v>8.9718254697391628E-2</v>
      </c>
      <c r="P11" s="53">
        <f>'R1'!P33</f>
        <v>3.6121834461512075</v>
      </c>
      <c r="Q11" s="53">
        <f>'R1'!Q33</f>
        <v>2.6635800910940113E-2</v>
      </c>
      <c r="R11" s="53">
        <f>'R1'!R33</f>
        <v>1.9211239006670773E-2</v>
      </c>
      <c r="S11" s="53">
        <f>'R1'!S33</f>
        <v>1.5319941058388737</v>
      </c>
      <c r="T11" s="53">
        <f>'R1'!T33</f>
        <v>6.6488736840470936E-2</v>
      </c>
      <c r="U11" s="53">
        <f>'R1'!U33</f>
        <v>1.6300902868596627</v>
      </c>
      <c r="V11" s="53">
        <f>'R1'!V33</f>
        <v>4.3313780382964184</v>
      </c>
    </row>
    <row r="12" spans="1:22" s="1" customFormat="1" x14ac:dyDescent="0.3">
      <c r="A12" s="226"/>
      <c r="B12" s="53">
        <f>'R1'!B34</f>
        <v>2.7046265833411908E-3</v>
      </c>
      <c r="C12" s="53">
        <f>'R1'!C34</f>
        <v>3.2528728174643362E-2</v>
      </c>
      <c r="D12" s="53">
        <f>'R1'!D34</f>
        <v>0.50385926482154186</v>
      </c>
      <c r="E12" s="53">
        <f>'R1'!E34</f>
        <v>1.9719310678041371</v>
      </c>
      <c r="F12" s="53">
        <f>'R1'!F34</f>
        <v>1.7186626945891119</v>
      </c>
      <c r="G12" s="53">
        <f>'R1'!G34</f>
        <v>9.4792999516634371</v>
      </c>
      <c r="H12" s="53">
        <f>'R1'!H34</f>
        <v>6.3666876868851832</v>
      </c>
      <c r="I12" s="53">
        <f>'R1'!I34</f>
        <v>1.0685249184185543E-3</v>
      </c>
      <c r="J12" s="53">
        <f>'R1'!J34</f>
        <v>0.11609165418494796</v>
      </c>
      <c r="K12" s="53">
        <f>'R1'!K34</f>
        <v>7.9874499733023005E-2</v>
      </c>
      <c r="L12" s="53">
        <f>'R1'!L34</f>
        <v>8.7390367461729953E-3</v>
      </c>
      <c r="M12" s="53">
        <f>'R1'!M34</f>
        <v>3.5945704703596926E-2</v>
      </c>
      <c r="N12"/>
      <c r="O12" s="53">
        <f>'R1'!O34</f>
        <v>0.64043221380533788</v>
      </c>
      <c r="P12" s="53">
        <f>'R1'!P34</f>
        <v>5.1426426270495353</v>
      </c>
      <c r="Q12" s="53">
        <f>'R1'!Q34</f>
        <v>0.2030312505494544</v>
      </c>
      <c r="R12" s="53">
        <f>'R1'!R34</f>
        <v>0.32563029551932088</v>
      </c>
      <c r="S12" s="53">
        <f>'R1'!S34</f>
        <v>0.56618165931267483</v>
      </c>
      <c r="T12" s="53">
        <f>'R1'!T34</f>
        <v>0.69502240334409637</v>
      </c>
      <c r="U12" s="53">
        <f>'R1'!U34</f>
        <v>1.1734854877720628E-2</v>
      </c>
      <c r="V12" s="53">
        <f>'R1'!V34</f>
        <v>1.6252222880396465</v>
      </c>
    </row>
    <row r="13" spans="1:22" s="1" customFormat="1" x14ac:dyDescent="0.3">
      <c r="A13" s="226"/>
      <c r="B13" s="53">
        <f>'R1'!B35</f>
        <v>3.8760556336259196E-2</v>
      </c>
      <c r="C13" s="53">
        <f>'R1'!C35</f>
        <v>7.2227020005126694E-2</v>
      </c>
      <c r="D13" s="53">
        <f>'R1'!D35</f>
        <v>0.13980566871388445</v>
      </c>
      <c r="E13" s="53">
        <f>'R1'!E35</f>
        <v>4.1421586444868916E-2</v>
      </c>
      <c r="F13" s="53">
        <f>'R1'!F35</f>
        <v>5.4595955789473036</v>
      </c>
      <c r="G13" s="53" t="str">
        <f>'R1'!G35</f>
        <v/>
      </c>
      <c r="H13" s="53">
        <f>'R1'!H35</f>
        <v>4.9551514633043636</v>
      </c>
      <c r="I13" s="53">
        <f>'R1'!I35</f>
        <v>9.6387692756312052E-2</v>
      </c>
      <c r="J13" s="53">
        <f>'R1'!J35</f>
        <v>5.6482934602100424E-2</v>
      </c>
      <c r="K13" s="53">
        <f>'R1'!K35</f>
        <v>0.5386443162072877</v>
      </c>
      <c r="L13" s="53">
        <f>'R1'!L35</f>
        <v>6.5734435570116961E-2</v>
      </c>
      <c r="M13" s="53">
        <f>'R1'!M35</f>
        <v>0.24675275668015723</v>
      </c>
      <c r="N13"/>
      <c r="O13" s="53">
        <f>'R1'!O35</f>
        <v>1.3673803978527914</v>
      </c>
      <c r="P13" s="53">
        <f>'R1'!P35</f>
        <v>5.3930459715572079</v>
      </c>
      <c r="Q13" s="53">
        <f>'R1'!Q35</f>
        <v>1.7450928517513186E-2</v>
      </c>
      <c r="R13" s="53">
        <f>'R1'!R35</f>
        <v>1.624426035444551</v>
      </c>
      <c r="S13" s="53">
        <f>'R1'!S35</f>
        <v>1.8029067126952214</v>
      </c>
      <c r="T13" s="53">
        <f>'R1'!T35</f>
        <v>0.415849498388627</v>
      </c>
      <c r="U13" s="53">
        <f>'R1'!U35</f>
        <v>0.63276663742755301</v>
      </c>
      <c r="V13" s="53">
        <f>'R1'!V35</f>
        <v>0.64427692933165681</v>
      </c>
    </row>
    <row r="14" spans="1:22" s="1" customFormat="1" x14ac:dyDescent="0.3">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1.0741324121590157</v>
      </c>
      <c r="P14" s="53" t="str">
        <f>'R1'!P36</f>
        <v/>
      </c>
      <c r="Q14" s="53" t="str">
        <f>'R1'!Q36</f>
        <v/>
      </c>
      <c r="R14" s="53" t="str">
        <f>'R1'!R36</f>
        <v/>
      </c>
      <c r="S14" s="53" t="str">
        <f>'R1'!S36</f>
        <v/>
      </c>
      <c r="T14" s="53" t="str">
        <f>'R1'!T36</f>
        <v/>
      </c>
      <c r="U14" s="53" t="str">
        <f>'R1'!U36</f>
        <v/>
      </c>
      <c r="V14" s="53" t="str">
        <f>'R1'!V36</f>
        <v/>
      </c>
    </row>
    <row r="15" spans="1:22" s="1" customFormat="1" x14ac:dyDescent="0.3">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1.2917306432937465</v>
      </c>
      <c r="P15" s="53" t="str">
        <f>'R1'!P37</f>
        <v/>
      </c>
      <c r="Q15" s="53" t="str">
        <f>'R1'!Q37</f>
        <v/>
      </c>
      <c r="R15" s="53" t="str">
        <f>'R1'!R37</f>
        <v/>
      </c>
      <c r="S15" s="53" t="str">
        <f>'R1'!S37</f>
        <v/>
      </c>
      <c r="T15" s="53" t="str">
        <f>'R1'!T37</f>
        <v/>
      </c>
      <c r="U15" s="53" t="str">
        <f>'R1'!U37</f>
        <v/>
      </c>
      <c r="V15" s="53" t="str">
        <f>'R1'!V37</f>
        <v/>
      </c>
    </row>
    <row r="16" spans="1:22" s="1" customFormat="1" x14ac:dyDescent="0.3">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0.52299647207866862</v>
      </c>
      <c r="P16" s="53" t="str">
        <f>'R1'!P38</f>
        <v/>
      </c>
      <c r="Q16" s="53" t="str">
        <f>'R1'!Q38</f>
        <v/>
      </c>
      <c r="R16" s="53" t="str">
        <f>'R1'!R38</f>
        <v/>
      </c>
      <c r="S16" s="53" t="str">
        <f>'R1'!S38</f>
        <v/>
      </c>
      <c r="T16" s="53" t="str">
        <f>'R1'!T38</f>
        <v/>
      </c>
      <c r="U16" s="53" t="str">
        <f>'R1'!U38</f>
        <v/>
      </c>
      <c r="V16" s="53" t="str">
        <f>'R1'!V38</f>
        <v/>
      </c>
    </row>
    <row r="17" spans="1:22" s="1" customFormat="1" x14ac:dyDescent="0.3">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0.10337382218828187</v>
      </c>
      <c r="P17" s="53" t="str">
        <f>'R1'!P39</f>
        <v/>
      </c>
      <c r="Q17" s="53" t="str">
        <f>'R1'!Q39</f>
        <v/>
      </c>
      <c r="R17" s="53" t="str">
        <f>'R1'!R39</f>
        <v/>
      </c>
      <c r="S17" s="53" t="str">
        <f>'R1'!S39</f>
        <v/>
      </c>
      <c r="T17" s="53" t="str">
        <f>'R1'!T39</f>
        <v/>
      </c>
      <c r="U17" s="53" t="str">
        <f>'R1'!U39</f>
        <v/>
      </c>
      <c r="V17" s="53" t="str">
        <f>'R1'!V39</f>
        <v/>
      </c>
    </row>
    <row r="18" spans="1:22" s="1" customFormat="1" x14ac:dyDescent="0.3">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0.41899173486927277</v>
      </c>
      <c r="P18" s="53" t="str">
        <f>'R1'!P40</f>
        <v/>
      </c>
      <c r="Q18" s="53" t="str">
        <f>'R1'!Q40</f>
        <v/>
      </c>
      <c r="R18" s="53" t="str">
        <f>'R1'!R40</f>
        <v/>
      </c>
      <c r="S18" s="53" t="str">
        <f>'R1'!S40</f>
        <v/>
      </c>
      <c r="T18" s="53" t="str">
        <f>'R1'!T40</f>
        <v/>
      </c>
      <c r="U18" s="53" t="str">
        <f>'R1'!U40</f>
        <v/>
      </c>
      <c r="V18" s="53" t="str">
        <f>'R1'!V40</f>
        <v/>
      </c>
    </row>
    <row r="19" spans="1:22" s="1" customFormat="1" x14ac:dyDescent="0.3">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2.5453110808974744</v>
      </c>
      <c r="P19" s="53" t="str">
        <f>'R1'!P41</f>
        <v/>
      </c>
      <c r="Q19" s="53" t="str">
        <f>'R1'!Q41</f>
        <v/>
      </c>
      <c r="R19" s="53" t="str">
        <f>'R1'!R41</f>
        <v/>
      </c>
      <c r="S19" s="53" t="str">
        <f>'R1'!S41</f>
        <v/>
      </c>
      <c r="T19" s="53" t="str">
        <f>'R1'!T41</f>
        <v/>
      </c>
      <c r="U19" s="53" t="str">
        <f>'R1'!U41</f>
        <v/>
      </c>
      <c r="V19" s="53" t="str">
        <f>'R1'!V41</f>
        <v/>
      </c>
    </row>
    <row r="20" spans="1:22" s="1" customFormat="1" x14ac:dyDescent="0.3">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0.49607112476951193</v>
      </c>
      <c r="P20" s="53" t="str">
        <f>'R1'!P42</f>
        <v/>
      </c>
      <c r="Q20" s="53" t="str">
        <f>'R1'!Q42</f>
        <v/>
      </c>
      <c r="R20" s="53" t="str">
        <f>'R1'!R42</f>
        <v/>
      </c>
      <c r="S20" s="53" t="str">
        <f>'R1'!S42</f>
        <v/>
      </c>
      <c r="T20" s="53" t="str">
        <f>'R1'!T42</f>
        <v/>
      </c>
      <c r="U20" s="53" t="str">
        <f>'R1'!U42</f>
        <v/>
      </c>
      <c r="V20" s="53" t="str">
        <f>'R1'!V42</f>
        <v/>
      </c>
    </row>
    <row r="21" spans="1:22" s="1" customFormat="1" x14ac:dyDescent="0.3">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0.98932163988139699</v>
      </c>
      <c r="P21" s="53" t="str">
        <f>'R1'!P43</f>
        <v/>
      </c>
      <c r="Q21" s="53" t="str">
        <f>'R1'!Q43</f>
        <v/>
      </c>
      <c r="R21" s="53" t="str">
        <f>'R1'!R43</f>
        <v/>
      </c>
      <c r="S21" s="53" t="str">
        <f>'R1'!S43</f>
        <v/>
      </c>
      <c r="T21" s="53" t="str">
        <f>'R1'!T43</f>
        <v/>
      </c>
      <c r="U21" s="53" t="str">
        <f>'R1'!U43</f>
        <v/>
      </c>
      <c r="V21" s="53" t="str">
        <f>'R1'!V43</f>
        <v/>
      </c>
    </row>
    <row r="22" spans="1:22" x14ac:dyDescent="0.3">
      <c r="A22" s="39" t="s">
        <v>5</v>
      </c>
      <c r="B22" s="54">
        <f>'R2'!B28</f>
        <v>5.667643291571528E-2</v>
      </c>
      <c r="C22" s="54">
        <f>'R2'!C28</f>
        <v>1.2841477623647457E-2</v>
      </c>
      <c r="D22" s="54">
        <f>'R2'!D28</f>
        <v>0.17305564390511216</v>
      </c>
      <c r="E22" s="54">
        <f>'R2'!E28</f>
        <v>1.1000161353219462</v>
      </c>
      <c r="F22" s="54">
        <f>'R2'!F28</f>
        <v>2.1853570008752534</v>
      </c>
      <c r="G22" s="54">
        <f>'R2'!G28</f>
        <v>2.057544761764011</v>
      </c>
      <c r="H22" s="54">
        <f>'R2'!H28</f>
        <v>4.9412999643619022</v>
      </c>
      <c r="I22" s="54">
        <f>'R2'!I28</f>
        <v>4.7056328209712513E-2</v>
      </c>
      <c r="J22" s="54">
        <f>'R2'!J28</f>
        <v>4.9485448282593707E-2</v>
      </c>
      <c r="K22" s="54">
        <f>'R2'!K28</f>
        <v>2.2748053066142773E-2</v>
      </c>
      <c r="L22" s="54">
        <f>'R2'!L28</f>
        <v>1.0684789324013485E-3</v>
      </c>
      <c r="M22" s="54">
        <f>'R2'!M28</f>
        <v>8.7895672290378118E-2</v>
      </c>
      <c r="O22" s="54">
        <f>'R2'!O28</f>
        <v>1.9483371844043433</v>
      </c>
      <c r="P22" s="54">
        <f>'R2'!P28</f>
        <v>0.86408035447243903</v>
      </c>
      <c r="Q22" s="54">
        <f>'R2'!Q28</f>
        <v>3.9490085883357652E-2</v>
      </c>
      <c r="R22" s="54">
        <f>'R2'!R28</f>
        <v>5.0983064172575282E-2</v>
      </c>
      <c r="S22" s="54">
        <f>'R2'!S28</f>
        <v>0.51423773789046934</v>
      </c>
      <c r="T22" s="54">
        <f>'R2'!T28</f>
        <v>1.5302940432394376</v>
      </c>
      <c r="U22" s="54">
        <f>'R2'!U28</f>
        <v>1.8242354053356977</v>
      </c>
      <c r="V22" s="54">
        <f>'R2'!V28</f>
        <v>0.29026277429454445</v>
      </c>
    </row>
    <row r="23" spans="1:22" x14ac:dyDescent="0.3">
      <c r="A23" s="225" t="s">
        <v>34</v>
      </c>
      <c r="B23" s="54">
        <f>'R2'!B29</f>
        <v>5.1419410327497708E-2</v>
      </c>
      <c r="C23" s="54">
        <f>'R2'!C29</f>
        <v>5.9099102654132402E-2</v>
      </c>
      <c r="D23" s="54">
        <f>'R2'!D29</f>
        <v>1.5647373115518188E-2</v>
      </c>
      <c r="E23" s="54">
        <f>'R2'!E29</f>
        <v>0.58704873388945966</v>
      </c>
      <c r="F23" s="54">
        <f>'R2'!F29</f>
        <v>3.1256412272747838</v>
      </c>
      <c r="G23" s="54">
        <f>'R2'!G29</f>
        <v>3.7111164589864494</v>
      </c>
      <c r="H23" s="54">
        <f>'R2'!H29</f>
        <v>4.7662261246324142</v>
      </c>
      <c r="I23" s="54">
        <f>'R2'!I29</f>
        <v>1.1686108891700686E-2</v>
      </c>
      <c r="J23" s="54">
        <f>'R2'!J29</f>
        <v>6.8822792142999356E-2</v>
      </c>
      <c r="K23" s="54">
        <f>'R2'!K29</f>
        <v>5.8525781749708239E-2</v>
      </c>
      <c r="L23" s="54">
        <f>'R2'!L29</f>
        <v>3.6019805941687646E-2</v>
      </c>
      <c r="M23" s="54">
        <f>'R2'!M29</f>
        <v>7.9387681132268947E-2</v>
      </c>
      <c r="O23" s="54">
        <f>'R2'!O29</f>
        <v>1.4440238552340052</v>
      </c>
      <c r="P23" s="54">
        <f>'R2'!P29</f>
        <v>3.131774736487237</v>
      </c>
      <c r="Q23" s="54">
        <f>'R2'!Q29</f>
        <v>9.310374822295657E-2</v>
      </c>
      <c r="R23" s="54">
        <f>'R2'!R29</f>
        <v>0.55829352228007179</v>
      </c>
      <c r="S23" s="54">
        <f>'R2'!S29</f>
        <v>4.2570689737109979E-2</v>
      </c>
      <c r="T23" s="54">
        <f>'R2'!T29</f>
        <v>0.22671066427156894</v>
      </c>
      <c r="U23" s="54">
        <f>'R2'!U29</f>
        <v>0.48859424351283698</v>
      </c>
      <c r="V23" s="54">
        <f>'R2'!V29</f>
        <v>0.31125292150350847</v>
      </c>
    </row>
    <row r="24" spans="1:22" x14ac:dyDescent="0.3">
      <c r="A24" s="226"/>
      <c r="B24" s="54">
        <f>'R2'!B30</f>
        <v>1.2569045850400239E-2</v>
      </c>
      <c r="C24" s="54">
        <f>'R2'!C30</f>
        <v>1.9420439345560449E-2</v>
      </c>
      <c r="D24" s="54">
        <f>'R2'!D30</f>
        <v>5.6302692948238246E-2</v>
      </c>
      <c r="E24" s="54">
        <f>'R2'!E30</f>
        <v>5.5105586757994547E-2</v>
      </c>
      <c r="F24" s="54">
        <f>'R2'!F30</f>
        <v>1.945514973360593</v>
      </c>
      <c r="G24" s="54">
        <f>'R2'!G30</f>
        <v>4.3350705917963701</v>
      </c>
      <c r="H24" s="54">
        <f>'R2'!H30</f>
        <v>1.2357182717770643</v>
      </c>
      <c r="I24" s="54">
        <f>'R2'!I30</f>
        <v>5.4286773712496642E-2</v>
      </c>
      <c r="J24" s="54">
        <f>'R2'!J30</f>
        <v>2.960665575864518E-2</v>
      </c>
      <c r="K24" s="54">
        <f>'R2'!K30</f>
        <v>0.21001568095279788</v>
      </c>
      <c r="L24" s="54">
        <f>'R2'!L30</f>
        <v>2.525457715259281E-2</v>
      </c>
      <c r="M24" s="54">
        <f>'R2'!M30</f>
        <v>3.6458428685244453E-2</v>
      </c>
      <c r="O24" s="54">
        <f>'R2'!O30</f>
        <v>1.8330495976651306</v>
      </c>
      <c r="P24" s="54">
        <f>'R2'!P30</f>
        <v>2.2423995851296645</v>
      </c>
      <c r="Q24" s="54">
        <f>'R2'!Q30</f>
        <v>4.9459267513298363E-2</v>
      </c>
      <c r="R24" s="54">
        <f>'R2'!R30</f>
        <v>1.5821353813271735</v>
      </c>
      <c r="S24" s="54">
        <f>'R2'!S30</f>
        <v>0.11343899676809786</v>
      </c>
      <c r="T24" s="54">
        <f>'R2'!T30</f>
        <v>4.4727378036743953E-2</v>
      </c>
      <c r="U24" s="54">
        <f>'R2'!U30</f>
        <v>1.3410628576556316</v>
      </c>
      <c r="V24" s="54">
        <f>'R2'!V30</f>
        <v>0.52018722285497687</v>
      </c>
    </row>
    <row r="25" spans="1:22" x14ac:dyDescent="0.3">
      <c r="A25" s="226"/>
      <c r="B25" s="54">
        <f>'R2'!B31</f>
        <v>1.7042542516952759E-2</v>
      </c>
      <c r="C25" s="54">
        <f>'R2'!C31</f>
        <v>0.17184070443723251</v>
      </c>
      <c r="D25" s="54">
        <f>'R2'!D31</f>
        <v>4.4062234724066549E-2</v>
      </c>
      <c r="E25" s="54">
        <f>'R2'!E31</f>
        <v>0.71590516832100359</v>
      </c>
      <c r="F25" s="54">
        <f>'R2'!F31</f>
        <v>4.9380106732166649</v>
      </c>
      <c r="G25" s="54">
        <f>'R2'!G31</f>
        <v>4.1161007083131249</v>
      </c>
      <c r="H25" s="54">
        <f>'R2'!H31</f>
        <v>5.5480476402731949</v>
      </c>
      <c r="I25" s="54">
        <f>'R2'!I31</f>
        <v>5.1113588587612946E-2</v>
      </c>
      <c r="J25" s="54">
        <f>'R2'!J31</f>
        <v>0.10777408538288759</v>
      </c>
      <c r="K25" s="54">
        <f>'R2'!K31</f>
        <v>3.2717993558961607E-2</v>
      </c>
      <c r="L25" s="54">
        <f>'R2'!L31</f>
        <v>0.18200756984692504</v>
      </c>
      <c r="M25" s="54">
        <f>'R2'!M31</f>
        <v>9.602271428366807E-2</v>
      </c>
      <c r="O25" s="54">
        <f>'R2'!O31</f>
        <v>1.5617792640528836</v>
      </c>
      <c r="P25" s="54">
        <f>'R2'!P31</f>
        <v>1.8958033839403177</v>
      </c>
      <c r="Q25" s="54">
        <f>'R2'!Q31</f>
        <v>9.3749919963680827E-3</v>
      </c>
      <c r="R25" s="54">
        <f>'R2'!R31</f>
        <v>1.6755381215241116</v>
      </c>
      <c r="S25" s="54">
        <f>'R2'!S31</f>
        <v>0.52620500547851567</v>
      </c>
      <c r="T25" s="54">
        <f>'R2'!T31</f>
        <v>0.88044599130210344</v>
      </c>
      <c r="U25" s="54">
        <f>'R2'!U31</f>
        <v>0.94124949998050667</v>
      </c>
      <c r="V25" s="54">
        <f>'R2'!V31</f>
        <v>1.0796915108570986</v>
      </c>
    </row>
    <row r="26" spans="1:22" x14ac:dyDescent="0.3">
      <c r="A26" s="226"/>
      <c r="B26" s="54">
        <f>'R2'!B32</f>
        <v>6.1342680753311797E-3</v>
      </c>
      <c r="C26" s="54">
        <f>'R2'!C32</f>
        <v>6.4951073738800727E-2</v>
      </c>
      <c r="D26" s="54">
        <f>'R2'!D32</f>
        <v>0.13234985969099672</v>
      </c>
      <c r="E26" s="54">
        <f>'R2'!E32</f>
        <v>0.62522067495351252</v>
      </c>
      <c r="F26" s="54">
        <f>'R2'!F32</f>
        <v>1.6788319658466173</v>
      </c>
      <c r="G26" s="54">
        <f>'R2'!G32</f>
        <v>4.7466448063566906</v>
      </c>
      <c r="H26" s="54">
        <f>'R2'!H32</f>
        <v>8.0706926302747011</v>
      </c>
      <c r="I26" s="54">
        <f>'R2'!I32</f>
        <v>2.3161253903282358E-2</v>
      </c>
      <c r="J26" s="54">
        <f>'R2'!J32</f>
        <v>2.8118905086079241E-2</v>
      </c>
      <c r="K26" s="54">
        <f>'R2'!K32</f>
        <v>1.8425190680898254E-3</v>
      </c>
      <c r="L26" s="54">
        <f>'R2'!L32</f>
        <v>3.4361311121543369E-3</v>
      </c>
      <c r="M26" s="54">
        <f>'R2'!M32</f>
        <v>2.0360291020119449E-3</v>
      </c>
      <c r="O26" s="54">
        <f>'R2'!O32</f>
        <v>1.2607816154843694</v>
      </c>
      <c r="P26" s="54">
        <f>'R2'!P32</f>
        <v>1.6073391146669318</v>
      </c>
      <c r="Q26" s="54">
        <f>'R2'!Q32</f>
        <v>9.3078326316539343E-3</v>
      </c>
      <c r="R26" s="54">
        <f>'R2'!R32</f>
        <v>0.52818336100179009</v>
      </c>
      <c r="S26" s="54">
        <f>'R2'!S32</f>
        <v>1.9770582471842155</v>
      </c>
      <c r="T26" s="54">
        <f>'R2'!T32</f>
        <v>1.4741013854085276</v>
      </c>
      <c r="U26" s="54">
        <f>'R2'!U32</f>
        <v>2.9296113891658475</v>
      </c>
      <c r="V26" s="54">
        <f>'R2'!V32</f>
        <v>0.42559003248786836</v>
      </c>
    </row>
    <row r="27" spans="1:22" x14ac:dyDescent="0.3">
      <c r="A27" s="226"/>
      <c r="B27" s="54">
        <f>'R2'!B33</f>
        <v>5.9390505999332772E-2</v>
      </c>
      <c r="C27" s="54">
        <f>'R2'!C33</f>
        <v>2.536878601575077E-2</v>
      </c>
      <c r="D27" s="54">
        <f>'R2'!D33</f>
        <v>8.3784153216691679E-2</v>
      </c>
      <c r="E27" s="54">
        <f>'R2'!E33</f>
        <v>1.0183347911405416</v>
      </c>
      <c r="F27" s="54">
        <f>'R2'!F33</f>
        <v>1.8459688587337861</v>
      </c>
      <c r="G27" s="54">
        <f>'R2'!G33</f>
        <v>2.8112208121179778</v>
      </c>
      <c r="H27" s="54">
        <f>'R2'!H33</f>
        <v>6.5098228633812525</v>
      </c>
      <c r="I27" s="54">
        <f>'R2'!I33</f>
        <v>2.5045889861108173E-2</v>
      </c>
      <c r="J27" s="54">
        <f>'R2'!J33</f>
        <v>1.2368706050574985E-2</v>
      </c>
      <c r="K27" s="54">
        <f>'R2'!K33</f>
        <v>1.6666905392280409E-2</v>
      </c>
      <c r="L27" s="54">
        <f>'R2'!L33</f>
        <v>1.933544670321034E-2</v>
      </c>
      <c r="M27" s="54">
        <f>'R2'!M33</f>
        <v>2.588101845848579E-2</v>
      </c>
      <c r="O27" s="54">
        <f>'R2'!O33</f>
        <v>0.30533606764276039</v>
      </c>
      <c r="P27" s="54">
        <f>'R2'!P33</f>
        <v>0.60959910317585064</v>
      </c>
      <c r="Q27" s="54">
        <f>'R2'!Q33</f>
        <v>5.3768090935297545E-2</v>
      </c>
      <c r="R27" s="54">
        <f>'R2'!R33</f>
        <v>6.2909732596641899E-2</v>
      </c>
      <c r="S27" s="54">
        <f>'R2'!S33</f>
        <v>0.52777623106767546</v>
      </c>
      <c r="T27" s="54">
        <f>'R2'!T33</f>
        <v>5.3206911836923401E-2</v>
      </c>
      <c r="U27" s="54">
        <f>'R2'!U33</f>
        <v>0.976827268295686</v>
      </c>
      <c r="V27" s="54">
        <f>'R2'!V33</f>
        <v>1.1378970524722376</v>
      </c>
    </row>
    <row r="28" spans="1:22" x14ac:dyDescent="0.3">
      <c r="A28" s="226"/>
      <c r="B28" s="54">
        <f>'R2'!B34</f>
        <v>2.928831278127134E-3</v>
      </c>
      <c r="C28" s="54">
        <f>'R2'!C34</f>
        <v>0.24257165728727959</v>
      </c>
      <c r="D28" s="54">
        <f>'R2'!D34</f>
        <v>0.34285121288579523</v>
      </c>
      <c r="E28" s="54">
        <f>'R2'!E34</f>
        <v>0.31738529242164432</v>
      </c>
      <c r="F28" s="54">
        <f>'R2'!F34</f>
        <v>1.1681218020451165</v>
      </c>
      <c r="G28" s="54">
        <f>'R2'!G34</f>
        <v>0.92069190461207451</v>
      </c>
      <c r="H28" s="54">
        <f>'R2'!H34</f>
        <v>3.9021613268489763</v>
      </c>
      <c r="I28" s="54">
        <f>'R2'!I34</f>
        <v>4.375299810123022E-2</v>
      </c>
      <c r="J28" s="54">
        <f>'R2'!J34</f>
        <v>1.1344241165104943E-2</v>
      </c>
      <c r="K28" s="54">
        <f>'R2'!K34</f>
        <v>5.5116590269727372E-2</v>
      </c>
      <c r="L28" s="54">
        <f>'R2'!L34</f>
        <v>3.5263219652196066E-2</v>
      </c>
      <c r="M28" s="54">
        <f>'R2'!M34</f>
        <v>0.22665299069283137</v>
      </c>
      <c r="O28" s="54">
        <f>'R2'!O34</f>
        <v>0.29502501828622391</v>
      </c>
      <c r="P28" s="54">
        <f>'R2'!P34</f>
        <v>0.77043553701737866</v>
      </c>
      <c r="Q28" s="54">
        <f>'R2'!Q34</f>
        <v>1.0589931464247741E-2</v>
      </c>
      <c r="R28" s="54">
        <f>'R2'!R34</f>
        <v>0.80052558842939003</v>
      </c>
      <c r="S28" s="54">
        <f>'R2'!S34</f>
        <v>0.17471337986237831</v>
      </c>
      <c r="T28" s="54">
        <f>'R2'!T34</f>
        <v>0.37122130158453415</v>
      </c>
      <c r="U28" s="54">
        <f>'R2'!U34</f>
        <v>0.18108668974431918</v>
      </c>
      <c r="V28" s="54">
        <f>'R2'!V34</f>
        <v>9.3056319293073703E-2</v>
      </c>
    </row>
    <row r="29" spans="1:22" x14ac:dyDescent="0.3">
      <c r="A29" s="226"/>
      <c r="B29" s="54">
        <f>'R2'!B35</f>
        <v>1.0766367083412026E-2</v>
      </c>
      <c r="C29" s="54">
        <f>'R2'!C35</f>
        <v>2.5372200898702336E-2</v>
      </c>
      <c r="D29" s="54">
        <f>'R2'!D35</f>
        <v>0.14315113446680255</v>
      </c>
      <c r="E29" s="54">
        <f>'R2'!E35</f>
        <v>2.620442684557112</v>
      </c>
      <c r="F29" s="54">
        <f>'R2'!F35</f>
        <v>2.2260415369287814</v>
      </c>
      <c r="G29" s="54">
        <f>'R2'!G35</f>
        <v>2.1080281147313404</v>
      </c>
      <c r="H29" s="54">
        <f>'R2'!H35</f>
        <v>4.40471105869055</v>
      </c>
      <c r="I29" s="54">
        <f>'R2'!I35</f>
        <v>8.6111965095343052E-3</v>
      </c>
      <c r="J29" s="54" t="str">
        <f>'R2'!J35</f>
        <v/>
      </c>
      <c r="K29" s="54">
        <f>'R2'!K35</f>
        <v>3.9441898090596655E-3</v>
      </c>
      <c r="L29" s="54">
        <f>'R2'!L35</f>
        <v>3.56369596196731E-2</v>
      </c>
      <c r="M29" s="54">
        <f>'R2'!M35</f>
        <v>1.808825556301033E-2</v>
      </c>
      <c r="O29" s="54">
        <f>'R2'!O35</f>
        <v>0.60381429145589649</v>
      </c>
      <c r="P29" s="54">
        <f>'R2'!P35</f>
        <v>1.2826971959732079</v>
      </c>
      <c r="Q29" s="54">
        <f>'R2'!Q35</f>
        <v>4.6374110482277275E-3</v>
      </c>
      <c r="R29" s="54">
        <f>'R2'!R35</f>
        <v>1.1896469475831593</v>
      </c>
      <c r="S29" s="54">
        <f>'R2'!S35</f>
        <v>0.26832708393943555</v>
      </c>
      <c r="T29" s="54">
        <f>'R2'!T35</f>
        <v>0.76498955757250764</v>
      </c>
      <c r="U29" s="54" t="str">
        <f>'R2'!U35</f>
        <v/>
      </c>
      <c r="V29" s="54">
        <f>'R2'!V35</f>
        <v>6.3747517214092955E-2</v>
      </c>
    </row>
    <row r="30" spans="1:22" x14ac:dyDescent="0.3">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3.2428866802395616E-2</v>
      </c>
      <c r="P30" s="54" t="str">
        <f>'R2'!P36</f>
        <v/>
      </c>
      <c r="Q30" s="54" t="str">
        <f>'R2'!Q36</f>
        <v/>
      </c>
      <c r="R30" s="54" t="str">
        <f>'R2'!R36</f>
        <v/>
      </c>
      <c r="S30" s="54" t="str">
        <f>'R2'!S36</f>
        <v/>
      </c>
      <c r="T30" s="54" t="str">
        <f>'R2'!T36</f>
        <v/>
      </c>
      <c r="U30" s="54" t="str">
        <f>'R2'!U36</f>
        <v/>
      </c>
      <c r="V30" s="54" t="str">
        <f>'R2'!V36</f>
        <v/>
      </c>
    </row>
    <row r="31" spans="1:22" s="1" customFormat="1" x14ac:dyDescent="0.3">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0.68526114700796015</v>
      </c>
      <c r="P31" s="54" t="str">
        <f>'R2'!P37</f>
        <v/>
      </c>
      <c r="Q31" s="54" t="str">
        <f>'R2'!Q37</f>
        <v/>
      </c>
      <c r="R31" s="54" t="str">
        <f>'R2'!R37</f>
        <v/>
      </c>
      <c r="S31" s="54" t="str">
        <f>'R2'!S37</f>
        <v/>
      </c>
      <c r="T31" s="54" t="str">
        <f>'R2'!T37</f>
        <v/>
      </c>
      <c r="U31" s="54" t="str">
        <f>'R2'!U37</f>
        <v/>
      </c>
      <c r="V31" s="54" t="str">
        <f>'R2'!V37</f>
        <v/>
      </c>
    </row>
    <row r="32" spans="1:22" s="1" customFormat="1" x14ac:dyDescent="0.3">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1.0675595700244989</v>
      </c>
      <c r="P32" s="54" t="str">
        <f>'R2'!P38</f>
        <v/>
      </c>
      <c r="Q32" s="54" t="str">
        <f>'R2'!Q38</f>
        <v/>
      </c>
      <c r="R32" s="54" t="str">
        <f>'R2'!R38</f>
        <v/>
      </c>
      <c r="S32" s="54" t="str">
        <f>'R2'!S38</f>
        <v/>
      </c>
      <c r="T32" s="54" t="str">
        <f>'R2'!T38</f>
        <v/>
      </c>
      <c r="U32" s="54" t="str">
        <f>'R2'!U38</f>
        <v/>
      </c>
      <c r="V32" s="54" t="str">
        <f>'R2'!V38</f>
        <v/>
      </c>
    </row>
    <row r="33" spans="1:22" s="1" customFormat="1" x14ac:dyDescent="0.3">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0.40605424598483281</v>
      </c>
      <c r="P33" s="54" t="str">
        <f>'R2'!P39</f>
        <v/>
      </c>
      <c r="Q33" s="54" t="str">
        <f>'R2'!Q39</f>
        <v/>
      </c>
      <c r="R33" s="54" t="str">
        <f>'R2'!R39</f>
        <v/>
      </c>
      <c r="S33" s="54" t="str">
        <f>'R2'!S39</f>
        <v/>
      </c>
      <c r="T33" s="54" t="str">
        <f>'R2'!T39</f>
        <v/>
      </c>
      <c r="U33" s="54" t="str">
        <f>'R2'!U39</f>
        <v/>
      </c>
      <c r="V33" s="54" t="str">
        <f>'R2'!V39</f>
        <v/>
      </c>
    </row>
    <row r="34" spans="1:22" s="1" customFormat="1" x14ac:dyDescent="0.3">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0.31498766515820537</v>
      </c>
      <c r="P34" s="54" t="str">
        <f>'R2'!P40</f>
        <v/>
      </c>
      <c r="Q34" s="54" t="str">
        <f>'R2'!Q40</f>
        <v/>
      </c>
      <c r="R34" s="54" t="str">
        <f>'R2'!R40</f>
        <v/>
      </c>
      <c r="S34" s="54" t="str">
        <f>'R2'!S40</f>
        <v/>
      </c>
      <c r="T34" s="54" t="str">
        <f>'R2'!T40</f>
        <v/>
      </c>
      <c r="U34" s="54" t="str">
        <f>'R2'!U40</f>
        <v/>
      </c>
      <c r="V34" s="54" t="str">
        <f>'R2'!V40</f>
        <v/>
      </c>
    </row>
    <row r="35" spans="1:22" s="1" customFormat="1" x14ac:dyDescent="0.3">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2.1151796384947992</v>
      </c>
      <c r="P35" s="54" t="str">
        <f>'R2'!P41</f>
        <v/>
      </c>
      <c r="Q35" s="54" t="str">
        <f>'R2'!Q41</f>
        <v/>
      </c>
      <c r="R35" s="54" t="str">
        <f>'R2'!R41</f>
        <v/>
      </c>
      <c r="S35" s="54" t="str">
        <f>'R2'!S41</f>
        <v/>
      </c>
      <c r="T35" s="54" t="str">
        <f>'R2'!T41</f>
        <v/>
      </c>
      <c r="U35" s="54" t="str">
        <f>'R2'!U41</f>
        <v/>
      </c>
      <c r="V35" s="54" t="str">
        <f>'R2'!V41</f>
        <v/>
      </c>
    </row>
    <row r="36" spans="1:22" x14ac:dyDescent="0.3">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0.67528855049506786</v>
      </c>
      <c r="P36" s="54" t="str">
        <f>'R2'!P42</f>
        <v/>
      </c>
      <c r="Q36" s="54" t="str">
        <f>'R2'!Q42</f>
        <v/>
      </c>
      <c r="R36" s="54" t="str">
        <f>'R2'!R42</f>
        <v/>
      </c>
      <c r="S36" s="54" t="str">
        <f>'R2'!S42</f>
        <v/>
      </c>
      <c r="T36" s="54" t="str">
        <f>'R2'!T42</f>
        <v/>
      </c>
      <c r="U36" s="54" t="str">
        <f>'R2'!U42</f>
        <v/>
      </c>
      <c r="V36" s="54" t="str">
        <f>'R2'!V42</f>
        <v/>
      </c>
    </row>
    <row r="37" spans="1:22" x14ac:dyDescent="0.3">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1.4510934218066267</v>
      </c>
      <c r="P37" s="54" t="str">
        <f>'R2'!P43</f>
        <v/>
      </c>
      <c r="Q37" s="54" t="str">
        <f>'R2'!Q43</f>
        <v/>
      </c>
      <c r="R37" s="54" t="str">
        <f>'R2'!R43</f>
        <v/>
      </c>
      <c r="S37" s="54" t="str">
        <f>'R2'!S43</f>
        <v/>
      </c>
      <c r="T37" s="54" t="str">
        <f>'R2'!T43</f>
        <v/>
      </c>
      <c r="U37" s="54" t="str">
        <f>'R2'!U43</f>
        <v/>
      </c>
      <c r="V37" s="54" t="str">
        <f>'R2'!V43</f>
        <v/>
      </c>
    </row>
    <row r="38" spans="1:22" s="1" customFormat="1" x14ac:dyDescent="0.3">
      <c r="A38" s="154" t="s">
        <v>116</v>
      </c>
      <c r="B38" s="155">
        <f>'R3'!B28</f>
        <v>1.5279043496813695E-2</v>
      </c>
      <c r="C38" s="155">
        <f>'R3'!C28</f>
        <v>1.6541822205388849E-2</v>
      </c>
      <c r="D38" s="155">
        <f>'R3'!D28</f>
        <v>0.13962098445467311</v>
      </c>
      <c r="E38" s="155">
        <f>'R3'!E28</f>
        <v>0.12115894472386743</v>
      </c>
      <c r="F38" s="155">
        <f>'R3'!F28</f>
        <v>0.68503884264305293</v>
      </c>
      <c r="G38" s="155">
        <f>'R3'!G28</f>
        <v>2.4149158395617736</v>
      </c>
      <c r="H38" s="155">
        <f>'R3'!H28</f>
        <v>8.4020126724433073</v>
      </c>
      <c r="I38" s="155">
        <f>'R3'!I28</f>
        <v>4.183874473015238E-2</v>
      </c>
      <c r="J38" s="155">
        <f>'R3'!J28</f>
        <v>6.4792869559176939E-3</v>
      </c>
      <c r="K38" s="155">
        <f>'R3'!K28</f>
        <v>4.9943021969207052E-2</v>
      </c>
      <c r="L38" s="155">
        <f>'R3'!L28</f>
        <v>8.5425697836157975E-4</v>
      </c>
      <c r="M38" s="155">
        <f>'R3'!M28</f>
        <v>1.8122156267004509E-2</v>
      </c>
      <c r="N38"/>
      <c r="O38" s="155">
        <f>'R3'!O28</f>
        <v>4.0975391114073494E-2</v>
      </c>
      <c r="P38" s="155">
        <f>'R3'!P28</f>
        <v>5.6770222239129104</v>
      </c>
      <c r="Q38" s="155">
        <f>'R3'!Q28</f>
        <v>1.3446484480309088E-2</v>
      </c>
      <c r="R38" s="155">
        <f>'R3'!R28</f>
        <v>0.47542998152555577</v>
      </c>
      <c r="S38" s="155">
        <f>'R3'!S28</f>
        <v>0.90168105865015824</v>
      </c>
      <c r="T38" s="155">
        <f>'R3'!T28</f>
        <v>2.8323100994179806</v>
      </c>
      <c r="U38" s="155">
        <f>'R3'!U28</f>
        <v>1.3851607375884647</v>
      </c>
      <c r="V38" s="155">
        <f>'R3'!V28</f>
        <v>0.53393542048794362</v>
      </c>
    </row>
    <row r="39" spans="1:22" s="1" customFormat="1" x14ac:dyDescent="0.3">
      <c r="A39" s="225" t="s">
        <v>34</v>
      </c>
      <c r="B39" s="155">
        <f>'R3'!B29</f>
        <v>2.6049462554104319E-3</v>
      </c>
      <c r="C39" s="155">
        <f>'R3'!C29</f>
        <v>2.2063481299793755E-2</v>
      </c>
      <c r="D39" s="155">
        <f>'R3'!D29</f>
        <v>6.9683552782826869E-2</v>
      </c>
      <c r="E39" s="155">
        <f>'R3'!E29</f>
        <v>2.1152990560997918E-2</v>
      </c>
      <c r="F39" s="155">
        <f>'R3'!F29</f>
        <v>0.73545819764182074</v>
      </c>
      <c r="G39" s="155">
        <f>'R3'!G29</f>
        <v>3.3726636112990165</v>
      </c>
      <c r="H39" s="155">
        <f>'R3'!H29</f>
        <v>3.6139618503553477</v>
      </c>
      <c r="I39" s="155">
        <f>'R3'!I29</f>
        <v>2.6707728338011209E-2</v>
      </c>
      <c r="J39" s="155">
        <f>'R3'!J29</f>
        <v>7.786225705775042E-2</v>
      </c>
      <c r="K39" s="155">
        <f>'R3'!K29</f>
        <v>5.3719780556019579E-2</v>
      </c>
      <c r="L39" s="155">
        <f>'R3'!L29</f>
        <v>4.0852173021357251E-4</v>
      </c>
      <c r="M39" s="155">
        <f>'R3'!M29</f>
        <v>1.8374381221893457E-2</v>
      </c>
      <c r="N39"/>
      <c r="O39" s="155">
        <f>'R3'!O29</f>
        <v>8.1132084833589413E-2</v>
      </c>
      <c r="P39" s="155">
        <f>'R3'!P29</f>
        <v>8.6694993045206985</v>
      </c>
      <c r="Q39" s="155">
        <f>'R3'!Q29</f>
        <v>6.8596918059141377E-3</v>
      </c>
      <c r="R39" s="155">
        <f>'R3'!R29</f>
        <v>0.26191535495907342</v>
      </c>
      <c r="S39" s="155">
        <f>'R3'!S29</f>
        <v>0.23652829302420203</v>
      </c>
      <c r="T39" s="155">
        <f>'R3'!T29</f>
        <v>8.3060572029658355E-3</v>
      </c>
      <c r="U39" s="155">
        <f>'R3'!U29</f>
        <v>1.1699921768915631</v>
      </c>
      <c r="V39" s="155">
        <f>'R3'!V29</f>
        <v>7.6494453531893635E-4</v>
      </c>
    </row>
    <row r="40" spans="1:22" s="1" customFormat="1" x14ac:dyDescent="0.3">
      <c r="A40" s="226"/>
      <c r="B40" s="155">
        <f>'R3'!B30</f>
        <v>1.3011499804008805E-2</v>
      </c>
      <c r="C40" s="155">
        <f>'R3'!C30</f>
        <v>2.9057968737337066E-2</v>
      </c>
      <c r="D40" s="155">
        <f>'R3'!D30</f>
        <v>9.6556674533880022E-3</v>
      </c>
      <c r="E40" s="155">
        <f>'R3'!E30</f>
        <v>0.57988998030164451</v>
      </c>
      <c r="F40" s="155">
        <f>'R3'!F30</f>
        <v>0.21010007955423168</v>
      </c>
      <c r="G40" s="155">
        <f>'R3'!G30</f>
        <v>3.7352233389953011</v>
      </c>
      <c r="H40" s="155">
        <f>'R3'!H30</f>
        <v>9.0562701469851259</v>
      </c>
      <c r="I40" s="155">
        <f>'R3'!I30</f>
        <v>4.9130113344105957E-3</v>
      </c>
      <c r="J40" s="155">
        <f>'R3'!J30</f>
        <v>1.4135348045628734E-2</v>
      </c>
      <c r="K40" s="155">
        <f>'R3'!K30</f>
        <v>5.7143424205987571E-3</v>
      </c>
      <c r="L40" s="155">
        <f>'R3'!L30</f>
        <v>1.4148579518672089E-2</v>
      </c>
      <c r="M40" s="155">
        <f>'R3'!M30</f>
        <v>2.6297552673667218E-2</v>
      </c>
      <c r="N40"/>
      <c r="O40" s="155">
        <f>'R3'!O30</f>
        <v>0.66768411181256293</v>
      </c>
      <c r="P40" s="155">
        <f>'R3'!P30</f>
        <v>3.1195992848388818</v>
      </c>
      <c r="Q40" s="155">
        <f>'R3'!Q30</f>
        <v>6.887808686131266E-3</v>
      </c>
      <c r="R40" s="155">
        <f>'R3'!R30</f>
        <v>0.23587664297681679</v>
      </c>
      <c r="S40" s="155">
        <f>'R3'!S30</f>
        <v>0.48543710998165784</v>
      </c>
      <c r="T40" s="155">
        <f>'R3'!T30</f>
        <v>1.8099422942381898</v>
      </c>
      <c r="U40" s="155">
        <f>'R3'!U30</f>
        <v>2.5278381923161528</v>
      </c>
      <c r="V40" s="155">
        <f>'R3'!V30</f>
        <v>1.2528857015740491</v>
      </c>
    </row>
    <row r="41" spans="1:22" s="1" customFormat="1" x14ac:dyDescent="0.3">
      <c r="A41" s="226"/>
      <c r="B41" s="155">
        <f>'R3'!B31</f>
        <v>1.8993779553735494E-2</v>
      </c>
      <c r="C41" s="155">
        <f>'R3'!C31</f>
        <v>1.0810113476420687E-2</v>
      </c>
      <c r="D41" s="155">
        <f>'R3'!D31</f>
        <v>3.6666892704331155E-2</v>
      </c>
      <c r="E41" s="155">
        <f>'R3'!E31</f>
        <v>1.0548791883814435E-2</v>
      </c>
      <c r="F41" s="155">
        <f>'R3'!F31</f>
        <v>1.0321235356480694</v>
      </c>
      <c r="G41" s="155">
        <f>'R3'!G31</f>
        <v>4.3348091938890443</v>
      </c>
      <c r="H41" s="155">
        <f>'R3'!H31</f>
        <v>7.5680469849607768</v>
      </c>
      <c r="I41" s="155">
        <f>'R3'!I31</f>
        <v>1.3693747632806777E-2</v>
      </c>
      <c r="J41" s="155">
        <f>'R3'!J31</f>
        <v>2.3427976957389697E-3</v>
      </c>
      <c r="K41" s="155">
        <f>'R3'!K31</f>
        <v>4.5135035452078087E-2</v>
      </c>
      <c r="L41" s="155">
        <f>'R3'!L31</f>
        <v>1.0736513407617028E-2</v>
      </c>
      <c r="M41" s="155">
        <f>'R3'!M31</f>
        <v>1.8795307458085175E-2</v>
      </c>
      <c r="N41"/>
      <c r="O41" s="155">
        <f>'R3'!O31</f>
        <v>0.55394058076243058</v>
      </c>
      <c r="P41" s="155">
        <f>'R3'!P31</f>
        <v>8.06092183672693</v>
      </c>
      <c r="Q41" s="155">
        <f>'R3'!Q31</f>
        <v>2.3572696193801385E-2</v>
      </c>
      <c r="R41" s="155">
        <f>'R3'!R31</f>
        <v>2.4567355640494259</v>
      </c>
      <c r="S41" s="155">
        <f>'R3'!S31</f>
        <v>0.54701307765716922</v>
      </c>
      <c r="T41" s="155">
        <f>'R3'!T31</f>
        <v>2.8001766401651289</v>
      </c>
      <c r="U41" s="155">
        <f>'R3'!U31</f>
        <v>1.1639181037975981</v>
      </c>
      <c r="V41" s="155">
        <f>'R3'!V31</f>
        <v>0.44680617049745375</v>
      </c>
    </row>
    <row r="42" spans="1:22" s="1" customFormat="1" x14ac:dyDescent="0.3">
      <c r="A42" s="226"/>
      <c r="B42" s="155">
        <f>'R3'!B32</f>
        <v>1.1263291428155581E-3</v>
      </c>
      <c r="C42" s="155">
        <f>'R3'!C32</f>
        <v>1.3047886354878031E-2</v>
      </c>
      <c r="D42" s="155">
        <f>'R3'!D32</f>
        <v>0.96924757574604836</v>
      </c>
      <c r="E42" s="155">
        <f>'R3'!E32</f>
        <v>1.5872582568526625</v>
      </c>
      <c r="F42" s="155">
        <f>'R3'!F32</f>
        <v>1.2843030073484294</v>
      </c>
      <c r="G42" s="155">
        <f>'R3'!G32</f>
        <v>5.8130616140081601</v>
      </c>
      <c r="H42" s="155">
        <f>'R3'!H32</f>
        <v>7.4956898476561271</v>
      </c>
      <c r="I42" s="155">
        <f>'R3'!I32</f>
        <v>8.4400258675298E-3</v>
      </c>
      <c r="J42" s="155">
        <f>'R3'!J32</f>
        <v>3.0953377250797611E-3</v>
      </c>
      <c r="K42" s="155">
        <f>'R3'!K32</f>
        <v>2.0533592229155882E-3</v>
      </c>
      <c r="L42" s="155">
        <f>'R3'!L32</f>
        <v>3.2785936267302217E-2</v>
      </c>
      <c r="M42" s="155">
        <f>'R3'!M32</f>
        <v>1.1380720751415354E-2</v>
      </c>
      <c r="N42"/>
      <c r="O42" s="155">
        <f>'R3'!O32</f>
        <v>2.7635990599038402</v>
      </c>
      <c r="P42" s="155">
        <f>'R3'!P32</f>
        <v>7.9287311513531664</v>
      </c>
      <c r="Q42" s="155">
        <f>'R3'!Q32</f>
        <v>3.2160749166003713E-3</v>
      </c>
      <c r="R42" s="155">
        <f>'R3'!R32</f>
        <v>2.5814570828902168</v>
      </c>
      <c r="S42" s="155">
        <f>'R3'!S32</f>
        <v>1.250183173204944</v>
      </c>
      <c r="T42" s="155">
        <f>'R3'!T32</f>
        <v>0.2539533160552348</v>
      </c>
      <c r="U42" s="155">
        <f>'R3'!U32</f>
        <v>2.7241188252436657</v>
      </c>
      <c r="V42" s="155">
        <f>'R3'!V32</f>
        <v>7.3429713588226642E-2</v>
      </c>
    </row>
    <row r="43" spans="1:22" s="1" customFormat="1" x14ac:dyDescent="0.3">
      <c r="A43" s="226"/>
      <c r="B43" s="155">
        <f>'R3'!B33</f>
        <v>3.0214068694500173E-2</v>
      </c>
      <c r="C43" s="155">
        <f>'R3'!C33</f>
        <v>9.0685208370891428E-3</v>
      </c>
      <c r="D43" s="155">
        <f>'R3'!D33</f>
        <v>9.0710017382847705E-3</v>
      </c>
      <c r="E43" s="155">
        <f>'R3'!E33</f>
        <v>2.2129638665010529E-3</v>
      </c>
      <c r="F43" s="155">
        <f>'R3'!F33</f>
        <v>0.61580267904250441</v>
      </c>
      <c r="G43" s="155">
        <f>'R3'!G33</f>
        <v>6.3835886731975009</v>
      </c>
      <c r="H43" s="155">
        <f>'R3'!H33</f>
        <v>5.6806815531764636</v>
      </c>
      <c r="I43" s="155">
        <f>'R3'!I33</f>
        <v>6.0930933364647822E-3</v>
      </c>
      <c r="J43" s="155">
        <f>'R3'!J33</f>
        <v>3.1475193468944909E-2</v>
      </c>
      <c r="K43" s="155">
        <f>'R3'!K33</f>
        <v>1.4306530228127135E-2</v>
      </c>
      <c r="L43" s="155">
        <f>'R3'!L33</f>
        <v>8.211782957531933E-4</v>
      </c>
      <c r="M43" s="155">
        <f>'R3'!M33</f>
        <v>2.2700245940005193E-2</v>
      </c>
      <c r="N43"/>
      <c r="O43" s="155">
        <f>'R3'!O33</f>
        <v>0.40607721556881277</v>
      </c>
      <c r="P43" s="155">
        <f>'R3'!P33</f>
        <v>10.173385222760118</v>
      </c>
      <c r="Q43" s="155">
        <f>'R3'!Q33</f>
        <v>6.5330398151563219E-5</v>
      </c>
      <c r="R43" s="155">
        <f>'R3'!R33</f>
        <v>1.0913484359571896E-2</v>
      </c>
      <c r="S43" s="155">
        <f>'R3'!S33</f>
        <v>1.0253663877582411</v>
      </c>
      <c r="T43" s="155">
        <f>'R3'!T33</f>
        <v>1.4302833685345648</v>
      </c>
      <c r="U43" s="155">
        <f>'R3'!U33</f>
        <v>0.37456811645019428</v>
      </c>
      <c r="V43" s="155">
        <f>'R3'!V33</f>
        <v>0.21735175374905519</v>
      </c>
    </row>
    <row r="44" spans="1:22" s="1" customFormat="1" x14ac:dyDescent="0.3">
      <c r="A44" s="226"/>
      <c r="B44" s="155">
        <f>'R3'!B34</f>
        <v>2.0409547169374432E-3</v>
      </c>
      <c r="C44" s="155">
        <f>'R3'!C34</f>
        <v>1.3135544863790255E-2</v>
      </c>
      <c r="D44" s="155">
        <f>'R3'!D34</f>
        <v>7.7645591686665488E-2</v>
      </c>
      <c r="E44" s="155">
        <f>'R3'!E34</f>
        <v>1.4019572656499382E-2</v>
      </c>
      <c r="F44" s="155">
        <f>'R3'!F34</f>
        <v>0.31662666902627934</v>
      </c>
      <c r="G44" s="155">
        <f>'R3'!G34</f>
        <v>1.9669858208227</v>
      </c>
      <c r="H44" s="155">
        <f>'R3'!H34</f>
        <v>6.3054675754483398</v>
      </c>
      <c r="I44" s="155">
        <f>'R3'!I34</f>
        <v>1.6407026573759673E-2</v>
      </c>
      <c r="J44" s="155">
        <f>'R3'!J34</f>
        <v>8.0554861822073071E-3</v>
      </c>
      <c r="K44" s="155">
        <f>'R3'!K34</f>
        <v>4.1368200470048078E-2</v>
      </c>
      <c r="L44" s="155">
        <f>'R3'!L34</f>
        <v>1.1552729900978964E-2</v>
      </c>
      <c r="M44" s="155">
        <f>'R3'!M34</f>
        <v>2.0011776011008585E-2</v>
      </c>
      <c r="N44"/>
      <c r="O44" s="155">
        <f>'R3'!O34</f>
        <v>2.3727628473468414</v>
      </c>
      <c r="P44" s="155">
        <f>'R3'!P34</f>
        <v>7.8049598176703014</v>
      </c>
      <c r="Q44" s="155">
        <f>'R3'!Q34</f>
        <v>0</v>
      </c>
      <c r="R44" s="155">
        <f>'R3'!R34</f>
        <v>1.4106644018795307</v>
      </c>
      <c r="S44" s="155">
        <f>'R3'!S34</f>
        <v>1.9737222945358979</v>
      </c>
      <c r="T44" s="155">
        <f>'R3'!T34</f>
        <v>1.0853744258781151</v>
      </c>
      <c r="U44" s="155">
        <f>'R3'!U34</f>
        <v>0.68210972529808023</v>
      </c>
      <c r="V44" s="155">
        <f>'R3'!V34</f>
        <v>3.4962124908413399</v>
      </c>
    </row>
    <row r="45" spans="1:22" s="1" customFormat="1" x14ac:dyDescent="0.3">
      <c r="A45" s="226"/>
      <c r="B45" s="155">
        <f>'R3'!B35</f>
        <v>2.0646059750024395E-2</v>
      </c>
      <c r="C45" s="155">
        <f>'R3'!C35</f>
        <v>8.8849341486125968E-3</v>
      </c>
      <c r="D45" s="155">
        <f>'R3'!D35</f>
        <v>6.8610976499249937E-2</v>
      </c>
      <c r="E45" s="155">
        <f>'R3'!E35</f>
        <v>9.4092312679555229E-3</v>
      </c>
      <c r="F45" s="155">
        <f>'R3'!F35</f>
        <v>6.6405455336335771E-4</v>
      </c>
      <c r="G45" s="155">
        <f>'R3'!G35</f>
        <v>3.2232347974509565</v>
      </c>
      <c r="H45" s="155">
        <f>'R3'!H35</f>
        <v>8.5407934583597278</v>
      </c>
      <c r="I45" s="155">
        <f>'R3'!I35</f>
        <v>9.1131770586104638E-3</v>
      </c>
      <c r="J45" s="155">
        <f>'R3'!J35</f>
        <v>1.7444043273532588E-2</v>
      </c>
      <c r="K45" s="155">
        <f>'R3'!K35</f>
        <v>7.2740023055841777E-3</v>
      </c>
      <c r="L45" s="155">
        <f>'R3'!L35</f>
        <v>5.7325356960333694E-3</v>
      </c>
      <c r="M45" s="155">
        <f>'R3'!M35</f>
        <v>2.4644445510313105E-2</v>
      </c>
      <c r="N45"/>
      <c r="O45" s="155">
        <f>'R3'!O35</f>
        <v>0.28947899420957662</v>
      </c>
      <c r="P45" s="155">
        <f>'R3'!P35</f>
        <v>5.9383132187377505</v>
      </c>
      <c r="Q45" s="155">
        <f>'R3'!Q35</f>
        <v>5.9128145162490754E-4</v>
      </c>
      <c r="R45" s="155">
        <f>'R3'!R35</f>
        <v>4.8254355222048927E-2</v>
      </c>
      <c r="S45" s="155">
        <f>'R3'!S35</f>
        <v>3.9409586863793562</v>
      </c>
      <c r="T45" s="155">
        <f>'R3'!T35</f>
        <v>5.2509100772552629E-2</v>
      </c>
      <c r="U45" s="155">
        <f>'R3'!U35</f>
        <v>0.26486514648067627</v>
      </c>
      <c r="V45" s="155">
        <f>'R3'!V35</f>
        <v>0.45383373661760545</v>
      </c>
    </row>
    <row r="46" spans="1:22" s="1" customFormat="1" x14ac:dyDescent="0.3">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8.5661383449742737E-2</v>
      </c>
      <c r="P46" s="155" t="str">
        <f>'R3'!P36</f>
        <v/>
      </c>
      <c r="Q46" s="155" t="str">
        <f>'R3'!Q36</f>
        <v/>
      </c>
      <c r="R46" s="155" t="str">
        <f>'R3'!R36</f>
        <v/>
      </c>
      <c r="S46" s="155" t="str">
        <f>'R3'!S36</f>
        <v/>
      </c>
      <c r="T46" s="155" t="str">
        <f>'R3'!T36</f>
        <v/>
      </c>
      <c r="U46" s="155" t="str">
        <f>'R3'!U36</f>
        <v/>
      </c>
      <c r="V46" s="155" t="str">
        <f>'R3'!V36</f>
        <v/>
      </c>
    </row>
    <row r="47" spans="1:22" s="1" customFormat="1" x14ac:dyDescent="0.3">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2.0568953340864247</v>
      </c>
      <c r="P47" s="155" t="str">
        <f>'R3'!P37</f>
        <v/>
      </c>
      <c r="Q47" s="155" t="str">
        <f>'R3'!Q37</f>
        <v/>
      </c>
      <c r="R47" s="155" t="str">
        <f>'R3'!R37</f>
        <v/>
      </c>
      <c r="S47" s="155" t="str">
        <f>'R3'!S37</f>
        <v/>
      </c>
      <c r="T47" s="155" t="str">
        <f>'R3'!T37</f>
        <v/>
      </c>
      <c r="U47" s="155" t="str">
        <f>'R3'!U37</f>
        <v/>
      </c>
      <c r="V47" s="155" t="str">
        <f>'R3'!V37</f>
        <v/>
      </c>
    </row>
    <row r="48" spans="1:22" s="1" customFormat="1" x14ac:dyDescent="0.3">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0.5308557951371029</v>
      </c>
      <c r="P48" s="155" t="str">
        <f>'R3'!P38</f>
        <v/>
      </c>
      <c r="Q48" s="155" t="str">
        <f>'R3'!Q38</f>
        <v/>
      </c>
      <c r="R48" s="155" t="str">
        <f>'R3'!R38</f>
        <v/>
      </c>
      <c r="S48" s="155" t="str">
        <f>'R3'!S38</f>
        <v/>
      </c>
      <c r="T48" s="155" t="str">
        <f>'R3'!T38</f>
        <v/>
      </c>
      <c r="U48" s="155" t="str">
        <f>'R3'!U38</f>
        <v/>
      </c>
      <c r="V48" s="155" t="str">
        <f>'R3'!V38</f>
        <v/>
      </c>
    </row>
    <row r="49" spans="1:24" s="1" customFormat="1" x14ac:dyDescent="0.3">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2.905304828329907</v>
      </c>
      <c r="P49" s="155" t="str">
        <f>'R3'!P39</f>
        <v/>
      </c>
      <c r="Q49" s="155" t="str">
        <f>'R3'!Q39</f>
        <v/>
      </c>
      <c r="R49" s="155" t="str">
        <f>'R3'!R39</f>
        <v/>
      </c>
      <c r="S49" s="155" t="str">
        <f>'R3'!S39</f>
        <v/>
      </c>
      <c r="T49" s="155" t="str">
        <f>'R3'!T39</f>
        <v/>
      </c>
      <c r="U49" s="155" t="str">
        <f>'R3'!U39</f>
        <v/>
      </c>
      <c r="V49" s="155" t="str">
        <f>'R3'!V39</f>
        <v/>
      </c>
    </row>
    <row r="50" spans="1:24" s="1" customFormat="1" x14ac:dyDescent="0.3">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0.37150503044065769</v>
      </c>
      <c r="P50" s="155" t="str">
        <f>'R3'!P40</f>
        <v/>
      </c>
      <c r="Q50" s="155" t="str">
        <f>'R3'!Q40</f>
        <v/>
      </c>
      <c r="R50" s="155" t="str">
        <f>'R3'!R40</f>
        <v/>
      </c>
      <c r="S50" s="155" t="str">
        <f>'R3'!S40</f>
        <v/>
      </c>
      <c r="T50" s="155" t="str">
        <f>'R3'!T40</f>
        <v/>
      </c>
      <c r="U50" s="155" t="str">
        <f>'R3'!U40</f>
        <v/>
      </c>
      <c r="V50" s="155" t="str">
        <f>'R3'!V40</f>
        <v/>
      </c>
    </row>
    <row r="51" spans="1:24" s="1" customFormat="1" x14ac:dyDescent="0.3">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1.2849430798569017</v>
      </c>
      <c r="P51" s="155" t="str">
        <f>'R3'!P41</f>
        <v/>
      </c>
      <c r="Q51" s="155" t="str">
        <f>'R3'!Q41</f>
        <v/>
      </c>
      <c r="R51" s="155" t="str">
        <f>'R3'!R41</f>
        <v/>
      </c>
      <c r="S51" s="155" t="str">
        <f>'R3'!S41</f>
        <v/>
      </c>
      <c r="T51" s="155" t="str">
        <f>'R3'!T41</f>
        <v/>
      </c>
      <c r="U51" s="155" t="str">
        <f>'R3'!U41</f>
        <v/>
      </c>
      <c r="V51" s="155" t="str">
        <f>'R3'!V41</f>
        <v/>
      </c>
    </row>
    <row r="52" spans="1:24" s="1" customFormat="1" x14ac:dyDescent="0.3">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0.58918426314753591</v>
      </c>
      <c r="P52" s="155" t="str">
        <f>'R3'!P42</f>
        <v/>
      </c>
      <c r="Q52" s="155" t="str">
        <f>'R3'!Q42</f>
        <v/>
      </c>
      <c r="R52" s="155" t="str">
        <f>'R3'!R42</f>
        <v/>
      </c>
      <c r="S52" s="155" t="str">
        <f>'R3'!S42</f>
        <v/>
      </c>
      <c r="T52" s="155" t="str">
        <f>'R3'!T42</f>
        <v/>
      </c>
      <c r="U52" s="155" t="str">
        <f>'R3'!U42</f>
        <v/>
      </c>
      <c r="V52" s="155" t="str">
        <f>'R3'!V42</f>
        <v/>
      </c>
    </row>
    <row r="53" spans="1:24" s="1" customFormat="1" x14ac:dyDescent="0.3">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t="str">
        <f>'R3'!O43</f>
        <v/>
      </c>
      <c r="P53" s="155" t="str">
        <f>'R3'!P43</f>
        <v/>
      </c>
      <c r="Q53" s="155" t="str">
        <f>'R3'!Q43</f>
        <v/>
      </c>
      <c r="R53" s="155" t="str">
        <f>'R3'!R43</f>
        <v/>
      </c>
      <c r="S53" s="155" t="str">
        <f>'R3'!S43</f>
        <v/>
      </c>
      <c r="T53" s="155" t="str">
        <f>'R3'!T43</f>
        <v/>
      </c>
      <c r="U53" s="155" t="str">
        <f>'R3'!U43</f>
        <v/>
      </c>
      <c r="V53" s="155"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Arabinose-0.01mg/L</v>
      </c>
      <c r="J55" s="15" t="str">
        <f t="shared" si="0"/>
        <v>Arabinose-0.1mg/L</v>
      </c>
      <c r="K55" s="15" t="str">
        <f t="shared" si="0"/>
        <v>Arabinose-1mg/L</v>
      </c>
      <c r="L55" s="15" t="str">
        <f t="shared" si="0"/>
        <v>Arabinose-10mg/L</v>
      </c>
      <c r="M55" s="15" t="str">
        <f t="shared" si="0"/>
        <v>Arabinose-100mg/L</v>
      </c>
      <c r="O55" s="15" t="str">
        <f t="shared" ref="O55:V55" si="1">O4</f>
        <v>Testo -30µg/L</v>
      </c>
      <c r="P55" s="15" t="str">
        <f t="shared" si="1"/>
        <v>Testo 30µg/L + EE2 -64ng/L</v>
      </c>
      <c r="Q55" s="15" t="str">
        <f t="shared" si="1"/>
        <v>Testo 30µg/L + FAD-10µg/L</v>
      </c>
      <c r="R55" s="15" t="str">
        <f t="shared" si="1"/>
        <v>Arabinose-0.01mg/L + Testostérone</v>
      </c>
      <c r="S55" s="15" t="str">
        <f t="shared" si="1"/>
        <v>Arabinose-0.1mg/L + Testostérone</v>
      </c>
      <c r="T55" s="15" t="str">
        <f t="shared" si="1"/>
        <v>Arabinose-1mg/L + Testostérone</v>
      </c>
      <c r="U55" s="15" t="str">
        <f t="shared" si="1"/>
        <v>Arabinose-10mg/L + Testostérone</v>
      </c>
      <c r="V55" s="15" t="str">
        <f t="shared" si="1"/>
        <v>Arabinose-100mg/L + Testostérone</v>
      </c>
    </row>
    <row r="56" spans="1:24" x14ac:dyDescent="0.3">
      <c r="A56" t="s">
        <v>48</v>
      </c>
      <c r="B56" s="9">
        <f t="shared" ref="B56:V56" si="2">AVERAGE(B6:B53)</f>
        <v>2.5203986779643115E-2</v>
      </c>
      <c r="C56" s="9">
        <f t="shared" si="2"/>
        <v>0.11828086370823292</v>
      </c>
      <c r="D56" s="9">
        <f t="shared" si="2"/>
        <v>0.31463391399642965</v>
      </c>
      <c r="E56" s="9">
        <f t="shared" si="2"/>
        <v>0.77248269818922133</v>
      </c>
      <c r="F56" s="9">
        <f t="shared" si="2"/>
        <v>2.2146768477798062</v>
      </c>
      <c r="G56" s="9">
        <f t="shared" si="2"/>
        <v>4.2849325618494927</v>
      </c>
      <c r="H56" s="9">
        <f t="shared" si="2"/>
        <v>5.9514404066952018</v>
      </c>
      <c r="I56" s="9">
        <f t="shared" si="2"/>
        <v>2.8777302231600219E-2</v>
      </c>
      <c r="J56" s="9">
        <f t="shared" si="2"/>
        <v>4.8519808872183164E-2</v>
      </c>
      <c r="K56" s="9">
        <f t="shared" si="2"/>
        <v>5.9858137674723151E-2</v>
      </c>
      <c r="L56" s="9">
        <f t="shared" si="2"/>
        <v>2.9800150204462115E-2</v>
      </c>
      <c r="M56" s="9">
        <f t="shared" si="2"/>
        <v>5.7702932521859741E-2</v>
      </c>
      <c r="N56" s="9"/>
      <c r="O56" s="9">
        <f t="shared" si="2"/>
        <v>0.99999999999999989</v>
      </c>
      <c r="P56" s="9">
        <f t="shared" si="2"/>
        <v>4.5009485916150442</v>
      </c>
      <c r="Q56" s="9">
        <f t="shared" si="2"/>
        <v>3.0238807918992056E-2</v>
      </c>
      <c r="R56" s="9">
        <f t="shared" si="2"/>
        <v>0.74787222284144705</v>
      </c>
      <c r="S56" s="9">
        <f t="shared" si="2"/>
        <v>0.95409966038324245</v>
      </c>
      <c r="T56" s="9">
        <f t="shared" si="2"/>
        <v>0.7870358262499596</v>
      </c>
      <c r="U56" s="9">
        <f t="shared" si="2"/>
        <v>1.0025592428523631</v>
      </c>
      <c r="V56" s="9">
        <f t="shared" si="2"/>
        <v>0.89272850453080166</v>
      </c>
    </row>
    <row r="57" spans="1:24" x14ac:dyDescent="0.3">
      <c r="A57" t="s">
        <v>1</v>
      </c>
      <c r="B57" s="3">
        <f>STDEV(B6:B53)</f>
        <v>2.8689605671367465E-2</v>
      </c>
      <c r="C57" s="3">
        <f t="shared" ref="C57:V57" si="3">STDEV(C6:C53)</f>
        <v>0.21292128031020308</v>
      </c>
      <c r="D57" s="3">
        <f t="shared" si="3"/>
        <v>0.56360695124806803</v>
      </c>
      <c r="E57" s="3">
        <f t="shared" si="3"/>
        <v>0.80811473909559883</v>
      </c>
      <c r="F57" s="3">
        <f t="shared" si="3"/>
        <v>1.6012645865613553</v>
      </c>
      <c r="G57" s="3">
        <f t="shared" si="3"/>
        <v>2.118149013363408</v>
      </c>
      <c r="H57" s="3">
        <f t="shared" si="3"/>
        <v>2.021820090226774</v>
      </c>
      <c r="I57" s="3">
        <f t="shared" si="3"/>
        <v>2.5445800308136885E-2</v>
      </c>
      <c r="J57" s="3">
        <f t="shared" si="3"/>
        <v>4.7849257202336723E-2</v>
      </c>
      <c r="K57" s="3">
        <f t="shared" si="3"/>
        <v>0.11152001934832365</v>
      </c>
      <c r="L57" s="3">
        <f t="shared" si="3"/>
        <v>3.8535393425579323E-2</v>
      </c>
      <c r="M57" s="3">
        <f t="shared" si="3"/>
        <v>6.3591967515375075E-2</v>
      </c>
      <c r="N57" s="3"/>
      <c r="O57" s="3">
        <f t="shared" si="3"/>
        <v>0.95318447372440662</v>
      </c>
      <c r="P57" s="3">
        <f t="shared" si="3"/>
        <v>2.8264425997675828</v>
      </c>
      <c r="Q57" s="3">
        <f t="shared" si="3"/>
        <v>4.5133871503382821E-2</v>
      </c>
      <c r="R57" s="3">
        <f t="shared" si="3"/>
        <v>0.77415001326573041</v>
      </c>
      <c r="S57" s="3">
        <f t="shared" si="3"/>
        <v>0.92884584193889252</v>
      </c>
      <c r="T57" s="3">
        <f t="shared" si="3"/>
        <v>0.87636986620552171</v>
      </c>
      <c r="U57" s="3">
        <f t="shared" si="3"/>
        <v>0.86269765003316268</v>
      </c>
      <c r="V57" s="3">
        <f t="shared" si="3"/>
        <v>1.1141675475014501</v>
      </c>
      <c r="W57" s="3"/>
      <c r="X57" s="3"/>
    </row>
    <row r="58" spans="1:24" x14ac:dyDescent="0.3">
      <c r="A58" t="s">
        <v>2</v>
      </c>
      <c r="B58" s="3">
        <f xml:space="preserve"> B57/SQRT(COUNT(B6:B53))</f>
        <v>5.8562412347090585E-3</v>
      </c>
      <c r="C58" s="3">
        <f t="shared" ref="C58:V58" si="4" xml:space="preserve"> C57/SQRT(COUNT(C6:C53))</f>
        <v>4.3462374345008693E-2</v>
      </c>
      <c r="D58" s="3">
        <f t="shared" si="4"/>
        <v>0.1150457871702868</v>
      </c>
      <c r="E58" s="3">
        <f t="shared" si="4"/>
        <v>0.16495573036721448</v>
      </c>
      <c r="F58" s="3">
        <f t="shared" si="4"/>
        <v>0.3268567650219989</v>
      </c>
      <c r="G58" s="3">
        <f t="shared" si="4"/>
        <v>0.44166460040704209</v>
      </c>
      <c r="H58" s="3">
        <f t="shared" si="4"/>
        <v>0.41270229773028694</v>
      </c>
      <c r="I58" s="3">
        <f t="shared" si="4"/>
        <v>5.1941022376408618E-3</v>
      </c>
      <c r="J58" s="3">
        <f t="shared" si="4"/>
        <v>9.9772598286115063E-3</v>
      </c>
      <c r="K58" s="3">
        <f t="shared" si="4"/>
        <v>2.276392862572503E-2</v>
      </c>
      <c r="L58" s="3">
        <f t="shared" si="4"/>
        <v>7.8660042441725739E-3</v>
      </c>
      <c r="M58" s="3">
        <f t="shared" si="4"/>
        <v>1.2980656012692694E-2</v>
      </c>
      <c r="N58" s="3"/>
      <c r="O58" s="3">
        <f t="shared" si="4"/>
        <v>0.13903624515573568</v>
      </c>
      <c r="P58" s="3">
        <f t="shared" si="4"/>
        <v>0.57694517972467618</v>
      </c>
      <c r="Q58" s="3">
        <f t="shared" si="4"/>
        <v>9.2129129416358511E-3</v>
      </c>
      <c r="R58" s="3">
        <f t="shared" si="4"/>
        <v>0.15802270973915566</v>
      </c>
      <c r="S58" s="3">
        <f t="shared" si="4"/>
        <v>0.1895998635380102</v>
      </c>
      <c r="T58" s="3">
        <f t="shared" si="4"/>
        <v>0.17888824984622431</v>
      </c>
      <c r="U58" s="3">
        <f t="shared" si="4"/>
        <v>0.17988489500508029</v>
      </c>
      <c r="V58" s="3">
        <f t="shared" si="4"/>
        <v>0.22742849827889097</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Arabinose-0.01mg/L</v>
      </c>
      <c r="J62" s="3" t="str">
        <f t="shared" si="6"/>
        <v>Arabinose-0.1mg/L</v>
      </c>
      <c r="K62" s="3" t="str">
        <f t="shared" si="6"/>
        <v>Arabinose-1mg/L</v>
      </c>
      <c r="L62" s="3" t="str">
        <f t="shared" si="6"/>
        <v>Arabinose-10mg/L</v>
      </c>
      <c r="M62" s="3" t="str">
        <f t="shared" si="6"/>
        <v>Arabinose-100mg/L</v>
      </c>
      <c r="N62" s="3"/>
      <c r="O62" s="3" t="str">
        <f t="shared" si="6"/>
        <v>Testo -30µg/L</v>
      </c>
      <c r="P62" s="3" t="str">
        <f t="shared" si="6"/>
        <v>Testo 30µg/L + EE2 -64ng/L</v>
      </c>
      <c r="Q62" s="3" t="str">
        <f t="shared" si="6"/>
        <v>Testo 30µg/L + FAD-10µg/L</v>
      </c>
      <c r="R62" s="3" t="str">
        <f t="shared" si="6"/>
        <v>Arabinose-0.01mg/L + Testostérone</v>
      </c>
      <c r="S62" s="3" t="str">
        <f t="shared" si="6"/>
        <v>Arabinose-0.1mg/L + Testostérone</v>
      </c>
      <c r="T62" s="3" t="str">
        <f t="shared" si="6"/>
        <v>Arabinose-1mg/L + Testostérone</v>
      </c>
      <c r="U62" s="3" t="str">
        <f t="shared" si="6"/>
        <v>Arabinose-10mg/L + Testostérone</v>
      </c>
      <c r="V62" s="3" t="str">
        <f t="shared" si="6"/>
        <v>Arabinose-100mg/L + Testostérone</v>
      </c>
    </row>
    <row r="63" spans="1:24" s="1" customFormat="1" x14ac:dyDescent="0.3">
      <c r="A63" s="1" t="s">
        <v>49</v>
      </c>
      <c r="B63" s="3">
        <f>COUNT(B6:B53)</f>
        <v>24</v>
      </c>
      <c r="C63" s="3">
        <f t="shared" ref="C63:V63" si="7">COUNT(C6:C53)</f>
        <v>24</v>
      </c>
      <c r="D63" s="3">
        <f t="shared" si="7"/>
        <v>24</v>
      </c>
      <c r="E63" s="3">
        <f t="shared" si="7"/>
        <v>24</v>
      </c>
      <c r="F63" s="3">
        <f t="shared" si="7"/>
        <v>24</v>
      </c>
      <c r="G63" s="3">
        <f t="shared" si="7"/>
        <v>23</v>
      </c>
      <c r="H63" s="3">
        <f t="shared" si="7"/>
        <v>24</v>
      </c>
      <c r="I63" s="3">
        <f t="shared" si="7"/>
        <v>24</v>
      </c>
      <c r="J63" s="3">
        <f t="shared" si="7"/>
        <v>23</v>
      </c>
      <c r="K63" s="3">
        <f t="shared" si="7"/>
        <v>24</v>
      </c>
      <c r="L63" s="3">
        <f t="shared" si="7"/>
        <v>24</v>
      </c>
      <c r="M63" s="3">
        <f t="shared" si="7"/>
        <v>24</v>
      </c>
      <c r="N63" s="3"/>
      <c r="O63" s="3">
        <f t="shared" si="7"/>
        <v>47</v>
      </c>
      <c r="P63" s="3">
        <f t="shared" si="7"/>
        <v>24</v>
      </c>
      <c r="Q63" s="3">
        <f t="shared" si="7"/>
        <v>24</v>
      </c>
      <c r="R63" s="3">
        <f t="shared" si="7"/>
        <v>24</v>
      </c>
      <c r="S63" s="3">
        <f t="shared" si="7"/>
        <v>24</v>
      </c>
      <c r="T63" s="3">
        <f t="shared" si="7"/>
        <v>24</v>
      </c>
      <c r="U63" s="3">
        <f t="shared" si="7"/>
        <v>23</v>
      </c>
      <c r="V63" s="3">
        <f t="shared" si="7"/>
        <v>24</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35"/>
    <row r="72" spans="1:22" s="48" customFormat="1" ht="26.4" thickBot="1" x14ac:dyDescent="0.35">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Arabinose-0.01mg/L</v>
      </c>
      <c r="J74" s="46" t="str">
        <f t="shared" si="9"/>
        <v>Arabinose-0.1mg/L</v>
      </c>
      <c r="K74" s="46" t="str">
        <f t="shared" si="9"/>
        <v>Arabinose-1mg/L</v>
      </c>
      <c r="L74" s="46" t="str">
        <f t="shared" si="9"/>
        <v>Arabinose-10mg/L</v>
      </c>
      <c r="M74" s="46" t="str">
        <f t="shared" si="9"/>
        <v>Arabinose-100mg/L</v>
      </c>
      <c r="N74" s="46"/>
      <c r="O74" s="46" t="str">
        <f t="shared" ref="O74:V74" si="10">O4</f>
        <v>Testo -30µg/L</v>
      </c>
      <c r="P74" s="46" t="str">
        <f t="shared" si="10"/>
        <v>Testo 30µg/L + EE2 -64ng/L</v>
      </c>
      <c r="Q74" s="46" t="str">
        <f t="shared" si="10"/>
        <v>Testo 30µg/L + FAD-10µg/L</v>
      </c>
      <c r="R74" s="46" t="str">
        <f t="shared" si="10"/>
        <v>Arabinose-0.01mg/L + Testostérone</v>
      </c>
      <c r="S74" s="46" t="str">
        <f t="shared" si="10"/>
        <v>Arabinose-0.1mg/L + Testostérone</v>
      </c>
      <c r="T74" s="46" t="str">
        <f t="shared" si="10"/>
        <v>Arabinose-1mg/L + Testostérone</v>
      </c>
      <c r="U74" s="46" t="str">
        <f t="shared" si="10"/>
        <v>Arabinose-10mg/L + Testostérone</v>
      </c>
      <c r="V74" s="46" t="str">
        <f t="shared" si="10"/>
        <v>Arabinose-100mg/L + Testostérone</v>
      </c>
    </row>
    <row r="75" spans="1:22" s="3" customFormat="1" x14ac:dyDescent="0.3">
      <c r="A75" s="61" t="s">
        <v>32</v>
      </c>
      <c r="B75" s="141">
        <f>B56</f>
        <v>2.5203986779643115E-2</v>
      </c>
      <c r="C75" s="141">
        <f t="shared" ref="C75:V75" si="11">C56</f>
        <v>0.11828086370823292</v>
      </c>
      <c r="D75" s="141">
        <f t="shared" si="11"/>
        <v>0.31463391399642965</v>
      </c>
      <c r="E75" s="141">
        <f t="shared" si="11"/>
        <v>0.77248269818922133</v>
      </c>
      <c r="F75" s="141">
        <f t="shared" si="11"/>
        <v>2.2146768477798062</v>
      </c>
      <c r="G75" s="141">
        <f t="shared" si="11"/>
        <v>4.2849325618494927</v>
      </c>
      <c r="H75" s="141">
        <f t="shared" si="11"/>
        <v>5.9514404066952018</v>
      </c>
      <c r="I75" s="141">
        <f t="shared" si="11"/>
        <v>2.8777302231600219E-2</v>
      </c>
      <c r="J75" s="141">
        <f t="shared" si="11"/>
        <v>4.8519808872183164E-2</v>
      </c>
      <c r="K75" s="141">
        <f t="shared" si="11"/>
        <v>5.9858137674723151E-2</v>
      </c>
      <c r="L75" s="141">
        <f t="shared" si="11"/>
        <v>2.9800150204462115E-2</v>
      </c>
      <c r="M75" s="141">
        <f t="shared" si="11"/>
        <v>5.7702932521859741E-2</v>
      </c>
      <c r="N75" s="141"/>
      <c r="O75" s="141">
        <f t="shared" si="11"/>
        <v>0.99999999999999989</v>
      </c>
      <c r="P75" s="141">
        <f t="shared" si="11"/>
        <v>4.5009485916150442</v>
      </c>
      <c r="Q75" s="141">
        <f t="shared" si="11"/>
        <v>3.0238807918992056E-2</v>
      </c>
      <c r="R75" s="141">
        <f t="shared" si="11"/>
        <v>0.74787222284144705</v>
      </c>
      <c r="S75" s="141">
        <f t="shared" si="11"/>
        <v>0.95409966038324245</v>
      </c>
      <c r="T75" s="141">
        <f t="shared" si="11"/>
        <v>0.7870358262499596</v>
      </c>
      <c r="U75" s="141">
        <f t="shared" si="11"/>
        <v>1.0025592428523631</v>
      </c>
      <c r="V75" s="141">
        <f t="shared" si="11"/>
        <v>0.89272850453080166</v>
      </c>
    </row>
    <row r="76" spans="1:22" s="3" customFormat="1" x14ac:dyDescent="0.3">
      <c r="A76" s="61" t="s">
        <v>2</v>
      </c>
      <c r="B76" s="141">
        <f>B58</f>
        <v>5.8562412347090585E-3</v>
      </c>
      <c r="C76" s="141">
        <f t="shared" ref="C76:V76" si="12">C58</f>
        <v>4.3462374345008693E-2</v>
      </c>
      <c r="D76" s="141">
        <f t="shared" si="12"/>
        <v>0.1150457871702868</v>
      </c>
      <c r="E76" s="141">
        <f t="shared" si="12"/>
        <v>0.16495573036721448</v>
      </c>
      <c r="F76" s="141">
        <f t="shared" si="12"/>
        <v>0.3268567650219989</v>
      </c>
      <c r="G76" s="141">
        <f t="shared" si="12"/>
        <v>0.44166460040704209</v>
      </c>
      <c r="H76" s="141">
        <f t="shared" si="12"/>
        <v>0.41270229773028694</v>
      </c>
      <c r="I76" s="141">
        <f t="shared" si="12"/>
        <v>5.1941022376408618E-3</v>
      </c>
      <c r="J76" s="141">
        <f t="shared" si="12"/>
        <v>9.9772598286115063E-3</v>
      </c>
      <c r="K76" s="141">
        <f t="shared" si="12"/>
        <v>2.276392862572503E-2</v>
      </c>
      <c r="L76" s="141">
        <f t="shared" si="12"/>
        <v>7.8660042441725739E-3</v>
      </c>
      <c r="M76" s="141">
        <f t="shared" si="12"/>
        <v>1.2980656012692694E-2</v>
      </c>
      <c r="N76" s="141"/>
      <c r="O76" s="141">
        <f t="shared" si="12"/>
        <v>0.13903624515573568</v>
      </c>
      <c r="P76" s="141">
        <f t="shared" si="12"/>
        <v>0.57694517972467618</v>
      </c>
      <c r="Q76" s="141">
        <f t="shared" si="12"/>
        <v>9.2129129416358511E-3</v>
      </c>
      <c r="R76" s="141">
        <f t="shared" si="12"/>
        <v>0.15802270973915566</v>
      </c>
      <c r="S76" s="141">
        <f t="shared" si="12"/>
        <v>0.1895998635380102</v>
      </c>
      <c r="T76" s="141">
        <f t="shared" si="12"/>
        <v>0.17888824984622431</v>
      </c>
      <c r="U76" s="141">
        <f t="shared" si="12"/>
        <v>0.17988489500508029</v>
      </c>
      <c r="V76" s="141">
        <f t="shared" si="12"/>
        <v>0.22742849827889097</v>
      </c>
    </row>
    <row r="77" spans="1:22" s="3" customFormat="1" x14ac:dyDescent="0.3">
      <c r="A77" s="61" t="s">
        <v>79</v>
      </c>
      <c r="B77" s="141">
        <f>(B75*100/$B$75)-100</f>
        <v>0</v>
      </c>
      <c r="C77" s="141">
        <f t="shared" ref="C77:M77" si="13">(C75*100/$B$75)-100</f>
        <v>369.29426182593699</v>
      </c>
      <c r="D77" s="141">
        <f t="shared" si="13"/>
        <v>1148.3497819105141</v>
      </c>
      <c r="E77" s="141">
        <f t="shared" si="13"/>
        <v>2964.9226447505685</v>
      </c>
      <c r="F77" s="141">
        <f t="shared" si="13"/>
        <v>8687.0100359224434</v>
      </c>
      <c r="G77" s="141">
        <f t="shared" si="13"/>
        <v>16901.010988112281</v>
      </c>
      <c r="H77" s="141">
        <f t="shared" si="13"/>
        <v>23513.091288803927</v>
      </c>
      <c r="I77" s="141">
        <f t="shared" si="13"/>
        <v>14.177580250292863</v>
      </c>
      <c r="J77" s="141">
        <f t="shared" si="13"/>
        <v>92.508468189532209</v>
      </c>
      <c r="K77" s="141">
        <f t="shared" si="13"/>
        <v>137.49471937935502</v>
      </c>
      <c r="L77" s="141">
        <f t="shared" si="13"/>
        <v>18.235858735377747</v>
      </c>
      <c r="M77" s="141">
        <f t="shared" si="13"/>
        <v>128.94367080237299</v>
      </c>
      <c r="N77" s="141"/>
      <c r="O77" s="141">
        <f>(O75*100/$O$75)-100</f>
        <v>0</v>
      </c>
      <c r="P77" s="141">
        <f t="shared" ref="P77:V77" si="14">(P75*100/$O$75)-100</f>
        <v>350.09485916150447</v>
      </c>
      <c r="Q77" s="141">
        <f t="shared" si="14"/>
        <v>-96.976119208100798</v>
      </c>
      <c r="R77" s="141">
        <f t="shared" si="14"/>
        <v>-25.212777715855282</v>
      </c>
      <c r="S77" s="141">
        <f t="shared" si="14"/>
        <v>-4.5900339616757435</v>
      </c>
      <c r="T77" s="141">
        <f t="shared" si="14"/>
        <v>-21.296417375004026</v>
      </c>
      <c r="U77" s="141">
        <f t="shared" si="14"/>
        <v>0.25592428523631838</v>
      </c>
      <c r="V77" s="141">
        <f t="shared" si="14"/>
        <v>-10.727149546919819</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
      <c r="A81" s="61" t="s">
        <v>82</v>
      </c>
      <c r="B81" s="141"/>
      <c r="C81" s="141" t="s">
        <v>175</v>
      </c>
      <c r="D81" s="141" t="s">
        <v>175</v>
      </c>
      <c r="E81" s="141" t="s">
        <v>175</v>
      </c>
      <c r="F81" s="141" t="s">
        <v>175</v>
      </c>
      <c r="G81" s="141" t="s">
        <v>175</v>
      </c>
      <c r="H81" s="141" t="s">
        <v>175</v>
      </c>
      <c r="I81" s="141" t="s">
        <v>175</v>
      </c>
      <c r="J81" s="141" t="s">
        <v>175</v>
      </c>
      <c r="K81" s="141" t="s">
        <v>175</v>
      </c>
      <c r="L81" s="141" t="s">
        <v>175</v>
      </c>
      <c r="M81" s="141" t="s">
        <v>175</v>
      </c>
      <c r="N81" s="141"/>
      <c r="O81" s="141" t="e">
        <f ca="1">IF($B79="Non",IF(O79="Non","Mann Withney",IF(O79="Oui","Mann Withney","")),IF($B79="Oui",IF(O79="Oui","T-Test Welch",IF(O79="Non","Mann Withney",""))))</f>
        <v>#NAME?</v>
      </c>
      <c r="P81" s="141" t="e">
        <f t="shared" ref="P81:Q81" ca="1" si="16">IF($O79="Non",IF(P79="Non","Mann Withney",IF(P$79="Oui","Mann Withney","")),IF($O79="Oui",IF(P79="Oui","T-Test Welch",IF(P79="Non","Mann Withney",""))))</f>
        <v>#NAME?</v>
      </c>
      <c r="Q81" s="141" t="e">
        <f t="shared" ca="1" si="16"/>
        <v>#NAME?</v>
      </c>
      <c r="R81" s="141" t="s">
        <v>175</v>
      </c>
      <c r="S81" s="141" t="s">
        <v>175</v>
      </c>
      <c r="T81" s="141" t="s">
        <v>175</v>
      </c>
      <c r="U81" s="141" t="s">
        <v>175</v>
      </c>
      <c r="V81" s="141" t="s">
        <v>175</v>
      </c>
    </row>
    <row r="82" spans="1:22" s="3" customFormat="1" x14ac:dyDescent="0.3">
      <c r="A82" s="61" t="s">
        <v>83</v>
      </c>
      <c r="B82" s="141"/>
      <c r="C82" s="141" t="s">
        <v>170</v>
      </c>
      <c r="D82" s="141">
        <v>0.09</v>
      </c>
      <c r="E82" s="141">
        <v>6.0000000000000001E-3</v>
      </c>
      <c r="F82" s="141" t="s">
        <v>173</v>
      </c>
      <c r="G82" s="141" t="s">
        <v>173</v>
      </c>
      <c r="H82" s="141" t="s">
        <v>173</v>
      </c>
      <c r="I82" s="141" t="s">
        <v>170</v>
      </c>
      <c r="J82" s="141">
        <v>0.19</v>
      </c>
      <c r="K82" s="141">
        <v>0.69</v>
      </c>
      <c r="L82" s="141" t="s">
        <v>170</v>
      </c>
      <c r="M82" s="141">
        <v>0.05</v>
      </c>
      <c r="N82" s="141"/>
      <c r="O82" s="141" t="e">
        <f ca="1">IF(O81="Mann Withney",[1]!MTEST($B6:$B53,O6:O53,2), IF(O81="T-Test Welch",_xlfn.T.TEST($B6:$B53,O6:O53,2,3),""))</f>
        <v>#NAME?</v>
      </c>
      <c r="P82" s="141" t="e">
        <f ca="1">IF(P81="Mann Withney",[1]!MTEST($O6:$O53,P6:P53,2), IF(P81="T-Test Welch",_xlfn.T.TEST($O6:$O53,P6:P53,2,3),""))</f>
        <v>#NAME?</v>
      </c>
      <c r="Q82" s="141" t="e">
        <f ca="1">IF(Q81="Mann Withney",[1]!MTEST($O6:$O53,Q6:Q53,2), IF(Q81="T-Test Welch",_xlfn.T.TEST($O6:$O53,Q6:Q53,2,3),""))</f>
        <v>#NAME?</v>
      </c>
      <c r="R82" s="141">
        <v>0.81</v>
      </c>
      <c r="S82" s="141" t="s">
        <v>170</v>
      </c>
      <c r="T82" s="141">
        <v>0.63</v>
      </c>
      <c r="U82" s="141" t="s">
        <v>170</v>
      </c>
      <c r="V82" s="141" t="s">
        <v>170</v>
      </c>
    </row>
    <row r="83" spans="1:22" s="3" customFormat="1" ht="15" thickBot="1" x14ac:dyDescent="0.35">
      <c r="A83" s="62" t="s">
        <v>84</v>
      </c>
      <c r="B83" s="142"/>
      <c r="C83" s="142" t="s">
        <v>169</v>
      </c>
      <c r="D83" s="142" t="s">
        <v>169</v>
      </c>
      <c r="E83" s="142" t="s">
        <v>171</v>
      </c>
      <c r="F83" s="142" t="s">
        <v>172</v>
      </c>
      <c r="G83" s="142" t="s">
        <v>172</v>
      </c>
      <c r="H83" s="142" t="s">
        <v>172</v>
      </c>
      <c r="I83" s="142" t="s">
        <v>169</v>
      </c>
      <c r="J83" s="142" t="s">
        <v>169</v>
      </c>
      <c r="K83" s="142" t="s">
        <v>169</v>
      </c>
      <c r="L83" s="142" t="s">
        <v>169</v>
      </c>
      <c r="M83" s="142" t="s">
        <v>174</v>
      </c>
      <c r="N83" s="142"/>
      <c r="O83" s="142" t="e">
        <f t="shared" ref="O83" ca="1" si="17">IF(O82&gt;0.05,"NS",IF(O82&gt;0.01,"*",IF(O82&gt;0.001,"**","***")))</f>
        <v>#NAME?</v>
      </c>
      <c r="P83" s="142" t="e">
        <f t="shared" ref="P83" ca="1" si="18">IF(P82&gt;0.05,"NS",IF(P82&gt;0.01,"*",IF(P82&gt;0.001,"**","***")))</f>
        <v>#NAME?</v>
      </c>
      <c r="Q83" s="142" t="e">
        <f t="shared" ref="Q83" ca="1" si="19">IF(Q82&gt;0.05,"NS",IF(Q82&gt;0.01,"*",IF(Q82&gt;0.001,"**","***")))</f>
        <v>#NAME?</v>
      </c>
      <c r="R83" s="142" t="s">
        <v>169</v>
      </c>
      <c r="S83" s="142" t="s">
        <v>169</v>
      </c>
      <c r="T83" s="142" t="s">
        <v>169</v>
      </c>
      <c r="U83" s="142" t="s">
        <v>169</v>
      </c>
      <c r="V83" s="142" t="s">
        <v>169</v>
      </c>
    </row>
    <row r="84" spans="1:22" s="1" customFormat="1" x14ac:dyDescent="0.3"/>
    <row r="85" spans="1:22" s="1" customFormat="1" x14ac:dyDescent="0.3">
      <c r="A85" s="2" t="s">
        <v>39</v>
      </c>
    </row>
    <row r="86" spans="1:22" x14ac:dyDescent="0.3">
      <c r="A86" s="1" t="s">
        <v>23</v>
      </c>
      <c r="B86" s="1">
        <f>B56+(3*B57)</f>
        <v>0.1112728037937455</v>
      </c>
    </row>
    <row r="87" spans="1:22" x14ac:dyDescent="0.3">
      <c r="A87" s="1" t="s">
        <v>24</v>
      </c>
      <c r="B87" s="1">
        <f>B56+(10*B57)</f>
        <v>0.31210004349331777</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
      <c r="B94" s="1">
        <f t="shared" ref="B94:V94" si="20">B75/$B$75</f>
        <v>1</v>
      </c>
      <c r="C94" s="1">
        <f t="shared" si="20"/>
        <v>4.6929426182593703</v>
      </c>
      <c r="D94" s="1">
        <f t="shared" si="20"/>
        <v>12.483497819105141</v>
      </c>
      <c r="E94" s="1">
        <f t="shared" si="20"/>
        <v>30.649226447505683</v>
      </c>
      <c r="F94" s="1">
        <f t="shared" si="20"/>
        <v>87.870100359224423</v>
      </c>
      <c r="G94" s="1">
        <f t="shared" si="20"/>
        <v>170.01010988112282</v>
      </c>
      <c r="H94">
        <f>H75/$B$75</f>
        <v>236.13091288803926</v>
      </c>
      <c r="I94" s="1">
        <f t="shared" si="20"/>
        <v>1.1417758025029285</v>
      </c>
      <c r="J94" s="1">
        <f t="shared" si="20"/>
        <v>1.9250846818953218</v>
      </c>
      <c r="K94" s="1">
        <f t="shared" si="20"/>
        <v>2.3749471937935502</v>
      </c>
      <c r="L94" s="1">
        <f t="shared" si="20"/>
        <v>1.1823585873537774</v>
      </c>
      <c r="M94" s="1">
        <f t="shared" si="20"/>
        <v>2.2894367080237297</v>
      </c>
      <c r="N94" s="1">
        <f t="shared" si="20"/>
        <v>0</v>
      </c>
      <c r="O94" s="1">
        <f t="shared" si="20"/>
        <v>39.676262677922246</v>
      </c>
      <c r="P94" s="1">
        <f t="shared" si="20"/>
        <v>178.58081862074272</v>
      </c>
      <c r="Q94" s="1">
        <f t="shared" si="20"/>
        <v>1.1997628860611644</v>
      </c>
      <c r="R94" s="1">
        <f t="shared" si="20"/>
        <v>29.672774762978861</v>
      </c>
      <c r="S94" s="1">
        <f t="shared" si="20"/>
        <v>37.855108746281942</v>
      </c>
      <c r="T94" s="1">
        <f t="shared" si="20"/>
        <v>31.226640179228976</v>
      </c>
      <c r="U94" s="1">
        <f t="shared" si="20"/>
        <v>39.777803869589206</v>
      </c>
      <c r="V94" s="1">
        <f t="shared" si="20"/>
        <v>35.420130645832792</v>
      </c>
    </row>
    <row r="102" spans="20:43" x14ac:dyDescent="0.3">
      <c r="T102" s="1"/>
      <c r="U102" s="1"/>
    </row>
    <row r="103" spans="20:43" x14ac:dyDescent="0.3">
      <c r="T103" s="1"/>
      <c r="U103" s="1"/>
    </row>
    <row r="104" spans="20:43" x14ac:dyDescent="0.3">
      <c r="T104" s="1"/>
      <c r="U104" s="1"/>
      <c r="X104" s="1"/>
      <c r="Y104" s="1"/>
      <c r="Z104" s="1"/>
      <c r="AA104" s="1"/>
      <c r="AB104" s="1"/>
      <c r="AC104" s="1"/>
      <c r="AD104" s="1"/>
      <c r="AE104" s="1"/>
      <c r="AF104" s="1"/>
      <c r="AG104" s="1"/>
      <c r="AH104" s="1"/>
      <c r="AI104" s="1"/>
      <c r="AJ104" s="1"/>
      <c r="AK104" s="1"/>
      <c r="AL104" s="1"/>
      <c r="AM104" s="1"/>
      <c r="AN104" s="1"/>
      <c r="AO104" s="1"/>
      <c r="AP104" s="1"/>
      <c r="AQ104" s="1"/>
    </row>
    <row r="105" spans="20:43" x14ac:dyDescent="0.3">
      <c r="T105" s="1"/>
      <c r="U105" s="1"/>
      <c r="X105" s="1"/>
      <c r="Y105" s="1"/>
      <c r="Z105" s="1"/>
      <c r="AA105" s="1"/>
      <c r="AB105" s="1"/>
      <c r="AC105" s="1"/>
      <c r="AD105" s="1"/>
      <c r="AE105" s="1"/>
      <c r="AF105" s="1"/>
      <c r="AG105" s="1"/>
      <c r="AH105" s="1"/>
      <c r="AI105" s="1"/>
      <c r="AJ105" s="1"/>
      <c r="AK105" s="1"/>
      <c r="AL105" s="1"/>
      <c r="AM105" s="1"/>
      <c r="AN105" s="1"/>
      <c r="AO105" s="1"/>
      <c r="AP105" s="1"/>
      <c r="AQ105" s="1"/>
    </row>
    <row r="106" spans="20:43" x14ac:dyDescent="0.3">
      <c r="T106" s="1"/>
      <c r="U106" s="1"/>
    </row>
    <row r="107" spans="20:43" x14ac:dyDescent="0.3">
      <c r="T107" s="1"/>
      <c r="U107" s="1"/>
    </row>
    <row r="108" spans="20:43" x14ac:dyDescent="0.3">
      <c r="T108" s="1"/>
      <c r="U108" s="1"/>
    </row>
    <row r="109" spans="20:43" x14ac:dyDescent="0.3">
      <c r="T109" s="1"/>
      <c r="U109" s="1"/>
    </row>
    <row r="110" spans="20:43" x14ac:dyDescent="0.3">
      <c r="T110" s="1"/>
      <c r="U110" s="1"/>
    </row>
    <row r="111" spans="20:43" x14ac:dyDescent="0.3">
      <c r="T111" s="1"/>
      <c r="U111" s="1"/>
    </row>
    <row r="112" spans="20:43" x14ac:dyDescent="0.3">
      <c r="T112" s="1"/>
      <c r="U112" s="1"/>
    </row>
    <row r="117" spans="20:21" x14ac:dyDescent="0.3">
      <c r="T117" s="1"/>
      <c r="U117" s="1"/>
    </row>
    <row r="118" spans="20:21" x14ac:dyDescent="0.3">
      <c r="T118" s="1"/>
      <c r="U118" s="1"/>
    </row>
    <row r="119" spans="20:21" x14ac:dyDescent="0.3">
      <c r="T119" s="1"/>
      <c r="U119" s="1"/>
    </row>
    <row r="120" spans="20:21" x14ac:dyDescent="0.3">
      <c r="T120" s="1"/>
      <c r="U120" s="1"/>
    </row>
    <row r="121" spans="20:21" x14ac:dyDescent="0.3">
      <c r="T121" s="1"/>
      <c r="U121"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28" t="s">
        <v>104</v>
      </c>
      <c r="B1" s="229"/>
      <c r="C1" s="229"/>
      <c r="D1" s="229"/>
      <c r="E1" s="229"/>
      <c r="F1" s="229"/>
      <c r="G1" s="229"/>
      <c r="H1" s="229"/>
      <c r="I1" s="229"/>
      <c r="J1" s="229"/>
      <c r="K1" s="229"/>
      <c r="L1" s="229"/>
      <c r="M1" s="229"/>
      <c r="N1" s="229"/>
      <c r="O1" s="230"/>
    </row>
    <row r="2" spans="1:15" s="48" customFormat="1" ht="26.4" thickBot="1" x14ac:dyDescent="0.35">
      <c r="A2" s="228" t="s">
        <v>105</v>
      </c>
      <c r="B2" s="229"/>
      <c r="C2" s="229"/>
      <c r="D2" s="229"/>
      <c r="E2" s="229"/>
      <c r="F2" s="229"/>
      <c r="G2" s="229"/>
      <c r="H2" s="229"/>
      <c r="I2" s="229"/>
      <c r="J2" s="229"/>
      <c r="K2" s="229"/>
      <c r="L2" s="229"/>
      <c r="M2" s="229"/>
      <c r="N2" s="229"/>
      <c r="O2" s="230"/>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Arabinose-0.01mg/L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Arabinose-0.01mg/L : 0%</v>
      </c>
      <c r="O7"/>
    </row>
    <row r="8" spans="1:15" s="76" customFormat="1" ht="15.6" x14ac:dyDescent="0.3">
      <c r="A8" s="79" t="str">
        <f>'Page de garde'!A16</f>
        <v>Arabinose-0.1mg/L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Arabinose-0.1mg/L : 0%</v>
      </c>
      <c r="O8"/>
    </row>
    <row r="9" spans="1:15" s="76" customFormat="1" ht="15.6" x14ac:dyDescent="0.3">
      <c r="A9" s="79" t="str">
        <f>'Page de garde'!A17</f>
        <v>Arabinose-1mg/L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Arabinose-1mg/L : 0%</v>
      </c>
      <c r="O9"/>
    </row>
    <row r="10" spans="1:15" s="76" customFormat="1" ht="15.6" x14ac:dyDescent="0.3">
      <c r="A10" s="79" t="str">
        <f>'Page de garde'!A18</f>
        <v>Arabinose-10mg/L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Arabinose-10mg/L : 0%</v>
      </c>
      <c r="O10"/>
    </row>
    <row r="11" spans="1:15" s="76" customFormat="1" ht="15.6" x14ac:dyDescent="0.3">
      <c r="A11" s="79" t="str">
        <f>'Page de garde'!A19</f>
        <v>Arabinose-100mg/L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Arabinose-0.01mg/L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Arabinose-0.01mg/L : 0%</v>
      </c>
    </row>
    <row r="33" spans="1:14" s="76" customFormat="1" ht="15.6" x14ac:dyDescent="0.3">
      <c r="A33" s="127" t="str">
        <f>'Page de garde'!A40</f>
        <v>Arabinose-0.1mg/L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Arabinose-0.1mg/L : 0%</v>
      </c>
    </row>
    <row r="34" spans="1:14" s="76" customFormat="1" ht="15.6" x14ac:dyDescent="0.3">
      <c r="A34" s="127" t="str">
        <f>'Page de garde'!A41</f>
        <v>Arabinose-1mg/L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Arabinose-1mg/L : 0%</v>
      </c>
    </row>
    <row r="35" spans="1:14" s="76" customFormat="1" ht="15.6" x14ac:dyDescent="0.3">
      <c r="A35" s="127" t="str">
        <f>'Page de garde'!A42</f>
        <v>Arabinose-10mg/L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Arabinose-10mg/L : 0%</v>
      </c>
    </row>
    <row r="36" spans="1:14" s="76" customFormat="1" ht="15.6" x14ac:dyDescent="0.3">
      <c r="A36" s="127" t="str">
        <f>'Page de garde'!A43</f>
        <v>Arabinose-100mg/L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Arabinose-100mg/L : 0%</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9" customWidth="1"/>
    <col min="2" max="2" width="46.21875" style="179" customWidth="1"/>
    <col min="3" max="3" width="15.21875" style="179" customWidth="1"/>
    <col min="4" max="4" width="24.77734375" style="179" customWidth="1"/>
    <col min="5" max="5" width="24.44140625" style="179" customWidth="1"/>
    <col min="6" max="6" width="23.21875" style="179" customWidth="1"/>
    <col min="7" max="7" width="21.21875" style="179" customWidth="1"/>
    <col min="8" max="16384" width="11.44140625" style="179"/>
  </cols>
  <sheetData>
    <row r="1" spans="1:7" ht="29.4" thickBot="1" x14ac:dyDescent="0.35">
      <c r="A1" s="184" t="s">
        <v>131</v>
      </c>
      <c r="B1" s="185" t="s">
        <v>132</v>
      </c>
      <c r="C1" s="185" t="s">
        <v>138</v>
      </c>
      <c r="D1" s="185" t="s">
        <v>137</v>
      </c>
      <c r="E1" s="185" t="s">
        <v>139</v>
      </c>
      <c r="F1" s="186" t="s">
        <v>140</v>
      </c>
      <c r="G1" s="187" t="s">
        <v>141</v>
      </c>
    </row>
    <row r="2" spans="1:7" ht="57.6" x14ac:dyDescent="0.3">
      <c r="A2" s="180" t="s">
        <v>133</v>
      </c>
      <c r="B2" s="181" t="s">
        <v>134</v>
      </c>
      <c r="C2" s="181" t="s">
        <v>135</v>
      </c>
      <c r="D2" s="181" t="s">
        <v>142</v>
      </c>
      <c r="E2" s="181" t="s">
        <v>136</v>
      </c>
      <c r="F2" s="182" t="s">
        <v>135</v>
      </c>
      <c r="G2" s="183"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2.5203986779643115E-2</v>
      </c>
      <c r="D2" s="17" t="s">
        <v>9</v>
      </c>
      <c r="E2" s="18"/>
      <c r="F2" s="19" t="str">
        <f>'pooled normalised values'!J74</f>
        <v>Arabinose-0.1mg/L</v>
      </c>
      <c r="G2" s="19" t="str">
        <f>'pooled normalised values'!K74</f>
        <v>Arabinose-1mg/L</v>
      </c>
      <c r="H2" s="19" t="str">
        <f>'pooled normalised values'!L74</f>
        <v>Arabinose-10mg/L</v>
      </c>
      <c r="I2" s="19" t="str">
        <f>'pooled normalised values'!M74</f>
        <v>Arabinose-100mg/L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Arabinose-0.01mg/L + Testostérone</v>
      </c>
      <c r="W2" s="19" t="str">
        <f>'pooled normalised values'!S74</f>
        <v>Arabinose-0.1mg/L + Testostérone</v>
      </c>
      <c r="X2" s="19" t="str">
        <f>'pooled normalised values'!T74</f>
        <v>Arabinose-1mg/L + Testostérone</v>
      </c>
      <c r="Y2" s="19" t="str">
        <f>'pooled normalised values'!U74</f>
        <v>Arabinose-10mg/L + Testostérone</v>
      </c>
      <c r="Z2" s="19" t="str">
        <f>'pooled normalised values'!V74</f>
        <v>Arabinose-100mg/L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4.8519808872183164E-2</v>
      </c>
      <c r="G3" s="19">
        <f>HLOOKUP(G2,'pooled normalised values'!C74:W83,2,FALSE)</f>
        <v>5.9858137674723151E-2</v>
      </c>
      <c r="H3" s="19">
        <f>HLOOKUP(H2,'pooled normalised values'!C74:X83,2,FALSE)</f>
        <v>2.9800150204462115E-2</v>
      </c>
      <c r="I3" s="19">
        <f>HLOOKUP(I2,'pooled normalised values'!D74:Y83,2,FALSE)</f>
        <v>5.7702932521859741E-2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0.74787222284144705</v>
      </c>
      <c r="W3" s="19">
        <f>HLOOKUP(W2,'pooled normalised values'!N74:AM83,2,FALSE)</f>
        <v>0.95409966038324245</v>
      </c>
      <c r="X3" s="19">
        <f>HLOOKUP(X2,'pooled normalised values'!N74:AN83,2,FALSE)</f>
        <v>0.7870358262499596</v>
      </c>
      <c r="Y3" s="19">
        <f>HLOOKUP(Y2,'pooled normalised values'!N74:AO83,2,FALSE)</f>
        <v>1.0025592428523631</v>
      </c>
      <c r="Z3" s="19">
        <f>HLOOKUP(Z2,'pooled normalised values'!N74:AP83,2,FALSE)</f>
        <v>0.89272850453080166</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0.99999999999999989</v>
      </c>
      <c r="D4" s="21" t="s">
        <v>2</v>
      </c>
      <c r="E4" s="22"/>
      <c r="F4" s="19">
        <f>HLOOKUP(F2,'pooled normalised values'!B74:V83,3,FALSE)</f>
        <v>9.9772598286115063E-3</v>
      </c>
      <c r="G4" s="19">
        <f>HLOOKUP(G2,'pooled normalised values'!C74:W83,3,FALSE)</f>
        <v>2.276392862572503E-2</v>
      </c>
      <c r="H4" s="19">
        <f>HLOOKUP(H2,'pooled normalised values'!C74:X83,3,FALSE)</f>
        <v>7.8660042441725739E-3</v>
      </c>
      <c r="I4" s="19">
        <f>HLOOKUP(I2,'pooled normalised values'!D74:Y83,3,FALSE)</f>
        <v>1.2980656012692694E-2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0.15802270973915566</v>
      </c>
      <c r="W4" s="19">
        <f>HLOOKUP(W2,'pooled normalised values'!N74:AM83,3,FALSE)</f>
        <v>0.1895998635380102</v>
      </c>
      <c r="X4" s="19">
        <f>HLOOKUP(X2,'pooled normalised values'!N74:AN83,3,FALSE)</f>
        <v>0.17888824984622431</v>
      </c>
      <c r="Y4" s="19">
        <f>HLOOKUP(Y2,'pooled normalised values'!N74:AO83,3,FALSE)</f>
        <v>0.17988489500508029</v>
      </c>
      <c r="Z4" s="19">
        <f>HLOOKUP(Z2,'pooled normalised values'!N74:AP83,3,FALSE)</f>
        <v>0.22742849827889097</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4.5009485916150442</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3.0238807918992056E-2</v>
      </c>
      <c r="D6" s="21" t="s">
        <v>12</v>
      </c>
      <c r="E6" s="24">
        <f>$B$2</f>
        <v>2.5203986779643115E-2</v>
      </c>
      <c r="F6" s="24">
        <f>$B$2</f>
        <v>2.5203986779643115E-2</v>
      </c>
      <c r="G6" s="24">
        <f t="shared" ref="G6:R6" si="0">$B$2</f>
        <v>2.5203986779643115E-2</v>
      </c>
      <c r="H6" s="24">
        <f t="shared" si="0"/>
        <v>2.5203986779643115E-2</v>
      </c>
      <c r="I6" s="24">
        <f t="shared" si="0"/>
        <v>2.5203986779643115E-2</v>
      </c>
      <c r="J6" s="24">
        <f t="shared" si="0"/>
        <v>2.5203986779643115E-2</v>
      </c>
      <c r="K6" s="24">
        <f t="shared" si="0"/>
        <v>2.5203986779643115E-2</v>
      </c>
      <c r="L6" s="24">
        <f t="shared" si="0"/>
        <v>2.5203986779643115E-2</v>
      </c>
      <c r="M6" s="24">
        <f t="shared" si="0"/>
        <v>2.5203986779643115E-2</v>
      </c>
      <c r="N6" s="24">
        <f t="shared" si="0"/>
        <v>2.5203986779643115E-2</v>
      </c>
      <c r="O6" s="24">
        <f t="shared" si="0"/>
        <v>2.5203986779643115E-2</v>
      </c>
      <c r="P6" s="24">
        <f t="shared" si="0"/>
        <v>2.5203986779643115E-2</v>
      </c>
      <c r="Q6" s="24">
        <f t="shared" si="0"/>
        <v>2.5203986779643115E-2</v>
      </c>
      <c r="R6" s="24">
        <f t="shared" si="0"/>
        <v>2.5203986779643115E-2</v>
      </c>
      <c r="S6" s="24">
        <f>$B$2</f>
        <v>2.5203986779643115E-2</v>
      </c>
      <c r="T6" s="24">
        <f>$B$2</f>
        <v>2.5203986779643115E-2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0.99999999999999989</v>
      </c>
      <c r="V7" s="25">
        <f t="shared" si="1"/>
        <v>0.99999999999999989</v>
      </c>
      <c r="W7" s="25">
        <f t="shared" si="1"/>
        <v>0.99999999999999989</v>
      </c>
      <c r="X7" s="25">
        <f t="shared" si="1"/>
        <v>0.99999999999999989</v>
      </c>
      <c r="Y7" s="25">
        <f t="shared" si="1"/>
        <v>0.99999999999999989</v>
      </c>
      <c r="Z7" s="25">
        <f t="shared" si="1"/>
        <v>0.99999999999999989</v>
      </c>
      <c r="AA7" s="25">
        <f t="shared" si="1"/>
        <v>0.99999999999999989</v>
      </c>
      <c r="AB7" s="25">
        <f t="shared" si="1"/>
        <v>0.99999999999999989</v>
      </c>
      <c r="AC7" s="25">
        <f t="shared" si="1"/>
        <v>0.99999999999999989</v>
      </c>
      <c r="AD7" s="25">
        <f t="shared" si="1"/>
        <v>0.99999999999999989</v>
      </c>
      <c r="AE7" s="25">
        <f t="shared" si="1"/>
        <v>0.99999999999999989</v>
      </c>
      <c r="AF7" s="25">
        <f t="shared" si="1"/>
        <v>0.99999999999999989</v>
      </c>
      <c r="AG7" s="25">
        <f t="shared" si="1"/>
        <v>0.99999999999999989</v>
      </c>
      <c r="AH7" s="25">
        <f t="shared" si="1"/>
        <v>0.99999999999999989</v>
      </c>
      <c r="AI7" s="25">
        <f t="shared" si="1"/>
        <v>0.99999999999999989</v>
      </c>
      <c r="AJ7" s="25">
        <f t="shared" si="1"/>
        <v>0.99999999999999989</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3.0238807918992056E-2</v>
      </c>
      <c r="V8" s="25">
        <f t="shared" ref="V8:AJ8" si="2">$B$6</f>
        <v>3.0238807918992056E-2</v>
      </c>
      <c r="W8" s="25">
        <f t="shared" si="2"/>
        <v>3.0238807918992056E-2</v>
      </c>
      <c r="X8" s="25">
        <f t="shared" si="2"/>
        <v>3.0238807918992056E-2</v>
      </c>
      <c r="Y8" s="25">
        <f t="shared" si="2"/>
        <v>3.0238807918992056E-2</v>
      </c>
      <c r="Z8" s="25">
        <f t="shared" si="2"/>
        <v>3.0238807918992056E-2</v>
      </c>
      <c r="AA8" s="25">
        <f t="shared" si="2"/>
        <v>3.0238807918992056E-2</v>
      </c>
      <c r="AB8" s="25">
        <f t="shared" si="2"/>
        <v>3.0238807918992056E-2</v>
      </c>
      <c r="AC8" s="25">
        <f t="shared" si="2"/>
        <v>3.0238807918992056E-2</v>
      </c>
      <c r="AD8" s="25">
        <f t="shared" si="2"/>
        <v>3.0238807918992056E-2</v>
      </c>
      <c r="AE8" s="25">
        <f t="shared" si="2"/>
        <v>3.0238807918992056E-2</v>
      </c>
      <c r="AF8" s="25">
        <f t="shared" si="2"/>
        <v>3.0238807918992056E-2</v>
      </c>
      <c r="AG8" s="25">
        <f t="shared" si="2"/>
        <v>3.0238807918992056E-2</v>
      </c>
      <c r="AH8" s="25">
        <f t="shared" si="2"/>
        <v>3.0238807918992056E-2</v>
      </c>
      <c r="AI8" s="25">
        <f t="shared" si="2"/>
        <v>3.0238807918992056E-2</v>
      </c>
      <c r="AJ8" s="25">
        <f t="shared" si="2"/>
        <v>3.0238807918992056E-2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4.4707097836960523</v>
      </c>
      <c r="V9" s="25">
        <f>$B$5-V8</f>
        <v>4.4707097836960523</v>
      </c>
      <c r="W9" s="25">
        <f t="shared" ref="W9:AH9" si="4">$B$5-W8</f>
        <v>4.4707097836960523</v>
      </c>
      <c r="X9" s="25">
        <f t="shared" si="4"/>
        <v>4.4707097836960523</v>
      </c>
      <c r="Y9" s="25">
        <f t="shared" si="4"/>
        <v>4.4707097836960523</v>
      </c>
      <c r="Z9" s="25">
        <f t="shared" si="4"/>
        <v>4.4707097836960523</v>
      </c>
      <c r="AA9" s="25">
        <f t="shared" si="4"/>
        <v>4.4707097836960523</v>
      </c>
      <c r="AB9" s="25">
        <f t="shared" si="4"/>
        <v>4.4707097836960523</v>
      </c>
      <c r="AC9" s="25">
        <f t="shared" si="4"/>
        <v>4.4707097836960523</v>
      </c>
      <c r="AD9" s="25">
        <f t="shared" si="4"/>
        <v>4.4707097836960523</v>
      </c>
      <c r="AE9" s="25">
        <f t="shared" si="4"/>
        <v>4.4707097836960523</v>
      </c>
      <c r="AF9" s="25">
        <f t="shared" si="4"/>
        <v>4.4707097836960523</v>
      </c>
      <c r="AG9" s="25">
        <f t="shared" si="4"/>
        <v>4.4707097836960523</v>
      </c>
      <c r="AH9" s="25">
        <f t="shared" si="4"/>
        <v>4.4707097836960523</v>
      </c>
      <c r="AI9" s="25">
        <f>$B$5-AI8</f>
        <v>4.4707097836960523</v>
      </c>
      <c r="AJ9" s="25">
        <f>$B$5-AJ8</f>
        <v>4.4707097836960523</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-1.9707097836960523</v>
      </c>
      <c r="V10" s="25">
        <f>2.5-V9</f>
        <v>-1.9707097836960523</v>
      </c>
      <c r="W10" s="25">
        <f t="shared" ref="W10:AH10" si="6">2.5-W9</f>
        <v>-1.9707097836960523</v>
      </c>
      <c r="X10" s="25">
        <f t="shared" si="6"/>
        <v>-1.9707097836960523</v>
      </c>
      <c r="Y10" s="25">
        <f t="shared" si="6"/>
        <v>-1.9707097836960523</v>
      </c>
      <c r="Z10" s="25">
        <f t="shared" si="6"/>
        <v>-1.9707097836960523</v>
      </c>
      <c r="AA10" s="25">
        <f t="shared" si="6"/>
        <v>-1.9707097836960523</v>
      </c>
      <c r="AB10" s="25">
        <f t="shared" si="6"/>
        <v>-1.9707097836960523</v>
      </c>
      <c r="AC10" s="25">
        <f t="shared" si="6"/>
        <v>-1.9707097836960523</v>
      </c>
      <c r="AD10" s="25">
        <f t="shared" si="6"/>
        <v>-1.9707097836960523</v>
      </c>
      <c r="AE10" s="25">
        <f t="shared" si="6"/>
        <v>-1.9707097836960523</v>
      </c>
      <c r="AF10" s="25">
        <f t="shared" si="6"/>
        <v>-1.9707097836960523</v>
      </c>
      <c r="AG10" s="25">
        <f t="shared" si="6"/>
        <v>-1.9707097836960523</v>
      </c>
      <c r="AH10" s="25">
        <f t="shared" si="6"/>
        <v>-1.9707097836960523</v>
      </c>
      <c r="AI10" s="25">
        <f>2.5-AI9</f>
        <v>-1.9707097836960523</v>
      </c>
      <c r="AJ10" s="25">
        <f>2.5-AJ9</f>
        <v>-1.9707097836960523</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2.5203986779643115E-2</v>
      </c>
      <c r="D2" s="17" t="s">
        <v>9</v>
      </c>
      <c r="E2" s="18"/>
      <c r="F2" s="19" t="str">
        <f>'pooled normalised values'!J74</f>
        <v>Arabinose-0.1mg/L</v>
      </c>
      <c r="G2" s="18"/>
      <c r="H2" s="20"/>
      <c r="I2" s="19" t="str">
        <f>'pooled normalised values'!R74</f>
        <v>Arabinose-0.01mg/L + Testostérone</v>
      </c>
      <c r="J2" s="20"/>
      <c r="K2" s="17" t="s">
        <v>9</v>
      </c>
    </row>
    <row r="3" spans="1:11" x14ac:dyDescent="0.25">
      <c r="A3" s="17" t="s">
        <v>71</v>
      </c>
      <c r="B3" s="63">
        <f>'summary results'!E6</f>
        <v>0</v>
      </c>
      <c r="D3" s="21" t="s">
        <v>10</v>
      </c>
      <c r="E3" s="22"/>
      <c r="F3" s="19">
        <f>HLOOKUP(F2,'pooled normalised values'!B74:V83,2,FALSE)</f>
        <v>4.8519808872183164E-2</v>
      </c>
      <c r="G3" s="22"/>
      <c r="H3" s="20"/>
      <c r="I3" s="19">
        <f>HLOOKUP(I2,'pooled normalised values'!N74:AL83,2,FALSE)</f>
        <v>0.74787222284144705</v>
      </c>
      <c r="J3" s="20"/>
      <c r="K3" s="21" t="s">
        <v>10</v>
      </c>
    </row>
    <row r="4" spans="1:11" x14ac:dyDescent="0.25">
      <c r="A4" s="17" t="s">
        <v>72</v>
      </c>
      <c r="B4" s="63">
        <f>'pooled normalised values'!O75</f>
        <v>0.99999999999999989</v>
      </c>
      <c r="D4" s="21" t="s">
        <v>2</v>
      </c>
      <c r="E4" s="22"/>
      <c r="F4" s="19">
        <f>HLOOKUP(F2,'pooled normalised values'!B74:V83,3,FALSE)</f>
        <v>9.9772598286115063E-3</v>
      </c>
      <c r="G4" s="22"/>
      <c r="H4" s="20"/>
      <c r="I4" s="19">
        <f>HLOOKUP(I2,'pooled normalised values'!N74:AL83,3,FALSE)</f>
        <v>0.15802270973915566</v>
      </c>
      <c r="J4" s="20"/>
      <c r="K4" s="21" t="s">
        <v>2</v>
      </c>
    </row>
    <row r="5" spans="1:11" x14ac:dyDescent="0.25">
      <c r="A5" s="17" t="s">
        <v>73</v>
      </c>
      <c r="B5" s="63">
        <f>'pooled normalised values'!P75</f>
        <v>4.5009485916150442</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3.0238807918992056E-2</v>
      </c>
      <c r="D6" s="21" t="s">
        <v>12</v>
      </c>
      <c r="E6" s="24">
        <f>$B$2</f>
        <v>2.5203986779643115E-2</v>
      </c>
      <c r="F6" s="24">
        <f>$B$2</f>
        <v>2.5203986779643115E-2</v>
      </c>
      <c r="G6" s="24">
        <f>$B$2</f>
        <v>2.5203986779643115E-2</v>
      </c>
      <c r="H6" s="25"/>
      <c r="I6" s="25"/>
      <c r="J6" s="25"/>
      <c r="K6" s="21" t="s">
        <v>12</v>
      </c>
    </row>
    <row r="7" spans="1:11" x14ac:dyDescent="0.25">
      <c r="B7" s="26"/>
      <c r="D7" s="26" t="s">
        <v>13</v>
      </c>
      <c r="E7" s="24"/>
      <c r="F7" s="24"/>
      <c r="G7" s="27"/>
      <c r="H7" s="25">
        <f t="shared" ref="H7:J7" si="0">$B$4</f>
        <v>0.99999999999999989</v>
      </c>
      <c r="I7" s="25">
        <f t="shared" si="0"/>
        <v>0.99999999999999989</v>
      </c>
      <c r="J7" s="25">
        <f t="shared" si="0"/>
        <v>0.99999999999999989</v>
      </c>
      <c r="K7" s="26" t="s">
        <v>13</v>
      </c>
    </row>
    <row r="8" spans="1:11" x14ac:dyDescent="0.25">
      <c r="D8" s="28" t="s">
        <v>14</v>
      </c>
      <c r="E8" s="24">
        <v>0</v>
      </c>
      <c r="F8" s="24">
        <v>0</v>
      </c>
      <c r="G8" s="27">
        <v>0</v>
      </c>
      <c r="H8" s="25">
        <f>$B$6</f>
        <v>3.0238807918992056E-2</v>
      </c>
      <c r="I8" s="25">
        <f t="shared" ref="I8:J8" si="1">$B$6</f>
        <v>3.0238807918992056E-2</v>
      </c>
      <c r="J8" s="25">
        <f t="shared" si="1"/>
        <v>3.0238807918992056E-2</v>
      </c>
      <c r="K8" s="28" t="s">
        <v>14</v>
      </c>
    </row>
    <row r="9" spans="1:11" x14ac:dyDescent="0.25">
      <c r="D9" s="28" t="s">
        <v>15</v>
      </c>
      <c r="E9" s="29">
        <f>$B$3-E8</f>
        <v>0</v>
      </c>
      <c r="F9" s="29">
        <f>$B$3-F8</f>
        <v>0</v>
      </c>
      <c r="G9" s="29">
        <f>$B$3-G8</f>
        <v>0</v>
      </c>
      <c r="H9" s="25">
        <f>$B$5-H8</f>
        <v>4.4707097836960523</v>
      </c>
      <c r="I9" s="25">
        <f>$B$5-I8</f>
        <v>4.4707097836960523</v>
      </c>
      <c r="J9" s="25">
        <f>$B$5-J8</f>
        <v>4.4707097836960523</v>
      </c>
      <c r="K9" s="28" t="s">
        <v>15</v>
      </c>
    </row>
    <row r="10" spans="1:11" x14ac:dyDescent="0.25">
      <c r="D10" s="28" t="s">
        <v>16</v>
      </c>
      <c r="E10" s="27">
        <f t="shared" ref="E10:J10" si="2">2.5-E9</f>
        <v>2.5</v>
      </c>
      <c r="F10" s="27">
        <f t="shared" si="2"/>
        <v>2.5</v>
      </c>
      <c r="G10" s="27">
        <f t="shared" si="2"/>
        <v>2.5</v>
      </c>
      <c r="H10" s="25">
        <f t="shared" si="2"/>
        <v>-1.9707097836960523</v>
      </c>
      <c r="I10" s="25">
        <f t="shared" si="2"/>
        <v>-1.9707097836960523</v>
      </c>
      <c r="J10" s="25">
        <f t="shared" si="2"/>
        <v>-1.9707097836960523</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99C534-1D80-4B1F-BE5B-40A3EE22BF44}">
  <ds:schemaRefs>
    <ds:schemaRef ds:uri="http://schemas.microsoft.com/sharepoint/v3/contenttype/forms"/>
  </ds:schemaRefs>
</ds:datastoreItem>
</file>

<file path=customXml/itemProps2.xml><?xml version="1.0" encoding="utf-8"?>
<ds:datastoreItem xmlns:ds="http://schemas.openxmlformats.org/officeDocument/2006/customXml" ds:itemID="{52EB0D13-1FDC-408F-A028-B1A6A7146C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R4</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2022-12-22T12:33:05Z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2022-12-22T12:33:04Z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e170362e-4508-4f60-be86-1dcb4ebd5717</vt:lpwstr>
  </property>
  <property fmtid="{D5CDD505-2E9C-101B-9397-08002B2CF9AE}" pid="8" name="MSIP_Label_06530cf4-8573-4c29-a912-bbcdac835909_ContentBits">
    <vt:lpwstr>2</vt:lpwstr>
  </property>
</Properties>
</file>